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game_design\numerical-workflows\v2\framework\01_源表\"/>
    </mc:Choice>
  </mc:AlternateContent>
  <bookViews>
    <workbookView/>
  </bookViews>
  <sheets>
    <sheet name="使用说明" sheetId="1" r:id="rId1"/>
    <sheet name="参数" sheetId="2" r:id="rId2"/>
    <sheet name="楼层配置" sheetId="3" r:id="rId3"/>
    <sheet name="_怪物基线" sheetId="4" r:id="rId4"/>
    <sheet name="_角色基线" sheetId="5" r:id="rId5"/>
    <sheet name="TeamHero生成" sheetId="6" r:id="rId6"/>
    <sheet name="落表结果" sheetId="7" r:id="rId7"/>
    <sheet name="统一验算" sheetId="8" r:id="rId8"/>
    <sheet name="难度节点" sheetId="9" r:id="rId9"/>
    <sheet name="爬塔本次调整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<sst xmlns="http://schemas.openxmlformats.org/spreadsheetml/2006/main" count="1170" uniqueCount="267">
  <si>
    <t>爬塔 TeamHero 属性配置表</t>
  </si>
  <si>
    <t>黄色单元格为可配置输入；其余区域由公式自动生成。</t>
  </si>
  <si>
    <t>使用步骤</t>
  </si>
  <si>
    <t>1. 在“难度节点”C列黄格调整关键楼层等级；“楼层配置”D列按相邻节点线性插值，100层当前280级。</t>
  </si>
  <si>
    <t>2. 如需整体或局部微调，可修改“参数”职业系数、精英怪系数、玩法全局倍率，或楼层E～G三项倍率。</t>
  </si>
  <si>
    <t>3. “TeamHero生成”按 TeamHero.CfgId → Hero.HeroClass 自动识别 Tank / DPS / Support，并生成 Hp、Attack、Armor。</t>
  </si>
  <si>
    <t>4. “落表结果”按 TeamHero.Id 升序整理；将D～F列以“粘贴值”方式覆盖 TeamHero.xlsx 的 Hp、Attack、Armor。</t>
  </si>
  <si>
    <t>5. TeamHero.Level仅作核对，不参与怪物模型等级查找；实际查找使用“楼层配置”的难度等级。</t>
  </si>
  <si>
    <t>生成公式</t>
  </si>
  <si>
    <t>精英基准 = 普通怪基准 × MonsterAttributeType(200101)：生命×4、攻击×1.2、防御×1。</t>
  </si>
  <si>
    <t>TeamHero.Hp = 精英生命 × 职业生命系数 × 楼层生命倍率 × 玩法全局生命倍率。</t>
  </si>
  <si>
    <t>TeamHero.Attack = 精英攻击 × 职业攻击系数 × 楼层攻击倍率 × 玩法全局攻击倍率。</t>
  </si>
  <si>
    <t>TeamHero.Armor = 精英防御 × 职业防御系数 × 楼层防御倍率 × 玩法全局防御倍率。</t>
  </si>
  <si>
    <t>数据来源</t>
  </si>
  <si>
    <t>怪物基线：战斗公式.xlsx｜怪物标准模型 AS/AQ/AO；沿用2026-08-27统一基线，本轮不改。</t>
  </si>
  <si>
    <t>精英系数：D:\Vgame\Config\GameConfig\Datas\Monster\MonsterAttributeType.xlsx｜AttributeTypeID=200101</t>
  </si>
  <si>
    <t>爬塔映射：D:\Vgame\Config\GameConfig\Datas\TowerTrial\TowerEnemyFormation.xlsx → D:\Vgame\Config\GameConfig\Datas\Team\Team.xlsx → D:\Vgame\Config\GameConfig\Datas\Team\TeamHero.xlsx</t>
  </si>
  <si>
    <t>职业映射：D:\Vgame\Config\GameConfig\Datas\Hero\Hero.xlsx｜HeroClass；生成日期：2026-08-10</t>
  </si>
  <si>
    <t>爬塔 TeamHero 生成参数</t>
  </si>
  <si>
    <t>黄色参数可调；当前职业偏移沿用 TeamHero 现有口径。</t>
  </si>
  <si>
    <t>职业</t>
  </si>
  <si>
    <t>生命系数</t>
  </si>
  <si>
    <t>攻击系数</t>
  </si>
  <si>
    <t>防御系数</t>
  </si>
  <si>
    <t>说明</t>
  </si>
  <si>
    <t>来源</t>
  </si>
  <si>
    <t>Tank</t>
  </si>
  <si>
    <t>高生命、高防御</t>
  </si>
  <si>
    <t>当前TeamHero职业偏移</t>
  </si>
  <si>
    <t>DPS</t>
  </si>
  <si>
    <t>高攻击</t>
  </si>
  <si>
    <t>Support</t>
  </si>
  <si>
    <t>中等生存</t>
  </si>
  <si>
    <t>怪物类型</t>
  </si>
  <si>
    <t>AttributeTypeID</t>
  </si>
  <si>
    <t>精英怪</t>
  </si>
  <si>
    <t>D:\Vgame\Config\GameConfig\Datas\Monster\MonsterAttributeType.xlsx</t>
  </si>
  <si>
    <t>玩法全局倍率</t>
  </si>
  <si>
    <t>生命</t>
  </si>
  <si>
    <t>攻击</t>
  </si>
  <si>
    <t>防御</t>
  </si>
  <si>
    <t>爬塔</t>
  </si>
  <si>
    <t>默认1；用于整条曲线统一微调</t>
  </si>
  <si>
    <t>爬塔楼层难度配置</t>
  </si>
  <si>
    <t>等级改“难度节点”C列黄格；D列自动插值，E～G倍率仍可微调。</t>
  </si>
  <si>
    <t>状态</t>
  </si>
  <si>
    <t>层数</t>
  </si>
  <si>
    <t>TeamId</t>
  </si>
  <si>
    <t>难度等级</t>
  </si>
  <si>
    <t>生命倍率</t>
  </si>
  <si>
    <t>攻击倍率</t>
  </si>
  <si>
    <t>防御倍率</t>
  </si>
  <si>
    <t>Pack1 LevelId</t>
  </si>
  <si>
    <t>Pack2 LevelId</t>
  </si>
  <si>
    <t>Pack3 LevelId</t>
  </si>
  <si>
    <t>Pack4 LevelId</t>
  </si>
  <si>
    <t>全部LevelId</t>
  </si>
  <si>
    <t>TeamHero数量</t>
  </si>
  <si>
    <t>等级检查</t>
  </si>
  <si>
    <t>等级趋势</t>
  </si>
  <si>
    <t>备注</t>
  </si>
  <si>
    <t>当前配置</t>
  </si>
  <si>
    <t>300001</t>
  </si>
  <si>
    <t/>
  </si>
  <si>
    <t>统一标准模型；只列TowerEnemyFormation未停用的包体1 ID，包体2～4停用引用已清空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</si>
  <si>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</si>
  <si>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</si>
  <si>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</si>
  <si>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</si>
  <si>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</si>
  <si>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</si>
  <si>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</si>
  <si>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</si>
  <si>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</si>
  <si>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</si>
  <si>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</si>
  <si>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</si>
  <si>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</si>
  <si>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</si>
  <si>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</si>
  <si>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</si>
  <si>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</si>
  <si>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</si>
  <si>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</si>
  <si>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</si>
  <si>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</si>
  <si>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</si>
  <si>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</si>
  <si>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</si>
  <si>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</si>
  <si>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</si>
  <si>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</si>
  <si>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</si>
  <si>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</si>
  <si>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</si>
  <si>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</si>
  <si>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</si>
  <si>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</si>
  <si>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</si>
  <si>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</si>
  <si>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</si>
  <si>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</si>
  <si>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</si>
  <si>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</si>
  <si>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</si>
  <si>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</si>
  <si>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</si>
  <si>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</si>
  <si>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</si>
  <si>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</si>
  <si>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</si>
  <si>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</si>
  <si>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</si>
  <si>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</si>
  <si>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</si>
  <si>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</si>
  <si>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</si>
  <si>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</si>
  <si>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</si>
  <si>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</si>
  <si>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</si>
  <si>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</si>
  <si>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300060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</si>
  <si>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</si>
  <si>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</si>
  <si>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</si>
  <si>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</si>
  <si>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</si>
  <si>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</si>
  <si>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</si>
  <si>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</si>
  <si>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</si>
  <si>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</si>
  <si>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</si>
  <si>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</si>
  <si>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</si>
  <si>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</si>
  <si>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</si>
  <si>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</si>
  <si>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</si>
  <si>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</si>
  <si>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</si>
  <si>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</si>
  <si>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</si>
  <si>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</si>
  <si>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</si>
  <si>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</si>
  <si>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</si>
  <si>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</si>
  <si>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</si>
  <si>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</si>
  <si>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</si>
  <si>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</si>
  <si>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</si>
  <si>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</si>
  <si>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</si>
  <si>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</si>
  <si>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</si>
  <si>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</si>
  <si>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</si>
  <si>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</si>
  <si>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</si>
  <si>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</si>
  <si>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</si>
  <si>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等级</t>
  </si>
  <si>
    <t>普通怪生命</t>
  </si>
  <si>
    <t>普通怪攻击</t>
  </si>
  <si>
    <t>普通怪防御</t>
  </si>
  <si>
    <t>战斗公式.xlsx/怪物标准模型 AS/AQ/AO；2026-08-27</t>
  </si>
  <si>
    <t>HeroId</t>
  </si>
  <si>
    <t>角色名</t>
  </si>
  <si>
    <t>HeroClass</t>
  </si>
  <si>
    <t>测试</t>
  </si>
  <si>
    <t>Hero.xlsx</t>
  </si>
  <si>
    <t>星海</t>
  </si>
  <si>
    <t>大暑</t>
  </si>
  <si>
    <t>塔拉夏</t>
  </si>
  <si>
    <t>阿芭</t>
  </si>
  <si>
    <t>陈单单</t>
  </si>
  <si>
    <t>莉莉娅</t>
  </si>
  <si>
    <t>萨萨莉安</t>
  </si>
  <si>
    <t>薇</t>
  </si>
  <si>
    <t>约瑟夫</t>
  </si>
  <si>
    <t>陈双双</t>
  </si>
  <si>
    <t>艾德琳</t>
  </si>
  <si>
    <t>夏缇拉</t>
  </si>
  <si>
    <t>克莉丝汀</t>
  </si>
  <si>
    <t>阿莱克西娅</t>
  </si>
  <si>
    <t>伊戈尔</t>
  </si>
  <si>
    <t>埃莉诺</t>
  </si>
  <si>
    <t>桑尼</t>
  </si>
  <si>
    <t>卡斯帕</t>
  </si>
  <si>
    <t>梅梅</t>
  </si>
  <si>
    <t>梅林</t>
  </si>
  <si>
    <t>马克</t>
  </si>
  <si>
    <t>卡薇</t>
  </si>
  <si>
    <t>乔一</t>
  </si>
  <si>
    <t>凯兰</t>
  </si>
  <si>
    <t>莫莉</t>
  </si>
  <si>
    <t>碎冰者</t>
  </si>
  <si>
    <t>霜狼法师</t>
  </si>
  <si>
    <t>霜狼战士</t>
  </si>
  <si>
    <t>商队战斗员</t>
  </si>
  <si>
    <t>商队枪手</t>
  </si>
  <si>
    <t>小寒</t>
  </si>
  <si>
    <t>爬塔 TeamHero 属性生成</t>
  </si>
  <si>
    <t>D～F为最终生成值；公式基于楼层难度等级、精英怪基准和HeroClass职业偏移。</t>
  </si>
  <si>
    <t>TeamHero.Id</t>
  </si>
  <si>
    <t>CfgId</t>
  </si>
  <si>
    <t>Level</t>
  </si>
  <si>
    <t>Hp（生成）</t>
  </si>
  <si>
    <t>Attack（生成）</t>
  </si>
  <si>
    <t>Armor（生成）</t>
  </si>
  <si>
    <t>当前Hp</t>
  </si>
  <si>
    <t>当前Attack</t>
  </si>
  <si>
    <t>当前Armor</t>
  </si>
  <si>
    <t>精英生命系数</t>
  </si>
  <si>
    <t>精英攻击系数</t>
  </si>
  <si>
    <t>精英防御系数</t>
  </si>
  <si>
    <t>精英怪生命</t>
  </si>
  <si>
    <t>精英怪攻击</t>
  </si>
  <si>
    <t>精英怪防御</t>
  </si>
  <si>
    <t>职业生命系数</t>
  </si>
  <si>
    <t>职业攻击系数</t>
  </si>
  <si>
    <t>职业防御系数</t>
  </si>
  <si>
    <t>楼层生命倍率</t>
  </si>
  <si>
    <t>楼层攻击倍率</t>
  </si>
  <si>
    <t>楼层防御倍率</t>
  </si>
  <si>
    <t>Hp变化</t>
  </si>
  <si>
    <t>Attack变化</t>
  </si>
  <si>
    <t>Armor变化</t>
  </si>
  <si>
    <t>校验</t>
  </si>
  <si>
    <t>有效生命（75%减伤上限）</t>
  </si>
  <si>
    <t>TeamHero 落表结果</t>
  </si>
  <si>
    <t>按TeamHero.Id升序；复制D～F列并以“值”覆盖源表Hp、Attack、Armor。</t>
  </si>
  <si>
    <t>CfgId（核对）</t>
  </si>
  <si>
    <t>Level（核对）</t>
  </si>
  <si>
    <t>Hp</t>
  </si>
  <si>
    <t>Attack</t>
  </si>
  <si>
    <t>Armor</t>
  </si>
  <si>
    <t>楼层</t>
  </si>
  <si>
    <t>对照进度</t>
  </si>
  <si>
    <t>旧等级</t>
  </si>
  <si>
    <t>新等级</t>
  </si>
  <si>
    <t>旧击杀秒</t>
  </si>
  <si>
    <t>新击杀秒</t>
  </si>
  <si>
    <t>旧生存秒</t>
  </si>
  <si>
    <t>新生存秒</t>
  </si>
  <si>
    <t>击杀比</t>
  </si>
  <si>
    <t>生存比</t>
  </si>
  <si>
    <t>关键楼层</t>
  </si>
  <si>
    <t>调前等级</t>
  </si>
  <si>
    <t>当前等级（输入）</t>
  </si>
  <si>
    <t>等级变化</t>
  </si>
  <si>
    <t>用户指定节点</t>
  </si>
  <si>
    <t>沿用上一版节点</t>
  </si>
  <si>
    <t>终点：280级</t>
  </si>
  <si>
    <t>终局荣誉层新增节点 2026-09-20</t>
  </si>
  <si>
    <t>只改C列黄格；相邻节点线性插值。A列关键楼层固定。</t>
  </si>
  <si>
    <t>修改后本文件角色属性自动更新；全玩法表须重新同步缓存。</t>
  </si>
  <si>
    <t>当前等级</t>
  </si>
  <si>
    <t>调前击杀秒</t>
  </si>
  <si>
    <t>当前击杀秒</t>
  </si>
  <si>
    <t>调前存活秒</t>
  </si>
  <si>
    <t>当前存活秒</t>
  </si>
  <si>
    <t>敌方EHP变化</t>
  </si>
  <si>
    <t>敌方攻击变化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</si>
</sst>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0"/>
    <numFmt numFmtId="178" formatCode="0.000&quot;倍&quot;"/>
  </numFmts>
  <fonts count="31">
    <font>
      <sz val="11"/>
      <color theme="1"/>
      <name val="宋体"/>
      <charset val="134"/>
    </font>
    <font>
      <b/>
      <sz val="10"/>
      <color rgb="FFFFFFFF"/>
      <name val="Microsoft YaHei"/>
      <charset val="134"/>
    </font>
    <font>
      <sz val="10"/>
      <color theme="1"/>
      <name val="Microsoft YaHei"/>
      <charset val="134"/>
    </font>
    <font>
      <sz val="10"/>
      <color rgb="FF0000FF"/>
      <name val="Microsoft YaHei"/>
      <charset val="134"/>
    </font>
    <font>
      <b/>
      <sz val="11"/>
      <color rgb="FFFFFFFF"/>
      <name val="宋体"/>
      <charset val="134"/>
    </font>
    <font>
      <b/>
      <sz val="18"/>
      <color rgb="FFFFFFFF"/>
      <name val="Microsoft YaHei"/>
      <charset val="134"/>
    </font>
    <font>
      <sz val="10"/>
      <color rgb="FF404040"/>
      <name val="Microsoft YaHei"/>
      <charset val="134"/>
    </font>
    <font>
      <b/>
      <sz val="11"/>
      <color rgb="FFFFFFFF"/>
      <name val="Microsoft YaHei"/>
      <charset val="134"/>
    </font>
    <font>
      <sz val="9"/>
      <color rgb="FF000000"/>
      <name val="Microsoft YaHei"/>
      <charset val="134"/>
    </font>
    <font>
      <b/>
      <sz val="9"/>
      <name val="Microsoft YaHei"/>
      <charset val="134"/>
    </font>
    <font>
      <sz val="9"/>
      <color rgb="FF0000FF"/>
      <name val="Microsoft YaHei"/>
      <charset val="134"/>
    </font>
    <font>
      <b/>
      <sz val="13"/>
      <color rgb="FF1F4E78"/>
      <name val="Microsoft YaHei"/>
      <charset val="134"/>
    </font>
    <font>
      <sz val="10"/>
      <name val="Microsoft YaHei"/>
      <charset val="134"/>
    </font>
    <font>
      <sz val="9"/>
      <color rgb="FF666666"/>
      <name val="Microsoft YaHei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243E5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8" borderId="2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3">
      <alignment vertical="center"/>
    </xf>
    <xf numFmtId="0" fontId="20" fillId="0" borderId="3">
      <alignment vertical="center"/>
    </xf>
    <xf numFmtId="0" fontId="21" fillId="0" borderId="4">
      <alignment vertical="center"/>
    </xf>
    <xf numFmtId="0" fontId="21" fillId="0" borderId="0">
      <alignment vertical="center"/>
    </xf>
    <xf numFmtId="0" fontId="22" fillId="9" borderId="5">
      <alignment vertical="center"/>
    </xf>
    <xf numFmtId="0" fontId="23" fillId="10" borderId="6">
      <alignment vertical="center"/>
    </xf>
    <xf numFmtId="0" fontId="24" fillId="10" borderId="5">
      <alignment vertical="center"/>
    </xf>
    <xf numFmtId="0" fontId="4" fillId="11" borderId="7">
      <alignment vertical="center"/>
    </xf>
    <xf numFmtId="0" fontId="25" fillId="0" borderId="8">
      <alignment vertical="center"/>
    </xf>
    <xf numFmtId="0" fontId="26" fillId="0" borderId="9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30" fillId="34" borderId="0">
      <alignment vertical="center"/>
    </xf>
    <xf numFmtId="0" fontId="30" fillId="35" borderId="0">
      <alignment vertical="center"/>
    </xf>
    <xf numFmtId="0" fontId="0" fillId="36" borderId="0">
      <alignment vertical="center"/>
    </xf>
    <xf numFmtId="0" fontId="0" fillId="37" borderId="0">
      <alignment vertical="center"/>
    </xf>
    <xf numFmtId="0" fontId="30" fillId="38" borderId="0">
      <alignment vertical="center"/>
    </xf>
  </cellStyleXfs>
  <cellXfs count="26">
    <xf numFmtId="0" fontId="0" fillId="0" borderId="0" xfId="0"/>
    <xf numFmtId="0" fontId="1" fillId="2" borderId="0" xfId="0" applyFont="1" applyFill="1" applyAlignment="1">
      <alignment wrapText="1"/>
    </xf>
    <xf numFmtId="1" fontId="2" fillId="0" borderId="0" xfId="0" applyNumberFormat="1" applyFont="1"/>
    <xf numFmtId="2" fontId="2" fillId="0" borderId="0" xfId="0" applyNumberFormat="1" applyFont="1"/>
    <xf numFmtId="176" fontId="2" fillId="0" borderId="0" xfId="0" applyNumberFormat="1" applyFont="1"/>
    <xf numFmtId="1" fontId="3" fillId="3" borderId="0" xfId="0" applyNumberFormat="1" applyFont="1" applyFill="1"/>
    <xf numFmtId="0" fontId="2" fillId="0" borderId="0" xfId="0" applyFont="1"/>
    <xf numFmtId="1" fontId="2" fillId="4" borderId="0" xfId="0" applyNumberFormat="1" applyFont="1" applyFill="1"/>
    <xf numFmtId="1" fontId="3" fillId="4" borderId="0" xfId="0" applyNumberFormat="1" applyFont="1" applyFill="1"/>
    <xf numFmtId="0" fontId="2" fillId="4" borderId="0" xfId="0" applyFont="1" applyFill="1"/>
    <xf numFmtId="0" fontId="0" fillId="0" borderId="0" xfId="0" applyAlignment="1">
      <alignment wrapText="1"/>
    </xf>
    <xf numFmtId="0" fontId="4" fillId="2" borderId="0" xfId="0" applyFont="1" applyFill="1" applyAlignment="1">
      <alignment wrapText="1"/>
    </xf>
    <xf numFmtId="177" fontId="0" fillId="0" borderId="0" xfId="0" applyNumberFormat="1"/>
    <xf numFmtId="0" fontId="5" fillId="5" borderId="0" xfId="0" applyFont="1" applyFill="1" applyAlignment="1">
      <alignment vertical="center"/>
    </xf>
    <xf numFmtId="0" fontId="6" fillId="6" borderId="0" xfId="0" applyFont="1" applyFill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178" fontId="10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2" fontId="10" fillId="3" borderId="1" xfId="0" applyNumberFormat="1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H26"/>
  <sheetViews>
    <sheetView showGridLines="0" tabSelected="1" workbookViewId="0">
      <selection activeCell="A1" sqref="A1:H1"/>
    </sheetView>
  </sheetViews>
  <sheetFormatPr defaultColWidth="9" defaultRowHeight="13.5" outlineLevelCol="7"/>
  <cols>
    <col min="1" max="1" width="4" customWidth="1"/>
    <col min="2" max="8" width="18" customWidth="1"/>
  </cols>
  <sheetData>
    <row r="1" ht="30" customHeight="1" spans="1:2">
      <c r="A1" s="13" t="s">
        <v>0</v>
      </c>
    </row>
    <row r="2" ht="32" customHeight="1" spans="1:2">
      <c r="A2" s="14" t="s">
        <v>1</v>
      </c>
    </row>
    <row r="4" ht="19.5" customHeight="1" spans="1:2">
      <c r="B4" s="23" t="s">
        <v>2</v>
      </c>
    </row>
    <row r="6" ht="28" customHeight="1" spans="1:2">
      <c r="B6" s="24" t="s">
        <v>3</v>
      </c>
    </row>
    <row r="7" ht="28" customHeight="1" spans="1:2">
      <c r="B7" s="24" t="s">
        <v>4</v>
      </c>
    </row>
    <row r="8" ht="28" customHeight="1" spans="1:2">
      <c r="B8" s="24" t="s">
        <v>5</v>
      </c>
    </row>
    <row r="9" ht="28" customHeight="1" spans="1:2">
      <c r="B9" s="24" t="s">
        <v>6</v>
      </c>
    </row>
    <row r="10" ht="28" customHeight="1" spans="1:2">
      <c r="B10" s="24" t="s">
        <v>7</v>
      </c>
    </row>
    <row r="13" ht="19.5" customHeight="1" spans="1:2">
      <c r="B13" s="23" t="s">
        <v>8</v>
      </c>
    </row>
    <row r="15" ht="24" customHeight="1" spans="1:2">
      <c r="B15" s="24" t="s">
        <v>9</v>
      </c>
    </row>
    <row r="16" ht="24" customHeight="1" spans="1:2">
      <c r="B16" s="24" t="s">
        <v>10</v>
      </c>
    </row>
    <row r="17" ht="24" customHeight="1" spans="2:2">
      <c r="B17" s="24" t="s">
        <v>11</v>
      </c>
    </row>
    <row r="18" ht="24" customHeight="1" spans="2:2">
      <c r="B18" s="24" t="s">
        <v>12</v>
      </c>
    </row>
    <row r="21" ht="19.5" customHeight="1" spans="2:2">
      <c r="B21" s="23" t="s">
        <v>13</v>
      </c>
    </row>
    <row r="23" ht="24" customHeight="1" spans="2:2">
      <c r="B23" s="25" t="s">
        <v>14</v>
      </c>
    </row>
    <row r="24" ht="24" customHeight="1" spans="2:2">
      <c r="B24" s="25" t="s">
        <v>15</v>
      </c>
    </row>
    <row r="25" ht="24" customHeight="1" spans="2:2">
      <c r="B25" s="25" t="s">
        <v>16</v>
      </c>
    </row>
    <row r="26" ht="24" customHeight="1" spans="2:2">
      <c r="B26" s="25" t="s">
        <v>17</v>
      </c>
    </row>
  </sheetData>
  <mergeCells count="18">
    <mergeCell ref="A1:H1"/>
    <mergeCell ref="A2:H2"/>
    <mergeCell ref="B4:H4"/>
    <mergeCell ref="B6:H6"/>
    <mergeCell ref="B7:H7"/>
    <mergeCell ref="B8:H8"/>
    <mergeCell ref="B9:H9"/>
    <mergeCell ref="B10:H10"/>
    <mergeCell ref="B13:H13"/>
    <mergeCell ref="B15:H15"/>
    <mergeCell ref="B16:H16"/>
    <mergeCell ref="B17:H17"/>
    <mergeCell ref="B18:H18"/>
    <mergeCell ref="B21:H21"/>
    <mergeCell ref="B23:H23"/>
    <mergeCell ref="B24:H24"/>
    <mergeCell ref="B25:H25"/>
    <mergeCell ref="B26:H2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4B183"/>
  </sheetPr>
  <dimension ref="A1:F13"/>
  <sheetViews>
    <sheetView showGridLines="0" workbookViewId="0">
      <selection activeCell="A1" sqref="A1:F1"/>
    </sheetView>
  </sheetViews>
  <sheetFormatPr defaultColWidth="9" defaultRowHeight="13.5" outlineLevelCol="5"/>
  <cols>
    <col min="1" max="1" width="18" customWidth="1"/>
    <col min="2" max="4" width="14" customWidth="1"/>
    <col min="5" max="5" width="28" customWidth="1"/>
    <col min="6" max="6" width="64" customWidth="1"/>
  </cols>
  <sheetData>
    <row r="1" ht="30" customHeight="1" spans="1:6">
      <c r="A1" s="13" t="s">
        <v>18</v>
      </c>
    </row>
    <row r="2" ht="32" customHeight="1" spans="1:6">
      <c r="A2" s="14" t="s">
        <v>19</v>
      </c>
    </row>
    <row r="4" ht="38" customHeight="1" spans="1:6">
      <c r="A4" s="15" t="s">
        <v>20</v>
      </c>
      <c r="B4" s="15" t="s">
        <v>21</v>
      </c>
      <c r="C4" s="15" t="s">
        <v>22</v>
      </c>
      <c r="D4" s="15" t="s">
        <v>23</v>
      </c>
      <c r="E4" s="15" t="s">
        <v>24</v>
      </c>
      <c r="F4" s="15" t="s">
        <v>25</v>
      </c>
    </row>
    <row r="5" ht="14.25" customHeight="1" spans="1:6">
      <c r="A5" s="16" t="s">
        <v>26</v>
      </c>
      <c r="B5" s="22">
        <v>1.5</v>
      </c>
      <c r="C5" s="22">
        <v>1</v>
      </c>
      <c r="D5" s="22">
        <v>1.5</v>
      </c>
      <c r="E5" s="16" t="s">
        <v>27</v>
      </c>
      <c r="F5" s="16" t="s">
        <v>28</v>
      </c>
    </row>
    <row r="6" ht="14.25" customHeight="1" spans="1:6">
      <c r="A6" s="16" t="s">
        <v>29</v>
      </c>
      <c r="B6" s="22">
        <v>1</v>
      </c>
      <c r="C6" s="22">
        <v>1.2</v>
      </c>
      <c r="D6" s="22">
        <v>1</v>
      </c>
      <c r="E6" s="16" t="s">
        <v>30</v>
      </c>
      <c r="F6" s="16" t="s">
        <v>28</v>
      </c>
    </row>
    <row r="7" ht="14.25" customHeight="1" spans="1:6">
      <c r="A7" s="16" t="s">
        <v>31</v>
      </c>
      <c r="B7" s="22">
        <v>1.25</v>
      </c>
      <c r="C7" s="22">
        <v>1</v>
      </c>
      <c r="D7" s="22">
        <v>1.25</v>
      </c>
      <c r="E7" s="16" t="s">
        <v>32</v>
      </c>
      <c r="F7" s="16" t="s">
        <v>28</v>
      </c>
    </row>
    <row r="9" ht="38" customHeight="1" spans="1:6">
      <c r="A9" s="15" t="s">
        <v>33</v>
      </c>
      <c r="B9" s="15" t="s">
        <v>21</v>
      </c>
      <c r="C9" s="15" t="s">
        <v>22</v>
      </c>
      <c r="D9" s="15" t="s">
        <v>23</v>
      </c>
      <c r="E9" s="15" t="s">
        <v>34</v>
      </c>
      <c r="F9" s="15" t="s">
        <v>25</v>
      </c>
    </row>
    <row r="10" ht="14.25" customHeight="1" spans="1:6">
      <c r="A10" s="16" t="s">
        <v>35</v>
      </c>
      <c r="B10" s="22">
        <v>4</v>
      </c>
      <c r="C10" s="22">
        <v>1.2</v>
      </c>
      <c r="D10" s="22">
        <v>1</v>
      </c>
      <c r="E10" s="16">
        <v>200101</v>
      </c>
      <c r="F10" s="16" t="s">
        <v>36</v>
      </c>
    </row>
    <row r="12" ht="38" customHeight="1" spans="1:6">
      <c r="A12" s="15" t="s">
        <v>37</v>
      </c>
      <c r="B12" s="15" t="s">
        <v>38</v>
      </c>
      <c r="C12" s="15" t="s">
        <v>39</v>
      </c>
      <c r="D12" s="15" t="s">
        <v>40</v>
      </c>
      <c r="E12" s="15" t="s">
        <v>24</v>
      </c>
      <c r="F12" s="15"/>
    </row>
    <row r="13" ht="14.25" customHeight="1" spans="1:6">
      <c r="A13" s="16" t="s">
        <v>41</v>
      </c>
      <c r="B13" s="22">
        <v>1</v>
      </c>
      <c r="C13" s="22">
        <v>1</v>
      </c>
      <c r="D13" s="22">
        <v>1</v>
      </c>
      <c r="E13" s="16" t="s">
        <v>42</v>
      </c>
      <c r="F13" s="16"/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D966"/>
  </sheetPr>
  <dimension ref="A1:P204"/>
  <sheetViews>
    <sheetView showGridLines="0" workbookViewId="0">
      <selection activeCell="A1" sqref="A1:P1"/>
    </sheetView>
  </sheetViews>
  <sheetFormatPr defaultColWidth="9" defaultRowHeight="13.5"/>
  <cols>
    <col min="1" max="1" width="12" customWidth="1"/>
    <col min="2" max="2" width="8" customWidth="1"/>
    <col min="3" max="3" width="10" customWidth="1"/>
    <col min="4" max="4" width="12" customWidth="1"/>
    <col min="5" max="7" width="11" customWidth="1"/>
    <col min="8" max="11" width="16" customWidth="1"/>
    <col min="12" max="12" width="44" customWidth="1"/>
    <col min="13" max="13" width="14" customWidth="1"/>
    <col min="14" max="15" width="12" customWidth="1"/>
    <col min="16" max="16" width="46" customWidth="1"/>
  </cols>
  <sheetData>
    <row r="1" ht="30" customHeight="1" spans="1:16">
      <c r="A1" s="13" t="s">
        <v>43</v>
      </c>
    </row>
    <row r="2" ht="32" customHeight="1" spans="1:16">
      <c r="A2" s="14" t="s">
        <v>44</v>
      </c>
    </row>
    <row r="4" ht="38" customHeight="1" spans="1:16">
      <c r="A4" s="15" t="s">
        <v>45</v>
      </c>
      <c r="B4" s="15" t="s">
        <v>46</v>
      </c>
      <c r="C4" s="15" t="s">
        <v>47</v>
      </c>
      <c r="D4" s="15" t="s">
        <v>48</v>
      </c>
      <c r="E4" s="15" t="s">
        <v>49</v>
      </c>
      <c r="F4" s="15" t="s">
        <v>50</v>
      </c>
      <c r="G4" s="15" t="s">
        <v>51</v>
      </c>
      <c r="H4" s="15" t="s">
        <v>52</v>
      </c>
      <c r="I4" s="15" t="s">
        <v>53</v>
      </c>
      <c r="J4" s="15" t="s">
        <v>54</v>
      </c>
      <c r="K4" s="15" t="s">
        <v>55</v>
      </c>
      <c r="L4" s="15" t="s">
        <v>56</v>
      </c>
      <c r="M4" s="15" t="s">
        <v>57</v>
      </c>
      <c r="N4" s="15" t="s">
        <v>58</v>
      </c>
      <c r="O4" s="15" t="s">
        <v>59</v>
      </c>
      <c r="P4" s="15" t="s">
        <v>60</v>
      </c>
    </row>
    <row r="5" ht="14.25" customHeight="1" spans="1:16">
      <c r="A5" s="16" t="s">
        <v>61</v>
      </c>
      <c r="B5" s="16">
        <v>1</v>
      </c>
      <c r="C5" s="16">
        <v>1</v>
      </c>
      <c r="D5" s="19">
        <f>ROUND(难度节点!$C$2+($B5-难度节点!$A$2)*(难度节点!$C$3-难度节点!$C$2)/(难度节点!$A$3-难度节点!$A$2),0)</f>
        <v>15</v>
      </c>
      <c r="E5" s="20">
        <v>1.0411518791012</v>
      </c>
      <c r="F5" s="20">
        <v>0.878799464729497</v>
      </c>
      <c r="G5" s="20">
        <v>1</v>
      </c>
      <c r="H5" s="21">
        <v>300001</v>
      </c>
      <c r="I5" s="21"/>
      <c r="J5" s="21"/>
      <c r="K5" s="21"/>
      <c r="L5" s="21" t="s">
        <v>62</v>
      </c>
      <c r="M5" s="16">
        <f>COUNTIF(TeamHero生成!$J$5:$J$504,$C5)</f>
        <v>5</v>
      </c>
      <c r="N5" s="16" t="str">
        <f t="shared" ref="N5:N68" si="0">IF(AND(ISNUMBER($D5),$D5&gt;=1,$D5&lt;=500,MOD($D5,1)=0),"有效","无效")</f>
        <v>有效</v>
      </c>
      <c r="O5" s="16" t="s">
        <v>63</v>
      </c>
      <c r="P5" s="16" t="s">
        <v>64</v>
      </c>
    </row>
    <row r="6" ht="14.25" customHeight="1" spans="1:16">
      <c r="A6" s="16" t="s">
        <v>61</v>
      </c>
      <c r="B6" s="16">
        <v>2</v>
      </c>
      <c r="C6" s="16">
        <v>2</v>
      </c>
      <c r="D6" s="19">
        <f>ROUND(难度节点!$C$2+($B6-难度节点!$A$2)*(难度节点!$C$3-难度节点!$C$2)/(难度节点!$A$3-难度节点!$A$2),0)</f>
        <v>18</v>
      </c>
      <c r="E6" s="20">
        <v>1.06638891711125</v>
      </c>
      <c r="F6" s="20">
        <v>0.881697307575066</v>
      </c>
      <c r="G6" s="20">
        <v>1</v>
      </c>
      <c r="H6" s="21">
        <v>300002</v>
      </c>
      <c r="I6" s="21"/>
      <c r="J6" s="21"/>
      <c r="K6" s="21"/>
      <c r="L6" s="21" t="s">
        <v>65</v>
      </c>
      <c r="M6" s="16">
        <f>COUNTIF(TeamHero生成!$J$5:$J$504,$C6)</f>
        <v>5</v>
      </c>
      <c r="N6" s="16" t="str">
        <f t="shared" si="0"/>
        <v>有效</v>
      </c>
      <c r="O6" s="16" t="str">
        <f t="shared" ref="O6:O69" si="1">IF($D6&lt;$D5,"下降","")</f>
        <v/>
      </c>
      <c r="P6" s="16" t="s">
        <v>64</v>
      </c>
    </row>
    <row r="7" ht="14.25" customHeight="1" spans="1:16">
      <c r="A7" s="16" t="s">
        <v>61</v>
      </c>
      <c r="B7" s="16">
        <v>3</v>
      </c>
      <c r="C7" s="16">
        <v>3</v>
      </c>
      <c r="D7" s="19">
        <f>ROUND(难度节点!$C$2+($B7-难度节点!$A$2)*(难度节点!$C$3-难度节点!$C$2)/(难度节点!$A$3-难度节点!$A$2),0)</f>
        <v>22</v>
      </c>
      <c r="E7" s="20">
        <v>1.05982724415721</v>
      </c>
      <c r="F7" s="20">
        <v>0.865250034404842</v>
      </c>
      <c r="G7" s="20">
        <v>1</v>
      </c>
      <c r="H7" s="21">
        <v>300003</v>
      </c>
      <c r="I7" s="21"/>
      <c r="J7" s="21"/>
      <c r="K7" s="21"/>
      <c r="L7" s="21" t="s">
        <v>66</v>
      </c>
      <c r="M7" s="16">
        <f>COUNTIF(TeamHero生成!$J$5:$J$504,$C7)</f>
        <v>5</v>
      </c>
      <c r="N7" s="16" t="str">
        <f t="shared" si="0"/>
        <v>有效</v>
      </c>
      <c r="O7" s="16" t="str">
        <f t="shared" si="1"/>
        <v/>
      </c>
      <c r="P7" s="16" t="s">
        <v>64</v>
      </c>
    </row>
    <row r="8" ht="14.25" customHeight="1" spans="1:16">
      <c r="A8" s="16" t="s">
        <v>61</v>
      </c>
      <c r="B8" s="16">
        <v>4</v>
      </c>
      <c r="C8" s="16">
        <v>4</v>
      </c>
      <c r="D8" s="19">
        <f>ROUND(难度节点!$C$2+($B8-难度节点!$A$2)*(难度节点!$C$3-难度节点!$C$2)/(难度节点!$A$3-难度节点!$A$2),0)</f>
        <v>25</v>
      </c>
      <c r="E8" s="20">
        <v>1.09014995868719</v>
      </c>
      <c r="F8" s="20">
        <v>0.86749593133069</v>
      </c>
      <c r="G8" s="20">
        <v>1</v>
      </c>
      <c r="H8" s="21">
        <v>300004</v>
      </c>
      <c r="I8" s="21"/>
      <c r="J8" s="21"/>
      <c r="K8" s="21"/>
      <c r="L8" s="21" t="s">
        <v>67</v>
      </c>
      <c r="M8" s="16">
        <f>COUNTIF(TeamHero生成!$J$5:$J$504,$C8)</f>
        <v>5</v>
      </c>
      <c r="N8" s="16" t="str">
        <f t="shared" si="0"/>
        <v>有效</v>
      </c>
      <c r="O8" s="16" t="str">
        <f t="shared" si="1"/>
        <v/>
      </c>
      <c r="P8" s="16" t="s">
        <v>64</v>
      </c>
    </row>
    <row r="9" ht="14.25" customHeight="1" spans="1:16">
      <c r="A9" s="16" t="s">
        <v>61</v>
      </c>
      <c r="B9" s="16">
        <v>5</v>
      </c>
      <c r="C9" s="16">
        <v>5</v>
      </c>
      <c r="D9" s="19">
        <f>ROUND(难度节点!$C$2+($B9-难度节点!$A$2)*(难度节点!$C$3-难度节点!$C$2)/(难度节点!$A$3-难度节点!$A$2),0)</f>
        <v>28</v>
      </c>
      <c r="E9" s="20">
        <v>1.07151884075861</v>
      </c>
      <c r="F9" s="20">
        <v>0.847413576127544</v>
      </c>
      <c r="G9" s="20">
        <v>1</v>
      </c>
      <c r="H9" s="21">
        <v>300005</v>
      </c>
      <c r="I9" s="21"/>
      <c r="J9" s="21"/>
      <c r="K9" s="21"/>
      <c r="L9" s="21" t="s">
        <v>68</v>
      </c>
      <c r="M9" s="16">
        <f>COUNTIF(TeamHero生成!$J$5:$J$504,$C9)</f>
        <v>5</v>
      </c>
      <c r="N9" s="16" t="str">
        <f t="shared" si="0"/>
        <v>有效</v>
      </c>
      <c r="O9" s="16" t="str">
        <f t="shared" si="1"/>
        <v/>
      </c>
      <c r="P9" s="16" t="s">
        <v>64</v>
      </c>
    </row>
    <row r="10" ht="14.25" customHeight="1" spans="1:16">
      <c r="A10" s="16" t="s">
        <v>61</v>
      </c>
      <c r="B10" s="16">
        <v>6</v>
      </c>
      <c r="C10" s="16">
        <v>6</v>
      </c>
      <c r="D10" s="19">
        <f>ROUND(难度节点!$C$2+($B10-难度节点!$A$2)*(难度节点!$C$3-难度节点!$C$2)/(难度节点!$A$3-难度节点!$A$2),0)</f>
        <v>32</v>
      </c>
      <c r="E10" s="20">
        <v>1.09281017575294</v>
      </c>
      <c r="F10" s="20">
        <v>0.835587298989708</v>
      </c>
      <c r="G10" s="20">
        <v>1</v>
      </c>
      <c r="H10" s="21">
        <v>300006</v>
      </c>
      <c r="I10" s="21"/>
      <c r="J10" s="21"/>
      <c r="K10" s="21"/>
      <c r="L10" s="21" t="s">
        <v>69</v>
      </c>
      <c r="M10" s="16">
        <f>COUNTIF(TeamHero生成!$J$5:$J$504,$C10)</f>
        <v>5</v>
      </c>
      <c r="N10" s="16" t="str">
        <f t="shared" si="0"/>
        <v>有效</v>
      </c>
      <c r="O10" s="16" t="str">
        <f t="shared" si="1"/>
        <v/>
      </c>
      <c r="P10" s="16" t="s">
        <v>64</v>
      </c>
    </row>
    <row r="11" ht="14.25" customHeight="1" spans="1:16">
      <c r="A11" s="16" t="s">
        <v>61</v>
      </c>
      <c r="B11" s="16">
        <v>7</v>
      </c>
      <c r="C11" s="16">
        <v>7</v>
      </c>
      <c r="D11" s="19">
        <f>ROUND(难度节点!$C$2+($B11-难度节点!$A$2)*(难度节点!$C$3-难度节点!$C$2)/(难度节点!$A$3-难度节点!$A$2),0)</f>
        <v>35</v>
      </c>
      <c r="E11" s="20">
        <v>1.10367102588911</v>
      </c>
      <c r="F11" s="20">
        <v>0.821989230732882</v>
      </c>
      <c r="G11" s="20">
        <v>1</v>
      </c>
      <c r="H11" s="21">
        <v>300007</v>
      </c>
      <c r="I11" s="21"/>
      <c r="J11" s="21"/>
      <c r="K11" s="21"/>
      <c r="L11" s="21" t="s">
        <v>70</v>
      </c>
      <c r="M11" s="16">
        <f>COUNTIF(TeamHero生成!$J$5:$J$504,$C11)</f>
        <v>5</v>
      </c>
      <c r="N11" s="16" t="str">
        <f t="shared" si="0"/>
        <v>有效</v>
      </c>
      <c r="O11" s="16" t="str">
        <f t="shared" si="1"/>
        <v/>
      </c>
      <c r="P11" s="16" t="s">
        <v>64</v>
      </c>
    </row>
    <row r="12" ht="14.25" customHeight="1" spans="1:16">
      <c r="A12" s="16" t="s">
        <v>61</v>
      </c>
      <c r="B12" s="16">
        <v>8</v>
      </c>
      <c r="C12" s="16">
        <v>8</v>
      </c>
      <c r="D12" s="19">
        <f>ROUND(难度节点!$C$2+($B12-难度节点!$A$2)*(难度节点!$C$3-难度节点!$C$2)/(难度节点!$A$3-难度节点!$A$2),0)</f>
        <v>38</v>
      </c>
      <c r="E12" s="20">
        <v>1.08637314746255</v>
      </c>
      <c r="F12" s="20">
        <v>0.793670586729554</v>
      </c>
      <c r="G12" s="20">
        <v>1</v>
      </c>
      <c r="H12" s="21">
        <v>300008</v>
      </c>
      <c r="I12" s="21"/>
      <c r="J12" s="21"/>
      <c r="K12" s="21"/>
      <c r="L12" s="21" t="s">
        <v>71</v>
      </c>
      <c r="M12" s="16">
        <f>COUNTIF(TeamHero生成!$J$5:$J$504,$C12)</f>
        <v>5</v>
      </c>
      <c r="N12" s="16" t="str">
        <f t="shared" si="0"/>
        <v>有效</v>
      </c>
      <c r="O12" s="16" t="str">
        <f t="shared" si="1"/>
        <v/>
      </c>
      <c r="P12" s="16" t="s">
        <v>64</v>
      </c>
    </row>
    <row r="13" ht="14.25" customHeight="1" spans="1:16">
      <c r="A13" s="16" t="s">
        <v>61</v>
      </c>
      <c r="B13" s="16">
        <v>9</v>
      </c>
      <c r="C13" s="16">
        <v>9</v>
      </c>
      <c r="D13" s="19">
        <f>ROUND(难度节点!$C$2+($B13-难度节点!$A$2)*(难度节点!$C$3-难度节点!$C$2)/(难度节点!$A$3-难度节点!$A$2),0)</f>
        <v>42</v>
      </c>
      <c r="E13" s="20">
        <v>1.10754711497976</v>
      </c>
      <c r="F13" s="20">
        <v>0.787948377143275</v>
      </c>
      <c r="G13" s="20">
        <v>1</v>
      </c>
      <c r="H13" s="21">
        <v>300009</v>
      </c>
      <c r="I13" s="21"/>
      <c r="J13" s="21"/>
      <c r="K13" s="21"/>
      <c r="L13" s="21" t="s">
        <v>72</v>
      </c>
      <c r="M13" s="16">
        <f>COUNTIF(TeamHero生成!$J$5:$J$504,$C13)</f>
        <v>5</v>
      </c>
      <c r="N13" s="16" t="str">
        <f t="shared" si="0"/>
        <v>有效</v>
      </c>
      <c r="O13" s="16" t="str">
        <f t="shared" si="1"/>
        <v/>
      </c>
      <c r="P13" s="16" t="s">
        <v>64</v>
      </c>
    </row>
    <row r="14" ht="14.25" customHeight="1" spans="1:16">
      <c r="A14" s="16" t="s">
        <v>61</v>
      </c>
      <c r="B14" s="16">
        <v>10</v>
      </c>
      <c r="C14" s="16">
        <v>10</v>
      </c>
      <c r="D14" s="19">
        <f>ROUND(难度节点!$C$2+($B14-难度节点!$A$2)*(难度节点!$C$3-难度节点!$C$2)/(难度节点!$A$3-难度节点!$A$2),0)</f>
        <v>45</v>
      </c>
      <c r="E14" s="20">
        <v>1.13192683584798</v>
      </c>
      <c r="F14" s="20">
        <v>0.785011875798147</v>
      </c>
      <c r="G14" s="20">
        <v>1</v>
      </c>
      <c r="H14" s="21">
        <v>300011</v>
      </c>
      <c r="I14" s="21"/>
      <c r="J14" s="21"/>
      <c r="K14" s="21"/>
      <c r="L14" s="21" t="s">
        <v>73</v>
      </c>
      <c r="M14" s="16">
        <f>COUNTIF(TeamHero生成!$J$5:$J$504,$C14)</f>
        <v>5</v>
      </c>
      <c r="N14" s="16" t="str">
        <f t="shared" si="0"/>
        <v>有效</v>
      </c>
      <c r="O14" s="16" t="str">
        <f t="shared" si="1"/>
        <v/>
      </c>
      <c r="P14" s="16" t="s">
        <v>64</v>
      </c>
    </row>
    <row r="15" ht="14.25" customHeight="1" spans="1:16">
      <c r="A15" s="16" t="s">
        <v>61</v>
      </c>
      <c r="B15" s="16">
        <v>11</v>
      </c>
      <c r="C15" s="16">
        <v>11</v>
      </c>
      <c r="D15" s="19">
        <f>ROUND(难度节点!$C$3+($B15-难度节点!$A$3)*(难度节点!$C$4-难度节点!$C$3)/(难度节点!$A$4-难度节点!$A$3),0)</f>
        <v>49</v>
      </c>
      <c r="E15" s="20">
        <v>1.13026956740706</v>
      </c>
      <c r="F15" s="20">
        <v>0.773622223301039</v>
      </c>
      <c r="G15" s="20">
        <v>1</v>
      </c>
      <c r="H15" s="21">
        <v>300012</v>
      </c>
      <c r="I15" s="21"/>
      <c r="J15" s="21"/>
      <c r="K15" s="21"/>
      <c r="L15" s="21" t="s">
        <v>74</v>
      </c>
      <c r="M15" s="16">
        <f>COUNTIF(TeamHero生成!$J$5:$J$504,$C15)</f>
        <v>5</v>
      </c>
      <c r="N15" s="16" t="str">
        <f t="shared" si="0"/>
        <v>有效</v>
      </c>
      <c r="O15" s="16" t="str">
        <f t="shared" si="1"/>
        <v/>
      </c>
      <c r="P15" s="16" t="s">
        <v>64</v>
      </c>
    </row>
    <row r="16" ht="14.25" customHeight="1" spans="1:16">
      <c r="A16" s="16" t="s">
        <v>61</v>
      </c>
      <c r="B16" s="16">
        <v>12</v>
      </c>
      <c r="C16" s="16">
        <v>12</v>
      </c>
      <c r="D16" s="19">
        <f>ROUND(难度节点!$C$3+($B16-难度节点!$A$3)*(难度节点!$C$4-难度节点!$C$3)/(难度节点!$A$4-难度节点!$A$3),0)</f>
        <v>52</v>
      </c>
      <c r="E16" s="20">
        <v>1.13196374709648</v>
      </c>
      <c r="F16" s="20">
        <v>0.761718454731972</v>
      </c>
      <c r="G16" s="20">
        <v>1</v>
      </c>
      <c r="H16" s="21">
        <v>300013</v>
      </c>
      <c r="I16" s="21"/>
      <c r="J16" s="21"/>
      <c r="K16" s="21"/>
      <c r="L16" s="21" t="s">
        <v>75</v>
      </c>
      <c r="M16" s="16">
        <f>COUNTIF(TeamHero生成!$J$5:$J$504,$C16)</f>
        <v>5</v>
      </c>
      <c r="N16" s="16" t="str">
        <f t="shared" si="0"/>
        <v>有效</v>
      </c>
      <c r="O16" s="16" t="str">
        <f t="shared" si="1"/>
        <v/>
      </c>
      <c r="P16" s="16" t="s">
        <v>64</v>
      </c>
    </row>
    <row r="17" ht="14.25" customHeight="1" spans="1:16">
      <c r="A17" s="16" t="s">
        <v>61</v>
      </c>
      <c r="B17" s="16">
        <v>13</v>
      </c>
      <c r="C17" s="16">
        <v>13</v>
      </c>
      <c r="D17" s="19">
        <f>ROUND(难度节点!$C$3+($B17-难度节点!$A$3)*(难度节点!$C$4-难度节点!$C$3)/(难度节点!$A$4-难度节点!$A$3),0)</f>
        <v>56</v>
      </c>
      <c r="E17" s="20">
        <v>1.12378784957974</v>
      </c>
      <c r="F17" s="20">
        <v>0.751671001397309</v>
      </c>
      <c r="G17" s="20">
        <v>1</v>
      </c>
      <c r="H17" s="21">
        <v>300014</v>
      </c>
      <c r="I17" s="21"/>
      <c r="J17" s="21"/>
      <c r="K17" s="21"/>
      <c r="L17" s="21" t="s">
        <v>76</v>
      </c>
      <c r="M17" s="16">
        <f>COUNTIF(TeamHero生成!$J$5:$J$504,$C17)</f>
        <v>5</v>
      </c>
      <c r="N17" s="16" t="str">
        <f t="shared" si="0"/>
        <v>有效</v>
      </c>
      <c r="O17" s="16" t="str">
        <f t="shared" si="1"/>
        <v/>
      </c>
      <c r="P17" s="16" t="s">
        <v>64</v>
      </c>
    </row>
    <row r="18" ht="14.25" customHeight="1" spans="1:16">
      <c r="A18" s="16" t="s">
        <v>61</v>
      </c>
      <c r="B18" s="16">
        <v>14</v>
      </c>
      <c r="C18" s="16">
        <v>14</v>
      </c>
      <c r="D18" s="19">
        <f>ROUND(难度节点!$C$3+($B18-难度节点!$A$3)*(难度节点!$C$4-难度节点!$C$3)/(难度节点!$A$4-难度节点!$A$3),0)</f>
        <v>59</v>
      </c>
      <c r="E18" s="20">
        <v>1.12010583074231</v>
      </c>
      <c r="F18" s="20">
        <v>0.738990752928763</v>
      </c>
      <c r="G18" s="20">
        <v>1</v>
      </c>
      <c r="H18" s="21">
        <v>300015</v>
      </c>
      <c r="I18" s="21"/>
      <c r="J18" s="21"/>
      <c r="K18" s="21"/>
      <c r="L18" s="21" t="s">
        <v>77</v>
      </c>
      <c r="M18" s="16">
        <f>COUNTIF(TeamHero生成!$J$5:$J$504,$C18)</f>
        <v>5</v>
      </c>
      <c r="N18" s="16" t="str">
        <f t="shared" si="0"/>
        <v>有效</v>
      </c>
      <c r="O18" s="16" t="str">
        <f t="shared" si="1"/>
        <v/>
      </c>
      <c r="P18" s="16" t="s">
        <v>64</v>
      </c>
    </row>
    <row r="19" ht="14.25" customHeight="1" spans="1:16">
      <c r="A19" s="16" t="s">
        <v>61</v>
      </c>
      <c r="B19" s="16">
        <v>15</v>
      </c>
      <c r="C19" s="16">
        <v>15</v>
      </c>
      <c r="D19" s="19">
        <f>ROUND(难度节点!$C$3+($B19-难度节点!$A$3)*(难度节点!$C$4-难度节点!$C$3)/(难度节点!$A$4-难度节点!$A$3),0)</f>
        <v>63</v>
      </c>
      <c r="E19" s="20">
        <v>1.13181912616307</v>
      </c>
      <c r="F19" s="20">
        <v>0.737244833037194</v>
      </c>
      <c r="G19" s="20">
        <v>1</v>
      </c>
      <c r="H19" s="21">
        <v>300016</v>
      </c>
      <c r="I19" s="21"/>
      <c r="J19" s="21"/>
      <c r="K19" s="21"/>
      <c r="L19" s="21" t="s">
        <v>78</v>
      </c>
      <c r="M19" s="16">
        <f>COUNTIF(TeamHero生成!$J$5:$J$504,$C19)</f>
        <v>5</v>
      </c>
      <c r="N19" s="16" t="str">
        <f t="shared" si="0"/>
        <v>有效</v>
      </c>
      <c r="O19" s="16" t="str">
        <f t="shared" si="1"/>
        <v/>
      </c>
      <c r="P19" s="16" t="s">
        <v>64</v>
      </c>
    </row>
    <row r="20" ht="14.25" customHeight="1" spans="1:16">
      <c r="A20" s="16" t="s">
        <v>61</v>
      </c>
      <c r="B20" s="16">
        <v>16</v>
      </c>
      <c r="C20" s="16">
        <v>16</v>
      </c>
      <c r="D20" s="19">
        <f>ROUND(难度节点!$C$3+($B20-难度节点!$A$3)*(难度节点!$C$4-难度节点!$C$3)/(难度节点!$A$4-难度节点!$A$3),0)</f>
        <v>66</v>
      </c>
      <c r="E20" s="20">
        <v>1.14581687396118</v>
      </c>
      <c r="F20" s="20">
        <v>0.734314126639064</v>
      </c>
      <c r="G20" s="20">
        <v>1</v>
      </c>
      <c r="H20" s="21">
        <v>300017</v>
      </c>
      <c r="I20" s="21"/>
      <c r="J20" s="21"/>
      <c r="K20" s="21"/>
      <c r="L20" s="21" t="s">
        <v>79</v>
      </c>
      <c r="M20" s="16">
        <f>COUNTIF(TeamHero生成!$J$5:$J$504,$C20)</f>
        <v>5</v>
      </c>
      <c r="N20" s="16" t="str">
        <f t="shared" si="0"/>
        <v>有效</v>
      </c>
      <c r="O20" s="16" t="str">
        <f t="shared" si="1"/>
        <v/>
      </c>
      <c r="P20" s="16" t="s">
        <v>64</v>
      </c>
    </row>
    <row r="21" ht="14.25" customHeight="1" spans="1:16">
      <c r="A21" s="16" t="s">
        <v>61</v>
      </c>
      <c r="B21" s="16">
        <v>17</v>
      </c>
      <c r="C21" s="16">
        <v>17</v>
      </c>
      <c r="D21" s="19">
        <f>ROUND(难度节点!$C$3+($B21-难度节点!$A$3)*(难度节点!$C$4-难度节点!$C$3)/(难度节点!$A$4-难度节点!$A$3),0)</f>
        <v>70</v>
      </c>
      <c r="E21" s="20">
        <v>1.13362833785909</v>
      </c>
      <c r="F21" s="20">
        <v>0.723026843108719</v>
      </c>
      <c r="G21" s="20">
        <v>1</v>
      </c>
      <c r="H21" s="21">
        <v>300018</v>
      </c>
      <c r="I21" s="21"/>
      <c r="J21" s="21"/>
      <c r="K21" s="21"/>
      <c r="L21" s="21" t="s">
        <v>80</v>
      </c>
      <c r="M21" s="16">
        <f>COUNTIF(TeamHero生成!$J$5:$J$504,$C21)</f>
        <v>5</v>
      </c>
      <c r="N21" s="16" t="str">
        <f t="shared" si="0"/>
        <v>有效</v>
      </c>
      <c r="O21" s="16" t="str">
        <f t="shared" si="1"/>
        <v/>
      </c>
      <c r="P21" s="16" t="s">
        <v>64</v>
      </c>
    </row>
    <row r="22" ht="14.25" customHeight="1" spans="1:16">
      <c r="A22" s="16" t="s">
        <v>61</v>
      </c>
      <c r="B22" s="16">
        <v>18</v>
      </c>
      <c r="C22" s="16">
        <v>18</v>
      </c>
      <c r="D22" s="19">
        <f>ROUND(难度节点!$C$3+($B22-难度节点!$A$3)*(难度节点!$C$4-难度节点!$C$3)/(难度节点!$A$4-难度节点!$A$3),0)</f>
        <v>73</v>
      </c>
      <c r="E22" s="20">
        <v>1.15036806139993</v>
      </c>
      <c r="F22" s="20">
        <v>0.724312412508434</v>
      </c>
      <c r="G22" s="20">
        <v>1</v>
      </c>
      <c r="H22" s="21">
        <v>300019</v>
      </c>
      <c r="I22" s="21"/>
      <c r="J22" s="21"/>
      <c r="K22" s="21"/>
      <c r="L22" s="21" t="s">
        <v>81</v>
      </c>
      <c r="M22" s="16">
        <f>COUNTIF(TeamHero生成!$J$5:$J$504,$C22)</f>
        <v>5</v>
      </c>
      <c r="N22" s="16" t="str">
        <f t="shared" si="0"/>
        <v>有效</v>
      </c>
      <c r="O22" s="16" t="str">
        <f t="shared" si="1"/>
        <v/>
      </c>
      <c r="P22" s="16" t="s">
        <v>64</v>
      </c>
    </row>
    <row r="23" ht="14.25" customHeight="1" spans="1:16">
      <c r="A23" s="16" t="s">
        <v>61</v>
      </c>
      <c r="B23" s="16">
        <v>19</v>
      </c>
      <c r="C23" s="16">
        <v>19</v>
      </c>
      <c r="D23" s="19">
        <f>ROUND(难度节点!$C$3+($B23-难度节点!$A$3)*(难度节点!$C$4-难度节点!$C$3)/(难度节点!$A$4-难度节点!$A$3),0)</f>
        <v>77</v>
      </c>
      <c r="E23" s="20">
        <v>1.13782153739877</v>
      </c>
      <c r="F23" s="20">
        <v>0.711203466451227</v>
      </c>
      <c r="G23" s="20">
        <v>1</v>
      </c>
      <c r="H23" s="21">
        <v>300020</v>
      </c>
      <c r="I23" s="21"/>
      <c r="J23" s="21"/>
      <c r="K23" s="21"/>
      <c r="L23" s="21" t="s">
        <v>82</v>
      </c>
      <c r="M23" s="16">
        <f>COUNTIF(TeamHero生成!$J$5:$J$504,$C23)</f>
        <v>5</v>
      </c>
      <c r="N23" s="16" t="str">
        <f t="shared" si="0"/>
        <v>有效</v>
      </c>
      <c r="O23" s="16" t="str">
        <f t="shared" si="1"/>
        <v/>
      </c>
      <c r="P23" s="16" t="s">
        <v>64</v>
      </c>
    </row>
    <row r="24" ht="14.25" customHeight="1" spans="1:16">
      <c r="A24" s="16" t="s">
        <v>61</v>
      </c>
      <c r="B24" s="16">
        <v>20</v>
      </c>
      <c r="C24" s="16">
        <v>20</v>
      </c>
      <c r="D24" s="19">
        <f>ROUND(难度节点!$C$3+($B24-难度节点!$A$3)*(难度节点!$C$4-难度节点!$C$3)/(难度节点!$A$4-难度节点!$A$3),0)</f>
        <v>80</v>
      </c>
      <c r="E24" s="20">
        <v>1.14019537889563</v>
      </c>
      <c r="F24" s="20">
        <v>0.709306542104563</v>
      </c>
      <c r="G24" s="20">
        <v>1</v>
      </c>
      <c r="H24" s="21">
        <v>300021</v>
      </c>
      <c r="I24" s="21"/>
      <c r="J24" s="21"/>
      <c r="K24" s="21"/>
      <c r="L24" s="21" t="s">
        <v>83</v>
      </c>
      <c r="M24" s="16">
        <f>COUNTIF(TeamHero生成!$J$5:$J$504,$C24)</f>
        <v>5</v>
      </c>
      <c r="N24" s="16" t="str">
        <f t="shared" si="0"/>
        <v>有效</v>
      </c>
      <c r="O24" s="16" t="str">
        <f t="shared" si="1"/>
        <v/>
      </c>
      <c r="P24" s="16" t="s">
        <v>64</v>
      </c>
    </row>
    <row r="25" ht="14.25" customHeight="1" spans="1:16">
      <c r="A25" s="16" t="s">
        <v>61</v>
      </c>
      <c r="B25" s="16">
        <v>21</v>
      </c>
      <c r="C25" s="16">
        <v>21</v>
      </c>
      <c r="D25" s="19">
        <f>ROUND(难度节点!$C$4+($B25-难度节点!$A$4)*(难度节点!$C$5-难度节点!$C$4)/(难度节点!$A$5-难度节点!$A$4),0)</f>
        <v>84</v>
      </c>
      <c r="E25" s="20">
        <v>1.15603728878297</v>
      </c>
      <c r="F25" s="20">
        <v>0.706296922729767</v>
      </c>
      <c r="G25" s="20">
        <v>1</v>
      </c>
      <c r="H25" s="21">
        <v>300022</v>
      </c>
      <c r="I25" s="21"/>
      <c r="J25" s="21"/>
      <c r="K25" s="21"/>
      <c r="L25" s="21" t="s">
        <v>84</v>
      </c>
      <c r="M25" s="16">
        <f>COUNTIF(TeamHero生成!$J$5:$J$504,$C25)</f>
        <v>5</v>
      </c>
      <c r="N25" s="16" t="str">
        <f t="shared" si="0"/>
        <v>有效</v>
      </c>
      <c r="O25" s="16" t="str">
        <f t="shared" si="1"/>
        <v/>
      </c>
      <c r="P25" s="16" t="s">
        <v>64</v>
      </c>
    </row>
    <row r="26" ht="14.25" customHeight="1" spans="1:16">
      <c r="A26" s="16" t="s">
        <v>61</v>
      </c>
      <c r="B26" s="16">
        <v>22</v>
      </c>
      <c r="C26" s="16">
        <v>22</v>
      </c>
      <c r="D26" s="19">
        <f>ROUND(难度节点!$C$4+($B26-难度节点!$A$4)*(难度节点!$C$5-难度节点!$C$4)/(难度节点!$A$5-难度节点!$A$4),0)</f>
        <v>88</v>
      </c>
      <c r="E26" s="20">
        <v>1.1643979107152</v>
      </c>
      <c r="F26" s="20">
        <v>0.704486371215438</v>
      </c>
      <c r="G26" s="20">
        <v>1</v>
      </c>
      <c r="H26" s="21">
        <v>300023</v>
      </c>
      <c r="I26" s="21"/>
      <c r="J26" s="21"/>
      <c r="K26" s="21"/>
      <c r="L26" s="21" t="s">
        <v>85</v>
      </c>
      <c r="M26" s="16">
        <f>COUNTIF(TeamHero生成!$J$5:$J$504,$C26)</f>
        <v>5</v>
      </c>
      <c r="N26" s="16" t="str">
        <f t="shared" si="0"/>
        <v>有效</v>
      </c>
      <c r="O26" s="16" t="str">
        <f t="shared" si="1"/>
        <v/>
      </c>
      <c r="P26" s="16" t="s">
        <v>64</v>
      </c>
    </row>
    <row r="27" ht="14.25" customHeight="1" spans="1:16">
      <c r="A27" s="16" t="s">
        <v>61</v>
      </c>
      <c r="B27" s="16">
        <v>23</v>
      </c>
      <c r="C27" s="16">
        <v>23</v>
      </c>
      <c r="D27" s="19">
        <f>ROUND(难度节点!$C$4+($B27-难度节点!$A$4)*(难度节点!$C$5-难度节点!$C$4)/(难度节点!$A$5-难度节点!$A$4),0)</f>
        <v>92</v>
      </c>
      <c r="E27" s="20">
        <v>1.14558616402226</v>
      </c>
      <c r="F27" s="20">
        <v>0.693272974166658</v>
      </c>
      <c r="G27" s="20">
        <v>1</v>
      </c>
      <c r="H27" s="21">
        <v>300024</v>
      </c>
      <c r="I27" s="21"/>
      <c r="J27" s="21"/>
      <c r="K27" s="21"/>
      <c r="L27" s="21" t="s">
        <v>86</v>
      </c>
      <c r="M27" s="16">
        <f>COUNTIF(TeamHero生成!$J$5:$J$504,$C27)</f>
        <v>5</v>
      </c>
      <c r="N27" s="16" t="str">
        <f t="shared" si="0"/>
        <v>有效</v>
      </c>
      <c r="O27" s="16" t="str">
        <f t="shared" si="1"/>
        <v/>
      </c>
      <c r="P27" s="16" t="s">
        <v>64</v>
      </c>
    </row>
    <row r="28" ht="14.25" customHeight="1" spans="1:16">
      <c r="A28" s="16" t="s">
        <v>61</v>
      </c>
      <c r="B28" s="16">
        <v>24</v>
      </c>
      <c r="C28" s="16">
        <v>24</v>
      </c>
      <c r="D28" s="19">
        <f>ROUND(难度节点!$C$4+($B28-难度节点!$A$4)*(难度节点!$C$5-难度节点!$C$4)/(难度节点!$A$5-难度节点!$A$4),0)</f>
        <v>96</v>
      </c>
      <c r="E28" s="20">
        <v>1.16272779973454</v>
      </c>
      <c r="F28" s="20">
        <v>0.692791463529269</v>
      </c>
      <c r="G28" s="20">
        <v>1</v>
      </c>
      <c r="H28" s="21">
        <v>300025</v>
      </c>
      <c r="I28" s="21"/>
      <c r="J28" s="21"/>
      <c r="K28" s="21"/>
      <c r="L28" s="21" t="s">
        <v>87</v>
      </c>
      <c r="M28" s="16">
        <f>COUNTIF(TeamHero生成!$J$5:$J$504,$C28)</f>
        <v>5</v>
      </c>
      <c r="N28" s="16" t="str">
        <f t="shared" si="0"/>
        <v>有效</v>
      </c>
      <c r="O28" s="16" t="str">
        <f t="shared" si="1"/>
        <v/>
      </c>
      <c r="P28" s="16" t="s">
        <v>64</v>
      </c>
    </row>
    <row r="29" ht="14.25" customHeight="1" spans="1:16">
      <c r="A29" s="16" t="s">
        <v>61</v>
      </c>
      <c r="B29" s="16">
        <v>25</v>
      </c>
      <c r="C29" s="16">
        <v>25</v>
      </c>
      <c r="D29" s="19">
        <f>ROUND(难度节点!$C$4+($B29-难度节点!$A$4)*(难度节点!$C$5-难度节点!$C$4)/(难度节点!$A$5-难度节点!$A$4),0)</f>
        <v>100</v>
      </c>
      <c r="E29" s="20">
        <v>1.14969429601044</v>
      </c>
      <c r="F29" s="20">
        <v>0.68423679516723</v>
      </c>
      <c r="G29" s="20">
        <v>1</v>
      </c>
      <c r="H29" s="21">
        <v>300026</v>
      </c>
      <c r="I29" s="21"/>
      <c r="J29" s="21"/>
      <c r="K29" s="21"/>
      <c r="L29" s="21" t="s">
        <v>88</v>
      </c>
      <c r="M29" s="16">
        <f>COUNTIF(TeamHero生成!$J$5:$J$504,$C29)</f>
        <v>5</v>
      </c>
      <c r="N29" s="16" t="str">
        <f t="shared" si="0"/>
        <v>有效</v>
      </c>
      <c r="O29" s="16" t="str">
        <f t="shared" si="1"/>
        <v/>
      </c>
      <c r="P29" s="16" t="s">
        <v>64</v>
      </c>
    </row>
    <row r="30" ht="14.25" customHeight="1" spans="1:16">
      <c r="A30" s="16" t="s">
        <v>61</v>
      </c>
      <c r="B30" s="16">
        <v>26</v>
      </c>
      <c r="C30" s="16">
        <v>26</v>
      </c>
      <c r="D30" s="19">
        <f>ROUND(难度节点!$C$4+($B30-难度节点!$A$4)*(难度节点!$C$5-难度节点!$C$4)/(难度节点!$A$5-难度节点!$A$4),0)</f>
        <v>104</v>
      </c>
      <c r="E30" s="20">
        <v>1.16724116660848</v>
      </c>
      <c r="F30" s="20">
        <v>0.689417739041316</v>
      </c>
      <c r="G30" s="20">
        <v>1</v>
      </c>
      <c r="H30" s="21">
        <v>300027</v>
      </c>
      <c r="I30" s="21"/>
      <c r="J30" s="21"/>
      <c r="K30" s="21"/>
      <c r="L30" s="21" t="s">
        <v>89</v>
      </c>
      <c r="M30" s="16">
        <f>COUNTIF(TeamHero生成!$J$5:$J$504,$C30)</f>
        <v>5</v>
      </c>
      <c r="N30" s="16" t="str">
        <f t="shared" si="0"/>
        <v>有效</v>
      </c>
      <c r="O30" s="16" t="str">
        <f t="shared" si="1"/>
        <v/>
      </c>
      <c r="P30" s="16" t="s">
        <v>64</v>
      </c>
    </row>
    <row r="31" ht="14.25" customHeight="1" spans="1:16">
      <c r="A31" s="16" t="s">
        <v>61</v>
      </c>
      <c r="B31" s="16">
        <v>27</v>
      </c>
      <c r="C31" s="16">
        <v>27</v>
      </c>
      <c r="D31" s="19">
        <f>ROUND(难度节点!$C$4+($B31-难度节点!$A$4)*(难度节点!$C$5-难度节点!$C$4)/(难度节点!$A$5-难度节点!$A$4),0)</f>
        <v>108</v>
      </c>
      <c r="E31" s="20">
        <v>1.16303148484125</v>
      </c>
      <c r="F31" s="20">
        <v>0.681464488943416</v>
      </c>
      <c r="G31" s="20">
        <v>1</v>
      </c>
      <c r="H31" s="21">
        <v>300028</v>
      </c>
      <c r="I31" s="21"/>
      <c r="J31" s="21"/>
      <c r="K31" s="21"/>
      <c r="L31" s="21" t="s">
        <v>90</v>
      </c>
      <c r="M31" s="16">
        <f>COUNTIF(TeamHero生成!$J$5:$J$504,$C31)</f>
        <v>5</v>
      </c>
      <c r="N31" s="16" t="str">
        <f t="shared" si="0"/>
        <v>有效</v>
      </c>
      <c r="O31" s="16" t="str">
        <f t="shared" si="1"/>
        <v/>
      </c>
      <c r="P31" s="16" t="s">
        <v>64</v>
      </c>
    </row>
    <row r="32" ht="14.25" customHeight="1" spans="1:16">
      <c r="A32" s="16" t="s">
        <v>61</v>
      </c>
      <c r="B32" s="16">
        <v>28</v>
      </c>
      <c r="C32" s="16">
        <v>28</v>
      </c>
      <c r="D32" s="19">
        <f>ROUND(难度节点!$C$4+($B32-难度节点!$A$4)*(难度节点!$C$5-难度节点!$C$4)/(难度节点!$A$5-难度节点!$A$4),0)</f>
        <v>112</v>
      </c>
      <c r="E32" s="20">
        <v>1.16640085694238</v>
      </c>
      <c r="F32" s="20">
        <v>0.680501860332393</v>
      </c>
      <c r="G32" s="20">
        <v>1</v>
      </c>
      <c r="H32" s="21">
        <v>300029</v>
      </c>
      <c r="I32" s="21"/>
      <c r="J32" s="21"/>
      <c r="K32" s="21"/>
      <c r="L32" s="21" t="s">
        <v>91</v>
      </c>
      <c r="M32" s="16">
        <f>COUNTIF(TeamHero生成!$J$5:$J$504,$C32)</f>
        <v>5</v>
      </c>
      <c r="N32" s="16" t="str">
        <f t="shared" si="0"/>
        <v>有效</v>
      </c>
      <c r="O32" s="16" t="str">
        <f t="shared" si="1"/>
        <v/>
      </c>
      <c r="P32" s="16" t="s">
        <v>64</v>
      </c>
    </row>
    <row r="33" ht="14.25" customHeight="1" spans="1:16">
      <c r="A33" s="16" t="s">
        <v>61</v>
      </c>
      <c r="B33" s="16">
        <v>29</v>
      </c>
      <c r="C33" s="16">
        <v>29</v>
      </c>
      <c r="D33" s="19">
        <f>ROUND(难度节点!$C$4+($B33-难度节点!$A$4)*(难度节点!$C$5-难度节点!$C$4)/(难度节点!$A$5-难度节点!$A$4),0)</f>
        <v>116</v>
      </c>
      <c r="E33" s="20">
        <v>1.16284078604177</v>
      </c>
      <c r="F33" s="20">
        <v>0.679448918464657</v>
      </c>
      <c r="G33" s="20">
        <v>1</v>
      </c>
      <c r="H33" s="21">
        <v>300030</v>
      </c>
      <c r="I33" s="21"/>
      <c r="J33" s="21"/>
      <c r="K33" s="21"/>
      <c r="L33" s="21" t="s">
        <v>92</v>
      </c>
      <c r="M33" s="16">
        <f>COUNTIF(TeamHero生成!$J$5:$J$504,$C33)</f>
        <v>5</v>
      </c>
      <c r="N33" s="16" t="str">
        <f t="shared" si="0"/>
        <v>有效</v>
      </c>
      <c r="O33" s="16" t="str">
        <f t="shared" si="1"/>
        <v/>
      </c>
      <c r="P33" s="16" t="s">
        <v>64</v>
      </c>
    </row>
    <row r="34" ht="14.25" customHeight="1" spans="1:16">
      <c r="A34" s="16" t="s">
        <v>61</v>
      </c>
      <c r="B34" s="16">
        <v>30</v>
      </c>
      <c r="C34" s="16">
        <v>30</v>
      </c>
      <c r="D34" s="19">
        <f>ROUND(难度节点!$C$4+($B34-难度节点!$A$4)*(难度节点!$C$5-难度节点!$C$4)/(难度节点!$A$5-难度节点!$A$4),0)</f>
        <v>120</v>
      </c>
      <c r="E34" s="20">
        <v>1.15790204370874</v>
      </c>
      <c r="F34" s="20">
        <v>0.675485081391402</v>
      </c>
      <c r="G34" s="20">
        <v>1</v>
      </c>
      <c r="H34" s="21">
        <v>300031</v>
      </c>
      <c r="I34" s="21"/>
      <c r="J34" s="21"/>
      <c r="K34" s="21"/>
      <c r="L34" s="21" t="s">
        <v>93</v>
      </c>
      <c r="M34" s="16">
        <f>COUNTIF(TeamHero生成!$J$5:$J$504,$C34)</f>
        <v>5</v>
      </c>
      <c r="N34" s="16" t="str">
        <f t="shared" si="0"/>
        <v>有效</v>
      </c>
      <c r="O34" s="16" t="str">
        <f t="shared" si="1"/>
        <v/>
      </c>
      <c r="P34" s="16" t="s">
        <v>64</v>
      </c>
    </row>
    <row r="35" ht="14.25" customHeight="1" spans="1:16">
      <c r="A35" s="16" t="s">
        <v>61</v>
      </c>
      <c r="B35" s="16">
        <v>31</v>
      </c>
      <c r="C35" s="16">
        <v>31</v>
      </c>
      <c r="D35" s="19">
        <f>ROUND(难度节点!$C$5+($B35-难度节点!$A$5)*(难度节点!$C$6-难度节点!$C$5)/(难度节点!$A$6-难度节点!$A$5),0)</f>
        <v>124</v>
      </c>
      <c r="E35" s="20">
        <v>1.16967741431087</v>
      </c>
      <c r="F35" s="20">
        <v>0.676370195756928</v>
      </c>
      <c r="G35" s="20">
        <v>1</v>
      </c>
      <c r="H35" s="21">
        <v>300032</v>
      </c>
      <c r="I35" s="21"/>
      <c r="J35" s="21"/>
      <c r="K35" s="21"/>
      <c r="L35" s="21" t="s">
        <v>94</v>
      </c>
      <c r="M35" s="16">
        <f>COUNTIF(TeamHero生成!$J$5:$J$504,$C35)</f>
        <v>5</v>
      </c>
      <c r="N35" s="16" t="str">
        <f t="shared" si="0"/>
        <v>有效</v>
      </c>
      <c r="O35" s="16" t="str">
        <f t="shared" si="1"/>
        <v/>
      </c>
      <c r="P35" s="16" t="s">
        <v>64</v>
      </c>
    </row>
    <row r="36" ht="14.25" customHeight="1" spans="1:16">
      <c r="A36" s="16" t="s">
        <v>61</v>
      </c>
      <c r="B36" s="16">
        <v>32</v>
      </c>
      <c r="C36" s="16">
        <v>32</v>
      </c>
      <c r="D36" s="19">
        <f>ROUND(难度节点!$C$5+($B36-难度节点!$A$5)*(难度节点!$C$6-难度节点!$C$5)/(难度节点!$A$6-难度节点!$A$5),0)</f>
        <v>128</v>
      </c>
      <c r="E36" s="20">
        <v>1.17397097419226</v>
      </c>
      <c r="F36" s="20">
        <v>0.675278998801872</v>
      </c>
      <c r="G36" s="20">
        <v>1</v>
      </c>
      <c r="H36" s="21">
        <v>300033</v>
      </c>
      <c r="I36" s="21"/>
      <c r="J36" s="21"/>
      <c r="K36" s="21"/>
      <c r="L36" s="21" t="s">
        <v>95</v>
      </c>
      <c r="M36" s="16">
        <f>COUNTIF(TeamHero生成!$J$5:$J$504,$C36)</f>
        <v>5</v>
      </c>
      <c r="N36" s="16" t="str">
        <f t="shared" si="0"/>
        <v>有效</v>
      </c>
      <c r="O36" s="16" t="str">
        <f t="shared" si="1"/>
        <v/>
      </c>
      <c r="P36" s="16" t="s">
        <v>64</v>
      </c>
    </row>
    <row r="37" ht="14.25" customHeight="1" spans="1:16">
      <c r="A37" s="16" t="s">
        <v>61</v>
      </c>
      <c r="B37" s="16">
        <v>33</v>
      </c>
      <c r="C37" s="16">
        <v>33</v>
      </c>
      <c r="D37" s="19">
        <f>ROUND(难度节点!$C$5+($B37-难度节点!$A$5)*(难度节点!$C$6-难度节点!$C$5)/(难度节点!$A$6-难度节点!$A$5),0)</f>
        <v>132</v>
      </c>
      <c r="E37" s="20">
        <v>1.16994480700504</v>
      </c>
      <c r="F37" s="20">
        <v>0.672863596505294</v>
      </c>
      <c r="G37" s="20">
        <v>1</v>
      </c>
      <c r="H37" s="21">
        <v>300034</v>
      </c>
      <c r="I37" s="21"/>
      <c r="J37" s="21"/>
      <c r="K37" s="21"/>
      <c r="L37" s="21" t="s">
        <v>96</v>
      </c>
      <c r="M37" s="16">
        <f>COUNTIF(TeamHero生成!$J$5:$J$504,$C37)</f>
        <v>5</v>
      </c>
      <c r="N37" s="16" t="str">
        <f t="shared" si="0"/>
        <v>有效</v>
      </c>
      <c r="O37" s="16" t="str">
        <f t="shared" si="1"/>
        <v/>
      </c>
      <c r="P37" s="16" t="s">
        <v>64</v>
      </c>
    </row>
    <row r="38" ht="14.25" customHeight="1" spans="1:16">
      <c r="A38" s="16" t="s">
        <v>61</v>
      </c>
      <c r="B38" s="16">
        <v>34</v>
      </c>
      <c r="C38" s="16">
        <v>34</v>
      </c>
      <c r="D38" s="19">
        <f>ROUND(难度节点!$C$5+($B38-难度节点!$A$5)*(难度节点!$C$6-难度节点!$C$5)/(难度节点!$A$6-难度节点!$A$5),0)</f>
        <v>136</v>
      </c>
      <c r="E38" s="20">
        <v>1.1761990096556</v>
      </c>
      <c r="F38" s="20">
        <v>0.673956999018393</v>
      </c>
      <c r="G38" s="20">
        <v>1</v>
      </c>
      <c r="H38" s="21">
        <v>300035</v>
      </c>
      <c r="I38" s="21"/>
      <c r="J38" s="21"/>
      <c r="K38" s="21"/>
      <c r="L38" s="21" t="s">
        <v>97</v>
      </c>
      <c r="M38" s="16">
        <f>COUNTIF(TeamHero生成!$J$5:$J$504,$C38)</f>
        <v>5</v>
      </c>
      <c r="N38" s="16" t="str">
        <f t="shared" si="0"/>
        <v>有效</v>
      </c>
      <c r="O38" s="16" t="str">
        <f t="shared" si="1"/>
        <v/>
      </c>
      <c r="P38" s="16" t="s">
        <v>64</v>
      </c>
    </row>
    <row r="39" ht="14.25" customHeight="1" spans="1:16">
      <c r="A39" s="16" t="s">
        <v>61</v>
      </c>
      <c r="B39" s="16">
        <v>35</v>
      </c>
      <c r="C39" s="16">
        <v>35</v>
      </c>
      <c r="D39" s="19">
        <f>ROUND(难度节点!$C$5+($B39-难度节点!$A$5)*(难度节点!$C$6-难度节点!$C$5)/(难度节点!$A$6-难度节点!$A$5),0)</f>
        <v>140</v>
      </c>
      <c r="E39" s="20">
        <v>1.16304350071123</v>
      </c>
      <c r="F39" s="20">
        <v>0.668010949572134</v>
      </c>
      <c r="G39" s="20">
        <v>1</v>
      </c>
      <c r="H39" s="21">
        <v>300036</v>
      </c>
      <c r="I39" s="21"/>
      <c r="J39" s="21"/>
      <c r="K39" s="21"/>
      <c r="L39" s="21" t="s">
        <v>98</v>
      </c>
      <c r="M39" s="16">
        <f>COUNTIF(TeamHero生成!$J$5:$J$504,$C39)</f>
        <v>5</v>
      </c>
      <c r="N39" s="16" t="str">
        <f t="shared" si="0"/>
        <v>有效</v>
      </c>
      <c r="O39" s="16" t="str">
        <f t="shared" si="1"/>
        <v/>
      </c>
      <c r="P39" s="16" t="s">
        <v>64</v>
      </c>
    </row>
    <row r="40" ht="14.25" customHeight="1" spans="1:16">
      <c r="A40" s="16" t="s">
        <v>61</v>
      </c>
      <c r="B40" s="16">
        <v>36</v>
      </c>
      <c r="C40" s="16">
        <v>36</v>
      </c>
      <c r="D40" s="19">
        <f>ROUND(难度节点!$C$5+($B40-难度节点!$A$5)*(难度节点!$C$6-难度节点!$C$5)/(难度节点!$A$6-难度节点!$A$5),0)</f>
        <v>144</v>
      </c>
      <c r="E40" s="20">
        <v>1.17542560624017</v>
      </c>
      <c r="F40" s="20">
        <v>0.671359586349877</v>
      </c>
      <c r="G40" s="20">
        <v>1</v>
      </c>
      <c r="H40" s="21">
        <v>300037</v>
      </c>
      <c r="I40" s="21"/>
      <c r="J40" s="21"/>
      <c r="K40" s="21"/>
      <c r="L40" s="21" t="s">
        <v>99</v>
      </c>
      <c r="M40" s="16">
        <f>COUNTIF(TeamHero生成!$J$5:$J$504,$C40)</f>
        <v>5</v>
      </c>
      <c r="N40" s="16" t="str">
        <f t="shared" si="0"/>
        <v>有效</v>
      </c>
      <c r="O40" s="16" t="str">
        <f t="shared" si="1"/>
        <v/>
      </c>
      <c r="P40" s="16" t="s">
        <v>64</v>
      </c>
    </row>
    <row r="41" ht="14.25" customHeight="1" spans="1:16">
      <c r="A41" s="16" t="s">
        <v>61</v>
      </c>
      <c r="B41" s="16">
        <v>37</v>
      </c>
      <c r="C41" s="16">
        <v>37</v>
      </c>
      <c r="D41" s="19">
        <f>ROUND(难度节点!$C$5+($B41-难度节点!$A$5)*(难度节点!$C$6-难度节点!$C$5)/(难度节点!$A$6-难度节点!$A$5),0)</f>
        <v>148</v>
      </c>
      <c r="E41" s="20">
        <v>1.17237889170564</v>
      </c>
      <c r="F41" s="20">
        <v>0.667931756315419</v>
      </c>
      <c r="G41" s="20">
        <v>1</v>
      </c>
      <c r="H41" s="21">
        <v>300038</v>
      </c>
      <c r="I41" s="21"/>
      <c r="J41" s="21"/>
      <c r="K41" s="21"/>
      <c r="L41" s="21" t="s">
        <v>100</v>
      </c>
      <c r="M41" s="16">
        <f>COUNTIF(TeamHero生成!$J$5:$J$504,$C41)</f>
        <v>5</v>
      </c>
      <c r="N41" s="16" t="str">
        <f t="shared" si="0"/>
        <v>有效</v>
      </c>
      <c r="O41" s="16" t="str">
        <f t="shared" si="1"/>
        <v/>
      </c>
      <c r="P41" s="16" t="s">
        <v>64</v>
      </c>
    </row>
    <row r="42" ht="14.25" customHeight="1" spans="1:16">
      <c r="A42" s="16" t="s">
        <v>61</v>
      </c>
      <c r="B42" s="16">
        <v>38</v>
      </c>
      <c r="C42" s="16">
        <v>38</v>
      </c>
      <c r="D42" s="19">
        <f>ROUND(难度节点!$C$5+($B42-难度节点!$A$5)*(难度节点!$C$6-难度节点!$C$5)/(难度节点!$A$6-难度节点!$A$5),0)</f>
        <v>152</v>
      </c>
      <c r="E42" s="20">
        <v>1.16805227807085</v>
      </c>
      <c r="F42" s="20">
        <v>0.669062845144116</v>
      </c>
      <c r="G42" s="20">
        <v>1</v>
      </c>
      <c r="H42" s="21">
        <v>300039</v>
      </c>
      <c r="I42" s="21"/>
      <c r="J42" s="21"/>
      <c r="K42" s="21"/>
      <c r="L42" s="21" t="s">
        <v>101</v>
      </c>
      <c r="M42" s="16">
        <f>COUNTIF(TeamHero生成!$J$5:$J$504,$C42)</f>
        <v>5</v>
      </c>
      <c r="N42" s="16" t="str">
        <f t="shared" si="0"/>
        <v>有效</v>
      </c>
      <c r="O42" s="16" t="str">
        <f t="shared" si="1"/>
        <v/>
      </c>
      <c r="P42" s="16" t="s">
        <v>64</v>
      </c>
    </row>
    <row r="43" ht="14.25" customHeight="1" spans="1:16">
      <c r="A43" s="16" t="s">
        <v>61</v>
      </c>
      <c r="B43" s="16">
        <v>39</v>
      </c>
      <c r="C43" s="16">
        <v>39</v>
      </c>
      <c r="D43" s="19">
        <f>ROUND(难度节点!$C$5+($B43-难度节点!$A$5)*(难度节点!$C$6-难度节点!$C$5)/(难度节点!$A$6-难度节点!$A$5),0)</f>
        <v>156</v>
      </c>
      <c r="E43" s="20">
        <v>1.17586973931056</v>
      </c>
      <c r="F43" s="20">
        <v>0.671014300557864</v>
      </c>
      <c r="G43" s="20">
        <v>1</v>
      </c>
      <c r="H43" s="21">
        <v>300040</v>
      </c>
      <c r="I43" s="21"/>
      <c r="J43" s="21"/>
      <c r="K43" s="21"/>
      <c r="L43" s="21" t="s">
        <v>102</v>
      </c>
      <c r="M43" s="16">
        <f>COUNTIF(TeamHero生成!$J$5:$J$504,$C43)</f>
        <v>5</v>
      </c>
      <c r="N43" s="16" t="str">
        <f t="shared" si="0"/>
        <v>有效</v>
      </c>
      <c r="O43" s="16" t="str">
        <f t="shared" si="1"/>
        <v/>
      </c>
      <c r="P43" s="16" t="s">
        <v>64</v>
      </c>
    </row>
    <row r="44" ht="14.25" customHeight="1" spans="1:16">
      <c r="A44" s="16" t="s">
        <v>61</v>
      </c>
      <c r="B44" s="16">
        <v>40</v>
      </c>
      <c r="C44" s="16">
        <v>40</v>
      </c>
      <c r="D44" s="19">
        <f>ROUND(难度节点!$C$5+($B44-难度节点!$A$5)*(难度节点!$C$6-难度节点!$C$5)/(难度节点!$A$6-难度节点!$A$5),0)</f>
        <v>160</v>
      </c>
      <c r="E44" s="20">
        <v>1.16347845028068</v>
      </c>
      <c r="F44" s="20">
        <v>0.666707854003219</v>
      </c>
      <c r="G44" s="20">
        <v>1</v>
      </c>
      <c r="H44" s="21">
        <v>300041</v>
      </c>
      <c r="I44" s="21"/>
      <c r="J44" s="21"/>
      <c r="K44" s="21"/>
      <c r="L44" s="21" t="s">
        <v>103</v>
      </c>
      <c r="M44" s="16">
        <f>COUNTIF(TeamHero生成!$J$5:$J$504,$C44)</f>
        <v>5</v>
      </c>
      <c r="N44" s="16" t="str">
        <f t="shared" si="0"/>
        <v>有效</v>
      </c>
      <c r="O44" s="16" t="str">
        <f t="shared" si="1"/>
        <v/>
      </c>
      <c r="P44" s="16" t="s">
        <v>64</v>
      </c>
    </row>
    <row r="45" ht="14.25" customHeight="1" spans="1:16">
      <c r="A45" s="16" t="s">
        <v>61</v>
      </c>
      <c r="B45" s="16">
        <v>41</v>
      </c>
      <c r="C45" s="16">
        <v>41</v>
      </c>
      <c r="D45" s="19">
        <f>ROUND(难度节点!$C$6+($B45-难度节点!$A$6)*(难度节点!$C$7-难度节点!$C$6)/(难度节点!$A$7-难度节点!$A$6),0)</f>
        <v>164</v>
      </c>
      <c r="E45" s="20">
        <v>1.1668186396599</v>
      </c>
      <c r="F45" s="20">
        <v>0.668610159368872</v>
      </c>
      <c r="G45" s="20">
        <v>1</v>
      </c>
      <c r="H45" s="21">
        <v>300042</v>
      </c>
      <c r="I45" s="21"/>
      <c r="J45" s="21"/>
      <c r="K45" s="21"/>
      <c r="L45" s="21" t="s">
        <v>104</v>
      </c>
      <c r="M45" s="16">
        <f>COUNTIF(TeamHero生成!$J$5:$J$504,$C45)</f>
        <v>5</v>
      </c>
      <c r="N45" s="16" t="str">
        <f t="shared" si="0"/>
        <v>有效</v>
      </c>
      <c r="O45" s="16" t="str">
        <f t="shared" si="1"/>
        <v/>
      </c>
      <c r="P45" s="16" t="s">
        <v>64</v>
      </c>
    </row>
    <row r="46" ht="14.25" customHeight="1" spans="1:16">
      <c r="A46" s="16" t="s">
        <v>61</v>
      </c>
      <c r="B46" s="16">
        <v>42</v>
      </c>
      <c r="C46" s="16">
        <v>42</v>
      </c>
      <c r="D46" s="19">
        <f>ROUND(难度节点!$C$6+($B46-难度节点!$A$6)*(难度节点!$C$7-难度节点!$C$6)/(难度节点!$A$7-难度节点!$A$6),0)</f>
        <v>167</v>
      </c>
      <c r="E46" s="20">
        <v>1.1626296034588</v>
      </c>
      <c r="F46" s="20">
        <v>0.668485213188333</v>
      </c>
      <c r="G46" s="20">
        <v>1</v>
      </c>
      <c r="H46" s="21">
        <v>300043</v>
      </c>
      <c r="I46" s="21"/>
      <c r="J46" s="21"/>
      <c r="K46" s="21"/>
      <c r="L46" s="21" t="s">
        <v>105</v>
      </c>
      <c r="M46" s="16">
        <f>COUNTIF(TeamHero生成!$J$5:$J$504,$C46)</f>
        <v>5</v>
      </c>
      <c r="N46" s="16" t="str">
        <f t="shared" si="0"/>
        <v>有效</v>
      </c>
      <c r="O46" s="16" t="str">
        <f t="shared" si="1"/>
        <v/>
      </c>
      <c r="P46" s="16" t="s">
        <v>64</v>
      </c>
    </row>
    <row r="47" ht="14.25" customHeight="1" spans="1:16">
      <c r="A47" s="16" t="s">
        <v>61</v>
      </c>
      <c r="B47" s="16">
        <v>43</v>
      </c>
      <c r="C47" s="16">
        <v>43</v>
      </c>
      <c r="D47" s="19">
        <f>ROUND(难度节点!$C$6+($B47-难度节点!$A$6)*(难度节点!$C$7-难度节点!$C$6)/(难度节点!$A$7-难度节点!$A$6),0)</f>
        <v>171</v>
      </c>
      <c r="E47" s="20">
        <v>1.15701985376253</v>
      </c>
      <c r="F47" s="20">
        <v>0.666077166265881</v>
      </c>
      <c r="G47" s="20">
        <v>1</v>
      </c>
      <c r="H47" s="21">
        <v>300044</v>
      </c>
      <c r="I47" s="21"/>
      <c r="J47" s="21"/>
      <c r="K47" s="21"/>
      <c r="L47" s="21" t="s">
        <v>106</v>
      </c>
      <c r="M47" s="16">
        <f>COUNTIF(TeamHero生成!$J$5:$J$504,$C47)</f>
        <v>5</v>
      </c>
      <c r="N47" s="16" t="str">
        <f t="shared" si="0"/>
        <v>有效</v>
      </c>
      <c r="O47" s="16" t="str">
        <f t="shared" si="1"/>
        <v/>
      </c>
      <c r="P47" s="16" t="s">
        <v>64</v>
      </c>
    </row>
    <row r="48" ht="14.25" customHeight="1" spans="1:16">
      <c r="A48" s="16" t="s">
        <v>61</v>
      </c>
      <c r="B48" s="16">
        <v>44</v>
      </c>
      <c r="C48" s="16">
        <v>44</v>
      </c>
      <c r="D48" s="19">
        <f>ROUND(难度节点!$C$6+($B48-难度节点!$A$6)*(难度节点!$C$7-难度节点!$C$6)/(难度节点!$A$7-难度节点!$A$6),0)</f>
        <v>174</v>
      </c>
      <c r="E48" s="20">
        <v>1.16687871974651</v>
      </c>
      <c r="F48" s="20">
        <v>0.67038170805797</v>
      </c>
      <c r="G48" s="20">
        <v>1</v>
      </c>
      <c r="H48" s="21">
        <v>300045</v>
      </c>
      <c r="I48" s="21"/>
      <c r="J48" s="21"/>
      <c r="K48" s="21"/>
      <c r="L48" s="21" t="s">
        <v>107</v>
      </c>
      <c r="M48" s="16">
        <f>COUNTIF(TeamHero生成!$J$5:$J$504,$C48)</f>
        <v>5</v>
      </c>
      <c r="N48" s="16" t="str">
        <f t="shared" si="0"/>
        <v>有效</v>
      </c>
      <c r="O48" s="16" t="str">
        <f t="shared" si="1"/>
        <v/>
      </c>
      <c r="P48" s="16" t="s">
        <v>64</v>
      </c>
    </row>
    <row r="49" ht="14.25" customHeight="1" spans="1:16">
      <c r="A49" s="16" t="s">
        <v>61</v>
      </c>
      <c r="B49" s="16">
        <v>45</v>
      </c>
      <c r="C49" s="16">
        <v>45</v>
      </c>
      <c r="D49" s="19">
        <f>ROUND(难度节点!$C$6+($B49-难度节点!$A$6)*(难度节点!$C$7-难度节点!$C$6)/(难度节点!$A$7-难度节点!$A$6),0)</f>
        <v>178</v>
      </c>
      <c r="E49" s="20">
        <v>1.15735739795593</v>
      </c>
      <c r="F49" s="20">
        <v>0.669688309096367</v>
      </c>
      <c r="G49" s="20">
        <v>1</v>
      </c>
      <c r="H49" s="21">
        <v>300046</v>
      </c>
      <c r="I49" s="21"/>
      <c r="J49" s="21"/>
      <c r="K49" s="21"/>
      <c r="L49" s="21" t="s">
        <v>108</v>
      </c>
      <c r="M49" s="16">
        <f>COUNTIF(TeamHero生成!$J$5:$J$504,$C49)</f>
        <v>5</v>
      </c>
      <c r="N49" s="16" t="str">
        <f t="shared" si="0"/>
        <v>有效</v>
      </c>
      <c r="O49" s="16" t="str">
        <f t="shared" si="1"/>
        <v/>
      </c>
      <c r="P49" s="16" t="s">
        <v>64</v>
      </c>
    </row>
    <row r="50" ht="14.25" customHeight="1" spans="1:16">
      <c r="A50" s="16" t="s">
        <v>61</v>
      </c>
      <c r="B50" s="16">
        <v>46</v>
      </c>
      <c r="C50" s="16">
        <v>46</v>
      </c>
      <c r="D50" s="19">
        <f>ROUND(难度节点!$C$6+($B50-难度节点!$A$6)*(难度节点!$C$7-难度节点!$C$6)/(难度节点!$A$7-难度节点!$A$6),0)</f>
        <v>182</v>
      </c>
      <c r="E50" s="20">
        <v>1.15902261534038</v>
      </c>
      <c r="F50" s="20">
        <v>0.670428662462566</v>
      </c>
      <c r="G50" s="20">
        <v>1</v>
      </c>
      <c r="H50" s="21">
        <v>300047</v>
      </c>
      <c r="I50" s="21"/>
      <c r="J50" s="21"/>
      <c r="K50" s="21"/>
      <c r="L50" s="21" t="s">
        <v>109</v>
      </c>
      <c r="M50" s="16">
        <f>COUNTIF(TeamHero生成!$J$5:$J$504,$C50)</f>
        <v>5</v>
      </c>
      <c r="N50" s="16" t="str">
        <f t="shared" si="0"/>
        <v>有效</v>
      </c>
      <c r="O50" s="16" t="str">
        <f t="shared" si="1"/>
        <v/>
      </c>
      <c r="P50" s="16" t="s">
        <v>64</v>
      </c>
    </row>
    <row r="51" ht="14.25" customHeight="1" spans="1:16">
      <c r="A51" s="16" t="s">
        <v>61</v>
      </c>
      <c r="B51" s="16">
        <v>47</v>
      </c>
      <c r="C51" s="16">
        <v>47</v>
      </c>
      <c r="D51" s="19">
        <f>ROUND(难度节点!$C$6+($B51-难度节点!$A$6)*(难度节点!$C$7-难度节点!$C$6)/(难度节点!$A$7-难度节点!$A$6),0)</f>
        <v>185</v>
      </c>
      <c r="E51" s="20">
        <v>1.15723303110238</v>
      </c>
      <c r="F51" s="20">
        <v>0.672811477945234</v>
      </c>
      <c r="G51" s="20">
        <v>1</v>
      </c>
      <c r="H51" s="21">
        <v>300048</v>
      </c>
      <c r="I51" s="21"/>
      <c r="J51" s="21"/>
      <c r="K51" s="21"/>
      <c r="L51" s="21" t="s">
        <v>110</v>
      </c>
      <c r="M51" s="16">
        <f>COUNTIF(TeamHero生成!$J$5:$J$504,$C51)</f>
        <v>5</v>
      </c>
      <c r="N51" s="16" t="str">
        <f t="shared" si="0"/>
        <v>有效</v>
      </c>
      <c r="O51" s="16" t="str">
        <f t="shared" si="1"/>
        <v/>
      </c>
      <c r="P51" s="16" t="s">
        <v>64</v>
      </c>
    </row>
    <row r="52" ht="14.25" customHeight="1" spans="1:16">
      <c r="A52" s="16" t="s">
        <v>61</v>
      </c>
      <c r="B52" s="16">
        <v>48</v>
      </c>
      <c r="C52" s="16">
        <v>48</v>
      </c>
      <c r="D52" s="19">
        <f>ROUND(难度节点!$C$6+($B52-难度节点!$A$6)*(难度节点!$C$7-难度节点!$C$6)/(难度节点!$A$7-难度节点!$A$6),0)</f>
        <v>189</v>
      </c>
      <c r="E52" s="20">
        <v>1.15628599730198</v>
      </c>
      <c r="F52" s="20">
        <v>0.672487082221314</v>
      </c>
      <c r="G52" s="20">
        <v>1</v>
      </c>
      <c r="H52" s="21">
        <v>300049</v>
      </c>
      <c r="I52" s="21"/>
      <c r="J52" s="21"/>
      <c r="K52" s="21"/>
      <c r="L52" s="21" t="s">
        <v>111</v>
      </c>
      <c r="M52" s="16">
        <f>COUNTIF(TeamHero生成!$J$5:$J$504,$C52)</f>
        <v>5</v>
      </c>
      <c r="N52" s="16" t="str">
        <f t="shared" si="0"/>
        <v>有效</v>
      </c>
      <c r="O52" s="16" t="str">
        <f t="shared" si="1"/>
        <v/>
      </c>
      <c r="P52" s="16" t="s">
        <v>64</v>
      </c>
    </row>
    <row r="53" ht="14.25" customHeight="1" spans="1:16">
      <c r="A53" s="16" t="s">
        <v>61</v>
      </c>
      <c r="B53" s="16">
        <v>49</v>
      </c>
      <c r="C53" s="16">
        <v>49</v>
      </c>
      <c r="D53" s="19">
        <f>ROUND(难度节点!$C$6+($B53-难度节点!$A$6)*(难度节点!$C$7-难度节点!$C$6)/(难度节点!$A$7-难度节点!$A$6),0)</f>
        <v>192</v>
      </c>
      <c r="E53" s="20">
        <v>1.1558279872176</v>
      </c>
      <c r="F53" s="20">
        <v>0.671805468942296</v>
      </c>
      <c r="G53" s="20">
        <v>1</v>
      </c>
      <c r="H53" s="21">
        <v>300050</v>
      </c>
      <c r="I53" s="21"/>
      <c r="J53" s="21"/>
      <c r="K53" s="21"/>
      <c r="L53" s="21" t="s">
        <v>112</v>
      </c>
      <c r="M53" s="16">
        <f>COUNTIF(TeamHero生成!$J$5:$J$504,$C53)</f>
        <v>5</v>
      </c>
      <c r="N53" s="16" t="str">
        <f t="shared" si="0"/>
        <v>有效</v>
      </c>
      <c r="O53" s="16" t="str">
        <f t="shared" si="1"/>
        <v/>
      </c>
      <c r="P53" s="16" t="s">
        <v>64</v>
      </c>
    </row>
    <row r="54" ht="14.25" customHeight="1" spans="1:16">
      <c r="A54" s="16" t="s">
        <v>61</v>
      </c>
      <c r="B54" s="16">
        <v>50</v>
      </c>
      <c r="C54" s="16">
        <v>50</v>
      </c>
      <c r="D54" s="19">
        <f>ROUND(难度节点!$C$6+($B54-难度节点!$A$6)*(难度节点!$C$7-难度节点!$C$6)/(难度节点!$A$7-难度节点!$A$6),0)</f>
        <v>196</v>
      </c>
      <c r="E54" s="20">
        <v>1.16486059105706</v>
      </c>
      <c r="F54" s="20">
        <v>0.677862042556071</v>
      </c>
      <c r="G54" s="20">
        <v>1</v>
      </c>
      <c r="H54" s="21">
        <v>300051</v>
      </c>
      <c r="I54" s="21"/>
      <c r="J54" s="21"/>
      <c r="K54" s="21"/>
      <c r="L54" s="21" t="s">
        <v>113</v>
      </c>
      <c r="M54" s="16">
        <f>COUNTIF(TeamHero生成!$J$5:$J$504,$C54)</f>
        <v>5</v>
      </c>
      <c r="N54" s="16" t="str">
        <f t="shared" si="0"/>
        <v>有效</v>
      </c>
      <c r="O54" s="16" t="str">
        <f t="shared" si="1"/>
        <v/>
      </c>
      <c r="P54" s="16" t="s">
        <v>64</v>
      </c>
    </row>
    <row r="55" ht="14.25" customHeight="1" spans="1:16">
      <c r="A55" s="16" t="s">
        <v>61</v>
      </c>
      <c r="B55" s="16">
        <v>51</v>
      </c>
      <c r="C55" s="16">
        <v>51</v>
      </c>
      <c r="D55" s="19">
        <f>ROUND(难度节点!$C$7+($B55-难度节点!$A$7)*(难度节点!$C$8-难度节点!$C$7)/(难度节点!$A$8-难度节点!$A$7),0)</f>
        <v>198</v>
      </c>
      <c r="E55" s="20">
        <v>1.16221696952162</v>
      </c>
      <c r="F55" s="20">
        <v>0.679422160763523</v>
      </c>
      <c r="G55" s="20">
        <v>1</v>
      </c>
      <c r="H55" s="21">
        <v>300052</v>
      </c>
      <c r="I55" s="21"/>
      <c r="J55" s="21"/>
      <c r="K55" s="21"/>
      <c r="L55" s="21" t="s">
        <v>114</v>
      </c>
      <c r="M55" s="16">
        <f>COUNTIF(TeamHero生成!$J$5:$J$504,$C55)</f>
        <v>5</v>
      </c>
      <c r="N55" s="16" t="str">
        <f t="shared" si="0"/>
        <v>有效</v>
      </c>
      <c r="O55" s="16" t="str">
        <f t="shared" si="1"/>
        <v/>
      </c>
      <c r="P55" s="16" t="s">
        <v>64</v>
      </c>
    </row>
    <row r="56" ht="14.25" customHeight="1" spans="1:16">
      <c r="A56" s="16" t="s">
        <v>61</v>
      </c>
      <c r="B56" s="16">
        <v>52</v>
      </c>
      <c r="C56" s="16">
        <v>52</v>
      </c>
      <c r="D56" s="19">
        <f>ROUND(难度节点!$C$7+($B56-难度节点!$A$7)*(难度节点!$C$8-难度节点!$C$7)/(难度节点!$A$8-难度节点!$A$7),0)</f>
        <v>201</v>
      </c>
      <c r="E56" s="20">
        <v>1.15514989318123</v>
      </c>
      <c r="F56" s="20">
        <v>0.678032893523875</v>
      </c>
      <c r="G56" s="20">
        <v>1</v>
      </c>
      <c r="H56" s="21">
        <v>300053</v>
      </c>
      <c r="I56" s="21"/>
      <c r="J56" s="21"/>
      <c r="K56" s="21"/>
      <c r="L56" s="21" t="s">
        <v>115</v>
      </c>
      <c r="M56" s="16">
        <f>COUNTIF(TeamHero生成!$J$5:$J$504,$C56)</f>
        <v>5</v>
      </c>
      <c r="N56" s="16" t="str">
        <f t="shared" si="0"/>
        <v>有效</v>
      </c>
      <c r="O56" s="16" t="str">
        <f t="shared" si="1"/>
        <v/>
      </c>
      <c r="P56" s="16" t="s">
        <v>64</v>
      </c>
    </row>
    <row r="57" ht="14.25" customHeight="1" spans="1:16">
      <c r="A57" s="16" t="s">
        <v>61</v>
      </c>
      <c r="B57" s="16">
        <v>53</v>
      </c>
      <c r="C57" s="16">
        <v>53</v>
      </c>
      <c r="D57" s="19">
        <f>ROUND(难度节点!$C$7+($B57-难度节点!$A$7)*(难度节点!$C$8-难度节点!$C$7)/(难度节点!$A$8-难度节点!$A$7),0)</f>
        <v>203</v>
      </c>
      <c r="E57" s="20">
        <v>1.15736206117284</v>
      </c>
      <c r="F57" s="20">
        <v>0.680269080212309</v>
      </c>
      <c r="G57" s="20">
        <v>1</v>
      </c>
      <c r="H57" s="21">
        <v>300054</v>
      </c>
      <c r="I57" s="21"/>
      <c r="J57" s="21"/>
      <c r="K57" s="21"/>
      <c r="L57" s="21" t="s">
        <v>116</v>
      </c>
      <c r="M57" s="16">
        <f>COUNTIF(TeamHero生成!$J$5:$J$504,$C57)</f>
        <v>5</v>
      </c>
      <c r="N57" s="16" t="str">
        <f t="shared" si="0"/>
        <v>有效</v>
      </c>
      <c r="O57" s="16" t="str">
        <f t="shared" si="1"/>
        <v/>
      </c>
      <c r="P57" s="16" t="s">
        <v>64</v>
      </c>
    </row>
    <row r="58" ht="14.25" customHeight="1" spans="1:16">
      <c r="A58" s="16" t="s">
        <v>61</v>
      </c>
      <c r="B58" s="16">
        <v>54</v>
      </c>
      <c r="C58" s="16">
        <v>54</v>
      </c>
      <c r="D58" s="19">
        <f>ROUND(难度节点!$C$7+($B58-难度节点!$A$7)*(难度节点!$C$8-难度节点!$C$7)/(难度节点!$A$8-难度节点!$A$7),0)</f>
        <v>205</v>
      </c>
      <c r="E58" s="20">
        <v>1.15736163280393</v>
      </c>
      <c r="F58" s="20">
        <v>0.681130891349837</v>
      </c>
      <c r="G58" s="20">
        <v>1</v>
      </c>
      <c r="H58" s="21">
        <v>300055</v>
      </c>
      <c r="I58" s="21"/>
      <c r="J58" s="21"/>
      <c r="K58" s="21"/>
      <c r="L58" s="21" t="s">
        <v>117</v>
      </c>
      <c r="M58" s="16">
        <f>COUNTIF(TeamHero生成!$J$5:$J$504,$C58)</f>
        <v>5</v>
      </c>
      <c r="N58" s="16" t="str">
        <f t="shared" si="0"/>
        <v>有效</v>
      </c>
      <c r="O58" s="16" t="str">
        <f t="shared" si="1"/>
        <v/>
      </c>
      <c r="P58" s="16" t="s">
        <v>64</v>
      </c>
    </row>
    <row r="59" ht="14.25" customHeight="1" spans="1:16">
      <c r="A59" s="16" t="s">
        <v>61</v>
      </c>
      <c r="B59" s="16">
        <v>55</v>
      </c>
      <c r="C59" s="16">
        <v>55</v>
      </c>
      <c r="D59" s="19">
        <f>ROUND(难度节点!$C$7+($B59-难度节点!$A$7)*(难度节点!$C$8-难度节点!$C$7)/(难度节点!$A$8-难度节点!$A$7),0)</f>
        <v>208</v>
      </c>
      <c r="E59" s="20">
        <v>1.16375642788639</v>
      </c>
      <c r="F59" s="20">
        <v>0.684169263070698</v>
      </c>
      <c r="G59" s="20">
        <v>1</v>
      </c>
      <c r="H59" s="21">
        <v>300056</v>
      </c>
      <c r="I59" s="21"/>
      <c r="J59" s="21"/>
      <c r="K59" s="21"/>
      <c r="L59" s="21" t="s">
        <v>118</v>
      </c>
      <c r="M59" s="16">
        <f>COUNTIF(TeamHero生成!$J$5:$J$504,$C59)</f>
        <v>5</v>
      </c>
      <c r="N59" s="16" t="str">
        <f t="shared" si="0"/>
        <v>有效</v>
      </c>
      <c r="O59" s="16" t="str">
        <f t="shared" si="1"/>
        <v/>
      </c>
      <c r="P59" s="16" t="s">
        <v>64</v>
      </c>
    </row>
    <row r="60" ht="14.25" customHeight="1" spans="1:16">
      <c r="A60" s="16" t="s">
        <v>61</v>
      </c>
      <c r="B60" s="16">
        <v>56</v>
      </c>
      <c r="C60" s="16">
        <v>56</v>
      </c>
      <c r="D60" s="19">
        <f>ROUND(难度节点!$C$7+($B60-难度节点!$A$7)*(难度节点!$C$8-难度节点!$C$7)/(难度节点!$A$8-难度节点!$A$7),0)</f>
        <v>210</v>
      </c>
      <c r="E60" s="20">
        <v>1.15213985017309</v>
      </c>
      <c r="F60" s="20">
        <v>0.682347851942813</v>
      </c>
      <c r="G60" s="20">
        <v>1</v>
      </c>
      <c r="H60" s="21">
        <v>300057</v>
      </c>
      <c r="I60" s="21"/>
      <c r="J60" s="21"/>
      <c r="K60" s="21"/>
      <c r="L60" s="21" t="s">
        <v>119</v>
      </c>
      <c r="M60" s="16">
        <f>COUNTIF(TeamHero生成!$J$5:$J$504,$C60)</f>
        <v>5</v>
      </c>
      <c r="N60" s="16" t="str">
        <f t="shared" si="0"/>
        <v>有效</v>
      </c>
      <c r="O60" s="16" t="str">
        <f t="shared" si="1"/>
        <v/>
      </c>
      <c r="P60" s="16" t="s">
        <v>64</v>
      </c>
    </row>
    <row r="61" ht="14.25" customHeight="1" spans="1:16">
      <c r="A61" s="16" t="s">
        <v>61</v>
      </c>
      <c r="B61" s="16">
        <v>57</v>
      </c>
      <c r="C61" s="16">
        <v>57</v>
      </c>
      <c r="D61" s="19">
        <f>ROUND(难度节点!$C$7+($B61-难度节点!$A$7)*(难度节点!$C$8-难度节点!$C$7)/(难度节点!$A$8-难度节点!$A$7),0)</f>
        <v>212</v>
      </c>
      <c r="E61" s="20">
        <v>1.15340112107571</v>
      </c>
      <c r="F61" s="20">
        <v>0.684535053944765</v>
      </c>
      <c r="G61" s="20">
        <v>1</v>
      </c>
      <c r="H61" s="21">
        <v>300058</v>
      </c>
      <c r="I61" s="21"/>
      <c r="J61" s="21"/>
      <c r="K61" s="21"/>
      <c r="L61" s="21" t="s">
        <v>120</v>
      </c>
      <c r="M61" s="16">
        <f>COUNTIF(TeamHero生成!$J$5:$J$504,$C61)</f>
        <v>5</v>
      </c>
      <c r="N61" s="16" t="str">
        <f t="shared" si="0"/>
        <v>有效</v>
      </c>
      <c r="O61" s="16" t="str">
        <f t="shared" si="1"/>
        <v/>
      </c>
      <c r="P61" s="16" t="s">
        <v>64</v>
      </c>
    </row>
    <row r="62" ht="14.25" customHeight="1" spans="1:16">
      <c r="A62" s="16" t="s">
        <v>61</v>
      </c>
      <c r="B62" s="16">
        <v>58</v>
      </c>
      <c r="C62" s="16">
        <v>58</v>
      </c>
      <c r="D62" s="19">
        <f>ROUND(难度节点!$C$7+($B62-难度节点!$A$7)*(难度节点!$C$8-难度节点!$C$7)/(难度节点!$A$8-难度节点!$A$7),0)</f>
        <v>214</v>
      </c>
      <c r="E62" s="20">
        <v>1.16241161436697</v>
      </c>
      <c r="F62" s="20">
        <v>0.689312359503694</v>
      </c>
      <c r="G62" s="20">
        <v>1</v>
      </c>
      <c r="H62" s="21">
        <v>300059</v>
      </c>
      <c r="I62" s="21"/>
      <c r="J62" s="21"/>
      <c r="K62" s="21"/>
      <c r="L62" s="21" t="s">
        <v>121</v>
      </c>
      <c r="M62" s="16">
        <f>COUNTIF(TeamHero生成!$J$5:$J$504,$C62)</f>
        <v>5</v>
      </c>
      <c r="N62" s="16" t="str">
        <f t="shared" si="0"/>
        <v>有效</v>
      </c>
      <c r="O62" s="16" t="str">
        <f t="shared" si="1"/>
        <v/>
      </c>
      <c r="P62" s="16" t="s">
        <v>64</v>
      </c>
    </row>
    <row r="63" ht="14.25" customHeight="1" spans="1:16">
      <c r="A63" s="16" t="s">
        <v>61</v>
      </c>
      <c r="B63" s="16">
        <v>59</v>
      </c>
      <c r="C63" s="16">
        <v>59</v>
      </c>
      <c r="D63" s="19">
        <f>ROUND(难度节点!$C$7+($B63-难度节点!$A$7)*(难度节点!$C$8-难度节点!$C$7)/(难度节点!$A$8-难度节点!$A$7),0)</f>
        <v>217</v>
      </c>
      <c r="E63" s="20">
        <v>1.15390500897312</v>
      </c>
      <c r="F63" s="20">
        <v>0.687131245661127</v>
      </c>
      <c r="G63" s="20">
        <v>1</v>
      </c>
      <c r="H63" s="21">
        <v>300060</v>
      </c>
      <c r="I63" s="21"/>
      <c r="J63" s="21"/>
      <c r="K63" s="21"/>
      <c r="L63" s="21" t="s">
        <v>122</v>
      </c>
      <c r="M63" s="16">
        <f>COUNTIF(TeamHero生成!$J$5:$J$504,$C63)</f>
        <v>5</v>
      </c>
      <c r="N63" s="16" t="str">
        <f t="shared" si="0"/>
        <v>有效</v>
      </c>
      <c r="O63" s="16" t="str">
        <f t="shared" si="1"/>
        <v/>
      </c>
      <c r="P63" s="16" t="s">
        <v>64</v>
      </c>
    </row>
    <row r="64" ht="14.25" customHeight="1" spans="1:16">
      <c r="A64" s="16" t="s">
        <v>61</v>
      </c>
      <c r="B64" s="16">
        <v>60</v>
      </c>
      <c r="C64" s="16">
        <v>60</v>
      </c>
      <c r="D64" s="19">
        <f>ROUND(难度节点!$C$7+($B64-难度节点!$A$7)*(难度节点!$C$8-难度节点!$C$7)/(难度节点!$A$8-难度节点!$A$7),0)</f>
        <v>219</v>
      </c>
      <c r="E64" s="20">
        <v>1.15867282412656</v>
      </c>
      <c r="F64" s="20">
        <v>0.689694524790995</v>
      </c>
      <c r="G64" s="20">
        <v>1</v>
      </c>
      <c r="H64" s="21">
        <v>300061</v>
      </c>
      <c r="I64" s="21"/>
      <c r="J64" s="21"/>
      <c r="K64" s="21"/>
      <c r="L64" s="21" t="s">
        <v>123</v>
      </c>
      <c r="M64" s="16">
        <f>COUNTIF(TeamHero生成!$J$5:$J$504,$C64)</f>
        <v>5</v>
      </c>
      <c r="N64" s="16" t="str">
        <f t="shared" si="0"/>
        <v>有效</v>
      </c>
      <c r="O64" s="16" t="str">
        <f t="shared" si="1"/>
        <v/>
      </c>
      <c r="P64" s="16" t="s">
        <v>64</v>
      </c>
    </row>
    <row r="65" ht="14.25" customHeight="1" spans="1:16">
      <c r="A65" s="16" t="s">
        <v>61</v>
      </c>
      <c r="B65" s="16">
        <v>61</v>
      </c>
      <c r="C65" s="16">
        <v>61</v>
      </c>
      <c r="D65" s="19">
        <f>ROUND(难度节点!$C$8+($B65-难度节点!$A$8)*(难度节点!$C$9-难度节点!$C$8)/(难度节点!$A$9-难度节点!$A$8),0)</f>
        <v>221</v>
      </c>
      <c r="E65" s="20">
        <v>1.1609327383741</v>
      </c>
      <c r="F65" s="20">
        <v>0.692628557170834</v>
      </c>
      <c r="G65" s="20">
        <v>1</v>
      </c>
      <c r="H65" s="21">
        <v>300062</v>
      </c>
      <c r="I65" s="21"/>
      <c r="J65" s="21"/>
      <c r="K65" s="21"/>
      <c r="L65" s="21" t="s">
        <v>124</v>
      </c>
      <c r="M65" s="16">
        <f>COUNTIF(TeamHero生成!$J$5:$J$504,$C65)</f>
        <v>5</v>
      </c>
      <c r="N65" s="16" t="str">
        <f t="shared" si="0"/>
        <v>有效</v>
      </c>
      <c r="O65" s="16" t="str">
        <f t="shared" si="1"/>
        <v/>
      </c>
      <c r="P65" s="16" t="s">
        <v>64</v>
      </c>
    </row>
    <row r="66" ht="14.25" customHeight="1" spans="1:16">
      <c r="A66" s="16" t="s">
        <v>61</v>
      </c>
      <c r="B66" s="16">
        <v>62</v>
      </c>
      <c r="C66" s="16">
        <v>62</v>
      </c>
      <c r="D66" s="19">
        <f>ROUND(难度节点!$C$8+($B66-难度节点!$A$8)*(难度节点!$C$9-难度节点!$C$8)/(难度节点!$A$9-难度节点!$A$8),0)</f>
        <v>223</v>
      </c>
      <c r="E66" s="20">
        <v>1.15347728205966</v>
      </c>
      <c r="F66" s="20">
        <v>0.691563676322275</v>
      </c>
      <c r="G66" s="20">
        <v>1</v>
      </c>
      <c r="H66" s="21">
        <v>300063</v>
      </c>
      <c r="I66" s="21"/>
      <c r="J66" s="21"/>
      <c r="K66" s="21"/>
      <c r="L66" s="21" t="s">
        <v>125</v>
      </c>
      <c r="M66" s="16">
        <f>COUNTIF(TeamHero生成!$J$5:$J$504,$C66)</f>
        <v>5</v>
      </c>
      <c r="N66" s="16" t="str">
        <f t="shared" si="0"/>
        <v>有效</v>
      </c>
      <c r="O66" s="16" t="str">
        <f t="shared" si="1"/>
        <v/>
      </c>
      <c r="P66" s="16" t="s">
        <v>64</v>
      </c>
    </row>
    <row r="67" ht="14.25" customHeight="1" spans="1:16">
      <c r="A67" s="16" t="s">
        <v>61</v>
      </c>
      <c r="B67" s="16">
        <v>63</v>
      </c>
      <c r="C67" s="16">
        <v>63</v>
      </c>
      <c r="D67" s="19">
        <f>ROUND(难度节点!$C$8+($B67-难度节点!$A$8)*(难度节点!$C$9-难度节点!$C$8)/(难度节点!$A$9-难度节点!$A$8),0)</f>
        <v>225</v>
      </c>
      <c r="E67" s="20">
        <v>1.14900462820668</v>
      </c>
      <c r="F67" s="20">
        <v>0.691032777546049</v>
      </c>
      <c r="G67" s="20">
        <v>1</v>
      </c>
      <c r="H67" s="21">
        <v>300064</v>
      </c>
      <c r="I67" s="21"/>
      <c r="J67" s="21"/>
      <c r="K67" s="21"/>
      <c r="L67" s="21" t="s">
        <v>126</v>
      </c>
      <c r="M67" s="16">
        <f>COUNTIF(TeamHero生成!$J$5:$J$504,$C67)</f>
        <v>5</v>
      </c>
      <c r="N67" s="16" t="str">
        <f t="shared" si="0"/>
        <v>有效</v>
      </c>
      <c r="O67" s="16" t="str">
        <f t="shared" si="1"/>
        <v/>
      </c>
      <c r="P67" s="16" t="s">
        <v>64</v>
      </c>
    </row>
    <row r="68" ht="14.25" customHeight="1" spans="1:16">
      <c r="A68" s="16" t="s">
        <v>61</v>
      </c>
      <c r="B68" s="16">
        <v>64</v>
      </c>
      <c r="C68" s="16">
        <v>64</v>
      </c>
      <c r="D68" s="19">
        <f>ROUND(难度节点!$C$8+($B68-难度节点!$A$8)*(难度节点!$C$9-难度节点!$C$8)/(难度节点!$A$9-难度节点!$A$8),0)</f>
        <v>227</v>
      </c>
      <c r="E68" s="20">
        <v>1.15548735913503</v>
      </c>
      <c r="F68" s="20">
        <v>0.695378181108376</v>
      </c>
      <c r="G68" s="20">
        <v>1</v>
      </c>
      <c r="H68" s="21">
        <v>300065</v>
      </c>
      <c r="I68" s="21"/>
      <c r="J68" s="21"/>
      <c r="K68" s="21"/>
      <c r="L68" s="21" t="s">
        <v>127</v>
      </c>
      <c r="M68" s="16">
        <f>COUNTIF(TeamHero生成!$J$5:$J$504,$C68)</f>
        <v>5</v>
      </c>
      <c r="N68" s="16" t="str">
        <f t="shared" si="0"/>
        <v>有效</v>
      </c>
      <c r="O68" s="16" t="str">
        <f t="shared" si="1"/>
        <v/>
      </c>
      <c r="P68" s="16" t="s">
        <v>64</v>
      </c>
    </row>
    <row r="69" ht="14.25" customHeight="1" spans="1:16">
      <c r="A69" s="16" t="s">
        <v>61</v>
      </c>
      <c r="B69" s="16">
        <v>65</v>
      </c>
      <c r="C69" s="16">
        <v>65</v>
      </c>
      <c r="D69" s="19">
        <f>ROUND(难度节点!$C$8+($B69-难度节点!$A$8)*(难度节点!$C$9-难度节点!$C$8)/(难度节点!$A$9-难度节点!$A$8),0)</f>
        <v>229</v>
      </c>
      <c r="E69" s="20">
        <v>1.14865451907588</v>
      </c>
      <c r="F69" s="20">
        <v>0.692854524567452</v>
      </c>
      <c r="G69" s="20">
        <v>1</v>
      </c>
      <c r="H69" s="21">
        <v>300066</v>
      </c>
      <c r="I69" s="21"/>
      <c r="J69" s="21"/>
      <c r="K69" s="21"/>
      <c r="L69" s="21" t="s">
        <v>128</v>
      </c>
      <c r="M69" s="16">
        <f>COUNTIF(TeamHero生成!$J$5:$J$504,$C69)</f>
        <v>5</v>
      </c>
      <c r="N69" s="16" t="str">
        <f t="shared" ref="N69:N104" si="2">IF(AND(ISNUMBER($D69),$D69&gt;=1,$D69&lt;=500,MOD($D69,1)=0),"有效","无效")</f>
        <v>有效</v>
      </c>
      <c r="O69" s="16" t="str">
        <f t="shared" si="1"/>
        <v/>
      </c>
      <c r="P69" s="16" t="s">
        <v>64</v>
      </c>
    </row>
    <row r="70" ht="14.25" customHeight="1" spans="1:16">
      <c r="A70" s="16" t="s">
        <v>61</v>
      </c>
      <c r="B70" s="16">
        <v>66</v>
      </c>
      <c r="C70" s="16">
        <v>66</v>
      </c>
      <c r="D70" s="19">
        <f>ROUND(难度节点!$C$8+($B70-难度节点!$A$8)*(难度节点!$C$9-难度节点!$C$8)/(难度节点!$A$9-难度节点!$A$8),0)</f>
        <v>230</v>
      </c>
      <c r="E70" s="20">
        <v>1.15595647386983</v>
      </c>
      <c r="F70" s="20">
        <v>0.697843258119827</v>
      </c>
      <c r="G70" s="20">
        <v>1</v>
      </c>
      <c r="H70" s="21">
        <v>300067</v>
      </c>
      <c r="I70" s="21"/>
      <c r="J70" s="21"/>
      <c r="K70" s="21"/>
      <c r="L70" s="21" t="s">
        <v>129</v>
      </c>
      <c r="M70" s="16">
        <f>COUNTIF(TeamHero生成!$J$5:$J$504,$C70)</f>
        <v>5</v>
      </c>
      <c r="N70" s="16" t="str">
        <f t="shared" si="2"/>
        <v>有效</v>
      </c>
      <c r="O70" s="16" t="str">
        <f t="shared" ref="O70:O104" si="3">IF($D70&lt;$D69,"下降","")</f>
        <v/>
      </c>
      <c r="P70" s="16" t="s">
        <v>64</v>
      </c>
    </row>
    <row r="71" ht="14.25" customHeight="1" spans="1:16">
      <c r="A71" s="16" t="s">
        <v>61</v>
      </c>
      <c r="B71" s="16">
        <v>67</v>
      </c>
      <c r="C71" s="16">
        <v>67</v>
      </c>
      <c r="D71" s="19">
        <f>ROUND(难度节点!$C$8+($B71-难度节点!$A$8)*(难度节点!$C$9-难度节点!$C$8)/(难度节点!$A$9-难度节点!$A$8),0)</f>
        <v>232</v>
      </c>
      <c r="E71" s="20">
        <v>1.14949497330677</v>
      </c>
      <c r="F71" s="20">
        <v>0.69706434169526</v>
      </c>
      <c r="G71" s="20">
        <v>1</v>
      </c>
      <c r="H71" s="21">
        <v>300068</v>
      </c>
      <c r="I71" s="21"/>
      <c r="J71" s="21"/>
      <c r="K71" s="21"/>
      <c r="L71" s="21" t="s">
        <v>130</v>
      </c>
      <c r="M71" s="16">
        <f>COUNTIF(TeamHero生成!$J$5:$J$504,$C71)</f>
        <v>5</v>
      </c>
      <c r="N71" s="16" t="str">
        <f t="shared" si="2"/>
        <v>有效</v>
      </c>
      <c r="O71" s="16" t="str">
        <f t="shared" si="3"/>
        <v/>
      </c>
      <c r="P71" s="16" t="s">
        <v>64</v>
      </c>
    </row>
    <row r="72" ht="14.25" customHeight="1" spans="1:16">
      <c r="A72" s="16" t="s">
        <v>61</v>
      </c>
      <c r="B72" s="16">
        <v>68</v>
      </c>
      <c r="C72" s="16">
        <v>68</v>
      </c>
      <c r="D72" s="19">
        <f>ROUND(难度节点!$C$8+($B72-难度节点!$A$8)*(难度节点!$C$9-难度节点!$C$8)/(难度节点!$A$9-难度节点!$A$8),0)</f>
        <v>234</v>
      </c>
      <c r="E72" s="20">
        <v>1.14787796748917</v>
      </c>
      <c r="F72" s="20">
        <v>0.697471382218971</v>
      </c>
      <c r="G72" s="20">
        <v>1</v>
      </c>
      <c r="H72" s="21">
        <v>300069</v>
      </c>
      <c r="I72" s="21"/>
      <c r="J72" s="21"/>
      <c r="K72" s="21"/>
      <c r="L72" s="21" t="s">
        <v>131</v>
      </c>
      <c r="M72" s="16">
        <f>COUNTIF(TeamHero生成!$J$5:$J$504,$C72)</f>
        <v>5</v>
      </c>
      <c r="N72" s="16" t="str">
        <f t="shared" si="2"/>
        <v>有效</v>
      </c>
      <c r="O72" s="16" t="str">
        <f t="shared" si="3"/>
        <v/>
      </c>
      <c r="P72" s="16" t="s">
        <v>64</v>
      </c>
    </row>
    <row r="73" ht="14.25" customHeight="1" spans="1:16">
      <c r="A73" s="16" t="s">
        <v>61</v>
      </c>
      <c r="B73" s="16">
        <v>69</v>
      </c>
      <c r="C73" s="16">
        <v>69</v>
      </c>
      <c r="D73" s="19">
        <f>ROUND(难度节点!$C$8+($B73-难度节点!$A$8)*(难度节点!$C$9-难度节点!$C$8)/(难度节点!$A$9-难度节点!$A$8),0)</f>
        <v>236</v>
      </c>
      <c r="E73" s="20">
        <v>1.14266975016477</v>
      </c>
      <c r="F73" s="20">
        <v>0.697193122902009</v>
      </c>
      <c r="G73" s="20">
        <v>1</v>
      </c>
      <c r="H73" s="21">
        <v>300070</v>
      </c>
      <c r="I73" s="21"/>
      <c r="J73" s="21"/>
      <c r="K73" s="21"/>
      <c r="L73" s="21" t="s">
        <v>132</v>
      </c>
      <c r="M73" s="16">
        <f>COUNTIF(TeamHero生成!$J$5:$J$504,$C73)</f>
        <v>5</v>
      </c>
      <c r="N73" s="16" t="str">
        <f t="shared" si="2"/>
        <v>有效</v>
      </c>
      <c r="O73" s="16" t="str">
        <f t="shared" si="3"/>
        <v/>
      </c>
      <c r="P73" s="16" t="s">
        <v>64</v>
      </c>
    </row>
    <row r="74" ht="14.25" customHeight="1" spans="1:16">
      <c r="A74" s="16" t="s">
        <v>61</v>
      </c>
      <c r="B74" s="16">
        <v>70</v>
      </c>
      <c r="C74" s="16">
        <v>70</v>
      </c>
      <c r="D74" s="19">
        <f>ROUND(难度节点!$C$8+($B74-难度节点!$A$8)*(难度节点!$C$9-难度节点!$C$8)/(难度节点!$A$9-难度节点!$A$8),0)</f>
        <v>238</v>
      </c>
      <c r="E74" s="20">
        <v>1.1462474158732</v>
      </c>
      <c r="F74" s="20">
        <v>0.699492820149818</v>
      </c>
      <c r="G74" s="20">
        <v>1</v>
      </c>
      <c r="H74" s="21">
        <v>300071</v>
      </c>
      <c r="I74" s="21"/>
      <c r="J74" s="21"/>
      <c r="K74" s="21"/>
      <c r="L74" s="21" t="s">
        <v>133</v>
      </c>
      <c r="M74" s="16">
        <f>COUNTIF(TeamHero生成!$J$5:$J$504,$C74)</f>
        <v>5</v>
      </c>
      <c r="N74" s="16" t="str">
        <f t="shared" si="2"/>
        <v>有效</v>
      </c>
      <c r="O74" s="16" t="str">
        <f t="shared" si="3"/>
        <v/>
      </c>
      <c r="P74" s="16" t="s">
        <v>64</v>
      </c>
    </row>
    <row r="75" ht="14.25" customHeight="1" spans="1:16">
      <c r="A75" s="16" t="s">
        <v>61</v>
      </c>
      <c r="B75" s="16">
        <v>71</v>
      </c>
      <c r="C75" s="16">
        <v>71</v>
      </c>
      <c r="D75" s="19">
        <f>ROUND(难度节点!$C$9+($B75-难度节点!$A$9)*(难度节点!$C$10-难度节点!$C$9)/(难度节点!$A$10-难度节点!$A$9),0)</f>
        <v>240</v>
      </c>
      <c r="E75" s="20">
        <v>1.14324732140584</v>
      </c>
      <c r="F75" s="20">
        <v>0.70012828879628</v>
      </c>
      <c r="G75" s="20">
        <v>1</v>
      </c>
      <c r="H75" s="21">
        <v>300072</v>
      </c>
      <c r="I75" s="21"/>
      <c r="J75" s="21"/>
      <c r="K75" s="21"/>
      <c r="L75" s="21" t="s">
        <v>134</v>
      </c>
      <c r="M75" s="16">
        <f>COUNTIF(TeamHero生成!$J$5:$J$504,$C75)</f>
        <v>5</v>
      </c>
      <c r="N75" s="16" t="str">
        <f t="shared" si="2"/>
        <v>有效</v>
      </c>
      <c r="O75" s="16" t="str">
        <f t="shared" si="3"/>
        <v/>
      </c>
      <c r="P75" s="16" t="s">
        <v>64</v>
      </c>
    </row>
    <row r="76" ht="14.25" customHeight="1" spans="1:16">
      <c r="A76" s="16" t="s">
        <v>61</v>
      </c>
      <c r="B76" s="16">
        <v>72</v>
      </c>
      <c r="C76" s="16">
        <v>72</v>
      </c>
      <c r="D76" s="19">
        <f>ROUND(难度节点!$C$9+($B76-难度节点!$A$9)*(难度节点!$C$10-难度节点!$C$9)/(难度节点!$A$10-难度节点!$A$9),0)</f>
        <v>241</v>
      </c>
      <c r="E76" s="20">
        <v>1.13993752989515</v>
      </c>
      <c r="F76" s="20">
        <v>0.700309463287124</v>
      </c>
      <c r="G76" s="20">
        <v>1</v>
      </c>
      <c r="H76" s="21">
        <v>300073</v>
      </c>
      <c r="I76" s="21"/>
      <c r="J76" s="21"/>
      <c r="K76" s="21"/>
      <c r="L76" s="21" t="s">
        <v>135</v>
      </c>
      <c r="M76" s="16">
        <f>COUNTIF(TeamHero生成!$J$5:$J$504,$C76)</f>
        <v>5</v>
      </c>
      <c r="N76" s="16" t="str">
        <f t="shared" si="2"/>
        <v>有效</v>
      </c>
      <c r="O76" s="16" t="str">
        <f t="shared" si="3"/>
        <v/>
      </c>
      <c r="P76" s="16" t="s">
        <v>64</v>
      </c>
    </row>
    <row r="77" ht="14.25" customHeight="1" spans="1:16">
      <c r="A77" s="16" t="s">
        <v>61</v>
      </c>
      <c r="B77" s="16">
        <v>73</v>
      </c>
      <c r="C77" s="16">
        <v>73</v>
      </c>
      <c r="D77" s="19">
        <f>ROUND(难度节点!$C$9+($B77-难度节点!$A$9)*(难度节点!$C$10-难度节点!$C$9)/(难度节点!$A$10-难度节点!$A$9),0)</f>
        <v>243</v>
      </c>
      <c r="E77" s="20">
        <v>1.14964544677452</v>
      </c>
      <c r="F77" s="20">
        <v>0.705293928317151</v>
      </c>
      <c r="G77" s="20">
        <v>1</v>
      </c>
      <c r="H77" s="21">
        <v>300074</v>
      </c>
      <c r="I77" s="21"/>
      <c r="J77" s="21"/>
      <c r="K77" s="21"/>
      <c r="L77" s="21" t="s">
        <v>136</v>
      </c>
      <c r="M77" s="16">
        <f>COUNTIF(TeamHero生成!$J$5:$J$504,$C77)</f>
        <v>5</v>
      </c>
      <c r="N77" s="16" t="str">
        <f t="shared" si="2"/>
        <v>有效</v>
      </c>
      <c r="O77" s="16" t="str">
        <f t="shared" si="3"/>
        <v/>
      </c>
      <c r="P77" s="16" t="s">
        <v>64</v>
      </c>
    </row>
    <row r="78" ht="14.25" customHeight="1" spans="1:16">
      <c r="A78" s="16" t="s">
        <v>61</v>
      </c>
      <c r="B78" s="16">
        <v>74</v>
      </c>
      <c r="C78" s="16">
        <v>74</v>
      </c>
      <c r="D78" s="19">
        <f>ROUND(难度节点!$C$9+($B78-难度节点!$A$9)*(难度节点!$C$10-难度节点!$C$9)/(难度节点!$A$10-难度节点!$A$9),0)</f>
        <v>245</v>
      </c>
      <c r="E78" s="20">
        <v>1.14764130074927</v>
      </c>
      <c r="F78" s="20">
        <v>0.706038369536886</v>
      </c>
      <c r="G78" s="20">
        <v>1</v>
      </c>
      <c r="H78" s="21">
        <v>300075</v>
      </c>
      <c r="I78" s="21"/>
      <c r="J78" s="21"/>
      <c r="K78" s="21"/>
      <c r="L78" s="21" t="s">
        <v>137</v>
      </c>
      <c r="M78" s="16">
        <f>COUNTIF(TeamHero生成!$J$5:$J$504,$C78)</f>
        <v>5</v>
      </c>
      <c r="N78" s="16" t="str">
        <f t="shared" si="2"/>
        <v>有效</v>
      </c>
      <c r="O78" s="16" t="str">
        <f t="shared" si="3"/>
        <v/>
      </c>
      <c r="P78" s="16" t="s">
        <v>64</v>
      </c>
    </row>
    <row r="79" ht="14.25" customHeight="1" spans="1:16">
      <c r="A79" s="16" t="s">
        <v>61</v>
      </c>
      <c r="B79" s="16">
        <v>75</v>
      </c>
      <c r="C79" s="16">
        <v>75</v>
      </c>
      <c r="D79" s="19">
        <f>ROUND(难度节点!$C$9+($B79-难度节点!$A$9)*(难度节点!$C$10-难度节点!$C$9)/(难度节点!$A$10-难度节点!$A$9),0)</f>
        <v>247</v>
      </c>
      <c r="E79" s="20">
        <v>1.14097617353198</v>
      </c>
      <c r="F79" s="20">
        <v>0.704144894316975</v>
      </c>
      <c r="G79" s="20">
        <v>1</v>
      </c>
      <c r="H79" s="21">
        <v>300076</v>
      </c>
      <c r="I79" s="21"/>
      <c r="J79" s="21"/>
      <c r="K79" s="21"/>
      <c r="L79" s="21" t="s">
        <v>138</v>
      </c>
      <c r="M79" s="16">
        <f>COUNTIF(TeamHero生成!$J$5:$J$504,$C79)</f>
        <v>5</v>
      </c>
      <c r="N79" s="16" t="str">
        <f t="shared" si="2"/>
        <v>有效</v>
      </c>
      <c r="O79" s="16" t="str">
        <f t="shared" si="3"/>
        <v/>
      </c>
      <c r="P79" s="16" t="s">
        <v>64</v>
      </c>
    </row>
    <row r="80" ht="14.25" customHeight="1" spans="1:16">
      <c r="A80" s="16" t="s">
        <v>61</v>
      </c>
      <c r="B80" s="16">
        <v>76</v>
      </c>
      <c r="C80" s="16">
        <v>76</v>
      </c>
      <c r="D80" s="19">
        <f>ROUND(难度节点!$C$9+($B80-难度节点!$A$9)*(难度节点!$C$10-难度节点!$C$9)/(难度节点!$A$10-难度节点!$A$9),0)</f>
        <v>248</v>
      </c>
      <c r="E80" s="20">
        <v>1.15095555929854</v>
      </c>
      <c r="F80" s="20">
        <v>0.709458960168145</v>
      </c>
      <c r="G80" s="20">
        <v>1</v>
      </c>
      <c r="H80" s="21">
        <v>300077</v>
      </c>
      <c r="I80" s="21"/>
      <c r="J80" s="21"/>
      <c r="K80" s="21"/>
      <c r="L80" s="21" t="s">
        <v>139</v>
      </c>
      <c r="M80" s="16">
        <f>COUNTIF(TeamHero生成!$J$5:$J$504,$C80)</f>
        <v>5</v>
      </c>
      <c r="N80" s="16" t="str">
        <f t="shared" si="2"/>
        <v>有效</v>
      </c>
      <c r="O80" s="16" t="str">
        <f t="shared" si="3"/>
        <v/>
      </c>
      <c r="P80" s="16" t="s">
        <v>64</v>
      </c>
    </row>
    <row r="81" ht="14.25" customHeight="1" spans="1:16">
      <c r="A81" s="16" t="s">
        <v>61</v>
      </c>
      <c r="B81" s="16">
        <v>77</v>
      </c>
      <c r="C81" s="16">
        <v>77</v>
      </c>
      <c r="D81" s="19">
        <f>ROUND(难度节点!$C$9+($B81-难度节点!$A$9)*(难度节点!$C$10-难度节点!$C$9)/(难度节点!$A$10-难度节点!$A$9),0)</f>
        <v>250</v>
      </c>
      <c r="E81" s="20">
        <v>1.14598555798442</v>
      </c>
      <c r="F81" s="20">
        <v>0.709106209627691</v>
      </c>
      <c r="G81" s="20">
        <v>1</v>
      </c>
      <c r="H81" s="21">
        <v>300078</v>
      </c>
      <c r="I81" s="21"/>
      <c r="J81" s="21"/>
      <c r="K81" s="21"/>
      <c r="L81" s="21" t="s">
        <v>140</v>
      </c>
      <c r="M81" s="16">
        <f>COUNTIF(TeamHero生成!$J$5:$J$504,$C81)</f>
        <v>5</v>
      </c>
      <c r="N81" s="16" t="str">
        <f t="shared" si="2"/>
        <v>有效</v>
      </c>
      <c r="O81" s="16" t="str">
        <f t="shared" si="3"/>
        <v/>
      </c>
      <c r="P81" s="16" t="s">
        <v>64</v>
      </c>
    </row>
    <row r="82" ht="14.25" customHeight="1" spans="1:16">
      <c r="A82" s="16" t="s">
        <v>61</v>
      </c>
      <c r="B82" s="16">
        <v>78</v>
      </c>
      <c r="C82" s="16">
        <v>78</v>
      </c>
      <c r="D82" s="19">
        <f>ROUND(难度节点!$C$9+($B82-难度节点!$A$9)*(难度节点!$C$10-难度节点!$C$9)/(难度节点!$A$10-难度节点!$A$9),0)</f>
        <v>252</v>
      </c>
      <c r="E82" s="20">
        <v>1.1437216795143</v>
      </c>
      <c r="F82" s="20">
        <v>0.709659582620248</v>
      </c>
      <c r="G82" s="20">
        <v>1</v>
      </c>
      <c r="H82" s="21">
        <v>300079</v>
      </c>
      <c r="I82" s="21"/>
      <c r="J82" s="21"/>
      <c r="K82" s="21"/>
      <c r="L82" s="21" t="s">
        <v>141</v>
      </c>
      <c r="M82" s="16">
        <f>COUNTIF(TeamHero生成!$J$5:$J$504,$C82)</f>
        <v>5</v>
      </c>
      <c r="N82" s="16" t="str">
        <f t="shared" si="2"/>
        <v>有效</v>
      </c>
      <c r="O82" s="16" t="str">
        <f t="shared" si="3"/>
        <v/>
      </c>
      <c r="P82" s="16" t="s">
        <v>64</v>
      </c>
    </row>
    <row r="83" ht="14.25" customHeight="1" spans="1:16">
      <c r="A83" s="16" t="s">
        <v>61</v>
      </c>
      <c r="B83" s="16">
        <v>79</v>
      </c>
      <c r="C83" s="16">
        <v>79</v>
      </c>
      <c r="D83" s="19">
        <f>ROUND(难度节点!$C$9+($B83-难度节点!$A$9)*(难度节点!$C$10-难度节点!$C$9)/(难度节点!$A$10-难度节点!$A$9),0)</f>
        <v>253</v>
      </c>
      <c r="E83" s="20">
        <v>1.14195974820678</v>
      </c>
      <c r="F83" s="20">
        <v>0.710411255433773</v>
      </c>
      <c r="G83" s="20">
        <v>1</v>
      </c>
      <c r="H83" s="21">
        <v>300080</v>
      </c>
      <c r="I83" s="21"/>
      <c r="J83" s="21"/>
      <c r="K83" s="21"/>
      <c r="L83" s="21" t="s">
        <v>142</v>
      </c>
      <c r="M83" s="16">
        <f>COUNTIF(TeamHero生成!$J$5:$J$504,$C83)</f>
        <v>5</v>
      </c>
      <c r="N83" s="16" t="str">
        <f t="shared" si="2"/>
        <v>有效</v>
      </c>
      <c r="O83" s="16" t="str">
        <f t="shared" si="3"/>
        <v/>
      </c>
      <c r="P83" s="16" t="s">
        <v>64</v>
      </c>
    </row>
    <row r="84" ht="14.25" customHeight="1" spans="1:16">
      <c r="A84" s="16" t="s">
        <v>61</v>
      </c>
      <c r="B84" s="16">
        <v>80</v>
      </c>
      <c r="C84" s="16">
        <v>80</v>
      </c>
      <c r="D84" s="19">
        <f>ROUND(难度节点!$C$9+($B84-难度节点!$A$9)*(难度节点!$C$10-难度节点!$C$9)/(难度节点!$A$10-难度节点!$A$9),0)</f>
        <v>255</v>
      </c>
      <c r="E84" s="20">
        <v>1.13937586492705</v>
      </c>
      <c r="F84" s="20">
        <v>0.71033240309006</v>
      </c>
      <c r="G84" s="20">
        <v>1</v>
      </c>
      <c r="H84" s="21">
        <v>300081</v>
      </c>
      <c r="I84" s="21"/>
      <c r="J84" s="21"/>
      <c r="K84" s="21"/>
      <c r="L84" s="21" t="s">
        <v>143</v>
      </c>
      <c r="M84" s="16">
        <f>COUNTIF(TeamHero生成!$J$5:$J$504,$C84)</f>
        <v>5</v>
      </c>
      <c r="N84" s="16" t="str">
        <f t="shared" si="2"/>
        <v>有效</v>
      </c>
      <c r="O84" s="16" t="str">
        <f t="shared" si="3"/>
        <v/>
      </c>
      <c r="P84" s="16" t="s">
        <v>64</v>
      </c>
    </row>
    <row r="85" ht="14.25" customHeight="1" spans="1:16">
      <c r="A85" s="16" t="s">
        <v>61</v>
      </c>
      <c r="B85" s="16">
        <v>81</v>
      </c>
      <c r="C85" s="16">
        <v>81</v>
      </c>
      <c r="D85" s="19">
        <f>ROUND(难度节点!$C$10+($B85-难度节点!$A$10)*(难度节点!$C$11-难度节点!$C$10)/(难度节点!$A$11-难度节点!$A$10),0)</f>
        <v>256</v>
      </c>
      <c r="E85" s="20">
        <v>1.13516903460059</v>
      </c>
      <c r="F85" s="20">
        <v>0.71068884462461</v>
      </c>
      <c r="G85" s="20">
        <v>1</v>
      </c>
      <c r="H85" s="21">
        <v>300082</v>
      </c>
      <c r="I85" s="21"/>
      <c r="J85" s="21"/>
      <c r="K85" s="21"/>
      <c r="L85" s="21" t="s">
        <v>144</v>
      </c>
      <c r="M85" s="16">
        <f>COUNTIF(TeamHero生成!$J$5:$J$504,$C85)</f>
        <v>5</v>
      </c>
      <c r="N85" s="16" t="str">
        <f t="shared" si="2"/>
        <v>有效</v>
      </c>
      <c r="O85" s="16" t="str">
        <f t="shared" si="3"/>
        <v/>
      </c>
      <c r="P85" s="16" t="s">
        <v>64</v>
      </c>
    </row>
    <row r="86" ht="14.25" customHeight="1" spans="1:16">
      <c r="A86" s="16" t="s">
        <v>61</v>
      </c>
      <c r="B86" s="16">
        <v>82</v>
      </c>
      <c r="C86" s="16">
        <v>82</v>
      </c>
      <c r="D86" s="19">
        <f>ROUND(难度节点!$C$10+($B86-难度节点!$A$10)*(难度节点!$C$11-难度节点!$C$10)/(难度节点!$A$11-难度节点!$A$10),0)</f>
        <v>258</v>
      </c>
      <c r="E86" s="20">
        <v>1.14237690480097</v>
      </c>
      <c r="F86" s="20">
        <v>0.714261041697692</v>
      </c>
      <c r="G86" s="20">
        <v>1</v>
      </c>
      <c r="H86" s="21">
        <v>300083</v>
      </c>
      <c r="I86" s="21"/>
      <c r="J86" s="21"/>
      <c r="K86" s="21"/>
      <c r="L86" s="21" t="s">
        <v>145</v>
      </c>
      <c r="M86" s="16">
        <f>COUNTIF(TeamHero生成!$J$5:$J$504,$C86)</f>
        <v>5</v>
      </c>
      <c r="N86" s="16" t="str">
        <f t="shared" si="2"/>
        <v>有效</v>
      </c>
      <c r="O86" s="16" t="str">
        <f t="shared" si="3"/>
        <v/>
      </c>
      <c r="P86" s="16" t="s">
        <v>64</v>
      </c>
    </row>
    <row r="87" ht="14.25" customHeight="1" spans="1:16">
      <c r="A87" s="16" t="s">
        <v>61</v>
      </c>
      <c r="B87" s="16">
        <v>83</v>
      </c>
      <c r="C87" s="16">
        <v>83</v>
      </c>
      <c r="D87" s="19">
        <f>ROUND(难度节点!$C$10+($B87-难度节点!$A$10)*(难度节点!$C$11-难度节点!$C$10)/(难度节点!$A$11-难度节点!$A$10),0)</f>
        <v>259</v>
      </c>
      <c r="E87" s="20">
        <v>1.14045558732606</v>
      </c>
      <c r="F87" s="20">
        <v>0.71487507616831</v>
      </c>
      <c r="G87" s="20">
        <v>1</v>
      </c>
      <c r="H87" s="21">
        <v>300084</v>
      </c>
      <c r="I87" s="21"/>
      <c r="J87" s="21"/>
      <c r="K87" s="21"/>
      <c r="L87" s="21" t="s">
        <v>146</v>
      </c>
      <c r="M87" s="16">
        <f>COUNTIF(TeamHero生成!$J$5:$J$504,$C87)</f>
        <v>5</v>
      </c>
      <c r="N87" s="16" t="str">
        <f t="shared" si="2"/>
        <v>有效</v>
      </c>
      <c r="O87" s="16" t="str">
        <f t="shared" si="3"/>
        <v/>
      </c>
      <c r="P87" s="16" t="s">
        <v>64</v>
      </c>
    </row>
    <row r="88" ht="14.25" customHeight="1" spans="1:16">
      <c r="A88" s="16" t="s">
        <v>61</v>
      </c>
      <c r="B88" s="16">
        <v>84</v>
      </c>
      <c r="C88" s="16">
        <v>84</v>
      </c>
      <c r="D88" s="19">
        <f>ROUND(难度节点!$C$10+($B88-难度节点!$A$10)*(难度节点!$C$11-难度节点!$C$10)/(难度节点!$A$11-难度节点!$A$10),0)</f>
        <v>260</v>
      </c>
      <c r="E88" s="20">
        <v>1.13893438601641</v>
      </c>
      <c r="F88" s="20">
        <v>0.715653212565403</v>
      </c>
      <c r="G88" s="20">
        <v>1</v>
      </c>
      <c r="H88" s="21">
        <v>300085</v>
      </c>
      <c r="I88" s="21"/>
      <c r="J88" s="21"/>
      <c r="K88" s="21"/>
      <c r="L88" s="21" t="s">
        <v>147</v>
      </c>
      <c r="M88" s="16">
        <f>COUNTIF(TeamHero生成!$J$5:$J$504,$C88)</f>
        <v>5</v>
      </c>
      <c r="N88" s="16" t="str">
        <f t="shared" si="2"/>
        <v>有效</v>
      </c>
      <c r="O88" s="16" t="str">
        <f t="shared" si="3"/>
        <v/>
      </c>
      <c r="P88" s="16" t="s">
        <v>64</v>
      </c>
    </row>
    <row r="89" ht="14.25" customHeight="1" spans="1:16">
      <c r="A89" s="16" t="s">
        <v>61</v>
      </c>
      <c r="B89" s="16">
        <v>85</v>
      </c>
      <c r="C89" s="16">
        <v>85</v>
      </c>
      <c r="D89" s="19">
        <f>ROUND(难度节点!$C$10+($B89-难度节点!$A$10)*(难度节点!$C$11-难度节点!$C$10)/(难度节点!$A$11-难度节点!$A$10),0)</f>
        <v>262</v>
      </c>
      <c r="E89" s="20">
        <v>1.13820387945508</v>
      </c>
      <c r="F89" s="20">
        <v>0.716472850179096</v>
      </c>
      <c r="G89" s="20">
        <v>1</v>
      </c>
      <c r="H89" s="21">
        <v>300086</v>
      </c>
      <c r="I89" s="21"/>
      <c r="J89" s="21"/>
      <c r="K89" s="21"/>
      <c r="L89" s="21" t="s">
        <v>148</v>
      </c>
      <c r="M89" s="16">
        <f>COUNTIF(TeamHero生成!$J$5:$J$504,$C89)</f>
        <v>5</v>
      </c>
      <c r="N89" s="16" t="str">
        <f t="shared" si="2"/>
        <v>有效</v>
      </c>
      <c r="O89" s="16" t="str">
        <f t="shared" si="3"/>
        <v/>
      </c>
      <c r="P89" s="16" t="s">
        <v>64</v>
      </c>
    </row>
    <row r="90" ht="14.25" customHeight="1" spans="1:16">
      <c r="A90" s="16" t="s">
        <v>61</v>
      </c>
      <c r="B90" s="16">
        <v>86</v>
      </c>
      <c r="C90" s="16">
        <v>86</v>
      </c>
      <c r="D90" s="19">
        <f>ROUND(难度节点!$C$10+($B90-难度节点!$A$10)*(难度节点!$C$11-难度节点!$C$10)/(难度节点!$A$11-难度节点!$A$10),0)</f>
        <v>263</v>
      </c>
      <c r="E90" s="20">
        <v>1.13539899541223</v>
      </c>
      <c r="F90" s="20">
        <v>0.71695098708435</v>
      </c>
      <c r="G90" s="20">
        <v>1</v>
      </c>
      <c r="H90" s="21">
        <v>300087</v>
      </c>
      <c r="I90" s="21"/>
      <c r="J90" s="21"/>
      <c r="K90" s="21"/>
      <c r="L90" s="21" t="s">
        <v>149</v>
      </c>
      <c r="M90" s="16">
        <f>COUNTIF(TeamHero生成!$J$5:$J$504,$C90)</f>
        <v>5</v>
      </c>
      <c r="N90" s="16" t="str">
        <f t="shared" si="2"/>
        <v>有效</v>
      </c>
      <c r="O90" s="16" t="str">
        <f t="shared" si="3"/>
        <v/>
      </c>
      <c r="P90" s="16" t="s">
        <v>64</v>
      </c>
    </row>
    <row r="91" ht="14.25" customHeight="1" spans="1:16">
      <c r="A91" s="16" t="s">
        <v>61</v>
      </c>
      <c r="B91" s="16">
        <v>87</v>
      </c>
      <c r="C91" s="16">
        <v>87</v>
      </c>
      <c r="D91" s="19">
        <f>ROUND(难度节点!$C$10+($B91-难度节点!$A$10)*(难度节点!$C$11-难度节点!$C$10)/(难度节点!$A$11-难度节点!$A$10),0)</f>
        <v>264</v>
      </c>
      <c r="E91" s="20">
        <v>1.13360094353639</v>
      </c>
      <c r="F91" s="20">
        <v>0.717577777705241</v>
      </c>
      <c r="G91" s="20">
        <v>1</v>
      </c>
      <c r="H91" s="21">
        <v>300088</v>
      </c>
      <c r="I91" s="21"/>
      <c r="J91" s="21"/>
      <c r="K91" s="21"/>
      <c r="L91" s="21" t="s">
        <v>150</v>
      </c>
      <c r="M91" s="16">
        <f>COUNTIF(TeamHero生成!$J$5:$J$504,$C91)</f>
        <v>5</v>
      </c>
      <c r="N91" s="16" t="str">
        <f t="shared" si="2"/>
        <v>有效</v>
      </c>
      <c r="O91" s="16" t="str">
        <f t="shared" si="3"/>
        <v/>
      </c>
      <c r="P91" s="16" t="s">
        <v>64</v>
      </c>
    </row>
    <row r="92" ht="14.25" customHeight="1" spans="1:16">
      <c r="A92" s="16" t="s">
        <v>61</v>
      </c>
      <c r="B92" s="16">
        <v>88</v>
      </c>
      <c r="C92" s="16">
        <v>88</v>
      </c>
      <c r="D92" s="19">
        <f>ROUND(难度节点!$C$10+($B92-难度节点!$A$10)*(难度节点!$C$11-难度节点!$C$10)/(难度节点!$A$11-难度节点!$A$10),0)</f>
        <v>265</v>
      </c>
      <c r="E92" s="20">
        <v>1.13213506165938</v>
      </c>
      <c r="F92" s="20">
        <v>0.71829746259604</v>
      </c>
      <c r="G92" s="20">
        <v>1</v>
      </c>
      <c r="H92" s="21">
        <v>300089</v>
      </c>
      <c r="I92" s="21"/>
      <c r="J92" s="21"/>
      <c r="K92" s="21"/>
      <c r="L92" s="21" t="s">
        <v>151</v>
      </c>
      <c r="M92" s="16">
        <f>COUNTIF(TeamHero生成!$J$5:$J$504,$C92)</f>
        <v>5</v>
      </c>
      <c r="N92" s="16" t="str">
        <f t="shared" si="2"/>
        <v>有效</v>
      </c>
      <c r="O92" s="16" t="str">
        <f t="shared" si="3"/>
        <v/>
      </c>
      <c r="P92" s="16" t="s">
        <v>64</v>
      </c>
    </row>
    <row r="93" ht="14.25" customHeight="1" spans="1:16">
      <c r="A93" s="16" t="s">
        <v>61</v>
      </c>
      <c r="B93" s="16">
        <v>89</v>
      </c>
      <c r="C93" s="16">
        <v>89</v>
      </c>
      <c r="D93" s="19">
        <f>ROUND(难度节点!$C$10+($B93-难度节点!$A$10)*(难度节点!$C$11-难度节点!$C$10)/(难度节点!$A$11-难度节点!$A$10),0)</f>
        <v>267</v>
      </c>
      <c r="E93" s="20">
        <v>1.13094203277441</v>
      </c>
      <c r="F93" s="20">
        <v>0.71917640662023</v>
      </c>
      <c r="G93" s="20">
        <v>1</v>
      </c>
      <c r="H93" s="21">
        <v>300090</v>
      </c>
      <c r="I93" s="21"/>
      <c r="J93" s="21"/>
      <c r="K93" s="21"/>
      <c r="L93" s="21" t="s">
        <v>152</v>
      </c>
      <c r="M93" s="16">
        <f>COUNTIF(TeamHero生成!$J$5:$J$504,$C93)</f>
        <v>5</v>
      </c>
      <c r="N93" s="16" t="str">
        <f t="shared" si="2"/>
        <v>有效</v>
      </c>
      <c r="O93" s="16" t="str">
        <f t="shared" si="3"/>
        <v/>
      </c>
      <c r="P93" s="16" t="s">
        <v>64</v>
      </c>
    </row>
    <row r="94" ht="14.25" customHeight="1" spans="1:16">
      <c r="A94" s="16" t="s">
        <v>61</v>
      </c>
      <c r="B94" s="16">
        <v>90</v>
      </c>
      <c r="C94" s="16">
        <v>90</v>
      </c>
      <c r="D94" s="19">
        <f>ROUND(难度节点!$C$10+($B94-难度节点!$A$10)*(难度节点!$C$11-难度节点!$C$10)/(难度节点!$A$11-难度节点!$A$10),0)</f>
        <v>268</v>
      </c>
      <c r="E94" s="20">
        <v>1.14213632106616</v>
      </c>
      <c r="F94" s="20">
        <v>0.724654744929893</v>
      </c>
      <c r="G94" s="20">
        <v>1</v>
      </c>
      <c r="H94" s="21">
        <v>300091</v>
      </c>
      <c r="I94" s="21"/>
      <c r="J94" s="21"/>
      <c r="K94" s="21"/>
      <c r="L94" s="21" t="s">
        <v>153</v>
      </c>
      <c r="M94" s="16">
        <f>COUNTIF(TeamHero生成!$J$5:$J$504,$C94)</f>
        <v>5</v>
      </c>
      <c r="N94" s="16" t="str">
        <f t="shared" si="2"/>
        <v>有效</v>
      </c>
      <c r="O94" s="16" t="str">
        <f t="shared" si="3"/>
        <v/>
      </c>
      <c r="P94" s="16" t="s">
        <v>64</v>
      </c>
    </row>
    <row r="95" ht="14.25" customHeight="1" spans="1:16">
      <c r="A95" s="16" t="s">
        <v>61</v>
      </c>
      <c r="B95" s="16">
        <v>91</v>
      </c>
      <c r="C95" s="16">
        <v>91</v>
      </c>
      <c r="D95" s="19">
        <f>ROUND(难度节点!$C$11+($B95-难度节点!$A$11)*(难度节点!$C$12-难度节点!$C$11)/(难度节点!$A$12-难度节点!$A$11),0)</f>
        <v>269</v>
      </c>
      <c r="E95" s="20">
        <v>1.14001916461421</v>
      </c>
      <c r="F95" s="20">
        <v>0.725287655304084</v>
      </c>
      <c r="G95" s="20">
        <v>1</v>
      </c>
      <c r="H95" s="21">
        <v>300092</v>
      </c>
      <c r="I95" s="21"/>
      <c r="J95" s="21"/>
      <c r="K95" s="21"/>
      <c r="L95" s="21" t="s">
        <v>154</v>
      </c>
      <c r="M95" s="16">
        <f>COUNTIF(TeamHero生成!$J$5:$J$504,$C95)</f>
        <v>5</v>
      </c>
      <c r="N95" s="16" t="str">
        <f t="shared" si="2"/>
        <v>有效</v>
      </c>
      <c r="O95" s="16" t="str">
        <f t="shared" si="3"/>
        <v/>
      </c>
      <c r="P95" s="16" t="s">
        <v>64</v>
      </c>
    </row>
    <row r="96" ht="14.25" customHeight="1" spans="1:16">
      <c r="A96" s="16" t="s">
        <v>61</v>
      </c>
      <c r="B96" s="16">
        <v>92</v>
      </c>
      <c r="C96" s="16">
        <v>92</v>
      </c>
      <c r="D96" s="19">
        <f>ROUND(难度节点!$C$11+($B96-难度节点!$A$11)*(难度节点!$C$12-难度节点!$C$11)/(难度节点!$A$12-难度节点!$A$11),0)</f>
        <v>270</v>
      </c>
      <c r="E96" s="20">
        <v>1.13567320674374</v>
      </c>
      <c r="F96" s="20">
        <v>0.724379195372715</v>
      </c>
      <c r="G96" s="20">
        <v>1</v>
      </c>
      <c r="H96" s="21">
        <v>300093</v>
      </c>
      <c r="I96" s="21"/>
      <c r="J96" s="21"/>
      <c r="K96" s="21"/>
      <c r="L96" s="21" t="s">
        <v>155</v>
      </c>
      <c r="M96" s="16">
        <f>COUNTIF(TeamHero生成!$J$5:$J$504,$C96)</f>
        <v>5</v>
      </c>
      <c r="N96" s="16" t="str">
        <f t="shared" si="2"/>
        <v>有效</v>
      </c>
      <c r="O96" s="16" t="str">
        <f t="shared" si="3"/>
        <v/>
      </c>
      <c r="P96" s="16" t="s">
        <v>64</v>
      </c>
    </row>
    <row r="97" ht="14.25" customHeight="1" spans="1:16">
      <c r="A97" s="16" t="s">
        <v>61</v>
      </c>
      <c r="B97" s="16">
        <v>93</v>
      </c>
      <c r="C97" s="16">
        <v>93</v>
      </c>
      <c r="D97" s="19">
        <f>ROUND(难度节点!$C$11+($B97-难度节点!$A$11)*(难度节点!$C$12-难度节点!$C$11)/(难度节点!$A$12-难度节点!$A$11),0)</f>
        <v>272</v>
      </c>
      <c r="E97" s="20">
        <v>1.13279943448747</v>
      </c>
      <c r="F97" s="20">
        <v>0.724781133547875</v>
      </c>
      <c r="G97" s="20">
        <v>1</v>
      </c>
      <c r="H97" s="21">
        <v>300094</v>
      </c>
      <c r="I97" s="21"/>
      <c r="J97" s="21"/>
      <c r="K97" s="21"/>
      <c r="L97" s="21" t="s">
        <v>156</v>
      </c>
      <c r="M97" s="16">
        <f>COUNTIF(TeamHero生成!$J$5:$J$504,$C97)</f>
        <v>5</v>
      </c>
      <c r="N97" s="16" t="str">
        <f t="shared" si="2"/>
        <v>有效</v>
      </c>
      <c r="O97" s="16" t="str">
        <f t="shared" si="3"/>
        <v/>
      </c>
      <c r="P97" s="16" t="s">
        <v>64</v>
      </c>
    </row>
    <row r="98" ht="14.25" customHeight="1" spans="1:16">
      <c r="A98" s="16" t="s">
        <v>61</v>
      </c>
      <c r="B98" s="16">
        <v>94</v>
      </c>
      <c r="C98" s="16">
        <v>94</v>
      </c>
      <c r="D98" s="19">
        <f>ROUND(难度节点!$C$11+($B98-难度节点!$A$11)*(难度节点!$C$12-难度节点!$C$11)/(难度节点!$A$12-难度节点!$A$11),0)</f>
        <v>273</v>
      </c>
      <c r="E98" s="20">
        <v>1.13182226884233</v>
      </c>
      <c r="F98" s="20">
        <v>0.725696694868182</v>
      </c>
      <c r="G98" s="20">
        <v>1</v>
      </c>
      <c r="H98" s="21">
        <v>300095</v>
      </c>
      <c r="I98" s="21"/>
      <c r="J98" s="21"/>
      <c r="K98" s="21"/>
      <c r="L98" s="21" t="s">
        <v>157</v>
      </c>
      <c r="M98" s="16">
        <f>COUNTIF(TeamHero生成!$J$5:$J$504,$C98)</f>
        <v>5</v>
      </c>
      <c r="N98" s="16" t="str">
        <f t="shared" si="2"/>
        <v>有效</v>
      </c>
      <c r="O98" s="16" t="str">
        <f t="shared" si="3"/>
        <v/>
      </c>
      <c r="P98" s="16" t="s">
        <v>64</v>
      </c>
    </row>
    <row r="99" ht="14.25" customHeight="1" spans="1:16">
      <c r="A99" s="16" t="s">
        <v>61</v>
      </c>
      <c r="B99" s="16">
        <v>95</v>
      </c>
      <c r="C99" s="16">
        <v>95</v>
      </c>
      <c r="D99" s="19">
        <f>ROUND(难度节点!$C$11+($B99-难度节点!$A$11)*(难度节点!$C$12-难度节点!$C$11)/(难度节点!$A$12-难度节点!$A$11),0)</f>
        <v>274</v>
      </c>
      <c r="E99" s="20">
        <v>1.13108015591293</v>
      </c>
      <c r="F99" s="20">
        <v>0.726679309784578</v>
      </c>
      <c r="G99" s="20">
        <v>1</v>
      </c>
      <c r="H99" s="21">
        <v>300096</v>
      </c>
      <c r="I99" s="21"/>
      <c r="J99" s="21"/>
      <c r="K99" s="21"/>
      <c r="L99" s="21" t="s">
        <v>158</v>
      </c>
      <c r="M99" s="16">
        <f>COUNTIF(TeamHero生成!$J$5:$J$504,$C99)</f>
        <v>5</v>
      </c>
      <c r="N99" s="16" t="str">
        <f t="shared" si="2"/>
        <v>有效</v>
      </c>
      <c r="O99" s="16" t="str">
        <f t="shared" si="3"/>
        <v/>
      </c>
      <c r="P99" s="16" t="s">
        <v>64</v>
      </c>
    </row>
    <row r="100" ht="14.25" customHeight="1" spans="1:16">
      <c r="A100" s="16" t="s">
        <v>61</v>
      </c>
      <c r="B100" s="16">
        <v>96</v>
      </c>
      <c r="C100" s="16">
        <v>96</v>
      </c>
      <c r="D100" s="19">
        <f>ROUND(难度节点!$C$11+($B100-难度节点!$A$11)*(难度节点!$C$12-难度节点!$C$11)/(难度节点!$A$12-难度节点!$A$11),0)</f>
        <v>275</v>
      </c>
      <c r="E100" s="20">
        <v>1.12992115373711</v>
      </c>
      <c r="F100" s="20">
        <v>0.727469632812953</v>
      </c>
      <c r="G100" s="20">
        <v>1</v>
      </c>
      <c r="H100" s="21">
        <v>300097</v>
      </c>
      <c r="I100" s="21"/>
      <c r="J100" s="21"/>
      <c r="K100" s="21"/>
      <c r="L100" s="21" t="s">
        <v>159</v>
      </c>
      <c r="M100" s="16">
        <f>COUNTIF(TeamHero生成!$J$5:$J$504,$C100)</f>
        <v>5</v>
      </c>
      <c r="N100" s="16" t="str">
        <f t="shared" si="2"/>
        <v>有效</v>
      </c>
      <c r="O100" s="16" t="str">
        <f t="shared" si="3"/>
        <v/>
      </c>
      <c r="P100" s="16" t="s">
        <v>64</v>
      </c>
    </row>
    <row r="101" ht="14.25" customHeight="1" spans="1:16">
      <c r="A101" s="16" t="s">
        <v>61</v>
      </c>
      <c r="B101" s="16">
        <v>97</v>
      </c>
      <c r="C101" s="16">
        <v>97</v>
      </c>
      <c r="D101" s="19">
        <f>ROUND(难度节点!$C$11+($B101-难度节点!$A$11)*(难度节点!$C$12-难度节点!$C$11)/(难度节点!$A$12-难度节点!$A$11),0)</f>
        <v>276</v>
      </c>
      <c r="E101" s="20">
        <v>1.12883809996263</v>
      </c>
      <c r="F101" s="20">
        <v>0.728293310358997</v>
      </c>
      <c r="G101" s="20">
        <v>1</v>
      </c>
      <c r="H101" s="21">
        <v>300098</v>
      </c>
      <c r="I101" s="21"/>
      <c r="J101" s="21"/>
      <c r="K101" s="21"/>
      <c r="L101" s="21" t="s">
        <v>160</v>
      </c>
      <c r="M101" s="16">
        <f>COUNTIF(TeamHero生成!$J$5:$J$504,$C101)</f>
        <v>5</v>
      </c>
      <c r="N101" s="16" t="str">
        <f t="shared" si="2"/>
        <v>有效</v>
      </c>
      <c r="O101" s="16" t="str">
        <f t="shared" si="3"/>
        <v/>
      </c>
      <c r="P101" s="16" t="s">
        <v>64</v>
      </c>
    </row>
    <row r="102" ht="14.25" customHeight="1" spans="1:16">
      <c r="A102" s="16" t="s">
        <v>61</v>
      </c>
      <c r="B102" s="16">
        <v>98</v>
      </c>
      <c r="C102" s="16">
        <v>98</v>
      </c>
      <c r="D102" s="19">
        <f>ROUND(难度节点!$C$11+($B102-难度节点!$A$11)*(难度节点!$C$12-难度节点!$C$11)/(难度节点!$A$12-难度节点!$A$11),0)</f>
        <v>278</v>
      </c>
      <c r="E102" s="20">
        <v>1.12795418016849</v>
      </c>
      <c r="F102" s="20">
        <v>0.729223983469108</v>
      </c>
      <c r="G102" s="20">
        <v>1</v>
      </c>
      <c r="H102" s="21">
        <v>300099</v>
      </c>
      <c r="I102" s="21"/>
      <c r="J102" s="21"/>
      <c r="K102" s="21"/>
      <c r="L102" s="21" t="s">
        <v>161</v>
      </c>
      <c r="M102" s="16">
        <f>COUNTIF(TeamHero生成!$J$5:$J$504,$C102)</f>
        <v>5</v>
      </c>
      <c r="N102" s="16" t="str">
        <f t="shared" si="2"/>
        <v>有效</v>
      </c>
      <c r="O102" s="16" t="str">
        <f t="shared" si="3"/>
        <v/>
      </c>
      <c r="P102" s="16" t="s">
        <v>64</v>
      </c>
    </row>
    <row r="103" ht="14.25" customHeight="1" spans="1:16">
      <c r="A103" s="16" t="s">
        <v>61</v>
      </c>
      <c r="B103" s="16">
        <v>99</v>
      </c>
      <c r="C103" s="16">
        <v>99</v>
      </c>
      <c r="D103" s="19">
        <f>ROUND(难度节点!$C$11+($B103-难度节点!$A$11)*(难度节点!$C$12-难度节点!$C$11)/(难度节点!$A$12-难度节点!$A$11),0)</f>
        <v>279</v>
      </c>
      <c r="E103" s="20">
        <v>1.12582067235919</v>
      </c>
      <c r="F103" s="20">
        <v>0.729834891319568</v>
      </c>
      <c r="G103" s="20">
        <v>1</v>
      </c>
      <c r="H103" s="21">
        <v>300100</v>
      </c>
      <c r="I103" s="21"/>
      <c r="J103" s="21"/>
      <c r="K103" s="21"/>
      <c r="L103" s="21" t="s">
        <v>162</v>
      </c>
      <c r="M103" s="16">
        <f>COUNTIF(TeamHero生成!$J$5:$J$504,$C103)</f>
        <v>5</v>
      </c>
      <c r="N103" s="16" t="str">
        <f t="shared" si="2"/>
        <v>有效</v>
      </c>
      <c r="O103" s="16" t="str">
        <f t="shared" si="3"/>
        <v/>
      </c>
      <c r="P103" s="16" t="s">
        <v>64</v>
      </c>
    </row>
    <row r="104" ht="14.25" customHeight="1" spans="1:16">
      <c r="A104" s="16" t="s">
        <v>61</v>
      </c>
      <c r="B104" s="16">
        <v>100</v>
      </c>
      <c r="C104" s="16">
        <v>100</v>
      </c>
      <c r="D104" s="19">
        <f>ROUND(难度节点!$C$11+($B104-难度节点!$A$11)*(难度节点!$C$12-难度节点!$C$11)/(难度节点!$A$12-难度节点!$A$11),0)</f>
        <v>280</v>
      </c>
      <c r="E104" s="20">
        <v>1.12671592412141</v>
      </c>
      <c r="F104" s="20">
        <v>0.731229508674054</v>
      </c>
      <c r="G104" s="20">
        <v>1</v>
      </c>
      <c r="H104" s="21">
        <v>300101</v>
      </c>
      <c r="I104" s="21"/>
      <c r="J104" s="21"/>
      <c r="K104" s="21"/>
      <c r="L104" s="21" t="s">
        <v>163</v>
      </c>
      <c r="M104" s="16">
        <f>COUNTIF(TeamHero生成!$J$5:$J$504,$C104)</f>
        <v>5</v>
      </c>
      <c r="N104" s="16" t="str">
        <f t="shared" si="2"/>
        <v>有效</v>
      </c>
      <c r="O104" s="16" t="str">
        <f t="shared" si="3"/>
        <v/>
      </c>
      <c r="P104" s="16" t="s">
        <v>64</v>
      </c>
    </row>
    <row r="105" spans="1:16">
      <c r="A105" t="s">
        <v>61</v>
      </c>
      <c r="B105">
        <v>101</v>
      </c>
      <c r="C105">
        <v>101</v>
      </c>
      <c r="D105">
        <f>ROUND(难度节点!$C$12+($B105-难度节点!$A$12)*(难度节点!$C$13-难度节点!$C$12)/(难度节点!$A$13-难度节点!$A$12),0)</f>
        <v>281</v>
      </c>
      <c r="E105">
        <v>1.12582067235919</v>
      </c>
      <c r="F105">
        <v>0.729834891319568</v>
      </c>
      <c r="G105">
        <v>1</v>
      </c>
      <c r="H105">
        <v>300401</v>
      </c>
    </row>
    <row r="106" spans="1:16">
      <c r="A106" t="s">
        <v>61</v>
      </c>
      <c r="B106">
        <v>102</v>
      </c>
      <c r="C106">
        <v>102</v>
      </c>
      <c r="D106">
        <f>ROUND(难度节点!$C$12+($B106-难度节点!$A$12)*(难度节点!$C$13-难度节点!$C$12)/(难度节点!$A$13-难度节点!$A$12),0)</f>
        <v>282</v>
      </c>
      <c r="E106">
        <v>1.12582067235919</v>
      </c>
      <c r="F106">
        <v>0.729834891319568</v>
      </c>
      <c r="G106">
        <v>1</v>
      </c>
      <c r="H106">
        <v>300402</v>
      </c>
    </row>
    <row r="107" spans="1:16">
      <c r="A107" t="s">
        <v>61</v>
      </c>
      <c r="B107">
        <v>103</v>
      </c>
      <c r="C107">
        <v>103</v>
      </c>
      <c r="D107">
        <f>ROUND(难度节点!$C$12+($B107-难度节点!$A$12)*(难度节点!$C$13-难度节点!$C$12)/(难度节点!$A$13-难度节点!$A$12),0)</f>
        <v>284</v>
      </c>
      <c r="E107">
        <v>1.12582067235919</v>
      </c>
      <c r="F107">
        <v>0.729834891319568</v>
      </c>
      <c r="G107">
        <v>1</v>
      </c>
      <c r="H107">
        <v>300403</v>
      </c>
    </row>
    <row r="108" spans="1:16">
      <c r="A108" t="s">
        <v>61</v>
      </c>
      <c r="B108">
        <v>104</v>
      </c>
      <c r="C108">
        <v>104</v>
      </c>
      <c r="D108">
        <f>ROUND(难度节点!$C$12+($B108-难度节点!$A$12)*(难度节点!$C$13-难度节点!$C$12)/(难度节点!$A$13-难度节点!$A$12),0)</f>
        <v>285</v>
      </c>
      <c r="E108">
        <v>1.12582067235919</v>
      </c>
      <c r="F108">
        <v>0.729834891319568</v>
      </c>
      <c r="G108">
        <v>1</v>
      </c>
      <c r="H108">
        <v>300404</v>
      </c>
    </row>
    <row r="109" spans="1:16">
      <c r="A109" t="s">
        <v>61</v>
      </c>
      <c r="B109">
        <v>105</v>
      </c>
      <c r="C109">
        <v>105</v>
      </c>
      <c r="D109">
        <f>ROUND(难度节点!$C$12+($B109-难度节点!$A$12)*(难度节点!$C$13-难度节点!$C$12)/(难度节点!$A$13-难度节点!$A$12),0)</f>
        <v>286</v>
      </c>
      <c r="E109">
        <v>1.13108015591293</v>
      </c>
      <c r="F109">
        <v>0.726679309784578</v>
      </c>
      <c r="G109">
        <v>1</v>
      </c>
      <c r="H109">
        <v>300405</v>
      </c>
    </row>
    <row r="110" spans="1:16">
      <c r="A110" t="s">
        <v>61</v>
      </c>
      <c r="B110">
        <v>106</v>
      </c>
      <c r="C110">
        <v>106</v>
      </c>
      <c r="D110">
        <f>ROUND(难度节点!$C$12+($B110-难度节点!$A$12)*(难度节点!$C$13-难度节点!$C$12)/(难度节点!$A$13-难度节点!$A$12),0)</f>
        <v>287</v>
      </c>
      <c r="E110">
        <v>1.12582067235919</v>
      </c>
      <c r="F110">
        <v>0.729834891319568</v>
      </c>
      <c r="G110">
        <v>1</v>
      </c>
      <c r="H110">
        <v>300406</v>
      </c>
    </row>
    <row r="111" spans="1:16">
      <c r="A111" t="s">
        <v>61</v>
      </c>
      <c r="B111">
        <v>107</v>
      </c>
      <c r="C111">
        <v>107</v>
      </c>
      <c r="D111">
        <f>ROUND(难度节点!$C$12+($B111-难度节点!$A$12)*(难度节点!$C$13-难度节点!$C$12)/(难度节点!$A$13-难度节点!$A$12),0)</f>
        <v>288</v>
      </c>
      <c r="E111">
        <v>1.12582067235919</v>
      </c>
      <c r="F111">
        <v>0.729834891319568</v>
      </c>
      <c r="G111">
        <v>1</v>
      </c>
      <c r="H111">
        <v>300407</v>
      </c>
    </row>
    <row r="112" spans="1:16">
      <c r="A112" t="s">
        <v>61</v>
      </c>
      <c r="B112">
        <v>108</v>
      </c>
      <c r="C112">
        <v>108</v>
      </c>
      <c r="D112">
        <f>ROUND(难度节点!$C$12+($B112-难度节点!$A$12)*(难度节点!$C$13-难度节点!$C$12)/(难度节点!$A$13-难度节点!$A$12),0)</f>
        <v>290</v>
      </c>
      <c r="E112">
        <v>1.12582067235919</v>
      </c>
      <c r="F112">
        <v>0.729834891319568</v>
      </c>
      <c r="G112">
        <v>1</v>
      </c>
      <c r="H112">
        <v>300408</v>
      </c>
    </row>
    <row r="113" spans="1:8">
      <c r="A113" t="s">
        <v>61</v>
      </c>
      <c r="B113">
        <v>109</v>
      </c>
      <c r="C113">
        <v>109</v>
      </c>
      <c r="D113">
        <f>ROUND(难度节点!$C$12+($B113-难度节点!$A$12)*(难度节点!$C$13-难度节点!$C$12)/(难度节点!$A$13-难度节点!$A$12),0)</f>
        <v>291</v>
      </c>
      <c r="E113">
        <v>1.12582067235919</v>
      </c>
      <c r="F113">
        <v>0.729834891319568</v>
      </c>
      <c r="G113">
        <v>1</v>
      </c>
      <c r="H113">
        <v>300409</v>
      </c>
    </row>
    <row r="114" spans="1:8">
      <c r="A114" t="s">
        <v>61</v>
      </c>
      <c r="B114">
        <v>110</v>
      </c>
      <c r="C114">
        <v>110</v>
      </c>
      <c r="D114">
        <f>ROUND(难度节点!$C$13+($B114-难度节点!$A$13)*(难度节点!$C$14-难度节点!$C$13)/(难度节点!$A$14-难度节点!$A$13),0)</f>
        <v>292</v>
      </c>
      <c r="E114">
        <v>1.12671592412141</v>
      </c>
      <c r="F114">
        <v>0.731229508674054</v>
      </c>
      <c r="G114">
        <v>1</v>
      </c>
      <c r="H114">
        <v>300410</v>
      </c>
    </row>
    <row r="115" spans="1:8">
      <c r="A115" t="s">
        <v>61</v>
      </c>
      <c r="B115">
        <v>111</v>
      </c>
      <c r="C115">
        <v>111</v>
      </c>
      <c r="D115">
        <f>ROUND(难度节点!$C$13+($B115-难度节点!$A$13)*(难度节点!$C$14-难度节点!$C$13)/(难度节点!$A$14-难度节点!$A$13),0)</f>
        <v>293</v>
      </c>
      <c r="E115">
        <v>1.12582067235919</v>
      </c>
      <c r="F115">
        <v>0.729834891319568</v>
      </c>
      <c r="G115">
        <v>1</v>
      </c>
      <c r="H115">
        <v>300411</v>
      </c>
    </row>
    <row r="116" spans="1:8">
      <c r="A116" t="s">
        <v>61</v>
      </c>
      <c r="B116">
        <v>112</v>
      </c>
      <c r="C116">
        <v>112</v>
      </c>
      <c r="D116">
        <f>ROUND(难度节点!$C$13+($B116-难度节点!$A$13)*(难度节点!$C$14-难度节点!$C$13)/(难度节点!$A$14-难度节点!$A$13),0)</f>
        <v>295</v>
      </c>
      <c r="E116">
        <v>1.12582067235919</v>
      </c>
      <c r="F116">
        <v>0.729834891319568</v>
      </c>
      <c r="G116">
        <v>1</v>
      </c>
      <c r="H116">
        <v>300412</v>
      </c>
    </row>
    <row r="117" spans="1:8">
      <c r="A117" t="s">
        <v>61</v>
      </c>
      <c r="B117">
        <v>113</v>
      </c>
      <c r="C117">
        <v>113</v>
      </c>
      <c r="D117">
        <f>ROUND(难度节点!$C$13+($B117-难度节点!$A$13)*(难度节点!$C$14-难度节点!$C$13)/(难度节点!$A$14-难度节点!$A$13),0)</f>
        <v>296</v>
      </c>
      <c r="E117">
        <v>1.12582067235919</v>
      </c>
      <c r="F117">
        <v>0.729834891319568</v>
      </c>
      <c r="G117">
        <v>1</v>
      </c>
      <c r="H117">
        <v>300413</v>
      </c>
    </row>
    <row r="118" spans="1:8">
      <c r="A118" t="s">
        <v>61</v>
      </c>
      <c r="B118">
        <v>114</v>
      </c>
      <c r="C118">
        <v>114</v>
      </c>
      <c r="D118">
        <f>ROUND(难度节点!$C$13+($B118-难度节点!$A$13)*(难度节点!$C$14-难度节点!$C$13)/(难度节点!$A$14-难度节点!$A$13),0)</f>
        <v>298</v>
      </c>
      <c r="E118">
        <v>1.12582067235919</v>
      </c>
      <c r="F118">
        <v>0.729834891319568</v>
      </c>
      <c r="G118">
        <v>1</v>
      </c>
      <c r="H118">
        <v>300414</v>
      </c>
    </row>
    <row r="119" spans="1:8">
      <c r="A119" t="s">
        <v>61</v>
      </c>
      <c r="B119">
        <v>115</v>
      </c>
      <c r="C119">
        <v>115</v>
      </c>
      <c r="D119">
        <f>ROUND(难度节点!$C$13+($B119-难度节点!$A$13)*(难度节点!$C$14-难度节点!$C$13)/(难度节点!$A$14-难度节点!$A$13),0)</f>
        <v>299</v>
      </c>
      <c r="E119">
        <v>1.13108015591293</v>
      </c>
      <c r="F119">
        <v>0.726679309784578</v>
      </c>
      <c r="G119">
        <v>1</v>
      </c>
      <c r="H119">
        <v>300415</v>
      </c>
    </row>
    <row r="120" spans="1:8">
      <c r="A120" t="s">
        <v>61</v>
      </c>
      <c r="B120">
        <v>116</v>
      </c>
      <c r="C120">
        <v>116</v>
      </c>
      <c r="D120">
        <f>ROUND(难度节点!$C$13+($B120-难度节点!$A$13)*(难度节点!$C$14-难度节点!$C$13)/(难度节点!$A$14-难度节点!$A$13),0)</f>
        <v>300</v>
      </c>
      <c r="E120">
        <v>1.12582067235919</v>
      </c>
      <c r="F120">
        <v>0.729834891319568</v>
      </c>
      <c r="G120">
        <v>1</v>
      </c>
      <c r="H120">
        <v>300416</v>
      </c>
    </row>
    <row r="121" spans="1:8">
      <c r="A121" t="s">
        <v>61</v>
      </c>
      <c r="B121">
        <v>117</v>
      </c>
      <c r="C121">
        <v>117</v>
      </c>
      <c r="D121">
        <f>ROUND(难度节点!$C$13+($B121-难度节点!$A$13)*(难度节点!$C$14-难度节点!$C$13)/(难度节点!$A$14-难度节点!$A$13),0)</f>
        <v>302</v>
      </c>
      <c r="E121">
        <v>1.12582067235919</v>
      </c>
      <c r="F121">
        <v>0.729834891319568</v>
      </c>
      <c r="G121">
        <v>1</v>
      </c>
      <c r="H121">
        <v>300417</v>
      </c>
    </row>
    <row r="122" spans="1:8">
      <c r="A122" t="s">
        <v>61</v>
      </c>
      <c r="B122">
        <v>118</v>
      </c>
      <c r="C122">
        <v>118</v>
      </c>
      <c r="D122">
        <f>ROUND(难度节点!$C$13+($B122-难度节点!$A$13)*(难度节点!$C$14-难度节点!$C$13)/(难度节点!$A$14-难度节点!$A$13),0)</f>
        <v>303</v>
      </c>
      <c r="E122">
        <v>1.12582067235919</v>
      </c>
      <c r="F122">
        <v>0.729834891319568</v>
      </c>
      <c r="G122">
        <v>1</v>
      </c>
      <c r="H122">
        <v>300418</v>
      </c>
    </row>
    <row r="123" spans="1:8">
      <c r="A123" t="s">
        <v>61</v>
      </c>
      <c r="B123">
        <v>119</v>
      </c>
      <c r="C123">
        <v>119</v>
      </c>
      <c r="D123">
        <f>ROUND(难度节点!$C$13+($B123-难度节点!$A$13)*(难度节点!$C$14-难度节点!$C$13)/(难度节点!$A$14-难度节点!$A$13),0)</f>
        <v>305</v>
      </c>
      <c r="E123">
        <v>1.12582067235919</v>
      </c>
      <c r="F123">
        <v>0.729834891319568</v>
      </c>
      <c r="G123">
        <v>1</v>
      </c>
      <c r="H123">
        <v>300419</v>
      </c>
    </row>
    <row r="124" spans="1:8">
      <c r="A124" t="s">
        <v>61</v>
      </c>
      <c r="B124">
        <v>120</v>
      </c>
      <c r="C124">
        <v>120</v>
      </c>
      <c r="D124">
        <f>ROUND(难度节点!$C$14+($B124-难度节点!$A$14)*(难度节点!$C$15-难度节点!$C$14)/(难度节点!$A$15-难度节点!$A$14),0)</f>
        <v>306</v>
      </c>
      <c r="E124">
        <v>1.12671592412141</v>
      </c>
      <c r="F124">
        <v>0.731229508674054</v>
      </c>
      <c r="G124">
        <v>1</v>
      </c>
      <c r="H124">
        <v>300420</v>
      </c>
    </row>
    <row r="125" spans="1:8">
      <c r="A125" t="s">
        <v>61</v>
      </c>
      <c r="B125">
        <v>121</v>
      </c>
      <c r="C125">
        <v>121</v>
      </c>
      <c r="D125">
        <f>ROUND(难度节点!$C$14+($B125-难度节点!$A$14)*(难度节点!$C$15-难度节点!$C$14)/(难度节点!$A$15-难度节点!$A$14),0)</f>
        <v>308</v>
      </c>
      <c r="E125">
        <v>1.12582067235919</v>
      </c>
      <c r="F125">
        <v>0.729834891319568</v>
      </c>
      <c r="G125">
        <v>1</v>
      </c>
      <c r="H125">
        <v>300421</v>
      </c>
    </row>
    <row r="126" spans="1:8">
      <c r="A126" t="s">
        <v>61</v>
      </c>
      <c r="B126">
        <v>122</v>
      </c>
      <c r="C126">
        <v>122</v>
      </c>
      <c r="D126">
        <f>ROUND(难度节点!$C$14+($B126-难度节点!$A$14)*(难度节点!$C$15-难度节点!$C$14)/(难度节点!$A$15-难度节点!$A$14),0)</f>
        <v>309</v>
      </c>
      <c r="E126">
        <v>1.12582067235919</v>
      </c>
      <c r="F126">
        <v>0.729834891319568</v>
      </c>
      <c r="G126">
        <v>1</v>
      </c>
      <c r="H126">
        <v>300422</v>
      </c>
    </row>
    <row r="127" spans="1:8">
      <c r="A127" t="s">
        <v>61</v>
      </c>
      <c r="B127">
        <v>123</v>
      </c>
      <c r="C127">
        <v>123</v>
      </c>
      <c r="D127">
        <f>ROUND(难度节点!$C$14+($B127-难度节点!$A$14)*(难度节点!$C$15-难度节点!$C$14)/(难度节点!$A$15-难度节点!$A$14),0)</f>
        <v>311</v>
      </c>
      <c r="E127">
        <v>1.12582067235919</v>
      </c>
      <c r="F127">
        <v>0.729834891319568</v>
      </c>
      <c r="G127">
        <v>1</v>
      </c>
      <c r="H127">
        <v>300423</v>
      </c>
    </row>
    <row r="128" spans="1:8">
      <c r="A128" t="s">
        <v>61</v>
      </c>
      <c r="B128">
        <v>124</v>
      </c>
      <c r="C128">
        <v>124</v>
      </c>
      <c r="D128">
        <f>ROUND(难度节点!$C$14+($B128-难度节点!$A$14)*(难度节点!$C$15-难度节点!$C$14)/(难度节点!$A$15-难度节点!$A$14),0)</f>
        <v>312</v>
      </c>
      <c r="E128">
        <v>1.12582067235919</v>
      </c>
      <c r="F128">
        <v>0.729834891319568</v>
      </c>
      <c r="G128">
        <v>1</v>
      </c>
      <c r="H128">
        <v>300424</v>
      </c>
    </row>
    <row r="129" spans="1:8">
      <c r="A129" t="s">
        <v>61</v>
      </c>
      <c r="B129">
        <v>125</v>
      </c>
      <c r="C129">
        <v>125</v>
      </c>
      <c r="D129">
        <f>ROUND(难度节点!$C$14+($B129-难度节点!$A$14)*(难度节点!$C$15-难度节点!$C$14)/(难度节点!$A$15-难度节点!$A$14),0)</f>
        <v>314</v>
      </c>
      <c r="E129">
        <v>1.13108015591293</v>
      </c>
      <c r="F129">
        <v>0.726679309784578</v>
      </c>
      <c r="G129">
        <v>1</v>
      </c>
      <c r="H129">
        <v>300425</v>
      </c>
    </row>
    <row r="130" spans="1:8">
      <c r="A130" t="s">
        <v>61</v>
      </c>
      <c r="B130">
        <v>126</v>
      </c>
      <c r="C130">
        <v>126</v>
      </c>
      <c r="D130">
        <f>ROUND(难度节点!$C$14+($B130-难度节点!$A$14)*(难度节点!$C$15-难度节点!$C$14)/(难度节点!$A$15-难度节点!$A$14),0)</f>
        <v>316</v>
      </c>
      <c r="E130">
        <v>1.12582067235919</v>
      </c>
      <c r="F130">
        <v>0.729834891319568</v>
      </c>
      <c r="G130">
        <v>1</v>
      </c>
      <c r="H130">
        <v>300426</v>
      </c>
    </row>
    <row r="131" spans="1:8">
      <c r="A131" t="s">
        <v>61</v>
      </c>
      <c r="B131">
        <v>127</v>
      </c>
      <c r="C131">
        <v>127</v>
      </c>
      <c r="D131">
        <f>ROUND(难度节点!$C$14+($B131-难度节点!$A$14)*(难度节点!$C$15-难度节点!$C$14)/(难度节点!$A$15-难度节点!$A$14),0)</f>
        <v>317</v>
      </c>
      <c r="E131">
        <v>1.12582067235919</v>
      </c>
      <c r="F131">
        <v>0.729834891319568</v>
      </c>
      <c r="G131">
        <v>1</v>
      </c>
      <c r="H131">
        <v>300427</v>
      </c>
    </row>
    <row r="132" spans="1:8">
      <c r="A132" t="s">
        <v>61</v>
      </c>
      <c r="B132">
        <v>128</v>
      </c>
      <c r="C132">
        <v>128</v>
      </c>
      <c r="D132">
        <f>ROUND(难度节点!$C$14+($B132-难度节点!$A$14)*(难度节点!$C$15-难度节点!$C$14)/(难度节点!$A$15-难度节点!$A$14),0)</f>
        <v>319</v>
      </c>
      <c r="E132">
        <v>1.12582067235919</v>
      </c>
      <c r="F132">
        <v>0.729834891319568</v>
      </c>
      <c r="G132">
        <v>1</v>
      </c>
      <c r="H132">
        <v>300428</v>
      </c>
    </row>
    <row r="133" spans="1:8">
      <c r="A133" t="s">
        <v>61</v>
      </c>
      <c r="B133">
        <v>129</v>
      </c>
      <c r="C133">
        <v>129</v>
      </c>
      <c r="D133">
        <f>ROUND(难度节点!$C$14+($B133-难度节点!$A$14)*(难度节点!$C$15-难度节点!$C$14)/(难度节点!$A$15-难度节点!$A$14),0)</f>
        <v>320</v>
      </c>
      <c r="E133">
        <v>1.12582067235919</v>
      </c>
      <c r="F133">
        <v>0.729834891319568</v>
      </c>
      <c r="G133">
        <v>1</v>
      </c>
      <c r="H133">
        <v>300429</v>
      </c>
    </row>
    <row r="134" spans="1:8">
      <c r="A134" t="s">
        <v>61</v>
      </c>
      <c r="B134">
        <v>130</v>
      </c>
      <c r="C134">
        <v>130</v>
      </c>
      <c r="D134">
        <f>ROUND(难度节点!$C$15+($B134-难度节点!$A$15)*(难度节点!$C$16-难度节点!$C$15)/(难度节点!$A$16-难度节点!$A$15),0)</f>
        <v>322</v>
      </c>
      <c r="E134">
        <v>1.12671592412141</v>
      </c>
      <c r="F134">
        <v>0.731229508674054</v>
      </c>
      <c r="G134">
        <v>1</v>
      </c>
      <c r="H134">
        <v>300430</v>
      </c>
    </row>
    <row r="135" spans="1:8">
      <c r="A135" t="s">
        <v>61</v>
      </c>
      <c r="B135">
        <v>131</v>
      </c>
      <c r="C135">
        <v>131</v>
      </c>
      <c r="D135">
        <f>ROUND(难度节点!$C$15+($B135-难度节点!$A$15)*(难度节点!$C$16-难度节点!$C$15)/(难度节点!$A$16-难度节点!$A$15),0)</f>
        <v>324</v>
      </c>
      <c r="E135">
        <v>1.12582067235919</v>
      </c>
      <c r="F135">
        <v>0.729834891319568</v>
      </c>
      <c r="G135">
        <v>1</v>
      </c>
      <c r="H135">
        <v>300431</v>
      </c>
    </row>
    <row r="136" spans="1:8">
      <c r="A136" t="s">
        <v>61</v>
      </c>
      <c r="B136">
        <v>132</v>
      </c>
      <c r="C136">
        <v>132</v>
      </c>
      <c r="D136">
        <f>ROUND(难度节点!$C$15+($B136-难度节点!$A$15)*(难度节点!$C$16-难度节点!$C$15)/(难度节点!$A$16-难度节点!$A$15),0)</f>
        <v>326</v>
      </c>
      <c r="E136">
        <v>1.12582067235919</v>
      </c>
      <c r="F136">
        <v>0.729834891319568</v>
      </c>
      <c r="G136">
        <v>1</v>
      </c>
      <c r="H136">
        <v>300432</v>
      </c>
    </row>
    <row r="137" spans="1:8">
      <c r="A137" t="s">
        <v>61</v>
      </c>
      <c r="B137">
        <v>133</v>
      </c>
      <c r="C137">
        <v>133</v>
      </c>
      <c r="D137">
        <f>ROUND(难度节点!$C$15+($B137-难度节点!$A$15)*(难度节点!$C$16-难度节点!$C$15)/(难度节点!$A$16-难度节点!$A$15),0)</f>
        <v>327</v>
      </c>
      <c r="E137">
        <v>1.12582067235919</v>
      </c>
      <c r="F137">
        <v>0.729834891319568</v>
      </c>
      <c r="G137">
        <v>1</v>
      </c>
      <c r="H137">
        <v>300433</v>
      </c>
    </row>
    <row r="138" spans="1:8">
      <c r="A138" t="s">
        <v>61</v>
      </c>
      <c r="B138">
        <v>134</v>
      </c>
      <c r="C138">
        <v>134</v>
      </c>
      <c r="D138">
        <f>ROUND(难度节点!$C$15+($B138-难度节点!$A$15)*(难度节点!$C$16-难度节点!$C$15)/(难度节点!$A$16-难度节点!$A$15),0)</f>
        <v>329</v>
      </c>
      <c r="E138">
        <v>1.12582067235919</v>
      </c>
      <c r="F138">
        <v>0.729834891319568</v>
      </c>
      <c r="G138">
        <v>1</v>
      </c>
      <c r="H138">
        <v>300434</v>
      </c>
    </row>
    <row r="139" spans="1:8">
      <c r="A139" t="s">
        <v>61</v>
      </c>
      <c r="B139">
        <v>135</v>
      </c>
      <c r="C139">
        <v>135</v>
      </c>
      <c r="D139">
        <f>ROUND(难度节点!$C$15+($B139-难度节点!$A$15)*(难度节点!$C$16-难度节点!$C$15)/(难度节点!$A$16-难度节点!$A$15),0)</f>
        <v>331</v>
      </c>
      <c r="E139">
        <v>1.13108015591293</v>
      </c>
      <c r="F139">
        <v>0.726679309784578</v>
      </c>
      <c r="G139">
        <v>1</v>
      </c>
      <c r="H139">
        <v>300435</v>
      </c>
    </row>
    <row r="140" spans="1:8">
      <c r="A140" t="s">
        <v>61</v>
      </c>
      <c r="B140">
        <v>136</v>
      </c>
      <c r="C140">
        <v>136</v>
      </c>
      <c r="D140">
        <f>ROUND(难度节点!$C$15+($B140-难度节点!$A$15)*(难度节点!$C$16-难度节点!$C$15)/(难度节点!$A$16-难度节点!$A$15),0)</f>
        <v>333</v>
      </c>
      <c r="E140">
        <v>1.12582067235919</v>
      </c>
      <c r="F140">
        <v>0.729834891319568</v>
      </c>
      <c r="G140">
        <v>1</v>
      </c>
      <c r="H140">
        <v>300436</v>
      </c>
    </row>
    <row r="141" spans="1:8">
      <c r="A141" t="s">
        <v>61</v>
      </c>
      <c r="B141">
        <v>137</v>
      </c>
      <c r="C141">
        <v>137</v>
      </c>
      <c r="D141">
        <f>ROUND(难度节点!$C$15+($B141-难度节点!$A$15)*(难度节点!$C$16-难度节点!$C$15)/(难度节点!$A$16-难度节点!$A$15),0)</f>
        <v>335</v>
      </c>
      <c r="E141">
        <v>1.12582067235919</v>
      </c>
      <c r="F141">
        <v>0.729834891319568</v>
      </c>
      <c r="G141">
        <v>1</v>
      </c>
      <c r="H141">
        <v>300437</v>
      </c>
    </row>
    <row r="142" spans="1:8">
      <c r="A142" t="s">
        <v>61</v>
      </c>
      <c r="B142">
        <v>138</v>
      </c>
      <c r="C142">
        <v>138</v>
      </c>
      <c r="D142">
        <f>ROUND(难度节点!$C$15+($B142-难度节点!$A$15)*(难度节点!$C$16-难度节点!$C$15)/(难度节点!$A$16-难度节点!$A$15),0)</f>
        <v>336</v>
      </c>
      <c r="E142">
        <v>1.12582067235919</v>
      </c>
      <c r="F142">
        <v>0.729834891319568</v>
      </c>
      <c r="G142">
        <v>1</v>
      </c>
      <c r="H142">
        <v>300438</v>
      </c>
    </row>
    <row r="143" spans="1:8">
      <c r="A143" t="s">
        <v>61</v>
      </c>
      <c r="B143">
        <v>139</v>
      </c>
      <c r="C143">
        <v>139</v>
      </c>
      <c r="D143">
        <f>ROUND(难度节点!$C$15+($B143-难度节点!$A$15)*(难度节点!$C$16-难度节点!$C$15)/(难度节点!$A$16-难度节点!$A$15),0)</f>
        <v>338</v>
      </c>
      <c r="E143">
        <v>1.12582067235919</v>
      </c>
      <c r="F143">
        <v>0.729834891319568</v>
      </c>
      <c r="G143">
        <v>1</v>
      </c>
      <c r="H143">
        <v>300439</v>
      </c>
    </row>
    <row r="144" spans="1:8">
      <c r="A144" t="s">
        <v>61</v>
      </c>
      <c r="B144">
        <v>140</v>
      </c>
      <c r="C144">
        <v>140</v>
      </c>
      <c r="D144">
        <f>ROUND(难度节点!$C$16+($B144-难度节点!$A$16)*(难度节点!$C$17-难度节点!$C$16)/(难度节点!$A$17-难度节点!$A$16),0)</f>
        <v>340</v>
      </c>
      <c r="E144">
        <v>1.12671592412141</v>
      </c>
      <c r="F144">
        <v>0.731229508674054</v>
      </c>
      <c r="G144">
        <v>1</v>
      </c>
      <c r="H144">
        <v>300440</v>
      </c>
    </row>
    <row r="145" spans="1:8">
      <c r="A145" t="s">
        <v>61</v>
      </c>
      <c r="B145">
        <v>141</v>
      </c>
      <c r="C145">
        <v>141</v>
      </c>
      <c r="D145">
        <f>ROUND(难度节点!$C$16+($B145-难度节点!$A$16)*(难度节点!$C$17-难度节点!$C$16)/(难度节点!$A$17-难度节点!$A$16),0)</f>
        <v>342</v>
      </c>
      <c r="E145">
        <v>1.12582067235919</v>
      </c>
      <c r="F145">
        <v>0.729834891319568</v>
      </c>
      <c r="G145">
        <v>1</v>
      </c>
      <c r="H145">
        <v>300441</v>
      </c>
    </row>
    <row r="146" spans="1:8">
      <c r="A146" t="s">
        <v>61</v>
      </c>
      <c r="B146">
        <v>142</v>
      </c>
      <c r="C146">
        <v>142</v>
      </c>
      <c r="D146">
        <f>ROUND(难度节点!$C$16+($B146-难度节点!$A$16)*(难度节点!$C$17-难度节点!$C$16)/(难度节点!$A$17-难度节点!$A$16),0)</f>
        <v>344</v>
      </c>
      <c r="E146">
        <v>1.12582067235919</v>
      </c>
      <c r="F146">
        <v>0.729834891319568</v>
      </c>
      <c r="G146">
        <v>1</v>
      </c>
      <c r="H146">
        <v>300442</v>
      </c>
    </row>
    <row r="147" spans="1:8">
      <c r="A147" t="s">
        <v>61</v>
      </c>
      <c r="B147">
        <v>143</v>
      </c>
      <c r="C147">
        <v>143</v>
      </c>
      <c r="D147">
        <f>ROUND(难度节点!$C$16+($B147-难度节点!$A$16)*(难度节点!$C$17-难度节点!$C$16)/(难度节点!$A$17-难度节点!$A$16),0)</f>
        <v>346</v>
      </c>
      <c r="E147">
        <v>1.12582067235919</v>
      </c>
      <c r="F147">
        <v>0.729834891319568</v>
      </c>
      <c r="G147">
        <v>1</v>
      </c>
      <c r="H147">
        <v>300443</v>
      </c>
    </row>
    <row r="148" spans="1:8">
      <c r="A148" t="s">
        <v>61</v>
      </c>
      <c r="B148">
        <v>144</v>
      </c>
      <c r="C148">
        <v>144</v>
      </c>
      <c r="D148">
        <f>ROUND(难度节点!$C$16+($B148-难度节点!$A$16)*(难度节点!$C$17-难度节点!$C$16)/(难度节点!$A$17-难度节点!$A$16),0)</f>
        <v>348</v>
      </c>
      <c r="E148">
        <v>1.12582067235919</v>
      </c>
      <c r="F148">
        <v>0.729834891319568</v>
      </c>
      <c r="G148">
        <v>1</v>
      </c>
      <c r="H148">
        <v>300444</v>
      </c>
    </row>
    <row r="149" spans="1:8">
      <c r="A149" t="s">
        <v>61</v>
      </c>
      <c r="B149">
        <v>145</v>
      </c>
      <c r="C149">
        <v>145</v>
      </c>
      <c r="D149">
        <f>ROUND(难度节点!$C$16+($B149-难度节点!$A$16)*(难度节点!$C$17-难度节点!$C$16)/(难度节点!$A$17-难度节点!$A$16),0)</f>
        <v>350</v>
      </c>
      <c r="E149">
        <v>1.13108015591293</v>
      </c>
      <c r="F149">
        <v>0.726679309784578</v>
      </c>
      <c r="G149">
        <v>1</v>
      </c>
      <c r="H149">
        <v>300445</v>
      </c>
    </row>
    <row r="150" spans="1:8">
      <c r="A150" t="s">
        <v>61</v>
      </c>
      <c r="B150">
        <v>146</v>
      </c>
      <c r="C150">
        <v>146</v>
      </c>
      <c r="D150">
        <f>ROUND(难度节点!$C$16+($B150-难度节点!$A$16)*(难度节点!$C$17-难度节点!$C$16)/(难度节点!$A$17-难度节点!$A$16),0)</f>
        <v>352</v>
      </c>
      <c r="E150">
        <v>1.12582067235919</v>
      </c>
      <c r="F150">
        <v>0.729834891319568</v>
      </c>
      <c r="G150">
        <v>1</v>
      </c>
      <c r="H150">
        <v>300446</v>
      </c>
    </row>
    <row r="151" spans="1:8">
      <c r="A151" t="s">
        <v>61</v>
      </c>
      <c r="B151">
        <v>147</v>
      </c>
      <c r="C151">
        <v>147</v>
      </c>
      <c r="D151">
        <f>ROUND(难度节点!$C$16+($B151-难度节点!$A$16)*(难度节点!$C$17-难度节点!$C$16)/(难度节点!$A$17-难度节点!$A$16),0)</f>
        <v>354</v>
      </c>
      <c r="E151">
        <v>1.12582067235919</v>
      </c>
      <c r="F151">
        <v>0.729834891319568</v>
      </c>
      <c r="G151">
        <v>1</v>
      </c>
      <c r="H151">
        <v>300447</v>
      </c>
    </row>
    <row r="152" spans="1:8">
      <c r="A152" t="s">
        <v>61</v>
      </c>
      <c r="B152">
        <v>148</v>
      </c>
      <c r="C152">
        <v>148</v>
      </c>
      <c r="D152">
        <f>ROUND(难度节点!$C$16+($B152-难度节点!$A$16)*(难度节点!$C$17-难度节点!$C$16)/(难度节点!$A$17-难度节点!$A$16),0)</f>
        <v>356</v>
      </c>
      <c r="E152">
        <v>1.12582067235919</v>
      </c>
      <c r="F152">
        <v>0.729834891319568</v>
      </c>
      <c r="G152">
        <v>1</v>
      </c>
      <c r="H152">
        <v>300448</v>
      </c>
    </row>
    <row r="153" spans="1:8">
      <c r="A153" t="s">
        <v>61</v>
      </c>
      <c r="B153">
        <v>149</v>
      </c>
      <c r="C153">
        <v>149</v>
      </c>
      <c r="D153">
        <f>ROUND(难度节点!$C$16+($B153-难度节点!$A$16)*(难度节点!$C$17-难度节点!$C$16)/(难度节点!$A$17-难度节点!$A$16),0)</f>
        <v>358</v>
      </c>
      <c r="E153">
        <v>1.12582067235919</v>
      </c>
      <c r="F153">
        <v>0.729834891319568</v>
      </c>
      <c r="G153">
        <v>1</v>
      </c>
      <c r="H153">
        <v>300449</v>
      </c>
    </row>
    <row r="154" spans="1:8">
      <c r="A154" t="s">
        <v>61</v>
      </c>
      <c r="B154">
        <v>150</v>
      </c>
      <c r="C154">
        <v>150</v>
      </c>
      <c r="D154">
        <f>ROUND(难度节点!$C$17+($B154-难度节点!$A$17)*(难度节点!$C$18-难度节点!$C$17)/(难度节点!$A$18-难度节点!$A$17),0)</f>
        <v>360</v>
      </c>
      <c r="E154">
        <v>1.12671592412141</v>
      </c>
      <c r="F154">
        <v>0.731229508674054</v>
      </c>
      <c r="G154">
        <v>1</v>
      </c>
      <c r="H154">
        <v>300450</v>
      </c>
    </row>
    <row r="155" spans="1:8">
      <c r="A155" t="s">
        <v>61</v>
      </c>
      <c r="B155">
        <v>151</v>
      </c>
      <c r="C155">
        <v>151</v>
      </c>
      <c r="D155">
        <f>ROUND(难度节点!$C$17+($B155-难度节点!$A$17)*(难度节点!$C$18-难度节点!$C$17)/(难度节点!$A$18-难度节点!$A$17),0)</f>
        <v>362</v>
      </c>
      <c r="E155">
        <v>1.12582067235919</v>
      </c>
      <c r="F155">
        <v>0.729834891319568</v>
      </c>
      <c r="G155">
        <v>1</v>
      </c>
      <c r="H155">
        <v>300451</v>
      </c>
    </row>
    <row r="156" spans="1:8">
      <c r="A156" t="s">
        <v>61</v>
      </c>
      <c r="B156">
        <v>152</v>
      </c>
      <c r="C156">
        <v>152</v>
      </c>
      <c r="D156">
        <f>ROUND(难度节点!$C$17+($B156-难度节点!$A$17)*(难度节点!$C$18-难度节点!$C$17)/(难度节点!$A$18-难度节点!$A$17),0)</f>
        <v>364</v>
      </c>
      <c r="E156">
        <v>1.12582067235919</v>
      </c>
      <c r="F156">
        <v>0.729834891319568</v>
      </c>
      <c r="G156">
        <v>1</v>
      </c>
      <c r="H156">
        <v>300452</v>
      </c>
    </row>
    <row r="157" spans="1:8">
      <c r="A157" t="s">
        <v>61</v>
      </c>
      <c r="B157">
        <v>153</v>
      </c>
      <c r="C157">
        <v>153</v>
      </c>
      <c r="D157">
        <f>ROUND(难度节点!$C$17+($B157-难度节点!$A$17)*(难度节点!$C$18-难度节点!$C$17)/(难度节点!$A$18-难度节点!$A$17),0)</f>
        <v>367</v>
      </c>
      <c r="E157">
        <v>1.12582067235919</v>
      </c>
      <c r="F157">
        <v>0.729834891319568</v>
      </c>
      <c r="G157">
        <v>1</v>
      </c>
      <c r="H157">
        <v>300453</v>
      </c>
    </row>
    <row r="158" spans="1:8">
      <c r="A158" t="s">
        <v>61</v>
      </c>
      <c r="B158">
        <v>154</v>
      </c>
      <c r="C158">
        <v>154</v>
      </c>
      <c r="D158">
        <f>ROUND(难度节点!$C$17+($B158-难度节点!$A$17)*(难度节点!$C$18-难度节点!$C$17)/(难度节点!$A$18-难度节点!$A$17),0)</f>
        <v>369</v>
      </c>
      <c r="E158">
        <v>1.12582067235919</v>
      </c>
      <c r="F158">
        <v>0.729834891319568</v>
      </c>
      <c r="G158">
        <v>1</v>
      </c>
      <c r="H158">
        <v>300454</v>
      </c>
    </row>
    <row r="159" spans="1:8">
      <c r="A159" t="s">
        <v>61</v>
      </c>
      <c r="B159">
        <v>155</v>
      </c>
      <c r="C159">
        <v>155</v>
      </c>
      <c r="D159">
        <f>ROUND(难度节点!$C$17+($B159-难度节点!$A$17)*(难度节点!$C$18-难度节点!$C$17)/(难度节点!$A$18-难度节点!$A$17),0)</f>
        <v>371</v>
      </c>
      <c r="E159">
        <v>1.13108015591293</v>
      </c>
      <c r="F159">
        <v>0.726679309784578</v>
      </c>
      <c r="G159">
        <v>1</v>
      </c>
      <c r="H159">
        <v>300455</v>
      </c>
    </row>
    <row r="160" spans="1:8">
      <c r="A160" t="s">
        <v>61</v>
      </c>
      <c r="B160">
        <v>156</v>
      </c>
      <c r="C160">
        <v>156</v>
      </c>
      <c r="D160">
        <f>ROUND(难度节点!$C$17+($B160-难度节点!$A$17)*(难度节点!$C$18-难度节点!$C$17)/(难度节点!$A$18-难度节点!$A$17),0)</f>
        <v>373</v>
      </c>
      <c r="E160">
        <v>1.12582067235919</v>
      </c>
      <c r="F160">
        <v>0.729834891319568</v>
      </c>
      <c r="G160">
        <v>1</v>
      </c>
      <c r="H160">
        <v>300456</v>
      </c>
    </row>
    <row r="161" spans="1:8">
      <c r="A161" t="s">
        <v>61</v>
      </c>
      <c r="B161">
        <v>157</v>
      </c>
      <c r="C161">
        <v>157</v>
      </c>
      <c r="D161">
        <f>ROUND(难度节点!$C$17+($B161-难度节点!$A$17)*(难度节点!$C$18-难度节点!$C$17)/(难度节点!$A$18-难度节点!$A$17),0)</f>
        <v>375</v>
      </c>
      <c r="E161">
        <v>1.12582067235919</v>
      </c>
      <c r="F161">
        <v>0.729834891319568</v>
      </c>
      <c r="G161">
        <v>1</v>
      </c>
      <c r="H161">
        <v>300457</v>
      </c>
    </row>
    <row r="162" spans="1:8">
      <c r="A162" t="s">
        <v>61</v>
      </c>
      <c r="B162">
        <v>158</v>
      </c>
      <c r="C162">
        <v>158</v>
      </c>
      <c r="D162">
        <f>ROUND(难度节点!$C$17+($B162-难度节点!$A$17)*(难度节点!$C$18-难度节点!$C$17)/(难度节点!$A$18-难度节点!$A$17),0)</f>
        <v>378</v>
      </c>
      <c r="E162">
        <v>1.12582067235919</v>
      </c>
      <c r="F162">
        <v>0.729834891319568</v>
      </c>
      <c r="G162">
        <v>1</v>
      </c>
      <c r="H162">
        <v>300458</v>
      </c>
    </row>
    <row r="163" spans="1:8">
      <c r="A163" t="s">
        <v>61</v>
      </c>
      <c r="B163">
        <v>159</v>
      </c>
      <c r="C163">
        <v>159</v>
      </c>
      <c r="D163">
        <f>ROUND(难度节点!$C$17+($B163-难度节点!$A$17)*(难度节点!$C$18-难度节点!$C$17)/(难度节点!$A$18-难度节点!$A$17),0)</f>
        <v>380</v>
      </c>
      <c r="E163">
        <v>1.12582067235919</v>
      </c>
      <c r="F163">
        <v>0.729834891319568</v>
      </c>
      <c r="G163">
        <v>1</v>
      </c>
      <c r="H163">
        <v>300459</v>
      </c>
    </row>
    <row r="164" spans="1:8">
      <c r="A164" t="s">
        <v>61</v>
      </c>
      <c r="B164">
        <v>160</v>
      </c>
      <c r="C164">
        <v>160</v>
      </c>
      <c r="D164">
        <f>ROUND(难度节点!$C$18+($B164-难度节点!$A$18)*(难度节点!$C$19-难度节点!$C$18)/(难度节点!$A$19-难度节点!$A$18),0)</f>
        <v>382</v>
      </c>
      <c r="E164">
        <v>1.12671592412141</v>
      </c>
      <c r="F164">
        <v>0.731229508674054</v>
      </c>
      <c r="G164">
        <v>1</v>
      </c>
      <c r="H164">
        <v>300460</v>
      </c>
    </row>
    <row r="165" spans="1:8">
      <c r="A165" t="s">
        <v>61</v>
      </c>
      <c r="B165">
        <v>161</v>
      </c>
      <c r="C165">
        <v>161</v>
      </c>
      <c r="D165">
        <f>ROUND(难度节点!$C$18+($B165-难度节点!$A$18)*(难度节点!$C$19-难度节点!$C$18)/(难度节点!$A$19-难度节点!$A$18),0)</f>
        <v>384</v>
      </c>
      <c r="E165">
        <v>1.12582067235919</v>
      </c>
      <c r="F165">
        <v>0.729834891319568</v>
      </c>
      <c r="G165">
        <v>1</v>
      </c>
      <c r="H165">
        <v>300461</v>
      </c>
    </row>
    <row r="166" spans="1:8">
      <c r="A166" t="s">
        <v>61</v>
      </c>
      <c r="B166">
        <v>162</v>
      </c>
      <c r="C166">
        <v>162</v>
      </c>
      <c r="D166">
        <f>ROUND(难度节点!$C$18+($B166-难度节点!$A$18)*(难度节点!$C$19-难度节点!$C$18)/(难度节点!$A$19-难度节点!$A$18),0)</f>
        <v>387</v>
      </c>
      <c r="E166">
        <v>1.12582067235919</v>
      </c>
      <c r="F166">
        <v>0.729834891319568</v>
      </c>
      <c r="G166">
        <v>1</v>
      </c>
      <c r="H166">
        <v>300462</v>
      </c>
    </row>
    <row r="167" spans="1:8">
      <c r="A167" t="s">
        <v>61</v>
      </c>
      <c r="B167">
        <v>163</v>
      </c>
      <c r="C167">
        <v>163</v>
      </c>
      <c r="D167">
        <f>ROUND(难度节点!$C$18+($B167-难度节点!$A$18)*(难度节点!$C$19-难度节点!$C$18)/(难度节点!$A$19-难度节点!$A$18),0)</f>
        <v>389</v>
      </c>
      <c r="E167">
        <v>1.12582067235919</v>
      </c>
      <c r="F167">
        <v>0.729834891319568</v>
      </c>
      <c r="G167">
        <v>1</v>
      </c>
      <c r="H167">
        <v>300463</v>
      </c>
    </row>
    <row r="168" spans="1:8">
      <c r="A168" t="s">
        <v>61</v>
      </c>
      <c r="B168">
        <v>164</v>
      </c>
      <c r="C168">
        <v>164</v>
      </c>
      <c r="D168">
        <f>ROUND(难度节点!$C$18+($B168-难度节点!$A$18)*(难度节点!$C$19-难度节点!$C$18)/(难度节点!$A$19-难度节点!$A$18),0)</f>
        <v>392</v>
      </c>
      <c r="E168">
        <v>1.12582067235919</v>
      </c>
      <c r="F168">
        <v>0.729834891319568</v>
      </c>
      <c r="G168">
        <v>1</v>
      </c>
      <c r="H168">
        <v>300464</v>
      </c>
    </row>
    <row r="169" spans="1:8">
      <c r="A169" t="s">
        <v>61</v>
      </c>
      <c r="B169">
        <v>165</v>
      </c>
      <c r="C169">
        <v>165</v>
      </c>
      <c r="D169">
        <f>ROUND(难度节点!$C$18+($B169-难度节点!$A$18)*(难度节点!$C$19-难度节点!$C$18)/(难度节点!$A$19-难度节点!$A$18),0)</f>
        <v>394</v>
      </c>
      <c r="E169">
        <v>1.13108015591293</v>
      </c>
      <c r="F169">
        <v>0.726679309784578</v>
      </c>
      <c r="G169">
        <v>1</v>
      </c>
      <c r="H169">
        <v>300465</v>
      </c>
    </row>
    <row r="170" spans="1:8">
      <c r="A170" t="s">
        <v>61</v>
      </c>
      <c r="B170">
        <v>166</v>
      </c>
      <c r="C170">
        <v>166</v>
      </c>
      <c r="D170">
        <f>ROUND(难度节点!$C$18+($B170-难度节点!$A$18)*(难度节点!$C$19-难度节点!$C$18)/(难度节点!$A$19-难度节点!$A$18),0)</f>
        <v>396</v>
      </c>
      <c r="E170">
        <v>1.12582067235919</v>
      </c>
      <c r="F170">
        <v>0.729834891319568</v>
      </c>
      <c r="G170">
        <v>1</v>
      </c>
      <c r="H170">
        <v>300466</v>
      </c>
    </row>
    <row r="171" spans="1:8">
      <c r="A171" t="s">
        <v>61</v>
      </c>
      <c r="B171">
        <v>167</v>
      </c>
      <c r="C171">
        <v>167</v>
      </c>
      <c r="D171">
        <f>ROUND(难度节点!$C$18+($B171-难度节点!$A$18)*(难度节点!$C$19-难度节点!$C$18)/(难度节点!$A$19-难度节点!$A$18),0)</f>
        <v>399</v>
      </c>
      <c r="E171">
        <v>1.12582067235919</v>
      </c>
      <c r="F171">
        <v>0.729834891319568</v>
      </c>
      <c r="G171">
        <v>1</v>
      </c>
      <c r="H171">
        <v>300467</v>
      </c>
    </row>
    <row r="172" spans="1:8">
      <c r="A172" t="s">
        <v>61</v>
      </c>
      <c r="B172">
        <v>168</v>
      </c>
      <c r="C172">
        <v>168</v>
      </c>
      <c r="D172">
        <f>ROUND(难度节点!$C$18+($B172-难度节点!$A$18)*(难度节点!$C$19-难度节点!$C$18)/(难度节点!$A$19-难度节点!$A$18),0)</f>
        <v>401</v>
      </c>
      <c r="E172">
        <v>1.12582067235919</v>
      </c>
      <c r="F172">
        <v>0.729834891319568</v>
      </c>
      <c r="G172">
        <v>1</v>
      </c>
      <c r="H172">
        <v>300468</v>
      </c>
    </row>
    <row r="173" spans="1:8">
      <c r="A173" t="s">
        <v>61</v>
      </c>
      <c r="B173">
        <v>169</v>
      </c>
      <c r="C173">
        <v>169</v>
      </c>
      <c r="D173">
        <f>ROUND(难度节点!$C$18+($B173-难度节点!$A$18)*(难度节点!$C$19-难度节点!$C$18)/(难度节点!$A$19-难度节点!$A$18),0)</f>
        <v>404</v>
      </c>
      <c r="E173">
        <v>1.12582067235919</v>
      </c>
      <c r="F173">
        <v>0.729834891319568</v>
      </c>
      <c r="G173">
        <v>1</v>
      </c>
      <c r="H173">
        <v>300469</v>
      </c>
    </row>
    <row r="174" spans="1:8">
      <c r="A174" t="s">
        <v>61</v>
      </c>
      <c r="B174">
        <v>170</v>
      </c>
      <c r="C174">
        <v>170</v>
      </c>
      <c r="D174">
        <f>ROUND(难度节点!$C$19+($B174-难度节点!$A$19)*(难度节点!$C$20-难度节点!$C$19)/(难度节点!$A$20-难度节点!$A$19),0)</f>
        <v>406</v>
      </c>
      <c r="E174">
        <v>1.12671592412141</v>
      </c>
      <c r="F174">
        <v>0.731229508674054</v>
      </c>
      <c r="G174">
        <v>1</v>
      </c>
      <c r="H174">
        <v>300470</v>
      </c>
    </row>
    <row r="175" spans="1:8">
      <c r="A175" t="s">
        <v>61</v>
      </c>
      <c r="B175">
        <v>171</v>
      </c>
      <c r="C175">
        <v>171</v>
      </c>
      <c r="D175">
        <f>ROUND(难度节点!$C$19+($B175-难度节点!$A$19)*(难度节点!$C$20-难度节点!$C$19)/(难度节点!$A$20-难度节点!$A$19),0)</f>
        <v>409</v>
      </c>
      <c r="E175">
        <v>1.12582067235919</v>
      </c>
      <c r="F175">
        <v>0.729834891319568</v>
      </c>
      <c r="G175">
        <v>1</v>
      </c>
      <c r="H175">
        <v>300471</v>
      </c>
    </row>
    <row r="176" spans="1:8">
      <c r="A176" t="s">
        <v>61</v>
      </c>
      <c r="B176">
        <v>172</v>
      </c>
      <c r="C176">
        <v>172</v>
      </c>
      <c r="D176">
        <f>ROUND(难度节点!$C$19+($B176-难度节点!$A$19)*(难度节点!$C$20-难度节点!$C$19)/(难度节点!$A$20-难度节点!$A$19),0)</f>
        <v>411</v>
      </c>
      <c r="E176">
        <v>1.12582067235919</v>
      </c>
      <c r="F176">
        <v>0.729834891319568</v>
      </c>
      <c r="G176">
        <v>1</v>
      </c>
      <c r="H176">
        <v>300472</v>
      </c>
    </row>
    <row r="177" spans="1:8">
      <c r="A177" t="s">
        <v>61</v>
      </c>
      <c r="B177">
        <v>173</v>
      </c>
      <c r="C177">
        <v>173</v>
      </c>
      <c r="D177">
        <f>ROUND(难度节点!$C$19+($B177-难度节点!$A$19)*(难度节点!$C$20-难度节点!$C$19)/(难度节点!$A$20-难度节点!$A$19),0)</f>
        <v>414</v>
      </c>
      <c r="E177">
        <v>1.12582067235919</v>
      </c>
      <c r="F177">
        <v>0.729834891319568</v>
      </c>
      <c r="G177">
        <v>1</v>
      </c>
      <c r="H177">
        <v>300473</v>
      </c>
    </row>
    <row r="178" spans="1:8">
      <c r="A178" t="s">
        <v>61</v>
      </c>
      <c r="B178">
        <v>174</v>
      </c>
      <c r="C178">
        <v>174</v>
      </c>
      <c r="D178">
        <f>ROUND(难度节点!$C$19+($B178-难度节点!$A$19)*(难度节点!$C$20-难度节点!$C$19)/(难度节点!$A$20-难度节点!$A$19),0)</f>
        <v>416</v>
      </c>
      <c r="E178">
        <v>1.12582067235919</v>
      </c>
      <c r="F178">
        <v>0.729834891319568</v>
      </c>
      <c r="G178">
        <v>1</v>
      </c>
      <c r="H178">
        <v>300474</v>
      </c>
    </row>
    <row r="179" spans="1:8">
      <c r="A179" t="s">
        <v>61</v>
      </c>
      <c r="B179">
        <v>175</v>
      </c>
      <c r="C179">
        <v>175</v>
      </c>
      <c r="D179">
        <f>ROUND(难度节点!$C$19+($B179-难度节点!$A$19)*(难度节点!$C$20-难度节点!$C$19)/(难度节点!$A$20-难度节点!$A$19),0)</f>
        <v>419</v>
      </c>
      <c r="E179">
        <v>1.13108015591293</v>
      </c>
      <c r="F179">
        <v>0.726679309784578</v>
      </c>
      <c r="G179">
        <v>1</v>
      </c>
      <c r="H179">
        <v>300475</v>
      </c>
    </row>
    <row r="180" spans="1:8">
      <c r="A180" t="s">
        <v>61</v>
      </c>
      <c r="B180">
        <v>176</v>
      </c>
      <c r="C180">
        <v>176</v>
      </c>
      <c r="D180">
        <f>ROUND(难度节点!$C$19+($B180-难度节点!$A$19)*(难度节点!$C$20-难度节点!$C$19)/(难度节点!$A$20-难度节点!$A$19),0)</f>
        <v>422</v>
      </c>
      <c r="E180">
        <v>1.12582067235919</v>
      </c>
      <c r="F180">
        <v>0.729834891319568</v>
      </c>
      <c r="G180">
        <v>1</v>
      </c>
      <c r="H180">
        <v>300476</v>
      </c>
    </row>
    <row r="181" spans="1:8">
      <c r="A181" t="s">
        <v>61</v>
      </c>
      <c r="B181">
        <v>177</v>
      </c>
      <c r="C181">
        <v>177</v>
      </c>
      <c r="D181">
        <f>ROUND(难度节点!$C$19+($B181-难度节点!$A$19)*(难度节点!$C$20-难度节点!$C$19)/(难度节点!$A$20-难度节点!$A$19),0)</f>
        <v>424</v>
      </c>
      <c r="E181">
        <v>1.12582067235919</v>
      </c>
      <c r="F181">
        <v>0.729834891319568</v>
      </c>
      <c r="G181">
        <v>1</v>
      </c>
      <c r="H181">
        <v>300477</v>
      </c>
    </row>
    <row r="182" spans="1:8">
      <c r="A182" t="s">
        <v>61</v>
      </c>
      <c r="B182">
        <v>178</v>
      </c>
      <c r="C182">
        <v>178</v>
      </c>
      <c r="D182">
        <f>ROUND(难度节点!$C$19+($B182-难度节点!$A$19)*(难度节点!$C$20-难度节点!$C$19)/(难度节点!$A$20-难度节点!$A$19),0)</f>
        <v>427</v>
      </c>
      <c r="E182">
        <v>1.12582067235919</v>
      </c>
      <c r="F182">
        <v>0.729834891319568</v>
      </c>
      <c r="G182">
        <v>1</v>
      </c>
      <c r="H182">
        <v>300478</v>
      </c>
    </row>
    <row r="183" spans="1:8">
      <c r="A183" t="s">
        <v>61</v>
      </c>
      <c r="B183">
        <v>179</v>
      </c>
      <c r="C183">
        <v>179</v>
      </c>
      <c r="D183">
        <f>ROUND(难度节点!$C$19+($B183-难度节点!$A$19)*(难度节点!$C$20-难度节点!$C$19)/(难度节点!$A$20-难度节点!$A$19),0)</f>
        <v>429</v>
      </c>
      <c r="E183">
        <v>1.12582067235919</v>
      </c>
      <c r="F183">
        <v>0.729834891319568</v>
      </c>
      <c r="G183">
        <v>1</v>
      </c>
      <c r="H183">
        <v>300479</v>
      </c>
    </row>
    <row r="184" spans="1:8">
      <c r="A184" t="s">
        <v>61</v>
      </c>
      <c r="B184">
        <v>180</v>
      </c>
      <c r="C184">
        <v>180</v>
      </c>
      <c r="D184">
        <f>ROUND(难度节点!$C$20+($B184-难度节点!$A$20)*(难度节点!$C$21-难度节点!$C$20)/(难度节点!$A$21-难度节点!$A$20),0)</f>
        <v>432</v>
      </c>
      <c r="E184">
        <v>1.12671592412141</v>
      </c>
      <c r="F184">
        <v>0.731229508674054</v>
      </c>
      <c r="G184">
        <v>1</v>
      </c>
      <c r="H184">
        <v>300480</v>
      </c>
    </row>
    <row r="185" spans="1:8">
      <c r="A185" t="s">
        <v>61</v>
      </c>
      <c r="B185">
        <v>181</v>
      </c>
      <c r="C185">
        <v>181</v>
      </c>
      <c r="D185">
        <f>ROUND(难度节点!$C$20+($B185-难度节点!$A$20)*(难度节点!$C$21-难度节点!$C$20)/(难度节点!$A$21-难度节点!$A$20),0)</f>
        <v>435</v>
      </c>
      <c r="E185">
        <v>1.12582067235919</v>
      </c>
      <c r="F185">
        <v>0.729834891319568</v>
      </c>
      <c r="G185">
        <v>1</v>
      </c>
      <c r="H185">
        <v>300481</v>
      </c>
    </row>
    <row r="186" spans="1:8">
      <c r="A186" t="s">
        <v>61</v>
      </c>
      <c r="B186">
        <v>182</v>
      </c>
      <c r="C186">
        <v>182</v>
      </c>
      <c r="D186">
        <f>ROUND(难度节点!$C$20+($B186-难度节点!$A$20)*(难度节点!$C$21-难度节点!$C$20)/(难度节点!$A$21-难度节点!$A$20),0)</f>
        <v>438</v>
      </c>
      <c r="E186">
        <v>1.12582067235919</v>
      </c>
      <c r="F186">
        <v>0.729834891319568</v>
      </c>
      <c r="G186">
        <v>1</v>
      </c>
      <c r="H186">
        <v>300482</v>
      </c>
    </row>
    <row r="187" spans="1:8">
      <c r="A187" t="s">
        <v>61</v>
      </c>
      <c r="B187">
        <v>183</v>
      </c>
      <c r="C187">
        <v>183</v>
      </c>
      <c r="D187">
        <f>ROUND(难度节点!$C$20+($B187-难度节点!$A$20)*(难度节点!$C$21-难度节点!$C$20)/(难度节点!$A$21-难度节点!$A$20),0)</f>
        <v>441</v>
      </c>
      <c r="E187">
        <v>1.12582067235919</v>
      </c>
      <c r="F187">
        <v>0.729834891319568</v>
      </c>
      <c r="G187">
        <v>1</v>
      </c>
      <c r="H187">
        <v>300483</v>
      </c>
    </row>
    <row r="188" spans="1:8">
      <c r="A188" t="s">
        <v>61</v>
      </c>
      <c r="B188">
        <v>184</v>
      </c>
      <c r="C188">
        <v>184</v>
      </c>
      <c r="D188">
        <f>ROUND(难度节点!$C$20+($B188-难度节点!$A$20)*(难度节点!$C$21-难度节点!$C$20)/(难度节点!$A$21-难度节点!$A$20),0)</f>
        <v>444</v>
      </c>
      <c r="E188">
        <v>1.12582067235919</v>
      </c>
      <c r="F188">
        <v>0.729834891319568</v>
      </c>
      <c r="G188">
        <v>1</v>
      </c>
      <c r="H188">
        <v>300484</v>
      </c>
    </row>
    <row r="189" spans="1:8">
      <c r="A189" t="s">
        <v>61</v>
      </c>
      <c r="B189">
        <v>185</v>
      </c>
      <c r="C189">
        <v>185</v>
      </c>
      <c r="D189">
        <f>ROUND(难度节点!$C$20+($B189-难度节点!$A$20)*(难度节点!$C$21-难度节点!$C$20)/(难度节点!$A$21-难度节点!$A$20),0)</f>
        <v>447</v>
      </c>
      <c r="E189">
        <v>1.13108015591293</v>
      </c>
      <c r="F189">
        <v>0.726679309784578</v>
      </c>
      <c r="G189">
        <v>1</v>
      </c>
      <c r="H189">
        <v>300485</v>
      </c>
    </row>
    <row r="190" spans="1:8">
      <c r="A190" t="s">
        <v>61</v>
      </c>
      <c r="B190">
        <v>186</v>
      </c>
      <c r="C190">
        <v>186</v>
      </c>
      <c r="D190">
        <f>ROUND(难度节点!$C$20+($B190-难度节点!$A$20)*(难度节点!$C$21-难度节点!$C$20)/(难度节点!$A$21-难度节点!$A$20),0)</f>
        <v>450</v>
      </c>
      <c r="E190">
        <v>1.12582067235919</v>
      </c>
      <c r="F190">
        <v>0.729834891319568</v>
      </c>
      <c r="G190">
        <v>1</v>
      </c>
      <c r="H190">
        <v>300486</v>
      </c>
    </row>
    <row r="191" spans="1:8">
      <c r="A191" t="s">
        <v>61</v>
      </c>
      <c r="B191">
        <v>187</v>
      </c>
      <c r="C191">
        <v>187</v>
      </c>
      <c r="D191">
        <f>ROUND(难度节点!$C$20+($B191-难度节点!$A$20)*(难度节点!$C$21-难度节点!$C$20)/(难度节点!$A$21-难度节点!$A$20),0)</f>
        <v>453</v>
      </c>
      <c r="E191">
        <v>1.12582067235919</v>
      </c>
      <c r="F191">
        <v>0.729834891319568</v>
      </c>
      <c r="G191">
        <v>1</v>
      </c>
      <c r="H191">
        <v>300487</v>
      </c>
    </row>
    <row r="192" spans="1:8">
      <c r="A192" t="s">
        <v>61</v>
      </c>
      <c r="B192">
        <v>188</v>
      </c>
      <c r="C192">
        <v>188</v>
      </c>
      <c r="D192">
        <f>ROUND(难度节点!$C$20+($B192-难度节点!$A$20)*(难度节点!$C$21-难度节点!$C$20)/(难度节点!$A$21-难度节点!$A$20),0)</f>
        <v>456</v>
      </c>
      <c r="E192">
        <v>1.12582067235919</v>
      </c>
      <c r="F192">
        <v>0.729834891319568</v>
      </c>
      <c r="G192">
        <v>1</v>
      </c>
      <c r="H192">
        <v>300488</v>
      </c>
    </row>
    <row r="193" spans="1:8">
      <c r="A193" t="s">
        <v>61</v>
      </c>
      <c r="B193">
        <v>189</v>
      </c>
      <c r="C193">
        <v>189</v>
      </c>
      <c r="D193">
        <f>ROUND(难度节点!$C$20+($B193-难度节点!$A$20)*(难度节点!$C$21-难度节点!$C$20)/(难度节点!$A$21-难度节点!$A$20),0)</f>
        <v>459</v>
      </c>
      <c r="E193">
        <v>1.12582067235919</v>
      </c>
      <c r="F193">
        <v>0.729834891319568</v>
      </c>
      <c r="G193">
        <v>1</v>
      </c>
      <c r="H193">
        <v>300489</v>
      </c>
    </row>
    <row r="194" spans="1:8">
      <c r="A194" t="s">
        <v>61</v>
      </c>
      <c r="B194">
        <v>190</v>
      </c>
      <c r="C194">
        <v>190</v>
      </c>
      <c r="D194">
        <f>ROUND(难度节点!$C$21+($B194-难度节点!$A$21)*(难度节点!$C$22-难度节点!$C$21)/(难度节点!$A$22-难度节点!$A$21),0)</f>
        <v>462</v>
      </c>
      <c r="E194">
        <v>1.12671592412141</v>
      </c>
      <c r="F194">
        <v>0.731229508674054</v>
      </c>
      <c r="G194">
        <v>1</v>
      </c>
      <c r="H194">
        <v>300490</v>
      </c>
    </row>
    <row r="195" spans="1:8">
      <c r="A195" t="s">
        <v>61</v>
      </c>
      <c r="B195">
        <v>191</v>
      </c>
      <c r="C195">
        <v>191</v>
      </c>
      <c r="D195">
        <f>ROUND(难度节点!$C$21+($B195-难度节点!$A$21)*(难度节点!$C$22-难度节点!$C$21)/(难度节点!$A$22-难度节点!$A$21),0)</f>
        <v>466</v>
      </c>
      <c r="E195">
        <v>1.12582067235919</v>
      </c>
      <c r="F195">
        <v>0.729834891319568</v>
      </c>
      <c r="G195">
        <v>1</v>
      </c>
      <c r="H195">
        <v>300491</v>
      </c>
    </row>
    <row r="196" spans="1:8">
      <c r="A196" t="s">
        <v>61</v>
      </c>
      <c r="B196">
        <v>192</v>
      </c>
      <c r="C196">
        <v>192</v>
      </c>
      <c r="D196">
        <f>ROUND(难度节点!$C$21+($B196-难度节点!$A$21)*(难度节点!$C$22-难度节点!$C$21)/(难度节点!$A$22-难度节点!$A$21),0)</f>
        <v>470</v>
      </c>
      <c r="E196">
        <v>1.12582067235919</v>
      </c>
      <c r="F196">
        <v>0.729834891319568</v>
      </c>
      <c r="G196">
        <v>1</v>
      </c>
      <c r="H196">
        <v>300492</v>
      </c>
    </row>
    <row r="197" spans="1:8">
      <c r="A197" t="s">
        <v>61</v>
      </c>
      <c r="B197">
        <v>193</v>
      </c>
      <c r="C197">
        <v>193</v>
      </c>
      <c r="D197">
        <f>ROUND(难度节点!$C$21+($B197-难度节点!$A$21)*(难度节点!$C$22-难度节点!$C$21)/(难度节点!$A$22-难度节点!$A$21),0)</f>
        <v>473</v>
      </c>
      <c r="E197">
        <v>1.12582067235919</v>
      </c>
      <c r="F197">
        <v>0.729834891319568</v>
      </c>
      <c r="G197">
        <v>1</v>
      </c>
      <c r="H197">
        <v>300493</v>
      </c>
    </row>
    <row r="198" spans="1:8">
      <c r="A198" t="s">
        <v>61</v>
      </c>
      <c r="B198">
        <v>194</v>
      </c>
      <c r="C198">
        <v>194</v>
      </c>
      <c r="D198">
        <f>ROUND(难度节点!$C$21+($B198-难度节点!$A$21)*(难度节点!$C$22-难度节点!$C$21)/(难度节点!$A$22-难度节点!$A$21),0)</f>
        <v>477</v>
      </c>
      <c r="E198">
        <v>1.12582067235919</v>
      </c>
      <c r="F198">
        <v>0.729834891319568</v>
      </c>
      <c r="G198">
        <v>1</v>
      </c>
      <c r="H198">
        <v>300494</v>
      </c>
    </row>
    <row r="199" spans="1:8">
      <c r="A199" t="s">
        <v>61</v>
      </c>
      <c r="B199">
        <v>195</v>
      </c>
      <c r="C199">
        <v>195</v>
      </c>
      <c r="D199">
        <f>ROUND(难度节点!$C$21+($B199-难度节点!$A$21)*(难度节点!$C$22-难度节点!$C$21)/(难度节点!$A$22-难度节点!$A$21),0)</f>
        <v>481</v>
      </c>
      <c r="E199">
        <v>1.13108015591293</v>
      </c>
      <c r="F199">
        <v>0.726679309784578</v>
      </c>
      <c r="G199">
        <v>1</v>
      </c>
      <c r="H199">
        <v>300495</v>
      </c>
    </row>
    <row r="200" spans="1:8">
      <c r="A200" t="s">
        <v>61</v>
      </c>
      <c r="B200">
        <v>196</v>
      </c>
      <c r="C200">
        <v>196</v>
      </c>
      <c r="D200">
        <f>ROUND(难度节点!$C$21+($B200-难度节点!$A$21)*(难度节点!$C$22-难度节点!$C$21)/(难度节点!$A$22-难度节点!$A$21),0)</f>
        <v>485</v>
      </c>
      <c r="E200">
        <v>1.12582067235919</v>
      </c>
      <c r="F200">
        <v>0.729834891319568</v>
      </c>
      <c r="G200">
        <v>1</v>
      </c>
      <c r="H200">
        <v>300496</v>
      </c>
    </row>
    <row r="201" spans="1:8">
      <c r="A201" t="s">
        <v>61</v>
      </c>
      <c r="B201">
        <v>197</v>
      </c>
      <c r="C201">
        <v>197</v>
      </c>
      <c r="D201">
        <f>ROUND(难度节点!$C$21+($B201-难度节点!$A$21)*(难度节点!$C$22-难度节点!$C$21)/(难度节点!$A$22-难度节点!$A$21),0)</f>
        <v>489</v>
      </c>
      <c r="E201">
        <v>1.12582067235919</v>
      </c>
      <c r="F201">
        <v>0.729834891319568</v>
      </c>
      <c r="G201">
        <v>1</v>
      </c>
      <c r="H201">
        <v>300497</v>
      </c>
    </row>
    <row r="202" spans="1:8">
      <c r="A202" t="s">
        <v>61</v>
      </c>
      <c r="B202">
        <v>198</v>
      </c>
      <c r="C202">
        <v>198</v>
      </c>
      <c r="D202">
        <f>ROUND(难度节点!$C$21+($B202-难度节点!$A$21)*(难度节点!$C$22-难度节点!$C$21)/(难度节点!$A$22-难度节点!$A$21),0)</f>
        <v>492</v>
      </c>
      <c r="E202">
        <v>1.12582067235919</v>
      </c>
      <c r="F202">
        <v>0.729834891319568</v>
      </c>
      <c r="G202">
        <v>1</v>
      </c>
      <c r="H202">
        <v>300498</v>
      </c>
    </row>
    <row r="203" spans="1:8">
      <c r="A203" t="s">
        <v>61</v>
      </c>
      <c r="B203">
        <v>199</v>
      </c>
      <c r="C203">
        <v>199</v>
      </c>
      <c r="D203">
        <f>ROUND(难度节点!$C$21+($B203-难度节点!$A$21)*(难度节点!$C$22-难度节点!$C$21)/(难度节点!$A$22-难度节点!$A$21),0)</f>
        <v>496</v>
      </c>
      <c r="E203">
        <v>1.12582067235919</v>
      </c>
      <c r="F203">
        <v>0.729834891319568</v>
      </c>
      <c r="G203">
        <v>1</v>
      </c>
      <c r="H203">
        <v>300499</v>
      </c>
    </row>
    <row r="204" spans="1:8">
      <c r="A204" t="s">
        <v>61</v>
      </c>
      <c r="B204">
        <v>200</v>
      </c>
      <c r="C204">
        <v>200</v>
      </c>
      <c r="D204">
        <f>ROUND(难度节点!$C$21+($B204-难度节点!$A$21)*(难度节点!$C$22-难度节点!$C$21)/(难度节点!$A$22-难度节点!$A$21),0)</f>
        <v>500</v>
      </c>
      <c r="E204">
        <v>1.12671592412141</v>
      </c>
      <c r="F204">
        <v>0.731229508674054</v>
      </c>
      <c r="G204">
        <v>1</v>
      </c>
      <c r="H204">
        <v>300500</v>
      </c>
    </row>
  </sheetData>
  <mergeCells count="2">
    <mergeCell ref="A1:P1"/>
    <mergeCell ref="A2:P2"/>
  </mergeCells>
  <conditionalFormatting sqref="N5:N104">
    <cfRule type="expression" dxfId="0" priority="1">
      <formula>$N5="无效"</formula>
    </cfRule>
  </conditionalFormatting>
  <conditionalFormatting sqref="O5:O104">
    <cfRule type="expression" dxfId="0" priority="2">
      <formula>$O5="下降"</formula>
    </cfRule>
  </conditionalFormatting>
  <dataValidations count="2">
    <dataValidation type="whole" operator="between" errorTitle="等级无效" error="难度等级必须是1～500的整数" sqref="D5:D104">
      <formula1>1</formula1>
      <formula2>500</formula2>
    </dataValidation>
    <dataValidation type="decimal" operator="between" errorTitle="倍率无效" error="倍率必须在0.01～10之间" sqref="E5:G104">
      <formula1>0.01</formula1>
      <formula2>10</formula2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1"/>
  <sheetViews>
    <sheetView workbookViewId="0">
      <selection activeCell="A1" sqref="A1"/>
    </sheetView>
  </sheetViews>
  <sheetFormatPr defaultColWidth="9" defaultRowHeight="13.5" outlineLevelCol="4"/>
  <cols>
    <col min="1" max="4" width="18" customWidth="1"/>
  </cols>
  <sheetData>
    <row r="1" spans="1:5">
      <c r="A1" t="s">
        <v>164</v>
      </c>
      <c r="B1" t="s">
        <v>165</v>
      </c>
      <c r="C1" t="s">
        <v>166</v>
      </c>
      <c r="D1" t="s">
        <v>167</v>
      </c>
      <c r="E1" t="s">
        <v>25</v>
      </c>
    </row>
    <row r="2" spans="1:5">
      <c r="A2">
        <v>1</v>
      </c>
      <c r="B2">
        <v>99</v>
      </c>
      <c r="C2">
        <v>44</v>
      </c>
      <c r="D2">
        <v>74</v>
      </c>
      <c r="E2" t="s">
        <v>168</v>
      </c>
    </row>
    <row r="3" spans="1:5">
      <c r="A3">
        <v>2</v>
      </c>
      <c r="B3">
        <v>205</v>
      </c>
      <c r="C3">
        <v>89</v>
      </c>
      <c r="D3">
        <v>148</v>
      </c>
      <c r="E3" t="s">
        <v>168</v>
      </c>
    </row>
    <row r="4" spans="1:5">
      <c r="A4">
        <v>3</v>
      </c>
      <c r="B4">
        <v>316</v>
      </c>
      <c r="C4">
        <v>134</v>
      </c>
      <c r="D4">
        <v>222</v>
      </c>
      <c r="E4" t="s">
        <v>168</v>
      </c>
    </row>
    <row r="5" spans="1:5">
      <c r="A5">
        <v>4</v>
      </c>
      <c r="B5">
        <v>432</v>
      </c>
      <c r="C5">
        <v>180</v>
      </c>
      <c r="D5">
        <v>297</v>
      </c>
      <c r="E5" t="s">
        <v>168</v>
      </c>
    </row>
    <row r="6" spans="1:5">
      <c r="A6">
        <v>5</v>
      </c>
      <c r="B6">
        <v>554</v>
      </c>
      <c r="C6">
        <v>225</v>
      </c>
      <c r="D6">
        <v>372</v>
      </c>
      <c r="E6" t="s">
        <v>168</v>
      </c>
    </row>
    <row r="7" spans="1:5">
      <c r="A7">
        <v>6</v>
      </c>
      <c r="B7">
        <v>682</v>
      </c>
      <c r="C7">
        <v>271</v>
      </c>
      <c r="D7">
        <v>447</v>
      </c>
      <c r="E7" t="s">
        <v>168</v>
      </c>
    </row>
    <row r="8" spans="1:5">
      <c r="A8">
        <v>7</v>
      </c>
      <c r="B8">
        <v>815</v>
      </c>
      <c r="C8">
        <v>318</v>
      </c>
      <c r="D8">
        <v>522</v>
      </c>
      <c r="E8" t="s">
        <v>168</v>
      </c>
    </row>
    <row r="9" spans="1:5">
      <c r="A9">
        <v>8</v>
      </c>
      <c r="B9">
        <v>953</v>
      </c>
      <c r="C9">
        <v>365</v>
      </c>
      <c r="D9">
        <v>598</v>
      </c>
      <c r="E9" t="s">
        <v>168</v>
      </c>
    </row>
    <row r="10" spans="1:5">
      <c r="A10">
        <v>9</v>
      </c>
      <c r="B10">
        <v>1097</v>
      </c>
      <c r="C10">
        <v>413</v>
      </c>
      <c r="D10">
        <v>674</v>
      </c>
      <c r="E10" t="s">
        <v>168</v>
      </c>
    </row>
    <row r="11" spans="1:5">
      <c r="A11">
        <v>10</v>
      </c>
      <c r="B11">
        <v>1246</v>
      </c>
      <c r="C11">
        <v>461</v>
      </c>
      <c r="D11">
        <v>750</v>
      </c>
      <c r="E11" t="s">
        <v>168</v>
      </c>
    </row>
    <row r="12" spans="1:5">
      <c r="A12">
        <v>11</v>
      </c>
      <c r="B12">
        <v>1400</v>
      </c>
      <c r="C12">
        <v>508</v>
      </c>
      <c r="D12">
        <v>826</v>
      </c>
      <c r="E12" t="s">
        <v>168</v>
      </c>
    </row>
    <row r="13" spans="1:5">
      <c r="A13">
        <v>12</v>
      </c>
      <c r="B13">
        <v>1560</v>
      </c>
      <c r="C13">
        <v>557</v>
      </c>
      <c r="D13">
        <v>902</v>
      </c>
      <c r="E13" t="s">
        <v>168</v>
      </c>
    </row>
    <row r="14" spans="1:5">
      <c r="A14">
        <v>13</v>
      </c>
      <c r="B14">
        <v>1724</v>
      </c>
      <c r="C14">
        <v>606</v>
      </c>
      <c r="D14">
        <v>979</v>
      </c>
      <c r="E14" t="s">
        <v>168</v>
      </c>
    </row>
    <row r="15" spans="1:5">
      <c r="A15">
        <v>14</v>
      </c>
      <c r="B15">
        <v>1894</v>
      </c>
      <c r="C15">
        <v>656</v>
      </c>
      <c r="D15">
        <v>1056</v>
      </c>
      <c r="E15" t="s">
        <v>168</v>
      </c>
    </row>
    <row r="16" spans="1:5">
      <c r="A16">
        <v>15</v>
      </c>
      <c r="B16">
        <v>2069</v>
      </c>
      <c r="C16">
        <v>705</v>
      </c>
      <c r="D16">
        <v>1133</v>
      </c>
      <c r="E16" t="s">
        <v>168</v>
      </c>
    </row>
    <row r="17" spans="1:5">
      <c r="A17">
        <v>16</v>
      </c>
      <c r="B17">
        <v>2249</v>
      </c>
      <c r="C17">
        <v>755</v>
      </c>
      <c r="D17">
        <v>1210</v>
      </c>
      <c r="E17" t="s">
        <v>168</v>
      </c>
    </row>
    <row r="18" spans="1:5">
      <c r="A18">
        <v>17</v>
      </c>
      <c r="B18">
        <v>2434</v>
      </c>
      <c r="C18">
        <v>806</v>
      </c>
      <c r="D18">
        <v>1288</v>
      </c>
      <c r="E18" t="s">
        <v>168</v>
      </c>
    </row>
    <row r="19" spans="1:5">
      <c r="A19">
        <v>18</v>
      </c>
      <c r="B19">
        <v>2624</v>
      </c>
      <c r="C19">
        <v>857</v>
      </c>
      <c r="D19">
        <v>1366</v>
      </c>
      <c r="E19" t="s">
        <v>168</v>
      </c>
    </row>
    <row r="20" spans="1:5">
      <c r="A20">
        <v>19</v>
      </c>
      <c r="B20">
        <v>2820</v>
      </c>
      <c r="C20">
        <v>908</v>
      </c>
      <c r="D20">
        <v>1444</v>
      </c>
      <c r="E20" t="s">
        <v>168</v>
      </c>
    </row>
    <row r="21" spans="1:5">
      <c r="A21">
        <v>20</v>
      </c>
      <c r="B21">
        <v>3020</v>
      </c>
      <c r="C21">
        <v>960</v>
      </c>
      <c r="D21">
        <v>1522</v>
      </c>
      <c r="E21" t="s">
        <v>168</v>
      </c>
    </row>
    <row r="22" spans="1:5">
      <c r="A22">
        <v>21</v>
      </c>
      <c r="B22">
        <v>3225</v>
      </c>
      <c r="C22">
        <v>1012</v>
      </c>
      <c r="D22">
        <v>1600</v>
      </c>
      <c r="E22" t="s">
        <v>168</v>
      </c>
    </row>
    <row r="23" spans="1:5">
      <c r="A23">
        <v>22</v>
      </c>
      <c r="B23">
        <v>3435</v>
      </c>
      <c r="C23">
        <v>1064</v>
      </c>
      <c r="D23">
        <v>1679</v>
      </c>
      <c r="E23" t="s">
        <v>168</v>
      </c>
    </row>
    <row r="24" spans="1:5">
      <c r="A24">
        <v>23</v>
      </c>
      <c r="B24">
        <v>3650</v>
      </c>
      <c r="C24">
        <v>1118</v>
      </c>
      <c r="D24">
        <v>1758</v>
      </c>
      <c r="E24" t="s">
        <v>168</v>
      </c>
    </row>
    <row r="25" spans="1:5">
      <c r="A25">
        <v>24</v>
      </c>
      <c r="B25">
        <v>3871</v>
      </c>
      <c r="C25">
        <v>1171</v>
      </c>
      <c r="D25">
        <v>1837</v>
      </c>
      <c r="E25" t="s">
        <v>168</v>
      </c>
    </row>
    <row r="26" spans="1:5">
      <c r="A26">
        <v>25</v>
      </c>
      <c r="B26">
        <v>4096</v>
      </c>
      <c r="C26">
        <v>1225</v>
      </c>
      <c r="D26">
        <v>1917</v>
      </c>
      <c r="E26" t="s">
        <v>168</v>
      </c>
    </row>
    <row r="27" spans="1:5">
      <c r="A27">
        <v>26</v>
      </c>
      <c r="B27">
        <v>4326</v>
      </c>
      <c r="C27">
        <v>1279</v>
      </c>
      <c r="D27">
        <v>1996</v>
      </c>
      <c r="E27" t="s">
        <v>168</v>
      </c>
    </row>
    <row r="28" spans="1:5">
      <c r="A28">
        <v>27</v>
      </c>
      <c r="B28">
        <v>4561</v>
      </c>
      <c r="C28">
        <v>1333</v>
      </c>
      <c r="D28">
        <v>2076</v>
      </c>
      <c r="E28" t="s">
        <v>168</v>
      </c>
    </row>
    <row r="29" spans="1:5">
      <c r="A29">
        <v>28</v>
      </c>
      <c r="B29">
        <v>4801</v>
      </c>
      <c r="C29">
        <v>1389</v>
      </c>
      <c r="D29">
        <v>2156</v>
      </c>
      <c r="E29" t="s">
        <v>168</v>
      </c>
    </row>
    <row r="30" spans="1:5">
      <c r="A30">
        <v>29</v>
      </c>
      <c r="B30">
        <v>5046</v>
      </c>
      <c r="C30">
        <v>1444</v>
      </c>
      <c r="D30">
        <v>2236</v>
      </c>
      <c r="E30" t="s">
        <v>168</v>
      </c>
    </row>
    <row r="31" spans="1:5">
      <c r="A31">
        <v>30</v>
      </c>
      <c r="B31">
        <v>5297</v>
      </c>
      <c r="C31">
        <v>1500</v>
      </c>
      <c r="D31">
        <v>2317</v>
      </c>
      <c r="E31" t="s">
        <v>168</v>
      </c>
    </row>
    <row r="32" spans="1:5">
      <c r="A32">
        <v>31</v>
      </c>
      <c r="B32">
        <v>5552</v>
      </c>
      <c r="C32">
        <v>1557</v>
      </c>
      <c r="D32">
        <v>2398</v>
      </c>
      <c r="E32" t="s">
        <v>168</v>
      </c>
    </row>
    <row r="33" spans="1:5">
      <c r="A33">
        <v>32</v>
      </c>
      <c r="B33">
        <v>5812</v>
      </c>
      <c r="C33">
        <v>1613</v>
      </c>
      <c r="D33">
        <v>2479</v>
      </c>
      <c r="E33" t="s">
        <v>168</v>
      </c>
    </row>
    <row r="34" spans="1:5">
      <c r="A34">
        <v>33</v>
      </c>
      <c r="B34">
        <v>6078</v>
      </c>
      <c r="C34">
        <v>1671</v>
      </c>
      <c r="D34">
        <v>2560</v>
      </c>
      <c r="E34" t="s">
        <v>168</v>
      </c>
    </row>
    <row r="35" spans="1:5">
      <c r="A35">
        <v>34</v>
      </c>
      <c r="B35">
        <v>6348</v>
      </c>
      <c r="C35">
        <v>1728</v>
      </c>
      <c r="D35">
        <v>2641</v>
      </c>
      <c r="E35" t="s">
        <v>168</v>
      </c>
    </row>
    <row r="36" spans="1:5">
      <c r="A36">
        <v>35</v>
      </c>
      <c r="B36">
        <v>6624</v>
      </c>
      <c r="C36">
        <v>1787</v>
      </c>
      <c r="D36">
        <v>2723</v>
      </c>
      <c r="E36" t="s">
        <v>168</v>
      </c>
    </row>
    <row r="37" spans="1:5">
      <c r="A37">
        <v>36</v>
      </c>
      <c r="B37">
        <v>6904</v>
      </c>
      <c r="C37">
        <v>1845</v>
      </c>
      <c r="D37">
        <v>2805</v>
      </c>
      <c r="E37" t="s">
        <v>168</v>
      </c>
    </row>
    <row r="38" spans="1:5">
      <c r="A38">
        <v>37</v>
      </c>
      <c r="B38">
        <v>7190</v>
      </c>
      <c r="C38">
        <v>1904</v>
      </c>
      <c r="D38">
        <v>2887</v>
      </c>
      <c r="E38" t="s">
        <v>168</v>
      </c>
    </row>
    <row r="39" spans="1:5">
      <c r="A39">
        <v>38</v>
      </c>
      <c r="B39">
        <v>7481</v>
      </c>
      <c r="C39">
        <v>1963</v>
      </c>
      <c r="D39">
        <v>2969</v>
      </c>
      <c r="E39" t="s">
        <v>168</v>
      </c>
    </row>
    <row r="40" spans="1:5">
      <c r="A40">
        <v>39</v>
      </c>
      <c r="B40">
        <v>7777</v>
      </c>
      <c r="C40">
        <v>2023</v>
      </c>
      <c r="D40">
        <v>3052</v>
      </c>
      <c r="E40" t="s">
        <v>168</v>
      </c>
    </row>
    <row r="41" spans="1:5">
      <c r="A41">
        <v>40</v>
      </c>
      <c r="B41">
        <v>8079</v>
      </c>
      <c r="C41">
        <v>2083</v>
      </c>
      <c r="D41">
        <v>3135</v>
      </c>
      <c r="E41" t="s">
        <v>168</v>
      </c>
    </row>
    <row r="42" spans="1:5">
      <c r="A42">
        <v>41</v>
      </c>
      <c r="B42">
        <v>8386</v>
      </c>
      <c r="C42">
        <v>2144</v>
      </c>
      <c r="D42">
        <v>3218</v>
      </c>
      <c r="E42" t="s">
        <v>168</v>
      </c>
    </row>
    <row r="43" spans="1:5">
      <c r="A43">
        <v>42</v>
      </c>
      <c r="B43">
        <v>8698</v>
      </c>
      <c r="C43">
        <v>2206</v>
      </c>
      <c r="D43">
        <v>3301</v>
      </c>
      <c r="E43" t="s">
        <v>168</v>
      </c>
    </row>
    <row r="44" spans="1:5">
      <c r="A44">
        <v>43</v>
      </c>
      <c r="B44">
        <v>9015</v>
      </c>
      <c r="C44">
        <v>2267</v>
      </c>
      <c r="D44">
        <v>3384</v>
      </c>
      <c r="E44" t="s">
        <v>168</v>
      </c>
    </row>
    <row r="45" spans="1:5">
      <c r="A45">
        <v>44</v>
      </c>
      <c r="B45">
        <v>9338</v>
      </c>
      <c r="C45">
        <v>2329</v>
      </c>
      <c r="D45">
        <v>3468</v>
      </c>
      <c r="E45" t="s">
        <v>168</v>
      </c>
    </row>
    <row r="46" spans="1:5">
      <c r="A46">
        <v>45</v>
      </c>
      <c r="B46">
        <v>9666</v>
      </c>
      <c r="C46">
        <v>2392</v>
      </c>
      <c r="D46">
        <v>3552</v>
      </c>
      <c r="E46" t="s">
        <v>168</v>
      </c>
    </row>
    <row r="47" spans="1:5">
      <c r="A47">
        <v>46</v>
      </c>
      <c r="B47">
        <v>9999</v>
      </c>
      <c r="C47">
        <v>2455</v>
      </c>
      <c r="D47">
        <v>3636</v>
      </c>
      <c r="E47" t="s">
        <v>168</v>
      </c>
    </row>
    <row r="48" spans="1:5">
      <c r="A48">
        <v>47</v>
      </c>
      <c r="B48">
        <v>10338</v>
      </c>
      <c r="C48">
        <v>2519</v>
      </c>
      <c r="D48">
        <v>3721</v>
      </c>
      <c r="E48" t="s">
        <v>168</v>
      </c>
    </row>
    <row r="49" spans="1:5">
      <c r="A49">
        <v>48</v>
      </c>
      <c r="B49">
        <v>10683</v>
      </c>
      <c r="C49">
        <v>2582</v>
      </c>
      <c r="D49">
        <v>3805</v>
      </c>
      <c r="E49" t="s">
        <v>168</v>
      </c>
    </row>
    <row r="50" spans="1:5">
      <c r="A50">
        <v>49</v>
      </c>
      <c r="B50">
        <v>11033</v>
      </c>
      <c r="C50">
        <v>2647</v>
      </c>
      <c r="D50">
        <v>3890</v>
      </c>
      <c r="E50" t="s">
        <v>168</v>
      </c>
    </row>
    <row r="51" spans="1:5">
      <c r="A51">
        <v>50</v>
      </c>
      <c r="B51">
        <v>11389</v>
      </c>
      <c r="C51">
        <v>2712</v>
      </c>
      <c r="D51">
        <v>3975</v>
      </c>
      <c r="E51" t="s">
        <v>168</v>
      </c>
    </row>
    <row r="52" spans="1:5">
      <c r="A52">
        <v>51</v>
      </c>
      <c r="B52">
        <v>11750</v>
      </c>
      <c r="C52">
        <v>2777</v>
      </c>
      <c r="D52">
        <v>4061</v>
      </c>
      <c r="E52" t="s">
        <v>168</v>
      </c>
    </row>
    <row r="53" spans="1:5">
      <c r="A53">
        <v>52</v>
      </c>
      <c r="B53">
        <v>12117</v>
      </c>
      <c r="C53">
        <v>2843</v>
      </c>
      <c r="D53">
        <v>4146</v>
      </c>
      <c r="E53" t="s">
        <v>168</v>
      </c>
    </row>
    <row r="54" spans="1:5">
      <c r="A54">
        <v>53</v>
      </c>
      <c r="B54">
        <v>12490</v>
      </c>
      <c r="C54">
        <v>2909</v>
      </c>
      <c r="D54">
        <v>4232</v>
      </c>
      <c r="E54" t="s">
        <v>168</v>
      </c>
    </row>
    <row r="55" spans="1:5">
      <c r="A55">
        <v>54</v>
      </c>
      <c r="B55">
        <v>12868</v>
      </c>
      <c r="C55">
        <v>2977</v>
      </c>
      <c r="D55">
        <v>4318</v>
      </c>
      <c r="E55" t="s">
        <v>168</v>
      </c>
    </row>
    <row r="56" spans="1:5">
      <c r="A56">
        <v>55</v>
      </c>
      <c r="B56">
        <v>13252</v>
      </c>
      <c r="C56">
        <v>3044</v>
      </c>
      <c r="D56">
        <v>4404</v>
      </c>
      <c r="E56" t="s">
        <v>168</v>
      </c>
    </row>
    <row r="57" spans="1:5">
      <c r="A57">
        <v>56</v>
      </c>
      <c r="B57">
        <v>13643</v>
      </c>
      <c r="C57">
        <v>3112</v>
      </c>
      <c r="D57">
        <v>4491</v>
      </c>
      <c r="E57" t="s">
        <v>168</v>
      </c>
    </row>
    <row r="58" spans="1:5">
      <c r="A58">
        <v>57</v>
      </c>
      <c r="B58">
        <v>14039</v>
      </c>
      <c r="C58">
        <v>3180</v>
      </c>
      <c r="D58">
        <v>4577</v>
      </c>
      <c r="E58" t="s">
        <v>168</v>
      </c>
    </row>
    <row r="59" spans="1:5">
      <c r="A59">
        <v>58</v>
      </c>
      <c r="B59">
        <v>14441</v>
      </c>
      <c r="C59">
        <v>3249</v>
      </c>
      <c r="D59">
        <v>4664</v>
      </c>
      <c r="E59" t="s">
        <v>168</v>
      </c>
    </row>
    <row r="60" spans="1:5">
      <c r="A60">
        <v>59</v>
      </c>
      <c r="B60">
        <v>14849</v>
      </c>
      <c r="C60">
        <v>3319</v>
      </c>
      <c r="D60">
        <v>4751</v>
      </c>
      <c r="E60" t="s">
        <v>168</v>
      </c>
    </row>
    <row r="61" spans="1:5">
      <c r="A61">
        <v>60</v>
      </c>
      <c r="B61">
        <v>15263</v>
      </c>
      <c r="C61">
        <v>3388</v>
      </c>
      <c r="D61">
        <v>4839</v>
      </c>
      <c r="E61" t="s">
        <v>168</v>
      </c>
    </row>
    <row r="62" spans="1:5">
      <c r="A62">
        <v>61</v>
      </c>
      <c r="B62">
        <v>15683</v>
      </c>
      <c r="C62">
        <v>3458</v>
      </c>
      <c r="D62">
        <v>4926</v>
      </c>
      <c r="E62" t="s">
        <v>168</v>
      </c>
    </row>
    <row r="63" spans="1:5">
      <c r="A63">
        <v>62</v>
      </c>
      <c r="B63">
        <v>16110</v>
      </c>
      <c r="C63">
        <v>3529</v>
      </c>
      <c r="D63">
        <v>5014</v>
      </c>
      <c r="E63" t="s">
        <v>168</v>
      </c>
    </row>
    <row r="64" spans="1:5">
      <c r="A64">
        <v>63</v>
      </c>
      <c r="B64">
        <v>16542</v>
      </c>
      <c r="C64">
        <v>3600</v>
      </c>
      <c r="D64">
        <v>5102</v>
      </c>
      <c r="E64" t="s">
        <v>168</v>
      </c>
    </row>
    <row r="65" spans="1:5">
      <c r="A65">
        <v>64</v>
      </c>
      <c r="B65">
        <v>16981</v>
      </c>
      <c r="C65">
        <v>3672</v>
      </c>
      <c r="D65">
        <v>5190</v>
      </c>
      <c r="E65" t="s">
        <v>168</v>
      </c>
    </row>
    <row r="66" spans="1:5">
      <c r="A66">
        <v>65</v>
      </c>
      <c r="B66">
        <v>17427</v>
      </c>
      <c r="C66">
        <v>3745</v>
      </c>
      <c r="D66">
        <v>5279</v>
      </c>
      <c r="E66" t="s">
        <v>168</v>
      </c>
    </row>
    <row r="67" spans="1:5">
      <c r="A67">
        <v>66</v>
      </c>
      <c r="B67">
        <v>17879</v>
      </c>
      <c r="C67">
        <v>3818</v>
      </c>
      <c r="D67">
        <v>5367</v>
      </c>
      <c r="E67" t="s">
        <v>168</v>
      </c>
    </row>
    <row r="68" spans="1:5">
      <c r="A68">
        <v>67</v>
      </c>
      <c r="B68">
        <v>18337</v>
      </c>
      <c r="C68">
        <v>3891</v>
      </c>
      <c r="D68">
        <v>5456</v>
      </c>
      <c r="E68" t="s">
        <v>168</v>
      </c>
    </row>
    <row r="69" spans="1:5">
      <c r="A69">
        <v>68</v>
      </c>
      <c r="B69">
        <v>18802</v>
      </c>
      <c r="C69">
        <v>3965</v>
      </c>
      <c r="D69">
        <v>5546</v>
      </c>
      <c r="E69" t="s">
        <v>168</v>
      </c>
    </row>
    <row r="70" spans="1:5">
      <c r="A70">
        <v>69</v>
      </c>
      <c r="B70">
        <v>19273</v>
      </c>
      <c r="C70">
        <v>4040</v>
      </c>
      <c r="D70">
        <v>5635</v>
      </c>
      <c r="E70" t="s">
        <v>168</v>
      </c>
    </row>
    <row r="71" spans="1:5">
      <c r="A71">
        <v>70</v>
      </c>
      <c r="B71">
        <v>19751</v>
      </c>
      <c r="C71">
        <v>4115</v>
      </c>
      <c r="D71">
        <v>5725</v>
      </c>
      <c r="E71" t="s">
        <v>168</v>
      </c>
    </row>
    <row r="72" spans="1:5">
      <c r="A72">
        <v>71</v>
      </c>
      <c r="B72">
        <v>20236</v>
      </c>
      <c r="C72">
        <v>4190</v>
      </c>
      <c r="D72">
        <v>5814</v>
      </c>
      <c r="E72" t="s">
        <v>168</v>
      </c>
    </row>
    <row r="73" spans="1:5">
      <c r="A73">
        <v>72</v>
      </c>
      <c r="B73">
        <v>20727</v>
      </c>
      <c r="C73">
        <v>4266</v>
      </c>
      <c r="D73">
        <v>5905</v>
      </c>
      <c r="E73" t="s">
        <v>168</v>
      </c>
    </row>
    <row r="74" spans="1:5">
      <c r="A74">
        <v>73</v>
      </c>
      <c r="B74">
        <v>21225</v>
      </c>
      <c r="C74">
        <v>4343</v>
      </c>
      <c r="D74">
        <v>5995</v>
      </c>
      <c r="E74" t="s">
        <v>168</v>
      </c>
    </row>
    <row r="75" spans="1:5">
      <c r="A75">
        <v>74</v>
      </c>
      <c r="B75">
        <v>21730</v>
      </c>
      <c r="C75">
        <v>4420</v>
      </c>
      <c r="D75">
        <v>6085</v>
      </c>
      <c r="E75" t="s">
        <v>168</v>
      </c>
    </row>
    <row r="76" spans="1:5">
      <c r="A76">
        <v>75</v>
      </c>
      <c r="B76">
        <v>22242</v>
      </c>
      <c r="C76">
        <v>4497</v>
      </c>
      <c r="D76">
        <v>6176</v>
      </c>
      <c r="E76" t="s">
        <v>168</v>
      </c>
    </row>
    <row r="77" spans="1:5">
      <c r="A77">
        <v>76</v>
      </c>
      <c r="B77">
        <v>22762</v>
      </c>
      <c r="C77">
        <v>4576</v>
      </c>
      <c r="D77">
        <v>6267</v>
      </c>
      <c r="E77" t="s">
        <v>168</v>
      </c>
    </row>
    <row r="78" spans="1:5">
      <c r="A78">
        <v>77</v>
      </c>
      <c r="B78">
        <v>23288</v>
      </c>
      <c r="C78">
        <v>4654</v>
      </c>
      <c r="D78">
        <v>6358</v>
      </c>
      <c r="E78" t="s">
        <v>168</v>
      </c>
    </row>
    <row r="79" spans="1:5">
      <c r="A79">
        <v>78</v>
      </c>
      <c r="B79">
        <v>23821</v>
      </c>
      <c r="C79">
        <v>4734</v>
      </c>
      <c r="D79">
        <v>6450</v>
      </c>
      <c r="E79" t="s">
        <v>168</v>
      </c>
    </row>
    <row r="80" spans="1:5">
      <c r="A80">
        <v>79</v>
      </c>
      <c r="B80">
        <v>24362</v>
      </c>
      <c r="C80">
        <v>4814</v>
      </c>
      <c r="D80">
        <v>6542</v>
      </c>
      <c r="E80" t="s">
        <v>168</v>
      </c>
    </row>
    <row r="81" spans="1:5">
      <c r="A81">
        <v>80</v>
      </c>
      <c r="B81">
        <v>24910</v>
      </c>
      <c r="C81">
        <v>4893</v>
      </c>
      <c r="D81">
        <v>6633</v>
      </c>
      <c r="E81" t="s">
        <v>168</v>
      </c>
    </row>
    <row r="82" spans="1:5">
      <c r="A82">
        <v>81</v>
      </c>
      <c r="B82">
        <v>25465</v>
      </c>
      <c r="C82">
        <v>4974</v>
      </c>
      <c r="D82">
        <v>6726</v>
      </c>
      <c r="E82" t="s">
        <v>168</v>
      </c>
    </row>
    <row r="83" spans="1:5">
      <c r="A83">
        <v>82</v>
      </c>
      <c r="B83">
        <v>26027</v>
      </c>
      <c r="C83">
        <v>5056</v>
      </c>
      <c r="D83">
        <v>6818</v>
      </c>
      <c r="E83" t="s">
        <v>168</v>
      </c>
    </row>
    <row r="84" spans="1:5">
      <c r="A84">
        <v>83</v>
      </c>
      <c r="B84">
        <v>26598</v>
      </c>
      <c r="C84">
        <v>5138</v>
      </c>
      <c r="D84">
        <v>6911</v>
      </c>
      <c r="E84" t="s">
        <v>168</v>
      </c>
    </row>
    <row r="85" spans="1:5">
      <c r="A85">
        <v>84</v>
      </c>
      <c r="B85">
        <v>27175</v>
      </c>
      <c r="C85">
        <v>5221</v>
      </c>
      <c r="D85">
        <v>7003</v>
      </c>
      <c r="E85" t="s">
        <v>168</v>
      </c>
    </row>
    <row r="86" spans="1:5">
      <c r="A86">
        <v>85</v>
      </c>
      <c r="B86">
        <v>27760</v>
      </c>
      <c r="C86">
        <v>5304</v>
      </c>
      <c r="D86">
        <v>7096</v>
      </c>
      <c r="E86" t="s">
        <v>168</v>
      </c>
    </row>
    <row r="87" spans="1:5">
      <c r="A87">
        <v>86</v>
      </c>
      <c r="B87">
        <v>28353</v>
      </c>
      <c r="C87">
        <v>5388</v>
      </c>
      <c r="D87">
        <v>7190</v>
      </c>
      <c r="E87" t="s">
        <v>168</v>
      </c>
    </row>
    <row r="88" spans="1:5">
      <c r="A88">
        <v>87</v>
      </c>
      <c r="B88">
        <v>28954</v>
      </c>
      <c r="C88">
        <v>5471</v>
      </c>
      <c r="D88">
        <v>7283</v>
      </c>
      <c r="E88" t="s">
        <v>168</v>
      </c>
    </row>
    <row r="89" spans="1:5">
      <c r="A89">
        <v>88</v>
      </c>
      <c r="B89">
        <v>29563</v>
      </c>
      <c r="C89">
        <v>5557</v>
      </c>
      <c r="D89">
        <v>7377</v>
      </c>
      <c r="E89" t="s">
        <v>168</v>
      </c>
    </row>
    <row r="90" spans="1:5">
      <c r="A90">
        <v>89</v>
      </c>
      <c r="B90">
        <v>30179</v>
      </c>
      <c r="C90">
        <v>5642</v>
      </c>
      <c r="D90">
        <v>7471</v>
      </c>
      <c r="E90" t="s">
        <v>168</v>
      </c>
    </row>
    <row r="91" spans="1:5">
      <c r="A91">
        <v>90</v>
      </c>
      <c r="B91">
        <v>30804</v>
      </c>
      <c r="C91">
        <v>5728</v>
      </c>
      <c r="D91">
        <v>7565</v>
      </c>
      <c r="E91" t="s">
        <v>168</v>
      </c>
    </row>
    <row r="92" spans="1:5">
      <c r="A92">
        <v>91</v>
      </c>
      <c r="B92">
        <v>31436</v>
      </c>
      <c r="C92">
        <v>5815</v>
      </c>
      <c r="D92">
        <v>7659</v>
      </c>
      <c r="E92" t="s">
        <v>168</v>
      </c>
    </row>
    <row r="93" spans="1:5">
      <c r="A93">
        <v>92</v>
      </c>
      <c r="B93">
        <v>32077</v>
      </c>
      <c r="C93">
        <v>5902</v>
      </c>
      <c r="D93">
        <v>7754</v>
      </c>
      <c r="E93" t="s">
        <v>168</v>
      </c>
    </row>
    <row r="94" spans="1:5">
      <c r="A94">
        <v>93</v>
      </c>
      <c r="B94">
        <v>32725</v>
      </c>
      <c r="C94">
        <v>5990</v>
      </c>
      <c r="D94">
        <v>7849</v>
      </c>
      <c r="E94" t="s">
        <v>168</v>
      </c>
    </row>
    <row r="95" spans="1:5">
      <c r="A95">
        <v>94</v>
      </c>
      <c r="B95">
        <v>33383</v>
      </c>
      <c r="C95">
        <v>6079</v>
      </c>
      <c r="D95">
        <v>7944</v>
      </c>
      <c r="E95" t="s">
        <v>168</v>
      </c>
    </row>
    <row r="96" spans="1:5">
      <c r="A96">
        <v>95</v>
      </c>
      <c r="B96">
        <v>34048</v>
      </c>
      <c r="C96">
        <v>6167</v>
      </c>
      <c r="D96">
        <v>8039</v>
      </c>
      <c r="E96" t="s">
        <v>168</v>
      </c>
    </row>
    <row r="97" spans="1:5">
      <c r="A97">
        <v>96</v>
      </c>
      <c r="B97">
        <v>34722</v>
      </c>
      <c r="C97">
        <v>6257</v>
      </c>
      <c r="D97">
        <v>8135</v>
      </c>
      <c r="E97" t="s">
        <v>168</v>
      </c>
    </row>
    <row r="98" spans="1:5">
      <c r="A98">
        <v>97</v>
      </c>
      <c r="B98">
        <v>35404</v>
      </c>
      <c r="C98">
        <v>6347</v>
      </c>
      <c r="D98">
        <v>8231</v>
      </c>
      <c r="E98" t="s">
        <v>168</v>
      </c>
    </row>
    <row r="99" spans="1:5">
      <c r="A99">
        <v>98</v>
      </c>
      <c r="B99">
        <v>36095</v>
      </c>
      <c r="C99">
        <v>6438</v>
      </c>
      <c r="D99">
        <v>8327</v>
      </c>
      <c r="E99" t="s">
        <v>168</v>
      </c>
    </row>
    <row r="100" spans="1:5">
      <c r="A100">
        <v>99</v>
      </c>
      <c r="B100">
        <v>36794</v>
      </c>
      <c r="C100">
        <v>6529</v>
      </c>
      <c r="D100">
        <v>8423</v>
      </c>
      <c r="E100" t="s">
        <v>168</v>
      </c>
    </row>
    <row r="101" spans="1:5">
      <c r="A101">
        <v>100</v>
      </c>
      <c r="B101">
        <v>37502</v>
      </c>
      <c r="C101">
        <v>6622</v>
      </c>
      <c r="D101">
        <v>8519</v>
      </c>
      <c r="E101" t="s">
        <v>168</v>
      </c>
    </row>
    <row r="102" spans="1:5">
      <c r="A102">
        <v>101</v>
      </c>
      <c r="B102">
        <v>38219</v>
      </c>
      <c r="C102">
        <v>6714</v>
      </c>
      <c r="D102">
        <v>8616</v>
      </c>
      <c r="E102" t="s">
        <v>168</v>
      </c>
    </row>
    <row r="103" spans="1:5">
      <c r="A103">
        <v>102</v>
      </c>
      <c r="B103">
        <v>38945</v>
      </c>
      <c r="C103">
        <v>6807</v>
      </c>
      <c r="D103">
        <v>8713</v>
      </c>
      <c r="E103" t="s">
        <v>168</v>
      </c>
    </row>
    <row r="104" spans="1:5">
      <c r="A104">
        <v>103</v>
      </c>
      <c r="B104">
        <v>39680</v>
      </c>
      <c r="C104">
        <v>6901</v>
      </c>
      <c r="D104">
        <v>8810</v>
      </c>
      <c r="E104" t="s">
        <v>168</v>
      </c>
    </row>
    <row r="105" spans="1:5">
      <c r="A105">
        <v>104</v>
      </c>
      <c r="B105">
        <v>40424</v>
      </c>
      <c r="C105">
        <v>6996</v>
      </c>
      <c r="D105">
        <v>8907</v>
      </c>
      <c r="E105" t="s">
        <v>168</v>
      </c>
    </row>
    <row r="106" spans="1:5">
      <c r="A106">
        <v>105</v>
      </c>
      <c r="B106">
        <v>41177</v>
      </c>
      <c r="C106">
        <v>7091</v>
      </c>
      <c r="D106">
        <v>9005</v>
      </c>
      <c r="E106" t="s">
        <v>168</v>
      </c>
    </row>
    <row r="107" spans="1:5">
      <c r="A107">
        <v>106</v>
      </c>
      <c r="B107">
        <v>41939</v>
      </c>
      <c r="C107">
        <v>7186</v>
      </c>
      <c r="D107">
        <v>9103</v>
      </c>
      <c r="E107" t="s">
        <v>168</v>
      </c>
    </row>
    <row r="108" spans="1:5">
      <c r="A108">
        <v>107</v>
      </c>
      <c r="B108">
        <v>42710</v>
      </c>
      <c r="C108">
        <v>7283</v>
      </c>
      <c r="D108">
        <v>9201</v>
      </c>
      <c r="E108" t="s">
        <v>168</v>
      </c>
    </row>
    <row r="109" spans="1:5">
      <c r="A109">
        <v>108</v>
      </c>
      <c r="B109">
        <v>43490</v>
      </c>
      <c r="C109">
        <v>7380</v>
      </c>
      <c r="D109">
        <v>9299</v>
      </c>
      <c r="E109" t="s">
        <v>168</v>
      </c>
    </row>
    <row r="110" spans="1:5">
      <c r="A110">
        <v>109</v>
      </c>
      <c r="B110">
        <v>44280</v>
      </c>
      <c r="C110">
        <v>7478</v>
      </c>
      <c r="D110">
        <v>9398</v>
      </c>
      <c r="E110" t="s">
        <v>168</v>
      </c>
    </row>
    <row r="111" spans="1:5">
      <c r="A111">
        <v>110</v>
      </c>
      <c r="B111">
        <v>45080</v>
      </c>
      <c r="C111">
        <v>7576</v>
      </c>
      <c r="D111">
        <v>9496</v>
      </c>
      <c r="E111" t="s">
        <v>168</v>
      </c>
    </row>
    <row r="112" spans="1:5">
      <c r="A112">
        <v>111</v>
      </c>
      <c r="B112">
        <v>45889</v>
      </c>
      <c r="C112">
        <v>7675</v>
      </c>
      <c r="D112">
        <v>9595</v>
      </c>
      <c r="E112" t="s">
        <v>168</v>
      </c>
    </row>
    <row r="113" spans="1:5">
      <c r="A113">
        <v>112</v>
      </c>
      <c r="B113">
        <v>46708</v>
      </c>
      <c r="C113">
        <v>7774</v>
      </c>
      <c r="D113">
        <v>9694</v>
      </c>
      <c r="E113" t="s">
        <v>168</v>
      </c>
    </row>
    <row r="114" spans="1:5">
      <c r="A114">
        <v>113</v>
      </c>
      <c r="B114">
        <v>47536</v>
      </c>
      <c r="C114">
        <v>7875</v>
      </c>
      <c r="D114">
        <v>9794</v>
      </c>
      <c r="E114" t="s">
        <v>168</v>
      </c>
    </row>
    <row r="115" spans="1:5">
      <c r="A115">
        <v>114</v>
      </c>
      <c r="B115">
        <v>48374</v>
      </c>
      <c r="C115">
        <v>7976</v>
      </c>
      <c r="D115">
        <v>9894</v>
      </c>
      <c r="E115" t="s">
        <v>168</v>
      </c>
    </row>
    <row r="116" spans="1:5">
      <c r="A116">
        <v>115</v>
      </c>
      <c r="B116">
        <v>49222</v>
      </c>
      <c r="C116">
        <v>8077</v>
      </c>
      <c r="D116">
        <v>9993</v>
      </c>
      <c r="E116" t="s">
        <v>168</v>
      </c>
    </row>
    <row r="117" spans="1:5">
      <c r="A117">
        <v>116</v>
      </c>
      <c r="B117">
        <v>50080</v>
      </c>
      <c r="C117">
        <v>8180</v>
      </c>
      <c r="D117">
        <v>10093</v>
      </c>
      <c r="E117" t="s">
        <v>168</v>
      </c>
    </row>
    <row r="118" spans="1:5">
      <c r="A118">
        <v>117</v>
      </c>
      <c r="B118">
        <v>50948</v>
      </c>
      <c r="C118">
        <v>8282</v>
      </c>
      <c r="D118">
        <v>10194</v>
      </c>
      <c r="E118" t="s">
        <v>168</v>
      </c>
    </row>
    <row r="119" spans="1:5">
      <c r="A119">
        <v>118</v>
      </c>
      <c r="B119">
        <v>51827</v>
      </c>
      <c r="C119">
        <v>8386</v>
      </c>
      <c r="D119">
        <v>10294</v>
      </c>
      <c r="E119" t="s">
        <v>168</v>
      </c>
    </row>
    <row r="120" spans="1:5">
      <c r="A120">
        <v>119</v>
      </c>
      <c r="B120">
        <v>52715</v>
      </c>
      <c r="C120">
        <v>8490</v>
      </c>
      <c r="D120">
        <v>10395</v>
      </c>
      <c r="E120" t="s">
        <v>168</v>
      </c>
    </row>
    <row r="121" spans="1:5">
      <c r="A121">
        <v>120</v>
      </c>
      <c r="B121">
        <v>53614</v>
      </c>
      <c r="C121">
        <v>8595</v>
      </c>
      <c r="D121">
        <v>10496</v>
      </c>
      <c r="E121" t="s">
        <v>168</v>
      </c>
    </row>
    <row r="122" spans="1:5">
      <c r="A122">
        <v>121</v>
      </c>
      <c r="B122">
        <v>54523</v>
      </c>
      <c r="C122">
        <v>8700</v>
      </c>
      <c r="D122">
        <v>10597</v>
      </c>
      <c r="E122" t="s">
        <v>168</v>
      </c>
    </row>
    <row r="123" spans="1:5">
      <c r="A123">
        <v>122</v>
      </c>
      <c r="B123">
        <v>55442</v>
      </c>
      <c r="C123">
        <v>8807</v>
      </c>
      <c r="D123">
        <v>10699</v>
      </c>
      <c r="E123" t="s">
        <v>168</v>
      </c>
    </row>
    <row r="124" spans="1:5">
      <c r="A124">
        <v>123</v>
      </c>
      <c r="B124">
        <v>56372</v>
      </c>
      <c r="C124">
        <v>8914</v>
      </c>
      <c r="D124">
        <v>10800</v>
      </c>
      <c r="E124" t="s">
        <v>168</v>
      </c>
    </row>
    <row r="125" spans="1:5">
      <c r="A125">
        <v>124</v>
      </c>
      <c r="B125">
        <v>57313</v>
      </c>
      <c r="C125">
        <v>9021</v>
      </c>
      <c r="D125">
        <v>10902</v>
      </c>
      <c r="E125" t="s">
        <v>168</v>
      </c>
    </row>
    <row r="126" spans="1:5">
      <c r="A126">
        <v>125</v>
      </c>
      <c r="B126">
        <v>58264</v>
      </c>
      <c r="C126">
        <v>9130</v>
      </c>
      <c r="D126">
        <v>11005</v>
      </c>
      <c r="E126" t="s">
        <v>168</v>
      </c>
    </row>
    <row r="127" spans="1:5">
      <c r="A127">
        <v>126</v>
      </c>
      <c r="B127">
        <v>59227</v>
      </c>
      <c r="C127">
        <v>9239</v>
      </c>
      <c r="D127">
        <v>11107</v>
      </c>
      <c r="E127" t="s">
        <v>168</v>
      </c>
    </row>
    <row r="128" spans="1:5">
      <c r="A128">
        <v>127</v>
      </c>
      <c r="B128">
        <v>60200</v>
      </c>
      <c r="C128">
        <v>9349</v>
      </c>
      <c r="D128">
        <v>11210</v>
      </c>
      <c r="E128" t="s">
        <v>168</v>
      </c>
    </row>
    <row r="129" spans="1:5">
      <c r="A129">
        <v>128</v>
      </c>
      <c r="B129">
        <v>61184</v>
      </c>
      <c r="C129">
        <v>9459</v>
      </c>
      <c r="D129">
        <v>11312</v>
      </c>
      <c r="E129" t="s">
        <v>168</v>
      </c>
    </row>
    <row r="130" spans="1:5">
      <c r="A130">
        <v>129</v>
      </c>
      <c r="B130">
        <v>62179</v>
      </c>
      <c r="C130">
        <v>9570</v>
      </c>
      <c r="D130">
        <v>11415</v>
      </c>
      <c r="E130" t="s">
        <v>168</v>
      </c>
    </row>
    <row r="131" spans="1:5">
      <c r="A131">
        <v>130</v>
      </c>
      <c r="B131">
        <v>63185</v>
      </c>
      <c r="C131">
        <v>9682</v>
      </c>
      <c r="D131">
        <v>11519</v>
      </c>
      <c r="E131" t="s">
        <v>168</v>
      </c>
    </row>
    <row r="132" spans="1:5">
      <c r="A132">
        <v>131</v>
      </c>
      <c r="B132">
        <v>64202</v>
      </c>
      <c r="C132">
        <v>9795</v>
      </c>
      <c r="D132">
        <v>11622</v>
      </c>
      <c r="E132" t="s">
        <v>168</v>
      </c>
    </row>
    <row r="133" spans="1:5">
      <c r="A133">
        <v>132</v>
      </c>
      <c r="B133">
        <v>65231</v>
      </c>
      <c r="C133">
        <v>9908</v>
      </c>
      <c r="D133">
        <v>11726</v>
      </c>
      <c r="E133" t="s">
        <v>168</v>
      </c>
    </row>
    <row r="134" spans="1:5">
      <c r="A134">
        <v>133</v>
      </c>
      <c r="B134">
        <v>66271</v>
      </c>
      <c r="C134">
        <v>10022</v>
      </c>
      <c r="D134">
        <v>11830</v>
      </c>
      <c r="E134" t="s">
        <v>168</v>
      </c>
    </row>
    <row r="135" spans="1:5">
      <c r="A135">
        <v>134</v>
      </c>
      <c r="B135">
        <v>67323</v>
      </c>
      <c r="C135">
        <v>10136</v>
      </c>
      <c r="D135">
        <v>11934</v>
      </c>
      <c r="E135" t="s">
        <v>168</v>
      </c>
    </row>
    <row r="136" spans="1:5">
      <c r="A136">
        <v>135</v>
      </c>
      <c r="B136">
        <v>68386</v>
      </c>
      <c r="C136">
        <v>10252</v>
      </c>
      <c r="D136">
        <v>12038</v>
      </c>
      <c r="E136" t="s">
        <v>168</v>
      </c>
    </row>
    <row r="137" spans="1:5">
      <c r="A137">
        <v>136</v>
      </c>
      <c r="B137">
        <v>69461</v>
      </c>
      <c r="C137">
        <v>10368</v>
      </c>
      <c r="D137">
        <v>12143</v>
      </c>
      <c r="E137" t="s">
        <v>168</v>
      </c>
    </row>
    <row r="138" spans="1:5">
      <c r="A138">
        <v>137</v>
      </c>
      <c r="B138">
        <v>70547</v>
      </c>
      <c r="C138">
        <v>10485</v>
      </c>
      <c r="D138">
        <v>12248</v>
      </c>
      <c r="E138" t="s">
        <v>168</v>
      </c>
    </row>
    <row r="139" spans="1:5">
      <c r="A139">
        <v>138</v>
      </c>
      <c r="B139">
        <v>71646</v>
      </c>
      <c r="C139">
        <v>10603</v>
      </c>
      <c r="D139">
        <v>12353</v>
      </c>
      <c r="E139" t="s">
        <v>168</v>
      </c>
    </row>
    <row r="140" spans="1:5">
      <c r="A140">
        <v>139</v>
      </c>
      <c r="B140">
        <v>72756</v>
      </c>
      <c r="C140">
        <v>10722</v>
      </c>
      <c r="D140">
        <v>12458</v>
      </c>
      <c r="E140" t="s">
        <v>168</v>
      </c>
    </row>
    <row r="141" spans="1:5">
      <c r="A141">
        <v>140</v>
      </c>
      <c r="B141">
        <v>73878</v>
      </c>
      <c r="C141">
        <v>10841</v>
      </c>
      <c r="D141">
        <v>12564</v>
      </c>
      <c r="E141" t="s">
        <v>168</v>
      </c>
    </row>
    <row r="142" spans="1:5">
      <c r="A142">
        <v>141</v>
      </c>
      <c r="B142">
        <v>75012</v>
      </c>
      <c r="C142">
        <v>10961</v>
      </c>
      <c r="D142">
        <v>12670</v>
      </c>
      <c r="E142" t="s">
        <v>168</v>
      </c>
    </row>
    <row r="143" spans="1:5">
      <c r="A143">
        <v>142</v>
      </c>
      <c r="B143">
        <v>76159</v>
      </c>
      <c r="C143">
        <v>11081</v>
      </c>
      <c r="D143">
        <v>12776</v>
      </c>
      <c r="E143" t="s">
        <v>168</v>
      </c>
    </row>
    <row r="144" spans="1:5">
      <c r="A144">
        <v>143</v>
      </c>
      <c r="B144">
        <v>77318</v>
      </c>
      <c r="C144">
        <v>11203</v>
      </c>
      <c r="D144">
        <v>12882</v>
      </c>
      <c r="E144" t="s">
        <v>168</v>
      </c>
    </row>
    <row r="145" spans="1:5">
      <c r="A145">
        <v>144</v>
      </c>
      <c r="B145">
        <v>78489</v>
      </c>
      <c r="C145">
        <v>11325</v>
      </c>
      <c r="D145">
        <v>12988</v>
      </c>
      <c r="E145" t="s">
        <v>168</v>
      </c>
    </row>
    <row r="146" spans="1:5">
      <c r="A146">
        <v>145</v>
      </c>
      <c r="B146">
        <v>79672</v>
      </c>
      <c r="C146">
        <v>11448</v>
      </c>
      <c r="D146">
        <v>13095</v>
      </c>
      <c r="E146" t="s">
        <v>168</v>
      </c>
    </row>
    <row r="147" spans="1:5">
      <c r="A147">
        <v>146</v>
      </c>
      <c r="B147">
        <v>80869</v>
      </c>
      <c r="C147">
        <v>11571</v>
      </c>
      <c r="D147">
        <v>13202</v>
      </c>
      <c r="E147" t="s">
        <v>168</v>
      </c>
    </row>
    <row r="148" spans="1:5">
      <c r="A148">
        <v>147</v>
      </c>
      <c r="B148">
        <v>82077</v>
      </c>
      <c r="C148">
        <v>11695</v>
      </c>
      <c r="D148">
        <v>13309</v>
      </c>
      <c r="E148" t="s">
        <v>168</v>
      </c>
    </row>
    <row r="149" spans="1:5">
      <c r="A149">
        <v>148</v>
      </c>
      <c r="B149">
        <v>83299</v>
      </c>
      <c r="C149">
        <v>11821</v>
      </c>
      <c r="D149">
        <v>13417</v>
      </c>
      <c r="E149" t="s">
        <v>168</v>
      </c>
    </row>
    <row r="150" spans="1:5">
      <c r="A150">
        <v>149</v>
      </c>
      <c r="B150">
        <v>84533</v>
      </c>
      <c r="C150">
        <v>11947</v>
      </c>
      <c r="D150">
        <v>13524</v>
      </c>
      <c r="E150" t="s">
        <v>168</v>
      </c>
    </row>
    <row r="151" spans="1:5">
      <c r="A151">
        <v>150</v>
      </c>
      <c r="B151">
        <v>85780</v>
      </c>
      <c r="C151">
        <v>12074</v>
      </c>
      <c r="D151">
        <v>13632</v>
      </c>
      <c r="E151" t="s">
        <v>168</v>
      </c>
    </row>
    <row r="152" spans="1:5">
      <c r="A152">
        <v>151</v>
      </c>
      <c r="B152">
        <v>87041</v>
      </c>
      <c r="C152">
        <v>12202</v>
      </c>
      <c r="D152">
        <v>13740</v>
      </c>
      <c r="E152" t="s">
        <v>168</v>
      </c>
    </row>
    <row r="153" spans="1:5">
      <c r="A153">
        <v>152</v>
      </c>
      <c r="B153">
        <v>88314</v>
      </c>
      <c r="C153">
        <v>12330</v>
      </c>
      <c r="D153">
        <v>13848</v>
      </c>
      <c r="E153" t="s">
        <v>168</v>
      </c>
    </row>
    <row r="154" spans="1:5">
      <c r="A154">
        <v>153</v>
      </c>
      <c r="B154">
        <v>89600</v>
      </c>
      <c r="C154">
        <v>12459</v>
      </c>
      <c r="D154">
        <v>13957</v>
      </c>
      <c r="E154" t="s">
        <v>168</v>
      </c>
    </row>
    <row r="155" spans="1:5">
      <c r="A155">
        <v>154</v>
      </c>
      <c r="B155">
        <v>90900</v>
      </c>
      <c r="C155">
        <v>12589</v>
      </c>
      <c r="D155">
        <v>14066</v>
      </c>
      <c r="E155" t="s">
        <v>168</v>
      </c>
    </row>
    <row r="156" spans="1:5">
      <c r="A156">
        <v>155</v>
      </c>
      <c r="B156">
        <v>92213</v>
      </c>
      <c r="C156">
        <v>12720</v>
      </c>
      <c r="D156">
        <v>14175</v>
      </c>
      <c r="E156" t="s">
        <v>168</v>
      </c>
    </row>
    <row r="157" spans="1:5">
      <c r="A157">
        <v>156</v>
      </c>
      <c r="B157">
        <v>93540</v>
      </c>
      <c r="C157">
        <v>12852</v>
      </c>
      <c r="D157">
        <v>14284</v>
      </c>
      <c r="E157" t="s">
        <v>168</v>
      </c>
    </row>
    <row r="158" spans="1:5">
      <c r="A158">
        <v>157</v>
      </c>
      <c r="B158">
        <v>94880</v>
      </c>
      <c r="C158">
        <v>12985</v>
      </c>
      <c r="D158">
        <v>14393</v>
      </c>
      <c r="E158" t="s">
        <v>168</v>
      </c>
    </row>
    <row r="159" spans="1:5">
      <c r="A159">
        <v>158</v>
      </c>
      <c r="B159">
        <v>96234</v>
      </c>
      <c r="C159">
        <v>13117</v>
      </c>
      <c r="D159">
        <v>14503</v>
      </c>
      <c r="E159" t="s">
        <v>168</v>
      </c>
    </row>
    <row r="160" spans="1:5">
      <c r="A160">
        <v>159</v>
      </c>
      <c r="B160">
        <v>97601</v>
      </c>
      <c r="C160">
        <v>13251</v>
      </c>
      <c r="D160">
        <v>14613</v>
      </c>
      <c r="E160" t="s">
        <v>168</v>
      </c>
    </row>
    <row r="161" spans="1:5">
      <c r="A161">
        <v>160</v>
      </c>
      <c r="B161">
        <v>98983</v>
      </c>
      <c r="C161">
        <v>13387</v>
      </c>
      <c r="D161">
        <v>14723</v>
      </c>
      <c r="E161" t="s">
        <v>168</v>
      </c>
    </row>
    <row r="162" spans="1:5">
      <c r="A162">
        <v>161</v>
      </c>
      <c r="B162">
        <v>100378</v>
      </c>
      <c r="C162">
        <v>13522</v>
      </c>
      <c r="D162">
        <v>14833</v>
      </c>
      <c r="E162" t="s">
        <v>168</v>
      </c>
    </row>
    <row r="163" spans="1:5">
      <c r="A163">
        <v>162</v>
      </c>
      <c r="B163">
        <v>101788</v>
      </c>
      <c r="C163">
        <v>13659</v>
      </c>
      <c r="D163">
        <v>14944</v>
      </c>
      <c r="E163" t="s">
        <v>168</v>
      </c>
    </row>
    <row r="164" spans="1:5">
      <c r="A164">
        <v>163</v>
      </c>
      <c r="B164">
        <v>103211</v>
      </c>
      <c r="C164">
        <v>13796</v>
      </c>
      <c r="D164">
        <v>15054</v>
      </c>
      <c r="E164" t="s">
        <v>168</v>
      </c>
    </row>
    <row r="165" spans="1:5">
      <c r="A165">
        <v>164</v>
      </c>
      <c r="B165">
        <v>104649</v>
      </c>
      <c r="C165">
        <v>13934</v>
      </c>
      <c r="D165">
        <v>15165</v>
      </c>
      <c r="E165" t="s">
        <v>168</v>
      </c>
    </row>
    <row r="166" spans="1:5">
      <c r="A166">
        <v>165</v>
      </c>
      <c r="B166">
        <v>106101</v>
      </c>
      <c r="C166">
        <v>14073</v>
      </c>
      <c r="D166">
        <v>15277</v>
      </c>
      <c r="E166" t="s">
        <v>168</v>
      </c>
    </row>
    <row r="167" spans="1:5">
      <c r="A167">
        <v>166</v>
      </c>
      <c r="B167">
        <v>107567</v>
      </c>
      <c r="C167">
        <v>14214</v>
      </c>
      <c r="D167">
        <v>15388</v>
      </c>
      <c r="E167" t="s">
        <v>168</v>
      </c>
    </row>
    <row r="168" spans="1:5">
      <c r="A168">
        <v>167</v>
      </c>
      <c r="B168">
        <v>109048</v>
      </c>
      <c r="C168">
        <v>14354</v>
      </c>
      <c r="D168">
        <v>15500</v>
      </c>
      <c r="E168" t="s">
        <v>168</v>
      </c>
    </row>
    <row r="169" spans="1:5">
      <c r="A169">
        <v>168</v>
      </c>
      <c r="B169">
        <v>110544</v>
      </c>
      <c r="C169">
        <v>14496</v>
      </c>
      <c r="D169">
        <v>15612</v>
      </c>
      <c r="E169" t="s">
        <v>168</v>
      </c>
    </row>
    <row r="170" spans="1:5">
      <c r="A170">
        <v>169</v>
      </c>
      <c r="B170">
        <v>112054</v>
      </c>
      <c r="C170">
        <v>14638</v>
      </c>
      <c r="D170">
        <v>15724</v>
      </c>
      <c r="E170" t="s">
        <v>168</v>
      </c>
    </row>
    <row r="171" spans="1:5">
      <c r="A171">
        <v>170</v>
      </c>
      <c r="B171">
        <v>113579</v>
      </c>
      <c r="C171">
        <v>14782</v>
      </c>
      <c r="D171">
        <v>15836</v>
      </c>
      <c r="E171" t="s">
        <v>168</v>
      </c>
    </row>
    <row r="172" spans="1:5">
      <c r="A172">
        <v>171</v>
      </c>
      <c r="B172">
        <v>115120</v>
      </c>
      <c r="C172">
        <v>14926</v>
      </c>
      <c r="D172">
        <v>15949</v>
      </c>
      <c r="E172" t="s">
        <v>168</v>
      </c>
    </row>
    <row r="173" spans="1:5">
      <c r="A173">
        <v>172</v>
      </c>
      <c r="B173">
        <v>116675</v>
      </c>
      <c r="C173">
        <v>15071</v>
      </c>
      <c r="D173">
        <v>16062</v>
      </c>
      <c r="E173" t="s">
        <v>168</v>
      </c>
    </row>
    <row r="174" spans="1:5">
      <c r="A174">
        <v>173</v>
      </c>
      <c r="B174">
        <v>118245</v>
      </c>
      <c r="C174">
        <v>15217</v>
      </c>
      <c r="D174">
        <v>16175</v>
      </c>
      <c r="E174" t="s">
        <v>168</v>
      </c>
    </row>
    <row r="175" spans="1:5">
      <c r="A175">
        <v>174</v>
      </c>
      <c r="B175">
        <v>119830</v>
      </c>
      <c r="C175">
        <v>15364</v>
      </c>
      <c r="D175">
        <v>16288</v>
      </c>
      <c r="E175" t="s">
        <v>168</v>
      </c>
    </row>
    <row r="176" spans="1:5">
      <c r="A176">
        <v>175</v>
      </c>
      <c r="B176">
        <v>121431</v>
      </c>
      <c r="C176">
        <v>15511</v>
      </c>
      <c r="D176">
        <v>16402</v>
      </c>
      <c r="E176" t="s">
        <v>168</v>
      </c>
    </row>
    <row r="177" spans="1:5">
      <c r="A177">
        <v>176</v>
      </c>
      <c r="B177">
        <v>123047</v>
      </c>
      <c r="C177">
        <v>15661</v>
      </c>
      <c r="D177">
        <v>16515</v>
      </c>
      <c r="E177" t="s">
        <v>168</v>
      </c>
    </row>
    <row r="178" spans="1:5">
      <c r="A178">
        <v>177</v>
      </c>
      <c r="B178">
        <v>124679</v>
      </c>
      <c r="C178">
        <v>15810</v>
      </c>
      <c r="D178">
        <v>16629</v>
      </c>
      <c r="E178" t="s">
        <v>168</v>
      </c>
    </row>
    <row r="179" spans="1:5">
      <c r="A179">
        <v>178</v>
      </c>
      <c r="B179">
        <v>126326</v>
      </c>
      <c r="C179">
        <v>15960</v>
      </c>
      <c r="D179">
        <v>16743</v>
      </c>
      <c r="E179" t="s">
        <v>168</v>
      </c>
    </row>
    <row r="180" spans="1:5">
      <c r="A180">
        <v>179</v>
      </c>
      <c r="B180">
        <v>127989</v>
      </c>
      <c r="C180">
        <v>16112</v>
      </c>
      <c r="D180">
        <v>16858</v>
      </c>
      <c r="E180" t="s">
        <v>168</v>
      </c>
    </row>
    <row r="181" spans="1:5">
      <c r="A181">
        <v>180</v>
      </c>
      <c r="B181">
        <v>129668</v>
      </c>
      <c r="C181">
        <v>16264</v>
      </c>
      <c r="D181">
        <v>16973</v>
      </c>
      <c r="E181" t="s">
        <v>168</v>
      </c>
    </row>
    <row r="182" spans="1:5">
      <c r="A182">
        <v>181</v>
      </c>
      <c r="B182">
        <v>131363</v>
      </c>
      <c r="C182">
        <v>16418</v>
      </c>
      <c r="D182">
        <v>17087</v>
      </c>
      <c r="E182" t="s">
        <v>168</v>
      </c>
    </row>
    <row r="183" spans="1:5">
      <c r="A183">
        <v>182</v>
      </c>
      <c r="B183">
        <v>133074</v>
      </c>
      <c r="C183">
        <v>16571</v>
      </c>
      <c r="D183">
        <v>17203</v>
      </c>
      <c r="E183" t="s">
        <v>168</v>
      </c>
    </row>
    <row r="184" spans="1:5">
      <c r="A184">
        <v>183</v>
      </c>
      <c r="B184">
        <v>134801</v>
      </c>
      <c r="C184">
        <v>16726</v>
      </c>
      <c r="D184">
        <v>17318</v>
      </c>
      <c r="E184" t="s">
        <v>168</v>
      </c>
    </row>
    <row r="185" spans="1:5">
      <c r="A185">
        <v>184</v>
      </c>
      <c r="B185">
        <v>136544</v>
      </c>
      <c r="C185">
        <v>16882</v>
      </c>
      <c r="D185">
        <v>17433</v>
      </c>
      <c r="E185" t="s">
        <v>168</v>
      </c>
    </row>
    <row r="186" spans="1:5">
      <c r="A186">
        <v>185</v>
      </c>
      <c r="B186">
        <v>138304</v>
      </c>
      <c r="C186">
        <v>17039</v>
      </c>
      <c r="D186">
        <v>17549</v>
      </c>
      <c r="E186" t="s">
        <v>168</v>
      </c>
    </row>
    <row r="187" spans="1:5">
      <c r="A187">
        <v>186</v>
      </c>
      <c r="B187">
        <v>140080</v>
      </c>
      <c r="C187">
        <v>17197</v>
      </c>
      <c r="D187">
        <v>17665</v>
      </c>
      <c r="E187" t="s">
        <v>168</v>
      </c>
    </row>
    <row r="188" spans="1:5">
      <c r="A188">
        <v>187</v>
      </c>
      <c r="B188">
        <v>141873</v>
      </c>
      <c r="C188">
        <v>17356</v>
      </c>
      <c r="D188">
        <v>17781</v>
      </c>
      <c r="E188" t="s">
        <v>168</v>
      </c>
    </row>
    <row r="189" spans="1:5">
      <c r="A189">
        <v>188</v>
      </c>
      <c r="B189">
        <v>143682</v>
      </c>
      <c r="C189">
        <v>17515</v>
      </c>
      <c r="D189">
        <v>17898</v>
      </c>
      <c r="E189" t="s">
        <v>168</v>
      </c>
    </row>
    <row r="190" spans="1:5">
      <c r="A190">
        <v>189</v>
      </c>
      <c r="B190">
        <v>145508</v>
      </c>
      <c r="C190">
        <v>17677</v>
      </c>
      <c r="D190">
        <v>18015</v>
      </c>
      <c r="E190" t="s">
        <v>168</v>
      </c>
    </row>
    <row r="191" spans="1:5">
      <c r="A191">
        <v>190</v>
      </c>
      <c r="B191">
        <v>147351</v>
      </c>
      <c r="C191">
        <v>17838</v>
      </c>
      <c r="D191">
        <v>18132</v>
      </c>
      <c r="E191" t="s">
        <v>168</v>
      </c>
    </row>
    <row r="192" spans="1:5">
      <c r="A192">
        <v>191</v>
      </c>
      <c r="B192">
        <v>149211</v>
      </c>
      <c r="C192">
        <v>18001</v>
      </c>
      <c r="D192">
        <v>18249</v>
      </c>
      <c r="E192" t="s">
        <v>168</v>
      </c>
    </row>
    <row r="193" spans="1:5">
      <c r="A193">
        <v>192</v>
      </c>
      <c r="B193">
        <v>151088</v>
      </c>
      <c r="C193">
        <v>18164</v>
      </c>
      <c r="D193">
        <v>18366</v>
      </c>
      <c r="E193" t="s">
        <v>168</v>
      </c>
    </row>
    <row r="194" spans="1:5">
      <c r="A194">
        <v>193</v>
      </c>
      <c r="B194">
        <v>152982</v>
      </c>
      <c r="C194">
        <v>18328</v>
      </c>
      <c r="D194">
        <v>18484</v>
      </c>
      <c r="E194" t="s">
        <v>168</v>
      </c>
    </row>
    <row r="195" spans="1:5">
      <c r="A195">
        <v>194</v>
      </c>
      <c r="B195">
        <v>154894</v>
      </c>
      <c r="C195">
        <v>18494</v>
      </c>
      <c r="D195">
        <v>18602</v>
      </c>
      <c r="E195" t="s">
        <v>168</v>
      </c>
    </row>
    <row r="196" spans="1:5">
      <c r="A196">
        <v>195</v>
      </c>
      <c r="B196">
        <v>156823</v>
      </c>
      <c r="C196">
        <v>18660</v>
      </c>
      <c r="D196">
        <v>18720</v>
      </c>
      <c r="E196" t="s">
        <v>168</v>
      </c>
    </row>
    <row r="197" spans="1:5">
      <c r="A197">
        <v>196</v>
      </c>
      <c r="B197">
        <v>158769</v>
      </c>
      <c r="C197">
        <v>18828</v>
      </c>
      <c r="D197">
        <v>18838</v>
      </c>
      <c r="E197" t="s">
        <v>168</v>
      </c>
    </row>
    <row r="198" spans="1:5">
      <c r="A198">
        <v>197</v>
      </c>
      <c r="B198">
        <v>160734</v>
      </c>
      <c r="C198">
        <v>18997</v>
      </c>
      <c r="D198">
        <v>18956</v>
      </c>
      <c r="E198" t="s">
        <v>168</v>
      </c>
    </row>
    <row r="199" spans="1:5">
      <c r="A199">
        <v>198</v>
      </c>
      <c r="B199">
        <v>162716</v>
      </c>
      <c r="C199">
        <v>19166</v>
      </c>
      <c r="D199">
        <v>19075</v>
      </c>
      <c r="E199" t="s">
        <v>168</v>
      </c>
    </row>
    <row r="200" spans="1:5">
      <c r="A200">
        <v>199</v>
      </c>
      <c r="B200">
        <v>164715</v>
      </c>
      <c r="C200">
        <v>19337</v>
      </c>
      <c r="D200">
        <v>19194</v>
      </c>
      <c r="E200" t="s">
        <v>168</v>
      </c>
    </row>
    <row r="201" spans="1:5">
      <c r="A201">
        <v>200</v>
      </c>
      <c r="B201">
        <v>166733</v>
      </c>
      <c r="C201">
        <v>19508</v>
      </c>
      <c r="D201">
        <v>19313</v>
      </c>
      <c r="E201" t="s">
        <v>168</v>
      </c>
    </row>
    <row r="202" spans="1:5">
      <c r="A202">
        <v>201</v>
      </c>
      <c r="B202">
        <v>168769</v>
      </c>
      <c r="C202">
        <v>19681</v>
      </c>
      <c r="D202">
        <v>19433</v>
      </c>
      <c r="E202" t="s">
        <v>168</v>
      </c>
    </row>
    <row r="203" spans="1:5">
      <c r="A203">
        <v>202</v>
      </c>
      <c r="B203">
        <v>170823</v>
      </c>
      <c r="C203">
        <v>19854</v>
      </c>
      <c r="D203">
        <v>19552</v>
      </c>
      <c r="E203" t="s">
        <v>168</v>
      </c>
    </row>
    <row r="204" spans="1:5">
      <c r="A204">
        <v>203</v>
      </c>
      <c r="B204">
        <v>172896</v>
      </c>
      <c r="C204">
        <v>20028</v>
      </c>
      <c r="D204">
        <v>19672</v>
      </c>
      <c r="E204" t="s">
        <v>168</v>
      </c>
    </row>
    <row r="205" spans="1:5">
      <c r="A205">
        <v>204</v>
      </c>
      <c r="B205">
        <v>174987</v>
      </c>
      <c r="C205">
        <v>20204</v>
      </c>
      <c r="D205">
        <v>19792</v>
      </c>
      <c r="E205" t="s">
        <v>168</v>
      </c>
    </row>
    <row r="206" spans="1:5">
      <c r="A206">
        <v>205</v>
      </c>
      <c r="B206">
        <v>177096</v>
      </c>
      <c r="C206">
        <v>20380</v>
      </c>
      <c r="D206">
        <v>19913</v>
      </c>
      <c r="E206" t="s">
        <v>168</v>
      </c>
    </row>
    <row r="207" spans="1:5">
      <c r="A207">
        <v>206</v>
      </c>
      <c r="B207">
        <v>179224</v>
      </c>
      <c r="C207">
        <v>20558</v>
      </c>
      <c r="D207">
        <v>20033</v>
      </c>
      <c r="E207" t="s">
        <v>168</v>
      </c>
    </row>
    <row r="208" spans="1:5">
      <c r="A208">
        <v>207</v>
      </c>
      <c r="B208">
        <v>181371</v>
      </c>
      <c r="C208">
        <v>20737</v>
      </c>
      <c r="D208">
        <v>20154</v>
      </c>
      <c r="E208" t="s">
        <v>168</v>
      </c>
    </row>
    <row r="209" spans="1:5">
      <c r="A209">
        <v>208</v>
      </c>
      <c r="B209">
        <v>183537</v>
      </c>
      <c r="C209">
        <v>20916</v>
      </c>
      <c r="D209">
        <v>20275</v>
      </c>
      <c r="E209" t="s">
        <v>168</v>
      </c>
    </row>
    <row r="210" spans="1:5">
      <c r="A210">
        <v>209</v>
      </c>
      <c r="B210">
        <v>185721</v>
      </c>
      <c r="C210">
        <v>21097</v>
      </c>
      <c r="D210">
        <v>20396</v>
      </c>
      <c r="E210" t="s">
        <v>168</v>
      </c>
    </row>
    <row r="211" spans="1:5">
      <c r="A211">
        <v>210</v>
      </c>
      <c r="B211">
        <v>187925</v>
      </c>
      <c r="C211">
        <v>21279</v>
      </c>
      <c r="D211">
        <v>20518</v>
      </c>
      <c r="E211" t="s">
        <v>168</v>
      </c>
    </row>
    <row r="212" spans="1:5">
      <c r="A212">
        <v>211</v>
      </c>
      <c r="B212">
        <v>190148</v>
      </c>
      <c r="C212">
        <v>21461</v>
      </c>
      <c r="D212">
        <v>20639</v>
      </c>
      <c r="E212" t="s">
        <v>168</v>
      </c>
    </row>
    <row r="213" spans="1:5">
      <c r="A213">
        <v>212</v>
      </c>
      <c r="B213">
        <v>192391</v>
      </c>
      <c r="C213">
        <v>21646</v>
      </c>
      <c r="D213">
        <v>20761</v>
      </c>
      <c r="E213" t="s">
        <v>168</v>
      </c>
    </row>
    <row r="214" spans="1:5">
      <c r="A214">
        <v>213</v>
      </c>
      <c r="B214">
        <v>194653</v>
      </c>
      <c r="C214">
        <v>21831</v>
      </c>
      <c r="D214">
        <v>20884</v>
      </c>
      <c r="E214" t="s">
        <v>168</v>
      </c>
    </row>
    <row r="215" spans="1:5">
      <c r="A215">
        <v>214</v>
      </c>
      <c r="B215">
        <v>196934</v>
      </c>
      <c r="C215">
        <v>22017</v>
      </c>
      <c r="D215">
        <v>21006</v>
      </c>
      <c r="E215" t="s">
        <v>168</v>
      </c>
    </row>
    <row r="216" spans="1:5">
      <c r="A216">
        <v>215</v>
      </c>
      <c r="B216">
        <v>199236</v>
      </c>
      <c r="C216">
        <v>22204</v>
      </c>
      <c r="D216">
        <v>21129</v>
      </c>
      <c r="E216" t="s">
        <v>168</v>
      </c>
    </row>
    <row r="217" spans="1:5">
      <c r="A217">
        <v>216</v>
      </c>
      <c r="B217">
        <v>201557</v>
      </c>
      <c r="C217">
        <v>22392</v>
      </c>
      <c r="D217">
        <v>21251</v>
      </c>
      <c r="E217" t="s">
        <v>168</v>
      </c>
    </row>
    <row r="218" spans="1:5">
      <c r="A218">
        <v>217</v>
      </c>
      <c r="B218">
        <v>203898</v>
      </c>
      <c r="C218">
        <v>22582</v>
      </c>
      <c r="D218">
        <v>21374</v>
      </c>
      <c r="E218" t="s">
        <v>168</v>
      </c>
    </row>
    <row r="219" spans="1:5">
      <c r="A219">
        <v>218</v>
      </c>
      <c r="B219">
        <v>206259</v>
      </c>
      <c r="C219">
        <v>22771</v>
      </c>
      <c r="D219">
        <v>21498</v>
      </c>
      <c r="E219" t="s">
        <v>168</v>
      </c>
    </row>
    <row r="220" spans="1:5">
      <c r="A220">
        <v>219</v>
      </c>
      <c r="B220">
        <v>208640</v>
      </c>
      <c r="C220">
        <v>22963</v>
      </c>
      <c r="D220">
        <v>21621</v>
      </c>
      <c r="E220" t="s">
        <v>168</v>
      </c>
    </row>
    <row r="221" spans="1:5">
      <c r="A221">
        <v>220</v>
      </c>
      <c r="B221">
        <v>211042</v>
      </c>
      <c r="C221">
        <v>23156</v>
      </c>
      <c r="D221">
        <v>21745</v>
      </c>
      <c r="E221" t="s">
        <v>168</v>
      </c>
    </row>
    <row r="222" spans="1:5">
      <c r="A222">
        <v>221</v>
      </c>
      <c r="B222">
        <v>213464</v>
      </c>
      <c r="C222">
        <v>23350</v>
      </c>
      <c r="D222">
        <v>21869</v>
      </c>
      <c r="E222" t="s">
        <v>168</v>
      </c>
    </row>
    <row r="223" spans="1:5">
      <c r="A223">
        <v>222</v>
      </c>
      <c r="B223">
        <v>215907</v>
      </c>
      <c r="C223">
        <v>23545</v>
      </c>
      <c r="D223">
        <v>21993</v>
      </c>
      <c r="E223" t="s">
        <v>168</v>
      </c>
    </row>
    <row r="224" spans="1:5">
      <c r="A224">
        <v>223</v>
      </c>
      <c r="B224">
        <v>218370</v>
      </c>
      <c r="C224">
        <v>23740</v>
      </c>
      <c r="D224">
        <v>22118</v>
      </c>
      <c r="E224" t="s">
        <v>168</v>
      </c>
    </row>
    <row r="225" spans="1:5">
      <c r="A225">
        <v>224</v>
      </c>
      <c r="B225">
        <v>220854</v>
      </c>
      <c r="C225">
        <v>23938</v>
      </c>
      <c r="D225">
        <v>22242</v>
      </c>
      <c r="E225" t="s">
        <v>168</v>
      </c>
    </row>
    <row r="226" spans="1:5">
      <c r="A226">
        <v>225</v>
      </c>
      <c r="B226">
        <v>223359</v>
      </c>
      <c r="C226">
        <v>24136</v>
      </c>
      <c r="D226">
        <v>22367</v>
      </c>
      <c r="E226" t="s">
        <v>168</v>
      </c>
    </row>
    <row r="227" spans="1:5">
      <c r="A227">
        <v>226</v>
      </c>
      <c r="B227">
        <v>225885</v>
      </c>
      <c r="C227">
        <v>24335</v>
      </c>
      <c r="D227">
        <v>22492</v>
      </c>
      <c r="E227" t="s">
        <v>168</v>
      </c>
    </row>
    <row r="228" spans="1:5">
      <c r="A228">
        <v>227</v>
      </c>
      <c r="B228">
        <v>228432</v>
      </c>
      <c r="C228">
        <v>24535</v>
      </c>
      <c r="D228">
        <v>22618</v>
      </c>
      <c r="E228" t="s">
        <v>168</v>
      </c>
    </row>
    <row r="229" spans="1:5">
      <c r="A229">
        <v>228</v>
      </c>
      <c r="B229">
        <v>231001</v>
      </c>
      <c r="C229">
        <v>24738</v>
      </c>
      <c r="D229">
        <v>22743</v>
      </c>
      <c r="E229" t="s">
        <v>168</v>
      </c>
    </row>
    <row r="230" spans="1:5">
      <c r="A230">
        <v>229</v>
      </c>
      <c r="B230">
        <v>233591</v>
      </c>
      <c r="C230">
        <v>24940</v>
      </c>
      <c r="D230">
        <v>22869</v>
      </c>
      <c r="E230" t="s">
        <v>168</v>
      </c>
    </row>
    <row r="231" spans="1:5">
      <c r="A231">
        <v>230</v>
      </c>
      <c r="B231">
        <v>236203</v>
      </c>
      <c r="C231">
        <v>25145</v>
      </c>
      <c r="D231">
        <v>22995</v>
      </c>
      <c r="E231" t="s">
        <v>168</v>
      </c>
    </row>
    <row r="232" spans="1:5">
      <c r="A232">
        <v>231</v>
      </c>
      <c r="B232">
        <v>238836</v>
      </c>
      <c r="C232">
        <v>25349</v>
      </c>
      <c r="D232">
        <v>23121</v>
      </c>
      <c r="E232" t="s">
        <v>168</v>
      </c>
    </row>
    <row r="233" spans="1:5">
      <c r="A233">
        <v>232</v>
      </c>
      <c r="B233">
        <v>241491</v>
      </c>
      <c r="C233">
        <v>25555</v>
      </c>
      <c r="D233">
        <v>23248</v>
      </c>
      <c r="E233" t="s">
        <v>168</v>
      </c>
    </row>
    <row r="234" spans="1:5">
      <c r="A234">
        <v>233</v>
      </c>
      <c r="B234">
        <v>244168</v>
      </c>
      <c r="C234">
        <v>25764</v>
      </c>
      <c r="D234">
        <v>23374</v>
      </c>
      <c r="E234" t="s">
        <v>168</v>
      </c>
    </row>
    <row r="235" spans="1:5">
      <c r="A235">
        <v>234</v>
      </c>
      <c r="B235">
        <v>246867</v>
      </c>
      <c r="C235">
        <v>25972</v>
      </c>
      <c r="D235">
        <v>23501</v>
      </c>
      <c r="E235" t="s">
        <v>168</v>
      </c>
    </row>
    <row r="236" spans="1:5">
      <c r="A236">
        <v>235</v>
      </c>
      <c r="B236">
        <v>249588</v>
      </c>
      <c r="C236">
        <v>26182</v>
      </c>
      <c r="D236">
        <v>23629</v>
      </c>
      <c r="E236" t="s">
        <v>168</v>
      </c>
    </row>
    <row r="237" spans="1:5">
      <c r="A237">
        <v>236</v>
      </c>
      <c r="B237">
        <v>252332</v>
      </c>
      <c r="C237">
        <v>26393</v>
      </c>
      <c r="D237">
        <v>23756</v>
      </c>
      <c r="E237" t="s">
        <v>168</v>
      </c>
    </row>
    <row r="238" spans="1:5">
      <c r="A238">
        <v>237</v>
      </c>
      <c r="B238">
        <v>255098</v>
      </c>
      <c r="C238">
        <v>26605</v>
      </c>
      <c r="D238">
        <v>23884</v>
      </c>
      <c r="E238" t="s">
        <v>168</v>
      </c>
    </row>
    <row r="239" spans="1:5">
      <c r="A239">
        <v>238</v>
      </c>
      <c r="B239">
        <v>257887</v>
      </c>
      <c r="C239">
        <v>26819</v>
      </c>
      <c r="D239">
        <v>24011</v>
      </c>
      <c r="E239" t="s">
        <v>168</v>
      </c>
    </row>
    <row r="240" spans="1:5">
      <c r="A240">
        <v>239</v>
      </c>
      <c r="B240">
        <v>260698</v>
      </c>
      <c r="C240">
        <v>27033</v>
      </c>
      <c r="D240">
        <v>24139</v>
      </c>
      <c r="E240" t="s">
        <v>168</v>
      </c>
    </row>
    <row r="241" spans="1:5">
      <c r="A241">
        <v>240</v>
      </c>
      <c r="B241">
        <v>263533</v>
      </c>
      <c r="C241">
        <v>27250</v>
      </c>
      <c r="D241">
        <v>24268</v>
      </c>
      <c r="E241" t="s">
        <v>168</v>
      </c>
    </row>
    <row r="242" spans="1:5">
      <c r="A242">
        <v>241</v>
      </c>
      <c r="B242">
        <v>266390</v>
      </c>
      <c r="C242">
        <v>27467</v>
      </c>
      <c r="D242">
        <v>24396</v>
      </c>
      <c r="E242" t="s">
        <v>168</v>
      </c>
    </row>
    <row r="243" spans="1:5">
      <c r="A243">
        <v>242</v>
      </c>
      <c r="B243">
        <v>269270</v>
      </c>
      <c r="C243">
        <v>27685</v>
      </c>
      <c r="D243">
        <v>24525</v>
      </c>
      <c r="E243" t="s">
        <v>168</v>
      </c>
    </row>
    <row r="244" spans="1:5">
      <c r="A244">
        <v>243</v>
      </c>
      <c r="B244">
        <v>272174</v>
      </c>
      <c r="C244">
        <v>27905</v>
      </c>
      <c r="D244">
        <v>24654</v>
      </c>
      <c r="E244" t="s">
        <v>168</v>
      </c>
    </row>
    <row r="245" spans="1:5">
      <c r="A245">
        <v>244</v>
      </c>
      <c r="B245">
        <v>275101</v>
      </c>
      <c r="C245">
        <v>28125</v>
      </c>
      <c r="D245">
        <v>24783</v>
      </c>
      <c r="E245" t="s">
        <v>168</v>
      </c>
    </row>
    <row r="246" spans="1:5">
      <c r="A246">
        <v>245</v>
      </c>
      <c r="B246">
        <v>278051</v>
      </c>
      <c r="C246">
        <v>28347</v>
      </c>
      <c r="D246">
        <v>24913</v>
      </c>
      <c r="E246" t="s">
        <v>168</v>
      </c>
    </row>
    <row r="247" spans="1:5">
      <c r="A247">
        <v>246</v>
      </c>
      <c r="B247">
        <v>281026</v>
      </c>
      <c r="C247">
        <v>28571</v>
      </c>
      <c r="D247">
        <v>25042</v>
      </c>
      <c r="E247" t="s">
        <v>168</v>
      </c>
    </row>
    <row r="248" spans="1:5">
      <c r="A248">
        <v>247</v>
      </c>
      <c r="B248">
        <v>284024</v>
      </c>
      <c r="C248">
        <v>28795</v>
      </c>
      <c r="D248">
        <v>25172</v>
      </c>
      <c r="E248" t="s">
        <v>168</v>
      </c>
    </row>
    <row r="249" spans="1:5">
      <c r="A249">
        <v>248</v>
      </c>
      <c r="B249">
        <v>287046</v>
      </c>
      <c r="C249">
        <v>29021</v>
      </c>
      <c r="D249">
        <v>25302</v>
      </c>
      <c r="E249" t="s">
        <v>168</v>
      </c>
    </row>
    <row r="250" spans="1:5">
      <c r="A250">
        <v>249</v>
      </c>
      <c r="B250">
        <v>290092</v>
      </c>
      <c r="C250">
        <v>29249</v>
      </c>
      <c r="D250">
        <v>25433</v>
      </c>
      <c r="E250" t="s">
        <v>168</v>
      </c>
    </row>
    <row r="251" spans="1:5">
      <c r="A251">
        <v>250</v>
      </c>
      <c r="B251">
        <v>293162</v>
      </c>
      <c r="C251">
        <v>29477</v>
      </c>
      <c r="D251">
        <v>25563</v>
      </c>
      <c r="E251" t="s">
        <v>168</v>
      </c>
    </row>
    <row r="252" spans="1:5">
      <c r="A252">
        <v>251</v>
      </c>
      <c r="B252">
        <v>296256</v>
      </c>
      <c r="C252">
        <v>29707</v>
      </c>
      <c r="D252">
        <v>25694</v>
      </c>
      <c r="E252" t="s">
        <v>168</v>
      </c>
    </row>
    <row r="253" spans="1:5">
      <c r="A253">
        <v>252</v>
      </c>
      <c r="B253">
        <v>299375</v>
      </c>
      <c r="C253">
        <v>29938</v>
      </c>
      <c r="D253">
        <v>25825</v>
      </c>
      <c r="E253" t="s">
        <v>168</v>
      </c>
    </row>
    <row r="254" spans="1:5">
      <c r="A254">
        <v>253</v>
      </c>
      <c r="B254">
        <v>302519</v>
      </c>
      <c r="C254">
        <v>30170</v>
      </c>
      <c r="D254">
        <v>25956</v>
      </c>
      <c r="E254" t="s">
        <v>168</v>
      </c>
    </row>
    <row r="255" spans="1:5">
      <c r="A255">
        <v>254</v>
      </c>
      <c r="B255">
        <v>305688</v>
      </c>
      <c r="C255">
        <v>30404</v>
      </c>
      <c r="D255">
        <v>26088</v>
      </c>
      <c r="E255" t="s">
        <v>168</v>
      </c>
    </row>
    <row r="256" spans="1:5">
      <c r="A256">
        <v>255</v>
      </c>
      <c r="B256">
        <v>308881</v>
      </c>
      <c r="C256">
        <v>30639</v>
      </c>
      <c r="D256">
        <v>26219</v>
      </c>
      <c r="E256" t="s">
        <v>168</v>
      </c>
    </row>
    <row r="257" spans="1:5">
      <c r="A257">
        <v>256</v>
      </c>
      <c r="B257">
        <v>312099</v>
      </c>
      <c r="C257">
        <v>30876</v>
      </c>
      <c r="D257">
        <v>26351</v>
      </c>
      <c r="E257" t="s">
        <v>168</v>
      </c>
    </row>
    <row r="258" spans="1:5">
      <c r="A258">
        <v>257</v>
      </c>
      <c r="B258">
        <v>315343</v>
      </c>
      <c r="C258">
        <v>31113</v>
      </c>
      <c r="D258">
        <v>26484</v>
      </c>
      <c r="E258" t="s">
        <v>168</v>
      </c>
    </row>
    <row r="259" spans="1:5">
      <c r="A259">
        <v>258</v>
      </c>
      <c r="B259">
        <v>318612</v>
      </c>
      <c r="C259">
        <v>31353</v>
      </c>
      <c r="D259">
        <v>26616</v>
      </c>
      <c r="E259" t="s">
        <v>168</v>
      </c>
    </row>
    <row r="260" spans="1:5">
      <c r="A260">
        <v>259</v>
      </c>
      <c r="B260">
        <v>321906</v>
      </c>
      <c r="C260">
        <v>31592</v>
      </c>
      <c r="D260">
        <v>26749</v>
      </c>
      <c r="E260" t="s">
        <v>168</v>
      </c>
    </row>
    <row r="261" spans="1:5">
      <c r="A261">
        <v>260</v>
      </c>
      <c r="B261">
        <v>325226</v>
      </c>
      <c r="C261">
        <v>31834</v>
      </c>
      <c r="D261">
        <v>26881</v>
      </c>
      <c r="E261" t="s">
        <v>168</v>
      </c>
    </row>
    <row r="262" spans="1:5">
      <c r="A262">
        <v>261</v>
      </c>
      <c r="B262">
        <v>328572</v>
      </c>
      <c r="C262">
        <v>32077</v>
      </c>
      <c r="D262">
        <v>27014</v>
      </c>
      <c r="E262" t="s">
        <v>168</v>
      </c>
    </row>
    <row r="263" spans="1:5">
      <c r="A263">
        <v>262</v>
      </c>
      <c r="B263">
        <v>331944</v>
      </c>
      <c r="C263">
        <v>32322</v>
      </c>
      <c r="D263">
        <v>27148</v>
      </c>
      <c r="E263" t="s">
        <v>168</v>
      </c>
    </row>
    <row r="264" spans="1:5">
      <c r="A264">
        <v>263</v>
      </c>
      <c r="B264">
        <v>335342</v>
      </c>
      <c r="C264">
        <v>32567</v>
      </c>
      <c r="D264">
        <v>27281</v>
      </c>
      <c r="E264" t="s">
        <v>168</v>
      </c>
    </row>
    <row r="265" spans="1:5">
      <c r="A265">
        <v>264</v>
      </c>
      <c r="B265">
        <v>338766</v>
      </c>
      <c r="C265">
        <v>32814</v>
      </c>
      <c r="D265">
        <v>27415</v>
      </c>
      <c r="E265" t="s">
        <v>168</v>
      </c>
    </row>
    <row r="266" spans="1:5">
      <c r="A266">
        <v>265</v>
      </c>
      <c r="B266">
        <v>342216</v>
      </c>
      <c r="C266">
        <v>33063</v>
      </c>
      <c r="D266">
        <v>27549</v>
      </c>
      <c r="E266" t="s">
        <v>168</v>
      </c>
    </row>
    <row r="267" spans="1:5">
      <c r="A267">
        <v>266</v>
      </c>
      <c r="B267">
        <v>345693</v>
      </c>
      <c r="C267">
        <v>33312</v>
      </c>
      <c r="D267">
        <v>27683</v>
      </c>
      <c r="E267" t="s">
        <v>168</v>
      </c>
    </row>
    <row r="268" spans="1:5">
      <c r="A268">
        <v>267</v>
      </c>
      <c r="B268">
        <v>349196</v>
      </c>
      <c r="C268">
        <v>33564</v>
      </c>
      <c r="D268">
        <v>27818</v>
      </c>
      <c r="E268" t="s">
        <v>168</v>
      </c>
    </row>
    <row r="269" spans="1:5">
      <c r="A269">
        <v>268</v>
      </c>
      <c r="B269">
        <v>352727</v>
      </c>
      <c r="C269">
        <v>33817</v>
      </c>
      <c r="D269">
        <v>27952</v>
      </c>
      <c r="E269" t="s">
        <v>168</v>
      </c>
    </row>
    <row r="270" spans="1:5">
      <c r="A270">
        <v>269</v>
      </c>
      <c r="B270">
        <v>356284</v>
      </c>
      <c r="C270">
        <v>34070</v>
      </c>
      <c r="D270">
        <v>28087</v>
      </c>
      <c r="E270" t="s">
        <v>168</v>
      </c>
    </row>
    <row r="271" spans="1:5">
      <c r="A271">
        <v>270</v>
      </c>
      <c r="B271">
        <v>359868</v>
      </c>
      <c r="C271">
        <v>34326</v>
      </c>
      <c r="D271">
        <v>28222</v>
      </c>
      <c r="E271" t="s">
        <v>168</v>
      </c>
    </row>
    <row r="272" spans="1:5">
      <c r="A272">
        <v>271</v>
      </c>
      <c r="B272">
        <v>363480</v>
      </c>
      <c r="C272">
        <v>34583</v>
      </c>
      <c r="D272">
        <v>28358</v>
      </c>
      <c r="E272" t="s">
        <v>168</v>
      </c>
    </row>
    <row r="273" spans="1:5">
      <c r="A273">
        <v>272</v>
      </c>
      <c r="B273">
        <v>367119</v>
      </c>
      <c r="C273">
        <v>34841</v>
      </c>
      <c r="D273">
        <v>28493</v>
      </c>
      <c r="E273" t="s">
        <v>168</v>
      </c>
    </row>
    <row r="274" spans="1:5">
      <c r="A274">
        <v>273</v>
      </c>
      <c r="B274">
        <v>370785</v>
      </c>
      <c r="C274">
        <v>35101</v>
      </c>
      <c r="D274">
        <v>28629</v>
      </c>
      <c r="E274" t="s">
        <v>168</v>
      </c>
    </row>
    <row r="275" spans="1:5">
      <c r="A275">
        <v>274</v>
      </c>
      <c r="B275">
        <v>374479</v>
      </c>
      <c r="C275">
        <v>35362</v>
      </c>
      <c r="D275">
        <v>28765</v>
      </c>
      <c r="E275" t="s">
        <v>168</v>
      </c>
    </row>
    <row r="276" spans="1:5">
      <c r="A276">
        <v>275</v>
      </c>
      <c r="B276">
        <v>378201</v>
      </c>
      <c r="C276">
        <v>35624</v>
      </c>
      <c r="D276">
        <v>28901</v>
      </c>
      <c r="E276" t="s">
        <v>168</v>
      </c>
    </row>
    <row r="277" spans="1:5">
      <c r="A277">
        <v>276</v>
      </c>
      <c r="B277">
        <v>381951</v>
      </c>
      <c r="C277">
        <v>35889</v>
      </c>
      <c r="D277">
        <v>29038</v>
      </c>
      <c r="E277" t="s">
        <v>168</v>
      </c>
    </row>
    <row r="278" spans="1:5">
      <c r="A278">
        <v>277</v>
      </c>
      <c r="B278">
        <v>385730</v>
      </c>
      <c r="C278">
        <v>36154</v>
      </c>
      <c r="D278">
        <v>29175</v>
      </c>
      <c r="E278" t="s">
        <v>168</v>
      </c>
    </row>
    <row r="279" spans="1:5">
      <c r="A279">
        <v>278</v>
      </c>
      <c r="B279">
        <v>389536</v>
      </c>
      <c r="C279">
        <v>36421</v>
      </c>
      <c r="D279">
        <v>29311</v>
      </c>
      <c r="E279" t="s">
        <v>168</v>
      </c>
    </row>
    <row r="280" spans="1:5">
      <c r="A280">
        <v>279</v>
      </c>
      <c r="B280">
        <v>393371</v>
      </c>
      <c r="C280">
        <v>36690</v>
      </c>
      <c r="D280">
        <v>29449</v>
      </c>
      <c r="E280" t="s">
        <v>168</v>
      </c>
    </row>
    <row r="281" spans="1:5">
      <c r="A281">
        <v>280</v>
      </c>
      <c r="B281">
        <v>397235</v>
      </c>
      <c r="C281">
        <v>36960</v>
      </c>
      <c r="D281">
        <v>29586</v>
      </c>
      <c r="E281" t="s">
        <v>168</v>
      </c>
    </row>
    <row r="282" spans="1:5">
      <c r="A282">
        <v>281</v>
      </c>
      <c r="B282">
        <v>401128</v>
      </c>
      <c r="C282">
        <v>37231</v>
      </c>
      <c r="D282">
        <v>29724</v>
      </c>
      <c r="E282" t="s">
        <v>168</v>
      </c>
    </row>
    <row r="283" spans="1:5">
      <c r="A283">
        <v>282</v>
      </c>
      <c r="B283">
        <v>405049</v>
      </c>
      <c r="C283">
        <v>37504</v>
      </c>
      <c r="D283">
        <v>29861</v>
      </c>
      <c r="E283" t="s">
        <v>168</v>
      </c>
    </row>
    <row r="284" spans="1:5">
      <c r="A284">
        <v>283</v>
      </c>
      <c r="B284">
        <v>409000</v>
      </c>
      <c r="C284">
        <v>37779</v>
      </c>
      <c r="D284">
        <v>30000</v>
      </c>
      <c r="E284" t="s">
        <v>168</v>
      </c>
    </row>
    <row r="285" spans="1:5">
      <c r="A285">
        <v>284</v>
      </c>
      <c r="B285">
        <v>412979</v>
      </c>
      <c r="C285">
        <v>38054</v>
      </c>
      <c r="D285">
        <v>30138</v>
      </c>
      <c r="E285" t="s">
        <v>168</v>
      </c>
    </row>
    <row r="286" spans="1:5">
      <c r="A286">
        <v>285</v>
      </c>
      <c r="B286">
        <v>416989</v>
      </c>
      <c r="C286">
        <v>38332</v>
      </c>
      <c r="D286">
        <v>30276</v>
      </c>
      <c r="E286" t="s">
        <v>168</v>
      </c>
    </row>
    <row r="287" spans="1:5">
      <c r="A287">
        <v>286</v>
      </c>
      <c r="B287">
        <v>421027</v>
      </c>
      <c r="C287">
        <v>38610</v>
      </c>
      <c r="D287">
        <v>30415</v>
      </c>
      <c r="E287" t="s">
        <v>168</v>
      </c>
    </row>
    <row r="288" spans="1:5">
      <c r="A288">
        <v>287</v>
      </c>
      <c r="B288">
        <v>425096</v>
      </c>
      <c r="C288">
        <v>38892</v>
      </c>
      <c r="D288">
        <v>30554</v>
      </c>
      <c r="E288" t="s">
        <v>168</v>
      </c>
    </row>
    <row r="289" spans="1:5">
      <c r="A289">
        <v>288</v>
      </c>
      <c r="B289">
        <v>429195</v>
      </c>
      <c r="C289">
        <v>39174</v>
      </c>
      <c r="D289">
        <v>30693</v>
      </c>
      <c r="E289" t="s">
        <v>168</v>
      </c>
    </row>
    <row r="290" spans="1:5">
      <c r="A290">
        <v>289</v>
      </c>
      <c r="B290">
        <v>433323</v>
      </c>
      <c r="C290">
        <v>39457</v>
      </c>
      <c r="D290">
        <v>30833</v>
      </c>
      <c r="E290" t="s">
        <v>168</v>
      </c>
    </row>
    <row r="291" spans="1:5">
      <c r="A291">
        <v>290</v>
      </c>
      <c r="B291">
        <v>437482</v>
      </c>
      <c r="C291">
        <v>39742</v>
      </c>
      <c r="D291">
        <v>30972</v>
      </c>
      <c r="E291" t="s">
        <v>168</v>
      </c>
    </row>
    <row r="292" spans="1:5">
      <c r="A292">
        <v>291</v>
      </c>
      <c r="B292">
        <v>441671</v>
      </c>
      <c r="C292">
        <v>40029</v>
      </c>
      <c r="D292">
        <v>31112</v>
      </c>
      <c r="E292" t="s">
        <v>168</v>
      </c>
    </row>
    <row r="293" spans="1:5">
      <c r="A293">
        <v>292</v>
      </c>
      <c r="B293">
        <v>445891</v>
      </c>
      <c r="C293">
        <v>40317</v>
      </c>
      <c r="D293">
        <v>31252</v>
      </c>
      <c r="E293" t="s">
        <v>168</v>
      </c>
    </row>
    <row r="294" spans="1:5">
      <c r="A294">
        <v>293</v>
      </c>
      <c r="B294">
        <v>450142</v>
      </c>
      <c r="C294">
        <v>40607</v>
      </c>
      <c r="D294">
        <v>31393</v>
      </c>
      <c r="E294" t="s">
        <v>168</v>
      </c>
    </row>
    <row r="295" spans="1:5">
      <c r="A295">
        <v>294</v>
      </c>
      <c r="B295">
        <v>454423</v>
      </c>
      <c r="C295">
        <v>40898</v>
      </c>
      <c r="D295">
        <v>31533</v>
      </c>
      <c r="E295" t="s">
        <v>168</v>
      </c>
    </row>
    <row r="296" spans="1:5">
      <c r="A296">
        <v>295</v>
      </c>
      <c r="B296">
        <v>458736</v>
      </c>
      <c r="C296">
        <v>41191</v>
      </c>
      <c r="D296">
        <v>31674</v>
      </c>
      <c r="E296" t="s">
        <v>168</v>
      </c>
    </row>
    <row r="297" spans="1:5">
      <c r="A297">
        <v>296</v>
      </c>
      <c r="B297">
        <v>463079</v>
      </c>
      <c r="C297">
        <v>41486</v>
      </c>
      <c r="D297">
        <v>31815</v>
      </c>
      <c r="E297" t="s">
        <v>168</v>
      </c>
    </row>
    <row r="298" spans="1:5">
      <c r="A298">
        <v>297</v>
      </c>
      <c r="B298">
        <v>467454</v>
      </c>
      <c r="C298">
        <v>41782</v>
      </c>
      <c r="D298">
        <v>31956</v>
      </c>
      <c r="E298" t="s">
        <v>168</v>
      </c>
    </row>
    <row r="299" spans="1:5">
      <c r="A299">
        <v>298</v>
      </c>
      <c r="B299">
        <v>471861</v>
      </c>
      <c r="C299">
        <v>42080</v>
      </c>
      <c r="D299">
        <v>32098</v>
      </c>
      <c r="E299" t="s">
        <v>168</v>
      </c>
    </row>
    <row r="300" spans="1:5">
      <c r="A300">
        <v>299</v>
      </c>
      <c r="B300">
        <v>476300</v>
      </c>
      <c r="C300">
        <v>42380</v>
      </c>
      <c r="D300">
        <v>32240</v>
      </c>
      <c r="E300" t="s">
        <v>168</v>
      </c>
    </row>
    <row r="301" spans="1:5">
      <c r="A301">
        <v>300</v>
      </c>
      <c r="B301">
        <v>480770</v>
      </c>
      <c r="C301">
        <v>42680</v>
      </c>
      <c r="D301">
        <v>32382</v>
      </c>
      <c r="E301" t="s">
        <v>168</v>
      </c>
    </row>
    <row r="302" spans="1:5">
      <c r="A302">
        <v>301</v>
      </c>
      <c r="B302">
        <v>485273</v>
      </c>
      <c r="C302">
        <v>42983</v>
      </c>
      <c r="D302">
        <v>32524</v>
      </c>
      <c r="E302" t="s">
        <v>168</v>
      </c>
    </row>
    <row r="303" spans="1:5">
      <c r="A303">
        <v>302</v>
      </c>
      <c r="B303">
        <v>489807</v>
      </c>
      <c r="C303">
        <v>43288</v>
      </c>
      <c r="D303">
        <v>32666</v>
      </c>
      <c r="E303" t="s">
        <v>168</v>
      </c>
    </row>
    <row r="304" spans="1:5">
      <c r="A304">
        <v>303</v>
      </c>
      <c r="B304">
        <v>494375</v>
      </c>
      <c r="C304">
        <v>43594</v>
      </c>
      <c r="D304">
        <v>32809</v>
      </c>
      <c r="E304" t="s">
        <v>168</v>
      </c>
    </row>
    <row r="305" spans="1:5">
      <c r="A305">
        <v>304</v>
      </c>
      <c r="B305">
        <v>498974</v>
      </c>
      <c r="C305">
        <v>43901</v>
      </c>
      <c r="D305">
        <v>32952</v>
      </c>
      <c r="E305" t="s">
        <v>168</v>
      </c>
    </row>
    <row r="306" spans="1:5">
      <c r="A306">
        <v>305</v>
      </c>
      <c r="B306">
        <v>503607</v>
      </c>
      <c r="C306">
        <v>44211</v>
      </c>
      <c r="D306">
        <v>33095</v>
      </c>
      <c r="E306" t="s">
        <v>168</v>
      </c>
    </row>
    <row r="307" spans="1:5">
      <c r="A307">
        <v>306</v>
      </c>
      <c r="B307">
        <v>508272</v>
      </c>
      <c r="C307">
        <v>44522</v>
      </c>
      <c r="D307">
        <v>33238</v>
      </c>
      <c r="E307" t="s">
        <v>168</v>
      </c>
    </row>
    <row r="308" spans="1:5">
      <c r="A308">
        <v>307</v>
      </c>
      <c r="B308">
        <v>512971</v>
      </c>
      <c r="C308">
        <v>44835</v>
      </c>
      <c r="D308">
        <v>33382</v>
      </c>
      <c r="E308" t="s">
        <v>168</v>
      </c>
    </row>
    <row r="309" spans="1:5">
      <c r="A309">
        <v>308</v>
      </c>
      <c r="B309">
        <v>517703</v>
      </c>
      <c r="C309">
        <v>45149</v>
      </c>
      <c r="D309">
        <v>33525</v>
      </c>
      <c r="E309" t="s">
        <v>168</v>
      </c>
    </row>
    <row r="310" spans="1:5">
      <c r="A310">
        <v>309</v>
      </c>
      <c r="B310">
        <v>522469</v>
      </c>
      <c r="C310">
        <v>45465</v>
      </c>
      <c r="D310">
        <v>33669</v>
      </c>
      <c r="E310" t="s">
        <v>168</v>
      </c>
    </row>
    <row r="311" spans="1:5">
      <c r="A311">
        <v>310</v>
      </c>
      <c r="B311">
        <v>527268</v>
      </c>
      <c r="C311">
        <v>45782</v>
      </c>
      <c r="D311">
        <v>33814</v>
      </c>
      <c r="E311" t="s">
        <v>168</v>
      </c>
    </row>
    <row r="312" spans="1:5">
      <c r="A312">
        <v>311</v>
      </c>
      <c r="B312">
        <v>532101</v>
      </c>
      <c r="C312">
        <v>46102</v>
      </c>
      <c r="D312">
        <v>33958</v>
      </c>
      <c r="E312" t="s">
        <v>168</v>
      </c>
    </row>
    <row r="313" spans="1:5">
      <c r="A313">
        <v>312</v>
      </c>
      <c r="B313">
        <v>536968</v>
      </c>
      <c r="C313">
        <v>46423</v>
      </c>
      <c r="D313">
        <v>34103</v>
      </c>
      <c r="E313" t="s">
        <v>168</v>
      </c>
    </row>
    <row r="314" spans="1:5">
      <c r="A314">
        <v>313</v>
      </c>
      <c r="B314">
        <v>541869</v>
      </c>
      <c r="C314">
        <v>46747</v>
      </c>
      <c r="D314">
        <v>34248</v>
      </c>
      <c r="E314" t="s">
        <v>168</v>
      </c>
    </row>
    <row r="315" spans="1:5">
      <c r="A315">
        <v>314</v>
      </c>
      <c r="B315">
        <v>546805</v>
      </c>
      <c r="C315">
        <v>47071</v>
      </c>
      <c r="D315">
        <v>34393</v>
      </c>
      <c r="E315" t="s">
        <v>168</v>
      </c>
    </row>
    <row r="316" spans="1:5">
      <c r="A316">
        <v>315</v>
      </c>
      <c r="B316">
        <v>551775</v>
      </c>
      <c r="C316">
        <v>47398</v>
      </c>
      <c r="D316">
        <v>34538</v>
      </c>
      <c r="E316" t="s">
        <v>168</v>
      </c>
    </row>
    <row r="317" spans="1:5">
      <c r="A317">
        <v>316</v>
      </c>
      <c r="B317">
        <v>556780</v>
      </c>
      <c r="C317">
        <v>47726</v>
      </c>
      <c r="D317">
        <v>34684</v>
      </c>
      <c r="E317" t="s">
        <v>168</v>
      </c>
    </row>
    <row r="318" spans="1:5">
      <c r="A318">
        <v>317</v>
      </c>
      <c r="B318">
        <v>561820</v>
      </c>
      <c r="C318">
        <v>48056</v>
      </c>
      <c r="D318">
        <v>34829</v>
      </c>
      <c r="E318" t="s">
        <v>168</v>
      </c>
    </row>
    <row r="319" spans="1:5">
      <c r="A319">
        <v>318</v>
      </c>
      <c r="B319">
        <v>566895</v>
      </c>
      <c r="C319">
        <v>48388</v>
      </c>
      <c r="D319">
        <v>34975</v>
      </c>
      <c r="E319" t="s">
        <v>168</v>
      </c>
    </row>
    <row r="320" spans="1:5">
      <c r="A320">
        <v>319</v>
      </c>
      <c r="B320">
        <v>572005</v>
      </c>
      <c r="C320">
        <v>48721</v>
      </c>
      <c r="D320">
        <v>35122</v>
      </c>
      <c r="E320" t="s">
        <v>168</v>
      </c>
    </row>
    <row r="321" spans="1:5">
      <c r="A321">
        <v>320</v>
      </c>
      <c r="B321">
        <v>577151</v>
      </c>
      <c r="C321">
        <v>49057</v>
      </c>
      <c r="D321">
        <v>35268</v>
      </c>
      <c r="E321" t="s">
        <v>168</v>
      </c>
    </row>
    <row r="322" spans="1:5">
      <c r="A322">
        <v>321</v>
      </c>
      <c r="B322">
        <v>582332</v>
      </c>
      <c r="C322">
        <v>49394</v>
      </c>
      <c r="D322">
        <v>35415</v>
      </c>
      <c r="E322" t="s">
        <v>168</v>
      </c>
    </row>
    <row r="323" spans="1:5">
      <c r="A323">
        <v>322</v>
      </c>
      <c r="B323">
        <v>587549</v>
      </c>
      <c r="C323">
        <v>49732</v>
      </c>
      <c r="D323">
        <v>35562</v>
      </c>
      <c r="E323" t="s">
        <v>168</v>
      </c>
    </row>
    <row r="324" spans="1:5">
      <c r="A324">
        <v>323</v>
      </c>
      <c r="B324">
        <v>592803</v>
      </c>
      <c r="C324">
        <v>50074</v>
      </c>
      <c r="D324">
        <v>35709</v>
      </c>
      <c r="E324" t="s">
        <v>168</v>
      </c>
    </row>
    <row r="325" spans="1:5">
      <c r="A325">
        <v>324</v>
      </c>
      <c r="B325">
        <v>598092</v>
      </c>
      <c r="C325">
        <v>50416</v>
      </c>
      <c r="D325">
        <v>35856</v>
      </c>
      <c r="E325" t="s">
        <v>168</v>
      </c>
    </row>
    <row r="326" spans="1:5">
      <c r="A326">
        <v>325</v>
      </c>
      <c r="B326">
        <v>603418</v>
      </c>
      <c r="C326">
        <v>50761</v>
      </c>
      <c r="D326">
        <v>36004</v>
      </c>
      <c r="E326" t="s">
        <v>168</v>
      </c>
    </row>
    <row r="327" spans="1:5">
      <c r="A327">
        <v>326</v>
      </c>
      <c r="B327">
        <v>608781</v>
      </c>
      <c r="C327">
        <v>51107</v>
      </c>
      <c r="D327">
        <v>36152</v>
      </c>
      <c r="E327" t="s">
        <v>168</v>
      </c>
    </row>
    <row r="328" spans="1:5">
      <c r="A328">
        <v>327</v>
      </c>
      <c r="B328">
        <v>614180</v>
      </c>
      <c r="C328">
        <v>51455</v>
      </c>
      <c r="D328">
        <v>36300</v>
      </c>
      <c r="E328" t="s">
        <v>168</v>
      </c>
    </row>
    <row r="329" spans="1:5">
      <c r="A329">
        <v>328</v>
      </c>
      <c r="B329">
        <v>619617</v>
      </c>
      <c r="C329">
        <v>51805</v>
      </c>
      <c r="D329">
        <v>36448</v>
      </c>
      <c r="E329" t="s">
        <v>168</v>
      </c>
    </row>
    <row r="330" spans="1:5">
      <c r="A330">
        <v>329</v>
      </c>
      <c r="B330">
        <v>625091</v>
      </c>
      <c r="C330">
        <v>52157</v>
      </c>
      <c r="D330">
        <v>36597</v>
      </c>
      <c r="E330" t="s">
        <v>168</v>
      </c>
    </row>
    <row r="331" spans="1:5">
      <c r="A331">
        <v>330</v>
      </c>
      <c r="B331">
        <v>630602</v>
      </c>
      <c r="C331">
        <v>52511</v>
      </c>
      <c r="D331">
        <v>36746</v>
      </c>
      <c r="E331" t="s">
        <v>168</v>
      </c>
    </row>
    <row r="332" spans="1:5">
      <c r="A332">
        <v>331</v>
      </c>
      <c r="B332">
        <v>636150</v>
      </c>
      <c r="C332">
        <v>52867</v>
      </c>
      <c r="D332">
        <v>36895</v>
      </c>
      <c r="E332" t="s">
        <v>168</v>
      </c>
    </row>
    <row r="333" spans="1:5">
      <c r="A333">
        <v>332</v>
      </c>
      <c r="B333">
        <v>641737</v>
      </c>
      <c r="C333">
        <v>53224</v>
      </c>
      <c r="D333">
        <v>37044</v>
      </c>
      <c r="E333" t="s">
        <v>168</v>
      </c>
    </row>
    <row r="334" spans="1:5">
      <c r="A334">
        <v>333</v>
      </c>
      <c r="B334">
        <v>647361</v>
      </c>
      <c r="C334">
        <v>53584</v>
      </c>
      <c r="D334">
        <v>37193</v>
      </c>
      <c r="E334" t="s">
        <v>168</v>
      </c>
    </row>
    <row r="335" spans="1:5">
      <c r="A335">
        <v>334</v>
      </c>
      <c r="B335">
        <v>653024</v>
      </c>
      <c r="C335">
        <v>53945</v>
      </c>
      <c r="D335">
        <v>37343</v>
      </c>
      <c r="E335" t="s">
        <v>168</v>
      </c>
    </row>
    <row r="336" spans="1:5">
      <c r="A336">
        <v>335</v>
      </c>
      <c r="B336">
        <v>658725</v>
      </c>
      <c r="C336">
        <v>54308</v>
      </c>
      <c r="D336">
        <v>37493</v>
      </c>
      <c r="E336" t="s">
        <v>168</v>
      </c>
    </row>
    <row r="337" spans="1:5">
      <c r="A337">
        <v>336</v>
      </c>
      <c r="B337">
        <v>664464</v>
      </c>
      <c r="C337">
        <v>54673</v>
      </c>
      <c r="D337">
        <v>37643</v>
      </c>
      <c r="E337" t="s">
        <v>168</v>
      </c>
    </row>
    <row r="338" spans="1:5">
      <c r="A338">
        <v>337</v>
      </c>
      <c r="B338">
        <v>670242</v>
      </c>
      <c r="C338">
        <v>55040</v>
      </c>
      <c r="D338">
        <v>37793</v>
      </c>
      <c r="E338" t="s">
        <v>168</v>
      </c>
    </row>
    <row r="339" spans="1:5">
      <c r="A339">
        <v>338</v>
      </c>
      <c r="B339">
        <v>676060</v>
      </c>
      <c r="C339">
        <v>55409</v>
      </c>
      <c r="D339">
        <v>37944</v>
      </c>
      <c r="E339" t="s">
        <v>168</v>
      </c>
    </row>
    <row r="340" spans="1:5">
      <c r="A340">
        <v>339</v>
      </c>
      <c r="B340">
        <v>681916</v>
      </c>
      <c r="C340">
        <v>55780</v>
      </c>
      <c r="D340">
        <v>38095</v>
      </c>
      <c r="E340" t="s">
        <v>168</v>
      </c>
    </row>
    <row r="341" spans="1:5">
      <c r="A341">
        <v>340</v>
      </c>
      <c r="B341">
        <v>687812</v>
      </c>
      <c r="C341">
        <v>56154</v>
      </c>
      <c r="D341">
        <v>38246</v>
      </c>
      <c r="E341" t="s">
        <v>168</v>
      </c>
    </row>
    <row r="342" spans="1:5">
      <c r="A342">
        <v>341</v>
      </c>
      <c r="B342">
        <v>693747</v>
      </c>
      <c r="C342">
        <v>56528</v>
      </c>
      <c r="D342">
        <v>38397</v>
      </c>
      <c r="E342" t="s">
        <v>168</v>
      </c>
    </row>
    <row r="343" spans="1:5">
      <c r="A343">
        <v>342</v>
      </c>
      <c r="B343">
        <v>699722</v>
      </c>
      <c r="C343">
        <v>56905</v>
      </c>
      <c r="D343">
        <v>38548</v>
      </c>
      <c r="E343" t="s">
        <v>168</v>
      </c>
    </row>
    <row r="344" spans="1:5">
      <c r="A344">
        <v>343</v>
      </c>
      <c r="B344">
        <v>705737</v>
      </c>
      <c r="C344">
        <v>57284</v>
      </c>
      <c r="D344">
        <v>38700</v>
      </c>
      <c r="E344" t="s">
        <v>168</v>
      </c>
    </row>
    <row r="345" spans="1:5">
      <c r="A345">
        <v>344</v>
      </c>
      <c r="B345">
        <v>711793</v>
      </c>
      <c r="C345">
        <v>57665</v>
      </c>
      <c r="D345">
        <v>38852</v>
      </c>
      <c r="E345" t="s">
        <v>168</v>
      </c>
    </row>
    <row r="346" spans="1:5">
      <c r="A346">
        <v>345</v>
      </c>
      <c r="B346">
        <v>717888</v>
      </c>
      <c r="C346">
        <v>58048</v>
      </c>
      <c r="D346">
        <v>39004</v>
      </c>
      <c r="E346" t="s">
        <v>168</v>
      </c>
    </row>
    <row r="347" spans="1:5">
      <c r="A347">
        <v>346</v>
      </c>
      <c r="B347">
        <v>724025</v>
      </c>
      <c r="C347">
        <v>58434</v>
      </c>
      <c r="D347">
        <v>39157</v>
      </c>
      <c r="E347" t="s">
        <v>168</v>
      </c>
    </row>
    <row r="348" spans="1:5">
      <c r="A348">
        <v>347</v>
      </c>
      <c r="B348">
        <v>730202</v>
      </c>
      <c r="C348">
        <v>58820</v>
      </c>
      <c r="D348">
        <v>39309</v>
      </c>
      <c r="E348" t="s">
        <v>168</v>
      </c>
    </row>
    <row r="349" spans="1:5">
      <c r="A349">
        <v>348</v>
      </c>
      <c r="B349">
        <v>736420</v>
      </c>
      <c r="C349">
        <v>59210</v>
      </c>
      <c r="D349">
        <v>39462</v>
      </c>
      <c r="E349" t="s">
        <v>168</v>
      </c>
    </row>
    <row r="350" spans="1:5">
      <c r="A350">
        <v>349</v>
      </c>
      <c r="B350">
        <v>742679</v>
      </c>
      <c r="C350">
        <v>59600</v>
      </c>
      <c r="D350">
        <v>39615</v>
      </c>
      <c r="E350" t="s">
        <v>168</v>
      </c>
    </row>
    <row r="351" spans="1:5">
      <c r="A351">
        <v>350</v>
      </c>
      <c r="B351">
        <v>748980</v>
      </c>
      <c r="C351">
        <v>59994</v>
      </c>
      <c r="D351">
        <v>39769</v>
      </c>
      <c r="E351" t="s">
        <v>168</v>
      </c>
    </row>
    <row r="352" spans="1:5">
      <c r="A352">
        <v>351</v>
      </c>
      <c r="B352">
        <v>755322</v>
      </c>
      <c r="C352">
        <v>60389</v>
      </c>
      <c r="D352">
        <v>39922</v>
      </c>
      <c r="E352" t="s">
        <v>168</v>
      </c>
    </row>
    <row r="353" spans="1:5">
      <c r="A353">
        <v>352</v>
      </c>
      <c r="B353">
        <v>761707</v>
      </c>
      <c r="C353">
        <v>60787</v>
      </c>
      <c r="D353">
        <v>40076</v>
      </c>
      <c r="E353" t="s">
        <v>168</v>
      </c>
    </row>
    <row r="354" spans="1:5">
      <c r="A354">
        <v>353</v>
      </c>
      <c r="B354">
        <v>768133</v>
      </c>
      <c r="C354">
        <v>61186</v>
      </c>
      <c r="D354">
        <v>40230</v>
      </c>
      <c r="E354" t="s">
        <v>168</v>
      </c>
    </row>
    <row r="355" spans="1:5">
      <c r="A355">
        <v>354</v>
      </c>
      <c r="B355">
        <v>774602</v>
      </c>
      <c r="C355">
        <v>61588</v>
      </c>
      <c r="D355">
        <v>40384</v>
      </c>
      <c r="E355" t="s">
        <v>168</v>
      </c>
    </row>
    <row r="356" spans="1:5">
      <c r="A356">
        <v>355</v>
      </c>
      <c r="B356">
        <v>781113</v>
      </c>
      <c r="C356">
        <v>61991</v>
      </c>
      <c r="D356">
        <v>40539</v>
      </c>
      <c r="E356" t="s">
        <v>168</v>
      </c>
    </row>
    <row r="357" spans="1:5">
      <c r="A357">
        <v>356</v>
      </c>
      <c r="B357">
        <v>787667</v>
      </c>
      <c r="C357">
        <v>62397</v>
      </c>
      <c r="D357">
        <v>40693</v>
      </c>
      <c r="E357" t="s">
        <v>168</v>
      </c>
    </row>
    <row r="358" spans="1:5">
      <c r="A358">
        <v>357</v>
      </c>
      <c r="B358">
        <v>794264</v>
      </c>
      <c r="C358">
        <v>62806</v>
      </c>
      <c r="D358">
        <v>40848</v>
      </c>
      <c r="E358" t="s">
        <v>168</v>
      </c>
    </row>
    <row r="359" spans="1:5">
      <c r="A359">
        <v>358</v>
      </c>
      <c r="B359">
        <v>800903</v>
      </c>
      <c r="C359">
        <v>63215</v>
      </c>
      <c r="D359">
        <v>41003</v>
      </c>
      <c r="E359" t="s">
        <v>168</v>
      </c>
    </row>
    <row r="360" spans="1:5">
      <c r="A360">
        <v>359</v>
      </c>
      <c r="B360">
        <v>807587</v>
      </c>
      <c r="C360">
        <v>63627</v>
      </c>
      <c r="D360">
        <v>41159</v>
      </c>
      <c r="E360" t="s">
        <v>168</v>
      </c>
    </row>
    <row r="361" spans="1:5">
      <c r="A361">
        <v>360</v>
      </c>
      <c r="B361">
        <v>814314</v>
      </c>
      <c r="C361">
        <v>64042</v>
      </c>
      <c r="D361">
        <v>41314</v>
      </c>
      <c r="E361" t="s">
        <v>168</v>
      </c>
    </row>
    <row r="362" spans="1:5">
      <c r="A362">
        <v>361</v>
      </c>
      <c r="B362">
        <v>821084</v>
      </c>
      <c r="C362">
        <v>64458</v>
      </c>
      <c r="D362">
        <v>41470</v>
      </c>
      <c r="E362" t="s">
        <v>168</v>
      </c>
    </row>
    <row r="363" spans="1:5">
      <c r="A363">
        <v>362</v>
      </c>
      <c r="B363">
        <v>827899</v>
      </c>
      <c r="C363">
        <v>64878</v>
      </c>
      <c r="D363">
        <v>41626</v>
      </c>
      <c r="E363" t="s">
        <v>168</v>
      </c>
    </row>
    <row r="364" spans="1:5">
      <c r="A364">
        <v>363</v>
      </c>
      <c r="B364">
        <v>834758</v>
      </c>
      <c r="C364">
        <v>65298</v>
      </c>
      <c r="D364">
        <v>41782</v>
      </c>
      <c r="E364" t="s">
        <v>168</v>
      </c>
    </row>
    <row r="365" spans="1:5">
      <c r="A365">
        <v>364</v>
      </c>
      <c r="B365">
        <v>841661</v>
      </c>
      <c r="C365">
        <v>65722</v>
      </c>
      <c r="D365">
        <v>41939</v>
      </c>
      <c r="E365" t="s">
        <v>168</v>
      </c>
    </row>
    <row r="366" spans="1:5">
      <c r="A366">
        <v>365</v>
      </c>
      <c r="B366">
        <v>848610</v>
      </c>
      <c r="C366">
        <v>66147</v>
      </c>
      <c r="D366">
        <v>42096</v>
      </c>
      <c r="E366" t="s">
        <v>168</v>
      </c>
    </row>
    <row r="367" spans="1:5">
      <c r="A367">
        <v>366</v>
      </c>
      <c r="B367">
        <v>855603</v>
      </c>
      <c r="C367">
        <v>66574</v>
      </c>
      <c r="D367">
        <v>42252</v>
      </c>
      <c r="E367" t="s">
        <v>168</v>
      </c>
    </row>
    <row r="368" spans="1:5">
      <c r="A368">
        <v>367</v>
      </c>
      <c r="B368">
        <v>862641</v>
      </c>
      <c r="C368">
        <v>67004</v>
      </c>
      <c r="D368">
        <v>42410</v>
      </c>
      <c r="E368" t="s">
        <v>168</v>
      </c>
    </row>
    <row r="369" spans="1:5">
      <c r="A369">
        <v>368</v>
      </c>
      <c r="B369">
        <v>869724</v>
      </c>
      <c r="C369">
        <v>67436</v>
      </c>
      <c r="D369">
        <v>42567</v>
      </c>
      <c r="E369" t="s">
        <v>168</v>
      </c>
    </row>
    <row r="370" spans="1:5">
      <c r="A370">
        <v>369</v>
      </c>
      <c r="B370">
        <v>876853</v>
      </c>
      <c r="C370">
        <v>67871</v>
      </c>
      <c r="D370">
        <v>42725</v>
      </c>
      <c r="E370" t="s">
        <v>168</v>
      </c>
    </row>
    <row r="371" spans="1:5">
      <c r="A371">
        <v>370</v>
      </c>
      <c r="B371">
        <v>884028</v>
      </c>
      <c r="C371">
        <v>68307</v>
      </c>
      <c r="D371">
        <v>42883</v>
      </c>
      <c r="E371" t="s">
        <v>168</v>
      </c>
    </row>
    <row r="372" spans="1:5">
      <c r="A372">
        <v>371</v>
      </c>
      <c r="B372">
        <v>891249</v>
      </c>
      <c r="C372">
        <v>68746</v>
      </c>
      <c r="D372">
        <v>43041</v>
      </c>
      <c r="E372" t="s">
        <v>168</v>
      </c>
    </row>
    <row r="373" spans="1:5">
      <c r="A373">
        <v>372</v>
      </c>
      <c r="B373">
        <v>898517</v>
      </c>
      <c r="C373">
        <v>69187</v>
      </c>
      <c r="D373">
        <v>43199</v>
      </c>
      <c r="E373" t="s">
        <v>168</v>
      </c>
    </row>
    <row r="374" spans="1:5">
      <c r="A374">
        <v>373</v>
      </c>
      <c r="B374">
        <v>905831</v>
      </c>
      <c r="C374">
        <v>69630</v>
      </c>
      <c r="D374">
        <v>43357</v>
      </c>
      <c r="E374" t="s">
        <v>168</v>
      </c>
    </row>
    <row r="375" spans="1:5">
      <c r="A375">
        <v>374</v>
      </c>
      <c r="B375">
        <v>913191</v>
      </c>
      <c r="C375">
        <v>70076</v>
      </c>
      <c r="D375">
        <v>43516</v>
      </c>
      <c r="E375" t="s">
        <v>168</v>
      </c>
    </row>
    <row r="376" spans="1:5">
      <c r="A376">
        <v>375</v>
      </c>
      <c r="B376">
        <v>920599</v>
      </c>
      <c r="C376">
        <v>70525</v>
      </c>
      <c r="D376">
        <v>43675</v>
      </c>
      <c r="E376" t="s">
        <v>168</v>
      </c>
    </row>
    <row r="377" spans="1:5">
      <c r="A377">
        <v>376</v>
      </c>
      <c r="B377">
        <v>928053</v>
      </c>
      <c r="C377">
        <v>70975</v>
      </c>
      <c r="D377">
        <v>43834</v>
      </c>
      <c r="E377" t="s">
        <v>168</v>
      </c>
    </row>
    <row r="378" spans="1:5">
      <c r="A378">
        <v>377</v>
      </c>
      <c r="B378">
        <v>935556</v>
      </c>
      <c r="C378">
        <v>71428</v>
      </c>
      <c r="D378">
        <v>43994</v>
      </c>
      <c r="E378" t="s">
        <v>168</v>
      </c>
    </row>
    <row r="379" spans="1:5">
      <c r="A379">
        <v>378</v>
      </c>
      <c r="B379">
        <v>943105</v>
      </c>
      <c r="C379">
        <v>71883</v>
      </c>
      <c r="D379">
        <v>44154</v>
      </c>
      <c r="E379" t="s">
        <v>168</v>
      </c>
    </row>
    <row r="380" spans="1:5">
      <c r="A380">
        <v>379</v>
      </c>
      <c r="B380">
        <v>950703</v>
      </c>
      <c r="C380">
        <v>72340</v>
      </c>
      <c r="D380">
        <v>44313</v>
      </c>
      <c r="E380" t="s">
        <v>168</v>
      </c>
    </row>
    <row r="381" spans="1:5">
      <c r="A381">
        <v>380</v>
      </c>
      <c r="B381">
        <v>958349</v>
      </c>
      <c r="C381">
        <v>72800</v>
      </c>
      <c r="D381">
        <v>44474</v>
      </c>
      <c r="E381" t="s">
        <v>168</v>
      </c>
    </row>
    <row r="382" spans="1:5">
      <c r="A382">
        <v>381</v>
      </c>
      <c r="B382">
        <v>966044</v>
      </c>
      <c r="C382">
        <v>73263</v>
      </c>
      <c r="D382">
        <v>44634</v>
      </c>
      <c r="E382" t="s">
        <v>168</v>
      </c>
    </row>
    <row r="383" spans="1:5">
      <c r="A383">
        <v>382</v>
      </c>
      <c r="B383">
        <v>973786</v>
      </c>
      <c r="C383">
        <v>73727</v>
      </c>
      <c r="D383">
        <v>44795</v>
      </c>
      <c r="E383" t="s">
        <v>168</v>
      </c>
    </row>
    <row r="384" spans="1:5">
      <c r="A384">
        <v>383</v>
      </c>
      <c r="B384">
        <v>981578</v>
      </c>
      <c r="C384">
        <v>74195</v>
      </c>
      <c r="D384">
        <v>44955</v>
      </c>
      <c r="E384" t="s">
        <v>168</v>
      </c>
    </row>
    <row r="385" spans="1:5">
      <c r="A385">
        <v>384</v>
      </c>
      <c r="B385">
        <v>989419</v>
      </c>
      <c r="C385">
        <v>74664</v>
      </c>
      <c r="D385">
        <v>45116</v>
      </c>
      <c r="E385" t="s">
        <v>168</v>
      </c>
    </row>
    <row r="386" spans="1:5">
      <c r="A386">
        <v>385</v>
      </c>
      <c r="B386">
        <v>997310</v>
      </c>
      <c r="C386">
        <v>75135</v>
      </c>
      <c r="D386">
        <v>45278</v>
      </c>
      <c r="E386" t="s">
        <v>168</v>
      </c>
    </row>
    <row r="387" spans="1:5">
      <c r="A387">
        <v>386</v>
      </c>
      <c r="B387">
        <v>1005249</v>
      </c>
      <c r="C387">
        <v>75610</v>
      </c>
      <c r="D387">
        <v>45439</v>
      </c>
      <c r="E387" t="s">
        <v>168</v>
      </c>
    </row>
    <row r="388" spans="1:5">
      <c r="A388">
        <v>387</v>
      </c>
      <c r="B388">
        <v>1013239</v>
      </c>
      <c r="C388">
        <v>76086</v>
      </c>
      <c r="D388">
        <v>45601</v>
      </c>
      <c r="E388" t="s">
        <v>168</v>
      </c>
    </row>
    <row r="389" spans="1:5">
      <c r="A389">
        <v>388</v>
      </c>
      <c r="B389">
        <v>1021279</v>
      </c>
      <c r="C389">
        <v>76566</v>
      </c>
      <c r="D389">
        <v>45763</v>
      </c>
      <c r="E389" t="s">
        <v>168</v>
      </c>
    </row>
    <row r="390" spans="1:5">
      <c r="A390">
        <v>389</v>
      </c>
      <c r="B390">
        <v>1029369</v>
      </c>
      <c r="C390">
        <v>77048</v>
      </c>
      <c r="D390">
        <v>45925</v>
      </c>
      <c r="E390" t="s">
        <v>168</v>
      </c>
    </row>
    <row r="391" spans="1:5">
      <c r="A391">
        <v>390</v>
      </c>
      <c r="B391">
        <v>1037510</v>
      </c>
      <c r="C391">
        <v>77532</v>
      </c>
      <c r="D391">
        <v>46087</v>
      </c>
      <c r="E391" t="s">
        <v>168</v>
      </c>
    </row>
    <row r="392" spans="1:5">
      <c r="A392">
        <v>391</v>
      </c>
      <c r="B392">
        <v>1045701</v>
      </c>
      <c r="C392">
        <v>78018</v>
      </c>
      <c r="D392">
        <v>46250</v>
      </c>
      <c r="E392" t="s">
        <v>168</v>
      </c>
    </row>
    <row r="393" spans="1:5">
      <c r="A393">
        <v>392</v>
      </c>
      <c r="B393">
        <v>1053944</v>
      </c>
      <c r="C393">
        <v>78508</v>
      </c>
      <c r="D393">
        <v>46413</v>
      </c>
      <c r="E393" t="s">
        <v>168</v>
      </c>
    </row>
    <row r="394" spans="1:5">
      <c r="A394">
        <v>393</v>
      </c>
      <c r="B394">
        <v>1062238</v>
      </c>
      <c r="C394">
        <v>79000</v>
      </c>
      <c r="D394">
        <v>46576</v>
      </c>
      <c r="E394" t="s">
        <v>168</v>
      </c>
    </row>
    <row r="395" spans="1:5">
      <c r="A395">
        <v>394</v>
      </c>
      <c r="B395">
        <v>1070584</v>
      </c>
      <c r="C395">
        <v>79494</v>
      </c>
      <c r="D395">
        <v>46739</v>
      </c>
      <c r="E395" t="s">
        <v>168</v>
      </c>
    </row>
    <row r="396" spans="1:5">
      <c r="A396">
        <v>395</v>
      </c>
      <c r="B396">
        <v>1078981</v>
      </c>
      <c r="C396">
        <v>79991</v>
      </c>
      <c r="D396">
        <v>46903</v>
      </c>
      <c r="E396" t="s">
        <v>168</v>
      </c>
    </row>
    <row r="397" spans="1:5">
      <c r="A397">
        <v>396</v>
      </c>
      <c r="B397">
        <v>1087430</v>
      </c>
      <c r="C397">
        <v>80490</v>
      </c>
      <c r="D397">
        <v>47067</v>
      </c>
      <c r="E397" t="s">
        <v>168</v>
      </c>
    </row>
    <row r="398" spans="1:5">
      <c r="A398">
        <v>397</v>
      </c>
      <c r="B398">
        <v>1095932</v>
      </c>
      <c r="C398">
        <v>80992</v>
      </c>
      <c r="D398">
        <v>47231</v>
      </c>
      <c r="E398" t="s">
        <v>168</v>
      </c>
    </row>
    <row r="399" spans="1:5">
      <c r="A399">
        <v>398</v>
      </c>
      <c r="B399">
        <v>1104487</v>
      </c>
      <c r="C399">
        <v>81497</v>
      </c>
      <c r="D399">
        <v>47395</v>
      </c>
      <c r="E399" t="s">
        <v>168</v>
      </c>
    </row>
    <row r="400" spans="1:5">
      <c r="A400">
        <v>399</v>
      </c>
      <c r="B400">
        <v>1113094</v>
      </c>
      <c r="C400">
        <v>82004</v>
      </c>
      <c r="D400">
        <v>47559</v>
      </c>
      <c r="E400" t="s">
        <v>168</v>
      </c>
    </row>
    <row r="401" spans="1:5">
      <c r="A401">
        <v>400</v>
      </c>
      <c r="B401">
        <v>1121754</v>
      </c>
      <c r="C401">
        <v>82514</v>
      </c>
      <c r="D401">
        <v>47724</v>
      </c>
      <c r="E401" t="s">
        <v>168</v>
      </c>
    </row>
    <row r="402" spans="1:5">
      <c r="A402">
        <v>401</v>
      </c>
      <c r="B402">
        <v>1130468</v>
      </c>
      <c r="C402">
        <v>83026</v>
      </c>
      <c r="D402">
        <v>47889</v>
      </c>
      <c r="E402" t="s">
        <v>168</v>
      </c>
    </row>
    <row r="403" spans="1:5">
      <c r="A403">
        <v>402</v>
      </c>
      <c r="B403">
        <v>1139235</v>
      </c>
      <c r="C403">
        <v>83541</v>
      </c>
      <c r="D403">
        <v>48054</v>
      </c>
      <c r="E403" t="s">
        <v>168</v>
      </c>
    </row>
    <row r="404" spans="1:5">
      <c r="A404">
        <v>403</v>
      </c>
      <c r="B404">
        <v>1148056</v>
      </c>
      <c r="C404">
        <v>84059</v>
      </c>
      <c r="D404">
        <v>48219</v>
      </c>
      <c r="E404" t="s">
        <v>168</v>
      </c>
    </row>
    <row r="405" spans="1:5">
      <c r="A405">
        <v>404</v>
      </c>
      <c r="B405">
        <v>1156931</v>
      </c>
      <c r="C405">
        <v>84579</v>
      </c>
      <c r="D405">
        <v>48385</v>
      </c>
      <c r="E405" t="s">
        <v>168</v>
      </c>
    </row>
    <row r="406" spans="1:5">
      <c r="A406">
        <v>405</v>
      </c>
      <c r="B406">
        <v>1165861</v>
      </c>
      <c r="C406">
        <v>85102</v>
      </c>
      <c r="D406">
        <v>48551</v>
      </c>
      <c r="E406" t="s">
        <v>168</v>
      </c>
    </row>
    <row r="407" spans="1:5">
      <c r="A407">
        <v>406</v>
      </c>
      <c r="B407">
        <v>1174846</v>
      </c>
      <c r="C407">
        <v>85628</v>
      </c>
      <c r="D407">
        <v>48717</v>
      </c>
      <c r="E407" t="s">
        <v>168</v>
      </c>
    </row>
    <row r="408" spans="1:5">
      <c r="A408">
        <v>407</v>
      </c>
      <c r="B408">
        <v>1183885</v>
      </c>
      <c r="C408">
        <v>86156</v>
      </c>
      <c r="D408">
        <v>48883</v>
      </c>
      <c r="E408" t="s">
        <v>168</v>
      </c>
    </row>
    <row r="409" spans="1:5">
      <c r="A409">
        <v>408</v>
      </c>
      <c r="B409">
        <v>1192979</v>
      </c>
      <c r="C409">
        <v>86687</v>
      </c>
      <c r="D409">
        <v>49050</v>
      </c>
      <c r="E409" t="s">
        <v>168</v>
      </c>
    </row>
    <row r="410" spans="1:5">
      <c r="A410">
        <v>409</v>
      </c>
      <c r="B410">
        <v>1202129</v>
      </c>
      <c r="C410">
        <v>87221</v>
      </c>
      <c r="D410">
        <v>49216</v>
      </c>
      <c r="E410" t="s">
        <v>168</v>
      </c>
    </row>
    <row r="411" spans="1:5">
      <c r="A411">
        <v>410</v>
      </c>
      <c r="B411">
        <v>1211335</v>
      </c>
      <c r="C411">
        <v>87758</v>
      </c>
      <c r="D411">
        <v>49383</v>
      </c>
      <c r="E411" t="s">
        <v>168</v>
      </c>
    </row>
    <row r="412" spans="1:5">
      <c r="A412">
        <v>411</v>
      </c>
      <c r="B412">
        <v>1220597</v>
      </c>
      <c r="C412">
        <v>88296</v>
      </c>
      <c r="D412">
        <v>49550</v>
      </c>
      <c r="E412" t="s">
        <v>168</v>
      </c>
    </row>
    <row r="413" spans="1:5">
      <c r="A413">
        <v>412</v>
      </c>
      <c r="B413">
        <v>1229914</v>
      </c>
      <c r="C413">
        <v>88839</v>
      </c>
      <c r="D413">
        <v>49718</v>
      </c>
      <c r="E413" t="s">
        <v>168</v>
      </c>
    </row>
    <row r="414" spans="1:5">
      <c r="A414">
        <v>413</v>
      </c>
      <c r="B414">
        <v>1239289</v>
      </c>
      <c r="C414">
        <v>89383</v>
      </c>
      <c r="D414">
        <v>49885</v>
      </c>
      <c r="E414" t="s">
        <v>168</v>
      </c>
    </row>
    <row r="415" spans="1:5">
      <c r="A415">
        <v>414</v>
      </c>
      <c r="B415">
        <v>1248720</v>
      </c>
      <c r="C415">
        <v>89931</v>
      </c>
      <c r="D415">
        <v>50053</v>
      </c>
      <c r="E415" t="s">
        <v>168</v>
      </c>
    </row>
    <row r="416" spans="1:5">
      <c r="A416">
        <v>415</v>
      </c>
      <c r="B416">
        <v>1258208</v>
      </c>
      <c r="C416">
        <v>90481</v>
      </c>
      <c r="D416">
        <v>50221</v>
      </c>
      <c r="E416" t="s">
        <v>168</v>
      </c>
    </row>
    <row r="417" spans="1:5">
      <c r="A417">
        <v>416</v>
      </c>
      <c r="B417">
        <v>1267754</v>
      </c>
      <c r="C417">
        <v>91034</v>
      </c>
      <c r="D417">
        <v>50390</v>
      </c>
      <c r="E417" t="s">
        <v>168</v>
      </c>
    </row>
    <row r="418" spans="1:5">
      <c r="A418">
        <v>417</v>
      </c>
      <c r="B418">
        <v>1277357</v>
      </c>
      <c r="C418">
        <v>91590</v>
      </c>
      <c r="D418">
        <v>50558</v>
      </c>
      <c r="E418" t="s">
        <v>168</v>
      </c>
    </row>
    <row r="419" spans="1:5">
      <c r="A419">
        <v>418</v>
      </c>
      <c r="B419">
        <v>1287018</v>
      </c>
      <c r="C419">
        <v>92149</v>
      </c>
      <c r="D419">
        <v>50727</v>
      </c>
      <c r="E419" t="s">
        <v>168</v>
      </c>
    </row>
    <row r="420" spans="1:5">
      <c r="A420">
        <v>419</v>
      </c>
      <c r="B420">
        <v>1296738</v>
      </c>
      <c r="C420">
        <v>92710</v>
      </c>
      <c r="D420">
        <v>50896</v>
      </c>
      <c r="E420" t="s">
        <v>168</v>
      </c>
    </row>
    <row r="421" spans="1:5">
      <c r="A421">
        <v>420</v>
      </c>
      <c r="B421">
        <v>1306516</v>
      </c>
      <c r="C421">
        <v>93276</v>
      </c>
      <c r="D421">
        <v>51065</v>
      </c>
      <c r="E421" t="s">
        <v>168</v>
      </c>
    </row>
    <row r="422" spans="1:5">
      <c r="A422">
        <v>421</v>
      </c>
      <c r="B422">
        <v>1316352</v>
      </c>
      <c r="C422">
        <v>93843</v>
      </c>
      <c r="D422">
        <v>51235</v>
      </c>
      <c r="E422" t="s">
        <v>168</v>
      </c>
    </row>
    <row r="423" spans="1:5">
      <c r="A423">
        <v>422</v>
      </c>
      <c r="B423">
        <v>1326248</v>
      </c>
      <c r="C423">
        <v>94413</v>
      </c>
      <c r="D423">
        <v>51404</v>
      </c>
      <c r="E423" t="s">
        <v>168</v>
      </c>
    </row>
    <row r="424" spans="1:5">
      <c r="A424">
        <v>423</v>
      </c>
      <c r="B424">
        <v>1336202</v>
      </c>
      <c r="C424">
        <v>94986</v>
      </c>
      <c r="D424">
        <v>51574</v>
      </c>
      <c r="E424" t="s">
        <v>168</v>
      </c>
    </row>
    <row r="425" spans="1:5">
      <c r="A425">
        <v>424</v>
      </c>
      <c r="B425">
        <v>1346217</v>
      </c>
      <c r="C425">
        <v>95562</v>
      </c>
      <c r="D425">
        <v>51744</v>
      </c>
      <c r="E425" t="s">
        <v>168</v>
      </c>
    </row>
    <row r="426" spans="1:5">
      <c r="A426">
        <v>425</v>
      </c>
      <c r="B426">
        <v>1356291</v>
      </c>
      <c r="C426">
        <v>96141</v>
      </c>
      <c r="D426">
        <v>51915</v>
      </c>
      <c r="E426" t="s">
        <v>168</v>
      </c>
    </row>
    <row r="427" spans="1:5">
      <c r="A427">
        <v>426</v>
      </c>
      <c r="B427">
        <v>1366425</v>
      </c>
      <c r="C427">
        <v>96723</v>
      </c>
      <c r="D427">
        <v>52085</v>
      </c>
      <c r="E427" t="s">
        <v>168</v>
      </c>
    </row>
    <row r="428" spans="1:5">
      <c r="A428">
        <v>427</v>
      </c>
      <c r="B428">
        <v>1376620</v>
      </c>
      <c r="C428">
        <v>97307</v>
      </c>
      <c r="D428">
        <v>52256</v>
      </c>
      <c r="E428" t="s">
        <v>168</v>
      </c>
    </row>
    <row r="429" spans="1:5">
      <c r="A429">
        <v>428</v>
      </c>
      <c r="B429">
        <v>1386876</v>
      </c>
      <c r="C429">
        <v>97895</v>
      </c>
      <c r="D429">
        <v>52427</v>
      </c>
      <c r="E429" t="s">
        <v>168</v>
      </c>
    </row>
    <row r="430" spans="1:5">
      <c r="A430">
        <v>429</v>
      </c>
      <c r="B430">
        <v>1397192</v>
      </c>
      <c r="C430">
        <v>98486</v>
      </c>
      <c r="D430">
        <v>52599</v>
      </c>
      <c r="E430" t="s">
        <v>168</v>
      </c>
    </row>
    <row r="431" spans="1:5">
      <c r="A431">
        <v>430</v>
      </c>
      <c r="B431">
        <v>1407570</v>
      </c>
      <c r="C431">
        <v>99080</v>
      </c>
      <c r="D431">
        <v>52770</v>
      </c>
      <c r="E431" t="s">
        <v>168</v>
      </c>
    </row>
    <row r="432" spans="1:5">
      <c r="A432">
        <v>431</v>
      </c>
      <c r="B432">
        <v>1418009</v>
      </c>
      <c r="C432">
        <v>99677</v>
      </c>
      <c r="D432">
        <v>52942</v>
      </c>
      <c r="E432" t="s">
        <v>168</v>
      </c>
    </row>
    <row r="433" spans="1:5">
      <c r="A433">
        <v>432</v>
      </c>
      <c r="B433">
        <v>1428511</v>
      </c>
      <c r="C433">
        <v>100277</v>
      </c>
      <c r="D433">
        <v>53114</v>
      </c>
      <c r="E433" t="s">
        <v>168</v>
      </c>
    </row>
    <row r="434" spans="1:5">
      <c r="A434">
        <v>433</v>
      </c>
      <c r="B434">
        <v>1439074</v>
      </c>
      <c r="C434">
        <v>100880</v>
      </c>
      <c r="D434">
        <v>53286</v>
      </c>
      <c r="E434" t="s">
        <v>168</v>
      </c>
    </row>
    <row r="435" spans="1:5">
      <c r="A435">
        <v>434</v>
      </c>
      <c r="B435">
        <v>1449700</v>
      </c>
      <c r="C435">
        <v>101486</v>
      </c>
      <c r="D435">
        <v>53458</v>
      </c>
      <c r="E435" t="s">
        <v>168</v>
      </c>
    </row>
    <row r="436" spans="1:5">
      <c r="A436">
        <v>435</v>
      </c>
      <c r="B436">
        <v>1460388</v>
      </c>
      <c r="C436">
        <v>102095</v>
      </c>
      <c r="D436">
        <v>53631</v>
      </c>
      <c r="E436" t="s">
        <v>168</v>
      </c>
    </row>
    <row r="437" spans="1:5">
      <c r="A437">
        <v>436</v>
      </c>
      <c r="B437">
        <v>1471140</v>
      </c>
      <c r="C437">
        <v>102707</v>
      </c>
      <c r="D437">
        <v>53804</v>
      </c>
      <c r="E437" t="s">
        <v>168</v>
      </c>
    </row>
    <row r="438" spans="1:5">
      <c r="A438">
        <v>437</v>
      </c>
      <c r="B438">
        <v>1481955</v>
      </c>
      <c r="C438">
        <v>103322</v>
      </c>
      <c r="D438">
        <v>53977</v>
      </c>
      <c r="E438" t="s">
        <v>168</v>
      </c>
    </row>
    <row r="439" spans="1:5">
      <c r="A439">
        <v>438</v>
      </c>
      <c r="B439">
        <v>1492834</v>
      </c>
      <c r="C439">
        <v>103940</v>
      </c>
      <c r="D439">
        <v>54150</v>
      </c>
      <c r="E439" t="s">
        <v>168</v>
      </c>
    </row>
    <row r="440" spans="1:5">
      <c r="A440">
        <v>439</v>
      </c>
      <c r="B440">
        <v>1503776</v>
      </c>
      <c r="C440">
        <v>104562</v>
      </c>
      <c r="D440">
        <v>54324</v>
      </c>
      <c r="E440" t="s">
        <v>168</v>
      </c>
    </row>
    <row r="441" spans="1:5">
      <c r="A441">
        <v>440</v>
      </c>
      <c r="B441">
        <v>1514783</v>
      </c>
      <c r="C441">
        <v>105186</v>
      </c>
      <c r="D441">
        <v>54498</v>
      </c>
      <c r="E441" t="s">
        <v>168</v>
      </c>
    </row>
    <row r="442" spans="1:5">
      <c r="A442">
        <v>441</v>
      </c>
      <c r="B442">
        <v>1525854</v>
      </c>
      <c r="C442">
        <v>105814</v>
      </c>
      <c r="D442">
        <v>54672</v>
      </c>
      <c r="E442" t="s">
        <v>168</v>
      </c>
    </row>
    <row r="443" spans="1:5">
      <c r="A443">
        <v>442</v>
      </c>
      <c r="B443">
        <v>1536990</v>
      </c>
      <c r="C443">
        <v>106445</v>
      </c>
      <c r="D443">
        <v>54846</v>
      </c>
      <c r="E443" t="s">
        <v>168</v>
      </c>
    </row>
    <row r="444" spans="1:5">
      <c r="A444">
        <v>443</v>
      </c>
      <c r="B444">
        <v>1548191</v>
      </c>
      <c r="C444">
        <v>107079</v>
      </c>
      <c r="D444">
        <v>55020</v>
      </c>
      <c r="E444" t="s">
        <v>168</v>
      </c>
    </row>
    <row r="445" spans="1:5">
      <c r="A445">
        <v>444</v>
      </c>
      <c r="B445">
        <v>1559458</v>
      </c>
      <c r="C445">
        <v>107716</v>
      </c>
      <c r="D445">
        <v>55195</v>
      </c>
      <c r="E445" t="s">
        <v>168</v>
      </c>
    </row>
    <row r="446" spans="1:5">
      <c r="A446">
        <v>445</v>
      </c>
      <c r="B446">
        <v>1570790</v>
      </c>
      <c r="C446">
        <v>108356</v>
      </c>
      <c r="D446">
        <v>55370</v>
      </c>
      <c r="E446" t="s">
        <v>168</v>
      </c>
    </row>
    <row r="447" spans="1:5">
      <c r="A447">
        <v>446</v>
      </c>
      <c r="B447">
        <v>1582189</v>
      </c>
      <c r="C447">
        <v>109000</v>
      </c>
      <c r="D447">
        <v>55545</v>
      </c>
      <c r="E447" t="s">
        <v>168</v>
      </c>
    </row>
    <row r="448" spans="1:5">
      <c r="A448">
        <v>447</v>
      </c>
      <c r="B448">
        <v>1593654</v>
      </c>
      <c r="C448">
        <v>109647</v>
      </c>
      <c r="D448">
        <v>55720</v>
      </c>
      <c r="E448" t="s">
        <v>168</v>
      </c>
    </row>
    <row r="449" spans="1:5">
      <c r="A449">
        <v>448</v>
      </c>
      <c r="B449">
        <v>1605185</v>
      </c>
      <c r="C449">
        <v>110297</v>
      </c>
      <c r="D449">
        <v>55896</v>
      </c>
      <c r="E449" t="s">
        <v>168</v>
      </c>
    </row>
    <row r="450" spans="1:5">
      <c r="A450">
        <v>449</v>
      </c>
      <c r="B450">
        <v>1616784</v>
      </c>
      <c r="C450">
        <v>110951</v>
      </c>
      <c r="D450">
        <v>56072</v>
      </c>
      <c r="E450" t="s">
        <v>168</v>
      </c>
    </row>
    <row r="451" spans="1:5">
      <c r="A451">
        <v>450</v>
      </c>
      <c r="B451">
        <v>1628449</v>
      </c>
      <c r="C451">
        <v>111607</v>
      </c>
      <c r="D451">
        <v>56248</v>
      </c>
      <c r="E451" t="s">
        <v>168</v>
      </c>
    </row>
    <row r="452" spans="1:5">
      <c r="A452">
        <v>451</v>
      </c>
      <c r="B452">
        <v>1640183</v>
      </c>
      <c r="C452">
        <v>112267</v>
      </c>
      <c r="D452">
        <v>56424</v>
      </c>
      <c r="E452" t="s">
        <v>168</v>
      </c>
    </row>
    <row r="453" spans="1:5">
      <c r="A453">
        <v>452</v>
      </c>
      <c r="B453">
        <v>1651984</v>
      </c>
      <c r="C453">
        <v>112930</v>
      </c>
      <c r="D453">
        <v>56601</v>
      </c>
      <c r="E453" t="s">
        <v>168</v>
      </c>
    </row>
    <row r="454" spans="1:5">
      <c r="A454">
        <v>453</v>
      </c>
      <c r="B454">
        <v>1663853</v>
      </c>
      <c r="C454">
        <v>113597</v>
      </c>
      <c r="D454">
        <v>56777</v>
      </c>
      <c r="E454" t="s">
        <v>168</v>
      </c>
    </row>
    <row r="455" spans="1:5">
      <c r="A455">
        <v>454</v>
      </c>
      <c r="B455">
        <v>1675791</v>
      </c>
      <c r="C455">
        <v>114267</v>
      </c>
      <c r="D455">
        <v>56954</v>
      </c>
      <c r="E455" t="s">
        <v>168</v>
      </c>
    </row>
    <row r="456" spans="1:5">
      <c r="A456">
        <v>455</v>
      </c>
      <c r="B456">
        <v>1687798</v>
      </c>
      <c r="C456">
        <v>114940</v>
      </c>
      <c r="D456">
        <v>57131</v>
      </c>
      <c r="E456" t="s">
        <v>168</v>
      </c>
    </row>
    <row r="457" spans="1:5">
      <c r="A457">
        <v>456</v>
      </c>
      <c r="B457">
        <v>1699874</v>
      </c>
      <c r="C457">
        <v>115617</v>
      </c>
      <c r="D457">
        <v>57309</v>
      </c>
      <c r="E457" t="s">
        <v>168</v>
      </c>
    </row>
    <row r="458" spans="1:5">
      <c r="A458">
        <v>457</v>
      </c>
      <c r="B458">
        <v>1712020</v>
      </c>
      <c r="C458">
        <v>116297</v>
      </c>
      <c r="D458">
        <v>57486</v>
      </c>
      <c r="E458" t="s">
        <v>168</v>
      </c>
    </row>
    <row r="459" spans="1:5">
      <c r="A459">
        <v>458</v>
      </c>
      <c r="B459">
        <v>1724235</v>
      </c>
      <c r="C459">
        <v>116981</v>
      </c>
      <c r="D459">
        <v>57664</v>
      </c>
      <c r="E459" t="s">
        <v>168</v>
      </c>
    </row>
    <row r="460" spans="1:5">
      <c r="A460">
        <v>459</v>
      </c>
      <c r="B460">
        <v>1736521</v>
      </c>
      <c r="C460">
        <v>117667</v>
      </c>
      <c r="D460">
        <v>57842</v>
      </c>
      <c r="E460" t="s">
        <v>168</v>
      </c>
    </row>
    <row r="461" spans="1:5">
      <c r="A461">
        <v>460</v>
      </c>
      <c r="B461">
        <v>1748876</v>
      </c>
      <c r="C461">
        <v>118358</v>
      </c>
      <c r="D461">
        <v>58021</v>
      </c>
      <c r="E461" t="s">
        <v>168</v>
      </c>
    </row>
    <row r="462" spans="1:5">
      <c r="A462">
        <v>461</v>
      </c>
      <c r="B462">
        <v>1761303</v>
      </c>
      <c r="C462">
        <v>119052</v>
      </c>
      <c r="D462">
        <v>58199</v>
      </c>
      <c r="E462" t="s">
        <v>168</v>
      </c>
    </row>
    <row r="463" spans="1:5">
      <c r="A463">
        <v>462</v>
      </c>
      <c r="B463">
        <v>1773801</v>
      </c>
      <c r="C463">
        <v>119749</v>
      </c>
      <c r="D463">
        <v>58378</v>
      </c>
      <c r="E463" t="s">
        <v>168</v>
      </c>
    </row>
    <row r="464" spans="1:5">
      <c r="A464">
        <v>463</v>
      </c>
      <c r="B464">
        <v>1786370</v>
      </c>
      <c r="C464">
        <v>120449</v>
      </c>
      <c r="D464">
        <v>58557</v>
      </c>
      <c r="E464" t="s">
        <v>168</v>
      </c>
    </row>
    <row r="465" spans="1:5">
      <c r="A465">
        <v>464</v>
      </c>
      <c r="B465">
        <v>1799011</v>
      </c>
      <c r="C465">
        <v>121154</v>
      </c>
      <c r="D465">
        <v>58736</v>
      </c>
      <c r="E465" t="s">
        <v>168</v>
      </c>
    </row>
    <row r="466" spans="1:5">
      <c r="A466">
        <v>465</v>
      </c>
      <c r="B466">
        <v>1811725</v>
      </c>
      <c r="C466">
        <v>121861</v>
      </c>
      <c r="D466">
        <v>58916</v>
      </c>
      <c r="E466" t="s">
        <v>168</v>
      </c>
    </row>
    <row r="467" spans="1:5">
      <c r="A467">
        <v>466</v>
      </c>
      <c r="B467">
        <v>1824510</v>
      </c>
      <c r="C467">
        <v>122573</v>
      </c>
      <c r="D467">
        <v>59095</v>
      </c>
      <c r="E467" t="s">
        <v>168</v>
      </c>
    </row>
    <row r="468" spans="1:5">
      <c r="A468">
        <v>467</v>
      </c>
      <c r="B468">
        <v>1837368</v>
      </c>
      <c r="C468">
        <v>123287</v>
      </c>
      <c r="D468">
        <v>59275</v>
      </c>
      <c r="E468" t="s">
        <v>168</v>
      </c>
    </row>
    <row r="469" spans="1:5">
      <c r="A469">
        <v>468</v>
      </c>
      <c r="B469">
        <v>1850300</v>
      </c>
      <c r="C469">
        <v>124006</v>
      </c>
      <c r="D469">
        <v>59456</v>
      </c>
      <c r="E469" t="s">
        <v>168</v>
      </c>
    </row>
    <row r="470" spans="1:5">
      <c r="A470">
        <v>469</v>
      </c>
      <c r="B470">
        <v>1863305</v>
      </c>
      <c r="C470">
        <v>124728</v>
      </c>
      <c r="D470">
        <v>59636</v>
      </c>
      <c r="E470" t="s">
        <v>168</v>
      </c>
    </row>
    <row r="471" spans="1:5">
      <c r="A471">
        <v>470</v>
      </c>
      <c r="B471">
        <v>1876383</v>
      </c>
      <c r="C471">
        <v>125453</v>
      </c>
      <c r="D471">
        <v>59816</v>
      </c>
      <c r="E471" t="s">
        <v>168</v>
      </c>
    </row>
    <row r="472" spans="1:5">
      <c r="A472">
        <v>471</v>
      </c>
      <c r="B472">
        <v>1889536</v>
      </c>
      <c r="C472">
        <v>126183</v>
      </c>
      <c r="D472">
        <v>59997</v>
      </c>
      <c r="E472" t="s">
        <v>168</v>
      </c>
    </row>
    <row r="473" spans="1:5">
      <c r="A473">
        <v>472</v>
      </c>
      <c r="B473">
        <v>1902763</v>
      </c>
      <c r="C473">
        <v>126916</v>
      </c>
      <c r="D473">
        <v>60178</v>
      </c>
      <c r="E473" t="s">
        <v>168</v>
      </c>
    </row>
    <row r="474" spans="1:5">
      <c r="A474">
        <v>473</v>
      </c>
      <c r="B474">
        <v>1916065</v>
      </c>
      <c r="C474">
        <v>127652</v>
      </c>
      <c r="D474">
        <v>60360</v>
      </c>
      <c r="E474" t="s">
        <v>168</v>
      </c>
    </row>
    <row r="475" spans="1:5">
      <c r="A475">
        <v>474</v>
      </c>
      <c r="B475">
        <v>1929442</v>
      </c>
      <c r="C475">
        <v>128392</v>
      </c>
      <c r="D475">
        <v>60541</v>
      </c>
      <c r="E475" t="s">
        <v>168</v>
      </c>
    </row>
    <row r="476" spans="1:5">
      <c r="A476">
        <v>475</v>
      </c>
      <c r="B476">
        <v>1942894</v>
      </c>
      <c r="C476">
        <v>129135</v>
      </c>
      <c r="D476">
        <v>60723</v>
      </c>
      <c r="E476" t="s">
        <v>168</v>
      </c>
    </row>
    <row r="477" spans="1:5">
      <c r="A477">
        <v>476</v>
      </c>
      <c r="B477">
        <v>1956423</v>
      </c>
      <c r="C477">
        <v>129883</v>
      </c>
      <c r="D477">
        <v>60905</v>
      </c>
      <c r="E477" t="s">
        <v>168</v>
      </c>
    </row>
    <row r="478" spans="1:5">
      <c r="A478">
        <v>477</v>
      </c>
      <c r="B478">
        <v>1970027</v>
      </c>
      <c r="C478">
        <v>130634</v>
      </c>
      <c r="D478">
        <v>61087</v>
      </c>
      <c r="E478" t="s">
        <v>168</v>
      </c>
    </row>
    <row r="479" spans="1:5">
      <c r="A479">
        <v>478</v>
      </c>
      <c r="B479">
        <v>1983708</v>
      </c>
      <c r="C479">
        <v>131389</v>
      </c>
      <c r="D479">
        <v>61269</v>
      </c>
      <c r="E479" t="s">
        <v>168</v>
      </c>
    </row>
    <row r="480" spans="1:5">
      <c r="A480">
        <v>479</v>
      </c>
      <c r="B480">
        <v>1997466</v>
      </c>
      <c r="C480">
        <v>132147</v>
      </c>
      <c r="D480">
        <v>61452</v>
      </c>
      <c r="E480" t="s">
        <v>168</v>
      </c>
    </row>
    <row r="481" spans="1:5">
      <c r="A481">
        <v>480</v>
      </c>
      <c r="B481">
        <v>2011300</v>
      </c>
      <c r="C481">
        <v>132910</v>
      </c>
      <c r="D481">
        <v>61635</v>
      </c>
      <c r="E481" t="s">
        <v>168</v>
      </c>
    </row>
    <row r="482" spans="1:5">
      <c r="A482">
        <v>481</v>
      </c>
      <c r="B482">
        <v>2025213</v>
      </c>
      <c r="C482">
        <v>133676</v>
      </c>
      <c r="D482">
        <v>61818</v>
      </c>
      <c r="E482" t="s">
        <v>168</v>
      </c>
    </row>
    <row r="483" spans="1:5">
      <c r="A483">
        <v>482</v>
      </c>
      <c r="B483">
        <v>2039203</v>
      </c>
      <c r="C483">
        <v>134446</v>
      </c>
      <c r="D483">
        <v>62001</v>
      </c>
      <c r="E483" t="s">
        <v>168</v>
      </c>
    </row>
    <row r="484" spans="1:5">
      <c r="A484">
        <v>483</v>
      </c>
      <c r="B484">
        <v>2053272</v>
      </c>
      <c r="C484">
        <v>135220</v>
      </c>
      <c r="D484">
        <v>62185</v>
      </c>
      <c r="E484" t="s">
        <v>168</v>
      </c>
    </row>
    <row r="485" spans="1:5">
      <c r="A485">
        <v>484</v>
      </c>
      <c r="B485">
        <v>2067419</v>
      </c>
      <c r="C485">
        <v>135997</v>
      </c>
      <c r="D485">
        <v>62369</v>
      </c>
      <c r="E485" t="s">
        <v>168</v>
      </c>
    </row>
    <row r="486" spans="1:5">
      <c r="A486">
        <v>485</v>
      </c>
      <c r="B486">
        <v>2081645</v>
      </c>
      <c r="C486">
        <v>136779</v>
      </c>
      <c r="D486">
        <v>62553</v>
      </c>
      <c r="E486" t="s">
        <v>168</v>
      </c>
    </row>
    <row r="487" spans="1:5">
      <c r="A487">
        <v>486</v>
      </c>
      <c r="B487">
        <v>2095950</v>
      </c>
      <c r="C487">
        <v>137565</v>
      </c>
      <c r="D487">
        <v>62737</v>
      </c>
      <c r="E487" t="s">
        <v>168</v>
      </c>
    </row>
    <row r="488" spans="1:5">
      <c r="A488">
        <v>487</v>
      </c>
      <c r="B488">
        <v>2110335</v>
      </c>
      <c r="C488">
        <v>138353</v>
      </c>
      <c r="D488">
        <v>62921</v>
      </c>
      <c r="E488" t="s">
        <v>168</v>
      </c>
    </row>
    <row r="489" spans="1:5">
      <c r="A489">
        <v>488</v>
      </c>
      <c r="B489">
        <v>2124800</v>
      </c>
      <c r="C489">
        <v>139147</v>
      </c>
      <c r="D489">
        <v>63106</v>
      </c>
      <c r="E489" t="s">
        <v>168</v>
      </c>
    </row>
    <row r="490" spans="1:5">
      <c r="A490">
        <v>489</v>
      </c>
      <c r="B490">
        <v>2139345</v>
      </c>
      <c r="C490">
        <v>139944</v>
      </c>
      <c r="D490">
        <v>63291</v>
      </c>
      <c r="E490" t="s">
        <v>168</v>
      </c>
    </row>
    <row r="491" spans="1:5">
      <c r="A491">
        <v>490</v>
      </c>
      <c r="B491">
        <v>2153972</v>
      </c>
      <c r="C491">
        <v>140745</v>
      </c>
      <c r="D491">
        <v>63476</v>
      </c>
      <c r="E491" t="s">
        <v>168</v>
      </c>
    </row>
    <row r="492" spans="1:5">
      <c r="A492">
        <v>491</v>
      </c>
      <c r="B492">
        <v>2168679</v>
      </c>
      <c r="C492">
        <v>141550</v>
      </c>
      <c r="D492">
        <v>63661</v>
      </c>
      <c r="E492" t="s">
        <v>168</v>
      </c>
    </row>
    <row r="493" spans="1:5">
      <c r="A493">
        <v>492</v>
      </c>
      <c r="B493">
        <v>2183467</v>
      </c>
      <c r="C493">
        <v>142359</v>
      </c>
      <c r="D493">
        <v>63847</v>
      </c>
      <c r="E493" t="s">
        <v>168</v>
      </c>
    </row>
    <row r="494" spans="1:5">
      <c r="A494">
        <v>493</v>
      </c>
      <c r="B494">
        <v>2198338</v>
      </c>
      <c r="C494">
        <v>143172</v>
      </c>
      <c r="D494">
        <v>64033</v>
      </c>
      <c r="E494" t="s">
        <v>168</v>
      </c>
    </row>
    <row r="495" spans="1:5">
      <c r="A495">
        <v>494</v>
      </c>
      <c r="B495">
        <v>2213290</v>
      </c>
      <c r="C495">
        <v>143988</v>
      </c>
      <c r="D495">
        <v>64219</v>
      </c>
      <c r="E495" t="s">
        <v>168</v>
      </c>
    </row>
    <row r="496" spans="1:5">
      <c r="A496">
        <v>495</v>
      </c>
      <c r="B496">
        <v>2228326</v>
      </c>
      <c r="C496">
        <v>144810</v>
      </c>
      <c r="D496">
        <v>64405</v>
      </c>
      <c r="E496" t="s">
        <v>168</v>
      </c>
    </row>
    <row r="497" spans="1:5">
      <c r="A497">
        <v>496</v>
      </c>
      <c r="B497">
        <v>2243444</v>
      </c>
      <c r="C497">
        <v>145635</v>
      </c>
      <c r="D497">
        <v>64592</v>
      </c>
      <c r="E497" t="s">
        <v>168</v>
      </c>
    </row>
    <row r="498" spans="1:5">
      <c r="A498">
        <v>497</v>
      </c>
      <c r="B498">
        <v>2258645</v>
      </c>
      <c r="C498">
        <v>146464</v>
      </c>
      <c r="D498">
        <v>64778</v>
      </c>
      <c r="E498" t="s">
        <v>168</v>
      </c>
    </row>
    <row r="499" spans="1:5">
      <c r="A499">
        <v>498</v>
      </c>
      <c r="B499">
        <v>2273930</v>
      </c>
      <c r="C499">
        <v>147297</v>
      </c>
      <c r="D499">
        <v>64965</v>
      </c>
      <c r="E499" t="s">
        <v>168</v>
      </c>
    </row>
    <row r="500" spans="1:5">
      <c r="A500">
        <v>499</v>
      </c>
      <c r="B500">
        <v>2289299</v>
      </c>
      <c r="C500">
        <v>148134</v>
      </c>
      <c r="D500">
        <v>65153</v>
      </c>
      <c r="E500" t="s">
        <v>168</v>
      </c>
    </row>
    <row r="501" spans="1:5">
      <c r="A501">
        <v>500</v>
      </c>
      <c r="B501">
        <v>2304753</v>
      </c>
      <c r="C501">
        <v>148975</v>
      </c>
      <c r="D501">
        <v>65340</v>
      </c>
      <c r="E501" t="s">
        <v>168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"/>
    </sheetView>
  </sheetViews>
  <sheetFormatPr defaultColWidth="9" defaultRowHeight="13.5" outlineLevelCol="3"/>
  <sheetData>
    <row r="1" spans="1:4">
      <c r="A1" t="s">
        <v>169</v>
      </c>
      <c r="B1" t="s">
        <v>170</v>
      </c>
      <c r="C1" t="s">
        <v>171</v>
      </c>
      <c r="D1" t="s">
        <v>25</v>
      </c>
    </row>
    <row r="2" spans="1:4">
      <c r="A2">
        <v>1000</v>
      </c>
      <c r="B2" t="s">
        <v>172</v>
      </c>
      <c r="C2" t="s">
        <v>29</v>
      </c>
      <c r="D2" t="s">
        <v>173</v>
      </c>
    </row>
    <row r="3" spans="1:4">
      <c r="A3">
        <v>1001</v>
      </c>
      <c r="B3" t="s">
        <v>174</v>
      </c>
      <c r="C3" t="s">
        <v>29</v>
      </c>
      <c r="D3" t="s">
        <v>173</v>
      </c>
    </row>
    <row r="4" spans="1:4">
      <c r="A4">
        <v>1002</v>
      </c>
      <c r="B4" t="s">
        <v>175</v>
      </c>
      <c r="C4" t="s">
        <v>26</v>
      </c>
      <c r="D4" t="s">
        <v>173</v>
      </c>
    </row>
    <row r="5" spans="1:4">
      <c r="A5">
        <v>1003</v>
      </c>
      <c r="B5" t="s">
        <v>176</v>
      </c>
      <c r="C5" t="s">
        <v>26</v>
      </c>
      <c r="D5" t="s">
        <v>173</v>
      </c>
    </row>
    <row r="6" spans="1:4">
      <c r="A6">
        <v>1004</v>
      </c>
      <c r="B6" t="s">
        <v>177</v>
      </c>
      <c r="C6" t="s">
        <v>26</v>
      </c>
      <c r="D6" t="s">
        <v>173</v>
      </c>
    </row>
    <row r="7" spans="1:4">
      <c r="A7">
        <v>1005</v>
      </c>
      <c r="B7" t="s">
        <v>178</v>
      </c>
      <c r="C7" t="s">
        <v>29</v>
      </c>
      <c r="D7" t="s">
        <v>173</v>
      </c>
    </row>
    <row r="8" spans="1:4">
      <c r="A8">
        <v>1006</v>
      </c>
      <c r="B8" t="s">
        <v>179</v>
      </c>
      <c r="C8" t="s">
        <v>29</v>
      </c>
      <c r="D8" t="s">
        <v>173</v>
      </c>
    </row>
    <row r="9" spans="1:4">
      <c r="A9">
        <v>1007</v>
      </c>
      <c r="B9" t="s">
        <v>180</v>
      </c>
      <c r="C9" t="s">
        <v>31</v>
      </c>
      <c r="D9" t="s">
        <v>173</v>
      </c>
    </row>
    <row r="10" spans="1:4">
      <c r="A10">
        <v>1008</v>
      </c>
      <c r="B10" t="s">
        <v>181</v>
      </c>
      <c r="C10" t="s">
        <v>29</v>
      </c>
      <c r="D10" t="s">
        <v>173</v>
      </c>
    </row>
    <row r="11" spans="1:4">
      <c r="A11">
        <v>1009</v>
      </c>
      <c r="B11" t="s">
        <v>182</v>
      </c>
      <c r="C11" t="s">
        <v>31</v>
      </c>
      <c r="D11" t="s">
        <v>173</v>
      </c>
    </row>
    <row r="12" spans="1:4">
      <c r="A12">
        <v>1011</v>
      </c>
      <c r="B12" t="s">
        <v>183</v>
      </c>
      <c r="C12" t="s">
        <v>31</v>
      </c>
      <c r="D12" t="s">
        <v>173</v>
      </c>
    </row>
    <row r="13" spans="1:4">
      <c r="A13">
        <v>1012</v>
      </c>
      <c r="B13" t="s">
        <v>184</v>
      </c>
      <c r="C13" t="s">
        <v>31</v>
      </c>
      <c r="D13" t="s">
        <v>173</v>
      </c>
    </row>
    <row r="14" spans="1:4">
      <c r="A14">
        <v>1013</v>
      </c>
      <c r="B14" t="s">
        <v>185</v>
      </c>
      <c r="C14" t="s">
        <v>29</v>
      </c>
      <c r="D14" t="s">
        <v>173</v>
      </c>
    </row>
    <row r="15" spans="1:4">
      <c r="A15">
        <v>1014</v>
      </c>
      <c r="B15" t="s">
        <v>186</v>
      </c>
      <c r="C15" t="s">
        <v>29</v>
      </c>
      <c r="D15" t="s">
        <v>173</v>
      </c>
    </row>
    <row r="16" spans="1:4">
      <c r="A16">
        <v>1015</v>
      </c>
      <c r="B16" t="s">
        <v>187</v>
      </c>
      <c r="C16" t="s">
        <v>31</v>
      </c>
      <c r="D16" t="s">
        <v>173</v>
      </c>
    </row>
    <row r="17" spans="1:4">
      <c r="A17">
        <v>1017</v>
      </c>
      <c r="B17" t="s">
        <v>188</v>
      </c>
      <c r="C17" t="s">
        <v>29</v>
      </c>
      <c r="D17" t="s">
        <v>173</v>
      </c>
    </row>
    <row r="18" spans="1:4">
      <c r="A18">
        <v>1018</v>
      </c>
      <c r="B18" t="s">
        <v>189</v>
      </c>
      <c r="C18" t="s">
        <v>31</v>
      </c>
      <c r="D18" t="s">
        <v>173</v>
      </c>
    </row>
    <row r="19" spans="1:4">
      <c r="A19">
        <v>1019</v>
      </c>
      <c r="B19" t="s">
        <v>190</v>
      </c>
      <c r="C19" t="s">
        <v>26</v>
      </c>
      <c r="D19" t="s">
        <v>173</v>
      </c>
    </row>
    <row r="20" spans="1:4">
      <c r="A20">
        <v>1020</v>
      </c>
      <c r="B20" t="s">
        <v>191</v>
      </c>
      <c r="C20" t="s">
        <v>31</v>
      </c>
      <c r="D20" t="s">
        <v>173</v>
      </c>
    </row>
    <row r="21" spans="1:4">
      <c r="A21">
        <v>1021</v>
      </c>
      <c r="B21" t="s">
        <v>192</v>
      </c>
      <c r="C21" t="s">
        <v>29</v>
      </c>
      <c r="D21" t="s">
        <v>173</v>
      </c>
    </row>
    <row r="22" spans="1:4">
      <c r="A22">
        <v>1022</v>
      </c>
      <c r="B22" t="s">
        <v>193</v>
      </c>
      <c r="C22" t="s">
        <v>26</v>
      </c>
      <c r="D22" t="s">
        <v>173</v>
      </c>
    </row>
    <row r="23" spans="1:4">
      <c r="A23">
        <v>1023</v>
      </c>
      <c r="B23" t="s">
        <v>194</v>
      </c>
      <c r="C23" t="s">
        <v>31</v>
      </c>
      <c r="D23" t="s">
        <v>173</v>
      </c>
    </row>
    <row r="24" spans="1:4">
      <c r="A24">
        <v>1024</v>
      </c>
      <c r="B24" t="s">
        <v>195</v>
      </c>
      <c r="C24" t="s">
        <v>29</v>
      </c>
      <c r="D24" t="s">
        <v>173</v>
      </c>
    </row>
    <row r="25" spans="1:4">
      <c r="A25">
        <v>1026</v>
      </c>
      <c r="B25" t="s">
        <v>196</v>
      </c>
      <c r="C25" t="s">
        <v>29</v>
      </c>
      <c r="D25" t="s">
        <v>173</v>
      </c>
    </row>
    <row r="26" spans="1:4">
      <c r="A26">
        <v>1029</v>
      </c>
      <c r="B26" t="s">
        <v>197</v>
      </c>
      <c r="C26" t="s">
        <v>31</v>
      </c>
      <c r="D26" t="s">
        <v>173</v>
      </c>
    </row>
    <row r="27" spans="1:4">
      <c r="A27">
        <v>1030</v>
      </c>
      <c r="B27" t="s">
        <v>198</v>
      </c>
      <c r="C27" t="s">
        <v>26</v>
      </c>
      <c r="D27" t="s">
        <v>173</v>
      </c>
    </row>
    <row r="28" spans="1:4">
      <c r="A28">
        <v>1035</v>
      </c>
      <c r="B28" t="s">
        <v>199</v>
      </c>
      <c r="C28" t="s">
        <v>29</v>
      </c>
      <c r="D28" t="s">
        <v>173</v>
      </c>
    </row>
    <row r="29" spans="1:4">
      <c r="A29">
        <v>1036</v>
      </c>
      <c r="B29" t="s">
        <v>200</v>
      </c>
      <c r="C29" t="s">
        <v>29</v>
      </c>
      <c r="D29" t="s">
        <v>173</v>
      </c>
    </row>
    <row r="30" spans="1:4">
      <c r="A30">
        <v>1037</v>
      </c>
      <c r="B30" t="s">
        <v>201</v>
      </c>
      <c r="C30" t="s">
        <v>29</v>
      </c>
      <c r="D30" t="s">
        <v>173</v>
      </c>
    </row>
    <row r="31" spans="1:4">
      <c r="A31">
        <v>1038</v>
      </c>
      <c r="B31" t="s">
        <v>202</v>
      </c>
      <c r="C31" t="s">
        <v>26</v>
      </c>
      <c r="D31" t="s">
        <v>173</v>
      </c>
    </row>
    <row r="32" spans="1:4">
      <c r="A32">
        <v>1039</v>
      </c>
      <c r="B32" t="s">
        <v>203</v>
      </c>
      <c r="C32" t="s">
        <v>29</v>
      </c>
      <c r="D32" t="s">
        <v>173</v>
      </c>
    </row>
    <row r="33" spans="1:4">
      <c r="A33">
        <v>1040</v>
      </c>
      <c r="B33" t="s">
        <v>204</v>
      </c>
      <c r="C33" t="s">
        <v>31</v>
      </c>
      <c r="D33" t="s">
        <v>173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AH1004"/>
  <sheetViews>
    <sheetView showGridLines="0" workbookViewId="0">
      <selection activeCell="A1" sqref="A1:AG1"/>
    </sheetView>
  </sheetViews>
  <sheetFormatPr defaultColWidth="9" defaultRowHeight="13.5"/>
  <cols>
    <col min="1" max="1" width="14" customWidth="1"/>
    <col min="2" max="2" width="10" customWidth="1"/>
    <col min="3" max="3" width="9" customWidth="1"/>
    <col min="4" max="4" width="14" customWidth="1"/>
    <col min="5" max="6" width="16" customWidth="1"/>
    <col min="7" max="7" width="12" customWidth="1"/>
    <col min="8" max="9" width="14" customWidth="1"/>
    <col min="10" max="10" width="10" customWidth="1"/>
    <col min="11" max="11" width="8" customWidth="1"/>
    <col min="12" max="12" width="12" customWidth="1"/>
    <col min="13" max="13" width="16" customWidth="1"/>
    <col min="14" max="14" width="12" customWidth="1"/>
    <col min="15" max="29" width="14" customWidth="1"/>
    <col min="30" max="30" width="12" customWidth="1"/>
    <col min="31" max="32" width="14" customWidth="1"/>
    <col min="33" max="33" width="10" customWidth="1"/>
    <col min="34" max="34" width="26" customWidth="1"/>
  </cols>
  <sheetData>
    <row r="1" ht="30" customHeight="1" spans="1:34">
      <c r="A1" s="13" t="s">
        <v>205</v>
      </c>
    </row>
    <row r="2" ht="32" customHeight="1" spans="1:34">
      <c r="A2" s="14" t="s">
        <v>206</v>
      </c>
    </row>
    <row r="4" ht="38" customHeight="1" spans="1:34">
      <c r="A4" s="15" t="s">
        <v>207</v>
      </c>
      <c r="B4" s="15" t="s">
        <v>208</v>
      </c>
      <c r="C4" s="15" t="s">
        <v>209</v>
      </c>
      <c r="D4" s="15" t="s">
        <v>210</v>
      </c>
      <c r="E4" s="15" t="s">
        <v>211</v>
      </c>
      <c r="F4" s="15" t="s">
        <v>212</v>
      </c>
      <c r="G4" s="15" t="s">
        <v>213</v>
      </c>
      <c r="H4" s="15" t="s">
        <v>214</v>
      </c>
      <c r="I4" s="15" t="s">
        <v>215</v>
      </c>
      <c r="J4" s="15" t="s">
        <v>47</v>
      </c>
      <c r="K4" s="15" t="s">
        <v>46</v>
      </c>
      <c r="L4" s="15" t="s">
        <v>48</v>
      </c>
      <c r="M4" s="15" t="s">
        <v>170</v>
      </c>
      <c r="N4" s="15" t="s">
        <v>171</v>
      </c>
      <c r="O4" s="15" t="s">
        <v>165</v>
      </c>
      <c r="P4" s="15" t="s">
        <v>166</v>
      </c>
      <c r="Q4" s="15" t="s">
        <v>167</v>
      </c>
      <c r="R4" s="15" t="s">
        <v>216</v>
      </c>
      <c r="S4" s="15" t="s">
        <v>217</v>
      </c>
      <c r="T4" s="15" t="s">
        <v>218</v>
      </c>
      <c r="U4" s="15" t="s">
        <v>219</v>
      </c>
      <c r="V4" s="15" t="s">
        <v>220</v>
      </c>
      <c r="W4" s="15" t="s">
        <v>221</v>
      </c>
      <c r="X4" s="15" t="s">
        <v>222</v>
      </c>
      <c r="Y4" s="15" t="s">
        <v>223</v>
      </c>
      <c r="Z4" s="15" t="s">
        <v>224</v>
      </c>
      <c r="AA4" s="15" t="s">
        <v>225</v>
      </c>
      <c r="AB4" s="15" t="s">
        <v>226</v>
      </c>
      <c r="AC4" s="15" t="s">
        <v>227</v>
      </c>
      <c r="AD4" s="15" t="s">
        <v>228</v>
      </c>
      <c r="AE4" s="15" t="s">
        <v>229</v>
      </c>
      <c r="AF4" s="15" t="s">
        <v>230</v>
      </c>
      <c r="AG4" s="15" t="s">
        <v>231</v>
      </c>
      <c r="AH4" t="s">
        <v>232</v>
      </c>
    </row>
    <row r="5" ht="14.25" customHeight="1" spans="1:34">
      <c r="A5" s="16">
        <v>1</v>
      </c>
      <c r="B5" s="16">
        <v>1002</v>
      </c>
      <c r="C5" s="16">
        <v>10</v>
      </c>
      <c r="D5" s="17">
        <f>IFERROR(ROUND($U5*$X5*$AA5*参数!$B$13,0),"")</f>
        <v>12925</v>
      </c>
      <c r="E5" s="17">
        <f>IFERROR(ROUND($V5*$Y5*$AB5*参数!$C$13,0),"")</f>
        <v>743</v>
      </c>
      <c r="F5" s="17">
        <f>IFERROR(ROUND($W5*$Z5*$AC5*参数!$D$13,0),"")</f>
        <v>1700</v>
      </c>
      <c r="G5" s="16">
        <v>17474</v>
      </c>
      <c r="H5" s="16">
        <v>847</v>
      </c>
      <c r="I5" s="16">
        <v>1394</v>
      </c>
      <c r="J5" s="16">
        <v>1</v>
      </c>
      <c r="K5" s="16">
        <v>1</v>
      </c>
      <c r="L5" s="16">
        <f>IFERROR(INDEX(楼层配置!$D$5:$D$104,MATCH($K5,楼层配置!$B$5:$B$104,0)),"")</f>
        <v>15</v>
      </c>
      <c r="M5" s="16" t="str">
        <f>IFERROR(INDEX(_角色基线!$B$2:$B$100,MATCH($B5,_角色基线!$A$2:$A$100,0)),"")</f>
        <v>大暑</v>
      </c>
      <c r="N5" s="16" t="str">
        <f>IFERROR(INDEX(_角色基线!$C$2:$C$100,MATCH($B5,_角色基线!$A$2:$A$100,0)),"")</f>
        <v>Tank</v>
      </c>
      <c r="O5" s="16">
        <f>IFERROR(INDEX(_怪物基线!$B$2:$B$501,MATCH(INT($L5),_怪物基线!$A$2:$A$501,0)),"")</f>
        <v>2069</v>
      </c>
      <c r="P5" s="16">
        <f>IFERROR(INDEX(_怪物基线!$C$2:$C$501,MATCH(INT($L5),_怪物基线!$A$2:$A$501,0)),"")</f>
        <v>705</v>
      </c>
      <c r="Q5" s="16">
        <f>IFERROR(INDEX(_怪物基线!$D$2:$D$501,MATCH(INT($L5),_怪物基线!$A$2:$A$501,0)),"")</f>
        <v>1133</v>
      </c>
      <c r="R5" s="16">
        <f>参数!$B$10</f>
        <v>4</v>
      </c>
      <c r="S5" s="16">
        <f>参数!$C$10</f>
        <v>1.2</v>
      </c>
      <c r="T5" s="16">
        <f>参数!$D$10</f>
        <v>1</v>
      </c>
      <c r="U5" s="16">
        <f t="shared" ref="U5:U68" si="0">IF($O5="","",$O5*$R5)</f>
        <v>8276</v>
      </c>
      <c r="V5" s="16">
        <f t="shared" ref="V5:V68" si="1">IF($P5="","",$P5*$S5)</f>
        <v>846</v>
      </c>
      <c r="W5" s="16">
        <f t="shared" ref="W5:W68" si="2">IF($Q5="","",$Q5*$T5)</f>
        <v>1133</v>
      </c>
      <c r="X5" s="16">
        <f>IFERROR(INDEX(参数!$B$5:$B$7,MATCH($N5,参数!$A$5:$A$7,0)),"")</f>
        <v>1.5</v>
      </c>
      <c r="Y5" s="16">
        <f>IFERROR(INDEX(参数!$C$5:$C$7,MATCH($N5,参数!$A$5:$A$7,0)),"")</f>
        <v>1</v>
      </c>
      <c r="Z5" s="16">
        <f>IFERROR(INDEX(参数!$D$5:$D$7,MATCH($N5,参数!$A$5:$A$7,0)),"")</f>
        <v>1.5</v>
      </c>
      <c r="AA5" s="16">
        <f>IFERROR(INDEX(楼层配置!$E$5:$E$104,MATCH($K5,楼层配置!$B$5:$B$104,0)),1)</f>
        <v>1.0411518791012</v>
      </c>
      <c r="AB5" s="16">
        <f>IFERROR(INDEX(楼层配置!$F$5:$F$104,MATCH($K5,楼层配置!$B$5:$B$104,0)),1)</f>
        <v>0.878799464729497</v>
      </c>
      <c r="AC5" s="16">
        <f>IFERROR(INDEX(楼层配置!$G$5:$G$104,MATCH($K5,楼层配置!$B$5:$B$104,0)),1)</f>
        <v>1</v>
      </c>
      <c r="AD5" s="18">
        <f t="shared" ref="AD5:AD68" si="3">IFERROR($D5/$G5-1,"")</f>
        <v>-0.260329632597001</v>
      </c>
      <c r="AE5" s="18">
        <f t="shared" ref="AE5:AE68" si="4">IFERROR($E5/$H5-1,"")</f>
        <v>-0.122786304604486</v>
      </c>
      <c r="AF5" s="18">
        <f t="shared" ref="AF5:AF68" si="5">IFERROR($F5/$I5-1,"")</f>
        <v>0.219512195121951</v>
      </c>
      <c r="AG5" s="16" t="str">
        <f t="shared" ref="AG5:AG68" si="6">IF(AND($A5&gt;=1,$L5&gt;=1,$L5&lt;=500,OR($N5="Tank",$N5="DPS",$N5="Support"),ISNUMBER($D5),ISNUMBER($E5),ISNUMBER($F5)),"有效","异常")</f>
        <v>有效</v>
      </c>
      <c r="AH5">
        <f t="shared" ref="AH5:AH68" si="7">D5/(1-MIN(0.75,F5/(24000+F5)))</f>
        <v>13840.5208333333</v>
      </c>
    </row>
    <row r="6" ht="14.25" customHeight="1" spans="1:34">
      <c r="A6" s="16">
        <v>2</v>
      </c>
      <c r="B6" s="16">
        <v>1001</v>
      </c>
      <c r="C6" s="16">
        <v>10</v>
      </c>
      <c r="D6" s="17">
        <f>IFERROR(ROUND($U6*$X6*$AA6*参数!$B$13,0),"")</f>
        <v>8617</v>
      </c>
      <c r="E6" s="17">
        <f>IFERROR(ROUND($V6*$Y6*$AB6*参数!$C$13,0),"")</f>
        <v>892</v>
      </c>
      <c r="F6" s="17">
        <f>IFERROR(ROUND($W6*$Z6*$AC6*参数!$D$13,0),"")</f>
        <v>1133</v>
      </c>
      <c r="G6" s="16">
        <v>11649</v>
      </c>
      <c r="H6" s="16">
        <v>1016</v>
      </c>
      <c r="I6" s="16">
        <v>929</v>
      </c>
      <c r="J6" s="16">
        <v>1</v>
      </c>
      <c r="K6" s="16">
        <v>1</v>
      </c>
      <c r="L6" s="16">
        <f>IFERROR(INDEX(楼层配置!$D$5:$D$104,MATCH($K6,楼层配置!$B$5:$B$104,0)),"")</f>
        <v>15</v>
      </c>
      <c r="M6" s="16" t="str">
        <f>IFERROR(INDEX(_角色基线!$B$2:$B$100,MATCH($B6,_角色基线!$A$2:$A$100,0)),"")</f>
        <v>星海</v>
      </c>
      <c r="N6" s="16" t="str">
        <f>IFERROR(INDEX(_角色基线!$C$2:$C$100,MATCH($B6,_角色基线!$A$2:$A$100,0)),"")</f>
        <v>DPS</v>
      </c>
      <c r="O6" s="16">
        <f>IFERROR(INDEX(_怪物基线!$B$2:$B$501,MATCH(INT($L6),_怪物基线!$A$2:$A$501,0)),"")</f>
        <v>2069</v>
      </c>
      <c r="P6" s="16">
        <f>IFERROR(INDEX(_怪物基线!$C$2:$C$501,MATCH(INT($L6),_怪物基线!$A$2:$A$501,0)),"")</f>
        <v>705</v>
      </c>
      <c r="Q6" s="16">
        <f>IFERROR(INDEX(_怪物基线!$D$2:$D$501,MATCH(INT($L6),_怪物基线!$A$2:$A$501,0)),"")</f>
        <v>1133</v>
      </c>
      <c r="R6" s="16">
        <f>参数!$B$10</f>
        <v>4</v>
      </c>
      <c r="S6" s="16">
        <f>参数!$C$10</f>
        <v>1.2</v>
      </c>
      <c r="T6" s="16">
        <f>参数!$D$10</f>
        <v>1</v>
      </c>
      <c r="U6" s="16">
        <f t="shared" si="0"/>
        <v>8276</v>
      </c>
      <c r="V6" s="16">
        <f t="shared" si="1"/>
        <v>846</v>
      </c>
      <c r="W6" s="16">
        <f t="shared" si="2"/>
        <v>1133</v>
      </c>
      <c r="X6" s="16">
        <f>IFERROR(INDEX(参数!$B$5:$B$7,MATCH($N6,参数!$A$5:$A$7,0)),"")</f>
        <v>1</v>
      </c>
      <c r="Y6" s="16">
        <f>IFERROR(INDEX(参数!$C$5:$C$7,MATCH($N6,参数!$A$5:$A$7,0)),"")</f>
        <v>1.2</v>
      </c>
      <c r="Z6" s="16">
        <f>IFERROR(INDEX(参数!$D$5:$D$7,MATCH($N6,参数!$A$5:$A$7,0)),"")</f>
        <v>1</v>
      </c>
      <c r="AA6" s="16">
        <f>IFERROR(INDEX(楼层配置!$E$5:$E$104,MATCH($K6,楼层配置!$B$5:$B$104,0)),1)</f>
        <v>1.0411518791012</v>
      </c>
      <c r="AB6" s="16">
        <f>IFERROR(INDEX(楼层配置!$F$5:$F$104,MATCH($K6,楼层配置!$B$5:$B$104,0)),1)</f>
        <v>0.878799464729497</v>
      </c>
      <c r="AC6" s="16">
        <f>IFERROR(INDEX(楼层配置!$G$5:$G$104,MATCH($K6,楼层配置!$B$5:$B$104,0)),1)</f>
        <v>1</v>
      </c>
      <c r="AD6" s="18">
        <f t="shared" si="3"/>
        <v>-0.260279852347841</v>
      </c>
      <c r="AE6" s="18">
        <f t="shared" si="4"/>
        <v>-0.122047244094488</v>
      </c>
      <c r="AF6" s="18">
        <f t="shared" si="5"/>
        <v>0.219590958019376</v>
      </c>
      <c r="AG6" s="16" t="str">
        <f t="shared" si="6"/>
        <v>有效</v>
      </c>
      <c r="AH6">
        <f t="shared" si="7"/>
        <v>9023.79420833333</v>
      </c>
    </row>
    <row r="7" ht="14.25" customHeight="1" spans="1:34">
      <c r="A7" s="16">
        <v>3</v>
      </c>
      <c r="B7" s="16">
        <v>1001</v>
      </c>
      <c r="C7" s="16">
        <v>10</v>
      </c>
      <c r="D7" s="17">
        <f>IFERROR(ROUND($U7*$X7*$AA7*参数!$B$13,0),"")</f>
        <v>8617</v>
      </c>
      <c r="E7" s="17">
        <f>IFERROR(ROUND($V7*$Y7*$AB7*参数!$C$13,0),"")</f>
        <v>892</v>
      </c>
      <c r="F7" s="17">
        <f>IFERROR(ROUND($W7*$Z7*$AC7*参数!$D$13,0),"")</f>
        <v>1133</v>
      </c>
      <c r="G7" s="16">
        <v>11649</v>
      </c>
      <c r="H7" s="16">
        <v>1016</v>
      </c>
      <c r="I7" s="16">
        <v>929</v>
      </c>
      <c r="J7" s="16">
        <v>1</v>
      </c>
      <c r="K7" s="16">
        <v>1</v>
      </c>
      <c r="L7" s="16">
        <f>IFERROR(INDEX(楼层配置!$D$5:$D$104,MATCH($K7,楼层配置!$B$5:$B$104,0)),"")</f>
        <v>15</v>
      </c>
      <c r="M7" s="16" t="str">
        <f>IFERROR(INDEX(_角色基线!$B$2:$B$100,MATCH($B7,_角色基线!$A$2:$A$100,0)),"")</f>
        <v>星海</v>
      </c>
      <c r="N7" s="16" t="str">
        <f>IFERROR(INDEX(_角色基线!$C$2:$C$100,MATCH($B7,_角色基线!$A$2:$A$100,0)),"")</f>
        <v>DPS</v>
      </c>
      <c r="O7" s="16">
        <f>IFERROR(INDEX(_怪物基线!$B$2:$B$501,MATCH(INT($L7),_怪物基线!$A$2:$A$501,0)),"")</f>
        <v>2069</v>
      </c>
      <c r="P7" s="16">
        <f>IFERROR(INDEX(_怪物基线!$C$2:$C$501,MATCH(INT($L7),_怪物基线!$A$2:$A$501,0)),"")</f>
        <v>705</v>
      </c>
      <c r="Q7" s="16">
        <f>IFERROR(INDEX(_怪物基线!$D$2:$D$501,MATCH(INT($L7),_怪物基线!$A$2:$A$501,0)),"")</f>
        <v>1133</v>
      </c>
      <c r="R7" s="16">
        <f>参数!$B$10</f>
        <v>4</v>
      </c>
      <c r="S7" s="16">
        <f>参数!$C$10</f>
        <v>1.2</v>
      </c>
      <c r="T7" s="16">
        <f>参数!$D$10</f>
        <v>1</v>
      </c>
      <c r="U7" s="16">
        <f t="shared" si="0"/>
        <v>8276</v>
      </c>
      <c r="V7" s="16">
        <f t="shared" si="1"/>
        <v>846</v>
      </c>
      <c r="W7" s="16">
        <f t="shared" si="2"/>
        <v>1133</v>
      </c>
      <c r="X7" s="16">
        <f>IFERROR(INDEX(参数!$B$5:$B$7,MATCH($N7,参数!$A$5:$A$7,0)),"")</f>
        <v>1</v>
      </c>
      <c r="Y7" s="16">
        <f>IFERROR(INDEX(参数!$C$5:$C$7,MATCH($N7,参数!$A$5:$A$7,0)),"")</f>
        <v>1.2</v>
      </c>
      <c r="Z7" s="16">
        <f>IFERROR(INDEX(参数!$D$5:$D$7,MATCH($N7,参数!$A$5:$A$7,0)),"")</f>
        <v>1</v>
      </c>
      <c r="AA7" s="16">
        <f>IFERROR(INDEX(楼层配置!$E$5:$E$104,MATCH($K7,楼层配置!$B$5:$B$104,0)),1)</f>
        <v>1.0411518791012</v>
      </c>
      <c r="AB7" s="16">
        <f>IFERROR(INDEX(楼层配置!$F$5:$F$104,MATCH($K7,楼层配置!$B$5:$B$104,0)),1)</f>
        <v>0.878799464729497</v>
      </c>
      <c r="AC7" s="16">
        <f>IFERROR(INDEX(楼层配置!$G$5:$G$104,MATCH($K7,楼层配置!$B$5:$B$104,0)),1)</f>
        <v>1</v>
      </c>
      <c r="AD7" s="18">
        <f t="shared" si="3"/>
        <v>-0.260279852347841</v>
      </c>
      <c r="AE7" s="18">
        <f t="shared" si="4"/>
        <v>-0.122047244094488</v>
      </c>
      <c r="AF7" s="18">
        <f t="shared" si="5"/>
        <v>0.219590958019376</v>
      </c>
      <c r="AG7" s="16" t="str">
        <f t="shared" si="6"/>
        <v>有效</v>
      </c>
      <c r="AH7">
        <f t="shared" si="7"/>
        <v>9023.79420833333</v>
      </c>
    </row>
    <row r="8" ht="14.25" customHeight="1" spans="1:34">
      <c r="A8" s="16">
        <v>4</v>
      </c>
      <c r="B8" s="16">
        <v>1001</v>
      </c>
      <c r="C8" s="16">
        <v>10</v>
      </c>
      <c r="D8" s="17">
        <f>IFERROR(ROUND($U8*$X8*$AA8*参数!$B$13,0),"")</f>
        <v>8617</v>
      </c>
      <c r="E8" s="17">
        <f>IFERROR(ROUND($V8*$Y8*$AB8*参数!$C$13,0),"")</f>
        <v>892</v>
      </c>
      <c r="F8" s="17">
        <f>IFERROR(ROUND($W8*$Z8*$AC8*参数!$D$13,0),"")</f>
        <v>1133</v>
      </c>
      <c r="G8" s="16">
        <v>11649</v>
      </c>
      <c r="H8" s="16">
        <v>1016</v>
      </c>
      <c r="I8" s="16">
        <v>929</v>
      </c>
      <c r="J8" s="16">
        <v>1</v>
      </c>
      <c r="K8" s="16">
        <v>1</v>
      </c>
      <c r="L8" s="16">
        <f>IFERROR(INDEX(楼层配置!$D$5:$D$104,MATCH($K8,楼层配置!$B$5:$B$104,0)),"")</f>
        <v>15</v>
      </c>
      <c r="M8" s="16" t="str">
        <f>IFERROR(INDEX(_角色基线!$B$2:$B$100,MATCH($B8,_角色基线!$A$2:$A$100,0)),"")</f>
        <v>星海</v>
      </c>
      <c r="N8" s="16" t="str">
        <f>IFERROR(INDEX(_角色基线!$C$2:$C$100,MATCH($B8,_角色基线!$A$2:$A$100,0)),"")</f>
        <v>DPS</v>
      </c>
      <c r="O8" s="16">
        <f>IFERROR(INDEX(_怪物基线!$B$2:$B$501,MATCH(INT($L8),_怪物基线!$A$2:$A$501,0)),"")</f>
        <v>2069</v>
      </c>
      <c r="P8" s="16">
        <f>IFERROR(INDEX(_怪物基线!$C$2:$C$501,MATCH(INT($L8),_怪物基线!$A$2:$A$501,0)),"")</f>
        <v>705</v>
      </c>
      <c r="Q8" s="16">
        <f>IFERROR(INDEX(_怪物基线!$D$2:$D$501,MATCH(INT($L8),_怪物基线!$A$2:$A$501,0)),"")</f>
        <v>1133</v>
      </c>
      <c r="R8" s="16">
        <f>参数!$B$10</f>
        <v>4</v>
      </c>
      <c r="S8" s="16">
        <f>参数!$C$10</f>
        <v>1.2</v>
      </c>
      <c r="T8" s="16">
        <f>参数!$D$10</f>
        <v>1</v>
      </c>
      <c r="U8" s="16">
        <f t="shared" si="0"/>
        <v>8276</v>
      </c>
      <c r="V8" s="16">
        <f t="shared" si="1"/>
        <v>846</v>
      </c>
      <c r="W8" s="16">
        <f t="shared" si="2"/>
        <v>1133</v>
      </c>
      <c r="X8" s="16">
        <f>IFERROR(INDEX(参数!$B$5:$B$7,MATCH($N8,参数!$A$5:$A$7,0)),"")</f>
        <v>1</v>
      </c>
      <c r="Y8" s="16">
        <f>IFERROR(INDEX(参数!$C$5:$C$7,MATCH($N8,参数!$A$5:$A$7,0)),"")</f>
        <v>1.2</v>
      </c>
      <c r="Z8" s="16">
        <f>IFERROR(INDEX(参数!$D$5:$D$7,MATCH($N8,参数!$A$5:$A$7,0)),"")</f>
        <v>1</v>
      </c>
      <c r="AA8" s="16">
        <f>IFERROR(INDEX(楼层配置!$E$5:$E$104,MATCH($K8,楼层配置!$B$5:$B$104,0)),1)</f>
        <v>1.0411518791012</v>
      </c>
      <c r="AB8" s="16">
        <f>IFERROR(INDEX(楼层配置!$F$5:$F$104,MATCH($K8,楼层配置!$B$5:$B$104,0)),1)</f>
        <v>0.878799464729497</v>
      </c>
      <c r="AC8" s="16">
        <f>IFERROR(INDEX(楼层配置!$G$5:$G$104,MATCH($K8,楼层配置!$B$5:$B$104,0)),1)</f>
        <v>1</v>
      </c>
      <c r="AD8" s="18">
        <f t="shared" si="3"/>
        <v>-0.260279852347841</v>
      </c>
      <c r="AE8" s="18">
        <f t="shared" si="4"/>
        <v>-0.122047244094488</v>
      </c>
      <c r="AF8" s="18">
        <f t="shared" si="5"/>
        <v>0.219590958019376</v>
      </c>
      <c r="AG8" s="16" t="str">
        <f t="shared" si="6"/>
        <v>有效</v>
      </c>
      <c r="AH8">
        <f t="shared" si="7"/>
        <v>9023.79420833333</v>
      </c>
    </row>
    <row r="9" ht="14.25" customHeight="1" spans="1:34">
      <c r="A9" s="16">
        <v>5</v>
      </c>
      <c r="B9" s="16">
        <v>1040</v>
      </c>
      <c r="C9" s="16">
        <v>10</v>
      </c>
      <c r="D9" s="17">
        <f>IFERROR(ROUND($U9*$X9*$AA9*参数!$B$13,0),"")</f>
        <v>10771</v>
      </c>
      <c r="E9" s="17">
        <f>IFERROR(ROUND($V9*$Y9*$AB9*参数!$C$13,0),"")</f>
        <v>743</v>
      </c>
      <c r="F9" s="17">
        <f>IFERROR(ROUND($W9*$Z9*$AC9*参数!$D$13,0),"")</f>
        <v>1416</v>
      </c>
      <c r="G9" s="16">
        <v>14562</v>
      </c>
      <c r="H9" s="16">
        <v>847</v>
      </c>
      <c r="I9" s="16">
        <v>1162</v>
      </c>
      <c r="J9" s="16">
        <v>1</v>
      </c>
      <c r="K9" s="16">
        <v>1</v>
      </c>
      <c r="L9" s="16">
        <f>IFERROR(INDEX(楼层配置!$D$5:$D$104,MATCH($K9,楼层配置!$B$5:$B$104,0)),"")</f>
        <v>15</v>
      </c>
      <c r="M9" s="16" t="str">
        <f>IFERROR(INDEX(_角色基线!$B$2:$B$100,MATCH($B9,_角色基线!$A$2:$A$100,0)),"")</f>
        <v>小寒</v>
      </c>
      <c r="N9" s="16" t="str">
        <f>IFERROR(INDEX(_角色基线!$C$2:$C$100,MATCH($B9,_角色基线!$A$2:$A$100,0)),"")</f>
        <v>Support</v>
      </c>
      <c r="O9" s="16">
        <f>IFERROR(INDEX(_怪物基线!$B$2:$B$501,MATCH(INT($L9),_怪物基线!$A$2:$A$501,0)),"")</f>
        <v>2069</v>
      </c>
      <c r="P9" s="16">
        <f>IFERROR(INDEX(_怪物基线!$C$2:$C$501,MATCH(INT($L9),_怪物基线!$A$2:$A$501,0)),"")</f>
        <v>705</v>
      </c>
      <c r="Q9" s="16">
        <f>IFERROR(INDEX(_怪物基线!$D$2:$D$501,MATCH(INT($L9),_怪物基线!$A$2:$A$501,0)),"")</f>
        <v>1133</v>
      </c>
      <c r="R9" s="16">
        <f>参数!$B$10</f>
        <v>4</v>
      </c>
      <c r="S9" s="16">
        <f>参数!$C$10</f>
        <v>1.2</v>
      </c>
      <c r="T9" s="16">
        <f>参数!$D$10</f>
        <v>1</v>
      </c>
      <c r="U9" s="16">
        <f t="shared" si="0"/>
        <v>8276</v>
      </c>
      <c r="V9" s="16">
        <f t="shared" si="1"/>
        <v>846</v>
      </c>
      <c r="W9" s="16">
        <f t="shared" si="2"/>
        <v>1133</v>
      </c>
      <c r="X9" s="16">
        <f>IFERROR(INDEX(参数!$B$5:$B$7,MATCH($N9,参数!$A$5:$A$7,0)),"")</f>
        <v>1.25</v>
      </c>
      <c r="Y9" s="16">
        <f>IFERROR(INDEX(参数!$C$5:$C$7,MATCH($N9,参数!$A$5:$A$7,0)),"")</f>
        <v>1</v>
      </c>
      <c r="Z9" s="16">
        <f>IFERROR(INDEX(参数!$D$5:$D$7,MATCH($N9,参数!$A$5:$A$7,0)),"")</f>
        <v>1.25</v>
      </c>
      <c r="AA9" s="16">
        <f>IFERROR(INDEX(楼层配置!$E$5:$E$104,MATCH($K9,楼层配置!$B$5:$B$104,0)),1)</f>
        <v>1.0411518791012</v>
      </c>
      <c r="AB9" s="16">
        <f>IFERROR(INDEX(楼层配置!$F$5:$F$104,MATCH($K9,楼层配置!$B$5:$B$104,0)),1)</f>
        <v>0.878799464729497</v>
      </c>
      <c r="AC9" s="16">
        <f>IFERROR(INDEX(楼层配置!$G$5:$G$104,MATCH($K9,楼层配置!$B$5:$B$104,0)),1)</f>
        <v>1</v>
      </c>
      <c r="AD9" s="18">
        <f t="shared" si="3"/>
        <v>-0.260335118802362</v>
      </c>
      <c r="AE9" s="18">
        <f t="shared" si="4"/>
        <v>-0.122786304604486</v>
      </c>
      <c r="AF9" s="18">
        <f t="shared" si="5"/>
        <v>0.218588640275387</v>
      </c>
      <c r="AG9" s="16" t="str">
        <f t="shared" si="6"/>
        <v>有效</v>
      </c>
      <c r="AH9">
        <f t="shared" si="7"/>
        <v>11406.489</v>
      </c>
    </row>
    <row r="10" ht="14.25" customHeight="1" spans="1:34">
      <c r="A10" s="16">
        <v>6</v>
      </c>
      <c r="B10" s="16">
        <v>1038</v>
      </c>
      <c r="C10" s="16">
        <v>11</v>
      </c>
      <c r="D10" s="17">
        <f>IFERROR(ROUND($U10*$X10*$AA10*参数!$B$13,0),"")</f>
        <v>16789</v>
      </c>
      <c r="E10" s="17">
        <f>IFERROR(ROUND($V10*$Y10*$AB10*参数!$C$13,0),"")</f>
        <v>907</v>
      </c>
      <c r="F10" s="17">
        <f>IFERROR(ROUND($W10*$Z10*$AC10*参数!$D$13,0),"")</f>
        <v>2049</v>
      </c>
      <c r="G10" s="16">
        <v>22442</v>
      </c>
      <c r="H10" s="16">
        <v>1028</v>
      </c>
      <c r="I10" s="16">
        <v>1686</v>
      </c>
      <c r="J10" s="16">
        <v>2</v>
      </c>
      <c r="K10" s="16">
        <v>2</v>
      </c>
      <c r="L10" s="16">
        <f>IFERROR(INDEX(楼层配置!$D$5:$D$104,MATCH($K10,楼层配置!$B$5:$B$104,0)),"")</f>
        <v>18</v>
      </c>
      <c r="M10" s="16" t="str">
        <f>IFERROR(INDEX(_角色基线!$B$2:$B$100,MATCH($B10,_角色基线!$A$2:$A$100,0)),"")</f>
        <v>商队战斗员</v>
      </c>
      <c r="N10" s="16" t="str">
        <f>IFERROR(INDEX(_角色基线!$C$2:$C$100,MATCH($B10,_角色基线!$A$2:$A$100,0)),"")</f>
        <v>Tank</v>
      </c>
      <c r="O10" s="16">
        <f>IFERROR(INDEX(_怪物基线!$B$2:$B$501,MATCH(INT($L10),_怪物基线!$A$2:$A$501,0)),"")</f>
        <v>2624</v>
      </c>
      <c r="P10" s="16">
        <f>IFERROR(INDEX(_怪物基线!$C$2:$C$501,MATCH(INT($L10),_怪物基线!$A$2:$A$501,0)),"")</f>
        <v>857</v>
      </c>
      <c r="Q10" s="16">
        <f>IFERROR(INDEX(_怪物基线!$D$2:$D$501,MATCH(INT($L10),_怪物基线!$A$2:$A$501,0)),"")</f>
        <v>1366</v>
      </c>
      <c r="R10" s="16">
        <f>参数!$B$10</f>
        <v>4</v>
      </c>
      <c r="S10" s="16">
        <f>参数!$C$10</f>
        <v>1.2</v>
      </c>
      <c r="T10" s="16">
        <f>参数!$D$10</f>
        <v>1</v>
      </c>
      <c r="U10" s="16">
        <f t="shared" si="0"/>
        <v>10496</v>
      </c>
      <c r="V10" s="16">
        <f t="shared" si="1"/>
        <v>1028.4</v>
      </c>
      <c r="W10" s="16">
        <f t="shared" si="2"/>
        <v>1366</v>
      </c>
      <c r="X10" s="16">
        <f>IFERROR(INDEX(参数!$B$5:$B$7,MATCH($N10,参数!$A$5:$A$7,0)),"")</f>
        <v>1.5</v>
      </c>
      <c r="Y10" s="16">
        <f>IFERROR(INDEX(参数!$C$5:$C$7,MATCH($N10,参数!$A$5:$A$7,0)),"")</f>
        <v>1</v>
      </c>
      <c r="Z10" s="16">
        <f>IFERROR(INDEX(参数!$D$5:$D$7,MATCH($N10,参数!$A$5:$A$7,0)),"")</f>
        <v>1.5</v>
      </c>
      <c r="AA10" s="16">
        <f>IFERROR(INDEX(楼层配置!$E$5:$E$104,MATCH($K10,楼层配置!$B$5:$B$104,0)),1)</f>
        <v>1.06638891711125</v>
      </c>
      <c r="AB10" s="16">
        <f>IFERROR(INDEX(楼层配置!$F$5:$F$104,MATCH($K10,楼层配置!$B$5:$B$104,0)),1)</f>
        <v>0.881697307575066</v>
      </c>
      <c r="AC10" s="16">
        <f>IFERROR(INDEX(楼层配置!$G$5:$G$104,MATCH($K10,楼层配置!$B$5:$B$104,0)),1)</f>
        <v>1</v>
      </c>
      <c r="AD10" s="18">
        <f t="shared" si="3"/>
        <v>-0.25189377060868</v>
      </c>
      <c r="AE10" s="18">
        <f t="shared" si="4"/>
        <v>-0.117704280155642</v>
      </c>
      <c r="AF10" s="18">
        <f t="shared" si="5"/>
        <v>0.215302491103203</v>
      </c>
      <c r="AG10" s="16" t="str">
        <f t="shared" si="6"/>
        <v>有效</v>
      </c>
      <c r="AH10">
        <f t="shared" si="7"/>
        <v>18222.360875</v>
      </c>
    </row>
    <row r="11" ht="14.25" customHeight="1" spans="1:34">
      <c r="A11" s="16">
        <v>7</v>
      </c>
      <c r="B11" s="16">
        <v>1035</v>
      </c>
      <c r="C11" s="16">
        <v>11</v>
      </c>
      <c r="D11" s="17">
        <f>IFERROR(ROUND($U11*$X11*$AA11*参数!$B$13,0),"")</f>
        <v>11193</v>
      </c>
      <c r="E11" s="17">
        <f>IFERROR(ROUND($V11*$Y11*$AB11*参数!$C$13,0),"")</f>
        <v>1088</v>
      </c>
      <c r="F11" s="17">
        <f>IFERROR(ROUND($W11*$Z11*$AC11*参数!$D$13,0),"")</f>
        <v>1366</v>
      </c>
      <c r="G11" s="16">
        <v>14961</v>
      </c>
      <c r="H11" s="16">
        <v>1233</v>
      </c>
      <c r="I11" s="16">
        <v>1124</v>
      </c>
      <c r="J11" s="16">
        <v>2</v>
      </c>
      <c r="K11" s="16">
        <v>2</v>
      </c>
      <c r="L11" s="16">
        <f>IFERROR(INDEX(楼层配置!$D$5:$D$104,MATCH($K11,楼层配置!$B$5:$B$104,0)),"")</f>
        <v>18</v>
      </c>
      <c r="M11" s="16" t="str">
        <f>IFERROR(INDEX(_角色基线!$B$2:$B$100,MATCH($B11,_角色基线!$A$2:$A$100,0)),"")</f>
        <v>碎冰者</v>
      </c>
      <c r="N11" s="16" t="str">
        <f>IFERROR(INDEX(_角色基线!$C$2:$C$100,MATCH($B11,_角色基线!$A$2:$A$100,0)),"")</f>
        <v>DPS</v>
      </c>
      <c r="O11" s="16">
        <f>IFERROR(INDEX(_怪物基线!$B$2:$B$501,MATCH(INT($L11),_怪物基线!$A$2:$A$501,0)),"")</f>
        <v>2624</v>
      </c>
      <c r="P11" s="16">
        <f>IFERROR(INDEX(_怪物基线!$C$2:$C$501,MATCH(INT($L11),_怪物基线!$A$2:$A$501,0)),"")</f>
        <v>857</v>
      </c>
      <c r="Q11" s="16">
        <f>IFERROR(INDEX(_怪物基线!$D$2:$D$501,MATCH(INT($L11),_怪物基线!$A$2:$A$501,0)),"")</f>
        <v>1366</v>
      </c>
      <c r="R11" s="16">
        <f>参数!$B$10</f>
        <v>4</v>
      </c>
      <c r="S11" s="16">
        <f>参数!$C$10</f>
        <v>1.2</v>
      </c>
      <c r="T11" s="16">
        <f>参数!$D$10</f>
        <v>1</v>
      </c>
      <c r="U11" s="16">
        <f t="shared" si="0"/>
        <v>10496</v>
      </c>
      <c r="V11" s="16">
        <f t="shared" si="1"/>
        <v>1028.4</v>
      </c>
      <c r="W11" s="16">
        <f t="shared" si="2"/>
        <v>1366</v>
      </c>
      <c r="X11" s="16">
        <f>IFERROR(INDEX(参数!$B$5:$B$7,MATCH($N11,参数!$A$5:$A$7,0)),"")</f>
        <v>1</v>
      </c>
      <c r="Y11" s="16">
        <f>IFERROR(INDEX(参数!$C$5:$C$7,MATCH($N11,参数!$A$5:$A$7,0)),"")</f>
        <v>1.2</v>
      </c>
      <c r="Z11" s="16">
        <f>IFERROR(INDEX(参数!$D$5:$D$7,MATCH($N11,参数!$A$5:$A$7,0)),"")</f>
        <v>1</v>
      </c>
      <c r="AA11" s="16">
        <f>IFERROR(INDEX(楼层配置!$E$5:$E$104,MATCH($K11,楼层配置!$B$5:$B$104,0)),1)</f>
        <v>1.06638891711125</v>
      </c>
      <c r="AB11" s="16">
        <f>IFERROR(INDEX(楼层配置!$F$5:$F$104,MATCH($K11,楼层配置!$B$5:$B$104,0)),1)</f>
        <v>0.881697307575066</v>
      </c>
      <c r="AC11" s="16">
        <f>IFERROR(INDEX(楼层配置!$G$5:$G$104,MATCH($K11,楼层配置!$B$5:$B$104,0)),1)</f>
        <v>1</v>
      </c>
      <c r="AD11" s="18">
        <f t="shared" si="3"/>
        <v>-0.2518548225386</v>
      </c>
      <c r="AE11" s="18">
        <f t="shared" si="4"/>
        <v>-0.117599351175994</v>
      </c>
      <c r="AF11" s="18">
        <f t="shared" si="5"/>
        <v>0.215302491103203</v>
      </c>
      <c r="AG11" s="16" t="str">
        <f t="shared" si="6"/>
        <v>有效</v>
      </c>
      <c r="AH11">
        <f t="shared" si="7"/>
        <v>11830.06825</v>
      </c>
    </row>
    <row r="12" ht="14.25" customHeight="1" spans="1:34">
      <c r="A12" s="16">
        <v>8</v>
      </c>
      <c r="B12" s="16">
        <v>1035</v>
      </c>
      <c r="C12" s="16">
        <v>11</v>
      </c>
      <c r="D12" s="17">
        <f>IFERROR(ROUND($U12*$X12*$AA12*参数!$B$13,0),"")</f>
        <v>11193</v>
      </c>
      <c r="E12" s="17">
        <f>IFERROR(ROUND($V12*$Y12*$AB12*参数!$C$13,0),"")</f>
        <v>1088</v>
      </c>
      <c r="F12" s="17">
        <f>IFERROR(ROUND($W12*$Z12*$AC12*参数!$D$13,0),"")</f>
        <v>1366</v>
      </c>
      <c r="G12" s="16">
        <v>14961</v>
      </c>
      <c r="H12" s="16">
        <v>1233</v>
      </c>
      <c r="I12" s="16">
        <v>1124</v>
      </c>
      <c r="J12" s="16">
        <v>2</v>
      </c>
      <c r="K12" s="16">
        <v>2</v>
      </c>
      <c r="L12" s="16">
        <f>IFERROR(INDEX(楼层配置!$D$5:$D$104,MATCH($K12,楼层配置!$B$5:$B$104,0)),"")</f>
        <v>18</v>
      </c>
      <c r="M12" s="16" t="str">
        <f>IFERROR(INDEX(_角色基线!$B$2:$B$100,MATCH($B12,_角色基线!$A$2:$A$100,0)),"")</f>
        <v>碎冰者</v>
      </c>
      <c r="N12" s="16" t="str">
        <f>IFERROR(INDEX(_角色基线!$C$2:$C$100,MATCH($B12,_角色基线!$A$2:$A$100,0)),"")</f>
        <v>DPS</v>
      </c>
      <c r="O12" s="16">
        <f>IFERROR(INDEX(_怪物基线!$B$2:$B$501,MATCH(INT($L12),_怪物基线!$A$2:$A$501,0)),"")</f>
        <v>2624</v>
      </c>
      <c r="P12" s="16">
        <f>IFERROR(INDEX(_怪物基线!$C$2:$C$501,MATCH(INT($L12),_怪物基线!$A$2:$A$501,0)),"")</f>
        <v>857</v>
      </c>
      <c r="Q12" s="16">
        <f>IFERROR(INDEX(_怪物基线!$D$2:$D$501,MATCH(INT($L12),_怪物基线!$A$2:$A$501,0)),"")</f>
        <v>1366</v>
      </c>
      <c r="R12" s="16">
        <f>参数!$B$10</f>
        <v>4</v>
      </c>
      <c r="S12" s="16">
        <f>参数!$C$10</f>
        <v>1.2</v>
      </c>
      <c r="T12" s="16">
        <f>参数!$D$10</f>
        <v>1</v>
      </c>
      <c r="U12" s="16">
        <f t="shared" si="0"/>
        <v>10496</v>
      </c>
      <c r="V12" s="16">
        <f t="shared" si="1"/>
        <v>1028.4</v>
      </c>
      <c r="W12" s="16">
        <f t="shared" si="2"/>
        <v>1366</v>
      </c>
      <c r="X12" s="16">
        <f>IFERROR(INDEX(参数!$B$5:$B$7,MATCH($N12,参数!$A$5:$A$7,0)),"")</f>
        <v>1</v>
      </c>
      <c r="Y12" s="16">
        <f>IFERROR(INDEX(参数!$C$5:$C$7,MATCH($N12,参数!$A$5:$A$7,0)),"")</f>
        <v>1.2</v>
      </c>
      <c r="Z12" s="16">
        <f>IFERROR(INDEX(参数!$D$5:$D$7,MATCH($N12,参数!$A$5:$A$7,0)),"")</f>
        <v>1</v>
      </c>
      <c r="AA12" s="16">
        <f>IFERROR(INDEX(楼层配置!$E$5:$E$104,MATCH($K12,楼层配置!$B$5:$B$104,0)),1)</f>
        <v>1.06638891711125</v>
      </c>
      <c r="AB12" s="16">
        <f>IFERROR(INDEX(楼层配置!$F$5:$F$104,MATCH($K12,楼层配置!$B$5:$B$104,0)),1)</f>
        <v>0.881697307575066</v>
      </c>
      <c r="AC12" s="16">
        <f>IFERROR(INDEX(楼层配置!$G$5:$G$104,MATCH($K12,楼层配置!$B$5:$B$104,0)),1)</f>
        <v>1</v>
      </c>
      <c r="AD12" s="18">
        <f t="shared" si="3"/>
        <v>-0.2518548225386</v>
      </c>
      <c r="AE12" s="18">
        <f t="shared" si="4"/>
        <v>-0.117599351175994</v>
      </c>
      <c r="AF12" s="18">
        <f t="shared" si="5"/>
        <v>0.215302491103203</v>
      </c>
      <c r="AG12" s="16" t="str">
        <f t="shared" si="6"/>
        <v>有效</v>
      </c>
      <c r="AH12">
        <f t="shared" si="7"/>
        <v>11830.06825</v>
      </c>
    </row>
    <row r="13" ht="14.25" customHeight="1" spans="1:34">
      <c r="A13" s="16">
        <v>9</v>
      </c>
      <c r="B13" s="16">
        <v>1035</v>
      </c>
      <c r="C13" s="16">
        <v>11</v>
      </c>
      <c r="D13" s="17">
        <f>IFERROR(ROUND($U13*$X13*$AA13*参数!$B$13,0),"")</f>
        <v>11193</v>
      </c>
      <c r="E13" s="17">
        <f>IFERROR(ROUND($V13*$Y13*$AB13*参数!$C$13,0),"")</f>
        <v>1088</v>
      </c>
      <c r="F13" s="17">
        <f>IFERROR(ROUND($W13*$Z13*$AC13*参数!$D$13,0),"")</f>
        <v>1366</v>
      </c>
      <c r="G13" s="16">
        <v>14961</v>
      </c>
      <c r="H13" s="16">
        <v>1233</v>
      </c>
      <c r="I13" s="16">
        <v>1124</v>
      </c>
      <c r="J13" s="16">
        <v>2</v>
      </c>
      <c r="K13" s="16">
        <v>2</v>
      </c>
      <c r="L13" s="16">
        <f>IFERROR(INDEX(楼层配置!$D$5:$D$104,MATCH($K13,楼层配置!$B$5:$B$104,0)),"")</f>
        <v>18</v>
      </c>
      <c r="M13" s="16" t="str">
        <f>IFERROR(INDEX(_角色基线!$B$2:$B$100,MATCH($B13,_角色基线!$A$2:$A$100,0)),"")</f>
        <v>碎冰者</v>
      </c>
      <c r="N13" s="16" t="str">
        <f>IFERROR(INDEX(_角色基线!$C$2:$C$100,MATCH($B13,_角色基线!$A$2:$A$100,0)),"")</f>
        <v>DPS</v>
      </c>
      <c r="O13" s="16">
        <f>IFERROR(INDEX(_怪物基线!$B$2:$B$501,MATCH(INT($L13),_怪物基线!$A$2:$A$501,0)),"")</f>
        <v>2624</v>
      </c>
      <c r="P13" s="16">
        <f>IFERROR(INDEX(_怪物基线!$C$2:$C$501,MATCH(INT($L13),_怪物基线!$A$2:$A$501,0)),"")</f>
        <v>857</v>
      </c>
      <c r="Q13" s="16">
        <f>IFERROR(INDEX(_怪物基线!$D$2:$D$501,MATCH(INT($L13),_怪物基线!$A$2:$A$501,0)),"")</f>
        <v>1366</v>
      </c>
      <c r="R13" s="16">
        <f>参数!$B$10</f>
        <v>4</v>
      </c>
      <c r="S13" s="16">
        <f>参数!$C$10</f>
        <v>1.2</v>
      </c>
      <c r="T13" s="16">
        <f>参数!$D$10</f>
        <v>1</v>
      </c>
      <c r="U13" s="16">
        <f t="shared" si="0"/>
        <v>10496</v>
      </c>
      <c r="V13" s="16">
        <f t="shared" si="1"/>
        <v>1028.4</v>
      </c>
      <c r="W13" s="16">
        <f t="shared" si="2"/>
        <v>1366</v>
      </c>
      <c r="X13" s="16">
        <f>IFERROR(INDEX(参数!$B$5:$B$7,MATCH($N13,参数!$A$5:$A$7,0)),"")</f>
        <v>1</v>
      </c>
      <c r="Y13" s="16">
        <f>IFERROR(INDEX(参数!$C$5:$C$7,MATCH($N13,参数!$A$5:$A$7,0)),"")</f>
        <v>1.2</v>
      </c>
      <c r="Z13" s="16">
        <f>IFERROR(INDEX(参数!$D$5:$D$7,MATCH($N13,参数!$A$5:$A$7,0)),"")</f>
        <v>1</v>
      </c>
      <c r="AA13" s="16">
        <f>IFERROR(INDEX(楼层配置!$E$5:$E$104,MATCH($K13,楼层配置!$B$5:$B$104,0)),1)</f>
        <v>1.06638891711125</v>
      </c>
      <c r="AB13" s="16">
        <f>IFERROR(INDEX(楼层配置!$F$5:$F$104,MATCH($K13,楼层配置!$B$5:$B$104,0)),1)</f>
        <v>0.881697307575066</v>
      </c>
      <c r="AC13" s="16">
        <f>IFERROR(INDEX(楼层配置!$G$5:$G$104,MATCH($K13,楼层配置!$B$5:$B$104,0)),1)</f>
        <v>1</v>
      </c>
      <c r="AD13" s="18">
        <f t="shared" si="3"/>
        <v>-0.2518548225386</v>
      </c>
      <c r="AE13" s="18">
        <f t="shared" si="4"/>
        <v>-0.117599351175994</v>
      </c>
      <c r="AF13" s="18">
        <f t="shared" si="5"/>
        <v>0.215302491103203</v>
      </c>
      <c r="AG13" s="16" t="str">
        <f t="shared" si="6"/>
        <v>有效</v>
      </c>
      <c r="AH13">
        <f t="shared" si="7"/>
        <v>11830.06825</v>
      </c>
    </row>
    <row r="14" ht="14.25" customHeight="1" spans="1:34">
      <c r="A14" s="16">
        <v>10</v>
      </c>
      <c r="B14" s="16">
        <v>1036</v>
      </c>
      <c r="C14" s="16">
        <v>11</v>
      </c>
      <c r="D14" s="17">
        <f>IFERROR(ROUND($U14*$X14*$AA14*参数!$B$13,0),"")</f>
        <v>11193</v>
      </c>
      <c r="E14" s="17">
        <f>IFERROR(ROUND($V14*$Y14*$AB14*参数!$C$13,0),"")</f>
        <v>1088</v>
      </c>
      <c r="F14" s="17">
        <f>IFERROR(ROUND($W14*$Z14*$AC14*参数!$D$13,0),"")</f>
        <v>1366</v>
      </c>
      <c r="G14" s="16">
        <v>14961</v>
      </c>
      <c r="H14" s="16">
        <v>1233</v>
      </c>
      <c r="I14" s="16">
        <v>1124</v>
      </c>
      <c r="J14" s="16">
        <v>2</v>
      </c>
      <c r="K14" s="16">
        <v>2</v>
      </c>
      <c r="L14" s="16">
        <f>IFERROR(INDEX(楼层配置!$D$5:$D$104,MATCH($K14,楼层配置!$B$5:$B$104,0)),"")</f>
        <v>18</v>
      </c>
      <c r="M14" s="16" t="str">
        <f>IFERROR(INDEX(_角色基线!$B$2:$B$100,MATCH($B14,_角色基线!$A$2:$A$100,0)),"")</f>
        <v>霜狼法师</v>
      </c>
      <c r="N14" s="16" t="str">
        <f>IFERROR(INDEX(_角色基线!$C$2:$C$100,MATCH($B14,_角色基线!$A$2:$A$100,0)),"")</f>
        <v>DPS</v>
      </c>
      <c r="O14" s="16">
        <f>IFERROR(INDEX(_怪物基线!$B$2:$B$501,MATCH(INT($L14),_怪物基线!$A$2:$A$501,0)),"")</f>
        <v>2624</v>
      </c>
      <c r="P14" s="16">
        <f>IFERROR(INDEX(_怪物基线!$C$2:$C$501,MATCH(INT($L14),_怪物基线!$A$2:$A$501,0)),"")</f>
        <v>857</v>
      </c>
      <c r="Q14" s="16">
        <f>IFERROR(INDEX(_怪物基线!$D$2:$D$501,MATCH(INT($L14),_怪物基线!$A$2:$A$501,0)),"")</f>
        <v>1366</v>
      </c>
      <c r="R14" s="16">
        <f>参数!$B$10</f>
        <v>4</v>
      </c>
      <c r="S14" s="16">
        <f>参数!$C$10</f>
        <v>1.2</v>
      </c>
      <c r="T14" s="16">
        <f>参数!$D$10</f>
        <v>1</v>
      </c>
      <c r="U14" s="16">
        <f t="shared" si="0"/>
        <v>10496</v>
      </c>
      <c r="V14" s="16">
        <f t="shared" si="1"/>
        <v>1028.4</v>
      </c>
      <c r="W14" s="16">
        <f t="shared" si="2"/>
        <v>1366</v>
      </c>
      <c r="X14" s="16">
        <f>IFERROR(INDEX(参数!$B$5:$B$7,MATCH($N14,参数!$A$5:$A$7,0)),"")</f>
        <v>1</v>
      </c>
      <c r="Y14" s="16">
        <f>IFERROR(INDEX(参数!$C$5:$C$7,MATCH($N14,参数!$A$5:$A$7,0)),"")</f>
        <v>1.2</v>
      </c>
      <c r="Z14" s="16">
        <f>IFERROR(INDEX(参数!$D$5:$D$7,MATCH($N14,参数!$A$5:$A$7,0)),"")</f>
        <v>1</v>
      </c>
      <c r="AA14" s="16">
        <f>IFERROR(INDEX(楼层配置!$E$5:$E$104,MATCH($K14,楼层配置!$B$5:$B$104,0)),1)</f>
        <v>1.06638891711125</v>
      </c>
      <c r="AB14" s="16">
        <f>IFERROR(INDEX(楼层配置!$F$5:$F$104,MATCH($K14,楼层配置!$B$5:$B$104,0)),1)</f>
        <v>0.881697307575066</v>
      </c>
      <c r="AC14" s="16">
        <f>IFERROR(INDEX(楼层配置!$G$5:$G$104,MATCH($K14,楼层配置!$B$5:$B$104,0)),1)</f>
        <v>1</v>
      </c>
      <c r="AD14" s="18">
        <f t="shared" si="3"/>
        <v>-0.2518548225386</v>
      </c>
      <c r="AE14" s="18">
        <f t="shared" si="4"/>
        <v>-0.117599351175994</v>
      </c>
      <c r="AF14" s="18">
        <f t="shared" si="5"/>
        <v>0.215302491103203</v>
      </c>
      <c r="AG14" s="16" t="str">
        <f t="shared" si="6"/>
        <v>有效</v>
      </c>
      <c r="AH14">
        <f t="shared" si="7"/>
        <v>11830.06825</v>
      </c>
    </row>
    <row r="15" ht="14.25" customHeight="1" spans="1:34">
      <c r="A15" s="16">
        <v>11</v>
      </c>
      <c r="B15" s="16">
        <v>1002</v>
      </c>
      <c r="C15" s="16">
        <v>11</v>
      </c>
      <c r="D15" s="17">
        <f>IFERROR(ROUND($U15*$X15*$AA15*参数!$B$13,0),"")</f>
        <v>21843</v>
      </c>
      <c r="E15" s="17">
        <f>IFERROR(ROUND($V15*$Y15*$AB15*参数!$C$13,0),"")</f>
        <v>1105</v>
      </c>
      <c r="F15" s="17">
        <f>IFERROR(ROUND($W15*$Z15*$AC15*参数!$D$13,0),"")</f>
        <v>2519</v>
      </c>
      <c r="G15" s="16">
        <v>27900</v>
      </c>
      <c r="H15" s="16">
        <v>1213</v>
      </c>
      <c r="I15" s="16">
        <v>1982</v>
      </c>
      <c r="J15" s="16">
        <v>3</v>
      </c>
      <c r="K15" s="16">
        <v>3</v>
      </c>
      <c r="L15" s="16">
        <f>IFERROR(INDEX(楼层配置!$D$5:$D$104,MATCH($K15,楼层配置!$B$5:$B$104,0)),"")</f>
        <v>22</v>
      </c>
      <c r="M15" s="16" t="str">
        <f>IFERROR(INDEX(_角色基线!$B$2:$B$100,MATCH($B15,_角色基线!$A$2:$A$100,0)),"")</f>
        <v>大暑</v>
      </c>
      <c r="N15" s="16" t="str">
        <f>IFERROR(INDEX(_角色基线!$C$2:$C$100,MATCH($B15,_角色基线!$A$2:$A$100,0)),"")</f>
        <v>Tank</v>
      </c>
      <c r="O15" s="16">
        <f>IFERROR(INDEX(_怪物基线!$B$2:$B$501,MATCH(INT($L15),_怪物基线!$A$2:$A$501,0)),"")</f>
        <v>3435</v>
      </c>
      <c r="P15" s="16">
        <f>IFERROR(INDEX(_怪物基线!$C$2:$C$501,MATCH(INT($L15),_怪物基线!$A$2:$A$501,0)),"")</f>
        <v>1064</v>
      </c>
      <c r="Q15" s="16">
        <f>IFERROR(INDEX(_怪物基线!$D$2:$D$501,MATCH(INT($L15),_怪物基线!$A$2:$A$501,0)),"")</f>
        <v>1679</v>
      </c>
      <c r="R15" s="16">
        <f>参数!$B$10</f>
        <v>4</v>
      </c>
      <c r="S15" s="16">
        <f>参数!$C$10</f>
        <v>1.2</v>
      </c>
      <c r="T15" s="16">
        <f>参数!$D$10</f>
        <v>1</v>
      </c>
      <c r="U15" s="16">
        <f t="shared" si="0"/>
        <v>13740</v>
      </c>
      <c r="V15" s="16">
        <f t="shared" si="1"/>
        <v>1276.8</v>
      </c>
      <c r="W15" s="16">
        <f t="shared" si="2"/>
        <v>1679</v>
      </c>
      <c r="X15" s="16">
        <f>IFERROR(INDEX(参数!$B$5:$B$7,MATCH($N15,参数!$A$5:$A$7,0)),"")</f>
        <v>1.5</v>
      </c>
      <c r="Y15" s="16">
        <f>IFERROR(INDEX(参数!$C$5:$C$7,MATCH($N15,参数!$A$5:$A$7,0)),"")</f>
        <v>1</v>
      </c>
      <c r="Z15" s="16">
        <f>IFERROR(INDEX(参数!$D$5:$D$7,MATCH($N15,参数!$A$5:$A$7,0)),"")</f>
        <v>1.5</v>
      </c>
      <c r="AA15" s="16">
        <f>IFERROR(INDEX(楼层配置!$E$5:$E$104,MATCH($K15,楼层配置!$B$5:$B$104,0)),1)</f>
        <v>1.05982724415721</v>
      </c>
      <c r="AB15" s="16">
        <f>IFERROR(INDEX(楼层配置!$F$5:$F$104,MATCH($K15,楼层配置!$B$5:$B$104,0)),1)</f>
        <v>0.865250034404842</v>
      </c>
      <c r="AC15" s="16">
        <f>IFERROR(INDEX(楼层配置!$G$5:$G$104,MATCH($K15,楼层配置!$B$5:$B$104,0)),1)</f>
        <v>1</v>
      </c>
      <c r="AD15" s="18">
        <f t="shared" si="3"/>
        <v>-0.217096774193548</v>
      </c>
      <c r="AE15" s="18">
        <f t="shared" si="4"/>
        <v>-0.089035449299258</v>
      </c>
      <c r="AF15" s="18">
        <f t="shared" si="5"/>
        <v>0.270938446014127</v>
      </c>
      <c r="AG15" s="16" t="str">
        <f t="shared" si="6"/>
        <v>有效</v>
      </c>
      <c r="AH15">
        <f t="shared" si="7"/>
        <v>24135.604875</v>
      </c>
    </row>
    <row r="16" ht="14.25" customHeight="1" spans="1:34">
      <c r="A16" s="16">
        <v>12</v>
      </c>
      <c r="B16" s="16">
        <v>1002</v>
      </c>
      <c r="C16" s="16">
        <v>11</v>
      </c>
      <c r="D16" s="17">
        <f>IFERROR(ROUND($U16*$X16*$AA16*参数!$B$13,0),"")</f>
        <v>21843</v>
      </c>
      <c r="E16" s="17">
        <f>IFERROR(ROUND($V16*$Y16*$AB16*参数!$C$13,0),"")</f>
        <v>1105</v>
      </c>
      <c r="F16" s="17">
        <f>IFERROR(ROUND($W16*$Z16*$AC16*参数!$D$13,0),"")</f>
        <v>2519</v>
      </c>
      <c r="G16" s="16">
        <v>27900</v>
      </c>
      <c r="H16" s="16">
        <v>1213</v>
      </c>
      <c r="I16" s="16">
        <v>1982</v>
      </c>
      <c r="J16" s="16">
        <v>3</v>
      </c>
      <c r="K16" s="16">
        <v>3</v>
      </c>
      <c r="L16" s="16">
        <f>IFERROR(INDEX(楼层配置!$D$5:$D$104,MATCH($K16,楼层配置!$B$5:$B$104,0)),"")</f>
        <v>22</v>
      </c>
      <c r="M16" s="16" t="str">
        <f>IFERROR(INDEX(_角色基线!$B$2:$B$100,MATCH($B16,_角色基线!$A$2:$A$100,0)),"")</f>
        <v>大暑</v>
      </c>
      <c r="N16" s="16" t="str">
        <f>IFERROR(INDEX(_角色基线!$C$2:$C$100,MATCH($B16,_角色基线!$A$2:$A$100,0)),"")</f>
        <v>Tank</v>
      </c>
      <c r="O16" s="16">
        <f>IFERROR(INDEX(_怪物基线!$B$2:$B$501,MATCH(INT($L16),_怪物基线!$A$2:$A$501,0)),"")</f>
        <v>3435</v>
      </c>
      <c r="P16" s="16">
        <f>IFERROR(INDEX(_怪物基线!$C$2:$C$501,MATCH(INT($L16),_怪物基线!$A$2:$A$501,0)),"")</f>
        <v>1064</v>
      </c>
      <c r="Q16" s="16">
        <f>IFERROR(INDEX(_怪物基线!$D$2:$D$501,MATCH(INT($L16),_怪物基线!$A$2:$A$501,0)),"")</f>
        <v>1679</v>
      </c>
      <c r="R16" s="16">
        <f>参数!$B$10</f>
        <v>4</v>
      </c>
      <c r="S16" s="16">
        <f>参数!$C$10</f>
        <v>1.2</v>
      </c>
      <c r="T16" s="16">
        <f>参数!$D$10</f>
        <v>1</v>
      </c>
      <c r="U16" s="16">
        <f t="shared" si="0"/>
        <v>13740</v>
      </c>
      <c r="V16" s="16">
        <f t="shared" si="1"/>
        <v>1276.8</v>
      </c>
      <c r="W16" s="16">
        <f t="shared" si="2"/>
        <v>1679</v>
      </c>
      <c r="X16" s="16">
        <f>IFERROR(INDEX(参数!$B$5:$B$7,MATCH($N16,参数!$A$5:$A$7,0)),"")</f>
        <v>1.5</v>
      </c>
      <c r="Y16" s="16">
        <f>IFERROR(INDEX(参数!$C$5:$C$7,MATCH($N16,参数!$A$5:$A$7,0)),"")</f>
        <v>1</v>
      </c>
      <c r="Z16" s="16">
        <f>IFERROR(INDEX(参数!$D$5:$D$7,MATCH($N16,参数!$A$5:$A$7,0)),"")</f>
        <v>1.5</v>
      </c>
      <c r="AA16" s="16">
        <f>IFERROR(INDEX(楼层配置!$E$5:$E$104,MATCH($K16,楼层配置!$B$5:$B$104,0)),1)</f>
        <v>1.05982724415721</v>
      </c>
      <c r="AB16" s="16">
        <f>IFERROR(INDEX(楼层配置!$F$5:$F$104,MATCH($K16,楼层配置!$B$5:$B$104,0)),1)</f>
        <v>0.865250034404842</v>
      </c>
      <c r="AC16" s="16">
        <f>IFERROR(INDEX(楼层配置!$G$5:$G$104,MATCH($K16,楼层配置!$B$5:$B$104,0)),1)</f>
        <v>1</v>
      </c>
      <c r="AD16" s="18">
        <f t="shared" si="3"/>
        <v>-0.217096774193548</v>
      </c>
      <c r="AE16" s="18">
        <f t="shared" si="4"/>
        <v>-0.089035449299258</v>
      </c>
      <c r="AF16" s="18">
        <f t="shared" si="5"/>
        <v>0.270938446014127</v>
      </c>
      <c r="AG16" s="16" t="str">
        <f t="shared" si="6"/>
        <v>有效</v>
      </c>
      <c r="AH16">
        <f t="shared" si="7"/>
        <v>24135.604875</v>
      </c>
    </row>
    <row r="17" ht="14.25" customHeight="1" spans="1:34">
      <c r="A17" s="16">
        <v>13</v>
      </c>
      <c r="B17" s="16">
        <v>1002</v>
      </c>
      <c r="C17" s="16">
        <v>11</v>
      </c>
      <c r="D17" s="17">
        <f>IFERROR(ROUND($U17*$X17*$AA17*参数!$B$13,0),"")</f>
        <v>21843</v>
      </c>
      <c r="E17" s="17">
        <f>IFERROR(ROUND($V17*$Y17*$AB17*参数!$C$13,0),"")</f>
        <v>1105</v>
      </c>
      <c r="F17" s="17">
        <f>IFERROR(ROUND($W17*$Z17*$AC17*参数!$D$13,0),"")</f>
        <v>2519</v>
      </c>
      <c r="G17" s="16">
        <v>27900</v>
      </c>
      <c r="H17" s="16">
        <v>1213</v>
      </c>
      <c r="I17" s="16">
        <v>1982</v>
      </c>
      <c r="J17" s="16">
        <v>3</v>
      </c>
      <c r="K17" s="16">
        <v>3</v>
      </c>
      <c r="L17" s="16">
        <f>IFERROR(INDEX(楼层配置!$D$5:$D$104,MATCH($K17,楼层配置!$B$5:$B$104,0)),"")</f>
        <v>22</v>
      </c>
      <c r="M17" s="16" t="str">
        <f>IFERROR(INDEX(_角色基线!$B$2:$B$100,MATCH($B17,_角色基线!$A$2:$A$100,0)),"")</f>
        <v>大暑</v>
      </c>
      <c r="N17" s="16" t="str">
        <f>IFERROR(INDEX(_角色基线!$C$2:$C$100,MATCH($B17,_角色基线!$A$2:$A$100,0)),"")</f>
        <v>Tank</v>
      </c>
      <c r="O17" s="16">
        <f>IFERROR(INDEX(_怪物基线!$B$2:$B$501,MATCH(INT($L17),_怪物基线!$A$2:$A$501,0)),"")</f>
        <v>3435</v>
      </c>
      <c r="P17" s="16">
        <f>IFERROR(INDEX(_怪物基线!$C$2:$C$501,MATCH(INT($L17),_怪物基线!$A$2:$A$501,0)),"")</f>
        <v>1064</v>
      </c>
      <c r="Q17" s="16">
        <f>IFERROR(INDEX(_怪物基线!$D$2:$D$501,MATCH(INT($L17),_怪物基线!$A$2:$A$501,0)),"")</f>
        <v>1679</v>
      </c>
      <c r="R17" s="16">
        <f>参数!$B$10</f>
        <v>4</v>
      </c>
      <c r="S17" s="16">
        <f>参数!$C$10</f>
        <v>1.2</v>
      </c>
      <c r="T17" s="16">
        <f>参数!$D$10</f>
        <v>1</v>
      </c>
      <c r="U17" s="16">
        <f t="shared" si="0"/>
        <v>13740</v>
      </c>
      <c r="V17" s="16">
        <f t="shared" si="1"/>
        <v>1276.8</v>
      </c>
      <c r="W17" s="16">
        <f t="shared" si="2"/>
        <v>1679</v>
      </c>
      <c r="X17" s="16">
        <f>IFERROR(INDEX(参数!$B$5:$B$7,MATCH($N17,参数!$A$5:$A$7,0)),"")</f>
        <v>1.5</v>
      </c>
      <c r="Y17" s="16">
        <f>IFERROR(INDEX(参数!$C$5:$C$7,MATCH($N17,参数!$A$5:$A$7,0)),"")</f>
        <v>1</v>
      </c>
      <c r="Z17" s="16">
        <f>IFERROR(INDEX(参数!$D$5:$D$7,MATCH($N17,参数!$A$5:$A$7,0)),"")</f>
        <v>1.5</v>
      </c>
      <c r="AA17" s="16">
        <f>IFERROR(INDEX(楼层配置!$E$5:$E$104,MATCH($K17,楼层配置!$B$5:$B$104,0)),1)</f>
        <v>1.05982724415721</v>
      </c>
      <c r="AB17" s="16">
        <f>IFERROR(INDEX(楼层配置!$F$5:$F$104,MATCH($K17,楼层配置!$B$5:$B$104,0)),1)</f>
        <v>0.865250034404842</v>
      </c>
      <c r="AC17" s="16">
        <f>IFERROR(INDEX(楼层配置!$G$5:$G$104,MATCH($K17,楼层配置!$B$5:$B$104,0)),1)</f>
        <v>1</v>
      </c>
      <c r="AD17" s="18">
        <f t="shared" si="3"/>
        <v>-0.217096774193548</v>
      </c>
      <c r="AE17" s="18">
        <f t="shared" si="4"/>
        <v>-0.089035449299258</v>
      </c>
      <c r="AF17" s="18">
        <f t="shared" si="5"/>
        <v>0.270938446014127</v>
      </c>
      <c r="AG17" s="16" t="str">
        <f t="shared" si="6"/>
        <v>有效</v>
      </c>
      <c r="AH17">
        <f t="shared" si="7"/>
        <v>24135.604875</v>
      </c>
    </row>
    <row r="18" ht="14.25" customHeight="1" spans="1:34">
      <c r="A18" s="16">
        <v>14</v>
      </c>
      <c r="B18" s="16">
        <v>1011</v>
      </c>
      <c r="C18" s="16">
        <v>11</v>
      </c>
      <c r="D18" s="17">
        <f>IFERROR(ROUND($U18*$X18*$AA18*参数!$B$13,0),"")</f>
        <v>18203</v>
      </c>
      <c r="E18" s="17">
        <f>IFERROR(ROUND($V18*$Y18*$AB18*参数!$C$13,0),"")</f>
        <v>1105</v>
      </c>
      <c r="F18" s="17">
        <f>IFERROR(ROUND($W18*$Z18*$AC18*参数!$D$13,0),"")</f>
        <v>2099</v>
      </c>
      <c r="G18" s="16">
        <v>23250</v>
      </c>
      <c r="H18" s="16">
        <v>1213</v>
      </c>
      <c r="I18" s="16">
        <v>1652</v>
      </c>
      <c r="J18" s="16">
        <v>3</v>
      </c>
      <c r="K18" s="16">
        <v>3</v>
      </c>
      <c r="L18" s="16">
        <f>IFERROR(INDEX(楼层配置!$D$5:$D$104,MATCH($K18,楼层配置!$B$5:$B$104,0)),"")</f>
        <v>22</v>
      </c>
      <c r="M18" s="16" t="str">
        <f>IFERROR(INDEX(_角色基线!$B$2:$B$100,MATCH($B18,_角色基线!$A$2:$A$100,0)),"")</f>
        <v>陈双双</v>
      </c>
      <c r="N18" s="16" t="str">
        <f>IFERROR(INDEX(_角色基线!$C$2:$C$100,MATCH($B18,_角色基线!$A$2:$A$100,0)),"")</f>
        <v>Support</v>
      </c>
      <c r="O18" s="16">
        <f>IFERROR(INDEX(_怪物基线!$B$2:$B$501,MATCH(INT($L18),_怪物基线!$A$2:$A$501,0)),"")</f>
        <v>3435</v>
      </c>
      <c r="P18" s="16">
        <f>IFERROR(INDEX(_怪物基线!$C$2:$C$501,MATCH(INT($L18),_怪物基线!$A$2:$A$501,0)),"")</f>
        <v>1064</v>
      </c>
      <c r="Q18" s="16">
        <f>IFERROR(INDEX(_怪物基线!$D$2:$D$501,MATCH(INT($L18),_怪物基线!$A$2:$A$501,0)),"")</f>
        <v>1679</v>
      </c>
      <c r="R18" s="16">
        <f>参数!$B$10</f>
        <v>4</v>
      </c>
      <c r="S18" s="16">
        <f>参数!$C$10</f>
        <v>1.2</v>
      </c>
      <c r="T18" s="16">
        <f>参数!$D$10</f>
        <v>1</v>
      </c>
      <c r="U18" s="16">
        <f t="shared" si="0"/>
        <v>13740</v>
      </c>
      <c r="V18" s="16">
        <f t="shared" si="1"/>
        <v>1276.8</v>
      </c>
      <c r="W18" s="16">
        <f t="shared" si="2"/>
        <v>1679</v>
      </c>
      <c r="X18" s="16">
        <f>IFERROR(INDEX(参数!$B$5:$B$7,MATCH($N18,参数!$A$5:$A$7,0)),"")</f>
        <v>1.25</v>
      </c>
      <c r="Y18" s="16">
        <f>IFERROR(INDEX(参数!$C$5:$C$7,MATCH($N18,参数!$A$5:$A$7,0)),"")</f>
        <v>1</v>
      </c>
      <c r="Z18" s="16">
        <f>IFERROR(INDEX(参数!$D$5:$D$7,MATCH($N18,参数!$A$5:$A$7,0)),"")</f>
        <v>1.25</v>
      </c>
      <c r="AA18" s="16">
        <f>IFERROR(INDEX(楼层配置!$E$5:$E$104,MATCH($K18,楼层配置!$B$5:$B$104,0)),1)</f>
        <v>1.05982724415721</v>
      </c>
      <c r="AB18" s="16">
        <f>IFERROR(INDEX(楼层配置!$F$5:$F$104,MATCH($K18,楼层配置!$B$5:$B$104,0)),1)</f>
        <v>0.865250034404842</v>
      </c>
      <c r="AC18" s="16">
        <f>IFERROR(INDEX(楼层配置!$G$5:$G$104,MATCH($K18,楼层配置!$B$5:$B$104,0)),1)</f>
        <v>1</v>
      </c>
      <c r="AD18" s="18">
        <f t="shared" si="3"/>
        <v>-0.217075268817204</v>
      </c>
      <c r="AE18" s="18">
        <f t="shared" si="4"/>
        <v>-0.089035449299258</v>
      </c>
      <c r="AF18" s="18">
        <f t="shared" si="5"/>
        <v>0.270581113801453</v>
      </c>
      <c r="AG18" s="16" t="str">
        <f t="shared" si="6"/>
        <v>有效</v>
      </c>
      <c r="AH18">
        <f t="shared" si="7"/>
        <v>19795.0040416667</v>
      </c>
    </row>
    <row r="19" ht="14.25" customHeight="1" spans="1:34">
      <c r="A19" s="16">
        <v>15</v>
      </c>
      <c r="B19" s="16">
        <v>1015</v>
      </c>
      <c r="C19" s="16">
        <v>11</v>
      </c>
      <c r="D19" s="17">
        <f>IFERROR(ROUND($U19*$X19*$AA19*参数!$B$13,0),"")</f>
        <v>18203</v>
      </c>
      <c r="E19" s="17">
        <f>IFERROR(ROUND($V19*$Y19*$AB19*参数!$C$13,0),"")</f>
        <v>1105</v>
      </c>
      <c r="F19" s="17">
        <f>IFERROR(ROUND($W19*$Z19*$AC19*参数!$D$13,0),"")</f>
        <v>2099</v>
      </c>
      <c r="G19" s="16">
        <v>23250</v>
      </c>
      <c r="H19" s="16">
        <v>1213</v>
      </c>
      <c r="I19" s="16">
        <v>1652</v>
      </c>
      <c r="J19" s="16">
        <v>3</v>
      </c>
      <c r="K19" s="16">
        <v>3</v>
      </c>
      <c r="L19" s="16">
        <f>IFERROR(INDEX(楼层配置!$D$5:$D$104,MATCH($K19,楼层配置!$B$5:$B$104,0)),"")</f>
        <v>22</v>
      </c>
      <c r="M19" s="16" t="str">
        <f>IFERROR(INDEX(_角色基线!$B$2:$B$100,MATCH($B19,_角色基线!$A$2:$A$100,0)),"")</f>
        <v>阿莱克西娅</v>
      </c>
      <c r="N19" s="16" t="str">
        <f>IFERROR(INDEX(_角色基线!$C$2:$C$100,MATCH($B19,_角色基线!$A$2:$A$100,0)),"")</f>
        <v>Support</v>
      </c>
      <c r="O19" s="16">
        <f>IFERROR(INDEX(_怪物基线!$B$2:$B$501,MATCH(INT($L19),_怪物基线!$A$2:$A$501,0)),"")</f>
        <v>3435</v>
      </c>
      <c r="P19" s="16">
        <f>IFERROR(INDEX(_怪物基线!$C$2:$C$501,MATCH(INT($L19),_怪物基线!$A$2:$A$501,0)),"")</f>
        <v>1064</v>
      </c>
      <c r="Q19" s="16">
        <f>IFERROR(INDEX(_怪物基线!$D$2:$D$501,MATCH(INT($L19),_怪物基线!$A$2:$A$501,0)),"")</f>
        <v>1679</v>
      </c>
      <c r="R19" s="16">
        <f>参数!$B$10</f>
        <v>4</v>
      </c>
      <c r="S19" s="16">
        <f>参数!$C$10</f>
        <v>1.2</v>
      </c>
      <c r="T19" s="16">
        <f>参数!$D$10</f>
        <v>1</v>
      </c>
      <c r="U19" s="16">
        <f t="shared" si="0"/>
        <v>13740</v>
      </c>
      <c r="V19" s="16">
        <f t="shared" si="1"/>
        <v>1276.8</v>
      </c>
      <c r="W19" s="16">
        <f t="shared" si="2"/>
        <v>1679</v>
      </c>
      <c r="X19" s="16">
        <f>IFERROR(INDEX(参数!$B$5:$B$7,MATCH($N19,参数!$A$5:$A$7,0)),"")</f>
        <v>1.25</v>
      </c>
      <c r="Y19" s="16">
        <f>IFERROR(INDEX(参数!$C$5:$C$7,MATCH($N19,参数!$A$5:$A$7,0)),"")</f>
        <v>1</v>
      </c>
      <c r="Z19" s="16">
        <f>IFERROR(INDEX(参数!$D$5:$D$7,MATCH($N19,参数!$A$5:$A$7,0)),"")</f>
        <v>1.25</v>
      </c>
      <c r="AA19" s="16">
        <f>IFERROR(INDEX(楼层配置!$E$5:$E$104,MATCH($K19,楼层配置!$B$5:$B$104,0)),1)</f>
        <v>1.05982724415721</v>
      </c>
      <c r="AB19" s="16">
        <f>IFERROR(INDEX(楼层配置!$F$5:$F$104,MATCH($K19,楼层配置!$B$5:$B$104,0)),1)</f>
        <v>0.865250034404842</v>
      </c>
      <c r="AC19" s="16">
        <f>IFERROR(INDEX(楼层配置!$G$5:$G$104,MATCH($K19,楼层配置!$B$5:$B$104,0)),1)</f>
        <v>1</v>
      </c>
      <c r="AD19" s="18">
        <f t="shared" si="3"/>
        <v>-0.217075268817204</v>
      </c>
      <c r="AE19" s="18">
        <f t="shared" si="4"/>
        <v>-0.089035449299258</v>
      </c>
      <c r="AF19" s="18">
        <f t="shared" si="5"/>
        <v>0.270581113801453</v>
      </c>
      <c r="AG19" s="16" t="str">
        <f t="shared" si="6"/>
        <v>有效</v>
      </c>
      <c r="AH19">
        <f t="shared" si="7"/>
        <v>19795.0040416667</v>
      </c>
    </row>
    <row r="20" ht="14.25" customHeight="1" spans="1:34">
      <c r="A20" s="16">
        <v>16</v>
      </c>
      <c r="B20" s="16">
        <v>1035</v>
      </c>
      <c r="C20" s="16">
        <v>12</v>
      </c>
      <c r="D20" s="17">
        <f>IFERROR(ROUND($U20*$X20*$AA20*参数!$B$13,0),"")</f>
        <v>17861</v>
      </c>
      <c r="E20" s="17">
        <f>IFERROR(ROUND($V20*$Y20*$AB20*参数!$C$13,0),"")</f>
        <v>1530</v>
      </c>
      <c r="F20" s="17">
        <f>IFERROR(ROUND($W20*$Z20*$AC20*参数!$D$13,0),"")</f>
        <v>1917</v>
      </c>
      <c r="G20" s="16">
        <v>22555</v>
      </c>
      <c r="H20" s="16">
        <v>1680</v>
      </c>
      <c r="I20" s="16">
        <v>1522</v>
      </c>
      <c r="J20" s="16">
        <v>4</v>
      </c>
      <c r="K20" s="16">
        <v>4</v>
      </c>
      <c r="L20" s="16">
        <f>IFERROR(INDEX(楼层配置!$D$5:$D$104,MATCH($K20,楼层配置!$B$5:$B$104,0)),"")</f>
        <v>25</v>
      </c>
      <c r="M20" s="16" t="str">
        <f>IFERROR(INDEX(_角色基线!$B$2:$B$100,MATCH($B20,_角色基线!$A$2:$A$100,0)),"")</f>
        <v>碎冰者</v>
      </c>
      <c r="N20" s="16" t="str">
        <f>IFERROR(INDEX(_角色基线!$C$2:$C$100,MATCH($B20,_角色基线!$A$2:$A$100,0)),"")</f>
        <v>DPS</v>
      </c>
      <c r="O20" s="16">
        <f>IFERROR(INDEX(_怪物基线!$B$2:$B$501,MATCH(INT($L20),_怪物基线!$A$2:$A$501,0)),"")</f>
        <v>4096</v>
      </c>
      <c r="P20" s="16">
        <f>IFERROR(INDEX(_怪物基线!$C$2:$C$501,MATCH(INT($L20),_怪物基线!$A$2:$A$501,0)),"")</f>
        <v>1225</v>
      </c>
      <c r="Q20" s="16">
        <f>IFERROR(INDEX(_怪物基线!$D$2:$D$501,MATCH(INT($L20),_怪物基线!$A$2:$A$501,0)),"")</f>
        <v>1917</v>
      </c>
      <c r="R20" s="16">
        <f>参数!$B$10</f>
        <v>4</v>
      </c>
      <c r="S20" s="16">
        <f>参数!$C$10</f>
        <v>1.2</v>
      </c>
      <c r="T20" s="16">
        <f>参数!$D$10</f>
        <v>1</v>
      </c>
      <c r="U20" s="16">
        <f t="shared" si="0"/>
        <v>16384</v>
      </c>
      <c r="V20" s="16">
        <f t="shared" si="1"/>
        <v>1470</v>
      </c>
      <c r="W20" s="16">
        <f t="shared" si="2"/>
        <v>1917</v>
      </c>
      <c r="X20" s="16">
        <f>IFERROR(INDEX(参数!$B$5:$B$7,MATCH($N20,参数!$A$5:$A$7,0)),"")</f>
        <v>1</v>
      </c>
      <c r="Y20" s="16">
        <f>IFERROR(INDEX(参数!$C$5:$C$7,MATCH($N20,参数!$A$5:$A$7,0)),"")</f>
        <v>1.2</v>
      </c>
      <c r="Z20" s="16">
        <f>IFERROR(INDEX(参数!$D$5:$D$7,MATCH($N20,参数!$A$5:$A$7,0)),"")</f>
        <v>1</v>
      </c>
      <c r="AA20" s="16">
        <f>IFERROR(INDEX(楼层配置!$E$5:$E$104,MATCH($K20,楼层配置!$B$5:$B$104,0)),1)</f>
        <v>1.09014995868719</v>
      </c>
      <c r="AB20" s="16">
        <f>IFERROR(INDEX(楼层配置!$F$5:$F$104,MATCH($K20,楼层配置!$B$5:$B$104,0)),1)</f>
        <v>0.86749593133069</v>
      </c>
      <c r="AC20" s="16">
        <f>IFERROR(INDEX(楼层配置!$G$5:$G$104,MATCH($K20,楼层配置!$B$5:$B$104,0)),1)</f>
        <v>1</v>
      </c>
      <c r="AD20" s="18">
        <f t="shared" si="3"/>
        <v>-0.208113500332521</v>
      </c>
      <c r="AE20" s="18">
        <f t="shared" si="4"/>
        <v>-0.0892857142857143</v>
      </c>
      <c r="AF20" s="18">
        <f t="shared" si="5"/>
        <v>0.259526938239159</v>
      </c>
      <c r="AG20" s="16" t="str">
        <f t="shared" si="6"/>
        <v>有效</v>
      </c>
      <c r="AH20">
        <f t="shared" si="7"/>
        <v>19287.647375</v>
      </c>
    </row>
    <row r="21" ht="14.25" customHeight="1" spans="1:34">
      <c r="A21" s="16">
        <v>17</v>
      </c>
      <c r="B21" s="16">
        <v>1037</v>
      </c>
      <c r="C21" s="16">
        <v>12</v>
      </c>
      <c r="D21" s="17">
        <f>IFERROR(ROUND($U21*$X21*$AA21*参数!$B$13,0),"")</f>
        <v>17861</v>
      </c>
      <c r="E21" s="17">
        <f>IFERROR(ROUND($V21*$Y21*$AB21*参数!$C$13,0),"")</f>
        <v>1530</v>
      </c>
      <c r="F21" s="17">
        <f>IFERROR(ROUND($W21*$Z21*$AC21*参数!$D$13,0),"")</f>
        <v>1917</v>
      </c>
      <c r="G21" s="16">
        <v>22555</v>
      </c>
      <c r="H21" s="16">
        <v>1680</v>
      </c>
      <c r="I21" s="16">
        <v>1522</v>
      </c>
      <c r="J21" s="16">
        <v>4</v>
      </c>
      <c r="K21" s="16">
        <v>4</v>
      </c>
      <c r="L21" s="16">
        <f>IFERROR(INDEX(楼层配置!$D$5:$D$104,MATCH($K21,楼层配置!$B$5:$B$104,0)),"")</f>
        <v>25</v>
      </c>
      <c r="M21" s="16" t="str">
        <f>IFERROR(INDEX(_角色基线!$B$2:$B$100,MATCH($B21,_角色基线!$A$2:$A$100,0)),"")</f>
        <v>霜狼战士</v>
      </c>
      <c r="N21" s="16" t="str">
        <f>IFERROR(INDEX(_角色基线!$C$2:$C$100,MATCH($B21,_角色基线!$A$2:$A$100,0)),"")</f>
        <v>DPS</v>
      </c>
      <c r="O21" s="16">
        <f>IFERROR(INDEX(_怪物基线!$B$2:$B$501,MATCH(INT($L21),_怪物基线!$A$2:$A$501,0)),"")</f>
        <v>4096</v>
      </c>
      <c r="P21" s="16">
        <f>IFERROR(INDEX(_怪物基线!$C$2:$C$501,MATCH(INT($L21),_怪物基线!$A$2:$A$501,0)),"")</f>
        <v>1225</v>
      </c>
      <c r="Q21" s="16">
        <f>IFERROR(INDEX(_怪物基线!$D$2:$D$501,MATCH(INT($L21),_怪物基线!$A$2:$A$501,0)),"")</f>
        <v>1917</v>
      </c>
      <c r="R21" s="16">
        <f>参数!$B$10</f>
        <v>4</v>
      </c>
      <c r="S21" s="16">
        <f>参数!$C$10</f>
        <v>1.2</v>
      </c>
      <c r="T21" s="16">
        <f>参数!$D$10</f>
        <v>1</v>
      </c>
      <c r="U21" s="16">
        <f t="shared" si="0"/>
        <v>16384</v>
      </c>
      <c r="V21" s="16">
        <f t="shared" si="1"/>
        <v>1470</v>
      </c>
      <c r="W21" s="16">
        <f t="shared" si="2"/>
        <v>1917</v>
      </c>
      <c r="X21" s="16">
        <f>IFERROR(INDEX(参数!$B$5:$B$7,MATCH($N21,参数!$A$5:$A$7,0)),"")</f>
        <v>1</v>
      </c>
      <c r="Y21" s="16">
        <f>IFERROR(INDEX(参数!$C$5:$C$7,MATCH($N21,参数!$A$5:$A$7,0)),"")</f>
        <v>1.2</v>
      </c>
      <c r="Z21" s="16">
        <f>IFERROR(INDEX(参数!$D$5:$D$7,MATCH($N21,参数!$A$5:$A$7,0)),"")</f>
        <v>1</v>
      </c>
      <c r="AA21" s="16">
        <f>IFERROR(INDEX(楼层配置!$E$5:$E$104,MATCH($K21,楼层配置!$B$5:$B$104,0)),1)</f>
        <v>1.09014995868719</v>
      </c>
      <c r="AB21" s="16">
        <f>IFERROR(INDEX(楼层配置!$F$5:$F$104,MATCH($K21,楼层配置!$B$5:$B$104,0)),1)</f>
        <v>0.86749593133069</v>
      </c>
      <c r="AC21" s="16">
        <f>IFERROR(INDEX(楼层配置!$G$5:$G$104,MATCH($K21,楼层配置!$B$5:$B$104,0)),1)</f>
        <v>1</v>
      </c>
      <c r="AD21" s="18">
        <f t="shared" si="3"/>
        <v>-0.208113500332521</v>
      </c>
      <c r="AE21" s="18">
        <f t="shared" si="4"/>
        <v>-0.0892857142857143</v>
      </c>
      <c r="AF21" s="18">
        <f t="shared" si="5"/>
        <v>0.259526938239159</v>
      </c>
      <c r="AG21" s="16" t="str">
        <f t="shared" si="6"/>
        <v>有效</v>
      </c>
      <c r="AH21">
        <f t="shared" si="7"/>
        <v>19287.647375</v>
      </c>
    </row>
    <row r="22" ht="14.25" customHeight="1" spans="1:34">
      <c r="A22" s="16">
        <v>18</v>
      </c>
      <c r="B22" s="16">
        <v>1014</v>
      </c>
      <c r="C22" s="16">
        <v>12</v>
      </c>
      <c r="D22" s="17">
        <f>IFERROR(ROUND($U22*$X22*$AA22*参数!$B$13,0),"")</f>
        <v>17861</v>
      </c>
      <c r="E22" s="17">
        <f>IFERROR(ROUND($V22*$Y22*$AB22*参数!$C$13,0),"")</f>
        <v>1530</v>
      </c>
      <c r="F22" s="17">
        <f>IFERROR(ROUND($W22*$Z22*$AC22*参数!$D$13,0),"")</f>
        <v>1917</v>
      </c>
      <c r="G22" s="16">
        <v>22555</v>
      </c>
      <c r="H22" s="16">
        <v>1680</v>
      </c>
      <c r="I22" s="16">
        <v>1522</v>
      </c>
      <c r="J22" s="16">
        <v>4</v>
      </c>
      <c r="K22" s="16">
        <v>4</v>
      </c>
      <c r="L22" s="16">
        <f>IFERROR(INDEX(楼层配置!$D$5:$D$104,MATCH($K22,楼层配置!$B$5:$B$104,0)),"")</f>
        <v>25</v>
      </c>
      <c r="M22" s="16" t="str">
        <f>IFERROR(INDEX(_角色基线!$B$2:$B$100,MATCH($B22,_角色基线!$A$2:$A$100,0)),"")</f>
        <v>克莉丝汀</v>
      </c>
      <c r="N22" s="16" t="str">
        <f>IFERROR(INDEX(_角色基线!$C$2:$C$100,MATCH($B22,_角色基线!$A$2:$A$100,0)),"")</f>
        <v>DPS</v>
      </c>
      <c r="O22" s="16">
        <f>IFERROR(INDEX(_怪物基线!$B$2:$B$501,MATCH(INT($L22),_怪物基线!$A$2:$A$501,0)),"")</f>
        <v>4096</v>
      </c>
      <c r="P22" s="16">
        <f>IFERROR(INDEX(_怪物基线!$C$2:$C$501,MATCH(INT($L22),_怪物基线!$A$2:$A$501,0)),"")</f>
        <v>1225</v>
      </c>
      <c r="Q22" s="16">
        <f>IFERROR(INDEX(_怪物基线!$D$2:$D$501,MATCH(INT($L22),_怪物基线!$A$2:$A$501,0)),"")</f>
        <v>1917</v>
      </c>
      <c r="R22" s="16">
        <f>参数!$B$10</f>
        <v>4</v>
      </c>
      <c r="S22" s="16">
        <f>参数!$C$10</f>
        <v>1.2</v>
      </c>
      <c r="T22" s="16">
        <f>参数!$D$10</f>
        <v>1</v>
      </c>
      <c r="U22" s="16">
        <f t="shared" si="0"/>
        <v>16384</v>
      </c>
      <c r="V22" s="16">
        <f t="shared" si="1"/>
        <v>1470</v>
      </c>
      <c r="W22" s="16">
        <f t="shared" si="2"/>
        <v>1917</v>
      </c>
      <c r="X22" s="16">
        <f>IFERROR(INDEX(参数!$B$5:$B$7,MATCH($N22,参数!$A$5:$A$7,0)),"")</f>
        <v>1</v>
      </c>
      <c r="Y22" s="16">
        <f>IFERROR(INDEX(参数!$C$5:$C$7,MATCH($N22,参数!$A$5:$A$7,0)),"")</f>
        <v>1.2</v>
      </c>
      <c r="Z22" s="16">
        <f>IFERROR(INDEX(参数!$D$5:$D$7,MATCH($N22,参数!$A$5:$A$7,0)),"")</f>
        <v>1</v>
      </c>
      <c r="AA22" s="16">
        <f>IFERROR(INDEX(楼层配置!$E$5:$E$104,MATCH($K22,楼层配置!$B$5:$B$104,0)),1)</f>
        <v>1.09014995868719</v>
      </c>
      <c r="AB22" s="16">
        <f>IFERROR(INDEX(楼层配置!$F$5:$F$104,MATCH($K22,楼层配置!$B$5:$B$104,0)),1)</f>
        <v>0.86749593133069</v>
      </c>
      <c r="AC22" s="16">
        <f>IFERROR(INDEX(楼层配置!$G$5:$G$104,MATCH($K22,楼层配置!$B$5:$B$104,0)),1)</f>
        <v>1</v>
      </c>
      <c r="AD22" s="18">
        <f t="shared" si="3"/>
        <v>-0.208113500332521</v>
      </c>
      <c r="AE22" s="18">
        <f t="shared" si="4"/>
        <v>-0.0892857142857143</v>
      </c>
      <c r="AF22" s="18">
        <f t="shared" si="5"/>
        <v>0.259526938239159</v>
      </c>
      <c r="AG22" s="16" t="str">
        <f t="shared" si="6"/>
        <v>有效</v>
      </c>
      <c r="AH22">
        <f t="shared" si="7"/>
        <v>19287.647375</v>
      </c>
    </row>
    <row r="23" ht="14.25" customHeight="1" spans="1:34">
      <c r="A23" s="16">
        <v>19</v>
      </c>
      <c r="B23" s="16">
        <v>1036</v>
      </c>
      <c r="C23" s="16">
        <v>12</v>
      </c>
      <c r="D23" s="17">
        <f>IFERROR(ROUND($U23*$X23*$AA23*参数!$B$13,0),"")</f>
        <v>17861</v>
      </c>
      <c r="E23" s="17">
        <f>IFERROR(ROUND($V23*$Y23*$AB23*参数!$C$13,0),"")</f>
        <v>1530</v>
      </c>
      <c r="F23" s="17">
        <f>IFERROR(ROUND($W23*$Z23*$AC23*参数!$D$13,0),"")</f>
        <v>1917</v>
      </c>
      <c r="G23" s="16">
        <v>22555</v>
      </c>
      <c r="H23" s="16">
        <v>1680</v>
      </c>
      <c r="I23" s="16">
        <v>1522</v>
      </c>
      <c r="J23" s="16">
        <v>4</v>
      </c>
      <c r="K23" s="16">
        <v>4</v>
      </c>
      <c r="L23" s="16">
        <f>IFERROR(INDEX(楼层配置!$D$5:$D$104,MATCH($K23,楼层配置!$B$5:$B$104,0)),"")</f>
        <v>25</v>
      </c>
      <c r="M23" s="16" t="str">
        <f>IFERROR(INDEX(_角色基线!$B$2:$B$100,MATCH($B23,_角色基线!$A$2:$A$100,0)),"")</f>
        <v>霜狼法师</v>
      </c>
      <c r="N23" s="16" t="str">
        <f>IFERROR(INDEX(_角色基线!$C$2:$C$100,MATCH($B23,_角色基线!$A$2:$A$100,0)),"")</f>
        <v>DPS</v>
      </c>
      <c r="O23" s="16">
        <f>IFERROR(INDEX(_怪物基线!$B$2:$B$501,MATCH(INT($L23),_怪物基线!$A$2:$A$501,0)),"")</f>
        <v>4096</v>
      </c>
      <c r="P23" s="16">
        <f>IFERROR(INDEX(_怪物基线!$C$2:$C$501,MATCH(INT($L23),_怪物基线!$A$2:$A$501,0)),"")</f>
        <v>1225</v>
      </c>
      <c r="Q23" s="16">
        <f>IFERROR(INDEX(_怪物基线!$D$2:$D$501,MATCH(INT($L23),_怪物基线!$A$2:$A$501,0)),"")</f>
        <v>1917</v>
      </c>
      <c r="R23" s="16">
        <f>参数!$B$10</f>
        <v>4</v>
      </c>
      <c r="S23" s="16">
        <f>参数!$C$10</f>
        <v>1.2</v>
      </c>
      <c r="T23" s="16">
        <f>参数!$D$10</f>
        <v>1</v>
      </c>
      <c r="U23" s="16">
        <f t="shared" si="0"/>
        <v>16384</v>
      </c>
      <c r="V23" s="16">
        <f t="shared" si="1"/>
        <v>1470</v>
      </c>
      <c r="W23" s="16">
        <f t="shared" si="2"/>
        <v>1917</v>
      </c>
      <c r="X23" s="16">
        <f>IFERROR(INDEX(参数!$B$5:$B$7,MATCH($N23,参数!$A$5:$A$7,0)),"")</f>
        <v>1</v>
      </c>
      <c r="Y23" s="16">
        <f>IFERROR(INDEX(参数!$C$5:$C$7,MATCH($N23,参数!$A$5:$A$7,0)),"")</f>
        <v>1.2</v>
      </c>
      <c r="Z23" s="16">
        <f>IFERROR(INDEX(参数!$D$5:$D$7,MATCH($N23,参数!$A$5:$A$7,0)),"")</f>
        <v>1</v>
      </c>
      <c r="AA23" s="16">
        <f>IFERROR(INDEX(楼层配置!$E$5:$E$104,MATCH($K23,楼层配置!$B$5:$B$104,0)),1)</f>
        <v>1.09014995868719</v>
      </c>
      <c r="AB23" s="16">
        <f>IFERROR(INDEX(楼层配置!$F$5:$F$104,MATCH($K23,楼层配置!$B$5:$B$104,0)),1)</f>
        <v>0.86749593133069</v>
      </c>
      <c r="AC23" s="16">
        <f>IFERROR(INDEX(楼层配置!$G$5:$G$104,MATCH($K23,楼层配置!$B$5:$B$104,0)),1)</f>
        <v>1</v>
      </c>
      <c r="AD23" s="18">
        <f t="shared" si="3"/>
        <v>-0.208113500332521</v>
      </c>
      <c r="AE23" s="18">
        <f t="shared" si="4"/>
        <v>-0.0892857142857143</v>
      </c>
      <c r="AF23" s="18">
        <f t="shared" si="5"/>
        <v>0.259526938239159</v>
      </c>
      <c r="AG23" s="16" t="str">
        <f t="shared" si="6"/>
        <v>有效</v>
      </c>
      <c r="AH23">
        <f t="shared" si="7"/>
        <v>19287.647375</v>
      </c>
    </row>
    <row r="24" ht="14.25" customHeight="1" spans="1:34">
      <c r="A24" s="16">
        <v>20</v>
      </c>
      <c r="B24" s="16">
        <v>1015</v>
      </c>
      <c r="C24" s="16">
        <v>12</v>
      </c>
      <c r="D24" s="17">
        <f>IFERROR(ROUND($U24*$X24*$AA24*参数!$B$13,0),"")</f>
        <v>22326</v>
      </c>
      <c r="E24" s="17">
        <f>IFERROR(ROUND($V24*$Y24*$AB24*参数!$C$13,0),"")</f>
        <v>1275</v>
      </c>
      <c r="F24" s="17">
        <f>IFERROR(ROUND($W24*$Z24*$AC24*参数!$D$13,0),"")</f>
        <v>2396</v>
      </c>
      <c r="G24" s="16">
        <v>28194</v>
      </c>
      <c r="H24" s="16">
        <v>1400</v>
      </c>
      <c r="I24" s="16">
        <v>1903</v>
      </c>
      <c r="J24" s="16">
        <v>4</v>
      </c>
      <c r="K24" s="16">
        <v>4</v>
      </c>
      <c r="L24" s="16">
        <f>IFERROR(INDEX(楼层配置!$D$5:$D$104,MATCH($K24,楼层配置!$B$5:$B$104,0)),"")</f>
        <v>25</v>
      </c>
      <c r="M24" s="16" t="str">
        <f>IFERROR(INDEX(_角色基线!$B$2:$B$100,MATCH($B24,_角色基线!$A$2:$A$100,0)),"")</f>
        <v>阿莱克西娅</v>
      </c>
      <c r="N24" s="16" t="str">
        <f>IFERROR(INDEX(_角色基线!$C$2:$C$100,MATCH($B24,_角色基线!$A$2:$A$100,0)),"")</f>
        <v>Support</v>
      </c>
      <c r="O24" s="16">
        <f>IFERROR(INDEX(_怪物基线!$B$2:$B$501,MATCH(INT($L24),_怪物基线!$A$2:$A$501,0)),"")</f>
        <v>4096</v>
      </c>
      <c r="P24" s="16">
        <f>IFERROR(INDEX(_怪物基线!$C$2:$C$501,MATCH(INT($L24),_怪物基线!$A$2:$A$501,0)),"")</f>
        <v>1225</v>
      </c>
      <c r="Q24" s="16">
        <f>IFERROR(INDEX(_怪物基线!$D$2:$D$501,MATCH(INT($L24),_怪物基线!$A$2:$A$501,0)),"")</f>
        <v>1917</v>
      </c>
      <c r="R24" s="16">
        <f>参数!$B$10</f>
        <v>4</v>
      </c>
      <c r="S24" s="16">
        <f>参数!$C$10</f>
        <v>1.2</v>
      </c>
      <c r="T24" s="16">
        <f>参数!$D$10</f>
        <v>1</v>
      </c>
      <c r="U24" s="16">
        <f t="shared" si="0"/>
        <v>16384</v>
      </c>
      <c r="V24" s="16">
        <f t="shared" si="1"/>
        <v>1470</v>
      </c>
      <c r="W24" s="16">
        <f t="shared" si="2"/>
        <v>1917</v>
      </c>
      <c r="X24" s="16">
        <f>IFERROR(INDEX(参数!$B$5:$B$7,MATCH($N24,参数!$A$5:$A$7,0)),"")</f>
        <v>1.25</v>
      </c>
      <c r="Y24" s="16">
        <f>IFERROR(INDEX(参数!$C$5:$C$7,MATCH($N24,参数!$A$5:$A$7,0)),"")</f>
        <v>1</v>
      </c>
      <c r="Z24" s="16">
        <f>IFERROR(INDEX(参数!$D$5:$D$7,MATCH($N24,参数!$A$5:$A$7,0)),"")</f>
        <v>1.25</v>
      </c>
      <c r="AA24" s="16">
        <f>IFERROR(INDEX(楼层配置!$E$5:$E$104,MATCH($K24,楼层配置!$B$5:$B$104,0)),1)</f>
        <v>1.09014995868719</v>
      </c>
      <c r="AB24" s="16">
        <f>IFERROR(INDEX(楼层配置!$F$5:$F$104,MATCH($K24,楼层配置!$B$5:$B$104,0)),1)</f>
        <v>0.86749593133069</v>
      </c>
      <c r="AC24" s="16">
        <f>IFERROR(INDEX(楼层配置!$G$5:$G$104,MATCH($K24,楼层配置!$B$5:$B$104,0)),1)</f>
        <v>1</v>
      </c>
      <c r="AD24" s="18">
        <f t="shared" si="3"/>
        <v>-0.208129389231751</v>
      </c>
      <c r="AE24" s="18">
        <f t="shared" si="4"/>
        <v>-0.0892857142857143</v>
      </c>
      <c r="AF24" s="18">
        <f t="shared" si="5"/>
        <v>0.259064634787178</v>
      </c>
      <c r="AG24" s="16" t="str">
        <f t="shared" si="6"/>
        <v>有效</v>
      </c>
      <c r="AH24">
        <f t="shared" si="7"/>
        <v>24554.879</v>
      </c>
    </row>
    <row r="25" ht="14.25" customHeight="1" spans="1:34">
      <c r="A25" s="16">
        <v>21</v>
      </c>
      <c r="B25" s="16">
        <v>1002</v>
      </c>
      <c r="C25" s="16">
        <v>12</v>
      </c>
      <c r="D25" s="17">
        <f>IFERROR(ROUND($U25*$X25*$AA25*参数!$B$13,0),"")</f>
        <v>30866</v>
      </c>
      <c r="E25" s="17">
        <f>IFERROR(ROUND($V25*$Y25*$AB25*参数!$C$13,0),"")</f>
        <v>1412</v>
      </c>
      <c r="F25" s="17">
        <f>IFERROR(ROUND($W25*$Z25*$AC25*参数!$D$13,0),"")</f>
        <v>3234</v>
      </c>
      <c r="G25" s="16">
        <v>40262</v>
      </c>
      <c r="H25" s="16">
        <v>1594</v>
      </c>
      <c r="I25" s="16">
        <v>2588</v>
      </c>
      <c r="J25" s="16">
        <v>5</v>
      </c>
      <c r="K25" s="16">
        <v>5</v>
      </c>
      <c r="L25" s="16">
        <f>IFERROR(INDEX(楼层配置!$D$5:$D$104,MATCH($K25,楼层配置!$B$5:$B$104,0)),"")</f>
        <v>28</v>
      </c>
      <c r="M25" s="16" t="str">
        <f>IFERROR(INDEX(_角色基线!$B$2:$B$100,MATCH($B25,_角色基线!$A$2:$A$100,0)),"")</f>
        <v>大暑</v>
      </c>
      <c r="N25" s="16" t="str">
        <f>IFERROR(INDEX(_角色基线!$C$2:$C$100,MATCH($B25,_角色基线!$A$2:$A$100,0)),"")</f>
        <v>Tank</v>
      </c>
      <c r="O25" s="16">
        <f>IFERROR(INDEX(_怪物基线!$B$2:$B$501,MATCH(INT($L25),_怪物基线!$A$2:$A$501,0)),"")</f>
        <v>4801</v>
      </c>
      <c r="P25" s="16">
        <f>IFERROR(INDEX(_怪物基线!$C$2:$C$501,MATCH(INT($L25),_怪物基线!$A$2:$A$501,0)),"")</f>
        <v>1389</v>
      </c>
      <c r="Q25" s="16">
        <f>IFERROR(INDEX(_怪物基线!$D$2:$D$501,MATCH(INT($L25),_怪物基线!$A$2:$A$501,0)),"")</f>
        <v>2156</v>
      </c>
      <c r="R25" s="16">
        <f>参数!$B$10</f>
        <v>4</v>
      </c>
      <c r="S25" s="16">
        <f>参数!$C$10</f>
        <v>1.2</v>
      </c>
      <c r="T25" s="16">
        <f>参数!$D$10</f>
        <v>1</v>
      </c>
      <c r="U25" s="16">
        <f t="shared" si="0"/>
        <v>19204</v>
      </c>
      <c r="V25" s="16">
        <f t="shared" si="1"/>
        <v>1666.8</v>
      </c>
      <c r="W25" s="16">
        <f t="shared" si="2"/>
        <v>2156</v>
      </c>
      <c r="X25" s="16">
        <f>IFERROR(INDEX(参数!$B$5:$B$7,MATCH($N25,参数!$A$5:$A$7,0)),"")</f>
        <v>1.5</v>
      </c>
      <c r="Y25" s="16">
        <f>IFERROR(INDEX(参数!$C$5:$C$7,MATCH($N25,参数!$A$5:$A$7,0)),"")</f>
        <v>1</v>
      </c>
      <c r="Z25" s="16">
        <f>IFERROR(INDEX(参数!$D$5:$D$7,MATCH($N25,参数!$A$5:$A$7,0)),"")</f>
        <v>1.5</v>
      </c>
      <c r="AA25" s="16">
        <f>IFERROR(INDEX(楼层配置!$E$5:$E$104,MATCH($K25,楼层配置!$B$5:$B$104,0)),1)</f>
        <v>1.07151884075861</v>
      </c>
      <c r="AB25" s="16">
        <f>IFERROR(INDEX(楼层配置!$F$5:$F$104,MATCH($K25,楼层配置!$B$5:$B$104,0)),1)</f>
        <v>0.847413576127544</v>
      </c>
      <c r="AC25" s="16">
        <f>IFERROR(INDEX(楼层配置!$G$5:$G$104,MATCH($K25,楼层配置!$B$5:$B$104,0)),1)</f>
        <v>1</v>
      </c>
      <c r="AD25" s="18">
        <f t="shared" si="3"/>
        <v>-0.233371417217227</v>
      </c>
      <c r="AE25" s="18">
        <f t="shared" si="4"/>
        <v>-0.114178168130489</v>
      </c>
      <c r="AF25" s="18">
        <f t="shared" si="5"/>
        <v>0.249613601236476</v>
      </c>
      <c r="AG25" s="16" t="str">
        <f t="shared" si="6"/>
        <v>有效</v>
      </c>
      <c r="AH25">
        <f t="shared" si="7"/>
        <v>35025.1935</v>
      </c>
    </row>
    <row r="26" ht="14.25" customHeight="1" spans="1:34">
      <c r="A26" s="16">
        <v>22</v>
      </c>
      <c r="B26" s="16">
        <v>1005</v>
      </c>
      <c r="C26" s="16">
        <v>12</v>
      </c>
      <c r="D26" s="17">
        <f>IFERROR(ROUND($U26*$X26*$AA26*参数!$B$13,0),"")</f>
        <v>20577</v>
      </c>
      <c r="E26" s="17">
        <f>IFERROR(ROUND($V26*$Y26*$AB26*参数!$C$13,0),"")</f>
        <v>1695</v>
      </c>
      <c r="F26" s="17">
        <f>IFERROR(ROUND($W26*$Z26*$AC26*参数!$D$13,0),"")</f>
        <v>2156</v>
      </c>
      <c r="G26" s="16">
        <v>26841</v>
      </c>
      <c r="H26" s="16">
        <v>1912</v>
      </c>
      <c r="I26" s="16">
        <v>1725</v>
      </c>
      <c r="J26" s="16">
        <v>5</v>
      </c>
      <c r="K26" s="16">
        <v>5</v>
      </c>
      <c r="L26" s="16">
        <f>IFERROR(INDEX(楼层配置!$D$5:$D$104,MATCH($K26,楼层配置!$B$5:$B$104,0)),"")</f>
        <v>28</v>
      </c>
      <c r="M26" s="16" t="str">
        <f>IFERROR(INDEX(_角色基线!$B$2:$B$100,MATCH($B26,_角色基线!$A$2:$A$100,0)),"")</f>
        <v>陈单单</v>
      </c>
      <c r="N26" s="16" t="str">
        <f>IFERROR(INDEX(_角色基线!$C$2:$C$100,MATCH($B26,_角色基线!$A$2:$A$100,0)),"")</f>
        <v>DPS</v>
      </c>
      <c r="O26" s="16">
        <f>IFERROR(INDEX(_怪物基线!$B$2:$B$501,MATCH(INT($L26),_怪物基线!$A$2:$A$501,0)),"")</f>
        <v>4801</v>
      </c>
      <c r="P26" s="16">
        <f>IFERROR(INDEX(_怪物基线!$C$2:$C$501,MATCH(INT($L26),_怪物基线!$A$2:$A$501,0)),"")</f>
        <v>1389</v>
      </c>
      <c r="Q26" s="16">
        <f>IFERROR(INDEX(_怪物基线!$D$2:$D$501,MATCH(INT($L26),_怪物基线!$A$2:$A$501,0)),"")</f>
        <v>2156</v>
      </c>
      <c r="R26" s="16">
        <f>参数!$B$10</f>
        <v>4</v>
      </c>
      <c r="S26" s="16">
        <f>参数!$C$10</f>
        <v>1.2</v>
      </c>
      <c r="T26" s="16">
        <f>参数!$D$10</f>
        <v>1</v>
      </c>
      <c r="U26" s="16">
        <f t="shared" si="0"/>
        <v>19204</v>
      </c>
      <c r="V26" s="16">
        <f t="shared" si="1"/>
        <v>1666.8</v>
      </c>
      <c r="W26" s="16">
        <f t="shared" si="2"/>
        <v>2156</v>
      </c>
      <c r="X26" s="16">
        <f>IFERROR(INDEX(参数!$B$5:$B$7,MATCH($N26,参数!$A$5:$A$7,0)),"")</f>
        <v>1</v>
      </c>
      <c r="Y26" s="16">
        <f>IFERROR(INDEX(参数!$C$5:$C$7,MATCH($N26,参数!$A$5:$A$7,0)),"")</f>
        <v>1.2</v>
      </c>
      <c r="Z26" s="16">
        <f>IFERROR(INDEX(参数!$D$5:$D$7,MATCH($N26,参数!$A$5:$A$7,0)),"")</f>
        <v>1</v>
      </c>
      <c r="AA26" s="16">
        <f>IFERROR(INDEX(楼层配置!$E$5:$E$104,MATCH($K26,楼层配置!$B$5:$B$104,0)),1)</f>
        <v>1.07151884075861</v>
      </c>
      <c r="AB26" s="16">
        <f>IFERROR(INDEX(楼层配置!$F$5:$F$104,MATCH($K26,楼层配置!$B$5:$B$104,0)),1)</f>
        <v>0.847413576127544</v>
      </c>
      <c r="AC26" s="16">
        <f>IFERROR(INDEX(楼层配置!$G$5:$G$104,MATCH($K26,楼层配置!$B$5:$B$104,0)),1)</f>
        <v>1</v>
      </c>
      <c r="AD26" s="18">
        <f t="shared" si="3"/>
        <v>-0.233374315412988</v>
      </c>
      <c r="AE26" s="18">
        <f t="shared" si="4"/>
        <v>-0.113493723849372</v>
      </c>
      <c r="AF26" s="18">
        <f t="shared" si="5"/>
        <v>0.249855072463768</v>
      </c>
      <c r="AG26" s="16" t="str">
        <f t="shared" si="6"/>
        <v>有效</v>
      </c>
      <c r="AH26">
        <f t="shared" si="7"/>
        <v>22425.5005</v>
      </c>
    </row>
    <row r="27" ht="14.25" customHeight="1" spans="1:34">
      <c r="A27" s="16">
        <v>23</v>
      </c>
      <c r="B27" s="16">
        <v>1029</v>
      </c>
      <c r="C27" s="16">
        <v>12</v>
      </c>
      <c r="D27" s="17">
        <f>IFERROR(ROUND($U27*$X27*$AA27*参数!$B$13,0),"")</f>
        <v>25722</v>
      </c>
      <c r="E27" s="17">
        <f>IFERROR(ROUND($V27*$Y27*$AB27*参数!$C$13,0),"")</f>
        <v>1412</v>
      </c>
      <c r="F27" s="17">
        <f>IFERROR(ROUND($W27*$Z27*$AC27*参数!$D$13,0),"")</f>
        <v>2695</v>
      </c>
      <c r="G27" s="16">
        <v>33552</v>
      </c>
      <c r="H27" s="16">
        <v>1594</v>
      </c>
      <c r="I27" s="16">
        <v>2157</v>
      </c>
      <c r="J27" s="16">
        <v>5</v>
      </c>
      <c r="K27" s="16">
        <v>5</v>
      </c>
      <c r="L27" s="16">
        <f>IFERROR(INDEX(楼层配置!$D$5:$D$104,MATCH($K27,楼层配置!$B$5:$B$104,0)),"")</f>
        <v>28</v>
      </c>
      <c r="M27" s="16" t="str">
        <f>IFERROR(INDEX(_角色基线!$B$2:$B$100,MATCH($B27,_角色基线!$A$2:$A$100,0)),"")</f>
        <v>凯兰</v>
      </c>
      <c r="N27" s="16" t="str">
        <f>IFERROR(INDEX(_角色基线!$C$2:$C$100,MATCH($B27,_角色基线!$A$2:$A$100,0)),"")</f>
        <v>Support</v>
      </c>
      <c r="O27" s="16">
        <f>IFERROR(INDEX(_怪物基线!$B$2:$B$501,MATCH(INT($L27),_怪物基线!$A$2:$A$501,0)),"")</f>
        <v>4801</v>
      </c>
      <c r="P27" s="16">
        <f>IFERROR(INDEX(_怪物基线!$C$2:$C$501,MATCH(INT($L27),_怪物基线!$A$2:$A$501,0)),"")</f>
        <v>1389</v>
      </c>
      <c r="Q27" s="16">
        <f>IFERROR(INDEX(_怪物基线!$D$2:$D$501,MATCH(INT($L27),_怪物基线!$A$2:$A$501,0)),"")</f>
        <v>2156</v>
      </c>
      <c r="R27" s="16">
        <f>参数!$B$10</f>
        <v>4</v>
      </c>
      <c r="S27" s="16">
        <f>参数!$C$10</f>
        <v>1.2</v>
      </c>
      <c r="T27" s="16">
        <f>参数!$D$10</f>
        <v>1</v>
      </c>
      <c r="U27" s="16">
        <f t="shared" si="0"/>
        <v>19204</v>
      </c>
      <c r="V27" s="16">
        <f t="shared" si="1"/>
        <v>1666.8</v>
      </c>
      <c r="W27" s="16">
        <f t="shared" si="2"/>
        <v>2156</v>
      </c>
      <c r="X27" s="16">
        <f>IFERROR(INDEX(参数!$B$5:$B$7,MATCH($N27,参数!$A$5:$A$7,0)),"")</f>
        <v>1.25</v>
      </c>
      <c r="Y27" s="16">
        <f>IFERROR(INDEX(参数!$C$5:$C$7,MATCH($N27,参数!$A$5:$A$7,0)),"")</f>
        <v>1</v>
      </c>
      <c r="Z27" s="16">
        <f>IFERROR(INDEX(参数!$D$5:$D$7,MATCH($N27,参数!$A$5:$A$7,0)),"")</f>
        <v>1.25</v>
      </c>
      <c r="AA27" s="16">
        <f>IFERROR(INDEX(楼层配置!$E$5:$E$104,MATCH($K27,楼层配置!$B$5:$B$104,0)),1)</f>
        <v>1.07151884075861</v>
      </c>
      <c r="AB27" s="16">
        <f>IFERROR(INDEX(楼层配置!$F$5:$F$104,MATCH($K27,楼层配置!$B$5:$B$104,0)),1)</f>
        <v>0.847413576127544</v>
      </c>
      <c r="AC27" s="16">
        <f>IFERROR(INDEX(楼层配置!$G$5:$G$104,MATCH($K27,楼层配置!$B$5:$B$104,0)),1)</f>
        <v>1</v>
      </c>
      <c r="AD27" s="18">
        <f t="shared" si="3"/>
        <v>-0.233369098712446</v>
      </c>
      <c r="AE27" s="18">
        <f t="shared" si="4"/>
        <v>-0.114178168130489</v>
      </c>
      <c r="AF27" s="18">
        <f t="shared" si="5"/>
        <v>0.249420491423273</v>
      </c>
      <c r="AG27" s="16" t="str">
        <f t="shared" si="6"/>
        <v>有效</v>
      </c>
      <c r="AH27">
        <f t="shared" si="7"/>
        <v>28610.36625</v>
      </c>
    </row>
    <row r="28" ht="14.25" customHeight="1" spans="1:34">
      <c r="A28" s="16">
        <v>24</v>
      </c>
      <c r="B28" s="16">
        <v>1012</v>
      </c>
      <c r="C28" s="16">
        <v>12</v>
      </c>
      <c r="D28" s="17">
        <f>IFERROR(ROUND($U28*$X28*$AA28*参数!$B$13,0),"")</f>
        <v>25722</v>
      </c>
      <c r="E28" s="17">
        <f>IFERROR(ROUND($V28*$Y28*$AB28*参数!$C$13,0),"")</f>
        <v>1412</v>
      </c>
      <c r="F28" s="17">
        <f>IFERROR(ROUND($W28*$Z28*$AC28*参数!$D$13,0),"")</f>
        <v>2695</v>
      </c>
      <c r="G28" s="16">
        <v>33552</v>
      </c>
      <c r="H28" s="16">
        <v>1594</v>
      </c>
      <c r="I28" s="16">
        <v>2157</v>
      </c>
      <c r="J28" s="16">
        <v>5</v>
      </c>
      <c r="K28" s="16">
        <v>5</v>
      </c>
      <c r="L28" s="16">
        <f>IFERROR(INDEX(楼层配置!$D$5:$D$104,MATCH($K28,楼层配置!$B$5:$B$104,0)),"")</f>
        <v>28</v>
      </c>
      <c r="M28" s="16" t="str">
        <f>IFERROR(INDEX(_角色基线!$B$2:$B$100,MATCH($B28,_角色基线!$A$2:$A$100,0)),"")</f>
        <v>艾德琳</v>
      </c>
      <c r="N28" s="16" t="str">
        <f>IFERROR(INDEX(_角色基线!$C$2:$C$100,MATCH($B28,_角色基线!$A$2:$A$100,0)),"")</f>
        <v>Support</v>
      </c>
      <c r="O28" s="16">
        <f>IFERROR(INDEX(_怪物基线!$B$2:$B$501,MATCH(INT($L28),_怪物基线!$A$2:$A$501,0)),"")</f>
        <v>4801</v>
      </c>
      <c r="P28" s="16">
        <f>IFERROR(INDEX(_怪物基线!$C$2:$C$501,MATCH(INT($L28),_怪物基线!$A$2:$A$501,0)),"")</f>
        <v>1389</v>
      </c>
      <c r="Q28" s="16">
        <f>IFERROR(INDEX(_怪物基线!$D$2:$D$501,MATCH(INT($L28),_怪物基线!$A$2:$A$501,0)),"")</f>
        <v>2156</v>
      </c>
      <c r="R28" s="16">
        <f>参数!$B$10</f>
        <v>4</v>
      </c>
      <c r="S28" s="16">
        <f>参数!$C$10</f>
        <v>1.2</v>
      </c>
      <c r="T28" s="16">
        <f>参数!$D$10</f>
        <v>1</v>
      </c>
      <c r="U28" s="16">
        <f t="shared" si="0"/>
        <v>19204</v>
      </c>
      <c r="V28" s="16">
        <f t="shared" si="1"/>
        <v>1666.8</v>
      </c>
      <c r="W28" s="16">
        <f t="shared" si="2"/>
        <v>2156</v>
      </c>
      <c r="X28" s="16">
        <f>IFERROR(INDEX(参数!$B$5:$B$7,MATCH($N28,参数!$A$5:$A$7,0)),"")</f>
        <v>1.25</v>
      </c>
      <c r="Y28" s="16">
        <f>IFERROR(INDEX(参数!$C$5:$C$7,MATCH($N28,参数!$A$5:$A$7,0)),"")</f>
        <v>1</v>
      </c>
      <c r="Z28" s="16">
        <f>IFERROR(INDEX(参数!$D$5:$D$7,MATCH($N28,参数!$A$5:$A$7,0)),"")</f>
        <v>1.25</v>
      </c>
      <c r="AA28" s="16">
        <f>IFERROR(INDEX(楼层配置!$E$5:$E$104,MATCH($K28,楼层配置!$B$5:$B$104,0)),1)</f>
        <v>1.07151884075861</v>
      </c>
      <c r="AB28" s="16">
        <f>IFERROR(INDEX(楼层配置!$F$5:$F$104,MATCH($K28,楼层配置!$B$5:$B$104,0)),1)</f>
        <v>0.847413576127544</v>
      </c>
      <c r="AC28" s="16">
        <f>IFERROR(INDEX(楼层配置!$G$5:$G$104,MATCH($K28,楼层配置!$B$5:$B$104,0)),1)</f>
        <v>1</v>
      </c>
      <c r="AD28" s="18">
        <f t="shared" si="3"/>
        <v>-0.233369098712446</v>
      </c>
      <c r="AE28" s="18">
        <f t="shared" si="4"/>
        <v>-0.114178168130489</v>
      </c>
      <c r="AF28" s="18">
        <f t="shared" si="5"/>
        <v>0.249420491423273</v>
      </c>
      <c r="AG28" s="16" t="str">
        <f t="shared" si="6"/>
        <v>有效</v>
      </c>
      <c r="AH28">
        <f t="shared" si="7"/>
        <v>28610.36625</v>
      </c>
    </row>
    <row r="29" ht="14.25" customHeight="1" spans="1:34">
      <c r="A29" s="16">
        <v>25</v>
      </c>
      <c r="B29" s="16">
        <v>1011</v>
      </c>
      <c r="C29" s="16">
        <v>12</v>
      </c>
      <c r="D29" s="17">
        <f>IFERROR(ROUND($U29*$X29*$AA29*参数!$B$13,0),"")</f>
        <v>25722</v>
      </c>
      <c r="E29" s="17">
        <f>IFERROR(ROUND($V29*$Y29*$AB29*参数!$C$13,0),"")</f>
        <v>1412</v>
      </c>
      <c r="F29" s="17">
        <f>IFERROR(ROUND($W29*$Z29*$AC29*参数!$D$13,0),"")</f>
        <v>2695</v>
      </c>
      <c r="G29" s="16">
        <v>33552</v>
      </c>
      <c r="H29" s="16">
        <v>1594</v>
      </c>
      <c r="I29" s="16">
        <v>2157</v>
      </c>
      <c r="J29" s="16">
        <v>5</v>
      </c>
      <c r="K29" s="16">
        <v>5</v>
      </c>
      <c r="L29" s="16">
        <f>IFERROR(INDEX(楼层配置!$D$5:$D$104,MATCH($K29,楼层配置!$B$5:$B$104,0)),"")</f>
        <v>28</v>
      </c>
      <c r="M29" s="16" t="str">
        <f>IFERROR(INDEX(_角色基线!$B$2:$B$100,MATCH($B29,_角色基线!$A$2:$A$100,0)),"")</f>
        <v>陈双双</v>
      </c>
      <c r="N29" s="16" t="str">
        <f>IFERROR(INDEX(_角色基线!$C$2:$C$100,MATCH($B29,_角色基线!$A$2:$A$100,0)),"")</f>
        <v>Support</v>
      </c>
      <c r="O29" s="16">
        <f>IFERROR(INDEX(_怪物基线!$B$2:$B$501,MATCH(INT($L29),_怪物基线!$A$2:$A$501,0)),"")</f>
        <v>4801</v>
      </c>
      <c r="P29" s="16">
        <f>IFERROR(INDEX(_怪物基线!$C$2:$C$501,MATCH(INT($L29),_怪物基线!$A$2:$A$501,0)),"")</f>
        <v>1389</v>
      </c>
      <c r="Q29" s="16">
        <f>IFERROR(INDEX(_怪物基线!$D$2:$D$501,MATCH(INT($L29),_怪物基线!$A$2:$A$501,0)),"")</f>
        <v>2156</v>
      </c>
      <c r="R29" s="16">
        <f>参数!$B$10</f>
        <v>4</v>
      </c>
      <c r="S29" s="16">
        <f>参数!$C$10</f>
        <v>1.2</v>
      </c>
      <c r="T29" s="16">
        <f>参数!$D$10</f>
        <v>1</v>
      </c>
      <c r="U29" s="16">
        <f t="shared" si="0"/>
        <v>19204</v>
      </c>
      <c r="V29" s="16">
        <f t="shared" si="1"/>
        <v>1666.8</v>
      </c>
      <c r="W29" s="16">
        <f t="shared" si="2"/>
        <v>2156</v>
      </c>
      <c r="X29" s="16">
        <f>IFERROR(INDEX(参数!$B$5:$B$7,MATCH($N29,参数!$A$5:$A$7,0)),"")</f>
        <v>1.25</v>
      </c>
      <c r="Y29" s="16">
        <f>IFERROR(INDEX(参数!$C$5:$C$7,MATCH($N29,参数!$A$5:$A$7,0)),"")</f>
        <v>1</v>
      </c>
      <c r="Z29" s="16">
        <f>IFERROR(INDEX(参数!$D$5:$D$7,MATCH($N29,参数!$A$5:$A$7,0)),"")</f>
        <v>1.25</v>
      </c>
      <c r="AA29" s="16">
        <f>IFERROR(INDEX(楼层配置!$E$5:$E$104,MATCH($K29,楼层配置!$B$5:$B$104,0)),1)</f>
        <v>1.07151884075861</v>
      </c>
      <c r="AB29" s="16">
        <f>IFERROR(INDEX(楼层配置!$F$5:$F$104,MATCH($K29,楼层配置!$B$5:$B$104,0)),1)</f>
        <v>0.847413576127544</v>
      </c>
      <c r="AC29" s="16">
        <f>IFERROR(INDEX(楼层配置!$G$5:$G$104,MATCH($K29,楼层配置!$B$5:$B$104,0)),1)</f>
        <v>1</v>
      </c>
      <c r="AD29" s="18">
        <f t="shared" si="3"/>
        <v>-0.233369098712446</v>
      </c>
      <c r="AE29" s="18">
        <f t="shared" si="4"/>
        <v>-0.114178168130489</v>
      </c>
      <c r="AF29" s="18">
        <f t="shared" si="5"/>
        <v>0.249420491423273</v>
      </c>
      <c r="AG29" s="16" t="str">
        <f t="shared" si="6"/>
        <v>有效</v>
      </c>
      <c r="AH29">
        <f t="shared" si="7"/>
        <v>28610.36625</v>
      </c>
    </row>
    <row r="30" ht="14.25" customHeight="1" spans="1:34">
      <c r="A30" s="16">
        <v>26</v>
      </c>
      <c r="B30" s="16">
        <v>1030</v>
      </c>
      <c r="C30" s="16">
        <v>13</v>
      </c>
      <c r="D30" s="17">
        <f>IFERROR(ROUND($U30*$X30*$AA30*参数!$B$13,0),"")</f>
        <v>38108</v>
      </c>
      <c r="E30" s="17">
        <f>IFERROR(ROUND($V30*$Y30*$AB30*参数!$C$13,0),"")</f>
        <v>1617</v>
      </c>
      <c r="F30" s="17">
        <f>IFERROR(ROUND($W30*$Z30*$AC30*参数!$D$13,0),"")</f>
        <v>3719</v>
      </c>
      <c r="G30" s="16">
        <v>47188</v>
      </c>
      <c r="H30" s="16">
        <v>1789</v>
      </c>
      <c r="I30" s="16">
        <v>2898</v>
      </c>
      <c r="J30" s="16">
        <v>6</v>
      </c>
      <c r="K30" s="16">
        <v>6</v>
      </c>
      <c r="L30" s="16">
        <f>IFERROR(INDEX(楼层配置!$D$5:$D$104,MATCH($K30,楼层配置!$B$5:$B$104,0)),"")</f>
        <v>32</v>
      </c>
      <c r="M30" s="16" t="str">
        <f>IFERROR(INDEX(_角色基线!$B$2:$B$100,MATCH($B30,_角色基线!$A$2:$A$100,0)),"")</f>
        <v>莫莉</v>
      </c>
      <c r="N30" s="16" t="str">
        <f>IFERROR(INDEX(_角色基线!$C$2:$C$100,MATCH($B30,_角色基线!$A$2:$A$100,0)),"")</f>
        <v>Tank</v>
      </c>
      <c r="O30" s="16">
        <f>IFERROR(INDEX(_怪物基线!$B$2:$B$501,MATCH(INT($L30),_怪物基线!$A$2:$A$501,0)),"")</f>
        <v>5812</v>
      </c>
      <c r="P30" s="16">
        <f>IFERROR(INDEX(_怪物基线!$C$2:$C$501,MATCH(INT($L30),_怪物基线!$A$2:$A$501,0)),"")</f>
        <v>1613</v>
      </c>
      <c r="Q30" s="16">
        <f>IFERROR(INDEX(_怪物基线!$D$2:$D$501,MATCH(INT($L30),_怪物基线!$A$2:$A$501,0)),"")</f>
        <v>2479</v>
      </c>
      <c r="R30" s="16">
        <f>参数!$B$10</f>
        <v>4</v>
      </c>
      <c r="S30" s="16">
        <f>参数!$C$10</f>
        <v>1.2</v>
      </c>
      <c r="T30" s="16">
        <f>参数!$D$10</f>
        <v>1</v>
      </c>
      <c r="U30" s="16">
        <f t="shared" si="0"/>
        <v>23248</v>
      </c>
      <c r="V30" s="16">
        <f t="shared" si="1"/>
        <v>1935.6</v>
      </c>
      <c r="W30" s="16">
        <f t="shared" si="2"/>
        <v>2479</v>
      </c>
      <c r="X30" s="16">
        <f>IFERROR(INDEX(参数!$B$5:$B$7,MATCH($N30,参数!$A$5:$A$7,0)),"")</f>
        <v>1.5</v>
      </c>
      <c r="Y30" s="16">
        <f>IFERROR(INDEX(参数!$C$5:$C$7,MATCH($N30,参数!$A$5:$A$7,0)),"")</f>
        <v>1</v>
      </c>
      <c r="Z30" s="16">
        <f>IFERROR(INDEX(参数!$D$5:$D$7,MATCH($N30,参数!$A$5:$A$7,0)),"")</f>
        <v>1.5</v>
      </c>
      <c r="AA30" s="16">
        <f>IFERROR(INDEX(楼层配置!$E$5:$E$104,MATCH($K30,楼层配置!$B$5:$B$104,0)),1)</f>
        <v>1.09281017575294</v>
      </c>
      <c r="AB30" s="16">
        <f>IFERROR(INDEX(楼层配置!$F$5:$F$104,MATCH($K30,楼层配置!$B$5:$B$104,0)),1)</f>
        <v>0.835587298989708</v>
      </c>
      <c r="AC30" s="16">
        <f>IFERROR(INDEX(楼层配置!$G$5:$G$104,MATCH($K30,楼层配置!$B$5:$B$104,0)),1)</f>
        <v>1</v>
      </c>
      <c r="AD30" s="18">
        <f t="shared" si="3"/>
        <v>-0.19242180215309</v>
      </c>
      <c r="AE30" s="18">
        <f t="shared" si="4"/>
        <v>-0.0961430967020682</v>
      </c>
      <c r="AF30" s="18">
        <f t="shared" si="5"/>
        <v>0.283298826777088</v>
      </c>
      <c r="AG30" s="16" t="str">
        <f t="shared" si="6"/>
        <v>有效</v>
      </c>
      <c r="AH30">
        <f t="shared" si="7"/>
        <v>44013.1521666667</v>
      </c>
    </row>
    <row r="31" ht="14.25" customHeight="1" spans="1:34">
      <c r="A31" s="16">
        <v>27</v>
      </c>
      <c r="B31" s="16">
        <v>1021</v>
      </c>
      <c r="C31" s="16">
        <v>13</v>
      </c>
      <c r="D31" s="17">
        <f>IFERROR(ROUND($U31*$X31*$AA31*参数!$B$13,0),"")</f>
        <v>25406</v>
      </c>
      <c r="E31" s="17">
        <f>IFERROR(ROUND($V31*$Y31*$AB31*参数!$C$13,0),"")</f>
        <v>1941</v>
      </c>
      <c r="F31" s="17">
        <f>IFERROR(ROUND($W31*$Z31*$AC31*参数!$D$13,0),"")</f>
        <v>2479</v>
      </c>
      <c r="G31" s="16">
        <v>31459</v>
      </c>
      <c r="H31" s="16">
        <v>2146</v>
      </c>
      <c r="I31" s="16">
        <v>1932</v>
      </c>
      <c r="J31" s="16">
        <v>6</v>
      </c>
      <c r="K31" s="16">
        <v>6</v>
      </c>
      <c r="L31" s="16">
        <f>IFERROR(INDEX(楼层配置!$D$5:$D$104,MATCH($K31,楼层配置!$B$5:$B$104,0)),"")</f>
        <v>32</v>
      </c>
      <c r="M31" s="16" t="str">
        <f>IFERROR(INDEX(_角色基线!$B$2:$B$100,MATCH($B31,_角色基线!$A$2:$A$100,0)),"")</f>
        <v>梅梅</v>
      </c>
      <c r="N31" s="16" t="str">
        <f>IFERROR(INDEX(_角色基线!$C$2:$C$100,MATCH($B31,_角色基线!$A$2:$A$100,0)),"")</f>
        <v>DPS</v>
      </c>
      <c r="O31" s="16">
        <f>IFERROR(INDEX(_怪物基线!$B$2:$B$501,MATCH(INT($L31),_怪物基线!$A$2:$A$501,0)),"")</f>
        <v>5812</v>
      </c>
      <c r="P31" s="16">
        <f>IFERROR(INDEX(_怪物基线!$C$2:$C$501,MATCH(INT($L31),_怪物基线!$A$2:$A$501,0)),"")</f>
        <v>1613</v>
      </c>
      <c r="Q31" s="16">
        <f>IFERROR(INDEX(_怪物基线!$D$2:$D$501,MATCH(INT($L31),_怪物基线!$A$2:$A$501,0)),"")</f>
        <v>2479</v>
      </c>
      <c r="R31" s="16">
        <f>参数!$B$10</f>
        <v>4</v>
      </c>
      <c r="S31" s="16">
        <f>参数!$C$10</f>
        <v>1.2</v>
      </c>
      <c r="T31" s="16">
        <f>参数!$D$10</f>
        <v>1</v>
      </c>
      <c r="U31" s="16">
        <f t="shared" si="0"/>
        <v>23248</v>
      </c>
      <c r="V31" s="16">
        <f t="shared" si="1"/>
        <v>1935.6</v>
      </c>
      <c r="W31" s="16">
        <f t="shared" si="2"/>
        <v>2479</v>
      </c>
      <c r="X31" s="16">
        <f>IFERROR(INDEX(参数!$B$5:$B$7,MATCH($N31,参数!$A$5:$A$7,0)),"")</f>
        <v>1</v>
      </c>
      <c r="Y31" s="16">
        <f>IFERROR(INDEX(参数!$C$5:$C$7,MATCH($N31,参数!$A$5:$A$7,0)),"")</f>
        <v>1.2</v>
      </c>
      <c r="Z31" s="16">
        <f>IFERROR(INDEX(参数!$D$5:$D$7,MATCH($N31,参数!$A$5:$A$7,0)),"")</f>
        <v>1</v>
      </c>
      <c r="AA31" s="16">
        <f>IFERROR(INDEX(楼层配置!$E$5:$E$104,MATCH($K31,楼层配置!$B$5:$B$104,0)),1)</f>
        <v>1.09281017575294</v>
      </c>
      <c r="AB31" s="16">
        <f>IFERROR(INDEX(楼层配置!$F$5:$F$104,MATCH($K31,楼层配置!$B$5:$B$104,0)),1)</f>
        <v>0.835587298989708</v>
      </c>
      <c r="AC31" s="16">
        <f>IFERROR(INDEX(楼层配置!$G$5:$G$104,MATCH($K31,楼层配置!$B$5:$B$104,0)),1)</f>
        <v>1</v>
      </c>
      <c r="AD31" s="18">
        <f t="shared" si="3"/>
        <v>-0.192409167487841</v>
      </c>
      <c r="AE31" s="18">
        <f t="shared" si="4"/>
        <v>-0.0955265610438024</v>
      </c>
      <c r="AF31" s="18">
        <f t="shared" si="5"/>
        <v>0.283126293995859</v>
      </c>
      <c r="AG31" s="16" t="str">
        <f t="shared" si="6"/>
        <v>有效</v>
      </c>
      <c r="AH31">
        <f t="shared" si="7"/>
        <v>28030.2280833333</v>
      </c>
    </row>
    <row r="32" ht="14.25" customHeight="1" spans="1:34">
      <c r="A32" s="16">
        <v>28</v>
      </c>
      <c r="B32" s="16">
        <v>1021</v>
      </c>
      <c r="C32" s="16">
        <v>13</v>
      </c>
      <c r="D32" s="17">
        <f>IFERROR(ROUND($U32*$X32*$AA32*参数!$B$13,0),"")</f>
        <v>25406</v>
      </c>
      <c r="E32" s="17">
        <f>IFERROR(ROUND($V32*$Y32*$AB32*参数!$C$13,0),"")</f>
        <v>1941</v>
      </c>
      <c r="F32" s="17">
        <f>IFERROR(ROUND($W32*$Z32*$AC32*参数!$D$13,0),"")</f>
        <v>2479</v>
      </c>
      <c r="G32" s="16">
        <v>31459</v>
      </c>
      <c r="H32" s="16">
        <v>2146</v>
      </c>
      <c r="I32" s="16">
        <v>1932</v>
      </c>
      <c r="J32" s="16">
        <v>6</v>
      </c>
      <c r="K32" s="16">
        <v>6</v>
      </c>
      <c r="L32" s="16">
        <f>IFERROR(INDEX(楼层配置!$D$5:$D$104,MATCH($K32,楼层配置!$B$5:$B$104,0)),"")</f>
        <v>32</v>
      </c>
      <c r="M32" s="16" t="str">
        <f>IFERROR(INDEX(_角色基线!$B$2:$B$100,MATCH($B32,_角色基线!$A$2:$A$100,0)),"")</f>
        <v>梅梅</v>
      </c>
      <c r="N32" s="16" t="str">
        <f>IFERROR(INDEX(_角色基线!$C$2:$C$100,MATCH($B32,_角色基线!$A$2:$A$100,0)),"")</f>
        <v>DPS</v>
      </c>
      <c r="O32" s="16">
        <f>IFERROR(INDEX(_怪物基线!$B$2:$B$501,MATCH(INT($L32),_怪物基线!$A$2:$A$501,0)),"")</f>
        <v>5812</v>
      </c>
      <c r="P32" s="16">
        <f>IFERROR(INDEX(_怪物基线!$C$2:$C$501,MATCH(INT($L32),_怪物基线!$A$2:$A$501,0)),"")</f>
        <v>1613</v>
      </c>
      <c r="Q32" s="16">
        <f>IFERROR(INDEX(_怪物基线!$D$2:$D$501,MATCH(INT($L32),_怪物基线!$A$2:$A$501,0)),"")</f>
        <v>2479</v>
      </c>
      <c r="R32" s="16">
        <f>参数!$B$10</f>
        <v>4</v>
      </c>
      <c r="S32" s="16">
        <f>参数!$C$10</f>
        <v>1.2</v>
      </c>
      <c r="T32" s="16">
        <f>参数!$D$10</f>
        <v>1</v>
      </c>
      <c r="U32" s="16">
        <f t="shared" si="0"/>
        <v>23248</v>
      </c>
      <c r="V32" s="16">
        <f t="shared" si="1"/>
        <v>1935.6</v>
      </c>
      <c r="W32" s="16">
        <f t="shared" si="2"/>
        <v>2479</v>
      </c>
      <c r="X32" s="16">
        <f>IFERROR(INDEX(参数!$B$5:$B$7,MATCH($N32,参数!$A$5:$A$7,0)),"")</f>
        <v>1</v>
      </c>
      <c r="Y32" s="16">
        <f>IFERROR(INDEX(参数!$C$5:$C$7,MATCH($N32,参数!$A$5:$A$7,0)),"")</f>
        <v>1.2</v>
      </c>
      <c r="Z32" s="16">
        <f>IFERROR(INDEX(参数!$D$5:$D$7,MATCH($N32,参数!$A$5:$A$7,0)),"")</f>
        <v>1</v>
      </c>
      <c r="AA32" s="16">
        <f>IFERROR(INDEX(楼层配置!$E$5:$E$104,MATCH($K32,楼层配置!$B$5:$B$104,0)),1)</f>
        <v>1.09281017575294</v>
      </c>
      <c r="AB32" s="16">
        <f>IFERROR(INDEX(楼层配置!$F$5:$F$104,MATCH($K32,楼层配置!$B$5:$B$104,0)),1)</f>
        <v>0.835587298989708</v>
      </c>
      <c r="AC32" s="16">
        <f>IFERROR(INDEX(楼层配置!$G$5:$G$104,MATCH($K32,楼层配置!$B$5:$B$104,0)),1)</f>
        <v>1</v>
      </c>
      <c r="AD32" s="18">
        <f t="shared" si="3"/>
        <v>-0.192409167487841</v>
      </c>
      <c r="AE32" s="18">
        <f t="shared" si="4"/>
        <v>-0.0955265610438024</v>
      </c>
      <c r="AF32" s="18">
        <f t="shared" si="5"/>
        <v>0.283126293995859</v>
      </c>
      <c r="AG32" s="16" t="str">
        <f t="shared" si="6"/>
        <v>有效</v>
      </c>
      <c r="AH32">
        <f t="shared" si="7"/>
        <v>28030.2280833333</v>
      </c>
    </row>
    <row r="33" ht="14.25" customHeight="1" spans="1:34">
      <c r="A33" s="16">
        <v>29</v>
      </c>
      <c r="B33" s="16">
        <v>1021</v>
      </c>
      <c r="C33" s="16">
        <v>13</v>
      </c>
      <c r="D33" s="17">
        <f>IFERROR(ROUND($U33*$X33*$AA33*参数!$B$13,0),"")</f>
        <v>25406</v>
      </c>
      <c r="E33" s="17">
        <f>IFERROR(ROUND($V33*$Y33*$AB33*参数!$C$13,0),"")</f>
        <v>1941</v>
      </c>
      <c r="F33" s="17">
        <f>IFERROR(ROUND($W33*$Z33*$AC33*参数!$D$13,0),"")</f>
        <v>2479</v>
      </c>
      <c r="G33" s="16">
        <v>31459</v>
      </c>
      <c r="H33" s="16">
        <v>2146</v>
      </c>
      <c r="I33" s="16">
        <v>1932</v>
      </c>
      <c r="J33" s="16">
        <v>6</v>
      </c>
      <c r="K33" s="16">
        <v>6</v>
      </c>
      <c r="L33" s="16">
        <f>IFERROR(INDEX(楼层配置!$D$5:$D$104,MATCH($K33,楼层配置!$B$5:$B$104,0)),"")</f>
        <v>32</v>
      </c>
      <c r="M33" s="16" t="str">
        <f>IFERROR(INDEX(_角色基线!$B$2:$B$100,MATCH($B33,_角色基线!$A$2:$A$100,0)),"")</f>
        <v>梅梅</v>
      </c>
      <c r="N33" s="16" t="str">
        <f>IFERROR(INDEX(_角色基线!$C$2:$C$100,MATCH($B33,_角色基线!$A$2:$A$100,0)),"")</f>
        <v>DPS</v>
      </c>
      <c r="O33" s="16">
        <f>IFERROR(INDEX(_怪物基线!$B$2:$B$501,MATCH(INT($L33),_怪物基线!$A$2:$A$501,0)),"")</f>
        <v>5812</v>
      </c>
      <c r="P33" s="16">
        <f>IFERROR(INDEX(_怪物基线!$C$2:$C$501,MATCH(INT($L33),_怪物基线!$A$2:$A$501,0)),"")</f>
        <v>1613</v>
      </c>
      <c r="Q33" s="16">
        <f>IFERROR(INDEX(_怪物基线!$D$2:$D$501,MATCH(INT($L33),_怪物基线!$A$2:$A$501,0)),"")</f>
        <v>2479</v>
      </c>
      <c r="R33" s="16">
        <f>参数!$B$10</f>
        <v>4</v>
      </c>
      <c r="S33" s="16">
        <f>参数!$C$10</f>
        <v>1.2</v>
      </c>
      <c r="T33" s="16">
        <f>参数!$D$10</f>
        <v>1</v>
      </c>
      <c r="U33" s="16">
        <f t="shared" si="0"/>
        <v>23248</v>
      </c>
      <c r="V33" s="16">
        <f t="shared" si="1"/>
        <v>1935.6</v>
      </c>
      <c r="W33" s="16">
        <f t="shared" si="2"/>
        <v>2479</v>
      </c>
      <c r="X33" s="16">
        <f>IFERROR(INDEX(参数!$B$5:$B$7,MATCH($N33,参数!$A$5:$A$7,0)),"")</f>
        <v>1</v>
      </c>
      <c r="Y33" s="16">
        <f>IFERROR(INDEX(参数!$C$5:$C$7,MATCH($N33,参数!$A$5:$A$7,0)),"")</f>
        <v>1.2</v>
      </c>
      <c r="Z33" s="16">
        <f>IFERROR(INDEX(参数!$D$5:$D$7,MATCH($N33,参数!$A$5:$A$7,0)),"")</f>
        <v>1</v>
      </c>
      <c r="AA33" s="16">
        <f>IFERROR(INDEX(楼层配置!$E$5:$E$104,MATCH($K33,楼层配置!$B$5:$B$104,0)),1)</f>
        <v>1.09281017575294</v>
      </c>
      <c r="AB33" s="16">
        <f>IFERROR(INDEX(楼层配置!$F$5:$F$104,MATCH($K33,楼层配置!$B$5:$B$104,0)),1)</f>
        <v>0.835587298989708</v>
      </c>
      <c r="AC33" s="16">
        <f>IFERROR(INDEX(楼层配置!$G$5:$G$104,MATCH($K33,楼层配置!$B$5:$B$104,0)),1)</f>
        <v>1</v>
      </c>
      <c r="AD33" s="18">
        <f t="shared" si="3"/>
        <v>-0.192409167487841</v>
      </c>
      <c r="AE33" s="18">
        <f t="shared" si="4"/>
        <v>-0.0955265610438024</v>
      </c>
      <c r="AF33" s="18">
        <f t="shared" si="5"/>
        <v>0.283126293995859</v>
      </c>
      <c r="AG33" s="16" t="str">
        <f t="shared" si="6"/>
        <v>有效</v>
      </c>
      <c r="AH33">
        <f t="shared" si="7"/>
        <v>28030.2280833333</v>
      </c>
    </row>
    <row r="34" ht="14.25" customHeight="1" spans="1:34">
      <c r="A34" s="16">
        <v>30</v>
      </c>
      <c r="B34" s="16">
        <v>1020</v>
      </c>
      <c r="C34" s="16">
        <v>13</v>
      </c>
      <c r="D34" s="17">
        <f>IFERROR(ROUND($U34*$X34*$AA34*参数!$B$13,0),"")</f>
        <v>31757</v>
      </c>
      <c r="E34" s="17">
        <f>IFERROR(ROUND($V34*$Y34*$AB34*参数!$C$13,0),"")</f>
        <v>1617</v>
      </c>
      <c r="F34" s="17">
        <f>IFERROR(ROUND($W34*$Z34*$AC34*参数!$D$13,0),"")</f>
        <v>3099</v>
      </c>
      <c r="G34" s="16">
        <v>39324</v>
      </c>
      <c r="H34" s="16">
        <v>1789</v>
      </c>
      <c r="I34" s="16">
        <v>2415</v>
      </c>
      <c r="J34" s="16">
        <v>6</v>
      </c>
      <c r="K34" s="16">
        <v>6</v>
      </c>
      <c r="L34" s="16">
        <f>IFERROR(INDEX(楼层配置!$D$5:$D$104,MATCH($K34,楼层配置!$B$5:$B$104,0)),"")</f>
        <v>32</v>
      </c>
      <c r="M34" s="16" t="str">
        <f>IFERROR(INDEX(_角色基线!$B$2:$B$100,MATCH($B34,_角色基线!$A$2:$A$100,0)),"")</f>
        <v>卡斯帕</v>
      </c>
      <c r="N34" s="16" t="str">
        <f>IFERROR(INDEX(_角色基线!$C$2:$C$100,MATCH($B34,_角色基线!$A$2:$A$100,0)),"")</f>
        <v>Support</v>
      </c>
      <c r="O34" s="16">
        <f>IFERROR(INDEX(_怪物基线!$B$2:$B$501,MATCH(INT($L34),_怪物基线!$A$2:$A$501,0)),"")</f>
        <v>5812</v>
      </c>
      <c r="P34" s="16">
        <f>IFERROR(INDEX(_怪物基线!$C$2:$C$501,MATCH(INT($L34),_怪物基线!$A$2:$A$501,0)),"")</f>
        <v>1613</v>
      </c>
      <c r="Q34" s="16">
        <f>IFERROR(INDEX(_怪物基线!$D$2:$D$501,MATCH(INT($L34),_怪物基线!$A$2:$A$501,0)),"")</f>
        <v>2479</v>
      </c>
      <c r="R34" s="16">
        <f>参数!$B$10</f>
        <v>4</v>
      </c>
      <c r="S34" s="16">
        <f>参数!$C$10</f>
        <v>1.2</v>
      </c>
      <c r="T34" s="16">
        <f>参数!$D$10</f>
        <v>1</v>
      </c>
      <c r="U34" s="16">
        <f t="shared" si="0"/>
        <v>23248</v>
      </c>
      <c r="V34" s="16">
        <f t="shared" si="1"/>
        <v>1935.6</v>
      </c>
      <c r="W34" s="16">
        <f t="shared" si="2"/>
        <v>2479</v>
      </c>
      <c r="X34" s="16">
        <f>IFERROR(INDEX(参数!$B$5:$B$7,MATCH($N34,参数!$A$5:$A$7,0)),"")</f>
        <v>1.25</v>
      </c>
      <c r="Y34" s="16">
        <f>IFERROR(INDEX(参数!$C$5:$C$7,MATCH($N34,参数!$A$5:$A$7,0)),"")</f>
        <v>1</v>
      </c>
      <c r="Z34" s="16">
        <f>IFERROR(INDEX(参数!$D$5:$D$7,MATCH($N34,参数!$A$5:$A$7,0)),"")</f>
        <v>1.25</v>
      </c>
      <c r="AA34" s="16">
        <f>IFERROR(INDEX(楼层配置!$E$5:$E$104,MATCH($K34,楼层配置!$B$5:$B$104,0)),1)</f>
        <v>1.09281017575294</v>
      </c>
      <c r="AB34" s="16">
        <f>IFERROR(INDEX(楼层配置!$F$5:$F$104,MATCH($K34,楼层配置!$B$5:$B$104,0)),1)</f>
        <v>0.835587298989708</v>
      </c>
      <c r="AC34" s="16">
        <f>IFERROR(INDEX(楼层配置!$G$5:$G$104,MATCH($K34,楼层配置!$B$5:$B$104,0)),1)</f>
        <v>1</v>
      </c>
      <c r="AD34" s="18">
        <f t="shared" si="3"/>
        <v>-0.192427016580205</v>
      </c>
      <c r="AE34" s="18">
        <f t="shared" si="4"/>
        <v>-0.0961430967020682</v>
      </c>
      <c r="AF34" s="18">
        <f t="shared" si="5"/>
        <v>0.283229813664596</v>
      </c>
      <c r="AG34" s="16" t="str">
        <f t="shared" si="6"/>
        <v>有效</v>
      </c>
      <c r="AH34">
        <f t="shared" si="7"/>
        <v>35857.622625</v>
      </c>
    </row>
    <row r="35" ht="14.25" customHeight="1" spans="1:34">
      <c r="A35" s="16">
        <v>31</v>
      </c>
      <c r="B35" s="16">
        <v>1030</v>
      </c>
      <c r="C35" s="16">
        <v>13</v>
      </c>
      <c r="D35" s="17">
        <f>IFERROR(ROUND($U35*$X35*$AA35*参数!$B$13,0),"")</f>
        <v>43864</v>
      </c>
      <c r="E35" s="17">
        <f>IFERROR(ROUND($V35*$Y35*$AB35*参数!$C$13,0),"")</f>
        <v>1763</v>
      </c>
      <c r="F35" s="17">
        <f>IFERROR(ROUND($W35*$Z35*$AC35*参数!$D$13,0),"")</f>
        <v>4085</v>
      </c>
      <c r="G35" s="16">
        <v>54633</v>
      </c>
      <c r="H35" s="16">
        <v>1990</v>
      </c>
      <c r="I35" s="16">
        <v>3211</v>
      </c>
      <c r="J35" s="16">
        <v>7</v>
      </c>
      <c r="K35" s="16">
        <v>7</v>
      </c>
      <c r="L35" s="16">
        <f>IFERROR(INDEX(楼层配置!$D$5:$D$104,MATCH($K35,楼层配置!$B$5:$B$104,0)),"")</f>
        <v>35</v>
      </c>
      <c r="M35" s="16" t="str">
        <f>IFERROR(INDEX(_角色基线!$B$2:$B$100,MATCH($B35,_角色基线!$A$2:$A$100,0)),"")</f>
        <v>莫莉</v>
      </c>
      <c r="N35" s="16" t="str">
        <f>IFERROR(INDEX(_角色基线!$C$2:$C$100,MATCH($B35,_角色基线!$A$2:$A$100,0)),"")</f>
        <v>Tank</v>
      </c>
      <c r="O35" s="16">
        <f>IFERROR(INDEX(_怪物基线!$B$2:$B$501,MATCH(INT($L35),_怪物基线!$A$2:$A$501,0)),"")</f>
        <v>6624</v>
      </c>
      <c r="P35" s="16">
        <f>IFERROR(INDEX(_怪物基线!$C$2:$C$501,MATCH(INT($L35),_怪物基线!$A$2:$A$501,0)),"")</f>
        <v>1787</v>
      </c>
      <c r="Q35" s="16">
        <f>IFERROR(INDEX(_怪物基线!$D$2:$D$501,MATCH(INT($L35),_怪物基线!$A$2:$A$501,0)),"")</f>
        <v>2723</v>
      </c>
      <c r="R35" s="16">
        <f>参数!$B$10</f>
        <v>4</v>
      </c>
      <c r="S35" s="16">
        <f>参数!$C$10</f>
        <v>1.2</v>
      </c>
      <c r="T35" s="16">
        <f>参数!$D$10</f>
        <v>1</v>
      </c>
      <c r="U35" s="16">
        <f t="shared" si="0"/>
        <v>26496</v>
      </c>
      <c r="V35" s="16">
        <f t="shared" si="1"/>
        <v>2144.4</v>
      </c>
      <c r="W35" s="16">
        <f t="shared" si="2"/>
        <v>2723</v>
      </c>
      <c r="X35" s="16">
        <f>IFERROR(INDEX(参数!$B$5:$B$7,MATCH($N35,参数!$A$5:$A$7,0)),"")</f>
        <v>1.5</v>
      </c>
      <c r="Y35" s="16">
        <f>IFERROR(INDEX(参数!$C$5:$C$7,MATCH($N35,参数!$A$5:$A$7,0)),"")</f>
        <v>1</v>
      </c>
      <c r="Z35" s="16">
        <f>IFERROR(INDEX(参数!$D$5:$D$7,MATCH($N35,参数!$A$5:$A$7,0)),"")</f>
        <v>1.5</v>
      </c>
      <c r="AA35" s="16">
        <f>IFERROR(INDEX(楼层配置!$E$5:$E$104,MATCH($K35,楼层配置!$B$5:$B$104,0)),1)</f>
        <v>1.10367102588911</v>
      </c>
      <c r="AB35" s="16">
        <f>IFERROR(INDEX(楼层配置!$F$5:$F$104,MATCH($K35,楼层配置!$B$5:$B$104,0)),1)</f>
        <v>0.821989230732882</v>
      </c>
      <c r="AC35" s="16">
        <f>IFERROR(INDEX(楼层配置!$G$5:$G$104,MATCH($K35,楼层配置!$B$5:$B$104,0)),1)</f>
        <v>1</v>
      </c>
      <c r="AD35" s="18">
        <f t="shared" si="3"/>
        <v>-0.197115296615599</v>
      </c>
      <c r="AE35" s="18">
        <f t="shared" si="4"/>
        <v>-0.114070351758794</v>
      </c>
      <c r="AF35" s="18">
        <f t="shared" si="5"/>
        <v>0.272189349112426</v>
      </c>
      <c r="AG35" s="16" t="str">
        <f t="shared" si="6"/>
        <v>有效</v>
      </c>
      <c r="AH35">
        <f t="shared" si="7"/>
        <v>51330.0183333333</v>
      </c>
    </row>
    <row r="36" ht="14.25" customHeight="1" spans="1:34">
      <c r="A36" s="16">
        <v>32</v>
      </c>
      <c r="B36" s="16">
        <v>1026</v>
      </c>
      <c r="C36" s="16">
        <v>13</v>
      </c>
      <c r="D36" s="17">
        <f>IFERROR(ROUND($U36*$X36*$AA36*参数!$B$13,0),"")</f>
        <v>29243</v>
      </c>
      <c r="E36" s="17">
        <f>IFERROR(ROUND($V36*$Y36*$AB36*参数!$C$13,0),"")</f>
        <v>2115</v>
      </c>
      <c r="F36" s="17">
        <f>IFERROR(ROUND($W36*$Z36*$AC36*参数!$D$13,0),"")</f>
        <v>2723</v>
      </c>
      <c r="G36" s="16">
        <v>36422</v>
      </c>
      <c r="H36" s="16">
        <v>2388</v>
      </c>
      <c r="I36" s="16">
        <v>2140</v>
      </c>
      <c r="J36" s="16">
        <v>7</v>
      </c>
      <c r="K36" s="16">
        <v>7</v>
      </c>
      <c r="L36" s="16">
        <f>IFERROR(INDEX(楼层配置!$D$5:$D$104,MATCH($K36,楼层配置!$B$5:$B$104,0)),"")</f>
        <v>35</v>
      </c>
      <c r="M36" s="16" t="str">
        <f>IFERROR(INDEX(_角色基线!$B$2:$B$100,MATCH($B36,_角色基线!$A$2:$A$100,0)),"")</f>
        <v>乔一</v>
      </c>
      <c r="N36" s="16" t="str">
        <f>IFERROR(INDEX(_角色基线!$C$2:$C$100,MATCH($B36,_角色基线!$A$2:$A$100,0)),"")</f>
        <v>DPS</v>
      </c>
      <c r="O36" s="16">
        <f>IFERROR(INDEX(_怪物基线!$B$2:$B$501,MATCH(INT($L36),_怪物基线!$A$2:$A$501,0)),"")</f>
        <v>6624</v>
      </c>
      <c r="P36" s="16">
        <f>IFERROR(INDEX(_怪物基线!$C$2:$C$501,MATCH(INT($L36),_怪物基线!$A$2:$A$501,0)),"")</f>
        <v>1787</v>
      </c>
      <c r="Q36" s="16">
        <f>IFERROR(INDEX(_怪物基线!$D$2:$D$501,MATCH(INT($L36),_怪物基线!$A$2:$A$501,0)),"")</f>
        <v>2723</v>
      </c>
      <c r="R36" s="16">
        <f>参数!$B$10</f>
        <v>4</v>
      </c>
      <c r="S36" s="16">
        <f>参数!$C$10</f>
        <v>1.2</v>
      </c>
      <c r="T36" s="16">
        <f>参数!$D$10</f>
        <v>1</v>
      </c>
      <c r="U36" s="16">
        <f t="shared" si="0"/>
        <v>26496</v>
      </c>
      <c r="V36" s="16">
        <f t="shared" si="1"/>
        <v>2144.4</v>
      </c>
      <c r="W36" s="16">
        <f t="shared" si="2"/>
        <v>2723</v>
      </c>
      <c r="X36" s="16">
        <f>IFERROR(INDEX(参数!$B$5:$B$7,MATCH($N36,参数!$A$5:$A$7,0)),"")</f>
        <v>1</v>
      </c>
      <c r="Y36" s="16">
        <f>IFERROR(INDEX(参数!$C$5:$C$7,MATCH($N36,参数!$A$5:$A$7,0)),"")</f>
        <v>1.2</v>
      </c>
      <c r="Z36" s="16">
        <f>IFERROR(INDEX(参数!$D$5:$D$7,MATCH($N36,参数!$A$5:$A$7,0)),"")</f>
        <v>1</v>
      </c>
      <c r="AA36" s="16">
        <f>IFERROR(INDEX(楼层配置!$E$5:$E$104,MATCH($K36,楼层配置!$B$5:$B$104,0)),1)</f>
        <v>1.10367102588911</v>
      </c>
      <c r="AB36" s="16">
        <f>IFERROR(INDEX(楼层配置!$F$5:$F$104,MATCH($K36,楼层配置!$B$5:$B$104,0)),1)</f>
        <v>0.821989230732882</v>
      </c>
      <c r="AC36" s="16">
        <f>IFERROR(INDEX(楼层配置!$G$5:$G$104,MATCH($K36,楼层配置!$B$5:$B$104,0)),1)</f>
        <v>1</v>
      </c>
      <c r="AD36" s="18">
        <f t="shared" si="3"/>
        <v>-0.197106144637856</v>
      </c>
      <c r="AE36" s="18">
        <f t="shared" si="4"/>
        <v>-0.114321608040201</v>
      </c>
      <c r="AF36" s="18">
        <f t="shared" si="5"/>
        <v>0.272429906542056</v>
      </c>
      <c r="AG36" s="16" t="str">
        <f t="shared" si="6"/>
        <v>有效</v>
      </c>
      <c r="AH36">
        <f t="shared" si="7"/>
        <v>32560.8620416667</v>
      </c>
    </row>
    <row r="37" ht="14.25" customHeight="1" spans="1:34">
      <c r="A37" s="16">
        <v>33</v>
      </c>
      <c r="B37" s="16">
        <v>1015</v>
      </c>
      <c r="C37" s="16">
        <v>13</v>
      </c>
      <c r="D37" s="17">
        <f>IFERROR(ROUND($U37*$X37*$AA37*参数!$B$13,0),"")</f>
        <v>36554</v>
      </c>
      <c r="E37" s="17">
        <f>IFERROR(ROUND($V37*$Y37*$AB37*参数!$C$13,0),"")</f>
        <v>1763</v>
      </c>
      <c r="F37" s="17">
        <f>IFERROR(ROUND($W37*$Z37*$AC37*参数!$D$13,0),"")</f>
        <v>3404</v>
      </c>
      <c r="G37" s="16">
        <v>45528</v>
      </c>
      <c r="H37" s="16">
        <v>1990</v>
      </c>
      <c r="I37" s="16">
        <v>2676</v>
      </c>
      <c r="J37" s="16">
        <v>7</v>
      </c>
      <c r="K37" s="16">
        <v>7</v>
      </c>
      <c r="L37" s="16">
        <f>IFERROR(INDEX(楼层配置!$D$5:$D$104,MATCH($K37,楼层配置!$B$5:$B$104,0)),"")</f>
        <v>35</v>
      </c>
      <c r="M37" s="16" t="str">
        <f>IFERROR(INDEX(_角色基线!$B$2:$B$100,MATCH($B37,_角色基线!$A$2:$A$100,0)),"")</f>
        <v>阿莱克西娅</v>
      </c>
      <c r="N37" s="16" t="str">
        <f>IFERROR(INDEX(_角色基线!$C$2:$C$100,MATCH($B37,_角色基线!$A$2:$A$100,0)),"")</f>
        <v>Support</v>
      </c>
      <c r="O37" s="16">
        <f>IFERROR(INDEX(_怪物基线!$B$2:$B$501,MATCH(INT($L37),_怪物基线!$A$2:$A$501,0)),"")</f>
        <v>6624</v>
      </c>
      <c r="P37" s="16">
        <f>IFERROR(INDEX(_怪物基线!$C$2:$C$501,MATCH(INT($L37),_怪物基线!$A$2:$A$501,0)),"")</f>
        <v>1787</v>
      </c>
      <c r="Q37" s="16">
        <f>IFERROR(INDEX(_怪物基线!$D$2:$D$501,MATCH(INT($L37),_怪物基线!$A$2:$A$501,0)),"")</f>
        <v>2723</v>
      </c>
      <c r="R37" s="16">
        <f>参数!$B$10</f>
        <v>4</v>
      </c>
      <c r="S37" s="16">
        <f>参数!$C$10</f>
        <v>1.2</v>
      </c>
      <c r="T37" s="16">
        <f>参数!$D$10</f>
        <v>1</v>
      </c>
      <c r="U37" s="16">
        <f t="shared" si="0"/>
        <v>26496</v>
      </c>
      <c r="V37" s="16">
        <f t="shared" si="1"/>
        <v>2144.4</v>
      </c>
      <c r="W37" s="16">
        <f t="shared" si="2"/>
        <v>2723</v>
      </c>
      <c r="X37" s="16">
        <f>IFERROR(INDEX(参数!$B$5:$B$7,MATCH($N37,参数!$A$5:$A$7,0)),"")</f>
        <v>1.25</v>
      </c>
      <c r="Y37" s="16">
        <f>IFERROR(INDEX(参数!$C$5:$C$7,MATCH($N37,参数!$A$5:$A$7,0)),"")</f>
        <v>1</v>
      </c>
      <c r="Z37" s="16">
        <f>IFERROR(INDEX(参数!$D$5:$D$7,MATCH($N37,参数!$A$5:$A$7,0)),"")</f>
        <v>1.25</v>
      </c>
      <c r="AA37" s="16">
        <f>IFERROR(INDEX(楼层配置!$E$5:$E$104,MATCH($K37,楼层配置!$B$5:$B$104,0)),1)</f>
        <v>1.10367102588911</v>
      </c>
      <c r="AB37" s="16">
        <f>IFERROR(INDEX(楼层配置!$F$5:$F$104,MATCH($K37,楼层配置!$B$5:$B$104,0)),1)</f>
        <v>0.821989230732882</v>
      </c>
      <c r="AC37" s="16">
        <f>IFERROR(INDEX(楼层配置!$G$5:$G$104,MATCH($K37,楼层配置!$B$5:$B$104,0)),1)</f>
        <v>1</v>
      </c>
      <c r="AD37" s="18">
        <f t="shared" si="3"/>
        <v>-0.197109471094711</v>
      </c>
      <c r="AE37" s="18">
        <f t="shared" si="4"/>
        <v>-0.114070351758794</v>
      </c>
      <c r="AF37" s="18">
        <f t="shared" si="5"/>
        <v>0.272047832585949</v>
      </c>
      <c r="AG37" s="16" t="str">
        <f t="shared" si="6"/>
        <v>有效</v>
      </c>
      <c r="AH37">
        <f t="shared" si="7"/>
        <v>41738.5756666667</v>
      </c>
    </row>
    <row r="38" ht="14.25" customHeight="1" spans="1:34">
      <c r="A38" s="16">
        <v>34</v>
      </c>
      <c r="B38" s="16">
        <v>1023</v>
      </c>
      <c r="C38" s="16">
        <v>13</v>
      </c>
      <c r="D38" s="17">
        <f>IFERROR(ROUND($U38*$X38*$AA38*参数!$B$13,0),"")</f>
        <v>36554</v>
      </c>
      <c r="E38" s="17">
        <f>IFERROR(ROUND($V38*$Y38*$AB38*参数!$C$13,0),"")</f>
        <v>1763</v>
      </c>
      <c r="F38" s="17">
        <f>IFERROR(ROUND($W38*$Z38*$AC38*参数!$D$13,0),"")</f>
        <v>3404</v>
      </c>
      <c r="G38" s="16">
        <v>45528</v>
      </c>
      <c r="H38" s="16">
        <v>1990</v>
      </c>
      <c r="I38" s="16">
        <v>2676</v>
      </c>
      <c r="J38" s="16">
        <v>7</v>
      </c>
      <c r="K38" s="16">
        <v>7</v>
      </c>
      <c r="L38" s="16">
        <f>IFERROR(INDEX(楼层配置!$D$5:$D$104,MATCH($K38,楼层配置!$B$5:$B$104,0)),"")</f>
        <v>35</v>
      </c>
      <c r="M38" s="16" t="str">
        <f>IFERROR(INDEX(_角色基线!$B$2:$B$100,MATCH($B38,_角色基线!$A$2:$A$100,0)),"")</f>
        <v>马克</v>
      </c>
      <c r="N38" s="16" t="str">
        <f>IFERROR(INDEX(_角色基线!$C$2:$C$100,MATCH($B38,_角色基线!$A$2:$A$100,0)),"")</f>
        <v>Support</v>
      </c>
      <c r="O38" s="16">
        <f>IFERROR(INDEX(_怪物基线!$B$2:$B$501,MATCH(INT($L38),_怪物基线!$A$2:$A$501,0)),"")</f>
        <v>6624</v>
      </c>
      <c r="P38" s="16">
        <f>IFERROR(INDEX(_怪物基线!$C$2:$C$501,MATCH(INT($L38),_怪物基线!$A$2:$A$501,0)),"")</f>
        <v>1787</v>
      </c>
      <c r="Q38" s="16">
        <f>IFERROR(INDEX(_怪物基线!$D$2:$D$501,MATCH(INT($L38),_怪物基线!$A$2:$A$501,0)),"")</f>
        <v>2723</v>
      </c>
      <c r="R38" s="16">
        <f>参数!$B$10</f>
        <v>4</v>
      </c>
      <c r="S38" s="16">
        <f>参数!$C$10</f>
        <v>1.2</v>
      </c>
      <c r="T38" s="16">
        <f>参数!$D$10</f>
        <v>1</v>
      </c>
      <c r="U38" s="16">
        <f t="shared" si="0"/>
        <v>26496</v>
      </c>
      <c r="V38" s="16">
        <f t="shared" si="1"/>
        <v>2144.4</v>
      </c>
      <c r="W38" s="16">
        <f t="shared" si="2"/>
        <v>2723</v>
      </c>
      <c r="X38" s="16">
        <f>IFERROR(INDEX(参数!$B$5:$B$7,MATCH($N38,参数!$A$5:$A$7,0)),"")</f>
        <v>1.25</v>
      </c>
      <c r="Y38" s="16">
        <f>IFERROR(INDEX(参数!$C$5:$C$7,MATCH($N38,参数!$A$5:$A$7,0)),"")</f>
        <v>1</v>
      </c>
      <c r="Z38" s="16">
        <f>IFERROR(INDEX(参数!$D$5:$D$7,MATCH($N38,参数!$A$5:$A$7,0)),"")</f>
        <v>1.25</v>
      </c>
      <c r="AA38" s="16">
        <f>IFERROR(INDEX(楼层配置!$E$5:$E$104,MATCH($K38,楼层配置!$B$5:$B$104,0)),1)</f>
        <v>1.10367102588911</v>
      </c>
      <c r="AB38" s="16">
        <f>IFERROR(INDEX(楼层配置!$F$5:$F$104,MATCH($K38,楼层配置!$B$5:$B$104,0)),1)</f>
        <v>0.821989230732882</v>
      </c>
      <c r="AC38" s="16">
        <f>IFERROR(INDEX(楼层配置!$G$5:$G$104,MATCH($K38,楼层配置!$B$5:$B$104,0)),1)</f>
        <v>1</v>
      </c>
      <c r="AD38" s="18">
        <f t="shared" si="3"/>
        <v>-0.197109471094711</v>
      </c>
      <c r="AE38" s="18">
        <f t="shared" si="4"/>
        <v>-0.114070351758794</v>
      </c>
      <c r="AF38" s="18">
        <f t="shared" si="5"/>
        <v>0.272047832585949</v>
      </c>
      <c r="AG38" s="16" t="str">
        <f t="shared" si="6"/>
        <v>有效</v>
      </c>
      <c r="AH38">
        <f t="shared" si="7"/>
        <v>41738.5756666667</v>
      </c>
    </row>
    <row r="39" ht="14.25" customHeight="1" spans="1:34">
      <c r="A39" s="16">
        <v>35</v>
      </c>
      <c r="B39" s="16">
        <v>1035</v>
      </c>
      <c r="C39" s="16">
        <v>13</v>
      </c>
      <c r="D39" s="17">
        <f>IFERROR(ROUND($U39*$X39*$AA39*参数!$B$13,0),"")</f>
        <v>29243</v>
      </c>
      <c r="E39" s="17">
        <f>IFERROR(ROUND($V39*$Y39*$AB39*参数!$C$13,0),"")</f>
        <v>2115</v>
      </c>
      <c r="F39" s="17">
        <f>IFERROR(ROUND($W39*$Z39*$AC39*参数!$D$13,0),"")</f>
        <v>2723</v>
      </c>
      <c r="G39" s="16">
        <v>36422</v>
      </c>
      <c r="H39" s="16">
        <v>2388</v>
      </c>
      <c r="I39" s="16">
        <v>2140</v>
      </c>
      <c r="J39" s="16">
        <v>7</v>
      </c>
      <c r="K39" s="16">
        <v>7</v>
      </c>
      <c r="L39" s="16">
        <f>IFERROR(INDEX(楼层配置!$D$5:$D$104,MATCH($K39,楼层配置!$B$5:$B$104,0)),"")</f>
        <v>35</v>
      </c>
      <c r="M39" s="16" t="str">
        <f>IFERROR(INDEX(_角色基线!$B$2:$B$100,MATCH($B39,_角色基线!$A$2:$A$100,0)),"")</f>
        <v>碎冰者</v>
      </c>
      <c r="N39" s="16" t="str">
        <f>IFERROR(INDEX(_角色基线!$C$2:$C$100,MATCH($B39,_角色基线!$A$2:$A$100,0)),"")</f>
        <v>DPS</v>
      </c>
      <c r="O39" s="16">
        <f>IFERROR(INDEX(_怪物基线!$B$2:$B$501,MATCH(INT($L39),_怪物基线!$A$2:$A$501,0)),"")</f>
        <v>6624</v>
      </c>
      <c r="P39" s="16">
        <f>IFERROR(INDEX(_怪物基线!$C$2:$C$501,MATCH(INT($L39),_怪物基线!$A$2:$A$501,0)),"")</f>
        <v>1787</v>
      </c>
      <c r="Q39" s="16">
        <f>IFERROR(INDEX(_怪物基线!$D$2:$D$501,MATCH(INT($L39),_怪物基线!$A$2:$A$501,0)),"")</f>
        <v>2723</v>
      </c>
      <c r="R39" s="16">
        <f>参数!$B$10</f>
        <v>4</v>
      </c>
      <c r="S39" s="16">
        <f>参数!$C$10</f>
        <v>1.2</v>
      </c>
      <c r="T39" s="16">
        <f>参数!$D$10</f>
        <v>1</v>
      </c>
      <c r="U39" s="16">
        <f t="shared" si="0"/>
        <v>26496</v>
      </c>
      <c r="V39" s="16">
        <f t="shared" si="1"/>
        <v>2144.4</v>
      </c>
      <c r="W39" s="16">
        <f t="shared" si="2"/>
        <v>2723</v>
      </c>
      <c r="X39" s="16">
        <f>IFERROR(INDEX(参数!$B$5:$B$7,MATCH($N39,参数!$A$5:$A$7,0)),"")</f>
        <v>1</v>
      </c>
      <c r="Y39" s="16">
        <f>IFERROR(INDEX(参数!$C$5:$C$7,MATCH($N39,参数!$A$5:$A$7,0)),"")</f>
        <v>1.2</v>
      </c>
      <c r="Z39" s="16">
        <f>IFERROR(INDEX(参数!$D$5:$D$7,MATCH($N39,参数!$A$5:$A$7,0)),"")</f>
        <v>1</v>
      </c>
      <c r="AA39" s="16">
        <f>IFERROR(INDEX(楼层配置!$E$5:$E$104,MATCH($K39,楼层配置!$B$5:$B$104,0)),1)</f>
        <v>1.10367102588911</v>
      </c>
      <c r="AB39" s="16">
        <f>IFERROR(INDEX(楼层配置!$F$5:$F$104,MATCH($K39,楼层配置!$B$5:$B$104,0)),1)</f>
        <v>0.821989230732882</v>
      </c>
      <c r="AC39" s="16">
        <f>IFERROR(INDEX(楼层配置!$G$5:$G$104,MATCH($K39,楼层配置!$B$5:$B$104,0)),1)</f>
        <v>1</v>
      </c>
      <c r="AD39" s="18">
        <f t="shared" si="3"/>
        <v>-0.197106144637856</v>
      </c>
      <c r="AE39" s="18">
        <f t="shared" si="4"/>
        <v>-0.114321608040201</v>
      </c>
      <c r="AF39" s="18">
        <f t="shared" si="5"/>
        <v>0.272429906542056</v>
      </c>
      <c r="AG39" s="16" t="str">
        <f t="shared" si="6"/>
        <v>有效</v>
      </c>
      <c r="AH39">
        <f t="shared" si="7"/>
        <v>32560.8620416667</v>
      </c>
    </row>
    <row r="40" ht="14.25" customHeight="1" spans="1:34">
      <c r="A40" s="16">
        <v>36</v>
      </c>
      <c r="B40" s="16">
        <v>1002</v>
      </c>
      <c r="C40" s="16">
        <v>14</v>
      </c>
      <c r="D40" s="17">
        <f>IFERROR(ROUND($U40*$X40*$AA40*参数!$B$13,0),"")</f>
        <v>48763</v>
      </c>
      <c r="E40" s="17">
        <f>IFERROR(ROUND($V40*$Y40*$AB40*参数!$C$13,0),"")</f>
        <v>1870</v>
      </c>
      <c r="F40" s="17">
        <f>IFERROR(ROUND($W40*$Z40*$AC40*参数!$D$13,0),"")</f>
        <v>4454</v>
      </c>
      <c r="G40" s="16">
        <v>62589</v>
      </c>
      <c r="H40" s="16">
        <v>2194</v>
      </c>
      <c r="I40" s="16">
        <v>3529</v>
      </c>
      <c r="J40" s="16">
        <v>8</v>
      </c>
      <c r="K40" s="16">
        <v>8</v>
      </c>
      <c r="L40" s="16">
        <f>IFERROR(INDEX(楼层配置!$D$5:$D$104,MATCH($K40,楼层配置!$B$5:$B$104,0)),"")</f>
        <v>38</v>
      </c>
      <c r="M40" s="16" t="str">
        <f>IFERROR(INDEX(_角色基线!$B$2:$B$100,MATCH($B40,_角色基线!$A$2:$A$100,0)),"")</f>
        <v>大暑</v>
      </c>
      <c r="N40" s="16" t="str">
        <f>IFERROR(INDEX(_角色基线!$C$2:$C$100,MATCH($B40,_角色基线!$A$2:$A$100,0)),"")</f>
        <v>Tank</v>
      </c>
      <c r="O40" s="16">
        <f>IFERROR(INDEX(_怪物基线!$B$2:$B$501,MATCH(INT($L40),_怪物基线!$A$2:$A$501,0)),"")</f>
        <v>7481</v>
      </c>
      <c r="P40" s="16">
        <f>IFERROR(INDEX(_怪物基线!$C$2:$C$501,MATCH(INT($L40),_怪物基线!$A$2:$A$501,0)),"")</f>
        <v>1963</v>
      </c>
      <c r="Q40" s="16">
        <f>IFERROR(INDEX(_怪物基线!$D$2:$D$501,MATCH(INT($L40),_怪物基线!$A$2:$A$501,0)),"")</f>
        <v>2969</v>
      </c>
      <c r="R40" s="16">
        <f>参数!$B$10</f>
        <v>4</v>
      </c>
      <c r="S40" s="16">
        <f>参数!$C$10</f>
        <v>1.2</v>
      </c>
      <c r="T40" s="16">
        <f>参数!$D$10</f>
        <v>1</v>
      </c>
      <c r="U40" s="16">
        <f t="shared" si="0"/>
        <v>29924</v>
      </c>
      <c r="V40" s="16">
        <f t="shared" si="1"/>
        <v>2355.6</v>
      </c>
      <c r="W40" s="16">
        <f t="shared" si="2"/>
        <v>2969</v>
      </c>
      <c r="X40" s="16">
        <f>IFERROR(INDEX(参数!$B$5:$B$7,MATCH($N40,参数!$A$5:$A$7,0)),"")</f>
        <v>1.5</v>
      </c>
      <c r="Y40" s="16">
        <f>IFERROR(INDEX(参数!$C$5:$C$7,MATCH($N40,参数!$A$5:$A$7,0)),"")</f>
        <v>1</v>
      </c>
      <c r="Z40" s="16">
        <f>IFERROR(INDEX(参数!$D$5:$D$7,MATCH($N40,参数!$A$5:$A$7,0)),"")</f>
        <v>1.5</v>
      </c>
      <c r="AA40" s="16">
        <f>IFERROR(INDEX(楼层配置!$E$5:$E$104,MATCH($K40,楼层配置!$B$5:$B$104,0)),1)</f>
        <v>1.08637314746255</v>
      </c>
      <c r="AB40" s="16">
        <f>IFERROR(INDEX(楼层配置!$F$5:$F$104,MATCH($K40,楼层配置!$B$5:$B$104,0)),1)</f>
        <v>0.793670586729554</v>
      </c>
      <c r="AC40" s="16">
        <f>IFERROR(INDEX(楼层配置!$G$5:$G$104,MATCH($K40,楼层配置!$B$5:$B$104,0)),1)</f>
        <v>1</v>
      </c>
      <c r="AD40" s="18">
        <f t="shared" si="3"/>
        <v>-0.220901436354631</v>
      </c>
      <c r="AE40" s="18">
        <f t="shared" si="4"/>
        <v>-0.14767547857794</v>
      </c>
      <c r="AF40" s="18">
        <f t="shared" si="5"/>
        <v>0.262113913289884</v>
      </c>
      <c r="AG40" s="16" t="str">
        <f t="shared" si="6"/>
        <v>有效</v>
      </c>
      <c r="AH40">
        <f t="shared" si="7"/>
        <v>57812.6000833333</v>
      </c>
    </row>
    <row r="41" ht="14.25" customHeight="1" spans="1:34">
      <c r="A41" s="16">
        <v>37</v>
      </c>
      <c r="B41" s="16">
        <v>1011</v>
      </c>
      <c r="C41" s="16">
        <v>14</v>
      </c>
      <c r="D41" s="17">
        <f>IFERROR(ROUND($U41*$X41*$AA41*参数!$B$13,0),"")</f>
        <v>40636</v>
      </c>
      <c r="E41" s="17">
        <f>IFERROR(ROUND($V41*$Y41*$AB41*参数!$C$13,0),"")</f>
        <v>1870</v>
      </c>
      <c r="F41" s="17">
        <f>IFERROR(ROUND($W41*$Z41*$AC41*参数!$D$13,0),"")</f>
        <v>3711</v>
      </c>
      <c r="G41" s="16">
        <v>52158</v>
      </c>
      <c r="H41" s="16">
        <v>2194</v>
      </c>
      <c r="I41" s="16">
        <v>2941</v>
      </c>
      <c r="J41" s="16">
        <v>8</v>
      </c>
      <c r="K41" s="16">
        <v>8</v>
      </c>
      <c r="L41" s="16">
        <f>IFERROR(INDEX(楼层配置!$D$5:$D$104,MATCH($K41,楼层配置!$B$5:$B$104,0)),"")</f>
        <v>38</v>
      </c>
      <c r="M41" s="16" t="str">
        <f>IFERROR(INDEX(_角色基线!$B$2:$B$100,MATCH($B41,_角色基线!$A$2:$A$100,0)),"")</f>
        <v>陈双双</v>
      </c>
      <c r="N41" s="16" t="str">
        <f>IFERROR(INDEX(_角色基线!$C$2:$C$100,MATCH($B41,_角色基线!$A$2:$A$100,0)),"")</f>
        <v>Support</v>
      </c>
      <c r="O41" s="16">
        <f>IFERROR(INDEX(_怪物基线!$B$2:$B$501,MATCH(INT($L41),_怪物基线!$A$2:$A$501,0)),"")</f>
        <v>7481</v>
      </c>
      <c r="P41" s="16">
        <f>IFERROR(INDEX(_怪物基线!$C$2:$C$501,MATCH(INT($L41),_怪物基线!$A$2:$A$501,0)),"")</f>
        <v>1963</v>
      </c>
      <c r="Q41" s="16">
        <f>IFERROR(INDEX(_怪物基线!$D$2:$D$501,MATCH(INT($L41),_怪物基线!$A$2:$A$501,0)),"")</f>
        <v>2969</v>
      </c>
      <c r="R41" s="16">
        <f>参数!$B$10</f>
        <v>4</v>
      </c>
      <c r="S41" s="16">
        <f>参数!$C$10</f>
        <v>1.2</v>
      </c>
      <c r="T41" s="16">
        <f>参数!$D$10</f>
        <v>1</v>
      </c>
      <c r="U41" s="16">
        <f t="shared" si="0"/>
        <v>29924</v>
      </c>
      <c r="V41" s="16">
        <f t="shared" si="1"/>
        <v>2355.6</v>
      </c>
      <c r="W41" s="16">
        <f t="shared" si="2"/>
        <v>2969</v>
      </c>
      <c r="X41" s="16">
        <f>IFERROR(INDEX(参数!$B$5:$B$7,MATCH($N41,参数!$A$5:$A$7,0)),"")</f>
        <v>1.25</v>
      </c>
      <c r="Y41" s="16">
        <f>IFERROR(INDEX(参数!$C$5:$C$7,MATCH($N41,参数!$A$5:$A$7,0)),"")</f>
        <v>1</v>
      </c>
      <c r="Z41" s="16">
        <f>IFERROR(INDEX(参数!$D$5:$D$7,MATCH($N41,参数!$A$5:$A$7,0)),"")</f>
        <v>1.25</v>
      </c>
      <c r="AA41" s="16">
        <f>IFERROR(INDEX(楼层配置!$E$5:$E$104,MATCH($K41,楼层配置!$B$5:$B$104,0)),1)</f>
        <v>1.08637314746255</v>
      </c>
      <c r="AB41" s="16">
        <f>IFERROR(INDEX(楼层配置!$F$5:$F$104,MATCH($K41,楼层配置!$B$5:$B$104,0)),1)</f>
        <v>0.793670586729554</v>
      </c>
      <c r="AC41" s="16">
        <f>IFERROR(INDEX(楼层配置!$G$5:$G$104,MATCH($K41,楼层配置!$B$5:$B$104,0)),1)</f>
        <v>1</v>
      </c>
      <c r="AD41" s="18">
        <f t="shared" si="3"/>
        <v>-0.220905709574754</v>
      </c>
      <c r="AE41" s="18">
        <f t="shared" si="4"/>
        <v>-0.14767547857794</v>
      </c>
      <c r="AF41" s="18">
        <f t="shared" si="5"/>
        <v>0.261815708942537</v>
      </c>
      <c r="AG41" s="16" t="str">
        <f t="shared" si="6"/>
        <v>有效</v>
      </c>
      <c r="AH41">
        <f t="shared" si="7"/>
        <v>46919.3415</v>
      </c>
    </row>
    <row r="42" ht="14.25" customHeight="1" spans="1:34">
      <c r="A42" s="16">
        <v>38</v>
      </c>
      <c r="B42" s="16">
        <v>1015</v>
      </c>
      <c r="C42" s="16">
        <v>14</v>
      </c>
      <c r="D42" s="17">
        <f>IFERROR(ROUND($U42*$X42*$AA42*参数!$B$13,0),"")</f>
        <v>40636</v>
      </c>
      <c r="E42" s="17">
        <f>IFERROR(ROUND($V42*$Y42*$AB42*参数!$C$13,0),"")</f>
        <v>1870</v>
      </c>
      <c r="F42" s="17">
        <f>IFERROR(ROUND($W42*$Z42*$AC42*参数!$D$13,0),"")</f>
        <v>3711</v>
      </c>
      <c r="G42" s="16">
        <v>52158</v>
      </c>
      <c r="H42" s="16">
        <v>2194</v>
      </c>
      <c r="I42" s="16">
        <v>2941</v>
      </c>
      <c r="J42" s="16">
        <v>8</v>
      </c>
      <c r="K42" s="16">
        <v>8</v>
      </c>
      <c r="L42" s="16">
        <f>IFERROR(INDEX(楼层配置!$D$5:$D$104,MATCH($K42,楼层配置!$B$5:$B$104,0)),"")</f>
        <v>38</v>
      </c>
      <c r="M42" s="16" t="str">
        <f>IFERROR(INDEX(_角色基线!$B$2:$B$100,MATCH($B42,_角色基线!$A$2:$A$100,0)),"")</f>
        <v>阿莱克西娅</v>
      </c>
      <c r="N42" s="16" t="str">
        <f>IFERROR(INDEX(_角色基线!$C$2:$C$100,MATCH($B42,_角色基线!$A$2:$A$100,0)),"")</f>
        <v>Support</v>
      </c>
      <c r="O42" s="16">
        <f>IFERROR(INDEX(_怪物基线!$B$2:$B$501,MATCH(INT($L42),_怪物基线!$A$2:$A$501,0)),"")</f>
        <v>7481</v>
      </c>
      <c r="P42" s="16">
        <f>IFERROR(INDEX(_怪物基线!$C$2:$C$501,MATCH(INT($L42),_怪物基线!$A$2:$A$501,0)),"")</f>
        <v>1963</v>
      </c>
      <c r="Q42" s="16">
        <f>IFERROR(INDEX(_怪物基线!$D$2:$D$501,MATCH(INT($L42),_怪物基线!$A$2:$A$501,0)),"")</f>
        <v>2969</v>
      </c>
      <c r="R42" s="16">
        <f>参数!$B$10</f>
        <v>4</v>
      </c>
      <c r="S42" s="16">
        <f>参数!$C$10</f>
        <v>1.2</v>
      </c>
      <c r="T42" s="16">
        <f>参数!$D$10</f>
        <v>1</v>
      </c>
      <c r="U42" s="16">
        <f t="shared" si="0"/>
        <v>29924</v>
      </c>
      <c r="V42" s="16">
        <f t="shared" si="1"/>
        <v>2355.6</v>
      </c>
      <c r="W42" s="16">
        <f t="shared" si="2"/>
        <v>2969</v>
      </c>
      <c r="X42" s="16">
        <f>IFERROR(INDEX(参数!$B$5:$B$7,MATCH($N42,参数!$A$5:$A$7,0)),"")</f>
        <v>1.25</v>
      </c>
      <c r="Y42" s="16">
        <f>IFERROR(INDEX(参数!$C$5:$C$7,MATCH($N42,参数!$A$5:$A$7,0)),"")</f>
        <v>1</v>
      </c>
      <c r="Z42" s="16">
        <f>IFERROR(INDEX(参数!$D$5:$D$7,MATCH($N42,参数!$A$5:$A$7,0)),"")</f>
        <v>1.25</v>
      </c>
      <c r="AA42" s="16">
        <f>IFERROR(INDEX(楼层配置!$E$5:$E$104,MATCH($K42,楼层配置!$B$5:$B$104,0)),1)</f>
        <v>1.08637314746255</v>
      </c>
      <c r="AB42" s="16">
        <f>IFERROR(INDEX(楼层配置!$F$5:$F$104,MATCH($K42,楼层配置!$B$5:$B$104,0)),1)</f>
        <v>0.793670586729554</v>
      </c>
      <c r="AC42" s="16">
        <f>IFERROR(INDEX(楼层配置!$G$5:$G$104,MATCH($K42,楼层配置!$B$5:$B$104,0)),1)</f>
        <v>1</v>
      </c>
      <c r="AD42" s="18">
        <f t="shared" si="3"/>
        <v>-0.220905709574754</v>
      </c>
      <c r="AE42" s="18">
        <f t="shared" si="4"/>
        <v>-0.14767547857794</v>
      </c>
      <c r="AF42" s="18">
        <f t="shared" si="5"/>
        <v>0.261815708942537</v>
      </c>
      <c r="AG42" s="16" t="str">
        <f t="shared" si="6"/>
        <v>有效</v>
      </c>
      <c r="AH42">
        <f t="shared" si="7"/>
        <v>46919.3415</v>
      </c>
    </row>
    <row r="43" ht="14.25" customHeight="1" spans="1:34">
      <c r="A43" s="16">
        <v>39</v>
      </c>
      <c r="B43" s="16">
        <v>1018</v>
      </c>
      <c r="C43" s="16">
        <v>14</v>
      </c>
      <c r="D43" s="17">
        <f>IFERROR(ROUND($U43*$X43*$AA43*参数!$B$13,0),"")</f>
        <v>40636</v>
      </c>
      <c r="E43" s="17">
        <f>IFERROR(ROUND($V43*$Y43*$AB43*参数!$C$13,0),"")</f>
        <v>1870</v>
      </c>
      <c r="F43" s="17">
        <f>IFERROR(ROUND($W43*$Z43*$AC43*参数!$D$13,0),"")</f>
        <v>3711</v>
      </c>
      <c r="G43" s="16">
        <v>52158</v>
      </c>
      <c r="H43" s="16">
        <v>2194</v>
      </c>
      <c r="I43" s="16">
        <v>2941</v>
      </c>
      <c r="J43" s="16">
        <v>8</v>
      </c>
      <c r="K43" s="16">
        <v>8</v>
      </c>
      <c r="L43" s="16">
        <f>IFERROR(INDEX(楼层配置!$D$5:$D$104,MATCH($K43,楼层配置!$B$5:$B$104,0)),"")</f>
        <v>38</v>
      </c>
      <c r="M43" s="16" t="str">
        <f>IFERROR(INDEX(_角色基线!$B$2:$B$100,MATCH($B43,_角色基线!$A$2:$A$100,0)),"")</f>
        <v>埃莉诺</v>
      </c>
      <c r="N43" s="16" t="str">
        <f>IFERROR(INDEX(_角色基线!$C$2:$C$100,MATCH($B43,_角色基线!$A$2:$A$100,0)),"")</f>
        <v>Support</v>
      </c>
      <c r="O43" s="16">
        <f>IFERROR(INDEX(_怪物基线!$B$2:$B$501,MATCH(INT($L43),_怪物基线!$A$2:$A$501,0)),"")</f>
        <v>7481</v>
      </c>
      <c r="P43" s="16">
        <f>IFERROR(INDEX(_怪物基线!$C$2:$C$501,MATCH(INT($L43),_怪物基线!$A$2:$A$501,0)),"")</f>
        <v>1963</v>
      </c>
      <c r="Q43" s="16">
        <f>IFERROR(INDEX(_怪物基线!$D$2:$D$501,MATCH(INT($L43),_怪物基线!$A$2:$A$501,0)),"")</f>
        <v>2969</v>
      </c>
      <c r="R43" s="16">
        <f>参数!$B$10</f>
        <v>4</v>
      </c>
      <c r="S43" s="16">
        <f>参数!$C$10</f>
        <v>1.2</v>
      </c>
      <c r="T43" s="16">
        <f>参数!$D$10</f>
        <v>1</v>
      </c>
      <c r="U43" s="16">
        <f t="shared" si="0"/>
        <v>29924</v>
      </c>
      <c r="V43" s="16">
        <f t="shared" si="1"/>
        <v>2355.6</v>
      </c>
      <c r="W43" s="16">
        <f t="shared" si="2"/>
        <v>2969</v>
      </c>
      <c r="X43" s="16">
        <f>IFERROR(INDEX(参数!$B$5:$B$7,MATCH($N43,参数!$A$5:$A$7,0)),"")</f>
        <v>1.25</v>
      </c>
      <c r="Y43" s="16">
        <f>IFERROR(INDEX(参数!$C$5:$C$7,MATCH($N43,参数!$A$5:$A$7,0)),"")</f>
        <v>1</v>
      </c>
      <c r="Z43" s="16">
        <f>IFERROR(INDEX(参数!$D$5:$D$7,MATCH($N43,参数!$A$5:$A$7,0)),"")</f>
        <v>1.25</v>
      </c>
      <c r="AA43" s="16">
        <f>IFERROR(INDEX(楼层配置!$E$5:$E$104,MATCH($K43,楼层配置!$B$5:$B$104,0)),1)</f>
        <v>1.08637314746255</v>
      </c>
      <c r="AB43" s="16">
        <f>IFERROR(INDEX(楼层配置!$F$5:$F$104,MATCH($K43,楼层配置!$B$5:$B$104,0)),1)</f>
        <v>0.793670586729554</v>
      </c>
      <c r="AC43" s="16">
        <f>IFERROR(INDEX(楼层配置!$G$5:$G$104,MATCH($K43,楼层配置!$B$5:$B$104,0)),1)</f>
        <v>1</v>
      </c>
      <c r="AD43" s="18">
        <f t="shared" si="3"/>
        <v>-0.220905709574754</v>
      </c>
      <c r="AE43" s="18">
        <f t="shared" si="4"/>
        <v>-0.14767547857794</v>
      </c>
      <c r="AF43" s="18">
        <f t="shared" si="5"/>
        <v>0.261815708942537</v>
      </c>
      <c r="AG43" s="16" t="str">
        <f t="shared" si="6"/>
        <v>有效</v>
      </c>
      <c r="AH43">
        <f t="shared" si="7"/>
        <v>46919.3415</v>
      </c>
    </row>
    <row r="44" ht="14.25" customHeight="1" spans="1:34">
      <c r="A44" s="16">
        <v>40</v>
      </c>
      <c r="B44" s="16">
        <v>1040</v>
      </c>
      <c r="C44" s="16">
        <v>14</v>
      </c>
      <c r="D44" s="17">
        <f>IFERROR(ROUND($U44*$X44*$AA44*参数!$B$13,0),"")</f>
        <v>40636</v>
      </c>
      <c r="E44" s="17">
        <f>IFERROR(ROUND($V44*$Y44*$AB44*参数!$C$13,0),"")</f>
        <v>1870</v>
      </c>
      <c r="F44" s="17">
        <f>IFERROR(ROUND($W44*$Z44*$AC44*参数!$D$13,0),"")</f>
        <v>3711</v>
      </c>
      <c r="G44" s="16">
        <v>52158</v>
      </c>
      <c r="H44" s="16">
        <v>2194</v>
      </c>
      <c r="I44" s="16">
        <v>2941</v>
      </c>
      <c r="J44" s="16">
        <v>8</v>
      </c>
      <c r="K44" s="16">
        <v>8</v>
      </c>
      <c r="L44" s="16">
        <f>IFERROR(INDEX(楼层配置!$D$5:$D$104,MATCH($K44,楼层配置!$B$5:$B$104,0)),"")</f>
        <v>38</v>
      </c>
      <c r="M44" s="16" t="str">
        <f>IFERROR(INDEX(_角色基线!$B$2:$B$100,MATCH($B44,_角色基线!$A$2:$A$100,0)),"")</f>
        <v>小寒</v>
      </c>
      <c r="N44" s="16" t="str">
        <f>IFERROR(INDEX(_角色基线!$C$2:$C$100,MATCH($B44,_角色基线!$A$2:$A$100,0)),"")</f>
        <v>Support</v>
      </c>
      <c r="O44" s="16">
        <f>IFERROR(INDEX(_怪物基线!$B$2:$B$501,MATCH(INT($L44),_怪物基线!$A$2:$A$501,0)),"")</f>
        <v>7481</v>
      </c>
      <c r="P44" s="16">
        <f>IFERROR(INDEX(_怪物基线!$C$2:$C$501,MATCH(INT($L44),_怪物基线!$A$2:$A$501,0)),"")</f>
        <v>1963</v>
      </c>
      <c r="Q44" s="16">
        <f>IFERROR(INDEX(_怪物基线!$D$2:$D$501,MATCH(INT($L44),_怪物基线!$A$2:$A$501,0)),"")</f>
        <v>2969</v>
      </c>
      <c r="R44" s="16">
        <f>参数!$B$10</f>
        <v>4</v>
      </c>
      <c r="S44" s="16">
        <f>参数!$C$10</f>
        <v>1.2</v>
      </c>
      <c r="T44" s="16">
        <f>参数!$D$10</f>
        <v>1</v>
      </c>
      <c r="U44" s="16">
        <f t="shared" si="0"/>
        <v>29924</v>
      </c>
      <c r="V44" s="16">
        <f t="shared" si="1"/>
        <v>2355.6</v>
      </c>
      <c r="W44" s="16">
        <f t="shared" si="2"/>
        <v>2969</v>
      </c>
      <c r="X44" s="16">
        <f>IFERROR(INDEX(参数!$B$5:$B$7,MATCH($N44,参数!$A$5:$A$7,0)),"")</f>
        <v>1.25</v>
      </c>
      <c r="Y44" s="16">
        <f>IFERROR(INDEX(参数!$C$5:$C$7,MATCH($N44,参数!$A$5:$A$7,0)),"")</f>
        <v>1</v>
      </c>
      <c r="Z44" s="16">
        <f>IFERROR(INDEX(参数!$D$5:$D$7,MATCH($N44,参数!$A$5:$A$7,0)),"")</f>
        <v>1.25</v>
      </c>
      <c r="AA44" s="16">
        <f>IFERROR(INDEX(楼层配置!$E$5:$E$104,MATCH($K44,楼层配置!$B$5:$B$104,0)),1)</f>
        <v>1.08637314746255</v>
      </c>
      <c r="AB44" s="16">
        <f>IFERROR(INDEX(楼层配置!$F$5:$F$104,MATCH($K44,楼层配置!$B$5:$B$104,0)),1)</f>
        <v>0.793670586729554</v>
      </c>
      <c r="AC44" s="16">
        <f>IFERROR(INDEX(楼层配置!$G$5:$G$104,MATCH($K44,楼层配置!$B$5:$B$104,0)),1)</f>
        <v>1</v>
      </c>
      <c r="AD44" s="18">
        <f t="shared" si="3"/>
        <v>-0.220905709574754</v>
      </c>
      <c r="AE44" s="18">
        <f t="shared" si="4"/>
        <v>-0.14767547857794</v>
      </c>
      <c r="AF44" s="18">
        <f t="shared" si="5"/>
        <v>0.261815708942537</v>
      </c>
      <c r="AG44" s="16" t="str">
        <f t="shared" si="6"/>
        <v>有效</v>
      </c>
      <c r="AH44">
        <f t="shared" si="7"/>
        <v>46919.3415</v>
      </c>
    </row>
    <row r="45" ht="14.25" customHeight="1" spans="1:34">
      <c r="A45" s="16">
        <v>41</v>
      </c>
      <c r="B45" s="16">
        <v>1038</v>
      </c>
      <c r="C45" s="16">
        <v>14</v>
      </c>
      <c r="D45" s="17">
        <f>IFERROR(ROUND($U45*$X45*$AA45*参数!$B$13,0),"")</f>
        <v>57801</v>
      </c>
      <c r="E45" s="17">
        <f>IFERROR(ROUND($V45*$Y45*$AB45*参数!$C$13,0),"")</f>
        <v>2086</v>
      </c>
      <c r="F45" s="17">
        <f>IFERROR(ROUND($W45*$Z45*$AC45*参数!$D$13,0),"")</f>
        <v>4952</v>
      </c>
      <c r="G45" s="16">
        <v>71092</v>
      </c>
      <c r="H45" s="16">
        <v>2402</v>
      </c>
      <c r="I45" s="16">
        <v>3852</v>
      </c>
      <c r="J45" s="16">
        <v>9</v>
      </c>
      <c r="K45" s="16">
        <v>9</v>
      </c>
      <c r="L45" s="16">
        <f>IFERROR(INDEX(楼层配置!$D$5:$D$104,MATCH($K45,楼层配置!$B$5:$B$104,0)),"")</f>
        <v>42</v>
      </c>
      <c r="M45" s="16" t="str">
        <f>IFERROR(INDEX(_角色基线!$B$2:$B$100,MATCH($B45,_角色基线!$A$2:$A$100,0)),"")</f>
        <v>商队战斗员</v>
      </c>
      <c r="N45" s="16" t="str">
        <f>IFERROR(INDEX(_角色基线!$C$2:$C$100,MATCH($B45,_角色基线!$A$2:$A$100,0)),"")</f>
        <v>Tank</v>
      </c>
      <c r="O45" s="16">
        <f>IFERROR(INDEX(_怪物基线!$B$2:$B$501,MATCH(INT($L45),_怪物基线!$A$2:$A$501,0)),"")</f>
        <v>8698</v>
      </c>
      <c r="P45" s="16">
        <f>IFERROR(INDEX(_怪物基线!$C$2:$C$501,MATCH(INT($L45),_怪物基线!$A$2:$A$501,0)),"")</f>
        <v>2206</v>
      </c>
      <c r="Q45" s="16">
        <f>IFERROR(INDEX(_怪物基线!$D$2:$D$501,MATCH(INT($L45),_怪物基线!$A$2:$A$501,0)),"")</f>
        <v>3301</v>
      </c>
      <c r="R45" s="16">
        <f>参数!$B$10</f>
        <v>4</v>
      </c>
      <c r="S45" s="16">
        <f>参数!$C$10</f>
        <v>1.2</v>
      </c>
      <c r="T45" s="16">
        <f>参数!$D$10</f>
        <v>1</v>
      </c>
      <c r="U45" s="16">
        <f t="shared" si="0"/>
        <v>34792</v>
      </c>
      <c r="V45" s="16">
        <f t="shared" si="1"/>
        <v>2647.2</v>
      </c>
      <c r="W45" s="16">
        <f t="shared" si="2"/>
        <v>3301</v>
      </c>
      <c r="X45" s="16">
        <f>IFERROR(INDEX(参数!$B$5:$B$7,MATCH($N45,参数!$A$5:$A$7,0)),"")</f>
        <v>1.5</v>
      </c>
      <c r="Y45" s="16">
        <f>IFERROR(INDEX(参数!$C$5:$C$7,MATCH($N45,参数!$A$5:$A$7,0)),"")</f>
        <v>1</v>
      </c>
      <c r="Z45" s="16">
        <f>IFERROR(INDEX(参数!$D$5:$D$7,MATCH($N45,参数!$A$5:$A$7,0)),"")</f>
        <v>1.5</v>
      </c>
      <c r="AA45" s="16">
        <f>IFERROR(INDEX(楼层配置!$E$5:$E$104,MATCH($K45,楼层配置!$B$5:$B$104,0)),1)</f>
        <v>1.10754711497976</v>
      </c>
      <c r="AB45" s="16">
        <f>IFERROR(INDEX(楼层配置!$F$5:$F$104,MATCH($K45,楼层配置!$B$5:$B$104,0)),1)</f>
        <v>0.787948377143275</v>
      </c>
      <c r="AC45" s="16">
        <f>IFERROR(INDEX(楼层配置!$G$5:$G$104,MATCH($K45,楼层配置!$B$5:$B$104,0)),1)</f>
        <v>1</v>
      </c>
      <c r="AD45" s="18">
        <f t="shared" si="3"/>
        <v>-0.186954931637878</v>
      </c>
      <c r="AE45" s="18">
        <f t="shared" si="4"/>
        <v>-0.131557035803497</v>
      </c>
      <c r="AF45" s="18">
        <f t="shared" si="5"/>
        <v>0.285565939771547</v>
      </c>
      <c r="AG45" s="16" t="str">
        <f t="shared" si="6"/>
        <v>有效</v>
      </c>
      <c r="AH45">
        <f t="shared" si="7"/>
        <v>69727.273</v>
      </c>
    </row>
    <row r="46" ht="14.25" customHeight="1" spans="1:34">
      <c r="A46" s="16">
        <v>42</v>
      </c>
      <c r="B46" s="16">
        <v>1039</v>
      </c>
      <c r="C46" s="16">
        <v>14</v>
      </c>
      <c r="D46" s="17">
        <f>IFERROR(ROUND($U46*$X46*$AA46*参数!$B$13,0),"")</f>
        <v>38534</v>
      </c>
      <c r="E46" s="17">
        <f>IFERROR(ROUND($V46*$Y46*$AB46*参数!$C$13,0),"")</f>
        <v>2503</v>
      </c>
      <c r="F46" s="17">
        <f>IFERROR(ROUND($W46*$Z46*$AC46*参数!$D$13,0),"")</f>
        <v>3301</v>
      </c>
      <c r="G46" s="16">
        <v>47395</v>
      </c>
      <c r="H46" s="16">
        <v>2882</v>
      </c>
      <c r="I46" s="16">
        <v>2568</v>
      </c>
      <c r="J46" s="16">
        <v>9</v>
      </c>
      <c r="K46" s="16">
        <v>9</v>
      </c>
      <c r="L46" s="16">
        <f>IFERROR(INDEX(楼层配置!$D$5:$D$104,MATCH($K46,楼层配置!$B$5:$B$104,0)),"")</f>
        <v>42</v>
      </c>
      <c r="M46" s="16" t="str">
        <f>IFERROR(INDEX(_角色基线!$B$2:$B$100,MATCH($B46,_角色基线!$A$2:$A$100,0)),"")</f>
        <v>商队枪手</v>
      </c>
      <c r="N46" s="16" t="str">
        <f>IFERROR(INDEX(_角色基线!$C$2:$C$100,MATCH($B46,_角色基线!$A$2:$A$100,0)),"")</f>
        <v>DPS</v>
      </c>
      <c r="O46" s="16">
        <f>IFERROR(INDEX(_怪物基线!$B$2:$B$501,MATCH(INT($L46),_怪物基线!$A$2:$A$501,0)),"")</f>
        <v>8698</v>
      </c>
      <c r="P46" s="16">
        <f>IFERROR(INDEX(_怪物基线!$C$2:$C$501,MATCH(INT($L46),_怪物基线!$A$2:$A$501,0)),"")</f>
        <v>2206</v>
      </c>
      <c r="Q46" s="16">
        <f>IFERROR(INDEX(_怪物基线!$D$2:$D$501,MATCH(INT($L46),_怪物基线!$A$2:$A$501,0)),"")</f>
        <v>3301</v>
      </c>
      <c r="R46" s="16">
        <f>参数!$B$10</f>
        <v>4</v>
      </c>
      <c r="S46" s="16">
        <f>参数!$C$10</f>
        <v>1.2</v>
      </c>
      <c r="T46" s="16">
        <f>参数!$D$10</f>
        <v>1</v>
      </c>
      <c r="U46" s="16">
        <f t="shared" si="0"/>
        <v>34792</v>
      </c>
      <c r="V46" s="16">
        <f t="shared" si="1"/>
        <v>2647.2</v>
      </c>
      <c r="W46" s="16">
        <f t="shared" si="2"/>
        <v>3301</v>
      </c>
      <c r="X46" s="16">
        <f>IFERROR(INDEX(参数!$B$5:$B$7,MATCH($N46,参数!$A$5:$A$7,0)),"")</f>
        <v>1</v>
      </c>
      <c r="Y46" s="16">
        <f>IFERROR(INDEX(参数!$C$5:$C$7,MATCH($N46,参数!$A$5:$A$7,0)),"")</f>
        <v>1.2</v>
      </c>
      <c r="Z46" s="16">
        <f>IFERROR(INDEX(参数!$D$5:$D$7,MATCH($N46,参数!$A$5:$A$7,0)),"")</f>
        <v>1</v>
      </c>
      <c r="AA46" s="16">
        <f>IFERROR(INDEX(楼层配置!$E$5:$E$104,MATCH($K46,楼层配置!$B$5:$B$104,0)),1)</f>
        <v>1.10754711497976</v>
      </c>
      <c r="AB46" s="16">
        <f>IFERROR(INDEX(楼层配置!$F$5:$F$104,MATCH($K46,楼层配置!$B$5:$B$104,0)),1)</f>
        <v>0.787948377143275</v>
      </c>
      <c r="AC46" s="16">
        <f>IFERROR(INDEX(楼层配置!$G$5:$G$104,MATCH($K46,楼层配置!$B$5:$B$104,0)),1)</f>
        <v>1</v>
      </c>
      <c r="AD46" s="18">
        <f t="shared" si="3"/>
        <v>-0.18696064985758</v>
      </c>
      <c r="AE46" s="18">
        <f t="shared" si="4"/>
        <v>-0.131505898681471</v>
      </c>
      <c r="AF46" s="18">
        <f t="shared" si="5"/>
        <v>0.285436137071651</v>
      </c>
      <c r="AG46" s="16" t="str">
        <f t="shared" si="6"/>
        <v>有效</v>
      </c>
      <c r="AH46">
        <f t="shared" si="7"/>
        <v>43834.0305833333</v>
      </c>
    </row>
    <row r="47" ht="14.25" customHeight="1" spans="1:34">
      <c r="A47" s="16">
        <v>43</v>
      </c>
      <c r="B47" s="16">
        <v>1020</v>
      </c>
      <c r="C47" s="16">
        <v>14</v>
      </c>
      <c r="D47" s="17">
        <f>IFERROR(ROUND($U47*$X47*$AA47*参数!$B$13,0),"")</f>
        <v>48167</v>
      </c>
      <c r="E47" s="17">
        <f>IFERROR(ROUND($V47*$Y47*$AB47*参数!$C$13,0),"")</f>
        <v>2086</v>
      </c>
      <c r="F47" s="17">
        <f>IFERROR(ROUND($W47*$Z47*$AC47*参数!$D$13,0),"")</f>
        <v>4126</v>
      </c>
      <c r="G47" s="16">
        <v>59244</v>
      </c>
      <c r="H47" s="16">
        <v>2402</v>
      </c>
      <c r="I47" s="16">
        <v>3210</v>
      </c>
      <c r="J47" s="16">
        <v>9</v>
      </c>
      <c r="K47" s="16">
        <v>9</v>
      </c>
      <c r="L47" s="16">
        <f>IFERROR(INDEX(楼层配置!$D$5:$D$104,MATCH($K47,楼层配置!$B$5:$B$104,0)),"")</f>
        <v>42</v>
      </c>
      <c r="M47" s="16" t="str">
        <f>IFERROR(INDEX(_角色基线!$B$2:$B$100,MATCH($B47,_角色基线!$A$2:$A$100,0)),"")</f>
        <v>卡斯帕</v>
      </c>
      <c r="N47" s="16" t="str">
        <f>IFERROR(INDEX(_角色基线!$C$2:$C$100,MATCH($B47,_角色基线!$A$2:$A$100,0)),"")</f>
        <v>Support</v>
      </c>
      <c r="O47" s="16">
        <f>IFERROR(INDEX(_怪物基线!$B$2:$B$501,MATCH(INT($L47),_怪物基线!$A$2:$A$501,0)),"")</f>
        <v>8698</v>
      </c>
      <c r="P47" s="16">
        <f>IFERROR(INDEX(_怪物基线!$C$2:$C$501,MATCH(INT($L47),_怪物基线!$A$2:$A$501,0)),"")</f>
        <v>2206</v>
      </c>
      <c r="Q47" s="16">
        <f>IFERROR(INDEX(_怪物基线!$D$2:$D$501,MATCH(INT($L47),_怪物基线!$A$2:$A$501,0)),"")</f>
        <v>3301</v>
      </c>
      <c r="R47" s="16">
        <f>参数!$B$10</f>
        <v>4</v>
      </c>
      <c r="S47" s="16">
        <f>参数!$C$10</f>
        <v>1.2</v>
      </c>
      <c r="T47" s="16">
        <f>参数!$D$10</f>
        <v>1</v>
      </c>
      <c r="U47" s="16">
        <f t="shared" si="0"/>
        <v>34792</v>
      </c>
      <c r="V47" s="16">
        <f t="shared" si="1"/>
        <v>2647.2</v>
      </c>
      <c r="W47" s="16">
        <f t="shared" si="2"/>
        <v>3301</v>
      </c>
      <c r="X47" s="16">
        <f>IFERROR(INDEX(参数!$B$5:$B$7,MATCH($N47,参数!$A$5:$A$7,0)),"")</f>
        <v>1.25</v>
      </c>
      <c r="Y47" s="16">
        <f>IFERROR(INDEX(参数!$C$5:$C$7,MATCH($N47,参数!$A$5:$A$7,0)),"")</f>
        <v>1</v>
      </c>
      <c r="Z47" s="16">
        <f>IFERROR(INDEX(参数!$D$5:$D$7,MATCH($N47,参数!$A$5:$A$7,0)),"")</f>
        <v>1.25</v>
      </c>
      <c r="AA47" s="16">
        <f>IFERROR(INDEX(楼层配置!$E$5:$E$104,MATCH($K47,楼层配置!$B$5:$B$104,0)),1)</f>
        <v>1.10754711497976</v>
      </c>
      <c r="AB47" s="16">
        <f>IFERROR(INDEX(楼层配置!$F$5:$F$104,MATCH($K47,楼层配置!$B$5:$B$104,0)),1)</f>
        <v>0.787948377143275</v>
      </c>
      <c r="AC47" s="16">
        <f>IFERROR(INDEX(楼层配置!$G$5:$G$104,MATCH($K47,楼层配置!$B$5:$B$104,0)),1)</f>
        <v>1</v>
      </c>
      <c r="AD47" s="18">
        <f t="shared" si="3"/>
        <v>-0.186972520424009</v>
      </c>
      <c r="AE47" s="18">
        <f t="shared" si="4"/>
        <v>-0.131557035803497</v>
      </c>
      <c r="AF47" s="18">
        <f t="shared" si="5"/>
        <v>0.285358255451713</v>
      </c>
      <c r="AG47" s="16" t="str">
        <f t="shared" si="6"/>
        <v>有效</v>
      </c>
      <c r="AH47">
        <f t="shared" si="7"/>
        <v>56447.7100833333</v>
      </c>
    </row>
    <row r="48" ht="14.25" customHeight="1" spans="1:34">
      <c r="A48" s="16">
        <v>44</v>
      </c>
      <c r="B48" s="16">
        <v>1023</v>
      </c>
      <c r="C48" s="16">
        <v>14</v>
      </c>
      <c r="D48" s="17">
        <f>IFERROR(ROUND($U48*$X48*$AA48*参数!$B$13,0),"")</f>
        <v>48167</v>
      </c>
      <c r="E48" s="17">
        <f>IFERROR(ROUND($V48*$Y48*$AB48*参数!$C$13,0),"")</f>
        <v>2086</v>
      </c>
      <c r="F48" s="17">
        <f>IFERROR(ROUND($W48*$Z48*$AC48*参数!$D$13,0),"")</f>
        <v>4126</v>
      </c>
      <c r="G48" s="16">
        <v>59244</v>
      </c>
      <c r="H48" s="16">
        <v>2402</v>
      </c>
      <c r="I48" s="16">
        <v>3210</v>
      </c>
      <c r="J48" s="16">
        <v>9</v>
      </c>
      <c r="K48" s="16">
        <v>9</v>
      </c>
      <c r="L48" s="16">
        <f>IFERROR(INDEX(楼层配置!$D$5:$D$104,MATCH($K48,楼层配置!$B$5:$B$104,0)),"")</f>
        <v>42</v>
      </c>
      <c r="M48" s="16" t="str">
        <f>IFERROR(INDEX(_角色基线!$B$2:$B$100,MATCH($B48,_角色基线!$A$2:$A$100,0)),"")</f>
        <v>马克</v>
      </c>
      <c r="N48" s="16" t="str">
        <f>IFERROR(INDEX(_角色基线!$C$2:$C$100,MATCH($B48,_角色基线!$A$2:$A$100,0)),"")</f>
        <v>Support</v>
      </c>
      <c r="O48" s="16">
        <f>IFERROR(INDEX(_怪物基线!$B$2:$B$501,MATCH(INT($L48),_怪物基线!$A$2:$A$501,0)),"")</f>
        <v>8698</v>
      </c>
      <c r="P48" s="16">
        <f>IFERROR(INDEX(_怪物基线!$C$2:$C$501,MATCH(INT($L48),_怪物基线!$A$2:$A$501,0)),"")</f>
        <v>2206</v>
      </c>
      <c r="Q48" s="16">
        <f>IFERROR(INDEX(_怪物基线!$D$2:$D$501,MATCH(INT($L48),_怪物基线!$A$2:$A$501,0)),"")</f>
        <v>3301</v>
      </c>
      <c r="R48" s="16">
        <f>参数!$B$10</f>
        <v>4</v>
      </c>
      <c r="S48" s="16">
        <f>参数!$C$10</f>
        <v>1.2</v>
      </c>
      <c r="T48" s="16">
        <f>参数!$D$10</f>
        <v>1</v>
      </c>
      <c r="U48" s="16">
        <f t="shared" si="0"/>
        <v>34792</v>
      </c>
      <c r="V48" s="16">
        <f t="shared" si="1"/>
        <v>2647.2</v>
      </c>
      <c r="W48" s="16">
        <f t="shared" si="2"/>
        <v>3301</v>
      </c>
      <c r="X48" s="16">
        <f>IFERROR(INDEX(参数!$B$5:$B$7,MATCH($N48,参数!$A$5:$A$7,0)),"")</f>
        <v>1.25</v>
      </c>
      <c r="Y48" s="16">
        <f>IFERROR(INDEX(参数!$C$5:$C$7,MATCH($N48,参数!$A$5:$A$7,0)),"")</f>
        <v>1</v>
      </c>
      <c r="Z48" s="16">
        <f>IFERROR(INDEX(参数!$D$5:$D$7,MATCH($N48,参数!$A$5:$A$7,0)),"")</f>
        <v>1.25</v>
      </c>
      <c r="AA48" s="16">
        <f>IFERROR(INDEX(楼层配置!$E$5:$E$104,MATCH($K48,楼层配置!$B$5:$B$104,0)),1)</f>
        <v>1.10754711497976</v>
      </c>
      <c r="AB48" s="16">
        <f>IFERROR(INDEX(楼层配置!$F$5:$F$104,MATCH($K48,楼层配置!$B$5:$B$104,0)),1)</f>
        <v>0.787948377143275</v>
      </c>
      <c r="AC48" s="16">
        <f>IFERROR(INDEX(楼层配置!$G$5:$G$104,MATCH($K48,楼层配置!$B$5:$B$104,0)),1)</f>
        <v>1</v>
      </c>
      <c r="AD48" s="18">
        <f t="shared" si="3"/>
        <v>-0.186972520424009</v>
      </c>
      <c r="AE48" s="18">
        <f t="shared" si="4"/>
        <v>-0.131557035803497</v>
      </c>
      <c r="AF48" s="18">
        <f t="shared" si="5"/>
        <v>0.285358255451713</v>
      </c>
      <c r="AG48" s="16" t="str">
        <f t="shared" si="6"/>
        <v>有效</v>
      </c>
      <c r="AH48">
        <f t="shared" si="7"/>
        <v>56447.7100833333</v>
      </c>
    </row>
    <row r="49" ht="14.25" customHeight="1" spans="1:34">
      <c r="A49" s="16">
        <v>45</v>
      </c>
      <c r="B49" s="16">
        <v>1024</v>
      </c>
      <c r="C49" s="16">
        <v>14</v>
      </c>
      <c r="D49" s="17">
        <f>IFERROR(ROUND($U49*$X49*$AA49*参数!$B$13,0),"")</f>
        <v>38534</v>
      </c>
      <c r="E49" s="17">
        <f>IFERROR(ROUND($V49*$Y49*$AB49*参数!$C$13,0),"")</f>
        <v>2503</v>
      </c>
      <c r="F49" s="17">
        <f>IFERROR(ROUND($W49*$Z49*$AC49*参数!$D$13,0),"")</f>
        <v>3301</v>
      </c>
      <c r="G49" s="16">
        <v>47395</v>
      </c>
      <c r="H49" s="16">
        <v>2882</v>
      </c>
      <c r="I49" s="16">
        <v>2568</v>
      </c>
      <c r="J49" s="16">
        <v>9</v>
      </c>
      <c r="K49" s="16">
        <v>9</v>
      </c>
      <c r="L49" s="16">
        <f>IFERROR(INDEX(楼层配置!$D$5:$D$104,MATCH($K49,楼层配置!$B$5:$B$104,0)),"")</f>
        <v>42</v>
      </c>
      <c r="M49" s="16" t="str">
        <f>IFERROR(INDEX(_角色基线!$B$2:$B$100,MATCH($B49,_角色基线!$A$2:$A$100,0)),"")</f>
        <v>卡薇</v>
      </c>
      <c r="N49" s="16" t="str">
        <f>IFERROR(INDEX(_角色基线!$C$2:$C$100,MATCH($B49,_角色基线!$A$2:$A$100,0)),"")</f>
        <v>DPS</v>
      </c>
      <c r="O49" s="16">
        <f>IFERROR(INDEX(_怪物基线!$B$2:$B$501,MATCH(INT($L49),_怪物基线!$A$2:$A$501,0)),"")</f>
        <v>8698</v>
      </c>
      <c r="P49" s="16">
        <f>IFERROR(INDEX(_怪物基线!$C$2:$C$501,MATCH(INT($L49),_怪物基线!$A$2:$A$501,0)),"")</f>
        <v>2206</v>
      </c>
      <c r="Q49" s="16">
        <f>IFERROR(INDEX(_怪物基线!$D$2:$D$501,MATCH(INT($L49),_怪物基线!$A$2:$A$501,0)),"")</f>
        <v>3301</v>
      </c>
      <c r="R49" s="16">
        <f>参数!$B$10</f>
        <v>4</v>
      </c>
      <c r="S49" s="16">
        <f>参数!$C$10</f>
        <v>1.2</v>
      </c>
      <c r="T49" s="16">
        <f>参数!$D$10</f>
        <v>1</v>
      </c>
      <c r="U49" s="16">
        <f t="shared" si="0"/>
        <v>34792</v>
      </c>
      <c r="V49" s="16">
        <f t="shared" si="1"/>
        <v>2647.2</v>
      </c>
      <c r="W49" s="16">
        <f t="shared" si="2"/>
        <v>3301</v>
      </c>
      <c r="X49" s="16">
        <f>IFERROR(INDEX(参数!$B$5:$B$7,MATCH($N49,参数!$A$5:$A$7,0)),"")</f>
        <v>1</v>
      </c>
      <c r="Y49" s="16">
        <f>IFERROR(INDEX(参数!$C$5:$C$7,MATCH($N49,参数!$A$5:$A$7,0)),"")</f>
        <v>1.2</v>
      </c>
      <c r="Z49" s="16">
        <f>IFERROR(INDEX(参数!$D$5:$D$7,MATCH($N49,参数!$A$5:$A$7,0)),"")</f>
        <v>1</v>
      </c>
      <c r="AA49" s="16">
        <f>IFERROR(INDEX(楼层配置!$E$5:$E$104,MATCH($K49,楼层配置!$B$5:$B$104,0)),1)</f>
        <v>1.10754711497976</v>
      </c>
      <c r="AB49" s="16">
        <f>IFERROR(INDEX(楼层配置!$F$5:$F$104,MATCH($K49,楼层配置!$B$5:$B$104,0)),1)</f>
        <v>0.787948377143275</v>
      </c>
      <c r="AC49" s="16">
        <f>IFERROR(INDEX(楼层配置!$G$5:$G$104,MATCH($K49,楼层配置!$B$5:$B$104,0)),1)</f>
        <v>1</v>
      </c>
      <c r="AD49" s="18">
        <f t="shared" si="3"/>
        <v>-0.18696064985758</v>
      </c>
      <c r="AE49" s="18">
        <f t="shared" si="4"/>
        <v>-0.131505898681471</v>
      </c>
      <c r="AF49" s="18">
        <f t="shared" si="5"/>
        <v>0.285436137071651</v>
      </c>
      <c r="AG49" s="16" t="str">
        <f t="shared" si="6"/>
        <v>有效</v>
      </c>
      <c r="AH49">
        <f t="shared" si="7"/>
        <v>43834.0305833333</v>
      </c>
    </row>
    <row r="50" ht="14.25" customHeight="1" spans="1:34">
      <c r="A50" s="16">
        <v>46</v>
      </c>
      <c r="B50" s="16">
        <v>1007</v>
      </c>
      <c r="C50" s="16">
        <v>15</v>
      </c>
      <c r="D50" s="17">
        <f>IFERROR(ROUND($U50*$X50*$AA50*参数!$B$13,0),"")</f>
        <v>54706</v>
      </c>
      <c r="E50" s="17">
        <f>IFERROR(ROUND($V50*$Y50*$AB50*参数!$C$13,0),"")</f>
        <v>2253</v>
      </c>
      <c r="F50" s="17">
        <f>IFERROR(ROUND($W50*$Z50*$AC50*参数!$D$13,0),"")</f>
        <v>4440</v>
      </c>
      <c r="G50" s="16">
        <v>66792</v>
      </c>
      <c r="H50" s="16">
        <v>2615</v>
      </c>
      <c r="I50" s="16">
        <v>3482</v>
      </c>
      <c r="J50" s="16">
        <v>10</v>
      </c>
      <c r="K50" s="16">
        <v>10</v>
      </c>
      <c r="L50" s="16">
        <f>IFERROR(INDEX(楼层配置!$D$5:$D$104,MATCH($K50,楼层配置!$B$5:$B$104,0)),"")</f>
        <v>45</v>
      </c>
      <c r="M50" s="16" t="str">
        <f>IFERROR(INDEX(_角色基线!$B$2:$B$100,MATCH($B50,_角色基线!$A$2:$A$100,0)),"")</f>
        <v>萨萨莉安</v>
      </c>
      <c r="N50" s="16" t="str">
        <f>IFERROR(INDEX(_角色基线!$C$2:$C$100,MATCH($B50,_角色基线!$A$2:$A$100,0)),"")</f>
        <v>Support</v>
      </c>
      <c r="O50" s="16">
        <f>IFERROR(INDEX(_怪物基线!$B$2:$B$501,MATCH(INT($L50),_怪物基线!$A$2:$A$501,0)),"")</f>
        <v>9666</v>
      </c>
      <c r="P50" s="16">
        <f>IFERROR(INDEX(_怪物基线!$C$2:$C$501,MATCH(INT($L50),_怪物基线!$A$2:$A$501,0)),"")</f>
        <v>2392</v>
      </c>
      <c r="Q50" s="16">
        <f>IFERROR(INDEX(_怪物基线!$D$2:$D$501,MATCH(INT($L50),_怪物基线!$A$2:$A$501,0)),"")</f>
        <v>3552</v>
      </c>
      <c r="R50" s="16">
        <f>参数!$B$10</f>
        <v>4</v>
      </c>
      <c r="S50" s="16">
        <f>参数!$C$10</f>
        <v>1.2</v>
      </c>
      <c r="T50" s="16">
        <f>参数!$D$10</f>
        <v>1</v>
      </c>
      <c r="U50" s="16">
        <f t="shared" si="0"/>
        <v>38664</v>
      </c>
      <c r="V50" s="16">
        <f t="shared" si="1"/>
        <v>2870.4</v>
      </c>
      <c r="W50" s="16">
        <f t="shared" si="2"/>
        <v>3552</v>
      </c>
      <c r="X50" s="16">
        <f>IFERROR(INDEX(参数!$B$5:$B$7,MATCH($N50,参数!$A$5:$A$7,0)),"")</f>
        <v>1.25</v>
      </c>
      <c r="Y50" s="16">
        <f>IFERROR(INDEX(参数!$C$5:$C$7,MATCH($N50,参数!$A$5:$A$7,0)),"")</f>
        <v>1</v>
      </c>
      <c r="Z50" s="16">
        <f>IFERROR(INDEX(参数!$D$5:$D$7,MATCH($N50,参数!$A$5:$A$7,0)),"")</f>
        <v>1.25</v>
      </c>
      <c r="AA50" s="16">
        <f>IFERROR(INDEX(楼层配置!$E$5:$E$104,MATCH($K50,楼层配置!$B$5:$B$104,0)),1)</f>
        <v>1.13192683584798</v>
      </c>
      <c r="AB50" s="16">
        <f>IFERROR(INDEX(楼层配置!$F$5:$F$104,MATCH($K50,楼层配置!$B$5:$B$104,0)),1)</f>
        <v>0.785011875798147</v>
      </c>
      <c r="AC50" s="16">
        <f>IFERROR(INDEX(楼层配置!$G$5:$G$104,MATCH($K50,楼层配置!$B$5:$B$104,0)),1)</f>
        <v>1</v>
      </c>
      <c r="AD50" s="18">
        <f t="shared" si="3"/>
        <v>-0.180949814349024</v>
      </c>
      <c r="AE50" s="18">
        <f t="shared" si="4"/>
        <v>-0.138432122370937</v>
      </c>
      <c r="AF50" s="18">
        <f t="shared" si="5"/>
        <v>0.275129236071223</v>
      </c>
      <c r="AG50" s="16" t="str">
        <f t="shared" si="6"/>
        <v>有效</v>
      </c>
      <c r="AH50">
        <f t="shared" si="7"/>
        <v>64826.61</v>
      </c>
    </row>
    <row r="51" ht="14.25" customHeight="1" spans="1:34">
      <c r="A51" s="16">
        <v>47</v>
      </c>
      <c r="B51" s="16">
        <v>1005</v>
      </c>
      <c r="C51" s="16">
        <v>15</v>
      </c>
      <c r="D51" s="17">
        <f>IFERROR(ROUND($U51*$X51*$AA51*参数!$B$13,0),"")</f>
        <v>43765</v>
      </c>
      <c r="E51" s="17">
        <f>IFERROR(ROUND($V51*$Y51*$AB51*参数!$C$13,0),"")</f>
        <v>2704</v>
      </c>
      <c r="F51" s="17">
        <f>IFERROR(ROUND($W51*$Z51*$AC51*参数!$D$13,0),"")</f>
        <v>3552</v>
      </c>
      <c r="G51" s="16">
        <v>53433</v>
      </c>
      <c r="H51" s="16">
        <v>3138</v>
      </c>
      <c r="I51" s="16">
        <v>2785</v>
      </c>
      <c r="J51" s="16">
        <v>10</v>
      </c>
      <c r="K51" s="16">
        <v>10</v>
      </c>
      <c r="L51" s="16">
        <f>IFERROR(INDEX(楼层配置!$D$5:$D$104,MATCH($K51,楼层配置!$B$5:$B$104,0)),"")</f>
        <v>45</v>
      </c>
      <c r="M51" s="16" t="str">
        <f>IFERROR(INDEX(_角色基线!$B$2:$B$100,MATCH($B51,_角色基线!$A$2:$A$100,0)),"")</f>
        <v>陈单单</v>
      </c>
      <c r="N51" s="16" t="str">
        <f>IFERROR(INDEX(_角色基线!$C$2:$C$100,MATCH($B51,_角色基线!$A$2:$A$100,0)),"")</f>
        <v>DPS</v>
      </c>
      <c r="O51" s="16">
        <f>IFERROR(INDEX(_怪物基线!$B$2:$B$501,MATCH(INT($L51),_怪物基线!$A$2:$A$501,0)),"")</f>
        <v>9666</v>
      </c>
      <c r="P51" s="16">
        <f>IFERROR(INDEX(_怪物基线!$C$2:$C$501,MATCH(INT($L51),_怪物基线!$A$2:$A$501,0)),"")</f>
        <v>2392</v>
      </c>
      <c r="Q51" s="16">
        <f>IFERROR(INDEX(_怪物基线!$D$2:$D$501,MATCH(INT($L51),_怪物基线!$A$2:$A$501,0)),"")</f>
        <v>3552</v>
      </c>
      <c r="R51" s="16">
        <f>参数!$B$10</f>
        <v>4</v>
      </c>
      <c r="S51" s="16">
        <f>参数!$C$10</f>
        <v>1.2</v>
      </c>
      <c r="T51" s="16">
        <f>参数!$D$10</f>
        <v>1</v>
      </c>
      <c r="U51" s="16">
        <f t="shared" si="0"/>
        <v>38664</v>
      </c>
      <c r="V51" s="16">
        <f t="shared" si="1"/>
        <v>2870.4</v>
      </c>
      <c r="W51" s="16">
        <f t="shared" si="2"/>
        <v>3552</v>
      </c>
      <c r="X51" s="16">
        <f>IFERROR(INDEX(参数!$B$5:$B$7,MATCH($N51,参数!$A$5:$A$7,0)),"")</f>
        <v>1</v>
      </c>
      <c r="Y51" s="16">
        <f>IFERROR(INDEX(参数!$C$5:$C$7,MATCH($N51,参数!$A$5:$A$7,0)),"")</f>
        <v>1.2</v>
      </c>
      <c r="Z51" s="16">
        <f>IFERROR(INDEX(参数!$D$5:$D$7,MATCH($N51,参数!$A$5:$A$7,0)),"")</f>
        <v>1</v>
      </c>
      <c r="AA51" s="16">
        <f>IFERROR(INDEX(楼层配置!$E$5:$E$104,MATCH($K51,楼层配置!$B$5:$B$104,0)),1)</f>
        <v>1.13192683584798</v>
      </c>
      <c r="AB51" s="16">
        <f>IFERROR(INDEX(楼层配置!$F$5:$F$104,MATCH($K51,楼层配置!$B$5:$B$104,0)),1)</f>
        <v>0.785011875798147</v>
      </c>
      <c r="AC51" s="16">
        <f>IFERROR(INDEX(楼层配置!$G$5:$G$104,MATCH($K51,楼层配置!$B$5:$B$104,0)),1)</f>
        <v>1</v>
      </c>
      <c r="AD51" s="18">
        <f t="shared" si="3"/>
        <v>-0.180936874216308</v>
      </c>
      <c r="AE51" s="18">
        <f t="shared" si="4"/>
        <v>-0.138304652644997</v>
      </c>
      <c r="AF51" s="18">
        <f t="shared" si="5"/>
        <v>0.2754039497307</v>
      </c>
      <c r="AG51" s="16" t="str">
        <f t="shared" si="6"/>
        <v>有效</v>
      </c>
      <c r="AH51">
        <f t="shared" si="7"/>
        <v>50242.22</v>
      </c>
    </row>
    <row r="52" ht="14.25" customHeight="1" spans="1:34">
      <c r="A52" s="16">
        <v>48</v>
      </c>
      <c r="B52" s="16">
        <v>1005</v>
      </c>
      <c r="C52" s="16">
        <v>15</v>
      </c>
      <c r="D52" s="17">
        <f>IFERROR(ROUND($U52*$X52*$AA52*参数!$B$13,0),"")</f>
        <v>43765</v>
      </c>
      <c r="E52" s="17">
        <f>IFERROR(ROUND($V52*$Y52*$AB52*参数!$C$13,0),"")</f>
        <v>2704</v>
      </c>
      <c r="F52" s="17">
        <f>IFERROR(ROUND($W52*$Z52*$AC52*参数!$D$13,0),"")</f>
        <v>3552</v>
      </c>
      <c r="G52" s="16">
        <v>53433</v>
      </c>
      <c r="H52" s="16">
        <v>3138</v>
      </c>
      <c r="I52" s="16">
        <v>2785</v>
      </c>
      <c r="J52" s="16">
        <v>10</v>
      </c>
      <c r="K52" s="16">
        <v>10</v>
      </c>
      <c r="L52" s="16">
        <f>IFERROR(INDEX(楼层配置!$D$5:$D$104,MATCH($K52,楼层配置!$B$5:$B$104,0)),"")</f>
        <v>45</v>
      </c>
      <c r="M52" s="16" t="str">
        <f>IFERROR(INDEX(_角色基线!$B$2:$B$100,MATCH($B52,_角色基线!$A$2:$A$100,0)),"")</f>
        <v>陈单单</v>
      </c>
      <c r="N52" s="16" t="str">
        <f>IFERROR(INDEX(_角色基线!$C$2:$C$100,MATCH($B52,_角色基线!$A$2:$A$100,0)),"")</f>
        <v>DPS</v>
      </c>
      <c r="O52" s="16">
        <f>IFERROR(INDEX(_怪物基线!$B$2:$B$501,MATCH(INT($L52),_怪物基线!$A$2:$A$501,0)),"")</f>
        <v>9666</v>
      </c>
      <c r="P52" s="16">
        <f>IFERROR(INDEX(_怪物基线!$C$2:$C$501,MATCH(INT($L52),_怪物基线!$A$2:$A$501,0)),"")</f>
        <v>2392</v>
      </c>
      <c r="Q52" s="16">
        <f>IFERROR(INDEX(_怪物基线!$D$2:$D$501,MATCH(INT($L52),_怪物基线!$A$2:$A$501,0)),"")</f>
        <v>3552</v>
      </c>
      <c r="R52" s="16">
        <f>参数!$B$10</f>
        <v>4</v>
      </c>
      <c r="S52" s="16">
        <f>参数!$C$10</f>
        <v>1.2</v>
      </c>
      <c r="T52" s="16">
        <f>参数!$D$10</f>
        <v>1</v>
      </c>
      <c r="U52" s="16">
        <f t="shared" si="0"/>
        <v>38664</v>
      </c>
      <c r="V52" s="16">
        <f t="shared" si="1"/>
        <v>2870.4</v>
      </c>
      <c r="W52" s="16">
        <f t="shared" si="2"/>
        <v>3552</v>
      </c>
      <c r="X52" s="16">
        <f>IFERROR(INDEX(参数!$B$5:$B$7,MATCH($N52,参数!$A$5:$A$7,0)),"")</f>
        <v>1</v>
      </c>
      <c r="Y52" s="16">
        <f>IFERROR(INDEX(参数!$C$5:$C$7,MATCH($N52,参数!$A$5:$A$7,0)),"")</f>
        <v>1.2</v>
      </c>
      <c r="Z52" s="16">
        <f>IFERROR(INDEX(参数!$D$5:$D$7,MATCH($N52,参数!$A$5:$A$7,0)),"")</f>
        <v>1</v>
      </c>
      <c r="AA52" s="16">
        <f>IFERROR(INDEX(楼层配置!$E$5:$E$104,MATCH($K52,楼层配置!$B$5:$B$104,0)),1)</f>
        <v>1.13192683584798</v>
      </c>
      <c r="AB52" s="16">
        <f>IFERROR(INDEX(楼层配置!$F$5:$F$104,MATCH($K52,楼层配置!$B$5:$B$104,0)),1)</f>
        <v>0.785011875798147</v>
      </c>
      <c r="AC52" s="16">
        <f>IFERROR(INDEX(楼层配置!$G$5:$G$104,MATCH($K52,楼层配置!$B$5:$B$104,0)),1)</f>
        <v>1</v>
      </c>
      <c r="AD52" s="18">
        <f t="shared" si="3"/>
        <v>-0.180936874216308</v>
      </c>
      <c r="AE52" s="18">
        <f t="shared" si="4"/>
        <v>-0.138304652644997</v>
      </c>
      <c r="AF52" s="18">
        <f t="shared" si="5"/>
        <v>0.2754039497307</v>
      </c>
      <c r="AG52" s="16" t="str">
        <f t="shared" si="6"/>
        <v>有效</v>
      </c>
      <c r="AH52">
        <f t="shared" si="7"/>
        <v>50242.22</v>
      </c>
    </row>
    <row r="53" ht="14.25" customHeight="1" spans="1:34">
      <c r="A53" s="16">
        <v>49</v>
      </c>
      <c r="B53" s="16">
        <v>1005</v>
      </c>
      <c r="C53" s="16">
        <v>15</v>
      </c>
      <c r="D53" s="17">
        <f>IFERROR(ROUND($U53*$X53*$AA53*参数!$B$13,0),"")</f>
        <v>43765</v>
      </c>
      <c r="E53" s="17">
        <f>IFERROR(ROUND($V53*$Y53*$AB53*参数!$C$13,0),"")</f>
        <v>2704</v>
      </c>
      <c r="F53" s="17">
        <f>IFERROR(ROUND($W53*$Z53*$AC53*参数!$D$13,0),"")</f>
        <v>3552</v>
      </c>
      <c r="G53" s="16">
        <v>53433</v>
      </c>
      <c r="H53" s="16">
        <v>3138</v>
      </c>
      <c r="I53" s="16">
        <v>2785</v>
      </c>
      <c r="J53" s="16">
        <v>10</v>
      </c>
      <c r="K53" s="16">
        <v>10</v>
      </c>
      <c r="L53" s="16">
        <f>IFERROR(INDEX(楼层配置!$D$5:$D$104,MATCH($K53,楼层配置!$B$5:$B$104,0)),"")</f>
        <v>45</v>
      </c>
      <c r="M53" s="16" t="str">
        <f>IFERROR(INDEX(_角色基线!$B$2:$B$100,MATCH($B53,_角色基线!$A$2:$A$100,0)),"")</f>
        <v>陈单单</v>
      </c>
      <c r="N53" s="16" t="str">
        <f>IFERROR(INDEX(_角色基线!$C$2:$C$100,MATCH($B53,_角色基线!$A$2:$A$100,0)),"")</f>
        <v>DPS</v>
      </c>
      <c r="O53" s="16">
        <f>IFERROR(INDEX(_怪物基线!$B$2:$B$501,MATCH(INT($L53),_怪物基线!$A$2:$A$501,0)),"")</f>
        <v>9666</v>
      </c>
      <c r="P53" s="16">
        <f>IFERROR(INDEX(_怪物基线!$C$2:$C$501,MATCH(INT($L53),_怪物基线!$A$2:$A$501,0)),"")</f>
        <v>2392</v>
      </c>
      <c r="Q53" s="16">
        <f>IFERROR(INDEX(_怪物基线!$D$2:$D$501,MATCH(INT($L53),_怪物基线!$A$2:$A$501,0)),"")</f>
        <v>3552</v>
      </c>
      <c r="R53" s="16">
        <f>参数!$B$10</f>
        <v>4</v>
      </c>
      <c r="S53" s="16">
        <f>参数!$C$10</f>
        <v>1.2</v>
      </c>
      <c r="T53" s="16">
        <f>参数!$D$10</f>
        <v>1</v>
      </c>
      <c r="U53" s="16">
        <f t="shared" si="0"/>
        <v>38664</v>
      </c>
      <c r="V53" s="16">
        <f t="shared" si="1"/>
        <v>2870.4</v>
      </c>
      <c r="W53" s="16">
        <f t="shared" si="2"/>
        <v>3552</v>
      </c>
      <c r="X53" s="16">
        <f>IFERROR(INDEX(参数!$B$5:$B$7,MATCH($N53,参数!$A$5:$A$7,0)),"")</f>
        <v>1</v>
      </c>
      <c r="Y53" s="16">
        <f>IFERROR(INDEX(参数!$C$5:$C$7,MATCH($N53,参数!$A$5:$A$7,0)),"")</f>
        <v>1.2</v>
      </c>
      <c r="Z53" s="16">
        <f>IFERROR(INDEX(参数!$D$5:$D$7,MATCH($N53,参数!$A$5:$A$7,0)),"")</f>
        <v>1</v>
      </c>
      <c r="AA53" s="16">
        <f>IFERROR(INDEX(楼层配置!$E$5:$E$104,MATCH($K53,楼层配置!$B$5:$B$104,0)),1)</f>
        <v>1.13192683584798</v>
      </c>
      <c r="AB53" s="16">
        <f>IFERROR(INDEX(楼层配置!$F$5:$F$104,MATCH($K53,楼层配置!$B$5:$B$104,0)),1)</f>
        <v>0.785011875798147</v>
      </c>
      <c r="AC53" s="16">
        <f>IFERROR(INDEX(楼层配置!$G$5:$G$104,MATCH($K53,楼层配置!$B$5:$B$104,0)),1)</f>
        <v>1</v>
      </c>
      <c r="AD53" s="18">
        <f t="shared" si="3"/>
        <v>-0.180936874216308</v>
      </c>
      <c r="AE53" s="18">
        <f t="shared" si="4"/>
        <v>-0.138304652644997</v>
      </c>
      <c r="AF53" s="18">
        <f t="shared" si="5"/>
        <v>0.2754039497307</v>
      </c>
      <c r="AG53" s="16" t="str">
        <f t="shared" si="6"/>
        <v>有效</v>
      </c>
      <c r="AH53">
        <f t="shared" si="7"/>
        <v>50242.22</v>
      </c>
    </row>
    <row r="54" ht="14.25" customHeight="1" spans="1:34">
      <c r="A54" s="16">
        <v>50</v>
      </c>
      <c r="B54" s="16">
        <v>1029</v>
      </c>
      <c r="C54" s="16">
        <v>15</v>
      </c>
      <c r="D54" s="17">
        <f>IFERROR(ROUND($U54*$X54*$AA54*参数!$B$13,0),"")</f>
        <v>54706</v>
      </c>
      <c r="E54" s="17">
        <f>IFERROR(ROUND($V54*$Y54*$AB54*参数!$C$13,0),"")</f>
        <v>2253</v>
      </c>
      <c r="F54" s="17">
        <f>IFERROR(ROUND($W54*$Z54*$AC54*参数!$D$13,0),"")</f>
        <v>4440</v>
      </c>
      <c r="G54" s="16">
        <v>66792</v>
      </c>
      <c r="H54" s="16">
        <v>2615</v>
      </c>
      <c r="I54" s="16">
        <v>3482</v>
      </c>
      <c r="J54" s="16">
        <v>10</v>
      </c>
      <c r="K54" s="16">
        <v>10</v>
      </c>
      <c r="L54" s="16">
        <f>IFERROR(INDEX(楼层配置!$D$5:$D$104,MATCH($K54,楼层配置!$B$5:$B$104,0)),"")</f>
        <v>45</v>
      </c>
      <c r="M54" s="16" t="str">
        <f>IFERROR(INDEX(_角色基线!$B$2:$B$100,MATCH($B54,_角色基线!$A$2:$A$100,0)),"")</f>
        <v>凯兰</v>
      </c>
      <c r="N54" s="16" t="str">
        <f>IFERROR(INDEX(_角色基线!$C$2:$C$100,MATCH($B54,_角色基线!$A$2:$A$100,0)),"")</f>
        <v>Support</v>
      </c>
      <c r="O54" s="16">
        <f>IFERROR(INDEX(_怪物基线!$B$2:$B$501,MATCH(INT($L54),_怪物基线!$A$2:$A$501,0)),"")</f>
        <v>9666</v>
      </c>
      <c r="P54" s="16">
        <f>IFERROR(INDEX(_怪物基线!$C$2:$C$501,MATCH(INT($L54),_怪物基线!$A$2:$A$501,0)),"")</f>
        <v>2392</v>
      </c>
      <c r="Q54" s="16">
        <f>IFERROR(INDEX(_怪物基线!$D$2:$D$501,MATCH(INT($L54),_怪物基线!$A$2:$A$501,0)),"")</f>
        <v>3552</v>
      </c>
      <c r="R54" s="16">
        <f>参数!$B$10</f>
        <v>4</v>
      </c>
      <c r="S54" s="16">
        <f>参数!$C$10</f>
        <v>1.2</v>
      </c>
      <c r="T54" s="16">
        <f>参数!$D$10</f>
        <v>1</v>
      </c>
      <c r="U54" s="16">
        <f t="shared" si="0"/>
        <v>38664</v>
      </c>
      <c r="V54" s="16">
        <f t="shared" si="1"/>
        <v>2870.4</v>
      </c>
      <c r="W54" s="16">
        <f t="shared" si="2"/>
        <v>3552</v>
      </c>
      <c r="X54" s="16">
        <f>IFERROR(INDEX(参数!$B$5:$B$7,MATCH($N54,参数!$A$5:$A$7,0)),"")</f>
        <v>1.25</v>
      </c>
      <c r="Y54" s="16">
        <f>IFERROR(INDEX(参数!$C$5:$C$7,MATCH($N54,参数!$A$5:$A$7,0)),"")</f>
        <v>1</v>
      </c>
      <c r="Z54" s="16">
        <f>IFERROR(INDEX(参数!$D$5:$D$7,MATCH($N54,参数!$A$5:$A$7,0)),"")</f>
        <v>1.25</v>
      </c>
      <c r="AA54" s="16">
        <f>IFERROR(INDEX(楼层配置!$E$5:$E$104,MATCH($K54,楼层配置!$B$5:$B$104,0)),1)</f>
        <v>1.13192683584798</v>
      </c>
      <c r="AB54" s="16">
        <f>IFERROR(INDEX(楼层配置!$F$5:$F$104,MATCH($K54,楼层配置!$B$5:$B$104,0)),1)</f>
        <v>0.785011875798147</v>
      </c>
      <c r="AC54" s="16">
        <f>IFERROR(INDEX(楼层配置!$G$5:$G$104,MATCH($K54,楼层配置!$B$5:$B$104,0)),1)</f>
        <v>1</v>
      </c>
      <c r="AD54" s="18">
        <f t="shared" si="3"/>
        <v>-0.180949814349024</v>
      </c>
      <c r="AE54" s="18">
        <f t="shared" si="4"/>
        <v>-0.138432122370937</v>
      </c>
      <c r="AF54" s="18">
        <f t="shared" si="5"/>
        <v>0.275129236071223</v>
      </c>
      <c r="AG54" s="16" t="str">
        <f t="shared" si="6"/>
        <v>有效</v>
      </c>
      <c r="AH54">
        <f t="shared" si="7"/>
        <v>64826.61</v>
      </c>
    </row>
    <row r="55" ht="14.25" customHeight="1" spans="1:34">
      <c r="A55" s="16">
        <v>51</v>
      </c>
      <c r="B55" s="16">
        <v>1012</v>
      </c>
      <c r="C55" s="16">
        <v>15</v>
      </c>
      <c r="D55" s="17">
        <f>IFERROR(ROUND($U55*$X55*$AA55*参数!$B$13,0),"")</f>
        <v>62351</v>
      </c>
      <c r="E55" s="17">
        <f>IFERROR(ROUND($V55*$Y55*$AB55*参数!$C$13,0),"")</f>
        <v>2457</v>
      </c>
      <c r="F55" s="17">
        <f>IFERROR(ROUND($W55*$Z55*$AC55*参数!$D$13,0),"")</f>
        <v>4863</v>
      </c>
      <c r="G55" s="16">
        <v>74820</v>
      </c>
      <c r="H55" s="16">
        <v>2832</v>
      </c>
      <c r="I55" s="16">
        <v>3758</v>
      </c>
      <c r="J55" s="16">
        <v>11</v>
      </c>
      <c r="K55" s="16">
        <v>11</v>
      </c>
      <c r="L55" s="16">
        <f>IFERROR(INDEX(楼层配置!$D$5:$D$104,MATCH($K55,楼层配置!$B$5:$B$104,0)),"")</f>
        <v>49</v>
      </c>
      <c r="M55" s="16" t="str">
        <f>IFERROR(INDEX(_角色基线!$B$2:$B$100,MATCH($B55,_角色基线!$A$2:$A$100,0)),"")</f>
        <v>艾德琳</v>
      </c>
      <c r="N55" s="16" t="str">
        <f>IFERROR(INDEX(_角色基线!$C$2:$C$100,MATCH($B55,_角色基线!$A$2:$A$100,0)),"")</f>
        <v>Support</v>
      </c>
      <c r="O55" s="16">
        <f>IFERROR(INDEX(_怪物基线!$B$2:$B$501,MATCH(INT($L55),_怪物基线!$A$2:$A$501,0)),"")</f>
        <v>11033</v>
      </c>
      <c r="P55" s="16">
        <f>IFERROR(INDEX(_怪物基线!$C$2:$C$501,MATCH(INT($L55),_怪物基线!$A$2:$A$501,0)),"")</f>
        <v>2647</v>
      </c>
      <c r="Q55" s="16">
        <f>IFERROR(INDEX(_怪物基线!$D$2:$D$501,MATCH(INT($L55),_怪物基线!$A$2:$A$501,0)),"")</f>
        <v>3890</v>
      </c>
      <c r="R55" s="16">
        <f>参数!$B$10</f>
        <v>4</v>
      </c>
      <c r="S55" s="16">
        <f>参数!$C$10</f>
        <v>1.2</v>
      </c>
      <c r="T55" s="16">
        <f>参数!$D$10</f>
        <v>1</v>
      </c>
      <c r="U55" s="16">
        <f t="shared" si="0"/>
        <v>44132</v>
      </c>
      <c r="V55" s="16">
        <f t="shared" si="1"/>
        <v>3176.4</v>
      </c>
      <c r="W55" s="16">
        <f t="shared" si="2"/>
        <v>3890</v>
      </c>
      <c r="X55" s="16">
        <f>IFERROR(INDEX(参数!$B$5:$B$7,MATCH($N55,参数!$A$5:$A$7,0)),"")</f>
        <v>1.25</v>
      </c>
      <c r="Y55" s="16">
        <f>IFERROR(INDEX(参数!$C$5:$C$7,MATCH($N55,参数!$A$5:$A$7,0)),"")</f>
        <v>1</v>
      </c>
      <c r="Z55" s="16">
        <f>IFERROR(INDEX(参数!$D$5:$D$7,MATCH($N55,参数!$A$5:$A$7,0)),"")</f>
        <v>1.25</v>
      </c>
      <c r="AA55" s="16">
        <f>IFERROR(INDEX(楼层配置!$E$5:$E$104,MATCH($K55,楼层配置!$B$5:$B$104,0)),1)</f>
        <v>1.13026956740706</v>
      </c>
      <c r="AB55" s="16">
        <f>IFERROR(INDEX(楼层配置!$F$5:$F$104,MATCH($K55,楼层配置!$B$5:$B$104,0)),1)</f>
        <v>0.773622223301039</v>
      </c>
      <c r="AC55" s="16">
        <f>IFERROR(INDEX(楼层配置!$G$5:$G$104,MATCH($K55,楼层配置!$B$5:$B$104,0)),1)</f>
        <v>1</v>
      </c>
      <c r="AD55" s="18">
        <f t="shared" si="3"/>
        <v>-0.166653301256349</v>
      </c>
      <c r="AE55" s="18">
        <f t="shared" si="4"/>
        <v>-0.132415254237288</v>
      </c>
      <c r="AF55" s="18">
        <f t="shared" si="5"/>
        <v>0.294039382650346</v>
      </c>
      <c r="AG55" s="16" t="str">
        <f t="shared" si="6"/>
        <v>有效</v>
      </c>
      <c r="AH55">
        <f t="shared" si="7"/>
        <v>74984.871375</v>
      </c>
    </row>
    <row r="56" ht="14.25" customHeight="1" spans="1:34">
      <c r="A56" s="16">
        <v>52</v>
      </c>
      <c r="B56" s="16">
        <v>1035</v>
      </c>
      <c r="C56" s="16">
        <v>15</v>
      </c>
      <c r="D56" s="17">
        <f>IFERROR(ROUND($U56*$X56*$AA56*参数!$B$13,0),"")</f>
        <v>49881</v>
      </c>
      <c r="E56" s="17">
        <f>IFERROR(ROUND($V56*$Y56*$AB56*参数!$C$13,0),"")</f>
        <v>2949</v>
      </c>
      <c r="F56" s="17">
        <f>IFERROR(ROUND($W56*$Z56*$AC56*参数!$D$13,0),"")</f>
        <v>3890</v>
      </c>
      <c r="G56" s="16">
        <v>59856</v>
      </c>
      <c r="H56" s="16">
        <v>3398</v>
      </c>
      <c r="I56" s="16">
        <v>3006</v>
      </c>
      <c r="J56" s="16">
        <v>11</v>
      </c>
      <c r="K56" s="16">
        <v>11</v>
      </c>
      <c r="L56" s="16">
        <f>IFERROR(INDEX(楼层配置!$D$5:$D$104,MATCH($K56,楼层配置!$B$5:$B$104,0)),"")</f>
        <v>49</v>
      </c>
      <c r="M56" s="16" t="str">
        <f>IFERROR(INDEX(_角色基线!$B$2:$B$100,MATCH($B56,_角色基线!$A$2:$A$100,0)),"")</f>
        <v>碎冰者</v>
      </c>
      <c r="N56" s="16" t="str">
        <f>IFERROR(INDEX(_角色基线!$C$2:$C$100,MATCH($B56,_角色基线!$A$2:$A$100,0)),"")</f>
        <v>DPS</v>
      </c>
      <c r="O56" s="16">
        <f>IFERROR(INDEX(_怪物基线!$B$2:$B$501,MATCH(INT($L56),_怪物基线!$A$2:$A$501,0)),"")</f>
        <v>11033</v>
      </c>
      <c r="P56" s="16">
        <f>IFERROR(INDEX(_怪物基线!$C$2:$C$501,MATCH(INT($L56),_怪物基线!$A$2:$A$501,0)),"")</f>
        <v>2647</v>
      </c>
      <c r="Q56" s="16">
        <f>IFERROR(INDEX(_怪物基线!$D$2:$D$501,MATCH(INT($L56),_怪物基线!$A$2:$A$501,0)),"")</f>
        <v>3890</v>
      </c>
      <c r="R56" s="16">
        <f>参数!$B$10</f>
        <v>4</v>
      </c>
      <c r="S56" s="16">
        <f>参数!$C$10</f>
        <v>1.2</v>
      </c>
      <c r="T56" s="16">
        <f>参数!$D$10</f>
        <v>1</v>
      </c>
      <c r="U56" s="16">
        <f t="shared" si="0"/>
        <v>44132</v>
      </c>
      <c r="V56" s="16">
        <f t="shared" si="1"/>
        <v>3176.4</v>
      </c>
      <c r="W56" s="16">
        <f t="shared" si="2"/>
        <v>3890</v>
      </c>
      <c r="X56" s="16">
        <f>IFERROR(INDEX(参数!$B$5:$B$7,MATCH($N56,参数!$A$5:$A$7,0)),"")</f>
        <v>1</v>
      </c>
      <c r="Y56" s="16">
        <f>IFERROR(INDEX(参数!$C$5:$C$7,MATCH($N56,参数!$A$5:$A$7,0)),"")</f>
        <v>1.2</v>
      </c>
      <c r="Z56" s="16">
        <f>IFERROR(INDEX(参数!$D$5:$D$7,MATCH($N56,参数!$A$5:$A$7,0)),"")</f>
        <v>1</v>
      </c>
      <c r="AA56" s="16">
        <f>IFERROR(INDEX(楼层配置!$E$5:$E$104,MATCH($K56,楼层配置!$B$5:$B$104,0)),1)</f>
        <v>1.13026956740706</v>
      </c>
      <c r="AB56" s="16">
        <f>IFERROR(INDEX(楼层配置!$F$5:$F$104,MATCH($K56,楼层配置!$B$5:$B$104,0)),1)</f>
        <v>0.773622223301039</v>
      </c>
      <c r="AC56" s="16">
        <f>IFERROR(INDEX(楼层配置!$G$5:$G$104,MATCH($K56,楼层配置!$B$5:$B$104,0)),1)</f>
        <v>1</v>
      </c>
      <c r="AD56" s="18">
        <f t="shared" si="3"/>
        <v>-0.166649959903769</v>
      </c>
      <c r="AE56" s="18">
        <f t="shared" si="4"/>
        <v>-0.132136550912301</v>
      </c>
      <c r="AF56" s="18">
        <f t="shared" si="5"/>
        <v>0.294078509647372</v>
      </c>
      <c r="AG56" s="16" t="str">
        <f t="shared" si="6"/>
        <v>有效</v>
      </c>
      <c r="AH56">
        <f t="shared" si="7"/>
        <v>57965.87875</v>
      </c>
    </row>
    <row r="57" ht="14.25" customHeight="1" spans="1:34">
      <c r="A57" s="16">
        <v>53</v>
      </c>
      <c r="B57" s="16">
        <v>1036</v>
      </c>
      <c r="C57" s="16">
        <v>15</v>
      </c>
      <c r="D57" s="17">
        <f>IFERROR(ROUND($U57*$X57*$AA57*参数!$B$13,0),"")</f>
        <v>49881</v>
      </c>
      <c r="E57" s="17">
        <f>IFERROR(ROUND($V57*$Y57*$AB57*参数!$C$13,0),"")</f>
        <v>2949</v>
      </c>
      <c r="F57" s="17">
        <f>IFERROR(ROUND($W57*$Z57*$AC57*参数!$D$13,0),"")</f>
        <v>3890</v>
      </c>
      <c r="G57" s="16">
        <v>59856</v>
      </c>
      <c r="H57" s="16">
        <v>3398</v>
      </c>
      <c r="I57" s="16">
        <v>3006</v>
      </c>
      <c r="J57" s="16">
        <v>11</v>
      </c>
      <c r="K57" s="16">
        <v>11</v>
      </c>
      <c r="L57" s="16">
        <f>IFERROR(INDEX(楼层配置!$D$5:$D$104,MATCH($K57,楼层配置!$B$5:$B$104,0)),"")</f>
        <v>49</v>
      </c>
      <c r="M57" s="16" t="str">
        <f>IFERROR(INDEX(_角色基线!$B$2:$B$100,MATCH($B57,_角色基线!$A$2:$A$100,0)),"")</f>
        <v>霜狼法师</v>
      </c>
      <c r="N57" s="16" t="str">
        <f>IFERROR(INDEX(_角色基线!$C$2:$C$100,MATCH($B57,_角色基线!$A$2:$A$100,0)),"")</f>
        <v>DPS</v>
      </c>
      <c r="O57" s="16">
        <f>IFERROR(INDEX(_怪物基线!$B$2:$B$501,MATCH(INT($L57),_怪物基线!$A$2:$A$501,0)),"")</f>
        <v>11033</v>
      </c>
      <c r="P57" s="16">
        <f>IFERROR(INDEX(_怪物基线!$C$2:$C$501,MATCH(INT($L57),_怪物基线!$A$2:$A$501,0)),"")</f>
        <v>2647</v>
      </c>
      <c r="Q57" s="16">
        <f>IFERROR(INDEX(_怪物基线!$D$2:$D$501,MATCH(INT($L57),_怪物基线!$A$2:$A$501,0)),"")</f>
        <v>3890</v>
      </c>
      <c r="R57" s="16">
        <f>参数!$B$10</f>
        <v>4</v>
      </c>
      <c r="S57" s="16">
        <f>参数!$C$10</f>
        <v>1.2</v>
      </c>
      <c r="T57" s="16">
        <f>参数!$D$10</f>
        <v>1</v>
      </c>
      <c r="U57" s="16">
        <f t="shared" si="0"/>
        <v>44132</v>
      </c>
      <c r="V57" s="16">
        <f t="shared" si="1"/>
        <v>3176.4</v>
      </c>
      <c r="W57" s="16">
        <f t="shared" si="2"/>
        <v>3890</v>
      </c>
      <c r="X57" s="16">
        <f>IFERROR(INDEX(参数!$B$5:$B$7,MATCH($N57,参数!$A$5:$A$7,0)),"")</f>
        <v>1</v>
      </c>
      <c r="Y57" s="16">
        <f>IFERROR(INDEX(参数!$C$5:$C$7,MATCH($N57,参数!$A$5:$A$7,0)),"")</f>
        <v>1.2</v>
      </c>
      <c r="Z57" s="16">
        <f>IFERROR(INDEX(参数!$D$5:$D$7,MATCH($N57,参数!$A$5:$A$7,0)),"")</f>
        <v>1</v>
      </c>
      <c r="AA57" s="16">
        <f>IFERROR(INDEX(楼层配置!$E$5:$E$104,MATCH($K57,楼层配置!$B$5:$B$104,0)),1)</f>
        <v>1.13026956740706</v>
      </c>
      <c r="AB57" s="16">
        <f>IFERROR(INDEX(楼层配置!$F$5:$F$104,MATCH($K57,楼层配置!$B$5:$B$104,0)),1)</f>
        <v>0.773622223301039</v>
      </c>
      <c r="AC57" s="16">
        <f>IFERROR(INDEX(楼层配置!$G$5:$G$104,MATCH($K57,楼层配置!$B$5:$B$104,0)),1)</f>
        <v>1</v>
      </c>
      <c r="AD57" s="18">
        <f t="shared" si="3"/>
        <v>-0.166649959903769</v>
      </c>
      <c r="AE57" s="18">
        <f t="shared" si="4"/>
        <v>-0.132136550912301</v>
      </c>
      <c r="AF57" s="18">
        <f t="shared" si="5"/>
        <v>0.294078509647372</v>
      </c>
      <c r="AG57" s="16" t="str">
        <f t="shared" si="6"/>
        <v>有效</v>
      </c>
      <c r="AH57">
        <f t="shared" si="7"/>
        <v>57965.87875</v>
      </c>
    </row>
    <row r="58" ht="14.25" customHeight="1" spans="1:34">
      <c r="A58" s="16">
        <v>54</v>
      </c>
      <c r="B58" s="16">
        <v>1015</v>
      </c>
      <c r="C58" s="16">
        <v>15</v>
      </c>
      <c r="D58" s="17">
        <f>IFERROR(ROUND($U58*$X58*$AA58*参数!$B$13,0),"")</f>
        <v>62351</v>
      </c>
      <c r="E58" s="17">
        <f>IFERROR(ROUND($V58*$Y58*$AB58*参数!$C$13,0),"")</f>
        <v>2457</v>
      </c>
      <c r="F58" s="17">
        <f>IFERROR(ROUND($W58*$Z58*$AC58*参数!$D$13,0),"")</f>
        <v>4863</v>
      </c>
      <c r="G58" s="16">
        <v>74820</v>
      </c>
      <c r="H58" s="16">
        <v>2832</v>
      </c>
      <c r="I58" s="16">
        <v>3758</v>
      </c>
      <c r="J58" s="16">
        <v>11</v>
      </c>
      <c r="K58" s="16">
        <v>11</v>
      </c>
      <c r="L58" s="16">
        <f>IFERROR(INDEX(楼层配置!$D$5:$D$104,MATCH($K58,楼层配置!$B$5:$B$104,0)),"")</f>
        <v>49</v>
      </c>
      <c r="M58" s="16" t="str">
        <f>IFERROR(INDEX(_角色基线!$B$2:$B$100,MATCH($B58,_角色基线!$A$2:$A$100,0)),"")</f>
        <v>阿莱克西娅</v>
      </c>
      <c r="N58" s="16" t="str">
        <f>IFERROR(INDEX(_角色基线!$C$2:$C$100,MATCH($B58,_角色基线!$A$2:$A$100,0)),"")</f>
        <v>Support</v>
      </c>
      <c r="O58" s="16">
        <f>IFERROR(INDEX(_怪物基线!$B$2:$B$501,MATCH(INT($L58),_怪物基线!$A$2:$A$501,0)),"")</f>
        <v>11033</v>
      </c>
      <c r="P58" s="16">
        <f>IFERROR(INDEX(_怪物基线!$C$2:$C$501,MATCH(INT($L58),_怪物基线!$A$2:$A$501,0)),"")</f>
        <v>2647</v>
      </c>
      <c r="Q58" s="16">
        <f>IFERROR(INDEX(_怪物基线!$D$2:$D$501,MATCH(INT($L58),_怪物基线!$A$2:$A$501,0)),"")</f>
        <v>3890</v>
      </c>
      <c r="R58" s="16">
        <f>参数!$B$10</f>
        <v>4</v>
      </c>
      <c r="S58" s="16">
        <f>参数!$C$10</f>
        <v>1.2</v>
      </c>
      <c r="T58" s="16">
        <f>参数!$D$10</f>
        <v>1</v>
      </c>
      <c r="U58" s="16">
        <f t="shared" si="0"/>
        <v>44132</v>
      </c>
      <c r="V58" s="16">
        <f t="shared" si="1"/>
        <v>3176.4</v>
      </c>
      <c r="W58" s="16">
        <f t="shared" si="2"/>
        <v>3890</v>
      </c>
      <c r="X58" s="16">
        <f>IFERROR(INDEX(参数!$B$5:$B$7,MATCH($N58,参数!$A$5:$A$7,0)),"")</f>
        <v>1.25</v>
      </c>
      <c r="Y58" s="16">
        <f>IFERROR(INDEX(参数!$C$5:$C$7,MATCH($N58,参数!$A$5:$A$7,0)),"")</f>
        <v>1</v>
      </c>
      <c r="Z58" s="16">
        <f>IFERROR(INDEX(参数!$D$5:$D$7,MATCH($N58,参数!$A$5:$A$7,0)),"")</f>
        <v>1.25</v>
      </c>
      <c r="AA58" s="16">
        <f>IFERROR(INDEX(楼层配置!$E$5:$E$104,MATCH($K58,楼层配置!$B$5:$B$104,0)),1)</f>
        <v>1.13026956740706</v>
      </c>
      <c r="AB58" s="16">
        <f>IFERROR(INDEX(楼层配置!$F$5:$F$104,MATCH($K58,楼层配置!$B$5:$B$104,0)),1)</f>
        <v>0.773622223301039</v>
      </c>
      <c r="AC58" s="16">
        <f>IFERROR(INDEX(楼层配置!$G$5:$G$104,MATCH($K58,楼层配置!$B$5:$B$104,0)),1)</f>
        <v>1</v>
      </c>
      <c r="AD58" s="18">
        <f t="shared" si="3"/>
        <v>-0.166653301256349</v>
      </c>
      <c r="AE58" s="18">
        <f t="shared" si="4"/>
        <v>-0.132415254237288</v>
      </c>
      <c r="AF58" s="18">
        <f t="shared" si="5"/>
        <v>0.294039382650346</v>
      </c>
      <c r="AG58" s="16" t="str">
        <f t="shared" si="6"/>
        <v>有效</v>
      </c>
      <c r="AH58">
        <f t="shared" si="7"/>
        <v>74984.871375</v>
      </c>
    </row>
    <row r="59" ht="14.25" customHeight="1" spans="1:34">
      <c r="A59" s="16">
        <v>55</v>
      </c>
      <c r="B59" s="16">
        <v>1036</v>
      </c>
      <c r="C59" s="16">
        <v>15</v>
      </c>
      <c r="D59" s="17">
        <f>IFERROR(ROUND($U59*$X59*$AA59*参数!$B$13,0),"")</f>
        <v>49881</v>
      </c>
      <c r="E59" s="17">
        <f>IFERROR(ROUND($V59*$Y59*$AB59*参数!$C$13,0),"")</f>
        <v>2949</v>
      </c>
      <c r="F59" s="17">
        <f>IFERROR(ROUND($W59*$Z59*$AC59*参数!$D$13,0),"")</f>
        <v>3890</v>
      </c>
      <c r="G59" s="16">
        <v>59856</v>
      </c>
      <c r="H59" s="16">
        <v>3398</v>
      </c>
      <c r="I59" s="16">
        <v>3006</v>
      </c>
      <c r="J59" s="16">
        <v>11</v>
      </c>
      <c r="K59" s="16">
        <v>11</v>
      </c>
      <c r="L59" s="16">
        <f>IFERROR(INDEX(楼层配置!$D$5:$D$104,MATCH($K59,楼层配置!$B$5:$B$104,0)),"")</f>
        <v>49</v>
      </c>
      <c r="M59" s="16" t="str">
        <f>IFERROR(INDEX(_角色基线!$B$2:$B$100,MATCH($B59,_角色基线!$A$2:$A$100,0)),"")</f>
        <v>霜狼法师</v>
      </c>
      <c r="N59" s="16" t="str">
        <f>IFERROR(INDEX(_角色基线!$C$2:$C$100,MATCH($B59,_角色基线!$A$2:$A$100,0)),"")</f>
        <v>DPS</v>
      </c>
      <c r="O59" s="16">
        <f>IFERROR(INDEX(_怪物基线!$B$2:$B$501,MATCH(INT($L59),_怪物基线!$A$2:$A$501,0)),"")</f>
        <v>11033</v>
      </c>
      <c r="P59" s="16">
        <f>IFERROR(INDEX(_怪物基线!$C$2:$C$501,MATCH(INT($L59),_怪物基线!$A$2:$A$501,0)),"")</f>
        <v>2647</v>
      </c>
      <c r="Q59" s="16">
        <f>IFERROR(INDEX(_怪物基线!$D$2:$D$501,MATCH(INT($L59),_怪物基线!$A$2:$A$501,0)),"")</f>
        <v>3890</v>
      </c>
      <c r="R59" s="16">
        <f>参数!$B$10</f>
        <v>4</v>
      </c>
      <c r="S59" s="16">
        <f>参数!$C$10</f>
        <v>1.2</v>
      </c>
      <c r="T59" s="16">
        <f>参数!$D$10</f>
        <v>1</v>
      </c>
      <c r="U59" s="16">
        <f t="shared" si="0"/>
        <v>44132</v>
      </c>
      <c r="V59" s="16">
        <f t="shared" si="1"/>
        <v>3176.4</v>
      </c>
      <c r="W59" s="16">
        <f t="shared" si="2"/>
        <v>3890</v>
      </c>
      <c r="X59" s="16">
        <f>IFERROR(INDEX(参数!$B$5:$B$7,MATCH($N59,参数!$A$5:$A$7,0)),"")</f>
        <v>1</v>
      </c>
      <c r="Y59" s="16">
        <f>IFERROR(INDEX(参数!$C$5:$C$7,MATCH($N59,参数!$A$5:$A$7,0)),"")</f>
        <v>1.2</v>
      </c>
      <c r="Z59" s="16">
        <f>IFERROR(INDEX(参数!$D$5:$D$7,MATCH($N59,参数!$A$5:$A$7,0)),"")</f>
        <v>1</v>
      </c>
      <c r="AA59" s="16">
        <f>IFERROR(INDEX(楼层配置!$E$5:$E$104,MATCH($K59,楼层配置!$B$5:$B$104,0)),1)</f>
        <v>1.13026956740706</v>
      </c>
      <c r="AB59" s="16">
        <f>IFERROR(INDEX(楼层配置!$F$5:$F$104,MATCH($K59,楼层配置!$B$5:$B$104,0)),1)</f>
        <v>0.773622223301039</v>
      </c>
      <c r="AC59" s="16">
        <f>IFERROR(INDEX(楼层配置!$G$5:$G$104,MATCH($K59,楼层配置!$B$5:$B$104,0)),1)</f>
        <v>1</v>
      </c>
      <c r="AD59" s="18">
        <f t="shared" si="3"/>
        <v>-0.166649959903769</v>
      </c>
      <c r="AE59" s="18">
        <f t="shared" si="4"/>
        <v>-0.132136550912301</v>
      </c>
      <c r="AF59" s="18">
        <f t="shared" si="5"/>
        <v>0.294078509647372</v>
      </c>
      <c r="AG59" s="16" t="str">
        <f t="shared" si="6"/>
        <v>有效</v>
      </c>
      <c r="AH59">
        <f t="shared" si="7"/>
        <v>57965.87875</v>
      </c>
    </row>
    <row r="60" ht="14.25" customHeight="1" spans="1:34">
      <c r="A60" s="16">
        <v>56</v>
      </c>
      <c r="B60" s="16">
        <v>1038</v>
      </c>
      <c r="C60" s="16">
        <v>16</v>
      </c>
      <c r="D60" s="17">
        <f>IFERROR(ROUND($U60*$X60*$AA60*参数!$B$13,0),"")</f>
        <v>82296</v>
      </c>
      <c r="E60" s="17">
        <f>IFERROR(ROUND($V60*$Y60*$AB60*参数!$C$13,0),"")</f>
        <v>2599</v>
      </c>
      <c r="F60" s="17">
        <f>IFERROR(ROUND($W60*$Z60*$AC60*参数!$D$13,0),"")</f>
        <v>6219</v>
      </c>
      <c r="G60" s="16">
        <v>100000</v>
      </c>
      <c r="H60" s="16">
        <v>3053</v>
      </c>
      <c r="I60" s="16">
        <v>4845</v>
      </c>
      <c r="J60" s="16">
        <v>12</v>
      </c>
      <c r="K60" s="16">
        <v>12</v>
      </c>
      <c r="L60" s="16">
        <f>IFERROR(INDEX(楼层配置!$D$5:$D$104,MATCH($K60,楼层配置!$B$5:$B$104,0)),"")</f>
        <v>52</v>
      </c>
      <c r="M60" s="16" t="str">
        <f>IFERROR(INDEX(_角色基线!$B$2:$B$100,MATCH($B60,_角色基线!$A$2:$A$100,0)),"")</f>
        <v>商队战斗员</v>
      </c>
      <c r="N60" s="16" t="str">
        <f>IFERROR(INDEX(_角色基线!$C$2:$C$100,MATCH($B60,_角色基线!$A$2:$A$100,0)),"")</f>
        <v>Tank</v>
      </c>
      <c r="O60" s="16">
        <f>IFERROR(INDEX(_怪物基线!$B$2:$B$501,MATCH(INT($L60),_怪物基线!$A$2:$A$501,0)),"")</f>
        <v>12117</v>
      </c>
      <c r="P60" s="16">
        <f>IFERROR(INDEX(_怪物基线!$C$2:$C$501,MATCH(INT($L60),_怪物基线!$A$2:$A$501,0)),"")</f>
        <v>2843</v>
      </c>
      <c r="Q60" s="16">
        <f>IFERROR(INDEX(_怪物基线!$D$2:$D$501,MATCH(INT($L60),_怪物基线!$A$2:$A$501,0)),"")</f>
        <v>4146</v>
      </c>
      <c r="R60" s="16">
        <f>参数!$B$10</f>
        <v>4</v>
      </c>
      <c r="S60" s="16">
        <f>参数!$C$10</f>
        <v>1.2</v>
      </c>
      <c r="T60" s="16">
        <f>参数!$D$10</f>
        <v>1</v>
      </c>
      <c r="U60" s="16">
        <f t="shared" si="0"/>
        <v>48468</v>
      </c>
      <c r="V60" s="16">
        <f t="shared" si="1"/>
        <v>3411.6</v>
      </c>
      <c r="W60" s="16">
        <f t="shared" si="2"/>
        <v>4146</v>
      </c>
      <c r="X60" s="16">
        <f>IFERROR(INDEX(参数!$B$5:$B$7,MATCH($N60,参数!$A$5:$A$7,0)),"")</f>
        <v>1.5</v>
      </c>
      <c r="Y60" s="16">
        <f>IFERROR(INDEX(参数!$C$5:$C$7,MATCH($N60,参数!$A$5:$A$7,0)),"")</f>
        <v>1</v>
      </c>
      <c r="Z60" s="16">
        <f>IFERROR(INDEX(参数!$D$5:$D$7,MATCH($N60,参数!$A$5:$A$7,0)),"")</f>
        <v>1.5</v>
      </c>
      <c r="AA60" s="16">
        <f>IFERROR(INDEX(楼层配置!$E$5:$E$104,MATCH($K60,楼层配置!$B$5:$B$104,0)),1)</f>
        <v>1.13196374709648</v>
      </c>
      <c r="AB60" s="16">
        <f>IFERROR(INDEX(楼层配置!$F$5:$F$104,MATCH($K60,楼层配置!$B$5:$B$104,0)),1)</f>
        <v>0.761718454731972</v>
      </c>
      <c r="AC60" s="16">
        <f>IFERROR(INDEX(楼层配置!$G$5:$G$104,MATCH($K60,楼层配置!$B$5:$B$104,0)),1)</f>
        <v>1</v>
      </c>
      <c r="AD60" s="18">
        <f t="shared" si="3"/>
        <v>-0.17704</v>
      </c>
      <c r="AE60" s="18">
        <f t="shared" si="4"/>
        <v>-0.148706190632165</v>
      </c>
      <c r="AF60" s="18">
        <f t="shared" si="5"/>
        <v>0.28359133126935</v>
      </c>
      <c r="AG60" s="16" t="str">
        <f t="shared" si="6"/>
        <v>有效</v>
      </c>
      <c r="AH60">
        <f t="shared" si="7"/>
        <v>103620.951</v>
      </c>
    </row>
    <row r="61" ht="14.25" customHeight="1" spans="1:34">
      <c r="A61" s="16">
        <v>57</v>
      </c>
      <c r="B61" s="16">
        <v>1036</v>
      </c>
      <c r="C61" s="16">
        <v>16</v>
      </c>
      <c r="D61" s="17">
        <f>IFERROR(ROUND($U61*$X61*$AA61*参数!$B$13,0),"")</f>
        <v>54864</v>
      </c>
      <c r="E61" s="17">
        <f>IFERROR(ROUND($V61*$Y61*$AB61*参数!$C$13,0),"")</f>
        <v>3118</v>
      </c>
      <c r="F61" s="17">
        <f>IFERROR(ROUND($W61*$Z61*$AC61*参数!$D$13,0),"")</f>
        <v>4146</v>
      </c>
      <c r="G61" s="16">
        <v>66667</v>
      </c>
      <c r="H61" s="16">
        <v>3663</v>
      </c>
      <c r="I61" s="16">
        <v>3230</v>
      </c>
      <c r="J61" s="16">
        <v>12</v>
      </c>
      <c r="K61" s="16">
        <v>12</v>
      </c>
      <c r="L61" s="16">
        <f>IFERROR(INDEX(楼层配置!$D$5:$D$104,MATCH($K61,楼层配置!$B$5:$B$104,0)),"")</f>
        <v>52</v>
      </c>
      <c r="M61" s="16" t="str">
        <f>IFERROR(INDEX(_角色基线!$B$2:$B$100,MATCH($B61,_角色基线!$A$2:$A$100,0)),"")</f>
        <v>霜狼法师</v>
      </c>
      <c r="N61" s="16" t="str">
        <f>IFERROR(INDEX(_角色基线!$C$2:$C$100,MATCH($B61,_角色基线!$A$2:$A$100,0)),"")</f>
        <v>DPS</v>
      </c>
      <c r="O61" s="16">
        <f>IFERROR(INDEX(_怪物基线!$B$2:$B$501,MATCH(INT($L61),_怪物基线!$A$2:$A$501,0)),"")</f>
        <v>12117</v>
      </c>
      <c r="P61" s="16">
        <f>IFERROR(INDEX(_怪物基线!$C$2:$C$501,MATCH(INT($L61),_怪物基线!$A$2:$A$501,0)),"")</f>
        <v>2843</v>
      </c>
      <c r="Q61" s="16">
        <f>IFERROR(INDEX(_怪物基线!$D$2:$D$501,MATCH(INT($L61),_怪物基线!$A$2:$A$501,0)),"")</f>
        <v>4146</v>
      </c>
      <c r="R61" s="16">
        <f>参数!$B$10</f>
        <v>4</v>
      </c>
      <c r="S61" s="16">
        <f>参数!$C$10</f>
        <v>1.2</v>
      </c>
      <c r="T61" s="16">
        <f>参数!$D$10</f>
        <v>1</v>
      </c>
      <c r="U61" s="16">
        <f t="shared" si="0"/>
        <v>48468</v>
      </c>
      <c r="V61" s="16">
        <f t="shared" si="1"/>
        <v>3411.6</v>
      </c>
      <c r="W61" s="16">
        <f t="shared" si="2"/>
        <v>4146</v>
      </c>
      <c r="X61" s="16">
        <f>IFERROR(INDEX(参数!$B$5:$B$7,MATCH($N61,参数!$A$5:$A$7,0)),"")</f>
        <v>1</v>
      </c>
      <c r="Y61" s="16">
        <f>IFERROR(INDEX(参数!$C$5:$C$7,MATCH($N61,参数!$A$5:$A$7,0)),"")</f>
        <v>1.2</v>
      </c>
      <c r="Z61" s="16">
        <f>IFERROR(INDEX(参数!$D$5:$D$7,MATCH($N61,参数!$A$5:$A$7,0)),"")</f>
        <v>1</v>
      </c>
      <c r="AA61" s="16">
        <f>IFERROR(INDEX(楼层配置!$E$5:$E$104,MATCH($K61,楼层配置!$B$5:$B$104,0)),1)</f>
        <v>1.13196374709648</v>
      </c>
      <c r="AB61" s="16">
        <f>IFERROR(INDEX(楼层配置!$F$5:$F$104,MATCH($K61,楼层配置!$B$5:$B$104,0)),1)</f>
        <v>0.761718454731972</v>
      </c>
      <c r="AC61" s="16">
        <f>IFERROR(INDEX(楼层配置!$G$5:$G$104,MATCH($K61,楼层配置!$B$5:$B$104,0)),1)</f>
        <v>1</v>
      </c>
      <c r="AD61" s="18">
        <f t="shared" si="3"/>
        <v>-0.177044114779426</v>
      </c>
      <c r="AE61" s="18">
        <f t="shared" si="4"/>
        <v>-0.148785148785149</v>
      </c>
      <c r="AF61" s="18">
        <f t="shared" si="5"/>
        <v>0.28359133126935</v>
      </c>
      <c r="AG61" s="16" t="str">
        <f t="shared" si="6"/>
        <v>有效</v>
      </c>
      <c r="AH61">
        <f t="shared" si="7"/>
        <v>64341.756</v>
      </c>
    </row>
    <row r="62" ht="14.25" customHeight="1" spans="1:34">
      <c r="A62" s="16">
        <v>58</v>
      </c>
      <c r="B62" s="16">
        <v>1015</v>
      </c>
      <c r="C62" s="16">
        <v>16</v>
      </c>
      <c r="D62" s="17">
        <f>IFERROR(ROUND($U62*$X62*$AA62*参数!$B$13,0),"")</f>
        <v>68580</v>
      </c>
      <c r="E62" s="17">
        <f>IFERROR(ROUND($V62*$Y62*$AB62*参数!$C$13,0),"")</f>
        <v>2599</v>
      </c>
      <c r="F62" s="17">
        <f>IFERROR(ROUND($W62*$Z62*$AC62*参数!$D$13,0),"")</f>
        <v>5183</v>
      </c>
      <c r="G62" s="16">
        <v>83334</v>
      </c>
      <c r="H62" s="16">
        <v>3053</v>
      </c>
      <c r="I62" s="16">
        <v>4038</v>
      </c>
      <c r="J62" s="16">
        <v>12</v>
      </c>
      <c r="K62" s="16">
        <v>12</v>
      </c>
      <c r="L62" s="16">
        <f>IFERROR(INDEX(楼层配置!$D$5:$D$104,MATCH($K62,楼层配置!$B$5:$B$104,0)),"")</f>
        <v>52</v>
      </c>
      <c r="M62" s="16" t="str">
        <f>IFERROR(INDEX(_角色基线!$B$2:$B$100,MATCH($B62,_角色基线!$A$2:$A$100,0)),"")</f>
        <v>阿莱克西娅</v>
      </c>
      <c r="N62" s="16" t="str">
        <f>IFERROR(INDEX(_角色基线!$C$2:$C$100,MATCH($B62,_角色基线!$A$2:$A$100,0)),"")</f>
        <v>Support</v>
      </c>
      <c r="O62" s="16">
        <f>IFERROR(INDEX(_怪物基线!$B$2:$B$501,MATCH(INT($L62),_怪物基线!$A$2:$A$501,0)),"")</f>
        <v>12117</v>
      </c>
      <c r="P62" s="16">
        <f>IFERROR(INDEX(_怪物基线!$C$2:$C$501,MATCH(INT($L62),_怪物基线!$A$2:$A$501,0)),"")</f>
        <v>2843</v>
      </c>
      <c r="Q62" s="16">
        <f>IFERROR(INDEX(_怪物基线!$D$2:$D$501,MATCH(INT($L62),_怪物基线!$A$2:$A$501,0)),"")</f>
        <v>4146</v>
      </c>
      <c r="R62" s="16">
        <f>参数!$B$10</f>
        <v>4</v>
      </c>
      <c r="S62" s="16">
        <f>参数!$C$10</f>
        <v>1.2</v>
      </c>
      <c r="T62" s="16">
        <f>参数!$D$10</f>
        <v>1</v>
      </c>
      <c r="U62" s="16">
        <f t="shared" si="0"/>
        <v>48468</v>
      </c>
      <c r="V62" s="16">
        <f t="shared" si="1"/>
        <v>3411.6</v>
      </c>
      <c r="W62" s="16">
        <f t="shared" si="2"/>
        <v>4146</v>
      </c>
      <c r="X62" s="16">
        <f>IFERROR(INDEX(参数!$B$5:$B$7,MATCH($N62,参数!$A$5:$A$7,0)),"")</f>
        <v>1.25</v>
      </c>
      <c r="Y62" s="16">
        <f>IFERROR(INDEX(参数!$C$5:$C$7,MATCH($N62,参数!$A$5:$A$7,0)),"")</f>
        <v>1</v>
      </c>
      <c r="Z62" s="16">
        <f>IFERROR(INDEX(参数!$D$5:$D$7,MATCH($N62,参数!$A$5:$A$7,0)),"")</f>
        <v>1.25</v>
      </c>
      <c r="AA62" s="16">
        <f>IFERROR(INDEX(楼层配置!$E$5:$E$104,MATCH($K62,楼层配置!$B$5:$B$104,0)),1)</f>
        <v>1.13196374709648</v>
      </c>
      <c r="AB62" s="16">
        <f>IFERROR(INDEX(楼层配置!$F$5:$F$104,MATCH($K62,楼层配置!$B$5:$B$104,0)),1)</f>
        <v>0.761718454731972</v>
      </c>
      <c r="AC62" s="16">
        <f>IFERROR(INDEX(楼层配置!$G$5:$G$104,MATCH($K62,楼层配置!$B$5:$B$104,0)),1)</f>
        <v>1</v>
      </c>
      <c r="AD62" s="18">
        <f t="shared" si="3"/>
        <v>-0.177046583627331</v>
      </c>
      <c r="AE62" s="18">
        <f t="shared" si="4"/>
        <v>-0.148706190632165</v>
      </c>
      <c r="AF62" s="18">
        <f t="shared" si="5"/>
        <v>0.283556215948489</v>
      </c>
      <c r="AG62" s="16" t="str">
        <f t="shared" si="6"/>
        <v>有效</v>
      </c>
      <c r="AH62">
        <f t="shared" si="7"/>
        <v>83390.4225</v>
      </c>
    </row>
    <row r="63" ht="14.25" customHeight="1" spans="1:34">
      <c r="A63" s="16">
        <v>59</v>
      </c>
      <c r="B63" s="16">
        <v>1018</v>
      </c>
      <c r="C63" s="16">
        <v>16</v>
      </c>
      <c r="D63" s="17">
        <f>IFERROR(ROUND($U63*$X63*$AA63*参数!$B$13,0),"")</f>
        <v>68580</v>
      </c>
      <c r="E63" s="17">
        <f>IFERROR(ROUND($V63*$Y63*$AB63*参数!$C$13,0),"")</f>
        <v>2599</v>
      </c>
      <c r="F63" s="17">
        <f>IFERROR(ROUND($W63*$Z63*$AC63*参数!$D$13,0),"")</f>
        <v>5183</v>
      </c>
      <c r="G63" s="16">
        <v>83334</v>
      </c>
      <c r="H63" s="16">
        <v>3053</v>
      </c>
      <c r="I63" s="16">
        <v>4038</v>
      </c>
      <c r="J63" s="16">
        <v>12</v>
      </c>
      <c r="K63" s="16">
        <v>12</v>
      </c>
      <c r="L63" s="16">
        <f>IFERROR(INDEX(楼层配置!$D$5:$D$104,MATCH($K63,楼层配置!$B$5:$B$104,0)),"")</f>
        <v>52</v>
      </c>
      <c r="M63" s="16" t="str">
        <f>IFERROR(INDEX(_角色基线!$B$2:$B$100,MATCH($B63,_角色基线!$A$2:$A$100,0)),"")</f>
        <v>埃莉诺</v>
      </c>
      <c r="N63" s="16" t="str">
        <f>IFERROR(INDEX(_角色基线!$C$2:$C$100,MATCH($B63,_角色基线!$A$2:$A$100,0)),"")</f>
        <v>Support</v>
      </c>
      <c r="O63" s="16">
        <f>IFERROR(INDEX(_怪物基线!$B$2:$B$501,MATCH(INT($L63),_怪物基线!$A$2:$A$501,0)),"")</f>
        <v>12117</v>
      </c>
      <c r="P63" s="16">
        <f>IFERROR(INDEX(_怪物基线!$C$2:$C$501,MATCH(INT($L63),_怪物基线!$A$2:$A$501,0)),"")</f>
        <v>2843</v>
      </c>
      <c r="Q63" s="16">
        <f>IFERROR(INDEX(_怪物基线!$D$2:$D$501,MATCH(INT($L63),_怪物基线!$A$2:$A$501,0)),"")</f>
        <v>4146</v>
      </c>
      <c r="R63" s="16">
        <f>参数!$B$10</f>
        <v>4</v>
      </c>
      <c r="S63" s="16">
        <f>参数!$C$10</f>
        <v>1.2</v>
      </c>
      <c r="T63" s="16">
        <f>参数!$D$10</f>
        <v>1</v>
      </c>
      <c r="U63" s="16">
        <f t="shared" si="0"/>
        <v>48468</v>
      </c>
      <c r="V63" s="16">
        <f t="shared" si="1"/>
        <v>3411.6</v>
      </c>
      <c r="W63" s="16">
        <f t="shared" si="2"/>
        <v>4146</v>
      </c>
      <c r="X63" s="16">
        <f>IFERROR(INDEX(参数!$B$5:$B$7,MATCH($N63,参数!$A$5:$A$7,0)),"")</f>
        <v>1.25</v>
      </c>
      <c r="Y63" s="16">
        <f>IFERROR(INDEX(参数!$C$5:$C$7,MATCH($N63,参数!$A$5:$A$7,0)),"")</f>
        <v>1</v>
      </c>
      <c r="Z63" s="16">
        <f>IFERROR(INDEX(参数!$D$5:$D$7,MATCH($N63,参数!$A$5:$A$7,0)),"")</f>
        <v>1.25</v>
      </c>
      <c r="AA63" s="16">
        <f>IFERROR(INDEX(楼层配置!$E$5:$E$104,MATCH($K63,楼层配置!$B$5:$B$104,0)),1)</f>
        <v>1.13196374709648</v>
      </c>
      <c r="AB63" s="16">
        <f>IFERROR(INDEX(楼层配置!$F$5:$F$104,MATCH($K63,楼层配置!$B$5:$B$104,0)),1)</f>
        <v>0.761718454731972</v>
      </c>
      <c r="AC63" s="16">
        <f>IFERROR(INDEX(楼层配置!$G$5:$G$104,MATCH($K63,楼层配置!$B$5:$B$104,0)),1)</f>
        <v>1</v>
      </c>
      <c r="AD63" s="18">
        <f t="shared" si="3"/>
        <v>-0.177046583627331</v>
      </c>
      <c r="AE63" s="18">
        <f t="shared" si="4"/>
        <v>-0.148706190632165</v>
      </c>
      <c r="AF63" s="18">
        <f t="shared" si="5"/>
        <v>0.283556215948489</v>
      </c>
      <c r="AG63" s="16" t="str">
        <f t="shared" si="6"/>
        <v>有效</v>
      </c>
      <c r="AH63">
        <f t="shared" si="7"/>
        <v>83390.4225</v>
      </c>
    </row>
    <row r="64" ht="14.25" customHeight="1" spans="1:34">
      <c r="A64" s="16">
        <v>60</v>
      </c>
      <c r="B64" s="16">
        <v>1036</v>
      </c>
      <c r="C64" s="16">
        <v>16</v>
      </c>
      <c r="D64" s="17">
        <f>IFERROR(ROUND($U64*$X64*$AA64*参数!$B$13,0),"")</f>
        <v>54864</v>
      </c>
      <c r="E64" s="17">
        <f>IFERROR(ROUND($V64*$Y64*$AB64*参数!$C$13,0),"")</f>
        <v>3118</v>
      </c>
      <c r="F64" s="17">
        <f>IFERROR(ROUND($W64*$Z64*$AC64*参数!$D$13,0),"")</f>
        <v>4146</v>
      </c>
      <c r="G64" s="16">
        <v>66667</v>
      </c>
      <c r="H64" s="16">
        <v>3663</v>
      </c>
      <c r="I64" s="16">
        <v>3230</v>
      </c>
      <c r="J64" s="16">
        <v>12</v>
      </c>
      <c r="K64" s="16">
        <v>12</v>
      </c>
      <c r="L64" s="16">
        <f>IFERROR(INDEX(楼层配置!$D$5:$D$104,MATCH($K64,楼层配置!$B$5:$B$104,0)),"")</f>
        <v>52</v>
      </c>
      <c r="M64" s="16" t="str">
        <f>IFERROR(INDEX(_角色基线!$B$2:$B$100,MATCH($B64,_角色基线!$A$2:$A$100,0)),"")</f>
        <v>霜狼法师</v>
      </c>
      <c r="N64" s="16" t="str">
        <f>IFERROR(INDEX(_角色基线!$C$2:$C$100,MATCH($B64,_角色基线!$A$2:$A$100,0)),"")</f>
        <v>DPS</v>
      </c>
      <c r="O64" s="16">
        <f>IFERROR(INDEX(_怪物基线!$B$2:$B$501,MATCH(INT($L64),_怪物基线!$A$2:$A$501,0)),"")</f>
        <v>12117</v>
      </c>
      <c r="P64" s="16">
        <f>IFERROR(INDEX(_怪物基线!$C$2:$C$501,MATCH(INT($L64),_怪物基线!$A$2:$A$501,0)),"")</f>
        <v>2843</v>
      </c>
      <c r="Q64" s="16">
        <f>IFERROR(INDEX(_怪物基线!$D$2:$D$501,MATCH(INT($L64),_怪物基线!$A$2:$A$501,0)),"")</f>
        <v>4146</v>
      </c>
      <c r="R64" s="16">
        <f>参数!$B$10</f>
        <v>4</v>
      </c>
      <c r="S64" s="16">
        <f>参数!$C$10</f>
        <v>1.2</v>
      </c>
      <c r="T64" s="16">
        <f>参数!$D$10</f>
        <v>1</v>
      </c>
      <c r="U64" s="16">
        <f t="shared" si="0"/>
        <v>48468</v>
      </c>
      <c r="V64" s="16">
        <f t="shared" si="1"/>
        <v>3411.6</v>
      </c>
      <c r="W64" s="16">
        <f t="shared" si="2"/>
        <v>4146</v>
      </c>
      <c r="X64" s="16">
        <f>IFERROR(INDEX(参数!$B$5:$B$7,MATCH($N64,参数!$A$5:$A$7,0)),"")</f>
        <v>1</v>
      </c>
      <c r="Y64" s="16">
        <f>IFERROR(INDEX(参数!$C$5:$C$7,MATCH($N64,参数!$A$5:$A$7,0)),"")</f>
        <v>1.2</v>
      </c>
      <c r="Z64" s="16">
        <f>IFERROR(INDEX(参数!$D$5:$D$7,MATCH($N64,参数!$A$5:$A$7,0)),"")</f>
        <v>1</v>
      </c>
      <c r="AA64" s="16">
        <f>IFERROR(INDEX(楼层配置!$E$5:$E$104,MATCH($K64,楼层配置!$B$5:$B$104,0)),1)</f>
        <v>1.13196374709648</v>
      </c>
      <c r="AB64" s="16">
        <f>IFERROR(INDEX(楼层配置!$F$5:$F$104,MATCH($K64,楼层配置!$B$5:$B$104,0)),1)</f>
        <v>0.761718454731972</v>
      </c>
      <c r="AC64" s="16">
        <f>IFERROR(INDEX(楼层配置!$G$5:$G$104,MATCH($K64,楼层配置!$B$5:$B$104,0)),1)</f>
        <v>1</v>
      </c>
      <c r="AD64" s="18">
        <f t="shared" si="3"/>
        <v>-0.177044114779426</v>
      </c>
      <c r="AE64" s="18">
        <f t="shared" si="4"/>
        <v>-0.148785148785149</v>
      </c>
      <c r="AF64" s="18">
        <f t="shared" si="5"/>
        <v>0.28359133126935</v>
      </c>
      <c r="AG64" s="16" t="str">
        <f t="shared" si="6"/>
        <v>有效</v>
      </c>
      <c r="AH64">
        <f t="shared" si="7"/>
        <v>64341.756</v>
      </c>
    </row>
    <row r="65" ht="14.25" customHeight="1" spans="1:34">
      <c r="A65" s="16">
        <v>61</v>
      </c>
      <c r="B65" s="16">
        <v>1037</v>
      </c>
      <c r="C65" s="16">
        <v>16</v>
      </c>
      <c r="D65" s="17">
        <f>IFERROR(ROUND($U65*$X65*$AA65*参数!$B$13,0),"")</f>
        <v>61327</v>
      </c>
      <c r="E65" s="17">
        <f>IFERROR(ROUND($V65*$Y65*$AB65*参数!$C$13,0),"")</f>
        <v>3368</v>
      </c>
      <c r="F65" s="17">
        <f>IFERROR(ROUND($W65*$Z65*$AC65*参数!$D$13,0),"")</f>
        <v>4491</v>
      </c>
      <c r="G65" s="16">
        <v>73891</v>
      </c>
      <c r="H65" s="16">
        <v>3936</v>
      </c>
      <c r="I65" s="16">
        <v>3456</v>
      </c>
      <c r="J65" s="16">
        <v>13</v>
      </c>
      <c r="K65" s="16">
        <v>13</v>
      </c>
      <c r="L65" s="16">
        <f>IFERROR(INDEX(楼层配置!$D$5:$D$104,MATCH($K65,楼层配置!$B$5:$B$104,0)),"")</f>
        <v>56</v>
      </c>
      <c r="M65" s="16" t="str">
        <f>IFERROR(INDEX(_角色基线!$B$2:$B$100,MATCH($B65,_角色基线!$A$2:$A$100,0)),"")</f>
        <v>霜狼战士</v>
      </c>
      <c r="N65" s="16" t="str">
        <f>IFERROR(INDEX(_角色基线!$C$2:$C$100,MATCH($B65,_角色基线!$A$2:$A$100,0)),"")</f>
        <v>DPS</v>
      </c>
      <c r="O65" s="16">
        <f>IFERROR(INDEX(_怪物基线!$B$2:$B$501,MATCH(INT($L65),_怪物基线!$A$2:$A$501,0)),"")</f>
        <v>13643</v>
      </c>
      <c r="P65" s="16">
        <f>IFERROR(INDEX(_怪物基线!$C$2:$C$501,MATCH(INT($L65),_怪物基线!$A$2:$A$501,0)),"")</f>
        <v>3112</v>
      </c>
      <c r="Q65" s="16">
        <f>IFERROR(INDEX(_怪物基线!$D$2:$D$501,MATCH(INT($L65),_怪物基线!$A$2:$A$501,0)),"")</f>
        <v>4491</v>
      </c>
      <c r="R65" s="16">
        <f>参数!$B$10</f>
        <v>4</v>
      </c>
      <c r="S65" s="16">
        <f>参数!$C$10</f>
        <v>1.2</v>
      </c>
      <c r="T65" s="16">
        <f>参数!$D$10</f>
        <v>1</v>
      </c>
      <c r="U65" s="16">
        <f t="shared" si="0"/>
        <v>54572</v>
      </c>
      <c r="V65" s="16">
        <f t="shared" si="1"/>
        <v>3734.4</v>
      </c>
      <c r="W65" s="16">
        <f t="shared" si="2"/>
        <v>4491</v>
      </c>
      <c r="X65" s="16">
        <f>IFERROR(INDEX(参数!$B$5:$B$7,MATCH($N65,参数!$A$5:$A$7,0)),"")</f>
        <v>1</v>
      </c>
      <c r="Y65" s="16">
        <f>IFERROR(INDEX(参数!$C$5:$C$7,MATCH($N65,参数!$A$5:$A$7,0)),"")</f>
        <v>1.2</v>
      </c>
      <c r="Z65" s="16">
        <f>IFERROR(INDEX(参数!$D$5:$D$7,MATCH($N65,参数!$A$5:$A$7,0)),"")</f>
        <v>1</v>
      </c>
      <c r="AA65" s="16">
        <f>IFERROR(INDEX(楼层配置!$E$5:$E$104,MATCH($K65,楼层配置!$B$5:$B$104,0)),1)</f>
        <v>1.12378784957974</v>
      </c>
      <c r="AB65" s="16">
        <f>IFERROR(INDEX(楼层配置!$F$5:$F$104,MATCH($K65,楼层配置!$B$5:$B$104,0)),1)</f>
        <v>0.751671001397309</v>
      </c>
      <c r="AC65" s="16">
        <f>IFERROR(INDEX(楼层配置!$G$5:$G$104,MATCH($K65,楼层配置!$B$5:$B$104,0)),1)</f>
        <v>1</v>
      </c>
      <c r="AD65" s="18">
        <f t="shared" si="3"/>
        <v>-0.170034239623229</v>
      </c>
      <c r="AE65" s="18">
        <f t="shared" si="4"/>
        <v>-0.144308943089431</v>
      </c>
      <c r="AF65" s="18">
        <f t="shared" si="5"/>
        <v>0.299479166666667</v>
      </c>
      <c r="AG65" s="16" t="str">
        <f t="shared" si="6"/>
        <v>有效</v>
      </c>
      <c r="AH65">
        <f t="shared" si="7"/>
        <v>72802.814875</v>
      </c>
    </row>
    <row r="66" ht="14.25" customHeight="1" spans="1:34">
      <c r="A66" s="16">
        <v>62</v>
      </c>
      <c r="B66" s="16">
        <v>1015</v>
      </c>
      <c r="C66" s="16">
        <v>16</v>
      </c>
      <c r="D66" s="17">
        <f>IFERROR(ROUND($U66*$X66*$AA66*参数!$B$13,0),"")</f>
        <v>76659</v>
      </c>
      <c r="E66" s="17">
        <f>IFERROR(ROUND($V66*$Y66*$AB66*参数!$C$13,0),"")</f>
        <v>2807</v>
      </c>
      <c r="F66" s="17">
        <f>IFERROR(ROUND($W66*$Z66*$AC66*参数!$D$13,0),"")</f>
        <v>5614</v>
      </c>
      <c r="G66" s="16">
        <v>92364</v>
      </c>
      <c r="H66" s="16">
        <v>3280</v>
      </c>
      <c r="I66" s="16">
        <v>4321</v>
      </c>
      <c r="J66" s="16">
        <v>13</v>
      </c>
      <c r="K66" s="16">
        <v>13</v>
      </c>
      <c r="L66" s="16">
        <f>IFERROR(INDEX(楼层配置!$D$5:$D$104,MATCH($K66,楼层配置!$B$5:$B$104,0)),"")</f>
        <v>56</v>
      </c>
      <c r="M66" s="16" t="str">
        <f>IFERROR(INDEX(_角色基线!$B$2:$B$100,MATCH($B66,_角色基线!$A$2:$A$100,0)),"")</f>
        <v>阿莱克西娅</v>
      </c>
      <c r="N66" s="16" t="str">
        <f>IFERROR(INDEX(_角色基线!$C$2:$C$100,MATCH($B66,_角色基线!$A$2:$A$100,0)),"")</f>
        <v>Support</v>
      </c>
      <c r="O66" s="16">
        <f>IFERROR(INDEX(_怪物基线!$B$2:$B$501,MATCH(INT($L66),_怪物基线!$A$2:$A$501,0)),"")</f>
        <v>13643</v>
      </c>
      <c r="P66" s="16">
        <f>IFERROR(INDEX(_怪物基线!$C$2:$C$501,MATCH(INT($L66),_怪物基线!$A$2:$A$501,0)),"")</f>
        <v>3112</v>
      </c>
      <c r="Q66" s="16">
        <f>IFERROR(INDEX(_怪物基线!$D$2:$D$501,MATCH(INT($L66),_怪物基线!$A$2:$A$501,0)),"")</f>
        <v>4491</v>
      </c>
      <c r="R66" s="16">
        <f>参数!$B$10</f>
        <v>4</v>
      </c>
      <c r="S66" s="16">
        <f>参数!$C$10</f>
        <v>1.2</v>
      </c>
      <c r="T66" s="16">
        <f>参数!$D$10</f>
        <v>1</v>
      </c>
      <c r="U66" s="16">
        <f t="shared" si="0"/>
        <v>54572</v>
      </c>
      <c r="V66" s="16">
        <f t="shared" si="1"/>
        <v>3734.4</v>
      </c>
      <c r="W66" s="16">
        <f t="shared" si="2"/>
        <v>4491</v>
      </c>
      <c r="X66" s="16">
        <f>IFERROR(INDEX(参数!$B$5:$B$7,MATCH($N66,参数!$A$5:$A$7,0)),"")</f>
        <v>1.25</v>
      </c>
      <c r="Y66" s="16">
        <f>IFERROR(INDEX(参数!$C$5:$C$7,MATCH($N66,参数!$A$5:$A$7,0)),"")</f>
        <v>1</v>
      </c>
      <c r="Z66" s="16">
        <f>IFERROR(INDEX(参数!$D$5:$D$7,MATCH($N66,参数!$A$5:$A$7,0)),"")</f>
        <v>1.25</v>
      </c>
      <c r="AA66" s="16">
        <f>IFERROR(INDEX(楼层配置!$E$5:$E$104,MATCH($K66,楼层配置!$B$5:$B$104,0)),1)</f>
        <v>1.12378784957974</v>
      </c>
      <c r="AB66" s="16">
        <f>IFERROR(INDEX(楼层配置!$F$5:$F$104,MATCH($K66,楼层配置!$B$5:$B$104,0)),1)</f>
        <v>0.751671001397309</v>
      </c>
      <c r="AC66" s="16">
        <f>IFERROR(INDEX(楼层配置!$G$5:$G$104,MATCH($K66,楼层配置!$B$5:$B$104,0)),1)</f>
        <v>1</v>
      </c>
      <c r="AD66" s="18">
        <f t="shared" si="3"/>
        <v>-0.170033779394569</v>
      </c>
      <c r="AE66" s="18">
        <f t="shared" si="4"/>
        <v>-0.144207317073171</v>
      </c>
      <c r="AF66" s="18">
        <f t="shared" si="5"/>
        <v>0.29923628789632</v>
      </c>
      <c r="AG66" s="16" t="str">
        <f t="shared" si="6"/>
        <v>有效</v>
      </c>
      <c r="AH66">
        <f t="shared" si="7"/>
        <v>94590.81775</v>
      </c>
    </row>
    <row r="67" ht="14.25" customHeight="1" spans="1:34">
      <c r="A67" s="16">
        <v>63</v>
      </c>
      <c r="B67" s="16">
        <v>1036</v>
      </c>
      <c r="C67" s="16">
        <v>16</v>
      </c>
      <c r="D67" s="17">
        <f>IFERROR(ROUND($U67*$X67*$AA67*参数!$B$13,0),"")</f>
        <v>61327</v>
      </c>
      <c r="E67" s="17">
        <f>IFERROR(ROUND($V67*$Y67*$AB67*参数!$C$13,0),"")</f>
        <v>3368</v>
      </c>
      <c r="F67" s="17">
        <f>IFERROR(ROUND($W67*$Z67*$AC67*参数!$D$13,0),"")</f>
        <v>4491</v>
      </c>
      <c r="G67" s="16">
        <v>73891</v>
      </c>
      <c r="H67" s="16">
        <v>3936</v>
      </c>
      <c r="I67" s="16">
        <v>3456</v>
      </c>
      <c r="J67" s="16">
        <v>13</v>
      </c>
      <c r="K67" s="16">
        <v>13</v>
      </c>
      <c r="L67" s="16">
        <f>IFERROR(INDEX(楼层配置!$D$5:$D$104,MATCH($K67,楼层配置!$B$5:$B$104,0)),"")</f>
        <v>56</v>
      </c>
      <c r="M67" s="16" t="str">
        <f>IFERROR(INDEX(_角色基线!$B$2:$B$100,MATCH($B67,_角色基线!$A$2:$A$100,0)),"")</f>
        <v>霜狼法师</v>
      </c>
      <c r="N67" s="16" t="str">
        <f>IFERROR(INDEX(_角色基线!$C$2:$C$100,MATCH($B67,_角色基线!$A$2:$A$100,0)),"")</f>
        <v>DPS</v>
      </c>
      <c r="O67" s="16">
        <f>IFERROR(INDEX(_怪物基线!$B$2:$B$501,MATCH(INT($L67),_怪物基线!$A$2:$A$501,0)),"")</f>
        <v>13643</v>
      </c>
      <c r="P67" s="16">
        <f>IFERROR(INDEX(_怪物基线!$C$2:$C$501,MATCH(INT($L67),_怪物基线!$A$2:$A$501,0)),"")</f>
        <v>3112</v>
      </c>
      <c r="Q67" s="16">
        <f>IFERROR(INDEX(_怪物基线!$D$2:$D$501,MATCH(INT($L67),_怪物基线!$A$2:$A$501,0)),"")</f>
        <v>4491</v>
      </c>
      <c r="R67" s="16">
        <f>参数!$B$10</f>
        <v>4</v>
      </c>
      <c r="S67" s="16">
        <f>参数!$C$10</f>
        <v>1.2</v>
      </c>
      <c r="T67" s="16">
        <f>参数!$D$10</f>
        <v>1</v>
      </c>
      <c r="U67" s="16">
        <f t="shared" si="0"/>
        <v>54572</v>
      </c>
      <c r="V67" s="16">
        <f t="shared" si="1"/>
        <v>3734.4</v>
      </c>
      <c r="W67" s="16">
        <f t="shared" si="2"/>
        <v>4491</v>
      </c>
      <c r="X67" s="16">
        <f>IFERROR(INDEX(参数!$B$5:$B$7,MATCH($N67,参数!$A$5:$A$7,0)),"")</f>
        <v>1</v>
      </c>
      <c r="Y67" s="16">
        <f>IFERROR(INDEX(参数!$C$5:$C$7,MATCH($N67,参数!$A$5:$A$7,0)),"")</f>
        <v>1.2</v>
      </c>
      <c r="Z67" s="16">
        <f>IFERROR(INDEX(参数!$D$5:$D$7,MATCH($N67,参数!$A$5:$A$7,0)),"")</f>
        <v>1</v>
      </c>
      <c r="AA67" s="16">
        <f>IFERROR(INDEX(楼层配置!$E$5:$E$104,MATCH($K67,楼层配置!$B$5:$B$104,0)),1)</f>
        <v>1.12378784957974</v>
      </c>
      <c r="AB67" s="16">
        <f>IFERROR(INDEX(楼层配置!$F$5:$F$104,MATCH($K67,楼层配置!$B$5:$B$104,0)),1)</f>
        <v>0.751671001397309</v>
      </c>
      <c r="AC67" s="16">
        <f>IFERROR(INDEX(楼层配置!$G$5:$G$104,MATCH($K67,楼层配置!$B$5:$B$104,0)),1)</f>
        <v>1</v>
      </c>
      <c r="AD67" s="18">
        <f t="shared" si="3"/>
        <v>-0.170034239623229</v>
      </c>
      <c r="AE67" s="18">
        <f t="shared" si="4"/>
        <v>-0.144308943089431</v>
      </c>
      <c r="AF67" s="18">
        <f t="shared" si="5"/>
        <v>0.299479166666667</v>
      </c>
      <c r="AG67" s="16" t="str">
        <f t="shared" si="6"/>
        <v>有效</v>
      </c>
      <c r="AH67">
        <f t="shared" si="7"/>
        <v>72802.814875</v>
      </c>
    </row>
    <row r="68" ht="14.25" customHeight="1" spans="1:34">
      <c r="A68" s="16">
        <v>64</v>
      </c>
      <c r="B68" s="16">
        <v>1039</v>
      </c>
      <c r="C68" s="16">
        <v>16</v>
      </c>
      <c r="D68" s="17">
        <f>IFERROR(ROUND($U68*$X68*$AA68*参数!$B$13,0),"")</f>
        <v>61327</v>
      </c>
      <c r="E68" s="17">
        <f>IFERROR(ROUND($V68*$Y68*$AB68*参数!$C$13,0),"")</f>
        <v>3368</v>
      </c>
      <c r="F68" s="17">
        <f>IFERROR(ROUND($W68*$Z68*$AC68*参数!$D$13,0),"")</f>
        <v>4491</v>
      </c>
      <c r="G68" s="16">
        <v>73891</v>
      </c>
      <c r="H68" s="16">
        <v>3936</v>
      </c>
      <c r="I68" s="16">
        <v>3456</v>
      </c>
      <c r="J68" s="16">
        <v>13</v>
      </c>
      <c r="K68" s="16">
        <v>13</v>
      </c>
      <c r="L68" s="16">
        <f>IFERROR(INDEX(楼层配置!$D$5:$D$104,MATCH($K68,楼层配置!$B$5:$B$104,0)),"")</f>
        <v>56</v>
      </c>
      <c r="M68" s="16" t="str">
        <f>IFERROR(INDEX(_角色基线!$B$2:$B$100,MATCH($B68,_角色基线!$A$2:$A$100,0)),"")</f>
        <v>商队枪手</v>
      </c>
      <c r="N68" s="16" t="str">
        <f>IFERROR(INDEX(_角色基线!$C$2:$C$100,MATCH($B68,_角色基线!$A$2:$A$100,0)),"")</f>
        <v>DPS</v>
      </c>
      <c r="O68" s="16">
        <f>IFERROR(INDEX(_怪物基线!$B$2:$B$501,MATCH(INT($L68),_怪物基线!$A$2:$A$501,0)),"")</f>
        <v>13643</v>
      </c>
      <c r="P68" s="16">
        <f>IFERROR(INDEX(_怪物基线!$C$2:$C$501,MATCH(INT($L68),_怪物基线!$A$2:$A$501,0)),"")</f>
        <v>3112</v>
      </c>
      <c r="Q68" s="16">
        <f>IFERROR(INDEX(_怪物基线!$D$2:$D$501,MATCH(INT($L68),_怪物基线!$A$2:$A$501,0)),"")</f>
        <v>4491</v>
      </c>
      <c r="R68" s="16">
        <f>参数!$B$10</f>
        <v>4</v>
      </c>
      <c r="S68" s="16">
        <f>参数!$C$10</f>
        <v>1.2</v>
      </c>
      <c r="T68" s="16">
        <f>参数!$D$10</f>
        <v>1</v>
      </c>
      <c r="U68" s="16">
        <f t="shared" si="0"/>
        <v>54572</v>
      </c>
      <c r="V68" s="16">
        <f t="shared" si="1"/>
        <v>3734.4</v>
      </c>
      <c r="W68" s="16">
        <f t="shared" si="2"/>
        <v>4491</v>
      </c>
      <c r="X68" s="16">
        <f>IFERROR(INDEX(参数!$B$5:$B$7,MATCH($N68,参数!$A$5:$A$7,0)),"")</f>
        <v>1</v>
      </c>
      <c r="Y68" s="16">
        <f>IFERROR(INDEX(参数!$C$5:$C$7,MATCH($N68,参数!$A$5:$A$7,0)),"")</f>
        <v>1.2</v>
      </c>
      <c r="Z68" s="16">
        <f>IFERROR(INDEX(参数!$D$5:$D$7,MATCH($N68,参数!$A$5:$A$7,0)),"")</f>
        <v>1</v>
      </c>
      <c r="AA68" s="16">
        <f>IFERROR(INDEX(楼层配置!$E$5:$E$104,MATCH($K68,楼层配置!$B$5:$B$104,0)),1)</f>
        <v>1.12378784957974</v>
      </c>
      <c r="AB68" s="16">
        <f>IFERROR(INDEX(楼层配置!$F$5:$F$104,MATCH($K68,楼层配置!$B$5:$B$104,0)),1)</f>
        <v>0.751671001397309</v>
      </c>
      <c r="AC68" s="16">
        <f>IFERROR(INDEX(楼层配置!$G$5:$G$104,MATCH($K68,楼层配置!$B$5:$B$104,0)),1)</f>
        <v>1</v>
      </c>
      <c r="AD68" s="18">
        <f t="shared" si="3"/>
        <v>-0.170034239623229</v>
      </c>
      <c r="AE68" s="18">
        <f t="shared" si="4"/>
        <v>-0.144308943089431</v>
      </c>
      <c r="AF68" s="18">
        <f t="shared" si="5"/>
        <v>0.299479166666667</v>
      </c>
      <c r="AG68" s="16" t="str">
        <f t="shared" si="6"/>
        <v>有效</v>
      </c>
      <c r="AH68">
        <f t="shared" si="7"/>
        <v>72802.814875</v>
      </c>
    </row>
    <row r="69" ht="14.25" customHeight="1" spans="1:34">
      <c r="A69" s="16">
        <v>65</v>
      </c>
      <c r="B69" s="16">
        <v>1035</v>
      </c>
      <c r="C69" s="16">
        <v>16</v>
      </c>
      <c r="D69" s="17">
        <f>IFERROR(ROUND($U69*$X69*$AA69*参数!$B$13,0),"")</f>
        <v>61327</v>
      </c>
      <c r="E69" s="17">
        <f>IFERROR(ROUND($V69*$Y69*$AB69*参数!$C$13,0),"")</f>
        <v>3368</v>
      </c>
      <c r="F69" s="17">
        <f>IFERROR(ROUND($W69*$Z69*$AC69*参数!$D$13,0),"")</f>
        <v>4491</v>
      </c>
      <c r="G69" s="16">
        <v>73891</v>
      </c>
      <c r="H69" s="16">
        <v>3936</v>
      </c>
      <c r="I69" s="16">
        <v>3456</v>
      </c>
      <c r="J69" s="16">
        <v>13</v>
      </c>
      <c r="K69" s="16">
        <v>13</v>
      </c>
      <c r="L69" s="16">
        <f>IFERROR(INDEX(楼层配置!$D$5:$D$104,MATCH($K69,楼层配置!$B$5:$B$104,0)),"")</f>
        <v>56</v>
      </c>
      <c r="M69" s="16" t="str">
        <f>IFERROR(INDEX(_角色基线!$B$2:$B$100,MATCH($B69,_角色基线!$A$2:$A$100,0)),"")</f>
        <v>碎冰者</v>
      </c>
      <c r="N69" s="16" t="str">
        <f>IFERROR(INDEX(_角色基线!$C$2:$C$100,MATCH($B69,_角色基线!$A$2:$A$100,0)),"")</f>
        <v>DPS</v>
      </c>
      <c r="O69" s="16">
        <f>IFERROR(INDEX(_怪物基线!$B$2:$B$501,MATCH(INT($L69),_怪物基线!$A$2:$A$501,0)),"")</f>
        <v>13643</v>
      </c>
      <c r="P69" s="16">
        <f>IFERROR(INDEX(_怪物基线!$C$2:$C$501,MATCH(INT($L69),_怪物基线!$A$2:$A$501,0)),"")</f>
        <v>3112</v>
      </c>
      <c r="Q69" s="16">
        <f>IFERROR(INDEX(_怪物基线!$D$2:$D$501,MATCH(INT($L69),_怪物基线!$A$2:$A$501,0)),"")</f>
        <v>4491</v>
      </c>
      <c r="R69" s="16">
        <f>参数!$B$10</f>
        <v>4</v>
      </c>
      <c r="S69" s="16">
        <f>参数!$C$10</f>
        <v>1.2</v>
      </c>
      <c r="T69" s="16">
        <f>参数!$D$10</f>
        <v>1</v>
      </c>
      <c r="U69" s="16">
        <f t="shared" ref="U69:U132" si="8">IF($O69="","",$O69*$R69)</f>
        <v>54572</v>
      </c>
      <c r="V69" s="16">
        <f t="shared" ref="V69:V132" si="9">IF($P69="","",$P69*$S69)</f>
        <v>3734.4</v>
      </c>
      <c r="W69" s="16">
        <f t="shared" ref="W69:W132" si="10">IF($Q69="","",$Q69*$T69)</f>
        <v>4491</v>
      </c>
      <c r="X69" s="16">
        <f>IFERROR(INDEX(参数!$B$5:$B$7,MATCH($N69,参数!$A$5:$A$7,0)),"")</f>
        <v>1</v>
      </c>
      <c r="Y69" s="16">
        <f>IFERROR(INDEX(参数!$C$5:$C$7,MATCH($N69,参数!$A$5:$A$7,0)),"")</f>
        <v>1.2</v>
      </c>
      <c r="Z69" s="16">
        <f>IFERROR(INDEX(参数!$D$5:$D$7,MATCH($N69,参数!$A$5:$A$7,0)),"")</f>
        <v>1</v>
      </c>
      <c r="AA69" s="16">
        <f>IFERROR(INDEX(楼层配置!$E$5:$E$104,MATCH($K69,楼层配置!$B$5:$B$104,0)),1)</f>
        <v>1.12378784957974</v>
      </c>
      <c r="AB69" s="16">
        <f>IFERROR(INDEX(楼层配置!$F$5:$F$104,MATCH($K69,楼层配置!$B$5:$B$104,0)),1)</f>
        <v>0.751671001397309</v>
      </c>
      <c r="AC69" s="16">
        <f>IFERROR(INDEX(楼层配置!$G$5:$G$104,MATCH($K69,楼层配置!$B$5:$B$104,0)),1)</f>
        <v>1</v>
      </c>
      <c r="AD69" s="18">
        <f t="shared" ref="AD69:AD132" si="11">IFERROR($D69/$G69-1,"")</f>
        <v>-0.170034239623229</v>
      </c>
      <c r="AE69" s="18">
        <f t="shared" ref="AE69:AE132" si="12">IFERROR($E69/$H69-1,"")</f>
        <v>-0.144308943089431</v>
      </c>
      <c r="AF69" s="18">
        <f t="shared" ref="AF69:AF132" si="13">IFERROR($F69/$I69-1,"")</f>
        <v>0.299479166666667</v>
      </c>
      <c r="AG69" s="16" t="str">
        <f t="shared" ref="AG69:AG132" si="14">IF(AND($A69&gt;=1,$L69&gt;=1,$L69&lt;=500,OR($N69="Tank",$N69="DPS",$N69="Support"),ISNUMBER($D69),ISNUMBER($E69),ISNUMBER($F69)),"有效","异常")</f>
        <v>有效</v>
      </c>
      <c r="AH69">
        <f t="shared" ref="AH69:AH132" si="15">D69/(1-MIN(0.75,F69/(24000+F69)))</f>
        <v>72802.814875</v>
      </c>
    </row>
    <row r="70" ht="14.25" customHeight="1" spans="1:34">
      <c r="A70" s="16">
        <v>66</v>
      </c>
      <c r="B70" s="16">
        <v>1002</v>
      </c>
      <c r="C70" s="16">
        <v>17</v>
      </c>
      <c r="D70" s="17">
        <f>IFERROR(ROUND($U70*$X70*$AA70*参数!$B$13,0),"")</f>
        <v>99795</v>
      </c>
      <c r="E70" s="17">
        <f>IFERROR(ROUND($V70*$Y70*$AB70*参数!$C$13,0),"")</f>
        <v>2943</v>
      </c>
      <c r="F70" s="17">
        <f>IFERROR(ROUND($W70*$Z70*$AC70*参数!$D$13,0),"")</f>
        <v>7127</v>
      </c>
      <c r="G70" s="16">
        <v>122313</v>
      </c>
      <c r="H70" s="16">
        <v>3510</v>
      </c>
      <c r="I70" s="16">
        <v>5529</v>
      </c>
      <c r="J70" s="16">
        <v>14</v>
      </c>
      <c r="K70" s="16">
        <v>14</v>
      </c>
      <c r="L70" s="16">
        <f>IFERROR(INDEX(楼层配置!$D$5:$D$104,MATCH($K70,楼层配置!$B$5:$B$104,0)),"")</f>
        <v>59</v>
      </c>
      <c r="M70" s="16" t="str">
        <f>IFERROR(INDEX(_角色基线!$B$2:$B$100,MATCH($B70,_角色基线!$A$2:$A$100,0)),"")</f>
        <v>大暑</v>
      </c>
      <c r="N70" s="16" t="str">
        <f>IFERROR(INDEX(_角色基线!$C$2:$C$100,MATCH($B70,_角色基线!$A$2:$A$100,0)),"")</f>
        <v>Tank</v>
      </c>
      <c r="O70" s="16">
        <f>IFERROR(INDEX(_怪物基线!$B$2:$B$501,MATCH(INT($L70),_怪物基线!$A$2:$A$501,0)),"")</f>
        <v>14849</v>
      </c>
      <c r="P70" s="16">
        <f>IFERROR(INDEX(_怪物基线!$C$2:$C$501,MATCH(INT($L70),_怪物基线!$A$2:$A$501,0)),"")</f>
        <v>3319</v>
      </c>
      <c r="Q70" s="16">
        <f>IFERROR(INDEX(_怪物基线!$D$2:$D$501,MATCH(INT($L70),_怪物基线!$A$2:$A$501,0)),"")</f>
        <v>4751</v>
      </c>
      <c r="R70" s="16">
        <f>参数!$B$10</f>
        <v>4</v>
      </c>
      <c r="S70" s="16">
        <f>参数!$C$10</f>
        <v>1.2</v>
      </c>
      <c r="T70" s="16">
        <f>参数!$D$10</f>
        <v>1</v>
      </c>
      <c r="U70" s="16">
        <f t="shared" si="8"/>
        <v>59396</v>
      </c>
      <c r="V70" s="16">
        <f t="shared" si="9"/>
        <v>3982.8</v>
      </c>
      <c r="W70" s="16">
        <f t="shared" si="10"/>
        <v>4751</v>
      </c>
      <c r="X70" s="16">
        <f>IFERROR(INDEX(参数!$B$5:$B$7,MATCH($N70,参数!$A$5:$A$7,0)),"")</f>
        <v>1.5</v>
      </c>
      <c r="Y70" s="16">
        <f>IFERROR(INDEX(参数!$C$5:$C$7,MATCH($N70,参数!$A$5:$A$7,0)),"")</f>
        <v>1</v>
      </c>
      <c r="Z70" s="16">
        <f>IFERROR(INDEX(参数!$D$5:$D$7,MATCH($N70,参数!$A$5:$A$7,0)),"")</f>
        <v>1.5</v>
      </c>
      <c r="AA70" s="16">
        <f>IFERROR(INDEX(楼层配置!$E$5:$E$104,MATCH($K70,楼层配置!$B$5:$B$104,0)),1)</f>
        <v>1.12010583074231</v>
      </c>
      <c r="AB70" s="16">
        <f>IFERROR(INDEX(楼层配置!$F$5:$F$104,MATCH($K70,楼层配置!$B$5:$B$104,0)),1)</f>
        <v>0.738990752928763</v>
      </c>
      <c r="AC70" s="16">
        <f>IFERROR(INDEX(楼层配置!$G$5:$G$104,MATCH($K70,楼层配置!$B$5:$B$104,0)),1)</f>
        <v>1</v>
      </c>
      <c r="AD70" s="18">
        <f t="shared" si="11"/>
        <v>-0.184101444654289</v>
      </c>
      <c r="AE70" s="18">
        <f t="shared" si="12"/>
        <v>-0.161538461538462</v>
      </c>
      <c r="AF70" s="18">
        <f t="shared" si="13"/>
        <v>0.289021522879363</v>
      </c>
      <c r="AG70" s="16" t="str">
        <f t="shared" si="14"/>
        <v>有效</v>
      </c>
      <c r="AH70">
        <f t="shared" si="15"/>
        <v>129429.956875</v>
      </c>
    </row>
    <row r="71" ht="14.25" customHeight="1" spans="1:34">
      <c r="A71" s="16">
        <v>67</v>
      </c>
      <c r="B71" s="16">
        <v>1015</v>
      </c>
      <c r="C71" s="16">
        <v>17</v>
      </c>
      <c r="D71" s="17">
        <f>IFERROR(ROUND($U71*$X71*$AA71*参数!$B$13,0),"")</f>
        <v>83162</v>
      </c>
      <c r="E71" s="17">
        <f>IFERROR(ROUND($V71*$Y71*$AB71*参数!$C$13,0),"")</f>
        <v>2943</v>
      </c>
      <c r="F71" s="17">
        <f>IFERROR(ROUND($W71*$Z71*$AC71*参数!$D$13,0),"")</f>
        <v>5939</v>
      </c>
      <c r="G71" s="16">
        <v>101928</v>
      </c>
      <c r="H71" s="16">
        <v>3510</v>
      </c>
      <c r="I71" s="16">
        <v>4608</v>
      </c>
      <c r="J71" s="16">
        <v>14</v>
      </c>
      <c r="K71" s="16">
        <v>14</v>
      </c>
      <c r="L71" s="16">
        <f>IFERROR(INDEX(楼层配置!$D$5:$D$104,MATCH($K71,楼层配置!$B$5:$B$104,0)),"")</f>
        <v>59</v>
      </c>
      <c r="M71" s="16" t="str">
        <f>IFERROR(INDEX(_角色基线!$B$2:$B$100,MATCH($B71,_角色基线!$A$2:$A$100,0)),"")</f>
        <v>阿莱克西娅</v>
      </c>
      <c r="N71" s="16" t="str">
        <f>IFERROR(INDEX(_角色基线!$C$2:$C$100,MATCH($B71,_角色基线!$A$2:$A$100,0)),"")</f>
        <v>Support</v>
      </c>
      <c r="O71" s="16">
        <f>IFERROR(INDEX(_怪物基线!$B$2:$B$501,MATCH(INT($L71),_怪物基线!$A$2:$A$501,0)),"")</f>
        <v>14849</v>
      </c>
      <c r="P71" s="16">
        <f>IFERROR(INDEX(_怪物基线!$C$2:$C$501,MATCH(INT($L71),_怪物基线!$A$2:$A$501,0)),"")</f>
        <v>3319</v>
      </c>
      <c r="Q71" s="16">
        <f>IFERROR(INDEX(_怪物基线!$D$2:$D$501,MATCH(INT($L71),_怪物基线!$A$2:$A$501,0)),"")</f>
        <v>4751</v>
      </c>
      <c r="R71" s="16">
        <f>参数!$B$10</f>
        <v>4</v>
      </c>
      <c r="S71" s="16">
        <f>参数!$C$10</f>
        <v>1.2</v>
      </c>
      <c r="T71" s="16">
        <f>参数!$D$10</f>
        <v>1</v>
      </c>
      <c r="U71" s="16">
        <f t="shared" si="8"/>
        <v>59396</v>
      </c>
      <c r="V71" s="16">
        <f t="shared" si="9"/>
        <v>3982.8</v>
      </c>
      <c r="W71" s="16">
        <f t="shared" si="10"/>
        <v>4751</v>
      </c>
      <c r="X71" s="16">
        <f>IFERROR(INDEX(参数!$B$5:$B$7,MATCH($N71,参数!$A$5:$A$7,0)),"")</f>
        <v>1.25</v>
      </c>
      <c r="Y71" s="16">
        <f>IFERROR(INDEX(参数!$C$5:$C$7,MATCH($N71,参数!$A$5:$A$7,0)),"")</f>
        <v>1</v>
      </c>
      <c r="Z71" s="16">
        <f>IFERROR(INDEX(参数!$D$5:$D$7,MATCH($N71,参数!$A$5:$A$7,0)),"")</f>
        <v>1.25</v>
      </c>
      <c r="AA71" s="16">
        <f>IFERROR(INDEX(楼层配置!$E$5:$E$104,MATCH($K71,楼层配置!$B$5:$B$104,0)),1)</f>
        <v>1.12010583074231</v>
      </c>
      <c r="AB71" s="16">
        <f>IFERROR(INDEX(楼层配置!$F$5:$F$104,MATCH($K71,楼层配置!$B$5:$B$104,0)),1)</f>
        <v>0.738990752928763</v>
      </c>
      <c r="AC71" s="16">
        <f>IFERROR(INDEX(楼层配置!$G$5:$G$104,MATCH($K71,楼层配置!$B$5:$B$104,0)),1)</f>
        <v>1</v>
      </c>
      <c r="AD71" s="18">
        <f t="shared" si="11"/>
        <v>-0.18411035240562</v>
      </c>
      <c r="AE71" s="18">
        <f t="shared" si="12"/>
        <v>-0.161538461538462</v>
      </c>
      <c r="AF71" s="18">
        <f t="shared" si="13"/>
        <v>0.288845486111111</v>
      </c>
      <c r="AG71" s="16" t="str">
        <f t="shared" si="14"/>
        <v>有效</v>
      </c>
      <c r="AH71">
        <f t="shared" si="15"/>
        <v>103741.129916667</v>
      </c>
    </row>
    <row r="72" ht="14.25" customHeight="1" spans="1:34">
      <c r="A72" s="16">
        <v>68</v>
      </c>
      <c r="B72" s="16">
        <v>1039</v>
      </c>
      <c r="C72" s="16">
        <v>17</v>
      </c>
      <c r="D72" s="17">
        <f>IFERROR(ROUND($U72*$X72*$AA72*参数!$B$13,0),"")</f>
        <v>66530</v>
      </c>
      <c r="E72" s="17">
        <f>IFERROR(ROUND($V72*$Y72*$AB72*参数!$C$13,0),"")</f>
        <v>3532</v>
      </c>
      <c r="F72" s="17">
        <f>IFERROR(ROUND($W72*$Z72*$AC72*参数!$D$13,0),"")</f>
        <v>4751</v>
      </c>
      <c r="G72" s="16">
        <v>81542</v>
      </c>
      <c r="H72" s="16">
        <v>4212</v>
      </c>
      <c r="I72" s="16">
        <v>3686</v>
      </c>
      <c r="J72" s="16">
        <v>14</v>
      </c>
      <c r="K72" s="16">
        <v>14</v>
      </c>
      <c r="L72" s="16">
        <f>IFERROR(INDEX(楼层配置!$D$5:$D$104,MATCH($K72,楼层配置!$B$5:$B$104,0)),"")</f>
        <v>59</v>
      </c>
      <c r="M72" s="16" t="str">
        <f>IFERROR(INDEX(_角色基线!$B$2:$B$100,MATCH($B72,_角色基线!$A$2:$A$100,0)),"")</f>
        <v>商队枪手</v>
      </c>
      <c r="N72" s="16" t="str">
        <f>IFERROR(INDEX(_角色基线!$C$2:$C$100,MATCH($B72,_角色基线!$A$2:$A$100,0)),"")</f>
        <v>DPS</v>
      </c>
      <c r="O72" s="16">
        <f>IFERROR(INDEX(_怪物基线!$B$2:$B$501,MATCH(INT($L72),_怪物基线!$A$2:$A$501,0)),"")</f>
        <v>14849</v>
      </c>
      <c r="P72" s="16">
        <f>IFERROR(INDEX(_怪物基线!$C$2:$C$501,MATCH(INT($L72),_怪物基线!$A$2:$A$501,0)),"")</f>
        <v>3319</v>
      </c>
      <c r="Q72" s="16">
        <f>IFERROR(INDEX(_怪物基线!$D$2:$D$501,MATCH(INT($L72),_怪物基线!$A$2:$A$501,0)),"")</f>
        <v>4751</v>
      </c>
      <c r="R72" s="16">
        <f>参数!$B$10</f>
        <v>4</v>
      </c>
      <c r="S72" s="16">
        <f>参数!$C$10</f>
        <v>1.2</v>
      </c>
      <c r="T72" s="16">
        <f>参数!$D$10</f>
        <v>1</v>
      </c>
      <c r="U72" s="16">
        <f t="shared" si="8"/>
        <v>59396</v>
      </c>
      <c r="V72" s="16">
        <f t="shared" si="9"/>
        <v>3982.8</v>
      </c>
      <c r="W72" s="16">
        <f t="shared" si="10"/>
        <v>4751</v>
      </c>
      <c r="X72" s="16">
        <f>IFERROR(INDEX(参数!$B$5:$B$7,MATCH($N72,参数!$A$5:$A$7,0)),"")</f>
        <v>1</v>
      </c>
      <c r="Y72" s="16">
        <f>IFERROR(INDEX(参数!$C$5:$C$7,MATCH($N72,参数!$A$5:$A$7,0)),"")</f>
        <v>1.2</v>
      </c>
      <c r="Z72" s="16">
        <f>IFERROR(INDEX(参数!$D$5:$D$7,MATCH($N72,参数!$A$5:$A$7,0)),"")</f>
        <v>1</v>
      </c>
      <c r="AA72" s="16">
        <f>IFERROR(INDEX(楼层配置!$E$5:$E$104,MATCH($K72,楼层配置!$B$5:$B$104,0)),1)</f>
        <v>1.12010583074231</v>
      </c>
      <c r="AB72" s="16">
        <f>IFERROR(INDEX(楼层配置!$F$5:$F$104,MATCH($K72,楼层配置!$B$5:$B$104,0)),1)</f>
        <v>0.738990752928763</v>
      </c>
      <c r="AC72" s="16">
        <f>IFERROR(INDEX(楼层配置!$G$5:$G$104,MATCH($K72,楼层配置!$B$5:$B$104,0)),1)</f>
        <v>1</v>
      </c>
      <c r="AD72" s="18">
        <f t="shared" si="11"/>
        <v>-0.184101444654289</v>
      </c>
      <c r="AE72" s="18">
        <f t="shared" si="12"/>
        <v>-0.161443494776828</v>
      </c>
      <c r="AF72" s="18">
        <f t="shared" si="13"/>
        <v>0.288931090613131</v>
      </c>
      <c r="AG72" s="16" t="str">
        <f t="shared" si="14"/>
        <v>有效</v>
      </c>
      <c r="AH72">
        <f t="shared" si="15"/>
        <v>79700.1679166667</v>
      </c>
    </row>
    <row r="73" ht="14.25" customHeight="1" spans="1:34">
      <c r="A73" s="16">
        <v>69</v>
      </c>
      <c r="B73" s="16">
        <v>1012</v>
      </c>
      <c r="C73" s="16">
        <v>17</v>
      </c>
      <c r="D73" s="17">
        <f>IFERROR(ROUND($U73*$X73*$AA73*参数!$B$13,0),"")</f>
        <v>83162</v>
      </c>
      <c r="E73" s="17">
        <f>IFERROR(ROUND($V73*$Y73*$AB73*参数!$C$13,0),"")</f>
        <v>2943</v>
      </c>
      <c r="F73" s="17">
        <f>IFERROR(ROUND($W73*$Z73*$AC73*参数!$D$13,0),"")</f>
        <v>5939</v>
      </c>
      <c r="G73" s="16">
        <v>101928</v>
      </c>
      <c r="H73" s="16">
        <v>3510</v>
      </c>
      <c r="I73" s="16">
        <v>4608</v>
      </c>
      <c r="J73" s="16">
        <v>14</v>
      </c>
      <c r="K73" s="16">
        <v>14</v>
      </c>
      <c r="L73" s="16">
        <f>IFERROR(INDEX(楼层配置!$D$5:$D$104,MATCH($K73,楼层配置!$B$5:$B$104,0)),"")</f>
        <v>59</v>
      </c>
      <c r="M73" s="16" t="str">
        <f>IFERROR(INDEX(_角色基线!$B$2:$B$100,MATCH($B73,_角色基线!$A$2:$A$100,0)),"")</f>
        <v>艾德琳</v>
      </c>
      <c r="N73" s="16" t="str">
        <f>IFERROR(INDEX(_角色基线!$C$2:$C$100,MATCH($B73,_角色基线!$A$2:$A$100,0)),"")</f>
        <v>Support</v>
      </c>
      <c r="O73" s="16">
        <f>IFERROR(INDEX(_怪物基线!$B$2:$B$501,MATCH(INT($L73),_怪物基线!$A$2:$A$501,0)),"")</f>
        <v>14849</v>
      </c>
      <c r="P73" s="16">
        <f>IFERROR(INDEX(_怪物基线!$C$2:$C$501,MATCH(INT($L73),_怪物基线!$A$2:$A$501,0)),"")</f>
        <v>3319</v>
      </c>
      <c r="Q73" s="16">
        <f>IFERROR(INDEX(_怪物基线!$D$2:$D$501,MATCH(INT($L73),_怪物基线!$A$2:$A$501,0)),"")</f>
        <v>4751</v>
      </c>
      <c r="R73" s="16">
        <f>参数!$B$10</f>
        <v>4</v>
      </c>
      <c r="S73" s="16">
        <f>参数!$C$10</f>
        <v>1.2</v>
      </c>
      <c r="T73" s="16">
        <f>参数!$D$10</f>
        <v>1</v>
      </c>
      <c r="U73" s="16">
        <f t="shared" si="8"/>
        <v>59396</v>
      </c>
      <c r="V73" s="16">
        <f t="shared" si="9"/>
        <v>3982.8</v>
      </c>
      <c r="W73" s="16">
        <f t="shared" si="10"/>
        <v>4751</v>
      </c>
      <c r="X73" s="16">
        <f>IFERROR(INDEX(参数!$B$5:$B$7,MATCH($N73,参数!$A$5:$A$7,0)),"")</f>
        <v>1.25</v>
      </c>
      <c r="Y73" s="16">
        <f>IFERROR(INDEX(参数!$C$5:$C$7,MATCH($N73,参数!$A$5:$A$7,0)),"")</f>
        <v>1</v>
      </c>
      <c r="Z73" s="16">
        <f>IFERROR(INDEX(参数!$D$5:$D$7,MATCH($N73,参数!$A$5:$A$7,0)),"")</f>
        <v>1.25</v>
      </c>
      <c r="AA73" s="16">
        <f>IFERROR(INDEX(楼层配置!$E$5:$E$104,MATCH($K73,楼层配置!$B$5:$B$104,0)),1)</f>
        <v>1.12010583074231</v>
      </c>
      <c r="AB73" s="16">
        <f>IFERROR(INDEX(楼层配置!$F$5:$F$104,MATCH($K73,楼层配置!$B$5:$B$104,0)),1)</f>
        <v>0.738990752928763</v>
      </c>
      <c r="AC73" s="16">
        <f>IFERROR(INDEX(楼层配置!$G$5:$G$104,MATCH($K73,楼层配置!$B$5:$B$104,0)),1)</f>
        <v>1</v>
      </c>
      <c r="AD73" s="18">
        <f t="shared" si="11"/>
        <v>-0.18411035240562</v>
      </c>
      <c r="AE73" s="18">
        <f t="shared" si="12"/>
        <v>-0.161538461538462</v>
      </c>
      <c r="AF73" s="18">
        <f t="shared" si="13"/>
        <v>0.288845486111111</v>
      </c>
      <c r="AG73" s="16" t="str">
        <f t="shared" si="14"/>
        <v>有效</v>
      </c>
      <c r="AH73">
        <f t="shared" si="15"/>
        <v>103741.129916667</v>
      </c>
    </row>
    <row r="74" ht="14.25" customHeight="1" spans="1:34">
      <c r="A74" s="16">
        <v>70</v>
      </c>
      <c r="B74" s="16">
        <v>1011</v>
      </c>
      <c r="C74" s="16">
        <v>17</v>
      </c>
      <c r="D74" s="17">
        <f>IFERROR(ROUND($U74*$X74*$AA74*参数!$B$13,0),"")</f>
        <v>83162</v>
      </c>
      <c r="E74" s="17">
        <f>IFERROR(ROUND($V74*$Y74*$AB74*参数!$C$13,0),"")</f>
        <v>2943</v>
      </c>
      <c r="F74" s="17">
        <f>IFERROR(ROUND($W74*$Z74*$AC74*参数!$D$13,0),"")</f>
        <v>5939</v>
      </c>
      <c r="G74" s="16">
        <v>101928</v>
      </c>
      <c r="H74" s="16">
        <v>3510</v>
      </c>
      <c r="I74" s="16">
        <v>4608</v>
      </c>
      <c r="J74" s="16">
        <v>14</v>
      </c>
      <c r="K74" s="16">
        <v>14</v>
      </c>
      <c r="L74" s="16">
        <f>IFERROR(INDEX(楼层配置!$D$5:$D$104,MATCH($K74,楼层配置!$B$5:$B$104,0)),"")</f>
        <v>59</v>
      </c>
      <c r="M74" s="16" t="str">
        <f>IFERROR(INDEX(_角色基线!$B$2:$B$100,MATCH($B74,_角色基线!$A$2:$A$100,0)),"")</f>
        <v>陈双双</v>
      </c>
      <c r="N74" s="16" t="str">
        <f>IFERROR(INDEX(_角色基线!$C$2:$C$100,MATCH($B74,_角色基线!$A$2:$A$100,0)),"")</f>
        <v>Support</v>
      </c>
      <c r="O74" s="16">
        <f>IFERROR(INDEX(_怪物基线!$B$2:$B$501,MATCH(INT($L74),_怪物基线!$A$2:$A$501,0)),"")</f>
        <v>14849</v>
      </c>
      <c r="P74" s="16">
        <f>IFERROR(INDEX(_怪物基线!$C$2:$C$501,MATCH(INT($L74),_怪物基线!$A$2:$A$501,0)),"")</f>
        <v>3319</v>
      </c>
      <c r="Q74" s="16">
        <f>IFERROR(INDEX(_怪物基线!$D$2:$D$501,MATCH(INT($L74),_怪物基线!$A$2:$A$501,0)),"")</f>
        <v>4751</v>
      </c>
      <c r="R74" s="16">
        <f>参数!$B$10</f>
        <v>4</v>
      </c>
      <c r="S74" s="16">
        <f>参数!$C$10</f>
        <v>1.2</v>
      </c>
      <c r="T74" s="16">
        <f>参数!$D$10</f>
        <v>1</v>
      </c>
      <c r="U74" s="16">
        <f t="shared" si="8"/>
        <v>59396</v>
      </c>
      <c r="V74" s="16">
        <f t="shared" si="9"/>
        <v>3982.8</v>
      </c>
      <c r="W74" s="16">
        <f t="shared" si="10"/>
        <v>4751</v>
      </c>
      <c r="X74" s="16">
        <f>IFERROR(INDEX(参数!$B$5:$B$7,MATCH($N74,参数!$A$5:$A$7,0)),"")</f>
        <v>1.25</v>
      </c>
      <c r="Y74" s="16">
        <f>IFERROR(INDEX(参数!$C$5:$C$7,MATCH($N74,参数!$A$5:$A$7,0)),"")</f>
        <v>1</v>
      </c>
      <c r="Z74" s="16">
        <f>IFERROR(INDEX(参数!$D$5:$D$7,MATCH($N74,参数!$A$5:$A$7,0)),"")</f>
        <v>1.25</v>
      </c>
      <c r="AA74" s="16">
        <f>IFERROR(INDEX(楼层配置!$E$5:$E$104,MATCH($K74,楼层配置!$B$5:$B$104,0)),1)</f>
        <v>1.12010583074231</v>
      </c>
      <c r="AB74" s="16">
        <f>IFERROR(INDEX(楼层配置!$F$5:$F$104,MATCH($K74,楼层配置!$B$5:$B$104,0)),1)</f>
        <v>0.738990752928763</v>
      </c>
      <c r="AC74" s="16">
        <f>IFERROR(INDEX(楼层配置!$G$5:$G$104,MATCH($K74,楼层配置!$B$5:$B$104,0)),1)</f>
        <v>1</v>
      </c>
      <c r="AD74" s="18">
        <f t="shared" si="11"/>
        <v>-0.18411035240562</v>
      </c>
      <c r="AE74" s="18">
        <f t="shared" si="12"/>
        <v>-0.161538461538462</v>
      </c>
      <c r="AF74" s="18">
        <f t="shared" si="13"/>
        <v>0.288845486111111</v>
      </c>
      <c r="AG74" s="16" t="str">
        <f t="shared" si="14"/>
        <v>有效</v>
      </c>
      <c r="AH74">
        <f t="shared" si="15"/>
        <v>103741.129916667</v>
      </c>
    </row>
    <row r="75" ht="14.25" customHeight="1" spans="1:34">
      <c r="A75" s="16">
        <v>71</v>
      </c>
      <c r="B75" s="16">
        <v>1003</v>
      </c>
      <c r="C75" s="16">
        <v>17</v>
      </c>
      <c r="D75" s="17">
        <f>IFERROR(ROUND($U75*$X75*$AA75*参数!$B$13,0),"")</f>
        <v>112335</v>
      </c>
      <c r="E75" s="17">
        <f>IFERROR(ROUND($V75*$Y75*$AB75*参数!$C$13,0),"")</f>
        <v>3185</v>
      </c>
      <c r="F75" s="17">
        <f>IFERROR(ROUND($W75*$Z75*$AC75*参数!$D$13,0),"")</f>
        <v>7653</v>
      </c>
      <c r="G75" s="16">
        <v>134438</v>
      </c>
      <c r="H75" s="16">
        <v>3744</v>
      </c>
      <c r="I75" s="16">
        <v>5878</v>
      </c>
      <c r="J75" s="16">
        <v>15</v>
      </c>
      <c r="K75" s="16">
        <v>15</v>
      </c>
      <c r="L75" s="16">
        <f>IFERROR(INDEX(楼层配置!$D$5:$D$104,MATCH($K75,楼层配置!$B$5:$B$104,0)),"")</f>
        <v>63</v>
      </c>
      <c r="M75" s="16" t="str">
        <f>IFERROR(INDEX(_角色基线!$B$2:$B$100,MATCH($B75,_角色基线!$A$2:$A$100,0)),"")</f>
        <v>塔拉夏</v>
      </c>
      <c r="N75" s="16" t="str">
        <f>IFERROR(INDEX(_角色基线!$C$2:$C$100,MATCH($B75,_角色基线!$A$2:$A$100,0)),"")</f>
        <v>Tank</v>
      </c>
      <c r="O75" s="16">
        <f>IFERROR(INDEX(_怪物基线!$B$2:$B$501,MATCH(INT($L75),_怪物基线!$A$2:$A$501,0)),"")</f>
        <v>16542</v>
      </c>
      <c r="P75" s="16">
        <f>IFERROR(INDEX(_怪物基线!$C$2:$C$501,MATCH(INT($L75),_怪物基线!$A$2:$A$501,0)),"")</f>
        <v>3600</v>
      </c>
      <c r="Q75" s="16">
        <f>IFERROR(INDEX(_怪物基线!$D$2:$D$501,MATCH(INT($L75),_怪物基线!$A$2:$A$501,0)),"")</f>
        <v>5102</v>
      </c>
      <c r="R75" s="16">
        <f>参数!$B$10</f>
        <v>4</v>
      </c>
      <c r="S75" s="16">
        <f>参数!$C$10</f>
        <v>1.2</v>
      </c>
      <c r="T75" s="16">
        <f>参数!$D$10</f>
        <v>1</v>
      </c>
      <c r="U75" s="16">
        <f t="shared" si="8"/>
        <v>66168</v>
      </c>
      <c r="V75" s="16">
        <f t="shared" si="9"/>
        <v>4320</v>
      </c>
      <c r="W75" s="16">
        <f t="shared" si="10"/>
        <v>5102</v>
      </c>
      <c r="X75" s="16">
        <f>IFERROR(INDEX(参数!$B$5:$B$7,MATCH($N75,参数!$A$5:$A$7,0)),"")</f>
        <v>1.5</v>
      </c>
      <c r="Y75" s="16">
        <f>IFERROR(INDEX(参数!$C$5:$C$7,MATCH($N75,参数!$A$5:$A$7,0)),"")</f>
        <v>1</v>
      </c>
      <c r="Z75" s="16">
        <f>IFERROR(INDEX(参数!$D$5:$D$7,MATCH($N75,参数!$A$5:$A$7,0)),"")</f>
        <v>1.5</v>
      </c>
      <c r="AA75" s="16">
        <f>IFERROR(INDEX(楼层配置!$E$5:$E$104,MATCH($K75,楼层配置!$B$5:$B$104,0)),1)</f>
        <v>1.13181912616307</v>
      </c>
      <c r="AB75" s="16">
        <f>IFERROR(INDEX(楼层配置!$F$5:$F$104,MATCH($K75,楼层配置!$B$5:$B$104,0)),1)</f>
        <v>0.737244833037194</v>
      </c>
      <c r="AC75" s="16">
        <f>IFERROR(INDEX(楼层配置!$G$5:$G$104,MATCH($K75,楼层配置!$B$5:$B$104,0)),1)</f>
        <v>1</v>
      </c>
      <c r="AD75" s="18">
        <f t="shared" si="11"/>
        <v>-0.164410360166025</v>
      </c>
      <c r="AE75" s="18">
        <f t="shared" si="12"/>
        <v>-0.149305555555556</v>
      </c>
      <c r="AF75" s="18">
        <f t="shared" si="13"/>
        <v>0.301973460360667</v>
      </c>
      <c r="AG75" s="16" t="str">
        <f t="shared" si="14"/>
        <v>有效</v>
      </c>
      <c r="AH75">
        <f t="shared" si="15"/>
        <v>148155.823125</v>
      </c>
    </row>
    <row r="76" ht="14.25" customHeight="1" spans="1:34">
      <c r="A76" s="16">
        <v>72</v>
      </c>
      <c r="B76" s="16">
        <v>1021</v>
      </c>
      <c r="C76" s="16">
        <v>17</v>
      </c>
      <c r="D76" s="17">
        <f>IFERROR(ROUND($U76*$X76*$AA76*参数!$B$13,0),"")</f>
        <v>74890</v>
      </c>
      <c r="E76" s="17">
        <f>IFERROR(ROUND($V76*$Y76*$AB76*参数!$C$13,0),"")</f>
        <v>3822</v>
      </c>
      <c r="F76" s="17">
        <f>IFERROR(ROUND($W76*$Z76*$AC76*参数!$D$13,0),"")</f>
        <v>5102</v>
      </c>
      <c r="G76" s="16">
        <v>89625</v>
      </c>
      <c r="H76" s="16">
        <v>4492</v>
      </c>
      <c r="I76" s="16">
        <v>3919</v>
      </c>
      <c r="J76" s="16">
        <v>15</v>
      </c>
      <c r="K76" s="16">
        <v>15</v>
      </c>
      <c r="L76" s="16">
        <f>IFERROR(INDEX(楼层配置!$D$5:$D$104,MATCH($K76,楼层配置!$B$5:$B$104,0)),"")</f>
        <v>63</v>
      </c>
      <c r="M76" s="16" t="str">
        <f>IFERROR(INDEX(_角色基线!$B$2:$B$100,MATCH($B76,_角色基线!$A$2:$A$100,0)),"")</f>
        <v>梅梅</v>
      </c>
      <c r="N76" s="16" t="str">
        <f>IFERROR(INDEX(_角色基线!$C$2:$C$100,MATCH($B76,_角色基线!$A$2:$A$100,0)),"")</f>
        <v>DPS</v>
      </c>
      <c r="O76" s="16">
        <f>IFERROR(INDEX(_怪物基线!$B$2:$B$501,MATCH(INT($L76),_怪物基线!$A$2:$A$501,0)),"")</f>
        <v>16542</v>
      </c>
      <c r="P76" s="16">
        <f>IFERROR(INDEX(_怪物基线!$C$2:$C$501,MATCH(INT($L76),_怪物基线!$A$2:$A$501,0)),"")</f>
        <v>3600</v>
      </c>
      <c r="Q76" s="16">
        <f>IFERROR(INDEX(_怪物基线!$D$2:$D$501,MATCH(INT($L76),_怪物基线!$A$2:$A$501,0)),"")</f>
        <v>5102</v>
      </c>
      <c r="R76" s="16">
        <f>参数!$B$10</f>
        <v>4</v>
      </c>
      <c r="S76" s="16">
        <f>参数!$C$10</f>
        <v>1.2</v>
      </c>
      <c r="T76" s="16">
        <f>参数!$D$10</f>
        <v>1</v>
      </c>
      <c r="U76" s="16">
        <f t="shared" si="8"/>
        <v>66168</v>
      </c>
      <c r="V76" s="16">
        <f t="shared" si="9"/>
        <v>4320</v>
      </c>
      <c r="W76" s="16">
        <f t="shared" si="10"/>
        <v>5102</v>
      </c>
      <c r="X76" s="16">
        <f>IFERROR(INDEX(参数!$B$5:$B$7,MATCH($N76,参数!$A$5:$A$7,0)),"")</f>
        <v>1</v>
      </c>
      <c r="Y76" s="16">
        <f>IFERROR(INDEX(参数!$C$5:$C$7,MATCH($N76,参数!$A$5:$A$7,0)),"")</f>
        <v>1.2</v>
      </c>
      <c r="Z76" s="16">
        <f>IFERROR(INDEX(参数!$D$5:$D$7,MATCH($N76,参数!$A$5:$A$7,0)),"")</f>
        <v>1</v>
      </c>
      <c r="AA76" s="16">
        <f>IFERROR(INDEX(楼层配置!$E$5:$E$104,MATCH($K76,楼层配置!$B$5:$B$104,0)),1)</f>
        <v>1.13181912616307</v>
      </c>
      <c r="AB76" s="16">
        <f>IFERROR(INDEX(楼层配置!$F$5:$F$104,MATCH($K76,楼层配置!$B$5:$B$104,0)),1)</f>
        <v>0.737244833037194</v>
      </c>
      <c r="AC76" s="16">
        <f>IFERROR(INDEX(楼层配置!$G$5:$G$104,MATCH($K76,楼层配置!$B$5:$B$104,0)),1)</f>
        <v>1</v>
      </c>
      <c r="AD76" s="18">
        <f t="shared" si="11"/>
        <v>-0.164407252440725</v>
      </c>
      <c r="AE76" s="18">
        <f t="shared" si="12"/>
        <v>-0.149154051647373</v>
      </c>
      <c r="AF76" s="18">
        <f t="shared" si="13"/>
        <v>0.301862720081653</v>
      </c>
      <c r="AG76" s="16" t="str">
        <f t="shared" si="14"/>
        <v>有效</v>
      </c>
      <c r="AH76">
        <f t="shared" si="15"/>
        <v>90810.3658333333</v>
      </c>
    </row>
    <row r="77" ht="14.25" customHeight="1" spans="1:34">
      <c r="A77" s="16">
        <v>73</v>
      </c>
      <c r="B77" s="16">
        <v>1007</v>
      </c>
      <c r="C77" s="16">
        <v>17</v>
      </c>
      <c r="D77" s="17">
        <f>IFERROR(ROUND($U77*$X77*$AA77*参数!$B$13,0),"")</f>
        <v>93613</v>
      </c>
      <c r="E77" s="17">
        <f>IFERROR(ROUND($V77*$Y77*$AB77*参数!$C$13,0),"")</f>
        <v>3185</v>
      </c>
      <c r="F77" s="17">
        <f>IFERROR(ROUND($W77*$Z77*$AC77*参数!$D$13,0),"")</f>
        <v>6378</v>
      </c>
      <c r="G77" s="16">
        <v>112032</v>
      </c>
      <c r="H77" s="16">
        <v>3744</v>
      </c>
      <c r="I77" s="16">
        <v>4899</v>
      </c>
      <c r="J77" s="16">
        <v>15</v>
      </c>
      <c r="K77" s="16">
        <v>15</v>
      </c>
      <c r="L77" s="16">
        <f>IFERROR(INDEX(楼层配置!$D$5:$D$104,MATCH($K77,楼层配置!$B$5:$B$104,0)),"")</f>
        <v>63</v>
      </c>
      <c r="M77" s="16" t="str">
        <f>IFERROR(INDEX(_角色基线!$B$2:$B$100,MATCH($B77,_角色基线!$A$2:$A$100,0)),"")</f>
        <v>萨萨莉安</v>
      </c>
      <c r="N77" s="16" t="str">
        <f>IFERROR(INDEX(_角色基线!$C$2:$C$100,MATCH($B77,_角色基线!$A$2:$A$100,0)),"")</f>
        <v>Support</v>
      </c>
      <c r="O77" s="16">
        <f>IFERROR(INDEX(_怪物基线!$B$2:$B$501,MATCH(INT($L77),_怪物基线!$A$2:$A$501,0)),"")</f>
        <v>16542</v>
      </c>
      <c r="P77" s="16">
        <f>IFERROR(INDEX(_怪物基线!$C$2:$C$501,MATCH(INT($L77),_怪物基线!$A$2:$A$501,0)),"")</f>
        <v>3600</v>
      </c>
      <c r="Q77" s="16">
        <f>IFERROR(INDEX(_怪物基线!$D$2:$D$501,MATCH(INT($L77),_怪物基线!$A$2:$A$501,0)),"")</f>
        <v>5102</v>
      </c>
      <c r="R77" s="16">
        <f>参数!$B$10</f>
        <v>4</v>
      </c>
      <c r="S77" s="16">
        <f>参数!$C$10</f>
        <v>1.2</v>
      </c>
      <c r="T77" s="16">
        <f>参数!$D$10</f>
        <v>1</v>
      </c>
      <c r="U77" s="16">
        <f t="shared" si="8"/>
        <v>66168</v>
      </c>
      <c r="V77" s="16">
        <f t="shared" si="9"/>
        <v>4320</v>
      </c>
      <c r="W77" s="16">
        <f t="shared" si="10"/>
        <v>5102</v>
      </c>
      <c r="X77" s="16">
        <f>IFERROR(INDEX(参数!$B$5:$B$7,MATCH($N77,参数!$A$5:$A$7,0)),"")</f>
        <v>1.25</v>
      </c>
      <c r="Y77" s="16">
        <f>IFERROR(INDEX(参数!$C$5:$C$7,MATCH($N77,参数!$A$5:$A$7,0)),"")</f>
        <v>1</v>
      </c>
      <c r="Z77" s="16">
        <f>IFERROR(INDEX(参数!$D$5:$D$7,MATCH($N77,参数!$A$5:$A$7,0)),"")</f>
        <v>1.25</v>
      </c>
      <c r="AA77" s="16">
        <f>IFERROR(INDEX(楼层配置!$E$5:$E$104,MATCH($K77,楼层配置!$B$5:$B$104,0)),1)</f>
        <v>1.13181912616307</v>
      </c>
      <c r="AB77" s="16">
        <f>IFERROR(INDEX(楼层配置!$F$5:$F$104,MATCH($K77,楼层配置!$B$5:$B$104,0)),1)</f>
        <v>0.737244833037194</v>
      </c>
      <c r="AC77" s="16">
        <f>IFERROR(INDEX(楼层配置!$G$5:$G$104,MATCH($K77,楼层配置!$B$5:$B$104,0)),1)</f>
        <v>1</v>
      </c>
      <c r="AD77" s="18">
        <f t="shared" si="11"/>
        <v>-0.164408383319052</v>
      </c>
      <c r="AE77" s="18">
        <f t="shared" si="12"/>
        <v>-0.149305555555556</v>
      </c>
      <c r="AF77" s="18">
        <f t="shared" si="13"/>
        <v>0.301898346601347</v>
      </c>
      <c r="AG77" s="16" t="str">
        <f t="shared" si="14"/>
        <v>有效</v>
      </c>
      <c r="AH77">
        <f t="shared" si="15"/>
        <v>118490.65475</v>
      </c>
    </row>
    <row r="78" ht="14.25" customHeight="1" spans="1:34">
      <c r="A78" s="16">
        <v>74</v>
      </c>
      <c r="B78" s="16">
        <v>1008</v>
      </c>
      <c r="C78" s="16">
        <v>17</v>
      </c>
      <c r="D78" s="17">
        <f>IFERROR(ROUND($U78*$X78*$AA78*参数!$B$13,0),"")</f>
        <v>74890</v>
      </c>
      <c r="E78" s="17">
        <f>IFERROR(ROUND($V78*$Y78*$AB78*参数!$C$13,0),"")</f>
        <v>3822</v>
      </c>
      <c r="F78" s="17">
        <f>IFERROR(ROUND($W78*$Z78*$AC78*参数!$D$13,0),"")</f>
        <v>5102</v>
      </c>
      <c r="G78" s="16">
        <v>89625</v>
      </c>
      <c r="H78" s="16">
        <v>4492</v>
      </c>
      <c r="I78" s="16">
        <v>3919</v>
      </c>
      <c r="J78" s="16">
        <v>15</v>
      </c>
      <c r="K78" s="16">
        <v>15</v>
      </c>
      <c r="L78" s="16">
        <f>IFERROR(INDEX(楼层配置!$D$5:$D$104,MATCH($K78,楼层配置!$B$5:$B$104,0)),"")</f>
        <v>63</v>
      </c>
      <c r="M78" s="16" t="str">
        <f>IFERROR(INDEX(_角色基线!$B$2:$B$100,MATCH($B78,_角色基线!$A$2:$A$100,0)),"")</f>
        <v>薇</v>
      </c>
      <c r="N78" s="16" t="str">
        <f>IFERROR(INDEX(_角色基线!$C$2:$C$100,MATCH($B78,_角色基线!$A$2:$A$100,0)),"")</f>
        <v>DPS</v>
      </c>
      <c r="O78" s="16">
        <f>IFERROR(INDEX(_怪物基线!$B$2:$B$501,MATCH(INT($L78),_怪物基线!$A$2:$A$501,0)),"")</f>
        <v>16542</v>
      </c>
      <c r="P78" s="16">
        <f>IFERROR(INDEX(_怪物基线!$C$2:$C$501,MATCH(INT($L78),_怪物基线!$A$2:$A$501,0)),"")</f>
        <v>3600</v>
      </c>
      <c r="Q78" s="16">
        <f>IFERROR(INDEX(_怪物基线!$D$2:$D$501,MATCH(INT($L78),_怪物基线!$A$2:$A$501,0)),"")</f>
        <v>5102</v>
      </c>
      <c r="R78" s="16">
        <f>参数!$B$10</f>
        <v>4</v>
      </c>
      <c r="S78" s="16">
        <f>参数!$C$10</f>
        <v>1.2</v>
      </c>
      <c r="T78" s="16">
        <f>参数!$D$10</f>
        <v>1</v>
      </c>
      <c r="U78" s="16">
        <f t="shared" si="8"/>
        <v>66168</v>
      </c>
      <c r="V78" s="16">
        <f t="shared" si="9"/>
        <v>4320</v>
      </c>
      <c r="W78" s="16">
        <f t="shared" si="10"/>
        <v>5102</v>
      </c>
      <c r="X78" s="16">
        <f>IFERROR(INDEX(参数!$B$5:$B$7,MATCH($N78,参数!$A$5:$A$7,0)),"")</f>
        <v>1</v>
      </c>
      <c r="Y78" s="16">
        <f>IFERROR(INDEX(参数!$C$5:$C$7,MATCH($N78,参数!$A$5:$A$7,0)),"")</f>
        <v>1.2</v>
      </c>
      <c r="Z78" s="16">
        <f>IFERROR(INDEX(参数!$D$5:$D$7,MATCH($N78,参数!$A$5:$A$7,0)),"")</f>
        <v>1</v>
      </c>
      <c r="AA78" s="16">
        <f>IFERROR(INDEX(楼层配置!$E$5:$E$104,MATCH($K78,楼层配置!$B$5:$B$104,0)),1)</f>
        <v>1.13181912616307</v>
      </c>
      <c r="AB78" s="16">
        <f>IFERROR(INDEX(楼层配置!$F$5:$F$104,MATCH($K78,楼层配置!$B$5:$B$104,0)),1)</f>
        <v>0.737244833037194</v>
      </c>
      <c r="AC78" s="16">
        <f>IFERROR(INDEX(楼层配置!$G$5:$G$104,MATCH($K78,楼层配置!$B$5:$B$104,0)),1)</f>
        <v>1</v>
      </c>
      <c r="AD78" s="18">
        <f t="shared" si="11"/>
        <v>-0.164407252440725</v>
      </c>
      <c r="AE78" s="18">
        <f t="shared" si="12"/>
        <v>-0.149154051647373</v>
      </c>
      <c r="AF78" s="18">
        <f t="shared" si="13"/>
        <v>0.301862720081653</v>
      </c>
      <c r="AG78" s="16" t="str">
        <f t="shared" si="14"/>
        <v>有效</v>
      </c>
      <c r="AH78">
        <f t="shared" si="15"/>
        <v>90810.3658333333</v>
      </c>
    </row>
    <row r="79" ht="14.25" customHeight="1" spans="1:34">
      <c r="A79" s="16">
        <v>75</v>
      </c>
      <c r="B79" s="16">
        <v>1029</v>
      </c>
      <c r="C79" s="16">
        <v>17</v>
      </c>
      <c r="D79" s="17">
        <f>IFERROR(ROUND($U79*$X79*$AA79*参数!$B$13,0),"")</f>
        <v>93613</v>
      </c>
      <c r="E79" s="17">
        <f>IFERROR(ROUND($V79*$Y79*$AB79*参数!$C$13,0),"")</f>
        <v>3185</v>
      </c>
      <c r="F79" s="17">
        <f>IFERROR(ROUND($W79*$Z79*$AC79*参数!$D$13,0),"")</f>
        <v>6378</v>
      </c>
      <c r="G79" s="16">
        <v>112032</v>
      </c>
      <c r="H79" s="16">
        <v>3744</v>
      </c>
      <c r="I79" s="16">
        <v>4899</v>
      </c>
      <c r="J79" s="16">
        <v>15</v>
      </c>
      <c r="K79" s="16">
        <v>15</v>
      </c>
      <c r="L79" s="16">
        <f>IFERROR(INDEX(楼层配置!$D$5:$D$104,MATCH($K79,楼层配置!$B$5:$B$104,0)),"")</f>
        <v>63</v>
      </c>
      <c r="M79" s="16" t="str">
        <f>IFERROR(INDEX(_角色基线!$B$2:$B$100,MATCH($B79,_角色基线!$A$2:$A$100,0)),"")</f>
        <v>凯兰</v>
      </c>
      <c r="N79" s="16" t="str">
        <f>IFERROR(INDEX(_角色基线!$C$2:$C$100,MATCH($B79,_角色基线!$A$2:$A$100,0)),"")</f>
        <v>Support</v>
      </c>
      <c r="O79" s="16">
        <f>IFERROR(INDEX(_怪物基线!$B$2:$B$501,MATCH(INT($L79),_怪物基线!$A$2:$A$501,0)),"")</f>
        <v>16542</v>
      </c>
      <c r="P79" s="16">
        <f>IFERROR(INDEX(_怪物基线!$C$2:$C$501,MATCH(INT($L79),_怪物基线!$A$2:$A$501,0)),"")</f>
        <v>3600</v>
      </c>
      <c r="Q79" s="16">
        <f>IFERROR(INDEX(_怪物基线!$D$2:$D$501,MATCH(INT($L79),_怪物基线!$A$2:$A$501,0)),"")</f>
        <v>5102</v>
      </c>
      <c r="R79" s="16">
        <f>参数!$B$10</f>
        <v>4</v>
      </c>
      <c r="S79" s="16">
        <f>参数!$C$10</f>
        <v>1.2</v>
      </c>
      <c r="T79" s="16">
        <f>参数!$D$10</f>
        <v>1</v>
      </c>
      <c r="U79" s="16">
        <f t="shared" si="8"/>
        <v>66168</v>
      </c>
      <c r="V79" s="16">
        <f t="shared" si="9"/>
        <v>4320</v>
      </c>
      <c r="W79" s="16">
        <f t="shared" si="10"/>
        <v>5102</v>
      </c>
      <c r="X79" s="16">
        <f>IFERROR(INDEX(参数!$B$5:$B$7,MATCH($N79,参数!$A$5:$A$7,0)),"")</f>
        <v>1.25</v>
      </c>
      <c r="Y79" s="16">
        <f>IFERROR(INDEX(参数!$C$5:$C$7,MATCH($N79,参数!$A$5:$A$7,0)),"")</f>
        <v>1</v>
      </c>
      <c r="Z79" s="16">
        <f>IFERROR(INDEX(参数!$D$5:$D$7,MATCH($N79,参数!$A$5:$A$7,0)),"")</f>
        <v>1.25</v>
      </c>
      <c r="AA79" s="16">
        <f>IFERROR(INDEX(楼层配置!$E$5:$E$104,MATCH($K79,楼层配置!$B$5:$B$104,0)),1)</f>
        <v>1.13181912616307</v>
      </c>
      <c r="AB79" s="16">
        <f>IFERROR(INDEX(楼层配置!$F$5:$F$104,MATCH($K79,楼层配置!$B$5:$B$104,0)),1)</f>
        <v>0.737244833037194</v>
      </c>
      <c r="AC79" s="16">
        <f>IFERROR(INDEX(楼层配置!$G$5:$G$104,MATCH($K79,楼层配置!$B$5:$B$104,0)),1)</f>
        <v>1</v>
      </c>
      <c r="AD79" s="18">
        <f t="shared" si="11"/>
        <v>-0.164408383319052</v>
      </c>
      <c r="AE79" s="18">
        <f t="shared" si="12"/>
        <v>-0.149305555555556</v>
      </c>
      <c r="AF79" s="18">
        <f t="shared" si="13"/>
        <v>0.301898346601347</v>
      </c>
      <c r="AG79" s="16" t="str">
        <f t="shared" si="14"/>
        <v>有效</v>
      </c>
      <c r="AH79">
        <f t="shared" si="15"/>
        <v>118490.65475</v>
      </c>
    </row>
    <row r="80" ht="14.25" customHeight="1" spans="1:34">
      <c r="A80" s="16">
        <v>76</v>
      </c>
      <c r="B80" s="16">
        <v>1030</v>
      </c>
      <c r="C80" s="16">
        <v>18</v>
      </c>
      <c r="D80" s="17">
        <f>IFERROR(ROUND($U80*$X80*$AA80*参数!$B$13,0),"")</f>
        <v>122916</v>
      </c>
      <c r="E80" s="17">
        <f>IFERROR(ROUND($V80*$Y80*$AB80*参数!$C$13,0),"")</f>
        <v>3364</v>
      </c>
      <c r="F80" s="17">
        <f>IFERROR(ROUND($W80*$Z80*$AC80*参数!$D$13,0),"")</f>
        <v>8051</v>
      </c>
      <c r="G80" s="16">
        <v>147247</v>
      </c>
      <c r="H80" s="16">
        <v>3984</v>
      </c>
      <c r="I80" s="16">
        <v>6231</v>
      </c>
      <c r="J80" s="16">
        <v>16</v>
      </c>
      <c r="K80" s="16">
        <v>16</v>
      </c>
      <c r="L80" s="16">
        <f>IFERROR(INDEX(楼层配置!$D$5:$D$104,MATCH($K80,楼层配置!$B$5:$B$104,0)),"")</f>
        <v>66</v>
      </c>
      <c r="M80" s="16" t="str">
        <f>IFERROR(INDEX(_角色基线!$B$2:$B$100,MATCH($B80,_角色基线!$A$2:$A$100,0)),"")</f>
        <v>莫莉</v>
      </c>
      <c r="N80" s="16" t="str">
        <f>IFERROR(INDEX(_角色基线!$C$2:$C$100,MATCH($B80,_角色基线!$A$2:$A$100,0)),"")</f>
        <v>Tank</v>
      </c>
      <c r="O80" s="16">
        <f>IFERROR(INDEX(_怪物基线!$B$2:$B$501,MATCH(INT($L80),_怪物基线!$A$2:$A$501,0)),"")</f>
        <v>17879</v>
      </c>
      <c r="P80" s="16">
        <f>IFERROR(INDEX(_怪物基线!$C$2:$C$501,MATCH(INT($L80),_怪物基线!$A$2:$A$501,0)),"")</f>
        <v>3818</v>
      </c>
      <c r="Q80" s="16">
        <f>IFERROR(INDEX(_怪物基线!$D$2:$D$501,MATCH(INT($L80),_怪物基线!$A$2:$A$501,0)),"")</f>
        <v>5367</v>
      </c>
      <c r="R80" s="16">
        <f>参数!$B$10</f>
        <v>4</v>
      </c>
      <c r="S80" s="16">
        <f>参数!$C$10</f>
        <v>1.2</v>
      </c>
      <c r="T80" s="16">
        <f>参数!$D$10</f>
        <v>1</v>
      </c>
      <c r="U80" s="16">
        <f t="shared" si="8"/>
        <v>71516</v>
      </c>
      <c r="V80" s="16">
        <f t="shared" si="9"/>
        <v>4581.6</v>
      </c>
      <c r="W80" s="16">
        <f t="shared" si="10"/>
        <v>5367</v>
      </c>
      <c r="X80" s="16">
        <f>IFERROR(INDEX(参数!$B$5:$B$7,MATCH($N80,参数!$A$5:$A$7,0)),"")</f>
        <v>1.5</v>
      </c>
      <c r="Y80" s="16">
        <f>IFERROR(INDEX(参数!$C$5:$C$7,MATCH($N80,参数!$A$5:$A$7,0)),"")</f>
        <v>1</v>
      </c>
      <c r="Z80" s="16">
        <f>IFERROR(INDEX(参数!$D$5:$D$7,MATCH($N80,参数!$A$5:$A$7,0)),"")</f>
        <v>1.5</v>
      </c>
      <c r="AA80" s="16">
        <f>IFERROR(INDEX(楼层配置!$E$5:$E$104,MATCH($K80,楼层配置!$B$5:$B$104,0)),1)</f>
        <v>1.14581687396118</v>
      </c>
      <c r="AB80" s="16">
        <f>IFERROR(INDEX(楼层配置!$F$5:$F$104,MATCH($K80,楼层配置!$B$5:$B$104,0)),1)</f>
        <v>0.734314126639064</v>
      </c>
      <c r="AC80" s="16">
        <f>IFERROR(INDEX(楼层配置!$G$5:$G$104,MATCH($K80,楼层配置!$B$5:$B$104,0)),1)</f>
        <v>1</v>
      </c>
      <c r="AD80" s="18">
        <f t="shared" si="11"/>
        <v>-0.165239359715308</v>
      </c>
      <c r="AE80" s="18">
        <f t="shared" si="12"/>
        <v>-0.155622489959839</v>
      </c>
      <c r="AF80" s="18">
        <f t="shared" si="13"/>
        <v>0.292087947359974</v>
      </c>
      <c r="AG80" s="16" t="str">
        <f t="shared" si="14"/>
        <v>有效</v>
      </c>
      <c r="AH80">
        <f t="shared" si="15"/>
        <v>164149.1965</v>
      </c>
    </row>
    <row r="81" ht="14.25" customHeight="1" spans="1:34">
      <c r="A81" s="16">
        <v>77</v>
      </c>
      <c r="B81" s="16">
        <v>1002</v>
      </c>
      <c r="C81" s="16">
        <v>18</v>
      </c>
      <c r="D81" s="17">
        <f>IFERROR(ROUND($U81*$X81*$AA81*参数!$B$13,0),"")</f>
        <v>122916</v>
      </c>
      <c r="E81" s="17">
        <f>IFERROR(ROUND($V81*$Y81*$AB81*参数!$C$13,0),"")</f>
        <v>3364</v>
      </c>
      <c r="F81" s="17">
        <f>IFERROR(ROUND($W81*$Z81*$AC81*参数!$D$13,0),"")</f>
        <v>8051</v>
      </c>
      <c r="G81" s="16">
        <v>147247</v>
      </c>
      <c r="H81" s="16">
        <v>3984</v>
      </c>
      <c r="I81" s="16">
        <v>6231</v>
      </c>
      <c r="J81" s="16">
        <v>16</v>
      </c>
      <c r="K81" s="16">
        <v>16</v>
      </c>
      <c r="L81" s="16">
        <f>IFERROR(INDEX(楼层配置!$D$5:$D$104,MATCH($K81,楼层配置!$B$5:$B$104,0)),"")</f>
        <v>66</v>
      </c>
      <c r="M81" s="16" t="str">
        <f>IFERROR(INDEX(_角色基线!$B$2:$B$100,MATCH($B81,_角色基线!$A$2:$A$100,0)),"")</f>
        <v>大暑</v>
      </c>
      <c r="N81" s="16" t="str">
        <f>IFERROR(INDEX(_角色基线!$C$2:$C$100,MATCH($B81,_角色基线!$A$2:$A$100,0)),"")</f>
        <v>Tank</v>
      </c>
      <c r="O81" s="16">
        <f>IFERROR(INDEX(_怪物基线!$B$2:$B$501,MATCH(INT($L81),_怪物基线!$A$2:$A$501,0)),"")</f>
        <v>17879</v>
      </c>
      <c r="P81" s="16">
        <f>IFERROR(INDEX(_怪物基线!$C$2:$C$501,MATCH(INT($L81),_怪物基线!$A$2:$A$501,0)),"")</f>
        <v>3818</v>
      </c>
      <c r="Q81" s="16">
        <f>IFERROR(INDEX(_怪物基线!$D$2:$D$501,MATCH(INT($L81),_怪物基线!$A$2:$A$501,0)),"")</f>
        <v>5367</v>
      </c>
      <c r="R81" s="16">
        <f>参数!$B$10</f>
        <v>4</v>
      </c>
      <c r="S81" s="16">
        <f>参数!$C$10</f>
        <v>1.2</v>
      </c>
      <c r="T81" s="16">
        <f>参数!$D$10</f>
        <v>1</v>
      </c>
      <c r="U81" s="16">
        <f t="shared" si="8"/>
        <v>71516</v>
      </c>
      <c r="V81" s="16">
        <f t="shared" si="9"/>
        <v>4581.6</v>
      </c>
      <c r="W81" s="16">
        <f t="shared" si="10"/>
        <v>5367</v>
      </c>
      <c r="X81" s="16">
        <f>IFERROR(INDEX(参数!$B$5:$B$7,MATCH($N81,参数!$A$5:$A$7,0)),"")</f>
        <v>1.5</v>
      </c>
      <c r="Y81" s="16">
        <f>IFERROR(INDEX(参数!$C$5:$C$7,MATCH($N81,参数!$A$5:$A$7,0)),"")</f>
        <v>1</v>
      </c>
      <c r="Z81" s="16">
        <f>IFERROR(INDEX(参数!$D$5:$D$7,MATCH($N81,参数!$A$5:$A$7,0)),"")</f>
        <v>1.5</v>
      </c>
      <c r="AA81" s="16">
        <f>IFERROR(INDEX(楼层配置!$E$5:$E$104,MATCH($K81,楼层配置!$B$5:$B$104,0)),1)</f>
        <v>1.14581687396118</v>
      </c>
      <c r="AB81" s="16">
        <f>IFERROR(INDEX(楼层配置!$F$5:$F$104,MATCH($K81,楼层配置!$B$5:$B$104,0)),1)</f>
        <v>0.734314126639064</v>
      </c>
      <c r="AC81" s="16">
        <f>IFERROR(INDEX(楼层配置!$G$5:$G$104,MATCH($K81,楼层配置!$B$5:$B$104,0)),1)</f>
        <v>1</v>
      </c>
      <c r="AD81" s="18">
        <f t="shared" si="11"/>
        <v>-0.165239359715308</v>
      </c>
      <c r="AE81" s="18">
        <f t="shared" si="12"/>
        <v>-0.155622489959839</v>
      </c>
      <c r="AF81" s="18">
        <f t="shared" si="13"/>
        <v>0.292087947359974</v>
      </c>
      <c r="AG81" s="16" t="str">
        <f t="shared" si="14"/>
        <v>有效</v>
      </c>
      <c r="AH81">
        <f t="shared" si="15"/>
        <v>164149.1965</v>
      </c>
    </row>
    <row r="82" ht="14.25" customHeight="1" spans="1:34">
      <c r="A82" s="16">
        <v>78</v>
      </c>
      <c r="B82" s="16">
        <v>1012</v>
      </c>
      <c r="C82" s="16">
        <v>18</v>
      </c>
      <c r="D82" s="17">
        <f>IFERROR(ROUND($U82*$X82*$AA82*参数!$B$13,0),"")</f>
        <v>102430</v>
      </c>
      <c r="E82" s="17">
        <f>IFERROR(ROUND($V82*$Y82*$AB82*参数!$C$13,0),"")</f>
        <v>3364</v>
      </c>
      <c r="F82" s="17">
        <f>IFERROR(ROUND($W82*$Z82*$AC82*参数!$D$13,0),"")</f>
        <v>6709</v>
      </c>
      <c r="G82" s="16">
        <v>122706</v>
      </c>
      <c r="H82" s="16">
        <v>3984</v>
      </c>
      <c r="I82" s="16">
        <v>5193</v>
      </c>
      <c r="J82" s="16">
        <v>16</v>
      </c>
      <c r="K82" s="16">
        <v>16</v>
      </c>
      <c r="L82" s="16">
        <f>IFERROR(INDEX(楼层配置!$D$5:$D$104,MATCH($K82,楼层配置!$B$5:$B$104,0)),"")</f>
        <v>66</v>
      </c>
      <c r="M82" s="16" t="str">
        <f>IFERROR(INDEX(_角色基线!$B$2:$B$100,MATCH($B82,_角色基线!$A$2:$A$100,0)),"")</f>
        <v>艾德琳</v>
      </c>
      <c r="N82" s="16" t="str">
        <f>IFERROR(INDEX(_角色基线!$C$2:$C$100,MATCH($B82,_角色基线!$A$2:$A$100,0)),"")</f>
        <v>Support</v>
      </c>
      <c r="O82" s="16">
        <f>IFERROR(INDEX(_怪物基线!$B$2:$B$501,MATCH(INT($L82),_怪物基线!$A$2:$A$501,0)),"")</f>
        <v>17879</v>
      </c>
      <c r="P82" s="16">
        <f>IFERROR(INDEX(_怪物基线!$C$2:$C$501,MATCH(INT($L82),_怪物基线!$A$2:$A$501,0)),"")</f>
        <v>3818</v>
      </c>
      <c r="Q82" s="16">
        <f>IFERROR(INDEX(_怪物基线!$D$2:$D$501,MATCH(INT($L82),_怪物基线!$A$2:$A$501,0)),"")</f>
        <v>5367</v>
      </c>
      <c r="R82" s="16">
        <f>参数!$B$10</f>
        <v>4</v>
      </c>
      <c r="S82" s="16">
        <f>参数!$C$10</f>
        <v>1.2</v>
      </c>
      <c r="T82" s="16">
        <f>参数!$D$10</f>
        <v>1</v>
      </c>
      <c r="U82" s="16">
        <f t="shared" si="8"/>
        <v>71516</v>
      </c>
      <c r="V82" s="16">
        <f t="shared" si="9"/>
        <v>4581.6</v>
      </c>
      <c r="W82" s="16">
        <f t="shared" si="10"/>
        <v>5367</v>
      </c>
      <c r="X82" s="16">
        <f>IFERROR(INDEX(参数!$B$5:$B$7,MATCH($N82,参数!$A$5:$A$7,0)),"")</f>
        <v>1.25</v>
      </c>
      <c r="Y82" s="16">
        <f>IFERROR(INDEX(参数!$C$5:$C$7,MATCH($N82,参数!$A$5:$A$7,0)),"")</f>
        <v>1</v>
      </c>
      <c r="Z82" s="16">
        <f>IFERROR(INDEX(参数!$D$5:$D$7,MATCH($N82,参数!$A$5:$A$7,0)),"")</f>
        <v>1.25</v>
      </c>
      <c r="AA82" s="16">
        <f>IFERROR(INDEX(楼层配置!$E$5:$E$104,MATCH($K82,楼层配置!$B$5:$B$104,0)),1)</f>
        <v>1.14581687396118</v>
      </c>
      <c r="AB82" s="16">
        <f>IFERROR(INDEX(楼层配置!$F$5:$F$104,MATCH($K82,楼层配置!$B$5:$B$104,0)),1)</f>
        <v>0.734314126639064</v>
      </c>
      <c r="AC82" s="16">
        <f>IFERROR(INDEX(楼层配置!$G$5:$G$104,MATCH($K82,楼层配置!$B$5:$B$104,0)),1)</f>
        <v>1</v>
      </c>
      <c r="AD82" s="18">
        <f t="shared" si="11"/>
        <v>-0.165240493537398</v>
      </c>
      <c r="AE82" s="18">
        <f t="shared" si="12"/>
        <v>-0.155622489959839</v>
      </c>
      <c r="AF82" s="18">
        <f t="shared" si="13"/>
        <v>0.291931446177547</v>
      </c>
      <c r="AG82" s="16" t="str">
        <f t="shared" si="14"/>
        <v>有效</v>
      </c>
      <c r="AH82">
        <f t="shared" si="15"/>
        <v>131063.452916667</v>
      </c>
    </row>
    <row r="83" ht="14.25" customHeight="1" spans="1:34">
      <c r="A83" s="16">
        <v>79</v>
      </c>
      <c r="B83" s="16">
        <v>1035</v>
      </c>
      <c r="C83" s="16">
        <v>18</v>
      </c>
      <c r="D83" s="17">
        <f>IFERROR(ROUND($U83*$X83*$AA83*参数!$B$13,0),"")</f>
        <v>81944</v>
      </c>
      <c r="E83" s="17">
        <f>IFERROR(ROUND($V83*$Y83*$AB83*参数!$C$13,0),"")</f>
        <v>4037</v>
      </c>
      <c r="F83" s="17">
        <f>IFERROR(ROUND($W83*$Z83*$AC83*参数!$D$13,0),"")</f>
        <v>5367</v>
      </c>
      <c r="G83" s="16">
        <v>98164</v>
      </c>
      <c r="H83" s="16">
        <v>4780</v>
      </c>
      <c r="I83" s="16">
        <v>4154</v>
      </c>
      <c r="J83" s="16">
        <v>16</v>
      </c>
      <c r="K83" s="16">
        <v>16</v>
      </c>
      <c r="L83" s="16">
        <f>IFERROR(INDEX(楼层配置!$D$5:$D$104,MATCH($K83,楼层配置!$B$5:$B$104,0)),"")</f>
        <v>66</v>
      </c>
      <c r="M83" s="16" t="str">
        <f>IFERROR(INDEX(_角色基线!$B$2:$B$100,MATCH($B83,_角色基线!$A$2:$A$100,0)),"")</f>
        <v>碎冰者</v>
      </c>
      <c r="N83" s="16" t="str">
        <f>IFERROR(INDEX(_角色基线!$C$2:$C$100,MATCH($B83,_角色基线!$A$2:$A$100,0)),"")</f>
        <v>DPS</v>
      </c>
      <c r="O83" s="16">
        <f>IFERROR(INDEX(_怪物基线!$B$2:$B$501,MATCH(INT($L83),_怪物基线!$A$2:$A$501,0)),"")</f>
        <v>17879</v>
      </c>
      <c r="P83" s="16">
        <f>IFERROR(INDEX(_怪物基线!$C$2:$C$501,MATCH(INT($L83),_怪物基线!$A$2:$A$501,0)),"")</f>
        <v>3818</v>
      </c>
      <c r="Q83" s="16">
        <f>IFERROR(INDEX(_怪物基线!$D$2:$D$501,MATCH(INT($L83),_怪物基线!$A$2:$A$501,0)),"")</f>
        <v>5367</v>
      </c>
      <c r="R83" s="16">
        <f>参数!$B$10</f>
        <v>4</v>
      </c>
      <c r="S83" s="16">
        <f>参数!$C$10</f>
        <v>1.2</v>
      </c>
      <c r="T83" s="16">
        <f>参数!$D$10</f>
        <v>1</v>
      </c>
      <c r="U83" s="16">
        <f t="shared" si="8"/>
        <v>71516</v>
      </c>
      <c r="V83" s="16">
        <f t="shared" si="9"/>
        <v>4581.6</v>
      </c>
      <c r="W83" s="16">
        <f t="shared" si="10"/>
        <v>5367</v>
      </c>
      <c r="X83" s="16">
        <f>IFERROR(INDEX(参数!$B$5:$B$7,MATCH($N83,参数!$A$5:$A$7,0)),"")</f>
        <v>1</v>
      </c>
      <c r="Y83" s="16">
        <f>IFERROR(INDEX(参数!$C$5:$C$7,MATCH($N83,参数!$A$5:$A$7,0)),"")</f>
        <v>1.2</v>
      </c>
      <c r="Z83" s="16">
        <f>IFERROR(INDEX(参数!$D$5:$D$7,MATCH($N83,参数!$A$5:$A$7,0)),"")</f>
        <v>1</v>
      </c>
      <c r="AA83" s="16">
        <f>IFERROR(INDEX(楼层配置!$E$5:$E$104,MATCH($K83,楼层配置!$B$5:$B$104,0)),1)</f>
        <v>1.14581687396118</v>
      </c>
      <c r="AB83" s="16">
        <f>IFERROR(INDEX(楼层配置!$F$5:$F$104,MATCH($K83,楼层配置!$B$5:$B$104,0)),1)</f>
        <v>0.734314126639064</v>
      </c>
      <c r="AC83" s="16">
        <f>IFERROR(INDEX(楼层配置!$G$5:$G$104,MATCH($K83,楼层配置!$B$5:$B$104,0)),1)</f>
        <v>1</v>
      </c>
      <c r="AD83" s="18">
        <f t="shared" si="11"/>
        <v>-0.165233690558657</v>
      </c>
      <c r="AE83" s="18">
        <f t="shared" si="12"/>
        <v>-0.155439330543933</v>
      </c>
      <c r="AF83" s="18">
        <f t="shared" si="13"/>
        <v>0.292007703418392</v>
      </c>
      <c r="AG83" s="16" t="str">
        <f t="shared" si="14"/>
        <v>有效</v>
      </c>
      <c r="AH83">
        <f t="shared" si="15"/>
        <v>100268.727</v>
      </c>
    </row>
    <row r="84" ht="14.25" customHeight="1" spans="1:34">
      <c r="A84" s="16">
        <v>80</v>
      </c>
      <c r="B84" s="16">
        <v>1036</v>
      </c>
      <c r="C84" s="16">
        <v>18</v>
      </c>
      <c r="D84" s="17">
        <f>IFERROR(ROUND($U84*$X84*$AA84*参数!$B$13,0),"")</f>
        <v>81944</v>
      </c>
      <c r="E84" s="17">
        <f>IFERROR(ROUND($V84*$Y84*$AB84*参数!$C$13,0),"")</f>
        <v>4037</v>
      </c>
      <c r="F84" s="17">
        <f>IFERROR(ROUND($W84*$Z84*$AC84*参数!$D$13,0),"")</f>
        <v>5367</v>
      </c>
      <c r="G84" s="16">
        <v>98164</v>
      </c>
      <c r="H84" s="16">
        <v>4780</v>
      </c>
      <c r="I84" s="16">
        <v>4154</v>
      </c>
      <c r="J84" s="16">
        <v>16</v>
      </c>
      <c r="K84" s="16">
        <v>16</v>
      </c>
      <c r="L84" s="16">
        <f>IFERROR(INDEX(楼层配置!$D$5:$D$104,MATCH($K84,楼层配置!$B$5:$B$104,0)),"")</f>
        <v>66</v>
      </c>
      <c r="M84" s="16" t="str">
        <f>IFERROR(INDEX(_角色基线!$B$2:$B$100,MATCH($B84,_角色基线!$A$2:$A$100,0)),"")</f>
        <v>霜狼法师</v>
      </c>
      <c r="N84" s="16" t="str">
        <f>IFERROR(INDEX(_角色基线!$C$2:$C$100,MATCH($B84,_角色基线!$A$2:$A$100,0)),"")</f>
        <v>DPS</v>
      </c>
      <c r="O84" s="16">
        <f>IFERROR(INDEX(_怪物基线!$B$2:$B$501,MATCH(INT($L84),_怪物基线!$A$2:$A$501,0)),"")</f>
        <v>17879</v>
      </c>
      <c r="P84" s="16">
        <f>IFERROR(INDEX(_怪物基线!$C$2:$C$501,MATCH(INT($L84),_怪物基线!$A$2:$A$501,0)),"")</f>
        <v>3818</v>
      </c>
      <c r="Q84" s="16">
        <f>IFERROR(INDEX(_怪物基线!$D$2:$D$501,MATCH(INT($L84),_怪物基线!$A$2:$A$501,0)),"")</f>
        <v>5367</v>
      </c>
      <c r="R84" s="16">
        <f>参数!$B$10</f>
        <v>4</v>
      </c>
      <c r="S84" s="16">
        <f>参数!$C$10</f>
        <v>1.2</v>
      </c>
      <c r="T84" s="16">
        <f>参数!$D$10</f>
        <v>1</v>
      </c>
      <c r="U84" s="16">
        <f t="shared" si="8"/>
        <v>71516</v>
      </c>
      <c r="V84" s="16">
        <f t="shared" si="9"/>
        <v>4581.6</v>
      </c>
      <c r="W84" s="16">
        <f t="shared" si="10"/>
        <v>5367</v>
      </c>
      <c r="X84" s="16">
        <f>IFERROR(INDEX(参数!$B$5:$B$7,MATCH($N84,参数!$A$5:$A$7,0)),"")</f>
        <v>1</v>
      </c>
      <c r="Y84" s="16">
        <f>IFERROR(INDEX(参数!$C$5:$C$7,MATCH($N84,参数!$A$5:$A$7,0)),"")</f>
        <v>1.2</v>
      </c>
      <c r="Z84" s="16">
        <f>IFERROR(INDEX(参数!$D$5:$D$7,MATCH($N84,参数!$A$5:$A$7,0)),"")</f>
        <v>1</v>
      </c>
      <c r="AA84" s="16">
        <f>IFERROR(INDEX(楼层配置!$E$5:$E$104,MATCH($K84,楼层配置!$B$5:$B$104,0)),1)</f>
        <v>1.14581687396118</v>
      </c>
      <c r="AB84" s="16">
        <f>IFERROR(INDEX(楼层配置!$F$5:$F$104,MATCH($K84,楼层配置!$B$5:$B$104,0)),1)</f>
        <v>0.734314126639064</v>
      </c>
      <c r="AC84" s="16">
        <f>IFERROR(INDEX(楼层配置!$G$5:$G$104,MATCH($K84,楼层配置!$B$5:$B$104,0)),1)</f>
        <v>1</v>
      </c>
      <c r="AD84" s="18">
        <f t="shared" si="11"/>
        <v>-0.165233690558657</v>
      </c>
      <c r="AE84" s="18">
        <f t="shared" si="12"/>
        <v>-0.155439330543933</v>
      </c>
      <c r="AF84" s="18">
        <f t="shared" si="13"/>
        <v>0.292007703418392</v>
      </c>
      <c r="AG84" s="16" t="str">
        <f t="shared" si="14"/>
        <v>有效</v>
      </c>
      <c r="AH84">
        <f t="shared" si="15"/>
        <v>100268.727</v>
      </c>
    </row>
    <row r="85" ht="14.25" customHeight="1" spans="1:34">
      <c r="A85" s="16">
        <v>81</v>
      </c>
      <c r="B85" s="16">
        <v>1038</v>
      </c>
      <c r="C85" s="16">
        <v>18</v>
      </c>
      <c r="D85" s="17">
        <f>IFERROR(ROUND($U85*$X85*$AA85*参数!$B$13,0),"")</f>
        <v>134342</v>
      </c>
      <c r="E85" s="17">
        <f>IFERROR(ROUND($V85*$Y85*$AB85*参数!$C$13,0),"")</f>
        <v>3570</v>
      </c>
      <c r="F85" s="17">
        <f>IFERROR(ROUND($W85*$Z85*$AC85*参数!$D$13,0),"")</f>
        <v>8588</v>
      </c>
      <c r="G85" s="16">
        <v>160761</v>
      </c>
      <c r="H85" s="16">
        <v>4229</v>
      </c>
      <c r="I85" s="16">
        <v>6589</v>
      </c>
      <c r="J85" s="16">
        <v>17</v>
      </c>
      <c r="K85" s="16">
        <v>17</v>
      </c>
      <c r="L85" s="16">
        <f>IFERROR(INDEX(楼层配置!$D$5:$D$104,MATCH($K85,楼层配置!$B$5:$B$104,0)),"")</f>
        <v>70</v>
      </c>
      <c r="M85" s="16" t="str">
        <f>IFERROR(INDEX(_角色基线!$B$2:$B$100,MATCH($B85,_角色基线!$A$2:$A$100,0)),"")</f>
        <v>商队战斗员</v>
      </c>
      <c r="N85" s="16" t="str">
        <f>IFERROR(INDEX(_角色基线!$C$2:$C$100,MATCH($B85,_角色基线!$A$2:$A$100,0)),"")</f>
        <v>Tank</v>
      </c>
      <c r="O85" s="16">
        <f>IFERROR(INDEX(_怪物基线!$B$2:$B$501,MATCH(INT($L85),_怪物基线!$A$2:$A$501,0)),"")</f>
        <v>19751</v>
      </c>
      <c r="P85" s="16">
        <f>IFERROR(INDEX(_怪物基线!$C$2:$C$501,MATCH(INT($L85),_怪物基线!$A$2:$A$501,0)),"")</f>
        <v>4115</v>
      </c>
      <c r="Q85" s="16">
        <f>IFERROR(INDEX(_怪物基线!$D$2:$D$501,MATCH(INT($L85),_怪物基线!$A$2:$A$501,0)),"")</f>
        <v>5725</v>
      </c>
      <c r="R85" s="16">
        <f>参数!$B$10</f>
        <v>4</v>
      </c>
      <c r="S85" s="16">
        <f>参数!$C$10</f>
        <v>1.2</v>
      </c>
      <c r="T85" s="16">
        <f>参数!$D$10</f>
        <v>1</v>
      </c>
      <c r="U85" s="16">
        <f t="shared" si="8"/>
        <v>79004</v>
      </c>
      <c r="V85" s="16">
        <f t="shared" si="9"/>
        <v>4938</v>
      </c>
      <c r="W85" s="16">
        <f t="shared" si="10"/>
        <v>5725</v>
      </c>
      <c r="X85" s="16">
        <f>IFERROR(INDEX(参数!$B$5:$B$7,MATCH($N85,参数!$A$5:$A$7,0)),"")</f>
        <v>1.5</v>
      </c>
      <c r="Y85" s="16">
        <f>IFERROR(INDEX(参数!$C$5:$C$7,MATCH($N85,参数!$A$5:$A$7,0)),"")</f>
        <v>1</v>
      </c>
      <c r="Z85" s="16">
        <f>IFERROR(INDEX(参数!$D$5:$D$7,MATCH($N85,参数!$A$5:$A$7,0)),"")</f>
        <v>1.5</v>
      </c>
      <c r="AA85" s="16">
        <f>IFERROR(INDEX(楼层配置!$E$5:$E$104,MATCH($K85,楼层配置!$B$5:$B$104,0)),1)</f>
        <v>1.13362833785909</v>
      </c>
      <c r="AB85" s="16">
        <f>IFERROR(INDEX(楼层配置!$F$5:$F$104,MATCH($K85,楼层配置!$B$5:$B$104,0)),1)</f>
        <v>0.723026843108719</v>
      </c>
      <c r="AC85" s="16">
        <f>IFERROR(INDEX(楼层配置!$G$5:$G$104,MATCH($K85,楼层配置!$B$5:$B$104,0)),1)</f>
        <v>1</v>
      </c>
      <c r="AD85" s="18">
        <f t="shared" si="11"/>
        <v>-0.164337121565554</v>
      </c>
      <c r="AE85" s="18">
        <f t="shared" si="12"/>
        <v>-0.15582880113502</v>
      </c>
      <c r="AF85" s="18">
        <f t="shared" si="13"/>
        <v>0.30338442859311</v>
      </c>
      <c r="AG85" s="16" t="str">
        <f t="shared" si="14"/>
        <v>有效</v>
      </c>
      <c r="AH85">
        <f t="shared" si="15"/>
        <v>182414.045666667</v>
      </c>
    </row>
    <row r="86" ht="14.25" customHeight="1" spans="1:34">
      <c r="A86" s="16">
        <v>82</v>
      </c>
      <c r="B86" s="16">
        <v>1038</v>
      </c>
      <c r="C86" s="16">
        <v>18</v>
      </c>
      <c r="D86" s="17">
        <f>IFERROR(ROUND($U86*$X86*$AA86*参数!$B$13,0),"")</f>
        <v>134342</v>
      </c>
      <c r="E86" s="17">
        <f>IFERROR(ROUND($V86*$Y86*$AB86*参数!$C$13,0),"")</f>
        <v>3570</v>
      </c>
      <c r="F86" s="17">
        <f>IFERROR(ROUND($W86*$Z86*$AC86*参数!$D$13,0),"")</f>
        <v>8588</v>
      </c>
      <c r="G86" s="16">
        <v>160761</v>
      </c>
      <c r="H86" s="16">
        <v>4229</v>
      </c>
      <c r="I86" s="16">
        <v>6589</v>
      </c>
      <c r="J86" s="16">
        <v>17</v>
      </c>
      <c r="K86" s="16">
        <v>17</v>
      </c>
      <c r="L86" s="16">
        <f>IFERROR(INDEX(楼层配置!$D$5:$D$104,MATCH($K86,楼层配置!$B$5:$B$104,0)),"")</f>
        <v>70</v>
      </c>
      <c r="M86" s="16" t="str">
        <f>IFERROR(INDEX(_角色基线!$B$2:$B$100,MATCH($B86,_角色基线!$A$2:$A$100,0)),"")</f>
        <v>商队战斗员</v>
      </c>
      <c r="N86" s="16" t="str">
        <f>IFERROR(INDEX(_角色基线!$C$2:$C$100,MATCH($B86,_角色基线!$A$2:$A$100,0)),"")</f>
        <v>Tank</v>
      </c>
      <c r="O86" s="16">
        <f>IFERROR(INDEX(_怪物基线!$B$2:$B$501,MATCH(INT($L86),_怪物基线!$A$2:$A$501,0)),"")</f>
        <v>19751</v>
      </c>
      <c r="P86" s="16">
        <f>IFERROR(INDEX(_怪物基线!$C$2:$C$501,MATCH(INT($L86),_怪物基线!$A$2:$A$501,0)),"")</f>
        <v>4115</v>
      </c>
      <c r="Q86" s="16">
        <f>IFERROR(INDEX(_怪物基线!$D$2:$D$501,MATCH(INT($L86),_怪物基线!$A$2:$A$501,0)),"")</f>
        <v>5725</v>
      </c>
      <c r="R86" s="16">
        <f>参数!$B$10</f>
        <v>4</v>
      </c>
      <c r="S86" s="16">
        <f>参数!$C$10</f>
        <v>1.2</v>
      </c>
      <c r="T86" s="16">
        <f>参数!$D$10</f>
        <v>1</v>
      </c>
      <c r="U86" s="16">
        <f t="shared" si="8"/>
        <v>79004</v>
      </c>
      <c r="V86" s="16">
        <f t="shared" si="9"/>
        <v>4938</v>
      </c>
      <c r="W86" s="16">
        <f t="shared" si="10"/>
        <v>5725</v>
      </c>
      <c r="X86" s="16">
        <f>IFERROR(INDEX(参数!$B$5:$B$7,MATCH($N86,参数!$A$5:$A$7,0)),"")</f>
        <v>1.5</v>
      </c>
      <c r="Y86" s="16">
        <f>IFERROR(INDEX(参数!$C$5:$C$7,MATCH($N86,参数!$A$5:$A$7,0)),"")</f>
        <v>1</v>
      </c>
      <c r="Z86" s="16">
        <f>IFERROR(INDEX(参数!$D$5:$D$7,MATCH($N86,参数!$A$5:$A$7,0)),"")</f>
        <v>1.5</v>
      </c>
      <c r="AA86" s="16">
        <f>IFERROR(INDEX(楼层配置!$E$5:$E$104,MATCH($K86,楼层配置!$B$5:$B$104,0)),1)</f>
        <v>1.13362833785909</v>
      </c>
      <c r="AB86" s="16">
        <f>IFERROR(INDEX(楼层配置!$F$5:$F$104,MATCH($K86,楼层配置!$B$5:$B$104,0)),1)</f>
        <v>0.723026843108719</v>
      </c>
      <c r="AC86" s="16">
        <f>IFERROR(INDEX(楼层配置!$G$5:$G$104,MATCH($K86,楼层配置!$B$5:$B$104,0)),1)</f>
        <v>1</v>
      </c>
      <c r="AD86" s="18">
        <f t="shared" si="11"/>
        <v>-0.164337121565554</v>
      </c>
      <c r="AE86" s="18">
        <f t="shared" si="12"/>
        <v>-0.15582880113502</v>
      </c>
      <c r="AF86" s="18">
        <f t="shared" si="13"/>
        <v>0.30338442859311</v>
      </c>
      <c r="AG86" s="16" t="str">
        <f t="shared" si="14"/>
        <v>有效</v>
      </c>
      <c r="AH86">
        <f t="shared" si="15"/>
        <v>182414.045666667</v>
      </c>
    </row>
    <row r="87" ht="14.25" customHeight="1" spans="1:34">
      <c r="A87" s="16">
        <v>83</v>
      </c>
      <c r="B87" s="16">
        <v>1039</v>
      </c>
      <c r="C87" s="16">
        <v>18</v>
      </c>
      <c r="D87" s="17">
        <f>IFERROR(ROUND($U87*$X87*$AA87*参数!$B$13,0),"")</f>
        <v>89561</v>
      </c>
      <c r="E87" s="17">
        <f>IFERROR(ROUND($V87*$Y87*$AB87*参数!$C$13,0),"")</f>
        <v>4284</v>
      </c>
      <c r="F87" s="17">
        <f>IFERROR(ROUND($W87*$Z87*$AC87*参数!$D$13,0),"")</f>
        <v>5725</v>
      </c>
      <c r="G87" s="16">
        <v>107174</v>
      </c>
      <c r="H87" s="16">
        <v>5074</v>
      </c>
      <c r="I87" s="16">
        <v>4392</v>
      </c>
      <c r="J87" s="16">
        <v>17</v>
      </c>
      <c r="K87" s="16">
        <v>17</v>
      </c>
      <c r="L87" s="16">
        <f>IFERROR(INDEX(楼层配置!$D$5:$D$104,MATCH($K87,楼层配置!$B$5:$B$104,0)),"")</f>
        <v>70</v>
      </c>
      <c r="M87" s="16" t="str">
        <f>IFERROR(INDEX(_角色基线!$B$2:$B$100,MATCH($B87,_角色基线!$A$2:$A$100,0)),"")</f>
        <v>商队枪手</v>
      </c>
      <c r="N87" s="16" t="str">
        <f>IFERROR(INDEX(_角色基线!$C$2:$C$100,MATCH($B87,_角色基线!$A$2:$A$100,0)),"")</f>
        <v>DPS</v>
      </c>
      <c r="O87" s="16">
        <f>IFERROR(INDEX(_怪物基线!$B$2:$B$501,MATCH(INT($L87),_怪物基线!$A$2:$A$501,0)),"")</f>
        <v>19751</v>
      </c>
      <c r="P87" s="16">
        <f>IFERROR(INDEX(_怪物基线!$C$2:$C$501,MATCH(INT($L87),_怪物基线!$A$2:$A$501,0)),"")</f>
        <v>4115</v>
      </c>
      <c r="Q87" s="16">
        <f>IFERROR(INDEX(_怪物基线!$D$2:$D$501,MATCH(INT($L87),_怪物基线!$A$2:$A$501,0)),"")</f>
        <v>5725</v>
      </c>
      <c r="R87" s="16">
        <f>参数!$B$10</f>
        <v>4</v>
      </c>
      <c r="S87" s="16">
        <f>参数!$C$10</f>
        <v>1.2</v>
      </c>
      <c r="T87" s="16">
        <f>参数!$D$10</f>
        <v>1</v>
      </c>
      <c r="U87" s="16">
        <f t="shared" si="8"/>
        <v>79004</v>
      </c>
      <c r="V87" s="16">
        <f t="shared" si="9"/>
        <v>4938</v>
      </c>
      <c r="W87" s="16">
        <f t="shared" si="10"/>
        <v>5725</v>
      </c>
      <c r="X87" s="16">
        <f>IFERROR(INDEX(参数!$B$5:$B$7,MATCH($N87,参数!$A$5:$A$7,0)),"")</f>
        <v>1</v>
      </c>
      <c r="Y87" s="16">
        <f>IFERROR(INDEX(参数!$C$5:$C$7,MATCH($N87,参数!$A$5:$A$7,0)),"")</f>
        <v>1.2</v>
      </c>
      <c r="Z87" s="16">
        <f>IFERROR(INDEX(参数!$D$5:$D$7,MATCH($N87,参数!$A$5:$A$7,0)),"")</f>
        <v>1</v>
      </c>
      <c r="AA87" s="16">
        <f>IFERROR(INDEX(楼层配置!$E$5:$E$104,MATCH($K87,楼层配置!$B$5:$B$104,0)),1)</f>
        <v>1.13362833785909</v>
      </c>
      <c r="AB87" s="16">
        <f>IFERROR(INDEX(楼层配置!$F$5:$F$104,MATCH($K87,楼层配置!$B$5:$B$104,0)),1)</f>
        <v>0.723026843108719</v>
      </c>
      <c r="AC87" s="16">
        <f>IFERROR(INDEX(楼层配置!$G$5:$G$104,MATCH($K87,楼层配置!$B$5:$B$104,0)),1)</f>
        <v>1</v>
      </c>
      <c r="AD87" s="18">
        <f t="shared" si="11"/>
        <v>-0.164340231772631</v>
      </c>
      <c r="AE87" s="18">
        <f t="shared" si="12"/>
        <v>-0.155695703586914</v>
      </c>
      <c r="AF87" s="18">
        <f t="shared" si="13"/>
        <v>0.303506375227687</v>
      </c>
      <c r="AG87" s="16" t="str">
        <f t="shared" si="14"/>
        <v>有效</v>
      </c>
      <c r="AH87">
        <f t="shared" si="15"/>
        <v>110925.030208333</v>
      </c>
    </row>
    <row r="88" ht="14.25" customHeight="1" spans="1:34">
      <c r="A88" s="16">
        <v>84</v>
      </c>
      <c r="B88" s="16">
        <v>1035</v>
      </c>
      <c r="C88" s="16">
        <v>18</v>
      </c>
      <c r="D88" s="17">
        <f>IFERROR(ROUND($U88*$X88*$AA88*参数!$B$13,0),"")</f>
        <v>89561</v>
      </c>
      <c r="E88" s="17">
        <f>IFERROR(ROUND($V88*$Y88*$AB88*参数!$C$13,0),"")</f>
        <v>4284</v>
      </c>
      <c r="F88" s="17">
        <f>IFERROR(ROUND($W88*$Z88*$AC88*参数!$D$13,0),"")</f>
        <v>5725</v>
      </c>
      <c r="G88" s="16">
        <v>107174</v>
      </c>
      <c r="H88" s="16">
        <v>5074</v>
      </c>
      <c r="I88" s="16">
        <v>4392</v>
      </c>
      <c r="J88" s="16">
        <v>17</v>
      </c>
      <c r="K88" s="16">
        <v>17</v>
      </c>
      <c r="L88" s="16">
        <f>IFERROR(INDEX(楼层配置!$D$5:$D$104,MATCH($K88,楼层配置!$B$5:$B$104,0)),"")</f>
        <v>70</v>
      </c>
      <c r="M88" s="16" t="str">
        <f>IFERROR(INDEX(_角色基线!$B$2:$B$100,MATCH($B88,_角色基线!$A$2:$A$100,0)),"")</f>
        <v>碎冰者</v>
      </c>
      <c r="N88" s="16" t="str">
        <f>IFERROR(INDEX(_角色基线!$C$2:$C$100,MATCH($B88,_角色基线!$A$2:$A$100,0)),"")</f>
        <v>DPS</v>
      </c>
      <c r="O88" s="16">
        <f>IFERROR(INDEX(_怪物基线!$B$2:$B$501,MATCH(INT($L88),_怪物基线!$A$2:$A$501,0)),"")</f>
        <v>19751</v>
      </c>
      <c r="P88" s="16">
        <f>IFERROR(INDEX(_怪物基线!$C$2:$C$501,MATCH(INT($L88),_怪物基线!$A$2:$A$501,0)),"")</f>
        <v>4115</v>
      </c>
      <c r="Q88" s="16">
        <f>IFERROR(INDEX(_怪物基线!$D$2:$D$501,MATCH(INT($L88),_怪物基线!$A$2:$A$501,0)),"")</f>
        <v>5725</v>
      </c>
      <c r="R88" s="16">
        <f>参数!$B$10</f>
        <v>4</v>
      </c>
      <c r="S88" s="16">
        <f>参数!$C$10</f>
        <v>1.2</v>
      </c>
      <c r="T88" s="16">
        <f>参数!$D$10</f>
        <v>1</v>
      </c>
      <c r="U88" s="16">
        <f t="shared" si="8"/>
        <v>79004</v>
      </c>
      <c r="V88" s="16">
        <f t="shared" si="9"/>
        <v>4938</v>
      </c>
      <c r="W88" s="16">
        <f t="shared" si="10"/>
        <v>5725</v>
      </c>
      <c r="X88" s="16">
        <f>IFERROR(INDEX(参数!$B$5:$B$7,MATCH($N88,参数!$A$5:$A$7,0)),"")</f>
        <v>1</v>
      </c>
      <c r="Y88" s="16">
        <f>IFERROR(INDEX(参数!$C$5:$C$7,MATCH($N88,参数!$A$5:$A$7,0)),"")</f>
        <v>1.2</v>
      </c>
      <c r="Z88" s="16">
        <f>IFERROR(INDEX(参数!$D$5:$D$7,MATCH($N88,参数!$A$5:$A$7,0)),"")</f>
        <v>1</v>
      </c>
      <c r="AA88" s="16">
        <f>IFERROR(INDEX(楼层配置!$E$5:$E$104,MATCH($K88,楼层配置!$B$5:$B$104,0)),1)</f>
        <v>1.13362833785909</v>
      </c>
      <c r="AB88" s="16">
        <f>IFERROR(INDEX(楼层配置!$F$5:$F$104,MATCH($K88,楼层配置!$B$5:$B$104,0)),1)</f>
        <v>0.723026843108719</v>
      </c>
      <c r="AC88" s="16">
        <f>IFERROR(INDEX(楼层配置!$G$5:$G$104,MATCH($K88,楼层配置!$B$5:$B$104,0)),1)</f>
        <v>1</v>
      </c>
      <c r="AD88" s="18">
        <f t="shared" si="11"/>
        <v>-0.164340231772631</v>
      </c>
      <c r="AE88" s="18">
        <f t="shared" si="12"/>
        <v>-0.155695703586914</v>
      </c>
      <c r="AF88" s="18">
        <f t="shared" si="13"/>
        <v>0.303506375227687</v>
      </c>
      <c r="AG88" s="16" t="str">
        <f t="shared" si="14"/>
        <v>有效</v>
      </c>
      <c r="AH88">
        <f t="shared" si="15"/>
        <v>110925.030208333</v>
      </c>
    </row>
    <row r="89" ht="14.25" customHeight="1" spans="1:34">
      <c r="A89" s="16">
        <v>85</v>
      </c>
      <c r="B89" s="16">
        <v>1015</v>
      </c>
      <c r="C89" s="16">
        <v>18</v>
      </c>
      <c r="D89" s="17">
        <f>IFERROR(ROUND($U89*$X89*$AA89*参数!$B$13,0),"")</f>
        <v>111951</v>
      </c>
      <c r="E89" s="17">
        <f>IFERROR(ROUND($V89*$Y89*$AB89*参数!$C$13,0),"")</f>
        <v>3570</v>
      </c>
      <c r="F89" s="17">
        <f>IFERROR(ROUND($W89*$Z89*$AC89*参数!$D$13,0),"")</f>
        <v>7156</v>
      </c>
      <c r="G89" s="16">
        <v>133968</v>
      </c>
      <c r="H89" s="16">
        <v>4229</v>
      </c>
      <c r="I89" s="16">
        <v>5491</v>
      </c>
      <c r="J89" s="16">
        <v>17</v>
      </c>
      <c r="K89" s="16">
        <v>17</v>
      </c>
      <c r="L89" s="16">
        <f>IFERROR(INDEX(楼层配置!$D$5:$D$104,MATCH($K89,楼层配置!$B$5:$B$104,0)),"")</f>
        <v>70</v>
      </c>
      <c r="M89" s="16" t="str">
        <f>IFERROR(INDEX(_角色基线!$B$2:$B$100,MATCH($B89,_角色基线!$A$2:$A$100,0)),"")</f>
        <v>阿莱克西娅</v>
      </c>
      <c r="N89" s="16" t="str">
        <f>IFERROR(INDEX(_角色基线!$C$2:$C$100,MATCH($B89,_角色基线!$A$2:$A$100,0)),"")</f>
        <v>Support</v>
      </c>
      <c r="O89" s="16">
        <f>IFERROR(INDEX(_怪物基线!$B$2:$B$501,MATCH(INT($L89),_怪物基线!$A$2:$A$501,0)),"")</f>
        <v>19751</v>
      </c>
      <c r="P89" s="16">
        <f>IFERROR(INDEX(_怪物基线!$C$2:$C$501,MATCH(INT($L89),_怪物基线!$A$2:$A$501,0)),"")</f>
        <v>4115</v>
      </c>
      <c r="Q89" s="16">
        <f>IFERROR(INDEX(_怪物基线!$D$2:$D$501,MATCH(INT($L89),_怪物基线!$A$2:$A$501,0)),"")</f>
        <v>5725</v>
      </c>
      <c r="R89" s="16">
        <f>参数!$B$10</f>
        <v>4</v>
      </c>
      <c r="S89" s="16">
        <f>参数!$C$10</f>
        <v>1.2</v>
      </c>
      <c r="T89" s="16">
        <f>参数!$D$10</f>
        <v>1</v>
      </c>
      <c r="U89" s="16">
        <f t="shared" si="8"/>
        <v>79004</v>
      </c>
      <c r="V89" s="16">
        <f t="shared" si="9"/>
        <v>4938</v>
      </c>
      <c r="W89" s="16">
        <f t="shared" si="10"/>
        <v>5725</v>
      </c>
      <c r="X89" s="16">
        <f>IFERROR(INDEX(参数!$B$5:$B$7,MATCH($N89,参数!$A$5:$A$7,0)),"")</f>
        <v>1.25</v>
      </c>
      <c r="Y89" s="16">
        <f>IFERROR(INDEX(参数!$C$5:$C$7,MATCH($N89,参数!$A$5:$A$7,0)),"")</f>
        <v>1</v>
      </c>
      <c r="Z89" s="16">
        <f>IFERROR(INDEX(参数!$D$5:$D$7,MATCH($N89,参数!$A$5:$A$7,0)),"")</f>
        <v>1.25</v>
      </c>
      <c r="AA89" s="16">
        <f>IFERROR(INDEX(楼层配置!$E$5:$E$104,MATCH($K89,楼层配置!$B$5:$B$104,0)),1)</f>
        <v>1.13362833785909</v>
      </c>
      <c r="AB89" s="16">
        <f>IFERROR(INDEX(楼层配置!$F$5:$F$104,MATCH($K89,楼层配置!$B$5:$B$104,0)),1)</f>
        <v>0.723026843108719</v>
      </c>
      <c r="AC89" s="16">
        <f>IFERROR(INDEX(楼层配置!$G$5:$G$104,MATCH($K89,楼层配置!$B$5:$B$104,0)),1)</f>
        <v>1</v>
      </c>
      <c r="AD89" s="18">
        <f t="shared" si="11"/>
        <v>-0.164345216768183</v>
      </c>
      <c r="AE89" s="18">
        <f t="shared" si="12"/>
        <v>-0.15582880113502</v>
      </c>
      <c r="AF89" s="18">
        <f t="shared" si="13"/>
        <v>0.303223456565289</v>
      </c>
      <c r="AG89" s="16" t="str">
        <f t="shared" si="14"/>
        <v>有效</v>
      </c>
      <c r="AH89">
        <f t="shared" si="15"/>
        <v>145331.0565</v>
      </c>
    </row>
    <row r="90" ht="14.25" customHeight="1" spans="1:34">
      <c r="A90" s="16">
        <v>86</v>
      </c>
      <c r="B90" s="16">
        <v>1035</v>
      </c>
      <c r="C90" s="16">
        <v>19</v>
      </c>
      <c r="D90" s="17">
        <f>IFERROR(ROUND($U90*$X90*$AA90*参数!$B$13,0),"")</f>
        <v>97666</v>
      </c>
      <c r="E90" s="17">
        <f>IFERROR(ROUND($V90*$Y90*$AB90*参数!$C$13,0),"")</f>
        <v>4530</v>
      </c>
      <c r="F90" s="17">
        <f>IFERROR(ROUND($W90*$Z90*$AC90*参数!$D$13,0),"")</f>
        <v>5995</v>
      </c>
      <c r="G90" s="16">
        <v>116668</v>
      </c>
      <c r="H90" s="16">
        <v>5373</v>
      </c>
      <c r="I90" s="16">
        <v>4634</v>
      </c>
      <c r="J90" s="16">
        <v>18</v>
      </c>
      <c r="K90" s="16">
        <v>18</v>
      </c>
      <c r="L90" s="16">
        <f>IFERROR(INDEX(楼层配置!$D$5:$D$104,MATCH($K90,楼层配置!$B$5:$B$104,0)),"")</f>
        <v>73</v>
      </c>
      <c r="M90" s="16" t="str">
        <f>IFERROR(INDEX(_角色基线!$B$2:$B$100,MATCH($B90,_角色基线!$A$2:$A$100,0)),"")</f>
        <v>碎冰者</v>
      </c>
      <c r="N90" s="16" t="str">
        <f>IFERROR(INDEX(_角色基线!$C$2:$C$100,MATCH($B90,_角色基线!$A$2:$A$100,0)),"")</f>
        <v>DPS</v>
      </c>
      <c r="O90" s="16">
        <f>IFERROR(INDEX(_怪物基线!$B$2:$B$501,MATCH(INT($L90),_怪物基线!$A$2:$A$501,0)),"")</f>
        <v>21225</v>
      </c>
      <c r="P90" s="16">
        <f>IFERROR(INDEX(_怪物基线!$C$2:$C$501,MATCH(INT($L90),_怪物基线!$A$2:$A$501,0)),"")</f>
        <v>4343</v>
      </c>
      <c r="Q90" s="16">
        <f>IFERROR(INDEX(_怪物基线!$D$2:$D$501,MATCH(INT($L90),_怪物基线!$A$2:$A$501,0)),"")</f>
        <v>5995</v>
      </c>
      <c r="R90" s="16">
        <f>参数!$B$10</f>
        <v>4</v>
      </c>
      <c r="S90" s="16">
        <f>参数!$C$10</f>
        <v>1.2</v>
      </c>
      <c r="T90" s="16">
        <f>参数!$D$10</f>
        <v>1</v>
      </c>
      <c r="U90" s="16">
        <f t="shared" si="8"/>
        <v>84900</v>
      </c>
      <c r="V90" s="16">
        <f t="shared" si="9"/>
        <v>5211.6</v>
      </c>
      <c r="W90" s="16">
        <f t="shared" si="10"/>
        <v>5995</v>
      </c>
      <c r="X90" s="16">
        <f>IFERROR(INDEX(参数!$B$5:$B$7,MATCH($N90,参数!$A$5:$A$7,0)),"")</f>
        <v>1</v>
      </c>
      <c r="Y90" s="16">
        <f>IFERROR(INDEX(参数!$C$5:$C$7,MATCH($N90,参数!$A$5:$A$7,0)),"")</f>
        <v>1.2</v>
      </c>
      <c r="Z90" s="16">
        <f>IFERROR(INDEX(参数!$D$5:$D$7,MATCH($N90,参数!$A$5:$A$7,0)),"")</f>
        <v>1</v>
      </c>
      <c r="AA90" s="16">
        <f>IFERROR(INDEX(楼层配置!$E$5:$E$104,MATCH($K90,楼层配置!$B$5:$B$104,0)),1)</f>
        <v>1.15036806139993</v>
      </c>
      <c r="AB90" s="16">
        <f>IFERROR(INDEX(楼层配置!$F$5:$F$104,MATCH($K90,楼层配置!$B$5:$B$104,0)),1)</f>
        <v>0.724312412508434</v>
      </c>
      <c r="AC90" s="16">
        <f>IFERROR(INDEX(楼层配置!$G$5:$G$104,MATCH($K90,楼层配置!$B$5:$B$104,0)),1)</f>
        <v>1</v>
      </c>
      <c r="AD90" s="18">
        <f t="shared" si="11"/>
        <v>-0.162872424315151</v>
      </c>
      <c r="AE90" s="18">
        <f t="shared" si="12"/>
        <v>-0.156895589056393</v>
      </c>
      <c r="AF90" s="18">
        <f t="shared" si="13"/>
        <v>0.293698748381528</v>
      </c>
      <c r="AG90" s="16" t="str">
        <f t="shared" si="14"/>
        <v>有效</v>
      </c>
      <c r="AH90">
        <f t="shared" si="15"/>
        <v>122062.152916667</v>
      </c>
    </row>
    <row r="91" ht="14.25" customHeight="1" spans="1:34">
      <c r="A91" s="16">
        <v>87</v>
      </c>
      <c r="B91" s="16">
        <v>1015</v>
      </c>
      <c r="C91" s="16">
        <v>19</v>
      </c>
      <c r="D91" s="17">
        <f>IFERROR(ROUND($U91*$X91*$AA91*参数!$B$13,0),"")</f>
        <v>122083</v>
      </c>
      <c r="E91" s="17">
        <f>IFERROR(ROUND($V91*$Y91*$AB91*参数!$C$13,0),"")</f>
        <v>3775</v>
      </c>
      <c r="F91" s="17">
        <f>IFERROR(ROUND($W91*$Z91*$AC91*参数!$D$13,0),"")</f>
        <v>7494</v>
      </c>
      <c r="G91" s="16">
        <v>145836</v>
      </c>
      <c r="H91" s="16">
        <v>4478</v>
      </c>
      <c r="I91" s="16">
        <v>5793</v>
      </c>
      <c r="J91" s="16">
        <v>18</v>
      </c>
      <c r="K91" s="16">
        <v>18</v>
      </c>
      <c r="L91" s="16">
        <f>IFERROR(INDEX(楼层配置!$D$5:$D$104,MATCH($K91,楼层配置!$B$5:$B$104,0)),"")</f>
        <v>73</v>
      </c>
      <c r="M91" s="16" t="str">
        <f>IFERROR(INDEX(_角色基线!$B$2:$B$100,MATCH($B91,_角色基线!$A$2:$A$100,0)),"")</f>
        <v>阿莱克西娅</v>
      </c>
      <c r="N91" s="16" t="str">
        <f>IFERROR(INDEX(_角色基线!$C$2:$C$100,MATCH($B91,_角色基线!$A$2:$A$100,0)),"")</f>
        <v>Support</v>
      </c>
      <c r="O91" s="16">
        <f>IFERROR(INDEX(_怪物基线!$B$2:$B$501,MATCH(INT($L91),_怪物基线!$A$2:$A$501,0)),"")</f>
        <v>21225</v>
      </c>
      <c r="P91" s="16">
        <f>IFERROR(INDEX(_怪物基线!$C$2:$C$501,MATCH(INT($L91),_怪物基线!$A$2:$A$501,0)),"")</f>
        <v>4343</v>
      </c>
      <c r="Q91" s="16">
        <f>IFERROR(INDEX(_怪物基线!$D$2:$D$501,MATCH(INT($L91),_怪物基线!$A$2:$A$501,0)),"")</f>
        <v>5995</v>
      </c>
      <c r="R91" s="16">
        <f>参数!$B$10</f>
        <v>4</v>
      </c>
      <c r="S91" s="16">
        <f>参数!$C$10</f>
        <v>1.2</v>
      </c>
      <c r="T91" s="16">
        <f>参数!$D$10</f>
        <v>1</v>
      </c>
      <c r="U91" s="16">
        <f t="shared" si="8"/>
        <v>84900</v>
      </c>
      <c r="V91" s="16">
        <f t="shared" si="9"/>
        <v>5211.6</v>
      </c>
      <c r="W91" s="16">
        <f t="shared" si="10"/>
        <v>5995</v>
      </c>
      <c r="X91" s="16">
        <f>IFERROR(INDEX(参数!$B$5:$B$7,MATCH($N91,参数!$A$5:$A$7,0)),"")</f>
        <v>1.25</v>
      </c>
      <c r="Y91" s="16">
        <f>IFERROR(INDEX(参数!$C$5:$C$7,MATCH($N91,参数!$A$5:$A$7,0)),"")</f>
        <v>1</v>
      </c>
      <c r="Z91" s="16">
        <f>IFERROR(INDEX(参数!$D$5:$D$7,MATCH($N91,参数!$A$5:$A$7,0)),"")</f>
        <v>1.25</v>
      </c>
      <c r="AA91" s="16">
        <f>IFERROR(INDEX(楼层配置!$E$5:$E$104,MATCH($K91,楼层配置!$B$5:$B$104,0)),1)</f>
        <v>1.15036806139993</v>
      </c>
      <c r="AB91" s="16">
        <f>IFERROR(INDEX(楼层配置!$F$5:$F$104,MATCH($K91,楼层配置!$B$5:$B$104,0)),1)</f>
        <v>0.724312412508434</v>
      </c>
      <c r="AC91" s="16">
        <f>IFERROR(INDEX(楼层配置!$G$5:$G$104,MATCH($K91,楼层配置!$B$5:$B$104,0)),1)</f>
        <v>1</v>
      </c>
      <c r="AD91" s="18">
        <f t="shared" si="11"/>
        <v>-0.162874736004827</v>
      </c>
      <c r="AE91" s="18">
        <f t="shared" si="12"/>
        <v>-0.156989727556945</v>
      </c>
      <c r="AF91" s="18">
        <f t="shared" si="13"/>
        <v>0.293630243397204</v>
      </c>
      <c r="AG91" s="16" t="str">
        <f t="shared" si="14"/>
        <v>有效</v>
      </c>
      <c r="AH91">
        <f t="shared" si="15"/>
        <v>160203.41675</v>
      </c>
    </row>
    <row r="92" ht="14.25" customHeight="1" spans="1:34">
      <c r="A92" s="16">
        <v>88</v>
      </c>
      <c r="B92" s="16">
        <v>1037</v>
      </c>
      <c r="C92" s="16">
        <v>19</v>
      </c>
      <c r="D92" s="17">
        <f>IFERROR(ROUND($U92*$X92*$AA92*参数!$B$13,0),"")</f>
        <v>97666</v>
      </c>
      <c r="E92" s="17">
        <f>IFERROR(ROUND($V92*$Y92*$AB92*参数!$C$13,0),"")</f>
        <v>4530</v>
      </c>
      <c r="F92" s="17">
        <f>IFERROR(ROUND($W92*$Z92*$AC92*参数!$D$13,0),"")</f>
        <v>5995</v>
      </c>
      <c r="G92" s="16">
        <v>116668</v>
      </c>
      <c r="H92" s="16">
        <v>5373</v>
      </c>
      <c r="I92" s="16">
        <v>4634</v>
      </c>
      <c r="J92" s="16">
        <v>18</v>
      </c>
      <c r="K92" s="16">
        <v>18</v>
      </c>
      <c r="L92" s="16">
        <f>IFERROR(INDEX(楼层配置!$D$5:$D$104,MATCH($K92,楼层配置!$B$5:$B$104,0)),"")</f>
        <v>73</v>
      </c>
      <c r="M92" s="16" t="str">
        <f>IFERROR(INDEX(_角色基线!$B$2:$B$100,MATCH($B92,_角色基线!$A$2:$A$100,0)),"")</f>
        <v>霜狼战士</v>
      </c>
      <c r="N92" s="16" t="str">
        <f>IFERROR(INDEX(_角色基线!$C$2:$C$100,MATCH($B92,_角色基线!$A$2:$A$100,0)),"")</f>
        <v>DPS</v>
      </c>
      <c r="O92" s="16">
        <f>IFERROR(INDEX(_怪物基线!$B$2:$B$501,MATCH(INT($L92),_怪物基线!$A$2:$A$501,0)),"")</f>
        <v>21225</v>
      </c>
      <c r="P92" s="16">
        <f>IFERROR(INDEX(_怪物基线!$C$2:$C$501,MATCH(INT($L92),_怪物基线!$A$2:$A$501,0)),"")</f>
        <v>4343</v>
      </c>
      <c r="Q92" s="16">
        <f>IFERROR(INDEX(_怪物基线!$D$2:$D$501,MATCH(INT($L92),_怪物基线!$A$2:$A$501,0)),"")</f>
        <v>5995</v>
      </c>
      <c r="R92" s="16">
        <f>参数!$B$10</f>
        <v>4</v>
      </c>
      <c r="S92" s="16">
        <f>参数!$C$10</f>
        <v>1.2</v>
      </c>
      <c r="T92" s="16">
        <f>参数!$D$10</f>
        <v>1</v>
      </c>
      <c r="U92" s="16">
        <f t="shared" si="8"/>
        <v>84900</v>
      </c>
      <c r="V92" s="16">
        <f t="shared" si="9"/>
        <v>5211.6</v>
      </c>
      <c r="W92" s="16">
        <f t="shared" si="10"/>
        <v>5995</v>
      </c>
      <c r="X92" s="16">
        <f>IFERROR(INDEX(参数!$B$5:$B$7,MATCH($N92,参数!$A$5:$A$7,0)),"")</f>
        <v>1</v>
      </c>
      <c r="Y92" s="16">
        <f>IFERROR(INDEX(参数!$C$5:$C$7,MATCH($N92,参数!$A$5:$A$7,0)),"")</f>
        <v>1.2</v>
      </c>
      <c r="Z92" s="16">
        <f>IFERROR(INDEX(参数!$D$5:$D$7,MATCH($N92,参数!$A$5:$A$7,0)),"")</f>
        <v>1</v>
      </c>
      <c r="AA92" s="16">
        <f>IFERROR(INDEX(楼层配置!$E$5:$E$104,MATCH($K92,楼层配置!$B$5:$B$104,0)),1)</f>
        <v>1.15036806139993</v>
      </c>
      <c r="AB92" s="16">
        <f>IFERROR(INDEX(楼层配置!$F$5:$F$104,MATCH($K92,楼层配置!$B$5:$B$104,0)),1)</f>
        <v>0.724312412508434</v>
      </c>
      <c r="AC92" s="16">
        <f>IFERROR(INDEX(楼层配置!$G$5:$G$104,MATCH($K92,楼层配置!$B$5:$B$104,0)),1)</f>
        <v>1</v>
      </c>
      <c r="AD92" s="18">
        <f t="shared" si="11"/>
        <v>-0.162872424315151</v>
      </c>
      <c r="AE92" s="18">
        <f t="shared" si="12"/>
        <v>-0.156895589056393</v>
      </c>
      <c r="AF92" s="18">
        <f t="shared" si="13"/>
        <v>0.293698748381528</v>
      </c>
      <c r="AG92" s="16" t="str">
        <f t="shared" si="14"/>
        <v>有效</v>
      </c>
      <c r="AH92">
        <f t="shared" si="15"/>
        <v>122062.152916667</v>
      </c>
    </row>
    <row r="93" ht="14.25" customHeight="1" spans="1:34">
      <c r="A93" s="16">
        <v>89</v>
      </c>
      <c r="B93" s="16">
        <v>1018</v>
      </c>
      <c r="C93" s="16">
        <v>19</v>
      </c>
      <c r="D93" s="17">
        <f>IFERROR(ROUND($U93*$X93*$AA93*参数!$B$13,0),"")</f>
        <v>122083</v>
      </c>
      <c r="E93" s="17">
        <f>IFERROR(ROUND($V93*$Y93*$AB93*参数!$C$13,0),"")</f>
        <v>3775</v>
      </c>
      <c r="F93" s="17">
        <f>IFERROR(ROUND($W93*$Z93*$AC93*参数!$D$13,0),"")</f>
        <v>7494</v>
      </c>
      <c r="G93" s="16">
        <v>145836</v>
      </c>
      <c r="H93" s="16">
        <v>4478</v>
      </c>
      <c r="I93" s="16">
        <v>5793</v>
      </c>
      <c r="J93" s="16">
        <v>18</v>
      </c>
      <c r="K93" s="16">
        <v>18</v>
      </c>
      <c r="L93" s="16">
        <f>IFERROR(INDEX(楼层配置!$D$5:$D$104,MATCH($K93,楼层配置!$B$5:$B$104,0)),"")</f>
        <v>73</v>
      </c>
      <c r="M93" s="16" t="str">
        <f>IFERROR(INDEX(_角色基线!$B$2:$B$100,MATCH($B93,_角色基线!$A$2:$A$100,0)),"")</f>
        <v>埃莉诺</v>
      </c>
      <c r="N93" s="16" t="str">
        <f>IFERROR(INDEX(_角色基线!$C$2:$C$100,MATCH($B93,_角色基线!$A$2:$A$100,0)),"")</f>
        <v>Support</v>
      </c>
      <c r="O93" s="16">
        <f>IFERROR(INDEX(_怪物基线!$B$2:$B$501,MATCH(INT($L93),_怪物基线!$A$2:$A$501,0)),"")</f>
        <v>21225</v>
      </c>
      <c r="P93" s="16">
        <f>IFERROR(INDEX(_怪物基线!$C$2:$C$501,MATCH(INT($L93),_怪物基线!$A$2:$A$501,0)),"")</f>
        <v>4343</v>
      </c>
      <c r="Q93" s="16">
        <f>IFERROR(INDEX(_怪物基线!$D$2:$D$501,MATCH(INT($L93),_怪物基线!$A$2:$A$501,0)),"")</f>
        <v>5995</v>
      </c>
      <c r="R93" s="16">
        <f>参数!$B$10</f>
        <v>4</v>
      </c>
      <c r="S93" s="16">
        <f>参数!$C$10</f>
        <v>1.2</v>
      </c>
      <c r="T93" s="16">
        <f>参数!$D$10</f>
        <v>1</v>
      </c>
      <c r="U93" s="16">
        <f t="shared" si="8"/>
        <v>84900</v>
      </c>
      <c r="V93" s="16">
        <f t="shared" si="9"/>
        <v>5211.6</v>
      </c>
      <c r="W93" s="16">
        <f t="shared" si="10"/>
        <v>5995</v>
      </c>
      <c r="X93" s="16">
        <f>IFERROR(INDEX(参数!$B$5:$B$7,MATCH($N93,参数!$A$5:$A$7,0)),"")</f>
        <v>1.25</v>
      </c>
      <c r="Y93" s="16">
        <f>IFERROR(INDEX(参数!$C$5:$C$7,MATCH($N93,参数!$A$5:$A$7,0)),"")</f>
        <v>1</v>
      </c>
      <c r="Z93" s="16">
        <f>IFERROR(INDEX(参数!$D$5:$D$7,MATCH($N93,参数!$A$5:$A$7,0)),"")</f>
        <v>1.25</v>
      </c>
      <c r="AA93" s="16">
        <f>IFERROR(INDEX(楼层配置!$E$5:$E$104,MATCH($K93,楼层配置!$B$5:$B$104,0)),1)</f>
        <v>1.15036806139993</v>
      </c>
      <c r="AB93" s="16">
        <f>IFERROR(INDEX(楼层配置!$F$5:$F$104,MATCH($K93,楼层配置!$B$5:$B$104,0)),1)</f>
        <v>0.724312412508434</v>
      </c>
      <c r="AC93" s="16">
        <f>IFERROR(INDEX(楼层配置!$G$5:$G$104,MATCH($K93,楼层配置!$B$5:$B$104,0)),1)</f>
        <v>1</v>
      </c>
      <c r="AD93" s="18">
        <f t="shared" si="11"/>
        <v>-0.162874736004827</v>
      </c>
      <c r="AE93" s="18">
        <f t="shared" si="12"/>
        <v>-0.156989727556945</v>
      </c>
      <c r="AF93" s="18">
        <f t="shared" si="13"/>
        <v>0.293630243397204</v>
      </c>
      <c r="AG93" s="16" t="str">
        <f t="shared" si="14"/>
        <v>有效</v>
      </c>
      <c r="AH93">
        <f t="shared" si="15"/>
        <v>160203.41675</v>
      </c>
    </row>
    <row r="94" ht="14.25" customHeight="1" spans="1:34">
      <c r="A94" s="16">
        <v>90</v>
      </c>
      <c r="B94" s="16">
        <v>1012</v>
      </c>
      <c r="C94" s="16">
        <v>19</v>
      </c>
      <c r="D94" s="17">
        <f>IFERROR(ROUND($U94*$X94*$AA94*参数!$B$13,0),"")</f>
        <v>122083</v>
      </c>
      <c r="E94" s="17">
        <f>IFERROR(ROUND($V94*$Y94*$AB94*参数!$C$13,0),"")</f>
        <v>3775</v>
      </c>
      <c r="F94" s="17">
        <f>IFERROR(ROUND($W94*$Z94*$AC94*参数!$D$13,0),"")</f>
        <v>7494</v>
      </c>
      <c r="G94" s="16">
        <v>145836</v>
      </c>
      <c r="H94" s="16">
        <v>4478</v>
      </c>
      <c r="I94" s="16">
        <v>5793</v>
      </c>
      <c r="J94" s="16">
        <v>18</v>
      </c>
      <c r="K94" s="16">
        <v>18</v>
      </c>
      <c r="L94" s="16">
        <f>IFERROR(INDEX(楼层配置!$D$5:$D$104,MATCH($K94,楼层配置!$B$5:$B$104,0)),"")</f>
        <v>73</v>
      </c>
      <c r="M94" s="16" t="str">
        <f>IFERROR(INDEX(_角色基线!$B$2:$B$100,MATCH($B94,_角色基线!$A$2:$A$100,0)),"")</f>
        <v>艾德琳</v>
      </c>
      <c r="N94" s="16" t="str">
        <f>IFERROR(INDEX(_角色基线!$C$2:$C$100,MATCH($B94,_角色基线!$A$2:$A$100,0)),"")</f>
        <v>Support</v>
      </c>
      <c r="O94" s="16">
        <f>IFERROR(INDEX(_怪物基线!$B$2:$B$501,MATCH(INT($L94),_怪物基线!$A$2:$A$501,0)),"")</f>
        <v>21225</v>
      </c>
      <c r="P94" s="16">
        <f>IFERROR(INDEX(_怪物基线!$C$2:$C$501,MATCH(INT($L94),_怪物基线!$A$2:$A$501,0)),"")</f>
        <v>4343</v>
      </c>
      <c r="Q94" s="16">
        <f>IFERROR(INDEX(_怪物基线!$D$2:$D$501,MATCH(INT($L94),_怪物基线!$A$2:$A$501,0)),"")</f>
        <v>5995</v>
      </c>
      <c r="R94" s="16">
        <f>参数!$B$10</f>
        <v>4</v>
      </c>
      <c r="S94" s="16">
        <f>参数!$C$10</f>
        <v>1.2</v>
      </c>
      <c r="T94" s="16">
        <f>参数!$D$10</f>
        <v>1</v>
      </c>
      <c r="U94" s="16">
        <f t="shared" si="8"/>
        <v>84900</v>
      </c>
      <c r="V94" s="16">
        <f t="shared" si="9"/>
        <v>5211.6</v>
      </c>
      <c r="W94" s="16">
        <f t="shared" si="10"/>
        <v>5995</v>
      </c>
      <c r="X94" s="16">
        <f>IFERROR(INDEX(参数!$B$5:$B$7,MATCH($N94,参数!$A$5:$A$7,0)),"")</f>
        <v>1.25</v>
      </c>
      <c r="Y94" s="16">
        <f>IFERROR(INDEX(参数!$C$5:$C$7,MATCH($N94,参数!$A$5:$A$7,0)),"")</f>
        <v>1</v>
      </c>
      <c r="Z94" s="16">
        <f>IFERROR(INDEX(参数!$D$5:$D$7,MATCH($N94,参数!$A$5:$A$7,0)),"")</f>
        <v>1.25</v>
      </c>
      <c r="AA94" s="16">
        <f>IFERROR(INDEX(楼层配置!$E$5:$E$104,MATCH($K94,楼层配置!$B$5:$B$104,0)),1)</f>
        <v>1.15036806139993</v>
      </c>
      <c r="AB94" s="16">
        <f>IFERROR(INDEX(楼层配置!$F$5:$F$104,MATCH($K94,楼层配置!$B$5:$B$104,0)),1)</f>
        <v>0.724312412508434</v>
      </c>
      <c r="AC94" s="16">
        <f>IFERROR(INDEX(楼层配置!$G$5:$G$104,MATCH($K94,楼层配置!$B$5:$B$104,0)),1)</f>
        <v>1</v>
      </c>
      <c r="AD94" s="18">
        <f t="shared" si="11"/>
        <v>-0.162874736004827</v>
      </c>
      <c r="AE94" s="18">
        <f t="shared" si="12"/>
        <v>-0.156989727556945</v>
      </c>
      <c r="AF94" s="18">
        <f t="shared" si="13"/>
        <v>0.293630243397204</v>
      </c>
      <c r="AG94" s="16" t="str">
        <f t="shared" si="14"/>
        <v>有效</v>
      </c>
      <c r="AH94">
        <f t="shared" si="15"/>
        <v>160203.41675</v>
      </c>
    </row>
    <row r="95" ht="14.25" customHeight="1" spans="1:34">
      <c r="A95" s="16">
        <v>91</v>
      </c>
      <c r="B95" s="16">
        <v>1002</v>
      </c>
      <c r="C95" s="16">
        <v>19</v>
      </c>
      <c r="D95" s="17">
        <f>IFERROR(ROUND($U95*$X95*$AA95*参数!$B$13,0),"")</f>
        <v>158986</v>
      </c>
      <c r="E95" s="17">
        <f>IFERROR(ROUND($V95*$Y95*$AB95*参数!$C$13,0),"")</f>
        <v>3972</v>
      </c>
      <c r="F95" s="17">
        <f>IFERROR(ROUND($W95*$Z95*$AC95*参数!$D$13,0),"")</f>
        <v>9537</v>
      </c>
      <c r="G95" s="16">
        <v>190000</v>
      </c>
      <c r="H95" s="16">
        <v>4733</v>
      </c>
      <c r="I95" s="16">
        <v>7317</v>
      </c>
      <c r="J95" s="16">
        <v>19</v>
      </c>
      <c r="K95" s="16">
        <v>19</v>
      </c>
      <c r="L95" s="16">
        <f>IFERROR(INDEX(楼层配置!$D$5:$D$104,MATCH($K95,楼层配置!$B$5:$B$104,0)),"")</f>
        <v>77</v>
      </c>
      <c r="M95" s="16" t="str">
        <f>IFERROR(INDEX(_角色基线!$B$2:$B$100,MATCH($B95,_角色基线!$A$2:$A$100,0)),"")</f>
        <v>大暑</v>
      </c>
      <c r="N95" s="16" t="str">
        <f>IFERROR(INDEX(_角色基线!$C$2:$C$100,MATCH($B95,_角色基线!$A$2:$A$100,0)),"")</f>
        <v>Tank</v>
      </c>
      <c r="O95" s="16">
        <f>IFERROR(INDEX(_怪物基线!$B$2:$B$501,MATCH(INT($L95),_怪物基线!$A$2:$A$501,0)),"")</f>
        <v>23288</v>
      </c>
      <c r="P95" s="16">
        <f>IFERROR(INDEX(_怪物基线!$C$2:$C$501,MATCH(INT($L95),_怪物基线!$A$2:$A$501,0)),"")</f>
        <v>4654</v>
      </c>
      <c r="Q95" s="16">
        <f>IFERROR(INDEX(_怪物基线!$D$2:$D$501,MATCH(INT($L95),_怪物基线!$A$2:$A$501,0)),"")</f>
        <v>6358</v>
      </c>
      <c r="R95" s="16">
        <f>参数!$B$10</f>
        <v>4</v>
      </c>
      <c r="S95" s="16">
        <f>参数!$C$10</f>
        <v>1.2</v>
      </c>
      <c r="T95" s="16">
        <f>参数!$D$10</f>
        <v>1</v>
      </c>
      <c r="U95" s="16">
        <f t="shared" si="8"/>
        <v>93152</v>
      </c>
      <c r="V95" s="16">
        <f t="shared" si="9"/>
        <v>5584.8</v>
      </c>
      <c r="W95" s="16">
        <f t="shared" si="10"/>
        <v>6358</v>
      </c>
      <c r="X95" s="16">
        <f>IFERROR(INDEX(参数!$B$5:$B$7,MATCH($N95,参数!$A$5:$A$7,0)),"")</f>
        <v>1.5</v>
      </c>
      <c r="Y95" s="16">
        <f>IFERROR(INDEX(参数!$C$5:$C$7,MATCH($N95,参数!$A$5:$A$7,0)),"")</f>
        <v>1</v>
      </c>
      <c r="Z95" s="16">
        <f>IFERROR(INDEX(参数!$D$5:$D$7,MATCH($N95,参数!$A$5:$A$7,0)),"")</f>
        <v>1.5</v>
      </c>
      <c r="AA95" s="16">
        <f>IFERROR(INDEX(楼层配置!$E$5:$E$104,MATCH($K95,楼层配置!$B$5:$B$104,0)),1)</f>
        <v>1.13782153739877</v>
      </c>
      <c r="AB95" s="16">
        <f>IFERROR(INDEX(楼层配置!$F$5:$F$104,MATCH($K95,楼层配置!$B$5:$B$104,0)),1)</f>
        <v>0.711203466451227</v>
      </c>
      <c r="AC95" s="16">
        <f>IFERROR(INDEX(楼层配置!$G$5:$G$104,MATCH($K95,楼层配置!$B$5:$B$104,0)),1)</f>
        <v>1</v>
      </c>
      <c r="AD95" s="18">
        <f t="shared" si="11"/>
        <v>-0.163231578947368</v>
      </c>
      <c r="AE95" s="18">
        <f t="shared" si="12"/>
        <v>-0.160785970843017</v>
      </c>
      <c r="AF95" s="18">
        <f t="shared" si="13"/>
        <v>0.30340303403034</v>
      </c>
      <c r="AG95" s="16" t="str">
        <f t="shared" si="14"/>
        <v>有效</v>
      </c>
      <c r="AH95">
        <f t="shared" si="15"/>
        <v>222163.06175</v>
      </c>
    </row>
    <row r="96" ht="14.25" customHeight="1" spans="1:34">
      <c r="A96" s="16">
        <v>92</v>
      </c>
      <c r="B96" s="16">
        <v>1018</v>
      </c>
      <c r="C96" s="16">
        <v>19</v>
      </c>
      <c r="D96" s="17">
        <f>IFERROR(ROUND($U96*$X96*$AA96*参数!$B$13,0),"")</f>
        <v>132488</v>
      </c>
      <c r="E96" s="17">
        <f>IFERROR(ROUND($V96*$Y96*$AB96*参数!$C$13,0),"")</f>
        <v>3972</v>
      </c>
      <c r="F96" s="17">
        <f>IFERROR(ROUND($W96*$Z96*$AC96*参数!$D$13,0),"")</f>
        <v>7948</v>
      </c>
      <c r="G96" s="16">
        <v>158334</v>
      </c>
      <c r="H96" s="16">
        <v>4733</v>
      </c>
      <c r="I96" s="16">
        <v>6098</v>
      </c>
      <c r="J96" s="16">
        <v>19</v>
      </c>
      <c r="K96" s="16">
        <v>19</v>
      </c>
      <c r="L96" s="16">
        <f>IFERROR(INDEX(楼层配置!$D$5:$D$104,MATCH($K96,楼层配置!$B$5:$B$104,0)),"")</f>
        <v>77</v>
      </c>
      <c r="M96" s="16" t="str">
        <f>IFERROR(INDEX(_角色基线!$B$2:$B$100,MATCH($B96,_角色基线!$A$2:$A$100,0)),"")</f>
        <v>埃莉诺</v>
      </c>
      <c r="N96" s="16" t="str">
        <f>IFERROR(INDEX(_角色基线!$C$2:$C$100,MATCH($B96,_角色基线!$A$2:$A$100,0)),"")</f>
        <v>Support</v>
      </c>
      <c r="O96" s="16">
        <f>IFERROR(INDEX(_怪物基线!$B$2:$B$501,MATCH(INT($L96),_怪物基线!$A$2:$A$501,0)),"")</f>
        <v>23288</v>
      </c>
      <c r="P96" s="16">
        <f>IFERROR(INDEX(_怪物基线!$C$2:$C$501,MATCH(INT($L96),_怪物基线!$A$2:$A$501,0)),"")</f>
        <v>4654</v>
      </c>
      <c r="Q96" s="16">
        <f>IFERROR(INDEX(_怪物基线!$D$2:$D$501,MATCH(INT($L96),_怪物基线!$A$2:$A$501,0)),"")</f>
        <v>6358</v>
      </c>
      <c r="R96" s="16">
        <f>参数!$B$10</f>
        <v>4</v>
      </c>
      <c r="S96" s="16">
        <f>参数!$C$10</f>
        <v>1.2</v>
      </c>
      <c r="T96" s="16">
        <f>参数!$D$10</f>
        <v>1</v>
      </c>
      <c r="U96" s="16">
        <f t="shared" si="8"/>
        <v>93152</v>
      </c>
      <c r="V96" s="16">
        <f t="shared" si="9"/>
        <v>5584.8</v>
      </c>
      <c r="W96" s="16">
        <f t="shared" si="10"/>
        <v>6358</v>
      </c>
      <c r="X96" s="16">
        <f>IFERROR(INDEX(参数!$B$5:$B$7,MATCH($N96,参数!$A$5:$A$7,0)),"")</f>
        <v>1.25</v>
      </c>
      <c r="Y96" s="16">
        <f>IFERROR(INDEX(参数!$C$5:$C$7,MATCH($N96,参数!$A$5:$A$7,0)),"")</f>
        <v>1</v>
      </c>
      <c r="Z96" s="16">
        <f>IFERROR(INDEX(参数!$D$5:$D$7,MATCH($N96,参数!$A$5:$A$7,0)),"")</f>
        <v>1.25</v>
      </c>
      <c r="AA96" s="16">
        <f>IFERROR(INDEX(楼层配置!$E$5:$E$104,MATCH($K96,楼层配置!$B$5:$B$104,0)),1)</f>
        <v>1.13782153739877</v>
      </c>
      <c r="AB96" s="16">
        <f>IFERROR(INDEX(楼层配置!$F$5:$F$104,MATCH($K96,楼层配置!$B$5:$B$104,0)),1)</f>
        <v>0.711203466451227</v>
      </c>
      <c r="AC96" s="16">
        <f>IFERROR(INDEX(楼层配置!$G$5:$G$104,MATCH($K96,楼层配置!$B$5:$B$104,0)),1)</f>
        <v>1</v>
      </c>
      <c r="AD96" s="18">
        <f t="shared" si="11"/>
        <v>-0.163237207422285</v>
      </c>
      <c r="AE96" s="18">
        <f t="shared" si="12"/>
        <v>-0.160785970843017</v>
      </c>
      <c r="AF96" s="18">
        <f t="shared" si="13"/>
        <v>0.303378156772712</v>
      </c>
      <c r="AG96" s="16" t="str">
        <f t="shared" si="14"/>
        <v>有效</v>
      </c>
      <c r="AH96">
        <f t="shared" si="15"/>
        <v>176363.609333333</v>
      </c>
    </row>
    <row r="97" ht="14.25" customHeight="1" spans="1:34">
      <c r="A97" s="16">
        <v>93</v>
      </c>
      <c r="B97" s="16">
        <v>1018</v>
      </c>
      <c r="C97" s="16">
        <v>19</v>
      </c>
      <c r="D97" s="17">
        <f>IFERROR(ROUND($U97*$X97*$AA97*参数!$B$13,0),"")</f>
        <v>132488</v>
      </c>
      <c r="E97" s="17">
        <f>IFERROR(ROUND($V97*$Y97*$AB97*参数!$C$13,0),"")</f>
        <v>3972</v>
      </c>
      <c r="F97" s="17">
        <f>IFERROR(ROUND($W97*$Z97*$AC97*参数!$D$13,0),"")</f>
        <v>7948</v>
      </c>
      <c r="G97" s="16">
        <v>158334</v>
      </c>
      <c r="H97" s="16">
        <v>4733</v>
      </c>
      <c r="I97" s="16">
        <v>6098</v>
      </c>
      <c r="J97" s="16">
        <v>19</v>
      </c>
      <c r="K97" s="16">
        <v>19</v>
      </c>
      <c r="L97" s="16">
        <f>IFERROR(INDEX(楼层配置!$D$5:$D$104,MATCH($K97,楼层配置!$B$5:$B$104,0)),"")</f>
        <v>77</v>
      </c>
      <c r="M97" s="16" t="str">
        <f>IFERROR(INDEX(_角色基线!$B$2:$B$100,MATCH($B97,_角色基线!$A$2:$A$100,0)),"")</f>
        <v>埃莉诺</v>
      </c>
      <c r="N97" s="16" t="str">
        <f>IFERROR(INDEX(_角色基线!$C$2:$C$100,MATCH($B97,_角色基线!$A$2:$A$100,0)),"")</f>
        <v>Support</v>
      </c>
      <c r="O97" s="16">
        <f>IFERROR(INDEX(_怪物基线!$B$2:$B$501,MATCH(INT($L97),_怪物基线!$A$2:$A$501,0)),"")</f>
        <v>23288</v>
      </c>
      <c r="P97" s="16">
        <f>IFERROR(INDEX(_怪物基线!$C$2:$C$501,MATCH(INT($L97),_怪物基线!$A$2:$A$501,0)),"")</f>
        <v>4654</v>
      </c>
      <c r="Q97" s="16">
        <f>IFERROR(INDEX(_怪物基线!$D$2:$D$501,MATCH(INT($L97),_怪物基线!$A$2:$A$501,0)),"")</f>
        <v>6358</v>
      </c>
      <c r="R97" s="16">
        <f>参数!$B$10</f>
        <v>4</v>
      </c>
      <c r="S97" s="16">
        <f>参数!$C$10</f>
        <v>1.2</v>
      </c>
      <c r="T97" s="16">
        <f>参数!$D$10</f>
        <v>1</v>
      </c>
      <c r="U97" s="16">
        <f t="shared" si="8"/>
        <v>93152</v>
      </c>
      <c r="V97" s="16">
        <f t="shared" si="9"/>
        <v>5584.8</v>
      </c>
      <c r="W97" s="16">
        <f t="shared" si="10"/>
        <v>6358</v>
      </c>
      <c r="X97" s="16">
        <f>IFERROR(INDEX(参数!$B$5:$B$7,MATCH($N97,参数!$A$5:$A$7,0)),"")</f>
        <v>1.25</v>
      </c>
      <c r="Y97" s="16">
        <f>IFERROR(INDEX(参数!$C$5:$C$7,MATCH($N97,参数!$A$5:$A$7,0)),"")</f>
        <v>1</v>
      </c>
      <c r="Z97" s="16">
        <f>IFERROR(INDEX(参数!$D$5:$D$7,MATCH($N97,参数!$A$5:$A$7,0)),"")</f>
        <v>1.25</v>
      </c>
      <c r="AA97" s="16">
        <f>IFERROR(INDEX(楼层配置!$E$5:$E$104,MATCH($K97,楼层配置!$B$5:$B$104,0)),1)</f>
        <v>1.13782153739877</v>
      </c>
      <c r="AB97" s="16">
        <f>IFERROR(INDEX(楼层配置!$F$5:$F$104,MATCH($K97,楼层配置!$B$5:$B$104,0)),1)</f>
        <v>0.711203466451227</v>
      </c>
      <c r="AC97" s="16">
        <f>IFERROR(INDEX(楼层配置!$G$5:$G$104,MATCH($K97,楼层配置!$B$5:$B$104,0)),1)</f>
        <v>1</v>
      </c>
      <c r="AD97" s="18">
        <f t="shared" si="11"/>
        <v>-0.163237207422285</v>
      </c>
      <c r="AE97" s="18">
        <f t="shared" si="12"/>
        <v>-0.160785970843017</v>
      </c>
      <c r="AF97" s="18">
        <f t="shared" si="13"/>
        <v>0.303378156772712</v>
      </c>
      <c r="AG97" s="16" t="str">
        <f t="shared" si="14"/>
        <v>有效</v>
      </c>
      <c r="AH97">
        <f t="shared" si="15"/>
        <v>176363.609333333</v>
      </c>
    </row>
    <row r="98" ht="14.25" customHeight="1" spans="1:34">
      <c r="A98" s="16">
        <v>94</v>
      </c>
      <c r="B98" s="16">
        <v>1012</v>
      </c>
      <c r="C98" s="16">
        <v>19</v>
      </c>
      <c r="D98" s="17">
        <f>IFERROR(ROUND($U98*$X98*$AA98*参数!$B$13,0),"")</f>
        <v>132488</v>
      </c>
      <c r="E98" s="17">
        <f>IFERROR(ROUND($V98*$Y98*$AB98*参数!$C$13,0),"")</f>
        <v>3972</v>
      </c>
      <c r="F98" s="17">
        <f>IFERROR(ROUND($W98*$Z98*$AC98*参数!$D$13,0),"")</f>
        <v>7948</v>
      </c>
      <c r="G98" s="16">
        <v>158334</v>
      </c>
      <c r="H98" s="16">
        <v>4733</v>
      </c>
      <c r="I98" s="16">
        <v>6098</v>
      </c>
      <c r="J98" s="16">
        <v>19</v>
      </c>
      <c r="K98" s="16">
        <v>19</v>
      </c>
      <c r="L98" s="16">
        <f>IFERROR(INDEX(楼层配置!$D$5:$D$104,MATCH($K98,楼层配置!$B$5:$B$104,0)),"")</f>
        <v>77</v>
      </c>
      <c r="M98" s="16" t="str">
        <f>IFERROR(INDEX(_角色基线!$B$2:$B$100,MATCH($B98,_角色基线!$A$2:$A$100,0)),"")</f>
        <v>艾德琳</v>
      </c>
      <c r="N98" s="16" t="str">
        <f>IFERROR(INDEX(_角色基线!$C$2:$C$100,MATCH($B98,_角色基线!$A$2:$A$100,0)),"")</f>
        <v>Support</v>
      </c>
      <c r="O98" s="16">
        <f>IFERROR(INDEX(_怪物基线!$B$2:$B$501,MATCH(INT($L98),_怪物基线!$A$2:$A$501,0)),"")</f>
        <v>23288</v>
      </c>
      <c r="P98" s="16">
        <f>IFERROR(INDEX(_怪物基线!$C$2:$C$501,MATCH(INT($L98),_怪物基线!$A$2:$A$501,0)),"")</f>
        <v>4654</v>
      </c>
      <c r="Q98" s="16">
        <f>IFERROR(INDEX(_怪物基线!$D$2:$D$501,MATCH(INT($L98),_怪物基线!$A$2:$A$501,0)),"")</f>
        <v>6358</v>
      </c>
      <c r="R98" s="16">
        <f>参数!$B$10</f>
        <v>4</v>
      </c>
      <c r="S98" s="16">
        <f>参数!$C$10</f>
        <v>1.2</v>
      </c>
      <c r="T98" s="16">
        <f>参数!$D$10</f>
        <v>1</v>
      </c>
      <c r="U98" s="16">
        <f t="shared" si="8"/>
        <v>93152</v>
      </c>
      <c r="V98" s="16">
        <f t="shared" si="9"/>
        <v>5584.8</v>
      </c>
      <c r="W98" s="16">
        <f t="shared" si="10"/>
        <v>6358</v>
      </c>
      <c r="X98" s="16">
        <f>IFERROR(INDEX(参数!$B$5:$B$7,MATCH($N98,参数!$A$5:$A$7,0)),"")</f>
        <v>1.25</v>
      </c>
      <c r="Y98" s="16">
        <f>IFERROR(INDEX(参数!$C$5:$C$7,MATCH($N98,参数!$A$5:$A$7,0)),"")</f>
        <v>1</v>
      </c>
      <c r="Z98" s="16">
        <f>IFERROR(INDEX(参数!$D$5:$D$7,MATCH($N98,参数!$A$5:$A$7,0)),"")</f>
        <v>1.25</v>
      </c>
      <c r="AA98" s="16">
        <f>IFERROR(INDEX(楼层配置!$E$5:$E$104,MATCH($K98,楼层配置!$B$5:$B$104,0)),1)</f>
        <v>1.13782153739877</v>
      </c>
      <c r="AB98" s="16">
        <f>IFERROR(INDEX(楼层配置!$F$5:$F$104,MATCH($K98,楼层配置!$B$5:$B$104,0)),1)</f>
        <v>0.711203466451227</v>
      </c>
      <c r="AC98" s="16">
        <f>IFERROR(INDEX(楼层配置!$G$5:$G$104,MATCH($K98,楼层配置!$B$5:$B$104,0)),1)</f>
        <v>1</v>
      </c>
      <c r="AD98" s="18">
        <f t="shared" si="11"/>
        <v>-0.163237207422285</v>
      </c>
      <c r="AE98" s="18">
        <f t="shared" si="12"/>
        <v>-0.160785970843017</v>
      </c>
      <c r="AF98" s="18">
        <f t="shared" si="13"/>
        <v>0.303378156772712</v>
      </c>
      <c r="AG98" s="16" t="str">
        <f t="shared" si="14"/>
        <v>有效</v>
      </c>
      <c r="AH98">
        <f t="shared" si="15"/>
        <v>176363.609333333</v>
      </c>
    </row>
    <row r="99" ht="14.25" customHeight="1" spans="1:34">
      <c r="A99" s="16">
        <v>95</v>
      </c>
      <c r="B99" s="16">
        <v>1036</v>
      </c>
      <c r="C99" s="16">
        <v>19</v>
      </c>
      <c r="D99" s="17">
        <f>IFERROR(ROUND($U99*$X99*$AA99*参数!$B$13,0),"")</f>
        <v>105990</v>
      </c>
      <c r="E99" s="17">
        <f>IFERROR(ROUND($V99*$Y99*$AB99*参数!$C$13,0),"")</f>
        <v>4766</v>
      </c>
      <c r="F99" s="17">
        <f>IFERROR(ROUND($W99*$Z99*$AC99*参数!$D$13,0),"")</f>
        <v>6358</v>
      </c>
      <c r="G99" s="16">
        <v>126667</v>
      </c>
      <c r="H99" s="16">
        <v>5679</v>
      </c>
      <c r="I99" s="16">
        <v>4878</v>
      </c>
      <c r="J99" s="16">
        <v>19</v>
      </c>
      <c r="K99" s="16">
        <v>19</v>
      </c>
      <c r="L99" s="16">
        <f>IFERROR(INDEX(楼层配置!$D$5:$D$104,MATCH($K99,楼层配置!$B$5:$B$104,0)),"")</f>
        <v>77</v>
      </c>
      <c r="M99" s="16" t="str">
        <f>IFERROR(INDEX(_角色基线!$B$2:$B$100,MATCH($B99,_角色基线!$A$2:$A$100,0)),"")</f>
        <v>霜狼法师</v>
      </c>
      <c r="N99" s="16" t="str">
        <f>IFERROR(INDEX(_角色基线!$C$2:$C$100,MATCH($B99,_角色基线!$A$2:$A$100,0)),"")</f>
        <v>DPS</v>
      </c>
      <c r="O99" s="16">
        <f>IFERROR(INDEX(_怪物基线!$B$2:$B$501,MATCH(INT($L99),_怪物基线!$A$2:$A$501,0)),"")</f>
        <v>23288</v>
      </c>
      <c r="P99" s="16">
        <f>IFERROR(INDEX(_怪物基线!$C$2:$C$501,MATCH(INT($L99),_怪物基线!$A$2:$A$501,0)),"")</f>
        <v>4654</v>
      </c>
      <c r="Q99" s="16">
        <f>IFERROR(INDEX(_怪物基线!$D$2:$D$501,MATCH(INT($L99),_怪物基线!$A$2:$A$501,0)),"")</f>
        <v>6358</v>
      </c>
      <c r="R99" s="16">
        <f>参数!$B$10</f>
        <v>4</v>
      </c>
      <c r="S99" s="16">
        <f>参数!$C$10</f>
        <v>1.2</v>
      </c>
      <c r="T99" s="16">
        <f>参数!$D$10</f>
        <v>1</v>
      </c>
      <c r="U99" s="16">
        <f t="shared" si="8"/>
        <v>93152</v>
      </c>
      <c r="V99" s="16">
        <f t="shared" si="9"/>
        <v>5584.8</v>
      </c>
      <c r="W99" s="16">
        <f t="shared" si="10"/>
        <v>6358</v>
      </c>
      <c r="X99" s="16">
        <f>IFERROR(INDEX(参数!$B$5:$B$7,MATCH($N99,参数!$A$5:$A$7,0)),"")</f>
        <v>1</v>
      </c>
      <c r="Y99" s="16">
        <f>IFERROR(INDEX(参数!$C$5:$C$7,MATCH($N99,参数!$A$5:$A$7,0)),"")</f>
        <v>1.2</v>
      </c>
      <c r="Z99" s="16">
        <f>IFERROR(INDEX(参数!$D$5:$D$7,MATCH($N99,参数!$A$5:$A$7,0)),"")</f>
        <v>1</v>
      </c>
      <c r="AA99" s="16">
        <f>IFERROR(INDEX(楼层配置!$E$5:$E$104,MATCH($K99,楼层配置!$B$5:$B$104,0)),1)</f>
        <v>1.13782153739877</v>
      </c>
      <c r="AB99" s="16">
        <f>IFERROR(INDEX(楼层配置!$F$5:$F$104,MATCH($K99,楼层配置!$B$5:$B$104,0)),1)</f>
        <v>0.711203466451227</v>
      </c>
      <c r="AC99" s="16">
        <f>IFERROR(INDEX(楼层配置!$G$5:$G$104,MATCH($K99,楼层配置!$B$5:$B$104,0)),1)</f>
        <v>1</v>
      </c>
      <c r="AD99" s="18">
        <f t="shared" si="11"/>
        <v>-0.163239044107779</v>
      </c>
      <c r="AE99" s="18">
        <f t="shared" si="12"/>
        <v>-0.160767740799437</v>
      </c>
      <c r="AF99" s="18">
        <f t="shared" si="13"/>
        <v>0.30340303403034</v>
      </c>
      <c r="AG99" s="16" t="str">
        <f t="shared" si="14"/>
        <v>有效</v>
      </c>
      <c r="AH99">
        <f t="shared" si="15"/>
        <v>134068.5175</v>
      </c>
    </row>
    <row r="100" ht="14.25" customHeight="1" spans="1:34">
      <c r="A100" s="16">
        <v>96</v>
      </c>
      <c r="B100" s="16">
        <v>1008</v>
      </c>
      <c r="C100" s="16">
        <v>20</v>
      </c>
      <c r="D100" s="17">
        <f>IFERROR(ROUND($U100*$X100*$AA100*参数!$B$13,0),"")</f>
        <v>113609</v>
      </c>
      <c r="E100" s="17">
        <f>IFERROR(ROUND($V100*$Y100*$AB100*参数!$C$13,0),"")</f>
        <v>4998</v>
      </c>
      <c r="F100" s="17">
        <f>IFERROR(ROUND($W100*$Z100*$AC100*参数!$D$13,0),"")</f>
        <v>6633</v>
      </c>
      <c r="G100" s="16">
        <v>137188</v>
      </c>
      <c r="H100" s="16">
        <v>5990</v>
      </c>
      <c r="I100" s="16">
        <v>5124</v>
      </c>
      <c r="J100" s="16">
        <v>20</v>
      </c>
      <c r="K100" s="16">
        <v>20</v>
      </c>
      <c r="L100" s="16">
        <f>IFERROR(INDEX(楼层配置!$D$5:$D$104,MATCH($K100,楼层配置!$B$5:$B$104,0)),"")</f>
        <v>80</v>
      </c>
      <c r="M100" s="16" t="str">
        <f>IFERROR(INDEX(_角色基线!$B$2:$B$100,MATCH($B100,_角色基线!$A$2:$A$100,0)),"")</f>
        <v>薇</v>
      </c>
      <c r="N100" s="16" t="str">
        <f>IFERROR(INDEX(_角色基线!$C$2:$C$100,MATCH($B100,_角色基线!$A$2:$A$100,0)),"")</f>
        <v>DPS</v>
      </c>
      <c r="O100" s="16">
        <f>IFERROR(INDEX(_怪物基线!$B$2:$B$501,MATCH(INT($L100),_怪物基线!$A$2:$A$501,0)),"")</f>
        <v>24910</v>
      </c>
      <c r="P100" s="16">
        <f>IFERROR(INDEX(_怪物基线!$C$2:$C$501,MATCH(INT($L100),_怪物基线!$A$2:$A$501,0)),"")</f>
        <v>4893</v>
      </c>
      <c r="Q100" s="16">
        <f>IFERROR(INDEX(_怪物基线!$D$2:$D$501,MATCH(INT($L100),_怪物基线!$A$2:$A$501,0)),"")</f>
        <v>6633</v>
      </c>
      <c r="R100" s="16">
        <f>参数!$B$10</f>
        <v>4</v>
      </c>
      <c r="S100" s="16">
        <f>参数!$C$10</f>
        <v>1.2</v>
      </c>
      <c r="T100" s="16">
        <f>参数!$D$10</f>
        <v>1</v>
      </c>
      <c r="U100" s="16">
        <f t="shared" si="8"/>
        <v>99640</v>
      </c>
      <c r="V100" s="16">
        <f t="shared" si="9"/>
        <v>5871.6</v>
      </c>
      <c r="W100" s="16">
        <f t="shared" si="10"/>
        <v>6633</v>
      </c>
      <c r="X100" s="16">
        <f>IFERROR(INDEX(参数!$B$5:$B$7,MATCH($N100,参数!$A$5:$A$7,0)),"")</f>
        <v>1</v>
      </c>
      <c r="Y100" s="16">
        <f>IFERROR(INDEX(参数!$C$5:$C$7,MATCH($N100,参数!$A$5:$A$7,0)),"")</f>
        <v>1.2</v>
      </c>
      <c r="Z100" s="16">
        <f>IFERROR(INDEX(参数!$D$5:$D$7,MATCH($N100,参数!$A$5:$A$7,0)),"")</f>
        <v>1</v>
      </c>
      <c r="AA100" s="16">
        <f>IFERROR(INDEX(楼层配置!$E$5:$E$104,MATCH($K100,楼层配置!$B$5:$B$104,0)),1)</f>
        <v>1.14019537889563</v>
      </c>
      <c r="AB100" s="16">
        <f>IFERROR(INDEX(楼层配置!$F$5:$F$104,MATCH($K100,楼层配置!$B$5:$B$104,0)),1)</f>
        <v>0.709306542104563</v>
      </c>
      <c r="AC100" s="16">
        <f>IFERROR(INDEX(楼层配置!$G$5:$G$104,MATCH($K100,楼层配置!$B$5:$B$104,0)),1)</f>
        <v>1</v>
      </c>
      <c r="AD100" s="18">
        <f t="shared" si="11"/>
        <v>-0.171873633262384</v>
      </c>
      <c r="AE100" s="18">
        <f t="shared" si="12"/>
        <v>-0.165609348914858</v>
      </c>
      <c r="AF100" s="18">
        <f t="shared" si="13"/>
        <v>0.294496487119438</v>
      </c>
      <c r="AG100" s="16" t="str">
        <f t="shared" si="14"/>
        <v>有效</v>
      </c>
      <c r="AH100">
        <f t="shared" si="15"/>
        <v>145007.687375</v>
      </c>
    </row>
    <row r="101" ht="14.25" customHeight="1" spans="1:34">
      <c r="A101" s="16">
        <v>97</v>
      </c>
      <c r="B101" s="16">
        <v>1008</v>
      </c>
      <c r="C101" s="16">
        <v>20</v>
      </c>
      <c r="D101" s="17">
        <f>IFERROR(ROUND($U101*$X101*$AA101*参数!$B$13,0),"")</f>
        <v>113609</v>
      </c>
      <c r="E101" s="17">
        <f>IFERROR(ROUND($V101*$Y101*$AB101*参数!$C$13,0),"")</f>
        <v>4998</v>
      </c>
      <c r="F101" s="17">
        <f>IFERROR(ROUND($W101*$Z101*$AC101*参数!$D$13,0),"")</f>
        <v>6633</v>
      </c>
      <c r="G101" s="16">
        <v>137188</v>
      </c>
      <c r="H101" s="16">
        <v>5990</v>
      </c>
      <c r="I101" s="16">
        <v>5124</v>
      </c>
      <c r="J101" s="16">
        <v>20</v>
      </c>
      <c r="K101" s="16">
        <v>20</v>
      </c>
      <c r="L101" s="16">
        <f>IFERROR(INDEX(楼层配置!$D$5:$D$104,MATCH($K101,楼层配置!$B$5:$B$104,0)),"")</f>
        <v>80</v>
      </c>
      <c r="M101" s="16" t="str">
        <f>IFERROR(INDEX(_角色基线!$B$2:$B$100,MATCH($B101,_角色基线!$A$2:$A$100,0)),"")</f>
        <v>薇</v>
      </c>
      <c r="N101" s="16" t="str">
        <f>IFERROR(INDEX(_角色基线!$C$2:$C$100,MATCH($B101,_角色基线!$A$2:$A$100,0)),"")</f>
        <v>DPS</v>
      </c>
      <c r="O101" s="16">
        <f>IFERROR(INDEX(_怪物基线!$B$2:$B$501,MATCH(INT($L101),_怪物基线!$A$2:$A$501,0)),"")</f>
        <v>24910</v>
      </c>
      <c r="P101" s="16">
        <f>IFERROR(INDEX(_怪物基线!$C$2:$C$501,MATCH(INT($L101),_怪物基线!$A$2:$A$501,0)),"")</f>
        <v>4893</v>
      </c>
      <c r="Q101" s="16">
        <f>IFERROR(INDEX(_怪物基线!$D$2:$D$501,MATCH(INT($L101),_怪物基线!$A$2:$A$501,0)),"")</f>
        <v>6633</v>
      </c>
      <c r="R101" s="16">
        <f>参数!$B$10</f>
        <v>4</v>
      </c>
      <c r="S101" s="16">
        <f>参数!$C$10</f>
        <v>1.2</v>
      </c>
      <c r="T101" s="16">
        <f>参数!$D$10</f>
        <v>1</v>
      </c>
      <c r="U101" s="16">
        <f t="shared" si="8"/>
        <v>99640</v>
      </c>
      <c r="V101" s="16">
        <f t="shared" si="9"/>
        <v>5871.6</v>
      </c>
      <c r="W101" s="16">
        <f t="shared" si="10"/>
        <v>6633</v>
      </c>
      <c r="X101" s="16">
        <f>IFERROR(INDEX(参数!$B$5:$B$7,MATCH($N101,参数!$A$5:$A$7,0)),"")</f>
        <v>1</v>
      </c>
      <c r="Y101" s="16">
        <f>IFERROR(INDEX(参数!$C$5:$C$7,MATCH($N101,参数!$A$5:$A$7,0)),"")</f>
        <v>1.2</v>
      </c>
      <c r="Z101" s="16">
        <f>IFERROR(INDEX(参数!$D$5:$D$7,MATCH($N101,参数!$A$5:$A$7,0)),"")</f>
        <v>1</v>
      </c>
      <c r="AA101" s="16">
        <f>IFERROR(INDEX(楼层配置!$E$5:$E$104,MATCH($K101,楼层配置!$B$5:$B$104,0)),1)</f>
        <v>1.14019537889563</v>
      </c>
      <c r="AB101" s="16">
        <f>IFERROR(INDEX(楼层配置!$F$5:$F$104,MATCH($K101,楼层配置!$B$5:$B$104,0)),1)</f>
        <v>0.709306542104563</v>
      </c>
      <c r="AC101" s="16">
        <f>IFERROR(INDEX(楼层配置!$G$5:$G$104,MATCH($K101,楼层配置!$B$5:$B$104,0)),1)</f>
        <v>1</v>
      </c>
      <c r="AD101" s="18">
        <f t="shared" si="11"/>
        <v>-0.171873633262384</v>
      </c>
      <c r="AE101" s="18">
        <f t="shared" si="12"/>
        <v>-0.165609348914858</v>
      </c>
      <c r="AF101" s="18">
        <f t="shared" si="13"/>
        <v>0.294496487119438</v>
      </c>
      <c r="AG101" s="16" t="str">
        <f t="shared" si="14"/>
        <v>有效</v>
      </c>
      <c r="AH101">
        <f t="shared" si="15"/>
        <v>145007.687375</v>
      </c>
    </row>
    <row r="102" ht="14.25" customHeight="1" spans="1:34">
      <c r="A102" s="16">
        <v>98</v>
      </c>
      <c r="B102" s="16">
        <v>1008</v>
      </c>
      <c r="C102" s="16">
        <v>20</v>
      </c>
      <c r="D102" s="17">
        <f>IFERROR(ROUND($U102*$X102*$AA102*参数!$B$13,0),"")</f>
        <v>113609</v>
      </c>
      <c r="E102" s="17">
        <f>IFERROR(ROUND($V102*$Y102*$AB102*参数!$C$13,0),"")</f>
        <v>4998</v>
      </c>
      <c r="F102" s="17">
        <f>IFERROR(ROUND($W102*$Z102*$AC102*参数!$D$13,0),"")</f>
        <v>6633</v>
      </c>
      <c r="G102" s="16">
        <v>137188</v>
      </c>
      <c r="H102" s="16">
        <v>5990</v>
      </c>
      <c r="I102" s="16">
        <v>5124</v>
      </c>
      <c r="J102" s="16">
        <v>20</v>
      </c>
      <c r="K102" s="16">
        <v>20</v>
      </c>
      <c r="L102" s="16">
        <f>IFERROR(INDEX(楼层配置!$D$5:$D$104,MATCH($K102,楼层配置!$B$5:$B$104,0)),"")</f>
        <v>80</v>
      </c>
      <c r="M102" s="16" t="str">
        <f>IFERROR(INDEX(_角色基线!$B$2:$B$100,MATCH($B102,_角色基线!$A$2:$A$100,0)),"")</f>
        <v>薇</v>
      </c>
      <c r="N102" s="16" t="str">
        <f>IFERROR(INDEX(_角色基线!$C$2:$C$100,MATCH($B102,_角色基线!$A$2:$A$100,0)),"")</f>
        <v>DPS</v>
      </c>
      <c r="O102" s="16">
        <f>IFERROR(INDEX(_怪物基线!$B$2:$B$501,MATCH(INT($L102),_怪物基线!$A$2:$A$501,0)),"")</f>
        <v>24910</v>
      </c>
      <c r="P102" s="16">
        <f>IFERROR(INDEX(_怪物基线!$C$2:$C$501,MATCH(INT($L102),_怪物基线!$A$2:$A$501,0)),"")</f>
        <v>4893</v>
      </c>
      <c r="Q102" s="16">
        <f>IFERROR(INDEX(_怪物基线!$D$2:$D$501,MATCH(INT($L102),_怪物基线!$A$2:$A$501,0)),"")</f>
        <v>6633</v>
      </c>
      <c r="R102" s="16">
        <f>参数!$B$10</f>
        <v>4</v>
      </c>
      <c r="S102" s="16">
        <f>参数!$C$10</f>
        <v>1.2</v>
      </c>
      <c r="T102" s="16">
        <f>参数!$D$10</f>
        <v>1</v>
      </c>
      <c r="U102" s="16">
        <f t="shared" si="8"/>
        <v>99640</v>
      </c>
      <c r="V102" s="16">
        <f t="shared" si="9"/>
        <v>5871.6</v>
      </c>
      <c r="W102" s="16">
        <f t="shared" si="10"/>
        <v>6633</v>
      </c>
      <c r="X102" s="16">
        <f>IFERROR(INDEX(参数!$B$5:$B$7,MATCH($N102,参数!$A$5:$A$7,0)),"")</f>
        <v>1</v>
      </c>
      <c r="Y102" s="16">
        <f>IFERROR(INDEX(参数!$C$5:$C$7,MATCH($N102,参数!$A$5:$A$7,0)),"")</f>
        <v>1.2</v>
      </c>
      <c r="Z102" s="16">
        <f>IFERROR(INDEX(参数!$D$5:$D$7,MATCH($N102,参数!$A$5:$A$7,0)),"")</f>
        <v>1</v>
      </c>
      <c r="AA102" s="16">
        <f>IFERROR(INDEX(楼层配置!$E$5:$E$104,MATCH($K102,楼层配置!$B$5:$B$104,0)),1)</f>
        <v>1.14019537889563</v>
      </c>
      <c r="AB102" s="16">
        <f>IFERROR(INDEX(楼层配置!$F$5:$F$104,MATCH($K102,楼层配置!$B$5:$B$104,0)),1)</f>
        <v>0.709306542104563</v>
      </c>
      <c r="AC102" s="16">
        <f>IFERROR(INDEX(楼层配置!$G$5:$G$104,MATCH($K102,楼层配置!$B$5:$B$104,0)),1)</f>
        <v>1</v>
      </c>
      <c r="AD102" s="18">
        <f t="shared" si="11"/>
        <v>-0.171873633262384</v>
      </c>
      <c r="AE102" s="18">
        <f t="shared" si="12"/>
        <v>-0.165609348914858</v>
      </c>
      <c r="AF102" s="18">
        <f t="shared" si="13"/>
        <v>0.294496487119438</v>
      </c>
      <c r="AG102" s="16" t="str">
        <f t="shared" si="14"/>
        <v>有效</v>
      </c>
      <c r="AH102">
        <f t="shared" si="15"/>
        <v>145007.687375</v>
      </c>
    </row>
    <row r="103" ht="14.25" customHeight="1" spans="1:34">
      <c r="A103" s="16">
        <v>99</v>
      </c>
      <c r="B103" s="16">
        <v>1007</v>
      </c>
      <c r="C103" s="16">
        <v>20</v>
      </c>
      <c r="D103" s="17">
        <f>IFERROR(ROUND($U103*$X103*$AA103*参数!$B$13,0),"")</f>
        <v>142011</v>
      </c>
      <c r="E103" s="17">
        <f>IFERROR(ROUND($V103*$Y103*$AB103*参数!$C$13,0),"")</f>
        <v>4165</v>
      </c>
      <c r="F103" s="17">
        <f>IFERROR(ROUND($W103*$Z103*$AC103*参数!$D$13,0),"")</f>
        <v>8291</v>
      </c>
      <c r="G103" s="16">
        <v>171486</v>
      </c>
      <c r="H103" s="16">
        <v>4992</v>
      </c>
      <c r="I103" s="16">
        <v>6406</v>
      </c>
      <c r="J103" s="16">
        <v>20</v>
      </c>
      <c r="K103" s="16">
        <v>20</v>
      </c>
      <c r="L103" s="16">
        <f>IFERROR(INDEX(楼层配置!$D$5:$D$104,MATCH($K103,楼层配置!$B$5:$B$104,0)),"")</f>
        <v>80</v>
      </c>
      <c r="M103" s="16" t="str">
        <f>IFERROR(INDEX(_角色基线!$B$2:$B$100,MATCH($B103,_角色基线!$A$2:$A$100,0)),"")</f>
        <v>萨萨莉安</v>
      </c>
      <c r="N103" s="16" t="str">
        <f>IFERROR(INDEX(_角色基线!$C$2:$C$100,MATCH($B103,_角色基线!$A$2:$A$100,0)),"")</f>
        <v>Support</v>
      </c>
      <c r="O103" s="16">
        <f>IFERROR(INDEX(_怪物基线!$B$2:$B$501,MATCH(INT($L103),_怪物基线!$A$2:$A$501,0)),"")</f>
        <v>24910</v>
      </c>
      <c r="P103" s="16">
        <f>IFERROR(INDEX(_怪物基线!$C$2:$C$501,MATCH(INT($L103),_怪物基线!$A$2:$A$501,0)),"")</f>
        <v>4893</v>
      </c>
      <c r="Q103" s="16">
        <f>IFERROR(INDEX(_怪物基线!$D$2:$D$501,MATCH(INT($L103),_怪物基线!$A$2:$A$501,0)),"")</f>
        <v>6633</v>
      </c>
      <c r="R103" s="16">
        <f>参数!$B$10</f>
        <v>4</v>
      </c>
      <c r="S103" s="16">
        <f>参数!$C$10</f>
        <v>1.2</v>
      </c>
      <c r="T103" s="16">
        <f>参数!$D$10</f>
        <v>1</v>
      </c>
      <c r="U103" s="16">
        <f t="shared" si="8"/>
        <v>99640</v>
      </c>
      <c r="V103" s="16">
        <f t="shared" si="9"/>
        <v>5871.6</v>
      </c>
      <c r="W103" s="16">
        <f t="shared" si="10"/>
        <v>6633</v>
      </c>
      <c r="X103" s="16">
        <f>IFERROR(INDEX(参数!$B$5:$B$7,MATCH($N103,参数!$A$5:$A$7,0)),"")</f>
        <v>1.25</v>
      </c>
      <c r="Y103" s="16">
        <f>IFERROR(INDEX(参数!$C$5:$C$7,MATCH($N103,参数!$A$5:$A$7,0)),"")</f>
        <v>1</v>
      </c>
      <c r="Z103" s="16">
        <f>IFERROR(INDEX(参数!$D$5:$D$7,MATCH($N103,参数!$A$5:$A$7,0)),"")</f>
        <v>1.25</v>
      </c>
      <c r="AA103" s="16">
        <f>IFERROR(INDEX(楼层配置!$E$5:$E$104,MATCH($K103,楼层配置!$B$5:$B$104,0)),1)</f>
        <v>1.14019537889563</v>
      </c>
      <c r="AB103" s="16">
        <f>IFERROR(INDEX(楼层配置!$F$5:$F$104,MATCH($K103,楼层配置!$B$5:$B$104,0)),1)</f>
        <v>0.709306542104563</v>
      </c>
      <c r="AC103" s="16">
        <f>IFERROR(INDEX(楼层配置!$G$5:$G$104,MATCH($K103,楼层配置!$B$5:$B$104,0)),1)</f>
        <v>1</v>
      </c>
      <c r="AD103" s="18">
        <f t="shared" si="11"/>
        <v>-0.171879920226724</v>
      </c>
      <c r="AE103" s="18">
        <f t="shared" si="12"/>
        <v>-0.165665064102564</v>
      </c>
      <c r="AF103" s="18">
        <f t="shared" si="13"/>
        <v>0.294255385576022</v>
      </c>
      <c r="AG103" s="16" t="str">
        <f t="shared" si="14"/>
        <v>有效</v>
      </c>
      <c r="AH103">
        <f t="shared" si="15"/>
        <v>191069.883375</v>
      </c>
    </row>
    <row r="104" ht="14.25" customHeight="1" spans="1:34">
      <c r="A104" s="16">
        <v>100</v>
      </c>
      <c r="B104" s="16">
        <v>1007</v>
      </c>
      <c r="C104" s="16">
        <v>20</v>
      </c>
      <c r="D104" s="17">
        <f>IFERROR(ROUND($U104*$X104*$AA104*参数!$B$13,0),"")</f>
        <v>142011</v>
      </c>
      <c r="E104" s="17">
        <f>IFERROR(ROUND($V104*$Y104*$AB104*参数!$C$13,0),"")</f>
        <v>4165</v>
      </c>
      <c r="F104" s="17">
        <f>IFERROR(ROUND($W104*$Z104*$AC104*参数!$D$13,0),"")</f>
        <v>8291</v>
      </c>
      <c r="G104" s="16">
        <v>171486</v>
      </c>
      <c r="H104" s="16">
        <v>4992</v>
      </c>
      <c r="I104" s="16">
        <v>6406</v>
      </c>
      <c r="J104" s="16">
        <v>20</v>
      </c>
      <c r="K104" s="16">
        <v>20</v>
      </c>
      <c r="L104" s="16">
        <f>IFERROR(INDEX(楼层配置!$D$5:$D$104,MATCH($K104,楼层配置!$B$5:$B$104,0)),"")</f>
        <v>80</v>
      </c>
      <c r="M104" s="16" t="str">
        <f>IFERROR(INDEX(_角色基线!$B$2:$B$100,MATCH($B104,_角色基线!$A$2:$A$100,0)),"")</f>
        <v>萨萨莉安</v>
      </c>
      <c r="N104" s="16" t="str">
        <f>IFERROR(INDEX(_角色基线!$C$2:$C$100,MATCH($B104,_角色基线!$A$2:$A$100,0)),"")</f>
        <v>Support</v>
      </c>
      <c r="O104" s="16">
        <f>IFERROR(INDEX(_怪物基线!$B$2:$B$501,MATCH(INT($L104),_怪物基线!$A$2:$A$501,0)),"")</f>
        <v>24910</v>
      </c>
      <c r="P104" s="16">
        <f>IFERROR(INDEX(_怪物基线!$C$2:$C$501,MATCH(INT($L104),_怪物基线!$A$2:$A$501,0)),"")</f>
        <v>4893</v>
      </c>
      <c r="Q104" s="16">
        <f>IFERROR(INDEX(_怪物基线!$D$2:$D$501,MATCH(INT($L104),_怪物基线!$A$2:$A$501,0)),"")</f>
        <v>6633</v>
      </c>
      <c r="R104" s="16">
        <f>参数!$B$10</f>
        <v>4</v>
      </c>
      <c r="S104" s="16">
        <f>参数!$C$10</f>
        <v>1.2</v>
      </c>
      <c r="T104" s="16">
        <f>参数!$D$10</f>
        <v>1</v>
      </c>
      <c r="U104" s="16">
        <f t="shared" si="8"/>
        <v>99640</v>
      </c>
      <c r="V104" s="16">
        <f t="shared" si="9"/>
        <v>5871.6</v>
      </c>
      <c r="W104" s="16">
        <f t="shared" si="10"/>
        <v>6633</v>
      </c>
      <c r="X104" s="16">
        <f>IFERROR(INDEX(参数!$B$5:$B$7,MATCH($N104,参数!$A$5:$A$7,0)),"")</f>
        <v>1.25</v>
      </c>
      <c r="Y104" s="16">
        <f>IFERROR(INDEX(参数!$C$5:$C$7,MATCH($N104,参数!$A$5:$A$7,0)),"")</f>
        <v>1</v>
      </c>
      <c r="Z104" s="16">
        <f>IFERROR(INDEX(参数!$D$5:$D$7,MATCH($N104,参数!$A$5:$A$7,0)),"")</f>
        <v>1.25</v>
      </c>
      <c r="AA104" s="16">
        <f>IFERROR(INDEX(楼层配置!$E$5:$E$104,MATCH($K104,楼层配置!$B$5:$B$104,0)),1)</f>
        <v>1.14019537889563</v>
      </c>
      <c r="AB104" s="16">
        <f>IFERROR(INDEX(楼层配置!$F$5:$F$104,MATCH($K104,楼层配置!$B$5:$B$104,0)),1)</f>
        <v>0.709306542104563</v>
      </c>
      <c r="AC104" s="16">
        <f>IFERROR(INDEX(楼层配置!$G$5:$G$104,MATCH($K104,楼层配置!$B$5:$B$104,0)),1)</f>
        <v>1</v>
      </c>
      <c r="AD104" s="18">
        <f t="shared" si="11"/>
        <v>-0.171879920226724</v>
      </c>
      <c r="AE104" s="18">
        <f t="shared" si="12"/>
        <v>-0.165665064102564</v>
      </c>
      <c r="AF104" s="18">
        <f t="shared" si="13"/>
        <v>0.294255385576022</v>
      </c>
      <c r="AG104" s="16" t="str">
        <f t="shared" si="14"/>
        <v>有效</v>
      </c>
      <c r="AH104">
        <f t="shared" si="15"/>
        <v>191069.883375</v>
      </c>
    </row>
    <row r="105" ht="14.25" customHeight="1" spans="1:34">
      <c r="A105" s="16">
        <v>101</v>
      </c>
      <c r="B105" s="16">
        <v>1038</v>
      </c>
      <c r="C105" s="16">
        <v>20</v>
      </c>
      <c r="D105" s="17">
        <f>IFERROR(ROUND($U105*$X105*$AA105*参数!$B$13,0),"")</f>
        <v>188492</v>
      </c>
      <c r="E105" s="17">
        <f>IFERROR(ROUND($V105*$Y105*$AB105*参数!$C$13,0),"")</f>
        <v>4425</v>
      </c>
      <c r="F105" s="17">
        <f>IFERROR(ROUND($W105*$Z105*$AC105*参数!$D$13,0),"")</f>
        <v>10505</v>
      </c>
      <c r="G105" s="16">
        <v>222364</v>
      </c>
      <c r="H105" s="16">
        <v>5257</v>
      </c>
      <c r="I105" s="16">
        <v>8062</v>
      </c>
      <c r="J105" s="16">
        <v>21</v>
      </c>
      <c r="K105" s="16">
        <v>21</v>
      </c>
      <c r="L105" s="16">
        <f>IFERROR(INDEX(楼层配置!$D$5:$D$104,MATCH($K105,楼层配置!$B$5:$B$104,0)),"")</f>
        <v>84</v>
      </c>
      <c r="M105" s="16" t="str">
        <f>IFERROR(INDEX(_角色基线!$B$2:$B$100,MATCH($B105,_角色基线!$A$2:$A$100,0)),"")</f>
        <v>商队战斗员</v>
      </c>
      <c r="N105" s="16" t="str">
        <f>IFERROR(INDEX(_角色基线!$C$2:$C$100,MATCH($B105,_角色基线!$A$2:$A$100,0)),"")</f>
        <v>Tank</v>
      </c>
      <c r="O105" s="16">
        <f>IFERROR(INDEX(_怪物基线!$B$2:$B$501,MATCH(INT($L105),_怪物基线!$A$2:$A$501,0)),"")</f>
        <v>27175</v>
      </c>
      <c r="P105" s="16">
        <f>IFERROR(INDEX(_怪物基线!$C$2:$C$501,MATCH(INT($L105),_怪物基线!$A$2:$A$501,0)),"")</f>
        <v>5221</v>
      </c>
      <c r="Q105" s="16">
        <f>IFERROR(INDEX(_怪物基线!$D$2:$D$501,MATCH(INT($L105),_怪物基线!$A$2:$A$501,0)),"")</f>
        <v>7003</v>
      </c>
      <c r="R105" s="16">
        <f>参数!$B$10</f>
        <v>4</v>
      </c>
      <c r="S105" s="16">
        <f>参数!$C$10</f>
        <v>1.2</v>
      </c>
      <c r="T105" s="16">
        <f>参数!$D$10</f>
        <v>1</v>
      </c>
      <c r="U105" s="16">
        <f t="shared" si="8"/>
        <v>108700</v>
      </c>
      <c r="V105" s="16">
        <f t="shared" si="9"/>
        <v>6265.2</v>
      </c>
      <c r="W105" s="16">
        <f t="shared" si="10"/>
        <v>7003</v>
      </c>
      <c r="X105" s="16">
        <f>IFERROR(INDEX(参数!$B$5:$B$7,MATCH($N105,参数!$A$5:$A$7,0)),"")</f>
        <v>1.5</v>
      </c>
      <c r="Y105" s="16">
        <f>IFERROR(INDEX(参数!$C$5:$C$7,MATCH($N105,参数!$A$5:$A$7,0)),"")</f>
        <v>1</v>
      </c>
      <c r="Z105" s="16">
        <f>IFERROR(INDEX(参数!$D$5:$D$7,MATCH($N105,参数!$A$5:$A$7,0)),"")</f>
        <v>1.5</v>
      </c>
      <c r="AA105" s="16">
        <f>IFERROR(INDEX(楼层配置!$E$5:$E$104,MATCH($K105,楼层配置!$B$5:$B$104,0)),1)</f>
        <v>1.15603728878297</v>
      </c>
      <c r="AB105" s="16">
        <f>IFERROR(INDEX(楼层配置!$F$5:$F$104,MATCH($K105,楼层配置!$B$5:$B$104,0)),1)</f>
        <v>0.706296922729767</v>
      </c>
      <c r="AC105" s="16">
        <f>IFERROR(INDEX(楼层配置!$G$5:$G$104,MATCH($K105,楼层配置!$B$5:$B$104,0)),1)</f>
        <v>1</v>
      </c>
      <c r="AD105" s="18">
        <f t="shared" si="11"/>
        <v>-0.152326815491716</v>
      </c>
      <c r="AE105" s="18">
        <f t="shared" si="12"/>
        <v>-0.158265170249192</v>
      </c>
      <c r="AF105" s="18">
        <f t="shared" si="13"/>
        <v>0.303026544281816</v>
      </c>
      <c r="AG105" s="16" t="str">
        <f t="shared" si="14"/>
        <v>有效</v>
      </c>
      <c r="AH105">
        <f t="shared" si="15"/>
        <v>270996.519166667</v>
      </c>
    </row>
    <row r="106" ht="14.25" customHeight="1" spans="1:34">
      <c r="A106" s="16">
        <v>102</v>
      </c>
      <c r="B106" s="16">
        <v>1030</v>
      </c>
      <c r="C106" s="16">
        <v>20</v>
      </c>
      <c r="D106" s="17">
        <f>IFERROR(ROUND($U106*$X106*$AA106*参数!$B$13,0),"")</f>
        <v>188492</v>
      </c>
      <c r="E106" s="17">
        <f>IFERROR(ROUND($V106*$Y106*$AB106*参数!$C$13,0),"")</f>
        <v>4425</v>
      </c>
      <c r="F106" s="17">
        <f>IFERROR(ROUND($W106*$Z106*$AC106*参数!$D$13,0),"")</f>
        <v>10505</v>
      </c>
      <c r="G106" s="16">
        <v>222364</v>
      </c>
      <c r="H106" s="16">
        <v>5257</v>
      </c>
      <c r="I106" s="16">
        <v>8062</v>
      </c>
      <c r="J106" s="16">
        <v>21</v>
      </c>
      <c r="K106" s="16">
        <v>21</v>
      </c>
      <c r="L106" s="16">
        <f>IFERROR(INDEX(楼层配置!$D$5:$D$104,MATCH($K106,楼层配置!$B$5:$B$104,0)),"")</f>
        <v>84</v>
      </c>
      <c r="M106" s="16" t="str">
        <f>IFERROR(INDEX(_角色基线!$B$2:$B$100,MATCH($B106,_角色基线!$A$2:$A$100,0)),"")</f>
        <v>莫莉</v>
      </c>
      <c r="N106" s="16" t="str">
        <f>IFERROR(INDEX(_角色基线!$C$2:$C$100,MATCH($B106,_角色基线!$A$2:$A$100,0)),"")</f>
        <v>Tank</v>
      </c>
      <c r="O106" s="16">
        <f>IFERROR(INDEX(_怪物基线!$B$2:$B$501,MATCH(INT($L106),_怪物基线!$A$2:$A$501,0)),"")</f>
        <v>27175</v>
      </c>
      <c r="P106" s="16">
        <f>IFERROR(INDEX(_怪物基线!$C$2:$C$501,MATCH(INT($L106),_怪物基线!$A$2:$A$501,0)),"")</f>
        <v>5221</v>
      </c>
      <c r="Q106" s="16">
        <f>IFERROR(INDEX(_怪物基线!$D$2:$D$501,MATCH(INT($L106),_怪物基线!$A$2:$A$501,0)),"")</f>
        <v>7003</v>
      </c>
      <c r="R106" s="16">
        <f>参数!$B$10</f>
        <v>4</v>
      </c>
      <c r="S106" s="16">
        <f>参数!$C$10</f>
        <v>1.2</v>
      </c>
      <c r="T106" s="16">
        <f>参数!$D$10</f>
        <v>1</v>
      </c>
      <c r="U106" s="16">
        <f t="shared" si="8"/>
        <v>108700</v>
      </c>
      <c r="V106" s="16">
        <f t="shared" si="9"/>
        <v>6265.2</v>
      </c>
      <c r="W106" s="16">
        <f t="shared" si="10"/>
        <v>7003</v>
      </c>
      <c r="X106" s="16">
        <f>IFERROR(INDEX(参数!$B$5:$B$7,MATCH($N106,参数!$A$5:$A$7,0)),"")</f>
        <v>1.5</v>
      </c>
      <c r="Y106" s="16">
        <f>IFERROR(INDEX(参数!$C$5:$C$7,MATCH($N106,参数!$A$5:$A$7,0)),"")</f>
        <v>1</v>
      </c>
      <c r="Z106" s="16">
        <f>IFERROR(INDEX(参数!$D$5:$D$7,MATCH($N106,参数!$A$5:$A$7,0)),"")</f>
        <v>1.5</v>
      </c>
      <c r="AA106" s="16">
        <f>IFERROR(INDEX(楼层配置!$E$5:$E$104,MATCH($K106,楼层配置!$B$5:$B$104,0)),1)</f>
        <v>1.15603728878297</v>
      </c>
      <c r="AB106" s="16">
        <f>IFERROR(INDEX(楼层配置!$F$5:$F$104,MATCH($K106,楼层配置!$B$5:$B$104,0)),1)</f>
        <v>0.706296922729767</v>
      </c>
      <c r="AC106" s="16">
        <f>IFERROR(INDEX(楼层配置!$G$5:$G$104,MATCH($K106,楼层配置!$B$5:$B$104,0)),1)</f>
        <v>1</v>
      </c>
      <c r="AD106" s="18">
        <f t="shared" si="11"/>
        <v>-0.152326815491716</v>
      </c>
      <c r="AE106" s="18">
        <f t="shared" si="12"/>
        <v>-0.158265170249192</v>
      </c>
      <c r="AF106" s="18">
        <f t="shared" si="13"/>
        <v>0.303026544281816</v>
      </c>
      <c r="AG106" s="16" t="str">
        <f t="shared" si="14"/>
        <v>有效</v>
      </c>
      <c r="AH106">
        <f t="shared" si="15"/>
        <v>270996.519166667</v>
      </c>
    </row>
    <row r="107" ht="14.25" customHeight="1" spans="1:34">
      <c r="A107" s="16">
        <v>103</v>
      </c>
      <c r="B107" s="16">
        <v>1020</v>
      </c>
      <c r="C107" s="16">
        <v>20</v>
      </c>
      <c r="D107" s="17">
        <f>IFERROR(ROUND($U107*$X107*$AA107*参数!$B$13,0),"")</f>
        <v>157077</v>
      </c>
      <c r="E107" s="17">
        <f>IFERROR(ROUND($V107*$Y107*$AB107*参数!$C$13,0),"")</f>
        <v>4425</v>
      </c>
      <c r="F107" s="17">
        <f>IFERROR(ROUND($W107*$Z107*$AC107*参数!$D$13,0),"")</f>
        <v>8754</v>
      </c>
      <c r="G107" s="16">
        <v>185304</v>
      </c>
      <c r="H107" s="16">
        <v>5257</v>
      </c>
      <c r="I107" s="16">
        <v>6719</v>
      </c>
      <c r="J107" s="16">
        <v>21</v>
      </c>
      <c r="K107" s="16">
        <v>21</v>
      </c>
      <c r="L107" s="16">
        <f>IFERROR(INDEX(楼层配置!$D$5:$D$104,MATCH($K107,楼层配置!$B$5:$B$104,0)),"")</f>
        <v>84</v>
      </c>
      <c r="M107" s="16" t="str">
        <f>IFERROR(INDEX(_角色基线!$B$2:$B$100,MATCH($B107,_角色基线!$A$2:$A$100,0)),"")</f>
        <v>卡斯帕</v>
      </c>
      <c r="N107" s="16" t="str">
        <f>IFERROR(INDEX(_角色基线!$C$2:$C$100,MATCH($B107,_角色基线!$A$2:$A$100,0)),"")</f>
        <v>Support</v>
      </c>
      <c r="O107" s="16">
        <f>IFERROR(INDEX(_怪物基线!$B$2:$B$501,MATCH(INT($L107),_怪物基线!$A$2:$A$501,0)),"")</f>
        <v>27175</v>
      </c>
      <c r="P107" s="16">
        <f>IFERROR(INDEX(_怪物基线!$C$2:$C$501,MATCH(INT($L107),_怪物基线!$A$2:$A$501,0)),"")</f>
        <v>5221</v>
      </c>
      <c r="Q107" s="16">
        <f>IFERROR(INDEX(_怪物基线!$D$2:$D$501,MATCH(INT($L107),_怪物基线!$A$2:$A$501,0)),"")</f>
        <v>7003</v>
      </c>
      <c r="R107" s="16">
        <f>参数!$B$10</f>
        <v>4</v>
      </c>
      <c r="S107" s="16">
        <f>参数!$C$10</f>
        <v>1.2</v>
      </c>
      <c r="T107" s="16">
        <f>参数!$D$10</f>
        <v>1</v>
      </c>
      <c r="U107" s="16">
        <f t="shared" si="8"/>
        <v>108700</v>
      </c>
      <c r="V107" s="16">
        <f t="shared" si="9"/>
        <v>6265.2</v>
      </c>
      <c r="W107" s="16">
        <f t="shared" si="10"/>
        <v>7003</v>
      </c>
      <c r="X107" s="16">
        <f>IFERROR(INDEX(参数!$B$5:$B$7,MATCH($N107,参数!$A$5:$A$7,0)),"")</f>
        <v>1.25</v>
      </c>
      <c r="Y107" s="16">
        <f>IFERROR(INDEX(参数!$C$5:$C$7,MATCH($N107,参数!$A$5:$A$7,0)),"")</f>
        <v>1</v>
      </c>
      <c r="Z107" s="16">
        <f>IFERROR(INDEX(参数!$D$5:$D$7,MATCH($N107,参数!$A$5:$A$7,0)),"")</f>
        <v>1.25</v>
      </c>
      <c r="AA107" s="16">
        <f>IFERROR(INDEX(楼层配置!$E$5:$E$104,MATCH($K107,楼层配置!$B$5:$B$104,0)),1)</f>
        <v>1.15603728878297</v>
      </c>
      <c r="AB107" s="16">
        <f>IFERROR(INDEX(楼层配置!$F$5:$F$104,MATCH($K107,楼层配置!$B$5:$B$104,0)),1)</f>
        <v>0.706296922729767</v>
      </c>
      <c r="AC107" s="16">
        <f>IFERROR(INDEX(楼层配置!$G$5:$G$104,MATCH($K107,楼层配置!$B$5:$B$104,0)),1)</f>
        <v>1</v>
      </c>
      <c r="AD107" s="18">
        <f t="shared" si="11"/>
        <v>-0.152328066312654</v>
      </c>
      <c r="AE107" s="18">
        <f t="shared" si="12"/>
        <v>-0.158265170249192</v>
      </c>
      <c r="AF107" s="18">
        <f t="shared" si="13"/>
        <v>0.302872451257628</v>
      </c>
      <c r="AG107" s="16" t="str">
        <f t="shared" si="14"/>
        <v>有效</v>
      </c>
      <c r="AH107">
        <f t="shared" si="15"/>
        <v>214370.83575</v>
      </c>
    </row>
    <row r="108" ht="14.25" customHeight="1" spans="1:34">
      <c r="A108" s="16">
        <v>104</v>
      </c>
      <c r="B108" s="16">
        <v>1036</v>
      </c>
      <c r="C108" s="16">
        <v>20</v>
      </c>
      <c r="D108" s="17">
        <f>IFERROR(ROUND($U108*$X108*$AA108*参数!$B$13,0),"")</f>
        <v>125661</v>
      </c>
      <c r="E108" s="17">
        <f>IFERROR(ROUND($V108*$Y108*$AB108*参数!$C$13,0),"")</f>
        <v>5310</v>
      </c>
      <c r="F108" s="17">
        <f>IFERROR(ROUND($W108*$Z108*$AC108*参数!$D$13,0),"")</f>
        <v>7003</v>
      </c>
      <c r="G108" s="16">
        <v>148243</v>
      </c>
      <c r="H108" s="16">
        <v>6308</v>
      </c>
      <c r="I108" s="16">
        <v>5375</v>
      </c>
      <c r="J108" s="16">
        <v>21</v>
      </c>
      <c r="K108" s="16">
        <v>21</v>
      </c>
      <c r="L108" s="16">
        <f>IFERROR(INDEX(楼层配置!$D$5:$D$104,MATCH($K108,楼层配置!$B$5:$B$104,0)),"")</f>
        <v>84</v>
      </c>
      <c r="M108" s="16" t="str">
        <f>IFERROR(INDEX(_角色基线!$B$2:$B$100,MATCH($B108,_角色基线!$A$2:$A$100,0)),"")</f>
        <v>霜狼法师</v>
      </c>
      <c r="N108" s="16" t="str">
        <f>IFERROR(INDEX(_角色基线!$C$2:$C$100,MATCH($B108,_角色基线!$A$2:$A$100,0)),"")</f>
        <v>DPS</v>
      </c>
      <c r="O108" s="16">
        <f>IFERROR(INDEX(_怪物基线!$B$2:$B$501,MATCH(INT($L108),_怪物基线!$A$2:$A$501,0)),"")</f>
        <v>27175</v>
      </c>
      <c r="P108" s="16">
        <f>IFERROR(INDEX(_怪物基线!$C$2:$C$501,MATCH(INT($L108),_怪物基线!$A$2:$A$501,0)),"")</f>
        <v>5221</v>
      </c>
      <c r="Q108" s="16">
        <f>IFERROR(INDEX(_怪物基线!$D$2:$D$501,MATCH(INT($L108),_怪物基线!$A$2:$A$501,0)),"")</f>
        <v>7003</v>
      </c>
      <c r="R108" s="16">
        <f>参数!$B$10</f>
        <v>4</v>
      </c>
      <c r="S108" s="16">
        <f>参数!$C$10</f>
        <v>1.2</v>
      </c>
      <c r="T108" s="16">
        <f>参数!$D$10</f>
        <v>1</v>
      </c>
      <c r="U108" s="16">
        <f t="shared" si="8"/>
        <v>108700</v>
      </c>
      <c r="V108" s="16">
        <f t="shared" si="9"/>
        <v>6265.2</v>
      </c>
      <c r="W108" s="16">
        <f t="shared" si="10"/>
        <v>7003</v>
      </c>
      <c r="X108" s="16">
        <f>IFERROR(INDEX(参数!$B$5:$B$7,MATCH($N108,参数!$A$5:$A$7,0)),"")</f>
        <v>1</v>
      </c>
      <c r="Y108" s="16">
        <f>IFERROR(INDEX(参数!$C$5:$C$7,MATCH($N108,参数!$A$5:$A$7,0)),"")</f>
        <v>1.2</v>
      </c>
      <c r="Z108" s="16">
        <f>IFERROR(INDEX(参数!$D$5:$D$7,MATCH($N108,参数!$A$5:$A$7,0)),"")</f>
        <v>1</v>
      </c>
      <c r="AA108" s="16">
        <f>IFERROR(INDEX(楼层配置!$E$5:$E$104,MATCH($K108,楼层配置!$B$5:$B$104,0)),1)</f>
        <v>1.15603728878297</v>
      </c>
      <c r="AB108" s="16">
        <f>IFERROR(INDEX(楼层配置!$F$5:$F$104,MATCH($K108,楼层配置!$B$5:$B$104,0)),1)</f>
        <v>0.706296922729767</v>
      </c>
      <c r="AC108" s="16">
        <f>IFERROR(INDEX(楼层配置!$G$5:$G$104,MATCH($K108,楼层配置!$B$5:$B$104,0)),1)</f>
        <v>1</v>
      </c>
      <c r="AD108" s="18">
        <f t="shared" si="11"/>
        <v>-0.152330970096396</v>
      </c>
      <c r="AE108" s="18">
        <f t="shared" si="12"/>
        <v>-0.158211794546607</v>
      </c>
      <c r="AF108" s="18">
        <f t="shared" si="13"/>
        <v>0.302883720930233</v>
      </c>
      <c r="AG108" s="16" t="str">
        <f t="shared" si="14"/>
        <v>有效</v>
      </c>
      <c r="AH108">
        <f t="shared" si="15"/>
        <v>162327.832625</v>
      </c>
    </row>
    <row r="109" ht="14.25" customHeight="1" spans="1:34">
      <c r="A109" s="16">
        <v>105</v>
      </c>
      <c r="B109" s="16">
        <v>1026</v>
      </c>
      <c r="C109" s="16">
        <v>20</v>
      </c>
      <c r="D109" s="17">
        <f>IFERROR(ROUND($U109*$X109*$AA109*参数!$B$13,0),"")</f>
        <v>125661</v>
      </c>
      <c r="E109" s="17">
        <f>IFERROR(ROUND($V109*$Y109*$AB109*参数!$C$13,0),"")</f>
        <v>5310</v>
      </c>
      <c r="F109" s="17">
        <f>IFERROR(ROUND($W109*$Z109*$AC109*参数!$D$13,0),"")</f>
        <v>7003</v>
      </c>
      <c r="G109" s="16">
        <v>148243</v>
      </c>
      <c r="H109" s="16">
        <v>6308</v>
      </c>
      <c r="I109" s="16">
        <v>5375</v>
      </c>
      <c r="J109" s="16">
        <v>21</v>
      </c>
      <c r="K109" s="16">
        <v>21</v>
      </c>
      <c r="L109" s="16">
        <f>IFERROR(INDEX(楼层配置!$D$5:$D$104,MATCH($K109,楼层配置!$B$5:$B$104,0)),"")</f>
        <v>84</v>
      </c>
      <c r="M109" s="16" t="str">
        <f>IFERROR(INDEX(_角色基线!$B$2:$B$100,MATCH($B109,_角色基线!$A$2:$A$100,0)),"")</f>
        <v>乔一</v>
      </c>
      <c r="N109" s="16" t="str">
        <f>IFERROR(INDEX(_角色基线!$C$2:$C$100,MATCH($B109,_角色基线!$A$2:$A$100,0)),"")</f>
        <v>DPS</v>
      </c>
      <c r="O109" s="16">
        <f>IFERROR(INDEX(_怪物基线!$B$2:$B$501,MATCH(INT($L109),_怪物基线!$A$2:$A$501,0)),"")</f>
        <v>27175</v>
      </c>
      <c r="P109" s="16">
        <f>IFERROR(INDEX(_怪物基线!$C$2:$C$501,MATCH(INT($L109),_怪物基线!$A$2:$A$501,0)),"")</f>
        <v>5221</v>
      </c>
      <c r="Q109" s="16">
        <f>IFERROR(INDEX(_怪物基线!$D$2:$D$501,MATCH(INT($L109),_怪物基线!$A$2:$A$501,0)),"")</f>
        <v>7003</v>
      </c>
      <c r="R109" s="16">
        <f>参数!$B$10</f>
        <v>4</v>
      </c>
      <c r="S109" s="16">
        <f>参数!$C$10</f>
        <v>1.2</v>
      </c>
      <c r="T109" s="16">
        <f>参数!$D$10</f>
        <v>1</v>
      </c>
      <c r="U109" s="16">
        <f t="shared" si="8"/>
        <v>108700</v>
      </c>
      <c r="V109" s="16">
        <f t="shared" si="9"/>
        <v>6265.2</v>
      </c>
      <c r="W109" s="16">
        <f t="shared" si="10"/>
        <v>7003</v>
      </c>
      <c r="X109" s="16">
        <f>IFERROR(INDEX(参数!$B$5:$B$7,MATCH($N109,参数!$A$5:$A$7,0)),"")</f>
        <v>1</v>
      </c>
      <c r="Y109" s="16">
        <f>IFERROR(INDEX(参数!$C$5:$C$7,MATCH($N109,参数!$A$5:$A$7,0)),"")</f>
        <v>1.2</v>
      </c>
      <c r="Z109" s="16">
        <f>IFERROR(INDEX(参数!$D$5:$D$7,MATCH($N109,参数!$A$5:$A$7,0)),"")</f>
        <v>1</v>
      </c>
      <c r="AA109" s="16">
        <f>IFERROR(INDEX(楼层配置!$E$5:$E$104,MATCH($K109,楼层配置!$B$5:$B$104,0)),1)</f>
        <v>1.15603728878297</v>
      </c>
      <c r="AB109" s="16">
        <f>IFERROR(INDEX(楼层配置!$F$5:$F$104,MATCH($K109,楼层配置!$B$5:$B$104,0)),1)</f>
        <v>0.706296922729767</v>
      </c>
      <c r="AC109" s="16">
        <f>IFERROR(INDEX(楼层配置!$G$5:$G$104,MATCH($K109,楼层配置!$B$5:$B$104,0)),1)</f>
        <v>1</v>
      </c>
      <c r="AD109" s="18">
        <f t="shared" si="11"/>
        <v>-0.152330970096396</v>
      </c>
      <c r="AE109" s="18">
        <f t="shared" si="12"/>
        <v>-0.158211794546607</v>
      </c>
      <c r="AF109" s="18">
        <f t="shared" si="13"/>
        <v>0.302883720930233</v>
      </c>
      <c r="AG109" s="16" t="str">
        <f t="shared" si="14"/>
        <v>有效</v>
      </c>
      <c r="AH109">
        <f t="shared" si="15"/>
        <v>162327.832625</v>
      </c>
    </row>
    <row r="110" ht="14.25" customHeight="1" spans="1:34">
      <c r="A110" s="16">
        <v>106</v>
      </c>
      <c r="B110" s="16">
        <v>1002</v>
      </c>
      <c r="C110" s="16">
        <v>21</v>
      </c>
      <c r="D110" s="17">
        <f>IFERROR(ROUND($U110*$X110*$AA110*参数!$B$13,0),"")</f>
        <v>206539</v>
      </c>
      <c r="E110" s="17">
        <f>IFERROR(ROUND($V110*$Y110*$AB110*参数!$C$13,0),"")</f>
        <v>4698</v>
      </c>
      <c r="F110" s="17">
        <f>IFERROR(ROUND($W110*$Z110*$AC110*参数!$D$13,0),"")</f>
        <v>11066</v>
      </c>
      <c r="G110" s="16">
        <v>239781</v>
      </c>
      <c r="H110" s="16">
        <v>5527</v>
      </c>
      <c r="I110" s="16">
        <v>8442</v>
      </c>
      <c r="J110" s="16">
        <v>22</v>
      </c>
      <c r="K110" s="16">
        <v>22</v>
      </c>
      <c r="L110" s="16">
        <f>IFERROR(INDEX(楼层配置!$D$5:$D$104,MATCH($K110,楼层配置!$B$5:$B$104,0)),"")</f>
        <v>88</v>
      </c>
      <c r="M110" s="16" t="str">
        <f>IFERROR(INDEX(_角色基线!$B$2:$B$100,MATCH($B110,_角色基线!$A$2:$A$100,0)),"")</f>
        <v>大暑</v>
      </c>
      <c r="N110" s="16" t="str">
        <f>IFERROR(INDEX(_角色基线!$C$2:$C$100,MATCH($B110,_角色基线!$A$2:$A$100,0)),"")</f>
        <v>Tank</v>
      </c>
      <c r="O110" s="16">
        <f>IFERROR(INDEX(_怪物基线!$B$2:$B$501,MATCH(INT($L110),_怪物基线!$A$2:$A$501,0)),"")</f>
        <v>29563</v>
      </c>
      <c r="P110" s="16">
        <f>IFERROR(INDEX(_怪物基线!$C$2:$C$501,MATCH(INT($L110),_怪物基线!$A$2:$A$501,0)),"")</f>
        <v>5557</v>
      </c>
      <c r="Q110" s="16">
        <f>IFERROR(INDEX(_怪物基线!$D$2:$D$501,MATCH(INT($L110),_怪物基线!$A$2:$A$501,0)),"")</f>
        <v>7377</v>
      </c>
      <c r="R110" s="16">
        <f>参数!$B$10</f>
        <v>4</v>
      </c>
      <c r="S110" s="16">
        <f>参数!$C$10</f>
        <v>1.2</v>
      </c>
      <c r="T110" s="16">
        <f>参数!$D$10</f>
        <v>1</v>
      </c>
      <c r="U110" s="16">
        <f t="shared" si="8"/>
        <v>118252</v>
      </c>
      <c r="V110" s="16">
        <f t="shared" si="9"/>
        <v>6668.4</v>
      </c>
      <c r="W110" s="16">
        <f t="shared" si="10"/>
        <v>7377</v>
      </c>
      <c r="X110" s="16">
        <f>IFERROR(INDEX(参数!$B$5:$B$7,MATCH($N110,参数!$A$5:$A$7,0)),"")</f>
        <v>1.5</v>
      </c>
      <c r="Y110" s="16">
        <f>IFERROR(INDEX(参数!$C$5:$C$7,MATCH($N110,参数!$A$5:$A$7,0)),"")</f>
        <v>1</v>
      </c>
      <c r="Z110" s="16">
        <f>IFERROR(INDEX(参数!$D$5:$D$7,MATCH($N110,参数!$A$5:$A$7,0)),"")</f>
        <v>1.5</v>
      </c>
      <c r="AA110" s="16">
        <f>IFERROR(INDEX(楼层配置!$E$5:$E$104,MATCH($K110,楼层配置!$B$5:$B$104,0)),1)</f>
        <v>1.1643979107152</v>
      </c>
      <c r="AB110" s="16">
        <f>IFERROR(INDEX(楼层配置!$F$5:$F$104,MATCH($K110,楼层配置!$B$5:$B$104,0)),1)</f>
        <v>0.704486371215438</v>
      </c>
      <c r="AC110" s="16">
        <f>IFERROR(INDEX(楼层配置!$G$5:$G$104,MATCH($K110,楼层配置!$B$5:$B$104,0)),1)</f>
        <v>1</v>
      </c>
      <c r="AD110" s="18">
        <f t="shared" si="11"/>
        <v>-0.138634837622664</v>
      </c>
      <c r="AE110" s="18">
        <f t="shared" si="12"/>
        <v>-0.149990953500995</v>
      </c>
      <c r="AF110" s="18">
        <f t="shared" si="13"/>
        <v>0.310826818289505</v>
      </c>
      <c r="AG110" s="16" t="str">
        <f t="shared" si="14"/>
        <v>有效</v>
      </c>
      <c r="AH110">
        <f t="shared" si="15"/>
        <v>301770.690583333</v>
      </c>
    </row>
    <row r="111" ht="14.25" customHeight="1" spans="1:34">
      <c r="A111" s="16">
        <v>107</v>
      </c>
      <c r="B111" s="16">
        <v>1002</v>
      </c>
      <c r="C111" s="16">
        <v>21</v>
      </c>
      <c r="D111" s="17">
        <f>IFERROR(ROUND($U111*$X111*$AA111*参数!$B$13,0),"")</f>
        <v>206539</v>
      </c>
      <c r="E111" s="17">
        <f>IFERROR(ROUND($V111*$Y111*$AB111*参数!$C$13,0),"")</f>
        <v>4698</v>
      </c>
      <c r="F111" s="17">
        <f>IFERROR(ROUND($W111*$Z111*$AC111*参数!$D$13,0),"")</f>
        <v>11066</v>
      </c>
      <c r="G111" s="16">
        <v>239781</v>
      </c>
      <c r="H111" s="16">
        <v>5527</v>
      </c>
      <c r="I111" s="16">
        <v>8442</v>
      </c>
      <c r="J111" s="16">
        <v>22</v>
      </c>
      <c r="K111" s="16">
        <v>22</v>
      </c>
      <c r="L111" s="16">
        <f>IFERROR(INDEX(楼层配置!$D$5:$D$104,MATCH($K111,楼层配置!$B$5:$B$104,0)),"")</f>
        <v>88</v>
      </c>
      <c r="M111" s="16" t="str">
        <f>IFERROR(INDEX(_角色基线!$B$2:$B$100,MATCH($B111,_角色基线!$A$2:$A$100,0)),"")</f>
        <v>大暑</v>
      </c>
      <c r="N111" s="16" t="str">
        <f>IFERROR(INDEX(_角色基线!$C$2:$C$100,MATCH($B111,_角色基线!$A$2:$A$100,0)),"")</f>
        <v>Tank</v>
      </c>
      <c r="O111" s="16">
        <f>IFERROR(INDEX(_怪物基线!$B$2:$B$501,MATCH(INT($L111),_怪物基线!$A$2:$A$501,0)),"")</f>
        <v>29563</v>
      </c>
      <c r="P111" s="16">
        <f>IFERROR(INDEX(_怪物基线!$C$2:$C$501,MATCH(INT($L111),_怪物基线!$A$2:$A$501,0)),"")</f>
        <v>5557</v>
      </c>
      <c r="Q111" s="16">
        <f>IFERROR(INDEX(_怪物基线!$D$2:$D$501,MATCH(INT($L111),_怪物基线!$A$2:$A$501,0)),"")</f>
        <v>7377</v>
      </c>
      <c r="R111" s="16">
        <f>参数!$B$10</f>
        <v>4</v>
      </c>
      <c r="S111" s="16">
        <f>参数!$C$10</f>
        <v>1.2</v>
      </c>
      <c r="T111" s="16">
        <f>参数!$D$10</f>
        <v>1</v>
      </c>
      <c r="U111" s="16">
        <f t="shared" si="8"/>
        <v>118252</v>
      </c>
      <c r="V111" s="16">
        <f t="shared" si="9"/>
        <v>6668.4</v>
      </c>
      <c r="W111" s="16">
        <f t="shared" si="10"/>
        <v>7377</v>
      </c>
      <c r="X111" s="16">
        <f>IFERROR(INDEX(参数!$B$5:$B$7,MATCH($N111,参数!$A$5:$A$7,0)),"")</f>
        <v>1.5</v>
      </c>
      <c r="Y111" s="16">
        <f>IFERROR(INDEX(参数!$C$5:$C$7,MATCH($N111,参数!$A$5:$A$7,0)),"")</f>
        <v>1</v>
      </c>
      <c r="Z111" s="16">
        <f>IFERROR(INDEX(参数!$D$5:$D$7,MATCH($N111,参数!$A$5:$A$7,0)),"")</f>
        <v>1.5</v>
      </c>
      <c r="AA111" s="16">
        <f>IFERROR(INDEX(楼层配置!$E$5:$E$104,MATCH($K111,楼层配置!$B$5:$B$104,0)),1)</f>
        <v>1.1643979107152</v>
      </c>
      <c r="AB111" s="16">
        <f>IFERROR(INDEX(楼层配置!$F$5:$F$104,MATCH($K111,楼层配置!$B$5:$B$104,0)),1)</f>
        <v>0.704486371215438</v>
      </c>
      <c r="AC111" s="16">
        <f>IFERROR(INDEX(楼层配置!$G$5:$G$104,MATCH($K111,楼层配置!$B$5:$B$104,0)),1)</f>
        <v>1</v>
      </c>
      <c r="AD111" s="18">
        <f t="shared" si="11"/>
        <v>-0.138634837622664</v>
      </c>
      <c r="AE111" s="18">
        <f t="shared" si="12"/>
        <v>-0.149990953500995</v>
      </c>
      <c r="AF111" s="18">
        <f t="shared" si="13"/>
        <v>0.310826818289505</v>
      </c>
      <c r="AG111" s="16" t="str">
        <f t="shared" si="14"/>
        <v>有效</v>
      </c>
      <c r="AH111">
        <f t="shared" si="15"/>
        <v>301770.690583333</v>
      </c>
    </row>
    <row r="112" ht="14.25" customHeight="1" spans="1:34">
      <c r="A112" s="16">
        <v>108</v>
      </c>
      <c r="B112" s="16">
        <v>1036</v>
      </c>
      <c r="C112" s="16">
        <v>21</v>
      </c>
      <c r="D112" s="17">
        <f>IFERROR(ROUND($U112*$X112*$AA112*参数!$B$13,0),"")</f>
        <v>137692</v>
      </c>
      <c r="E112" s="17">
        <f>IFERROR(ROUND($V112*$Y112*$AB112*参数!$C$13,0),"")</f>
        <v>5637</v>
      </c>
      <c r="F112" s="17">
        <f>IFERROR(ROUND($W112*$Z112*$AC112*参数!$D$13,0),"")</f>
        <v>7377</v>
      </c>
      <c r="G112" s="16">
        <v>159854</v>
      </c>
      <c r="H112" s="16">
        <v>6632</v>
      </c>
      <c r="I112" s="16">
        <v>5628</v>
      </c>
      <c r="J112" s="16">
        <v>22</v>
      </c>
      <c r="K112" s="16">
        <v>22</v>
      </c>
      <c r="L112" s="16">
        <f>IFERROR(INDEX(楼层配置!$D$5:$D$104,MATCH($K112,楼层配置!$B$5:$B$104,0)),"")</f>
        <v>88</v>
      </c>
      <c r="M112" s="16" t="str">
        <f>IFERROR(INDEX(_角色基线!$B$2:$B$100,MATCH($B112,_角色基线!$A$2:$A$100,0)),"")</f>
        <v>霜狼法师</v>
      </c>
      <c r="N112" s="16" t="str">
        <f>IFERROR(INDEX(_角色基线!$C$2:$C$100,MATCH($B112,_角色基线!$A$2:$A$100,0)),"")</f>
        <v>DPS</v>
      </c>
      <c r="O112" s="16">
        <f>IFERROR(INDEX(_怪物基线!$B$2:$B$501,MATCH(INT($L112),_怪物基线!$A$2:$A$501,0)),"")</f>
        <v>29563</v>
      </c>
      <c r="P112" s="16">
        <f>IFERROR(INDEX(_怪物基线!$C$2:$C$501,MATCH(INT($L112),_怪物基线!$A$2:$A$501,0)),"")</f>
        <v>5557</v>
      </c>
      <c r="Q112" s="16">
        <f>IFERROR(INDEX(_怪物基线!$D$2:$D$501,MATCH(INT($L112),_怪物基线!$A$2:$A$501,0)),"")</f>
        <v>7377</v>
      </c>
      <c r="R112" s="16">
        <f>参数!$B$10</f>
        <v>4</v>
      </c>
      <c r="S112" s="16">
        <f>参数!$C$10</f>
        <v>1.2</v>
      </c>
      <c r="T112" s="16">
        <f>参数!$D$10</f>
        <v>1</v>
      </c>
      <c r="U112" s="16">
        <f t="shared" si="8"/>
        <v>118252</v>
      </c>
      <c r="V112" s="16">
        <f t="shared" si="9"/>
        <v>6668.4</v>
      </c>
      <c r="W112" s="16">
        <f t="shared" si="10"/>
        <v>7377</v>
      </c>
      <c r="X112" s="16">
        <f>IFERROR(INDEX(参数!$B$5:$B$7,MATCH($N112,参数!$A$5:$A$7,0)),"")</f>
        <v>1</v>
      </c>
      <c r="Y112" s="16">
        <f>IFERROR(INDEX(参数!$C$5:$C$7,MATCH($N112,参数!$A$5:$A$7,0)),"")</f>
        <v>1.2</v>
      </c>
      <c r="Z112" s="16">
        <f>IFERROR(INDEX(参数!$D$5:$D$7,MATCH($N112,参数!$A$5:$A$7,0)),"")</f>
        <v>1</v>
      </c>
      <c r="AA112" s="16">
        <f>IFERROR(INDEX(楼层配置!$E$5:$E$104,MATCH($K112,楼层配置!$B$5:$B$104,0)),1)</f>
        <v>1.1643979107152</v>
      </c>
      <c r="AB112" s="16">
        <f>IFERROR(INDEX(楼层配置!$F$5:$F$104,MATCH($K112,楼层配置!$B$5:$B$104,0)),1)</f>
        <v>0.704486371215438</v>
      </c>
      <c r="AC112" s="16">
        <f>IFERROR(INDEX(楼层配置!$G$5:$G$104,MATCH($K112,楼层配置!$B$5:$B$104,0)),1)</f>
        <v>1</v>
      </c>
      <c r="AD112" s="18">
        <f t="shared" si="11"/>
        <v>-0.138639008094887</v>
      </c>
      <c r="AE112" s="18">
        <f t="shared" si="12"/>
        <v>-0.15003015681544</v>
      </c>
      <c r="AF112" s="18">
        <f t="shared" si="13"/>
        <v>0.310767590618337</v>
      </c>
      <c r="AG112" s="16" t="str">
        <f t="shared" si="14"/>
        <v>有效</v>
      </c>
      <c r="AH112">
        <f t="shared" si="15"/>
        <v>180015.0785</v>
      </c>
    </row>
    <row r="113" ht="14.25" customHeight="1" spans="1:34">
      <c r="A113" s="16">
        <v>109</v>
      </c>
      <c r="B113" s="16">
        <v>1026</v>
      </c>
      <c r="C113" s="16">
        <v>21</v>
      </c>
      <c r="D113" s="17">
        <f>IFERROR(ROUND($U113*$X113*$AA113*参数!$B$13,0),"")</f>
        <v>137692</v>
      </c>
      <c r="E113" s="17">
        <f>IFERROR(ROUND($V113*$Y113*$AB113*参数!$C$13,0),"")</f>
        <v>5637</v>
      </c>
      <c r="F113" s="17">
        <f>IFERROR(ROUND($W113*$Z113*$AC113*参数!$D$13,0),"")</f>
        <v>7377</v>
      </c>
      <c r="G113" s="16">
        <v>159854</v>
      </c>
      <c r="H113" s="16">
        <v>6632</v>
      </c>
      <c r="I113" s="16">
        <v>5628</v>
      </c>
      <c r="J113" s="16">
        <v>22</v>
      </c>
      <c r="K113" s="16">
        <v>22</v>
      </c>
      <c r="L113" s="16">
        <f>IFERROR(INDEX(楼层配置!$D$5:$D$104,MATCH($K113,楼层配置!$B$5:$B$104,0)),"")</f>
        <v>88</v>
      </c>
      <c r="M113" s="16" t="str">
        <f>IFERROR(INDEX(_角色基线!$B$2:$B$100,MATCH($B113,_角色基线!$A$2:$A$100,0)),"")</f>
        <v>乔一</v>
      </c>
      <c r="N113" s="16" t="str">
        <f>IFERROR(INDEX(_角色基线!$C$2:$C$100,MATCH($B113,_角色基线!$A$2:$A$100,0)),"")</f>
        <v>DPS</v>
      </c>
      <c r="O113" s="16">
        <f>IFERROR(INDEX(_怪物基线!$B$2:$B$501,MATCH(INT($L113),_怪物基线!$A$2:$A$501,0)),"")</f>
        <v>29563</v>
      </c>
      <c r="P113" s="16">
        <f>IFERROR(INDEX(_怪物基线!$C$2:$C$501,MATCH(INT($L113),_怪物基线!$A$2:$A$501,0)),"")</f>
        <v>5557</v>
      </c>
      <c r="Q113" s="16">
        <f>IFERROR(INDEX(_怪物基线!$D$2:$D$501,MATCH(INT($L113),_怪物基线!$A$2:$A$501,0)),"")</f>
        <v>7377</v>
      </c>
      <c r="R113" s="16">
        <f>参数!$B$10</f>
        <v>4</v>
      </c>
      <c r="S113" s="16">
        <f>参数!$C$10</f>
        <v>1.2</v>
      </c>
      <c r="T113" s="16">
        <f>参数!$D$10</f>
        <v>1</v>
      </c>
      <c r="U113" s="16">
        <f t="shared" si="8"/>
        <v>118252</v>
      </c>
      <c r="V113" s="16">
        <f t="shared" si="9"/>
        <v>6668.4</v>
      </c>
      <c r="W113" s="16">
        <f t="shared" si="10"/>
        <v>7377</v>
      </c>
      <c r="X113" s="16">
        <f>IFERROR(INDEX(参数!$B$5:$B$7,MATCH($N113,参数!$A$5:$A$7,0)),"")</f>
        <v>1</v>
      </c>
      <c r="Y113" s="16">
        <f>IFERROR(INDEX(参数!$C$5:$C$7,MATCH($N113,参数!$A$5:$A$7,0)),"")</f>
        <v>1.2</v>
      </c>
      <c r="Z113" s="16">
        <f>IFERROR(INDEX(参数!$D$5:$D$7,MATCH($N113,参数!$A$5:$A$7,0)),"")</f>
        <v>1</v>
      </c>
      <c r="AA113" s="16">
        <f>IFERROR(INDEX(楼层配置!$E$5:$E$104,MATCH($K113,楼层配置!$B$5:$B$104,0)),1)</f>
        <v>1.1643979107152</v>
      </c>
      <c r="AB113" s="16">
        <f>IFERROR(INDEX(楼层配置!$F$5:$F$104,MATCH($K113,楼层配置!$B$5:$B$104,0)),1)</f>
        <v>0.704486371215438</v>
      </c>
      <c r="AC113" s="16">
        <f>IFERROR(INDEX(楼层配置!$G$5:$G$104,MATCH($K113,楼层配置!$B$5:$B$104,0)),1)</f>
        <v>1</v>
      </c>
      <c r="AD113" s="18">
        <f t="shared" si="11"/>
        <v>-0.138639008094887</v>
      </c>
      <c r="AE113" s="18">
        <f t="shared" si="12"/>
        <v>-0.15003015681544</v>
      </c>
      <c r="AF113" s="18">
        <f t="shared" si="13"/>
        <v>0.310767590618337</v>
      </c>
      <c r="AG113" s="16" t="str">
        <f t="shared" si="14"/>
        <v>有效</v>
      </c>
      <c r="AH113">
        <f t="shared" si="15"/>
        <v>180015.0785</v>
      </c>
    </row>
    <row r="114" ht="14.25" customHeight="1" spans="1:34">
      <c r="A114" s="16">
        <v>110</v>
      </c>
      <c r="B114" s="16">
        <v>1014</v>
      </c>
      <c r="C114" s="16">
        <v>21</v>
      </c>
      <c r="D114" s="17">
        <f>IFERROR(ROUND($U114*$X114*$AA114*参数!$B$13,0),"")</f>
        <v>137692</v>
      </c>
      <c r="E114" s="17">
        <f>IFERROR(ROUND($V114*$Y114*$AB114*参数!$C$13,0),"")</f>
        <v>5637</v>
      </c>
      <c r="F114" s="17">
        <f>IFERROR(ROUND($W114*$Z114*$AC114*参数!$D$13,0),"")</f>
        <v>7377</v>
      </c>
      <c r="G114" s="16">
        <v>159854</v>
      </c>
      <c r="H114" s="16">
        <v>6632</v>
      </c>
      <c r="I114" s="16">
        <v>5628</v>
      </c>
      <c r="J114" s="16">
        <v>22</v>
      </c>
      <c r="K114" s="16">
        <v>22</v>
      </c>
      <c r="L114" s="16">
        <f>IFERROR(INDEX(楼层配置!$D$5:$D$104,MATCH($K114,楼层配置!$B$5:$B$104,0)),"")</f>
        <v>88</v>
      </c>
      <c r="M114" s="16" t="str">
        <f>IFERROR(INDEX(_角色基线!$B$2:$B$100,MATCH($B114,_角色基线!$A$2:$A$100,0)),"")</f>
        <v>克莉丝汀</v>
      </c>
      <c r="N114" s="16" t="str">
        <f>IFERROR(INDEX(_角色基线!$C$2:$C$100,MATCH($B114,_角色基线!$A$2:$A$100,0)),"")</f>
        <v>DPS</v>
      </c>
      <c r="O114" s="16">
        <f>IFERROR(INDEX(_怪物基线!$B$2:$B$501,MATCH(INT($L114),_怪物基线!$A$2:$A$501,0)),"")</f>
        <v>29563</v>
      </c>
      <c r="P114" s="16">
        <f>IFERROR(INDEX(_怪物基线!$C$2:$C$501,MATCH(INT($L114),_怪物基线!$A$2:$A$501,0)),"")</f>
        <v>5557</v>
      </c>
      <c r="Q114" s="16">
        <f>IFERROR(INDEX(_怪物基线!$D$2:$D$501,MATCH(INT($L114),_怪物基线!$A$2:$A$501,0)),"")</f>
        <v>7377</v>
      </c>
      <c r="R114" s="16">
        <f>参数!$B$10</f>
        <v>4</v>
      </c>
      <c r="S114" s="16">
        <f>参数!$C$10</f>
        <v>1.2</v>
      </c>
      <c r="T114" s="16">
        <f>参数!$D$10</f>
        <v>1</v>
      </c>
      <c r="U114" s="16">
        <f t="shared" si="8"/>
        <v>118252</v>
      </c>
      <c r="V114" s="16">
        <f t="shared" si="9"/>
        <v>6668.4</v>
      </c>
      <c r="W114" s="16">
        <f t="shared" si="10"/>
        <v>7377</v>
      </c>
      <c r="X114" s="16">
        <f>IFERROR(INDEX(参数!$B$5:$B$7,MATCH($N114,参数!$A$5:$A$7,0)),"")</f>
        <v>1</v>
      </c>
      <c r="Y114" s="16">
        <f>IFERROR(INDEX(参数!$C$5:$C$7,MATCH($N114,参数!$A$5:$A$7,0)),"")</f>
        <v>1.2</v>
      </c>
      <c r="Z114" s="16">
        <f>IFERROR(INDEX(参数!$D$5:$D$7,MATCH($N114,参数!$A$5:$A$7,0)),"")</f>
        <v>1</v>
      </c>
      <c r="AA114" s="16">
        <f>IFERROR(INDEX(楼层配置!$E$5:$E$104,MATCH($K114,楼层配置!$B$5:$B$104,0)),1)</f>
        <v>1.1643979107152</v>
      </c>
      <c r="AB114" s="16">
        <f>IFERROR(INDEX(楼层配置!$F$5:$F$104,MATCH($K114,楼层配置!$B$5:$B$104,0)),1)</f>
        <v>0.704486371215438</v>
      </c>
      <c r="AC114" s="16">
        <f>IFERROR(INDEX(楼层配置!$G$5:$G$104,MATCH($K114,楼层配置!$B$5:$B$104,0)),1)</f>
        <v>1</v>
      </c>
      <c r="AD114" s="18">
        <f t="shared" si="11"/>
        <v>-0.138639008094887</v>
      </c>
      <c r="AE114" s="18">
        <f t="shared" si="12"/>
        <v>-0.15003015681544</v>
      </c>
      <c r="AF114" s="18">
        <f t="shared" si="13"/>
        <v>0.310767590618337</v>
      </c>
      <c r="AG114" s="16" t="str">
        <f t="shared" si="14"/>
        <v>有效</v>
      </c>
      <c r="AH114">
        <f t="shared" si="15"/>
        <v>180015.0785</v>
      </c>
    </row>
    <row r="115" ht="14.25" customHeight="1" spans="1:34">
      <c r="A115" s="16">
        <v>111</v>
      </c>
      <c r="B115" s="16">
        <v>1038</v>
      </c>
      <c r="C115" s="16">
        <v>21</v>
      </c>
      <c r="D115" s="17">
        <f>IFERROR(ROUND($U115*$X115*$AA115*参数!$B$13,0),"")</f>
        <v>220482</v>
      </c>
      <c r="E115" s="17">
        <f>IFERROR(ROUND($V115*$Y115*$AB115*参数!$C$13,0),"")</f>
        <v>4910</v>
      </c>
      <c r="F115" s="17">
        <f>IFERROR(ROUND($W115*$Z115*$AC115*参数!$D$13,0),"")</f>
        <v>11631</v>
      </c>
      <c r="G115" s="16">
        <v>258062</v>
      </c>
      <c r="H115" s="16">
        <v>5802</v>
      </c>
      <c r="I115" s="16">
        <v>8826</v>
      </c>
      <c r="J115" s="16">
        <v>23</v>
      </c>
      <c r="K115" s="16">
        <v>23</v>
      </c>
      <c r="L115" s="16">
        <f>IFERROR(INDEX(楼层配置!$D$5:$D$104,MATCH($K115,楼层配置!$B$5:$B$104,0)),"")</f>
        <v>92</v>
      </c>
      <c r="M115" s="16" t="str">
        <f>IFERROR(INDEX(_角色基线!$B$2:$B$100,MATCH($B115,_角色基线!$A$2:$A$100,0)),"")</f>
        <v>商队战斗员</v>
      </c>
      <c r="N115" s="16" t="str">
        <f>IFERROR(INDEX(_角色基线!$C$2:$C$100,MATCH($B115,_角色基线!$A$2:$A$100,0)),"")</f>
        <v>Tank</v>
      </c>
      <c r="O115" s="16">
        <f>IFERROR(INDEX(_怪物基线!$B$2:$B$501,MATCH(INT($L115),_怪物基线!$A$2:$A$501,0)),"")</f>
        <v>32077</v>
      </c>
      <c r="P115" s="16">
        <f>IFERROR(INDEX(_怪物基线!$C$2:$C$501,MATCH(INT($L115),_怪物基线!$A$2:$A$501,0)),"")</f>
        <v>5902</v>
      </c>
      <c r="Q115" s="16">
        <f>IFERROR(INDEX(_怪物基线!$D$2:$D$501,MATCH(INT($L115),_怪物基线!$A$2:$A$501,0)),"")</f>
        <v>7754</v>
      </c>
      <c r="R115" s="16">
        <f>参数!$B$10</f>
        <v>4</v>
      </c>
      <c r="S115" s="16">
        <f>参数!$C$10</f>
        <v>1.2</v>
      </c>
      <c r="T115" s="16">
        <f>参数!$D$10</f>
        <v>1</v>
      </c>
      <c r="U115" s="16">
        <f t="shared" si="8"/>
        <v>128308</v>
      </c>
      <c r="V115" s="16">
        <f t="shared" si="9"/>
        <v>7082.4</v>
      </c>
      <c r="W115" s="16">
        <f t="shared" si="10"/>
        <v>7754</v>
      </c>
      <c r="X115" s="16">
        <f>IFERROR(INDEX(参数!$B$5:$B$7,MATCH($N115,参数!$A$5:$A$7,0)),"")</f>
        <v>1.5</v>
      </c>
      <c r="Y115" s="16">
        <f>IFERROR(INDEX(参数!$C$5:$C$7,MATCH($N115,参数!$A$5:$A$7,0)),"")</f>
        <v>1</v>
      </c>
      <c r="Z115" s="16">
        <f>IFERROR(INDEX(参数!$D$5:$D$7,MATCH($N115,参数!$A$5:$A$7,0)),"")</f>
        <v>1.5</v>
      </c>
      <c r="AA115" s="16">
        <f>IFERROR(INDEX(楼层配置!$E$5:$E$104,MATCH($K115,楼层配置!$B$5:$B$104,0)),1)</f>
        <v>1.14558616402226</v>
      </c>
      <c r="AB115" s="16">
        <f>IFERROR(INDEX(楼层配置!$F$5:$F$104,MATCH($K115,楼层配置!$B$5:$B$104,0)),1)</f>
        <v>0.693272974166658</v>
      </c>
      <c r="AC115" s="16">
        <f>IFERROR(INDEX(楼层配置!$G$5:$G$104,MATCH($K115,楼层配置!$B$5:$B$104,0)),1)</f>
        <v>1</v>
      </c>
      <c r="AD115" s="18">
        <f t="shared" si="11"/>
        <v>-0.145623919833218</v>
      </c>
      <c r="AE115" s="18">
        <f t="shared" si="12"/>
        <v>-0.153740089624267</v>
      </c>
      <c r="AF115" s="18">
        <f t="shared" si="13"/>
        <v>0.317811012916383</v>
      </c>
      <c r="AG115" s="16" t="str">
        <f t="shared" si="14"/>
        <v>有效</v>
      </c>
      <c r="AH115">
        <f t="shared" si="15"/>
        <v>327333.08925</v>
      </c>
    </row>
    <row r="116" ht="14.25" customHeight="1" spans="1:34">
      <c r="A116" s="16">
        <v>112</v>
      </c>
      <c r="B116" s="16">
        <v>1002</v>
      </c>
      <c r="C116" s="16">
        <v>21</v>
      </c>
      <c r="D116" s="17">
        <f>IFERROR(ROUND($U116*$X116*$AA116*参数!$B$13,0),"")</f>
        <v>220482</v>
      </c>
      <c r="E116" s="17">
        <f>IFERROR(ROUND($V116*$Y116*$AB116*参数!$C$13,0),"")</f>
        <v>4910</v>
      </c>
      <c r="F116" s="17">
        <f>IFERROR(ROUND($W116*$Z116*$AC116*参数!$D$13,0),"")</f>
        <v>11631</v>
      </c>
      <c r="G116" s="16">
        <v>258062</v>
      </c>
      <c r="H116" s="16">
        <v>5802</v>
      </c>
      <c r="I116" s="16">
        <v>8826</v>
      </c>
      <c r="J116" s="16">
        <v>23</v>
      </c>
      <c r="K116" s="16">
        <v>23</v>
      </c>
      <c r="L116" s="16">
        <f>IFERROR(INDEX(楼层配置!$D$5:$D$104,MATCH($K116,楼层配置!$B$5:$B$104,0)),"")</f>
        <v>92</v>
      </c>
      <c r="M116" s="16" t="str">
        <f>IFERROR(INDEX(_角色基线!$B$2:$B$100,MATCH($B116,_角色基线!$A$2:$A$100,0)),"")</f>
        <v>大暑</v>
      </c>
      <c r="N116" s="16" t="str">
        <f>IFERROR(INDEX(_角色基线!$C$2:$C$100,MATCH($B116,_角色基线!$A$2:$A$100,0)),"")</f>
        <v>Tank</v>
      </c>
      <c r="O116" s="16">
        <f>IFERROR(INDEX(_怪物基线!$B$2:$B$501,MATCH(INT($L116),_怪物基线!$A$2:$A$501,0)),"")</f>
        <v>32077</v>
      </c>
      <c r="P116" s="16">
        <f>IFERROR(INDEX(_怪物基线!$C$2:$C$501,MATCH(INT($L116),_怪物基线!$A$2:$A$501,0)),"")</f>
        <v>5902</v>
      </c>
      <c r="Q116" s="16">
        <f>IFERROR(INDEX(_怪物基线!$D$2:$D$501,MATCH(INT($L116),_怪物基线!$A$2:$A$501,0)),"")</f>
        <v>7754</v>
      </c>
      <c r="R116" s="16">
        <f>参数!$B$10</f>
        <v>4</v>
      </c>
      <c r="S116" s="16">
        <f>参数!$C$10</f>
        <v>1.2</v>
      </c>
      <c r="T116" s="16">
        <f>参数!$D$10</f>
        <v>1</v>
      </c>
      <c r="U116" s="16">
        <f t="shared" si="8"/>
        <v>128308</v>
      </c>
      <c r="V116" s="16">
        <f t="shared" si="9"/>
        <v>7082.4</v>
      </c>
      <c r="W116" s="16">
        <f t="shared" si="10"/>
        <v>7754</v>
      </c>
      <c r="X116" s="16">
        <f>IFERROR(INDEX(参数!$B$5:$B$7,MATCH($N116,参数!$A$5:$A$7,0)),"")</f>
        <v>1.5</v>
      </c>
      <c r="Y116" s="16">
        <f>IFERROR(INDEX(参数!$C$5:$C$7,MATCH($N116,参数!$A$5:$A$7,0)),"")</f>
        <v>1</v>
      </c>
      <c r="Z116" s="16">
        <f>IFERROR(INDEX(参数!$D$5:$D$7,MATCH($N116,参数!$A$5:$A$7,0)),"")</f>
        <v>1.5</v>
      </c>
      <c r="AA116" s="16">
        <f>IFERROR(INDEX(楼层配置!$E$5:$E$104,MATCH($K116,楼层配置!$B$5:$B$104,0)),1)</f>
        <v>1.14558616402226</v>
      </c>
      <c r="AB116" s="16">
        <f>IFERROR(INDEX(楼层配置!$F$5:$F$104,MATCH($K116,楼层配置!$B$5:$B$104,0)),1)</f>
        <v>0.693272974166658</v>
      </c>
      <c r="AC116" s="16">
        <f>IFERROR(INDEX(楼层配置!$G$5:$G$104,MATCH($K116,楼层配置!$B$5:$B$104,0)),1)</f>
        <v>1</v>
      </c>
      <c r="AD116" s="18">
        <f t="shared" si="11"/>
        <v>-0.145623919833218</v>
      </c>
      <c r="AE116" s="18">
        <f t="shared" si="12"/>
        <v>-0.153740089624267</v>
      </c>
      <c r="AF116" s="18">
        <f t="shared" si="13"/>
        <v>0.317811012916383</v>
      </c>
      <c r="AG116" s="16" t="str">
        <f t="shared" si="14"/>
        <v>有效</v>
      </c>
      <c r="AH116">
        <f t="shared" si="15"/>
        <v>327333.08925</v>
      </c>
    </row>
    <row r="117" ht="14.25" customHeight="1" spans="1:34">
      <c r="A117" s="16">
        <v>113</v>
      </c>
      <c r="B117" s="16">
        <v>1020</v>
      </c>
      <c r="C117" s="16">
        <v>21</v>
      </c>
      <c r="D117" s="17">
        <f>IFERROR(ROUND($U117*$X117*$AA117*参数!$B$13,0),"")</f>
        <v>183735</v>
      </c>
      <c r="E117" s="17">
        <f>IFERROR(ROUND($V117*$Y117*$AB117*参数!$C$13,0),"")</f>
        <v>4910</v>
      </c>
      <c r="F117" s="17">
        <f>IFERROR(ROUND($W117*$Z117*$AC117*参数!$D$13,0),"")</f>
        <v>9693</v>
      </c>
      <c r="G117" s="16">
        <v>215052</v>
      </c>
      <c r="H117" s="16">
        <v>5802</v>
      </c>
      <c r="I117" s="16">
        <v>7355</v>
      </c>
      <c r="J117" s="16">
        <v>23</v>
      </c>
      <c r="K117" s="16">
        <v>23</v>
      </c>
      <c r="L117" s="16">
        <f>IFERROR(INDEX(楼层配置!$D$5:$D$104,MATCH($K117,楼层配置!$B$5:$B$104,0)),"")</f>
        <v>92</v>
      </c>
      <c r="M117" s="16" t="str">
        <f>IFERROR(INDEX(_角色基线!$B$2:$B$100,MATCH($B117,_角色基线!$A$2:$A$100,0)),"")</f>
        <v>卡斯帕</v>
      </c>
      <c r="N117" s="16" t="str">
        <f>IFERROR(INDEX(_角色基线!$C$2:$C$100,MATCH($B117,_角色基线!$A$2:$A$100,0)),"")</f>
        <v>Support</v>
      </c>
      <c r="O117" s="16">
        <f>IFERROR(INDEX(_怪物基线!$B$2:$B$501,MATCH(INT($L117),_怪物基线!$A$2:$A$501,0)),"")</f>
        <v>32077</v>
      </c>
      <c r="P117" s="16">
        <f>IFERROR(INDEX(_怪物基线!$C$2:$C$501,MATCH(INT($L117),_怪物基线!$A$2:$A$501,0)),"")</f>
        <v>5902</v>
      </c>
      <c r="Q117" s="16">
        <f>IFERROR(INDEX(_怪物基线!$D$2:$D$501,MATCH(INT($L117),_怪物基线!$A$2:$A$501,0)),"")</f>
        <v>7754</v>
      </c>
      <c r="R117" s="16">
        <f>参数!$B$10</f>
        <v>4</v>
      </c>
      <c r="S117" s="16">
        <f>参数!$C$10</f>
        <v>1.2</v>
      </c>
      <c r="T117" s="16">
        <f>参数!$D$10</f>
        <v>1</v>
      </c>
      <c r="U117" s="16">
        <f t="shared" si="8"/>
        <v>128308</v>
      </c>
      <c r="V117" s="16">
        <f t="shared" si="9"/>
        <v>7082.4</v>
      </c>
      <c r="W117" s="16">
        <f t="shared" si="10"/>
        <v>7754</v>
      </c>
      <c r="X117" s="16">
        <f>IFERROR(INDEX(参数!$B$5:$B$7,MATCH($N117,参数!$A$5:$A$7,0)),"")</f>
        <v>1.25</v>
      </c>
      <c r="Y117" s="16">
        <f>IFERROR(INDEX(参数!$C$5:$C$7,MATCH($N117,参数!$A$5:$A$7,0)),"")</f>
        <v>1</v>
      </c>
      <c r="Z117" s="16">
        <f>IFERROR(INDEX(参数!$D$5:$D$7,MATCH($N117,参数!$A$5:$A$7,0)),"")</f>
        <v>1.25</v>
      </c>
      <c r="AA117" s="16">
        <f>IFERROR(INDEX(楼层配置!$E$5:$E$104,MATCH($K117,楼层配置!$B$5:$B$104,0)),1)</f>
        <v>1.14558616402226</v>
      </c>
      <c r="AB117" s="16">
        <f>IFERROR(INDEX(楼层配置!$F$5:$F$104,MATCH($K117,楼层配置!$B$5:$B$104,0)),1)</f>
        <v>0.693272974166658</v>
      </c>
      <c r="AC117" s="16">
        <f>IFERROR(INDEX(楼层配置!$G$5:$G$104,MATCH($K117,楼层配置!$B$5:$B$104,0)),1)</f>
        <v>1</v>
      </c>
      <c r="AD117" s="18">
        <f t="shared" si="11"/>
        <v>-0.145625244127002</v>
      </c>
      <c r="AE117" s="18">
        <f t="shared" si="12"/>
        <v>-0.153740089624267</v>
      </c>
      <c r="AF117" s="18">
        <f t="shared" si="13"/>
        <v>0.317878993881713</v>
      </c>
      <c r="AG117" s="16" t="str">
        <f t="shared" si="14"/>
        <v>有效</v>
      </c>
      <c r="AH117">
        <f t="shared" si="15"/>
        <v>257940.973125</v>
      </c>
    </row>
    <row r="118" ht="14.25" customHeight="1" spans="1:34">
      <c r="A118" s="16">
        <v>114</v>
      </c>
      <c r="B118" s="16">
        <v>1001</v>
      </c>
      <c r="C118" s="16">
        <v>21</v>
      </c>
      <c r="D118" s="17">
        <f>IFERROR(ROUND($U118*$X118*$AA118*参数!$B$13,0),"")</f>
        <v>146988</v>
      </c>
      <c r="E118" s="17">
        <f>IFERROR(ROUND($V118*$Y118*$AB118*参数!$C$13,0),"")</f>
        <v>5892</v>
      </c>
      <c r="F118" s="17">
        <f>IFERROR(ROUND($W118*$Z118*$AC118*参数!$D$13,0),"")</f>
        <v>7754</v>
      </c>
      <c r="G118" s="16">
        <v>172041</v>
      </c>
      <c r="H118" s="16">
        <v>6962</v>
      </c>
      <c r="I118" s="16">
        <v>5884</v>
      </c>
      <c r="J118" s="16">
        <v>23</v>
      </c>
      <c r="K118" s="16">
        <v>23</v>
      </c>
      <c r="L118" s="16">
        <f>IFERROR(INDEX(楼层配置!$D$5:$D$104,MATCH($K118,楼层配置!$B$5:$B$104,0)),"")</f>
        <v>92</v>
      </c>
      <c r="M118" s="16" t="str">
        <f>IFERROR(INDEX(_角色基线!$B$2:$B$100,MATCH($B118,_角色基线!$A$2:$A$100,0)),"")</f>
        <v>星海</v>
      </c>
      <c r="N118" s="16" t="str">
        <f>IFERROR(INDEX(_角色基线!$C$2:$C$100,MATCH($B118,_角色基线!$A$2:$A$100,0)),"")</f>
        <v>DPS</v>
      </c>
      <c r="O118" s="16">
        <f>IFERROR(INDEX(_怪物基线!$B$2:$B$501,MATCH(INT($L118),_怪物基线!$A$2:$A$501,0)),"")</f>
        <v>32077</v>
      </c>
      <c r="P118" s="16">
        <f>IFERROR(INDEX(_怪物基线!$C$2:$C$501,MATCH(INT($L118),_怪物基线!$A$2:$A$501,0)),"")</f>
        <v>5902</v>
      </c>
      <c r="Q118" s="16">
        <f>IFERROR(INDEX(_怪物基线!$D$2:$D$501,MATCH(INT($L118),_怪物基线!$A$2:$A$501,0)),"")</f>
        <v>7754</v>
      </c>
      <c r="R118" s="16">
        <f>参数!$B$10</f>
        <v>4</v>
      </c>
      <c r="S118" s="16">
        <f>参数!$C$10</f>
        <v>1.2</v>
      </c>
      <c r="T118" s="16">
        <f>参数!$D$10</f>
        <v>1</v>
      </c>
      <c r="U118" s="16">
        <f t="shared" si="8"/>
        <v>128308</v>
      </c>
      <c r="V118" s="16">
        <f t="shared" si="9"/>
        <v>7082.4</v>
      </c>
      <c r="W118" s="16">
        <f t="shared" si="10"/>
        <v>7754</v>
      </c>
      <c r="X118" s="16">
        <f>IFERROR(INDEX(参数!$B$5:$B$7,MATCH($N118,参数!$A$5:$A$7,0)),"")</f>
        <v>1</v>
      </c>
      <c r="Y118" s="16">
        <f>IFERROR(INDEX(参数!$C$5:$C$7,MATCH($N118,参数!$A$5:$A$7,0)),"")</f>
        <v>1.2</v>
      </c>
      <c r="Z118" s="16">
        <f>IFERROR(INDEX(参数!$D$5:$D$7,MATCH($N118,参数!$A$5:$A$7,0)),"")</f>
        <v>1</v>
      </c>
      <c r="AA118" s="16">
        <f>IFERROR(INDEX(楼层配置!$E$5:$E$104,MATCH($K118,楼层配置!$B$5:$B$104,0)),1)</f>
        <v>1.14558616402226</v>
      </c>
      <c r="AB118" s="16">
        <f>IFERROR(INDEX(楼层配置!$F$5:$F$104,MATCH($K118,楼层配置!$B$5:$B$104,0)),1)</f>
        <v>0.693272974166658</v>
      </c>
      <c r="AC118" s="16">
        <f>IFERROR(INDEX(楼层配置!$G$5:$G$104,MATCH($K118,楼层配置!$B$5:$B$104,0)),1)</f>
        <v>1</v>
      </c>
      <c r="AD118" s="18">
        <f t="shared" si="11"/>
        <v>-0.145622264460216</v>
      </c>
      <c r="AE118" s="18">
        <f t="shared" si="12"/>
        <v>-0.153691467968974</v>
      </c>
      <c r="AF118" s="18">
        <f t="shared" si="13"/>
        <v>0.317811012916383</v>
      </c>
      <c r="AG118" s="16" t="str">
        <f t="shared" si="14"/>
        <v>有效</v>
      </c>
      <c r="AH118">
        <f t="shared" si="15"/>
        <v>194477.373</v>
      </c>
    </row>
    <row r="119" ht="14.25" customHeight="1" spans="1:34">
      <c r="A119" s="16">
        <v>115</v>
      </c>
      <c r="B119" s="16">
        <v>1012</v>
      </c>
      <c r="C119" s="16">
        <v>21</v>
      </c>
      <c r="D119" s="17">
        <f>IFERROR(ROUND($U119*$X119*$AA119*参数!$B$13,0),"")</f>
        <v>183735</v>
      </c>
      <c r="E119" s="17">
        <f>IFERROR(ROUND($V119*$Y119*$AB119*参数!$C$13,0),"")</f>
        <v>4910</v>
      </c>
      <c r="F119" s="17">
        <f>IFERROR(ROUND($W119*$Z119*$AC119*参数!$D$13,0),"")</f>
        <v>9693</v>
      </c>
      <c r="G119" s="16">
        <v>215052</v>
      </c>
      <c r="H119" s="16">
        <v>5802</v>
      </c>
      <c r="I119" s="16">
        <v>7355</v>
      </c>
      <c r="J119" s="16">
        <v>23</v>
      </c>
      <c r="K119" s="16">
        <v>23</v>
      </c>
      <c r="L119" s="16">
        <f>IFERROR(INDEX(楼层配置!$D$5:$D$104,MATCH($K119,楼层配置!$B$5:$B$104,0)),"")</f>
        <v>92</v>
      </c>
      <c r="M119" s="16" t="str">
        <f>IFERROR(INDEX(_角色基线!$B$2:$B$100,MATCH($B119,_角色基线!$A$2:$A$100,0)),"")</f>
        <v>艾德琳</v>
      </c>
      <c r="N119" s="16" t="str">
        <f>IFERROR(INDEX(_角色基线!$C$2:$C$100,MATCH($B119,_角色基线!$A$2:$A$100,0)),"")</f>
        <v>Support</v>
      </c>
      <c r="O119" s="16">
        <f>IFERROR(INDEX(_怪物基线!$B$2:$B$501,MATCH(INT($L119),_怪物基线!$A$2:$A$501,0)),"")</f>
        <v>32077</v>
      </c>
      <c r="P119" s="16">
        <f>IFERROR(INDEX(_怪物基线!$C$2:$C$501,MATCH(INT($L119),_怪物基线!$A$2:$A$501,0)),"")</f>
        <v>5902</v>
      </c>
      <c r="Q119" s="16">
        <f>IFERROR(INDEX(_怪物基线!$D$2:$D$501,MATCH(INT($L119),_怪物基线!$A$2:$A$501,0)),"")</f>
        <v>7754</v>
      </c>
      <c r="R119" s="16">
        <f>参数!$B$10</f>
        <v>4</v>
      </c>
      <c r="S119" s="16">
        <f>参数!$C$10</f>
        <v>1.2</v>
      </c>
      <c r="T119" s="16">
        <f>参数!$D$10</f>
        <v>1</v>
      </c>
      <c r="U119" s="16">
        <f t="shared" si="8"/>
        <v>128308</v>
      </c>
      <c r="V119" s="16">
        <f t="shared" si="9"/>
        <v>7082.4</v>
      </c>
      <c r="W119" s="16">
        <f t="shared" si="10"/>
        <v>7754</v>
      </c>
      <c r="X119" s="16">
        <f>IFERROR(INDEX(参数!$B$5:$B$7,MATCH($N119,参数!$A$5:$A$7,0)),"")</f>
        <v>1.25</v>
      </c>
      <c r="Y119" s="16">
        <f>IFERROR(INDEX(参数!$C$5:$C$7,MATCH($N119,参数!$A$5:$A$7,0)),"")</f>
        <v>1</v>
      </c>
      <c r="Z119" s="16">
        <f>IFERROR(INDEX(参数!$D$5:$D$7,MATCH($N119,参数!$A$5:$A$7,0)),"")</f>
        <v>1.25</v>
      </c>
      <c r="AA119" s="16">
        <f>IFERROR(INDEX(楼层配置!$E$5:$E$104,MATCH($K119,楼层配置!$B$5:$B$104,0)),1)</f>
        <v>1.14558616402226</v>
      </c>
      <c r="AB119" s="16">
        <f>IFERROR(INDEX(楼层配置!$F$5:$F$104,MATCH($K119,楼层配置!$B$5:$B$104,0)),1)</f>
        <v>0.693272974166658</v>
      </c>
      <c r="AC119" s="16">
        <f>IFERROR(INDEX(楼层配置!$G$5:$G$104,MATCH($K119,楼层配置!$B$5:$B$104,0)),1)</f>
        <v>1</v>
      </c>
      <c r="AD119" s="18">
        <f t="shared" si="11"/>
        <v>-0.145625244127002</v>
      </c>
      <c r="AE119" s="18">
        <f t="shared" si="12"/>
        <v>-0.153740089624267</v>
      </c>
      <c r="AF119" s="18">
        <f t="shared" si="13"/>
        <v>0.317878993881713</v>
      </c>
      <c r="AG119" s="16" t="str">
        <f t="shared" si="14"/>
        <v>有效</v>
      </c>
      <c r="AH119">
        <f t="shared" si="15"/>
        <v>257940.973125</v>
      </c>
    </row>
    <row r="120" ht="14.25" customHeight="1" spans="1:34">
      <c r="A120" s="16">
        <v>116</v>
      </c>
      <c r="B120" s="16">
        <v>1002</v>
      </c>
      <c r="C120" s="16">
        <v>22</v>
      </c>
      <c r="D120" s="17">
        <f>IFERROR(ROUND($U120*$X120*$AA120*参数!$B$13,0),"")</f>
        <v>242233</v>
      </c>
      <c r="E120" s="17">
        <f>IFERROR(ROUND($V120*$Y120*$AB120*参数!$C$13,0),"")</f>
        <v>5202</v>
      </c>
      <c r="F120" s="17">
        <f>IFERROR(ROUND($W120*$Z120*$AC120*参数!$D$13,0),"")</f>
        <v>12203</v>
      </c>
      <c r="G120" s="16">
        <v>277228</v>
      </c>
      <c r="H120" s="16">
        <v>6083</v>
      </c>
      <c r="I120" s="16">
        <v>9213</v>
      </c>
      <c r="J120" s="16">
        <v>24</v>
      </c>
      <c r="K120" s="16">
        <v>24</v>
      </c>
      <c r="L120" s="16">
        <f>IFERROR(INDEX(楼层配置!$D$5:$D$104,MATCH($K120,楼层配置!$B$5:$B$104,0)),"")</f>
        <v>96</v>
      </c>
      <c r="M120" s="16" t="str">
        <f>IFERROR(INDEX(_角色基线!$B$2:$B$100,MATCH($B120,_角色基线!$A$2:$A$100,0)),"")</f>
        <v>大暑</v>
      </c>
      <c r="N120" s="16" t="str">
        <f>IFERROR(INDEX(_角色基线!$C$2:$C$100,MATCH($B120,_角色基线!$A$2:$A$100,0)),"")</f>
        <v>Tank</v>
      </c>
      <c r="O120" s="16">
        <f>IFERROR(INDEX(_怪物基线!$B$2:$B$501,MATCH(INT($L120),_怪物基线!$A$2:$A$501,0)),"")</f>
        <v>34722</v>
      </c>
      <c r="P120" s="16">
        <f>IFERROR(INDEX(_怪物基线!$C$2:$C$501,MATCH(INT($L120),_怪物基线!$A$2:$A$501,0)),"")</f>
        <v>6257</v>
      </c>
      <c r="Q120" s="16">
        <f>IFERROR(INDEX(_怪物基线!$D$2:$D$501,MATCH(INT($L120),_怪物基线!$A$2:$A$501,0)),"")</f>
        <v>8135</v>
      </c>
      <c r="R120" s="16">
        <f>参数!$B$10</f>
        <v>4</v>
      </c>
      <c r="S120" s="16">
        <f>参数!$C$10</f>
        <v>1.2</v>
      </c>
      <c r="T120" s="16">
        <f>参数!$D$10</f>
        <v>1</v>
      </c>
      <c r="U120" s="16">
        <f t="shared" si="8"/>
        <v>138888</v>
      </c>
      <c r="V120" s="16">
        <f t="shared" si="9"/>
        <v>7508.4</v>
      </c>
      <c r="W120" s="16">
        <f t="shared" si="10"/>
        <v>8135</v>
      </c>
      <c r="X120" s="16">
        <f>IFERROR(INDEX(参数!$B$5:$B$7,MATCH($N120,参数!$A$5:$A$7,0)),"")</f>
        <v>1.5</v>
      </c>
      <c r="Y120" s="16">
        <f>IFERROR(INDEX(参数!$C$5:$C$7,MATCH($N120,参数!$A$5:$A$7,0)),"")</f>
        <v>1</v>
      </c>
      <c r="Z120" s="16">
        <f>IFERROR(INDEX(参数!$D$5:$D$7,MATCH($N120,参数!$A$5:$A$7,0)),"")</f>
        <v>1.5</v>
      </c>
      <c r="AA120" s="16">
        <f>IFERROR(INDEX(楼层配置!$E$5:$E$104,MATCH($K120,楼层配置!$B$5:$B$104,0)),1)</f>
        <v>1.16272779973454</v>
      </c>
      <c r="AB120" s="16">
        <f>IFERROR(INDEX(楼层配置!$F$5:$F$104,MATCH($K120,楼层配置!$B$5:$B$104,0)),1)</f>
        <v>0.692791463529269</v>
      </c>
      <c r="AC120" s="16">
        <f>IFERROR(INDEX(楼层配置!$G$5:$G$104,MATCH($K120,楼层配置!$B$5:$B$104,0)),1)</f>
        <v>1</v>
      </c>
      <c r="AD120" s="18">
        <f t="shared" si="11"/>
        <v>-0.126231838053876</v>
      </c>
      <c r="AE120" s="18">
        <f t="shared" si="12"/>
        <v>-0.144829853690613</v>
      </c>
      <c r="AF120" s="18">
        <f t="shared" si="13"/>
        <v>0.324541408878758</v>
      </c>
      <c r="AG120" s="16" t="str">
        <f t="shared" si="14"/>
        <v>有效</v>
      </c>
      <c r="AH120">
        <f t="shared" si="15"/>
        <v>365398.387458333</v>
      </c>
    </row>
    <row r="121" ht="14.25" customHeight="1" spans="1:34">
      <c r="A121" s="16">
        <v>117</v>
      </c>
      <c r="B121" s="16">
        <v>1018</v>
      </c>
      <c r="C121" s="16">
        <v>22</v>
      </c>
      <c r="D121" s="17">
        <f>IFERROR(ROUND($U121*$X121*$AA121*参数!$B$13,0),"")</f>
        <v>201861</v>
      </c>
      <c r="E121" s="17">
        <f>IFERROR(ROUND($V121*$Y121*$AB121*参数!$C$13,0),"")</f>
        <v>5202</v>
      </c>
      <c r="F121" s="17">
        <f>IFERROR(ROUND($W121*$Z121*$AC121*参数!$D$13,0),"")</f>
        <v>10169</v>
      </c>
      <c r="G121" s="16">
        <v>231024</v>
      </c>
      <c r="H121" s="16">
        <v>6083</v>
      </c>
      <c r="I121" s="16">
        <v>7678</v>
      </c>
      <c r="J121" s="16">
        <v>24</v>
      </c>
      <c r="K121" s="16">
        <v>24</v>
      </c>
      <c r="L121" s="16">
        <f>IFERROR(INDEX(楼层配置!$D$5:$D$104,MATCH($K121,楼层配置!$B$5:$B$104,0)),"")</f>
        <v>96</v>
      </c>
      <c r="M121" s="16" t="str">
        <f>IFERROR(INDEX(_角色基线!$B$2:$B$100,MATCH($B121,_角色基线!$A$2:$A$100,0)),"")</f>
        <v>埃莉诺</v>
      </c>
      <c r="N121" s="16" t="str">
        <f>IFERROR(INDEX(_角色基线!$C$2:$C$100,MATCH($B121,_角色基线!$A$2:$A$100,0)),"")</f>
        <v>Support</v>
      </c>
      <c r="O121" s="16">
        <f>IFERROR(INDEX(_怪物基线!$B$2:$B$501,MATCH(INT($L121),_怪物基线!$A$2:$A$501,0)),"")</f>
        <v>34722</v>
      </c>
      <c r="P121" s="16">
        <f>IFERROR(INDEX(_怪物基线!$C$2:$C$501,MATCH(INT($L121),_怪物基线!$A$2:$A$501,0)),"")</f>
        <v>6257</v>
      </c>
      <c r="Q121" s="16">
        <f>IFERROR(INDEX(_怪物基线!$D$2:$D$501,MATCH(INT($L121),_怪物基线!$A$2:$A$501,0)),"")</f>
        <v>8135</v>
      </c>
      <c r="R121" s="16">
        <f>参数!$B$10</f>
        <v>4</v>
      </c>
      <c r="S121" s="16">
        <f>参数!$C$10</f>
        <v>1.2</v>
      </c>
      <c r="T121" s="16">
        <f>参数!$D$10</f>
        <v>1</v>
      </c>
      <c r="U121" s="16">
        <f t="shared" si="8"/>
        <v>138888</v>
      </c>
      <c r="V121" s="16">
        <f t="shared" si="9"/>
        <v>7508.4</v>
      </c>
      <c r="W121" s="16">
        <f t="shared" si="10"/>
        <v>8135</v>
      </c>
      <c r="X121" s="16">
        <f>IFERROR(INDEX(参数!$B$5:$B$7,MATCH($N121,参数!$A$5:$A$7,0)),"")</f>
        <v>1.25</v>
      </c>
      <c r="Y121" s="16">
        <f>IFERROR(INDEX(参数!$C$5:$C$7,MATCH($N121,参数!$A$5:$A$7,0)),"")</f>
        <v>1</v>
      </c>
      <c r="Z121" s="16">
        <f>IFERROR(INDEX(参数!$D$5:$D$7,MATCH($N121,参数!$A$5:$A$7,0)),"")</f>
        <v>1.25</v>
      </c>
      <c r="AA121" s="16">
        <f>IFERROR(INDEX(楼层配置!$E$5:$E$104,MATCH($K121,楼层配置!$B$5:$B$104,0)),1)</f>
        <v>1.16272779973454</v>
      </c>
      <c r="AB121" s="16">
        <f>IFERROR(INDEX(楼层配置!$F$5:$F$104,MATCH($K121,楼层配置!$B$5:$B$104,0)),1)</f>
        <v>0.692791463529269</v>
      </c>
      <c r="AC121" s="16">
        <f>IFERROR(INDEX(楼层配置!$G$5:$G$104,MATCH($K121,楼层配置!$B$5:$B$104,0)),1)</f>
        <v>1</v>
      </c>
      <c r="AD121" s="18">
        <f t="shared" si="11"/>
        <v>-0.126233638063578</v>
      </c>
      <c r="AE121" s="18">
        <f t="shared" si="12"/>
        <v>-0.144829853690613</v>
      </c>
      <c r="AF121" s="18">
        <f t="shared" si="13"/>
        <v>0.324433446209951</v>
      </c>
      <c r="AG121" s="16" t="str">
        <f t="shared" si="14"/>
        <v>有效</v>
      </c>
      <c r="AH121">
        <f t="shared" si="15"/>
        <v>287391.187875</v>
      </c>
    </row>
    <row r="122" ht="14.25" customHeight="1" spans="1:34">
      <c r="A122" s="16">
        <v>118</v>
      </c>
      <c r="B122" s="16">
        <v>1015</v>
      </c>
      <c r="C122" s="16">
        <v>22</v>
      </c>
      <c r="D122" s="17">
        <f>IFERROR(ROUND($U122*$X122*$AA122*参数!$B$13,0),"")</f>
        <v>201861</v>
      </c>
      <c r="E122" s="17">
        <f>IFERROR(ROUND($V122*$Y122*$AB122*参数!$C$13,0),"")</f>
        <v>5202</v>
      </c>
      <c r="F122" s="17">
        <f>IFERROR(ROUND($W122*$Z122*$AC122*参数!$D$13,0),"")</f>
        <v>10169</v>
      </c>
      <c r="G122" s="16">
        <v>231024</v>
      </c>
      <c r="H122" s="16">
        <v>6083</v>
      </c>
      <c r="I122" s="16">
        <v>7678</v>
      </c>
      <c r="J122" s="16">
        <v>24</v>
      </c>
      <c r="K122" s="16">
        <v>24</v>
      </c>
      <c r="L122" s="16">
        <f>IFERROR(INDEX(楼层配置!$D$5:$D$104,MATCH($K122,楼层配置!$B$5:$B$104,0)),"")</f>
        <v>96</v>
      </c>
      <c r="M122" s="16" t="str">
        <f>IFERROR(INDEX(_角色基线!$B$2:$B$100,MATCH($B122,_角色基线!$A$2:$A$100,0)),"")</f>
        <v>阿莱克西娅</v>
      </c>
      <c r="N122" s="16" t="str">
        <f>IFERROR(INDEX(_角色基线!$C$2:$C$100,MATCH($B122,_角色基线!$A$2:$A$100,0)),"")</f>
        <v>Support</v>
      </c>
      <c r="O122" s="16">
        <f>IFERROR(INDEX(_怪物基线!$B$2:$B$501,MATCH(INT($L122),_怪物基线!$A$2:$A$501,0)),"")</f>
        <v>34722</v>
      </c>
      <c r="P122" s="16">
        <f>IFERROR(INDEX(_怪物基线!$C$2:$C$501,MATCH(INT($L122),_怪物基线!$A$2:$A$501,0)),"")</f>
        <v>6257</v>
      </c>
      <c r="Q122" s="16">
        <f>IFERROR(INDEX(_怪物基线!$D$2:$D$501,MATCH(INT($L122),_怪物基线!$A$2:$A$501,0)),"")</f>
        <v>8135</v>
      </c>
      <c r="R122" s="16">
        <f>参数!$B$10</f>
        <v>4</v>
      </c>
      <c r="S122" s="16">
        <f>参数!$C$10</f>
        <v>1.2</v>
      </c>
      <c r="T122" s="16">
        <f>参数!$D$10</f>
        <v>1</v>
      </c>
      <c r="U122" s="16">
        <f t="shared" si="8"/>
        <v>138888</v>
      </c>
      <c r="V122" s="16">
        <f t="shared" si="9"/>
        <v>7508.4</v>
      </c>
      <c r="W122" s="16">
        <f t="shared" si="10"/>
        <v>8135</v>
      </c>
      <c r="X122" s="16">
        <f>IFERROR(INDEX(参数!$B$5:$B$7,MATCH($N122,参数!$A$5:$A$7,0)),"")</f>
        <v>1.25</v>
      </c>
      <c r="Y122" s="16">
        <f>IFERROR(INDEX(参数!$C$5:$C$7,MATCH($N122,参数!$A$5:$A$7,0)),"")</f>
        <v>1</v>
      </c>
      <c r="Z122" s="16">
        <f>IFERROR(INDEX(参数!$D$5:$D$7,MATCH($N122,参数!$A$5:$A$7,0)),"")</f>
        <v>1.25</v>
      </c>
      <c r="AA122" s="16">
        <f>IFERROR(INDEX(楼层配置!$E$5:$E$104,MATCH($K122,楼层配置!$B$5:$B$104,0)),1)</f>
        <v>1.16272779973454</v>
      </c>
      <c r="AB122" s="16">
        <f>IFERROR(INDEX(楼层配置!$F$5:$F$104,MATCH($K122,楼层配置!$B$5:$B$104,0)),1)</f>
        <v>0.692791463529269</v>
      </c>
      <c r="AC122" s="16">
        <f>IFERROR(INDEX(楼层配置!$G$5:$G$104,MATCH($K122,楼层配置!$B$5:$B$104,0)),1)</f>
        <v>1</v>
      </c>
      <c r="AD122" s="18">
        <f t="shared" si="11"/>
        <v>-0.126233638063578</v>
      </c>
      <c r="AE122" s="18">
        <f t="shared" si="12"/>
        <v>-0.144829853690613</v>
      </c>
      <c r="AF122" s="18">
        <f t="shared" si="13"/>
        <v>0.324433446209951</v>
      </c>
      <c r="AG122" s="16" t="str">
        <f t="shared" si="14"/>
        <v>有效</v>
      </c>
      <c r="AH122">
        <f t="shared" si="15"/>
        <v>287391.187875</v>
      </c>
    </row>
    <row r="123" ht="14.25" customHeight="1" spans="1:34">
      <c r="A123" s="16">
        <v>119</v>
      </c>
      <c r="B123" s="16">
        <v>1018</v>
      </c>
      <c r="C123" s="16">
        <v>22</v>
      </c>
      <c r="D123" s="17">
        <f>IFERROR(ROUND($U123*$X123*$AA123*参数!$B$13,0),"")</f>
        <v>201861</v>
      </c>
      <c r="E123" s="17">
        <f>IFERROR(ROUND($V123*$Y123*$AB123*参数!$C$13,0),"")</f>
        <v>5202</v>
      </c>
      <c r="F123" s="17">
        <f>IFERROR(ROUND($W123*$Z123*$AC123*参数!$D$13,0),"")</f>
        <v>10169</v>
      </c>
      <c r="G123" s="16">
        <v>231024</v>
      </c>
      <c r="H123" s="16">
        <v>6083</v>
      </c>
      <c r="I123" s="16">
        <v>7678</v>
      </c>
      <c r="J123" s="16">
        <v>24</v>
      </c>
      <c r="K123" s="16">
        <v>24</v>
      </c>
      <c r="L123" s="16">
        <f>IFERROR(INDEX(楼层配置!$D$5:$D$104,MATCH($K123,楼层配置!$B$5:$B$104,0)),"")</f>
        <v>96</v>
      </c>
      <c r="M123" s="16" t="str">
        <f>IFERROR(INDEX(_角色基线!$B$2:$B$100,MATCH($B123,_角色基线!$A$2:$A$100,0)),"")</f>
        <v>埃莉诺</v>
      </c>
      <c r="N123" s="16" t="str">
        <f>IFERROR(INDEX(_角色基线!$C$2:$C$100,MATCH($B123,_角色基线!$A$2:$A$100,0)),"")</f>
        <v>Support</v>
      </c>
      <c r="O123" s="16">
        <f>IFERROR(INDEX(_怪物基线!$B$2:$B$501,MATCH(INT($L123),_怪物基线!$A$2:$A$501,0)),"")</f>
        <v>34722</v>
      </c>
      <c r="P123" s="16">
        <f>IFERROR(INDEX(_怪物基线!$C$2:$C$501,MATCH(INT($L123),_怪物基线!$A$2:$A$501,0)),"")</f>
        <v>6257</v>
      </c>
      <c r="Q123" s="16">
        <f>IFERROR(INDEX(_怪物基线!$D$2:$D$501,MATCH(INT($L123),_怪物基线!$A$2:$A$501,0)),"")</f>
        <v>8135</v>
      </c>
      <c r="R123" s="16">
        <f>参数!$B$10</f>
        <v>4</v>
      </c>
      <c r="S123" s="16">
        <f>参数!$C$10</f>
        <v>1.2</v>
      </c>
      <c r="T123" s="16">
        <f>参数!$D$10</f>
        <v>1</v>
      </c>
      <c r="U123" s="16">
        <f t="shared" si="8"/>
        <v>138888</v>
      </c>
      <c r="V123" s="16">
        <f t="shared" si="9"/>
        <v>7508.4</v>
      </c>
      <c r="W123" s="16">
        <f t="shared" si="10"/>
        <v>8135</v>
      </c>
      <c r="X123" s="16">
        <f>IFERROR(INDEX(参数!$B$5:$B$7,MATCH($N123,参数!$A$5:$A$7,0)),"")</f>
        <v>1.25</v>
      </c>
      <c r="Y123" s="16">
        <f>IFERROR(INDEX(参数!$C$5:$C$7,MATCH($N123,参数!$A$5:$A$7,0)),"")</f>
        <v>1</v>
      </c>
      <c r="Z123" s="16">
        <f>IFERROR(INDEX(参数!$D$5:$D$7,MATCH($N123,参数!$A$5:$A$7,0)),"")</f>
        <v>1.25</v>
      </c>
      <c r="AA123" s="16">
        <f>IFERROR(INDEX(楼层配置!$E$5:$E$104,MATCH($K123,楼层配置!$B$5:$B$104,0)),1)</f>
        <v>1.16272779973454</v>
      </c>
      <c r="AB123" s="16">
        <f>IFERROR(INDEX(楼层配置!$F$5:$F$104,MATCH($K123,楼层配置!$B$5:$B$104,0)),1)</f>
        <v>0.692791463529269</v>
      </c>
      <c r="AC123" s="16">
        <f>IFERROR(INDEX(楼层配置!$G$5:$G$104,MATCH($K123,楼层配置!$B$5:$B$104,0)),1)</f>
        <v>1</v>
      </c>
      <c r="AD123" s="18">
        <f t="shared" si="11"/>
        <v>-0.126233638063578</v>
      </c>
      <c r="AE123" s="18">
        <f t="shared" si="12"/>
        <v>-0.144829853690613</v>
      </c>
      <c r="AF123" s="18">
        <f t="shared" si="13"/>
        <v>0.324433446209951</v>
      </c>
      <c r="AG123" s="16" t="str">
        <f t="shared" si="14"/>
        <v>有效</v>
      </c>
      <c r="AH123">
        <f t="shared" si="15"/>
        <v>287391.187875</v>
      </c>
    </row>
    <row r="124" ht="14.25" customHeight="1" spans="1:34">
      <c r="A124" s="16">
        <v>120</v>
      </c>
      <c r="B124" s="16">
        <v>1012</v>
      </c>
      <c r="C124" s="16">
        <v>22</v>
      </c>
      <c r="D124" s="17">
        <f>IFERROR(ROUND($U124*$X124*$AA124*参数!$B$13,0),"")</f>
        <v>201861</v>
      </c>
      <c r="E124" s="17">
        <f>IFERROR(ROUND($V124*$Y124*$AB124*参数!$C$13,0),"")</f>
        <v>5202</v>
      </c>
      <c r="F124" s="17">
        <f>IFERROR(ROUND($W124*$Z124*$AC124*参数!$D$13,0),"")</f>
        <v>10169</v>
      </c>
      <c r="G124" s="16">
        <v>231024</v>
      </c>
      <c r="H124" s="16">
        <v>6083</v>
      </c>
      <c r="I124" s="16">
        <v>7678</v>
      </c>
      <c r="J124" s="16">
        <v>24</v>
      </c>
      <c r="K124" s="16">
        <v>24</v>
      </c>
      <c r="L124" s="16">
        <f>IFERROR(INDEX(楼层配置!$D$5:$D$104,MATCH($K124,楼层配置!$B$5:$B$104,0)),"")</f>
        <v>96</v>
      </c>
      <c r="M124" s="16" t="str">
        <f>IFERROR(INDEX(_角色基线!$B$2:$B$100,MATCH($B124,_角色基线!$A$2:$A$100,0)),"")</f>
        <v>艾德琳</v>
      </c>
      <c r="N124" s="16" t="str">
        <f>IFERROR(INDEX(_角色基线!$C$2:$C$100,MATCH($B124,_角色基线!$A$2:$A$100,0)),"")</f>
        <v>Support</v>
      </c>
      <c r="O124" s="16">
        <f>IFERROR(INDEX(_怪物基线!$B$2:$B$501,MATCH(INT($L124),_怪物基线!$A$2:$A$501,0)),"")</f>
        <v>34722</v>
      </c>
      <c r="P124" s="16">
        <f>IFERROR(INDEX(_怪物基线!$C$2:$C$501,MATCH(INT($L124),_怪物基线!$A$2:$A$501,0)),"")</f>
        <v>6257</v>
      </c>
      <c r="Q124" s="16">
        <f>IFERROR(INDEX(_怪物基线!$D$2:$D$501,MATCH(INT($L124),_怪物基线!$A$2:$A$501,0)),"")</f>
        <v>8135</v>
      </c>
      <c r="R124" s="16">
        <f>参数!$B$10</f>
        <v>4</v>
      </c>
      <c r="S124" s="16">
        <f>参数!$C$10</f>
        <v>1.2</v>
      </c>
      <c r="T124" s="16">
        <f>参数!$D$10</f>
        <v>1</v>
      </c>
      <c r="U124" s="16">
        <f t="shared" si="8"/>
        <v>138888</v>
      </c>
      <c r="V124" s="16">
        <f t="shared" si="9"/>
        <v>7508.4</v>
      </c>
      <c r="W124" s="16">
        <f t="shared" si="10"/>
        <v>8135</v>
      </c>
      <c r="X124" s="16">
        <f>IFERROR(INDEX(参数!$B$5:$B$7,MATCH($N124,参数!$A$5:$A$7,0)),"")</f>
        <v>1.25</v>
      </c>
      <c r="Y124" s="16">
        <f>IFERROR(INDEX(参数!$C$5:$C$7,MATCH($N124,参数!$A$5:$A$7,0)),"")</f>
        <v>1</v>
      </c>
      <c r="Z124" s="16">
        <f>IFERROR(INDEX(参数!$D$5:$D$7,MATCH($N124,参数!$A$5:$A$7,0)),"")</f>
        <v>1.25</v>
      </c>
      <c r="AA124" s="16">
        <f>IFERROR(INDEX(楼层配置!$E$5:$E$104,MATCH($K124,楼层配置!$B$5:$B$104,0)),1)</f>
        <v>1.16272779973454</v>
      </c>
      <c r="AB124" s="16">
        <f>IFERROR(INDEX(楼层配置!$F$5:$F$104,MATCH($K124,楼层配置!$B$5:$B$104,0)),1)</f>
        <v>0.692791463529269</v>
      </c>
      <c r="AC124" s="16">
        <f>IFERROR(INDEX(楼层配置!$G$5:$G$104,MATCH($K124,楼层配置!$B$5:$B$104,0)),1)</f>
        <v>1</v>
      </c>
      <c r="AD124" s="18">
        <f t="shared" si="11"/>
        <v>-0.126233638063578</v>
      </c>
      <c r="AE124" s="18">
        <f t="shared" si="12"/>
        <v>-0.144829853690613</v>
      </c>
      <c r="AF124" s="18">
        <f t="shared" si="13"/>
        <v>0.324433446209951</v>
      </c>
      <c r="AG124" s="16" t="str">
        <f t="shared" si="14"/>
        <v>有效</v>
      </c>
      <c r="AH124">
        <f t="shared" si="15"/>
        <v>287391.187875</v>
      </c>
    </row>
    <row r="125" ht="14.25" customHeight="1" spans="1:34">
      <c r="A125" s="16">
        <v>121</v>
      </c>
      <c r="B125" s="16">
        <v>1002</v>
      </c>
      <c r="C125" s="16">
        <v>22</v>
      </c>
      <c r="D125" s="17">
        <f>IFERROR(ROUND($U125*$X125*$AA125*参数!$B$13,0),"")</f>
        <v>258695</v>
      </c>
      <c r="E125" s="17">
        <f>IFERROR(ROUND($V125*$Y125*$AB125*参数!$C$13,0),"")</f>
        <v>5437</v>
      </c>
      <c r="F125" s="17">
        <f>IFERROR(ROUND($W125*$Z125*$AC125*参数!$D$13,0),"")</f>
        <v>12779</v>
      </c>
      <c r="G125" s="16">
        <v>297316</v>
      </c>
      <c r="H125" s="16">
        <v>6370</v>
      </c>
      <c r="I125" s="16">
        <v>9606</v>
      </c>
      <c r="J125" s="16">
        <v>25</v>
      </c>
      <c r="K125" s="16">
        <v>25</v>
      </c>
      <c r="L125" s="16">
        <f>IFERROR(INDEX(楼层配置!$D$5:$D$104,MATCH($K125,楼层配置!$B$5:$B$104,0)),"")</f>
        <v>100</v>
      </c>
      <c r="M125" s="16" t="str">
        <f>IFERROR(INDEX(_角色基线!$B$2:$B$100,MATCH($B125,_角色基线!$A$2:$A$100,0)),"")</f>
        <v>大暑</v>
      </c>
      <c r="N125" s="16" t="str">
        <f>IFERROR(INDEX(_角色基线!$C$2:$C$100,MATCH($B125,_角色基线!$A$2:$A$100,0)),"")</f>
        <v>Tank</v>
      </c>
      <c r="O125" s="16">
        <f>IFERROR(INDEX(_怪物基线!$B$2:$B$501,MATCH(INT($L125),_怪物基线!$A$2:$A$501,0)),"")</f>
        <v>37502</v>
      </c>
      <c r="P125" s="16">
        <f>IFERROR(INDEX(_怪物基线!$C$2:$C$501,MATCH(INT($L125),_怪物基线!$A$2:$A$501,0)),"")</f>
        <v>6622</v>
      </c>
      <c r="Q125" s="16">
        <f>IFERROR(INDEX(_怪物基线!$D$2:$D$501,MATCH(INT($L125),_怪物基线!$A$2:$A$501,0)),"")</f>
        <v>8519</v>
      </c>
      <c r="R125" s="16">
        <f>参数!$B$10</f>
        <v>4</v>
      </c>
      <c r="S125" s="16">
        <f>参数!$C$10</f>
        <v>1.2</v>
      </c>
      <c r="T125" s="16">
        <f>参数!$D$10</f>
        <v>1</v>
      </c>
      <c r="U125" s="16">
        <f t="shared" si="8"/>
        <v>150008</v>
      </c>
      <c r="V125" s="16">
        <f t="shared" si="9"/>
        <v>7946.4</v>
      </c>
      <c r="W125" s="16">
        <f t="shared" si="10"/>
        <v>8519</v>
      </c>
      <c r="X125" s="16">
        <f>IFERROR(INDEX(参数!$B$5:$B$7,MATCH($N125,参数!$A$5:$A$7,0)),"")</f>
        <v>1.5</v>
      </c>
      <c r="Y125" s="16">
        <f>IFERROR(INDEX(参数!$C$5:$C$7,MATCH($N125,参数!$A$5:$A$7,0)),"")</f>
        <v>1</v>
      </c>
      <c r="Z125" s="16">
        <f>IFERROR(INDEX(参数!$D$5:$D$7,MATCH($N125,参数!$A$5:$A$7,0)),"")</f>
        <v>1.5</v>
      </c>
      <c r="AA125" s="16">
        <f>IFERROR(INDEX(楼层配置!$E$5:$E$104,MATCH($K125,楼层配置!$B$5:$B$104,0)),1)</f>
        <v>1.14969429601044</v>
      </c>
      <c r="AB125" s="16">
        <f>IFERROR(INDEX(楼层配置!$F$5:$F$104,MATCH($K125,楼层配置!$B$5:$B$104,0)),1)</f>
        <v>0.68423679516723</v>
      </c>
      <c r="AC125" s="16">
        <f>IFERROR(INDEX(楼层配置!$G$5:$G$104,MATCH($K125,楼层配置!$B$5:$B$104,0)),1)</f>
        <v>1</v>
      </c>
      <c r="AD125" s="18">
        <f t="shared" si="11"/>
        <v>-0.129898828182809</v>
      </c>
      <c r="AE125" s="18">
        <f t="shared" si="12"/>
        <v>-0.146467817896389</v>
      </c>
      <c r="AF125" s="18">
        <f t="shared" si="13"/>
        <v>0.330314386841557</v>
      </c>
      <c r="AG125" s="16" t="str">
        <f t="shared" si="14"/>
        <v>有效</v>
      </c>
      <c r="AH125">
        <f t="shared" si="15"/>
        <v>396439.308541667</v>
      </c>
    </row>
    <row r="126" ht="14.25" customHeight="1" spans="1:34">
      <c r="A126" s="16">
        <v>122</v>
      </c>
      <c r="B126" s="16">
        <v>1014</v>
      </c>
      <c r="C126" s="16">
        <v>22</v>
      </c>
      <c r="D126" s="17">
        <f>IFERROR(ROUND($U126*$X126*$AA126*参数!$B$13,0),"")</f>
        <v>172463</v>
      </c>
      <c r="E126" s="17">
        <f>IFERROR(ROUND($V126*$Y126*$AB126*参数!$C$13,0),"")</f>
        <v>6525</v>
      </c>
      <c r="F126" s="17">
        <f>IFERROR(ROUND($W126*$Z126*$AC126*参数!$D$13,0),"")</f>
        <v>8519</v>
      </c>
      <c r="G126" s="16">
        <v>198211</v>
      </c>
      <c r="H126" s="16">
        <v>7644</v>
      </c>
      <c r="I126" s="16">
        <v>6404</v>
      </c>
      <c r="J126" s="16">
        <v>25</v>
      </c>
      <c r="K126" s="16">
        <v>25</v>
      </c>
      <c r="L126" s="16">
        <f>IFERROR(INDEX(楼层配置!$D$5:$D$104,MATCH($K126,楼层配置!$B$5:$B$104,0)),"")</f>
        <v>100</v>
      </c>
      <c r="M126" s="16" t="str">
        <f>IFERROR(INDEX(_角色基线!$B$2:$B$100,MATCH($B126,_角色基线!$A$2:$A$100,0)),"")</f>
        <v>克莉丝汀</v>
      </c>
      <c r="N126" s="16" t="str">
        <f>IFERROR(INDEX(_角色基线!$C$2:$C$100,MATCH($B126,_角色基线!$A$2:$A$100,0)),"")</f>
        <v>DPS</v>
      </c>
      <c r="O126" s="16">
        <f>IFERROR(INDEX(_怪物基线!$B$2:$B$501,MATCH(INT($L126),_怪物基线!$A$2:$A$501,0)),"")</f>
        <v>37502</v>
      </c>
      <c r="P126" s="16">
        <f>IFERROR(INDEX(_怪物基线!$C$2:$C$501,MATCH(INT($L126),_怪物基线!$A$2:$A$501,0)),"")</f>
        <v>6622</v>
      </c>
      <c r="Q126" s="16">
        <f>IFERROR(INDEX(_怪物基线!$D$2:$D$501,MATCH(INT($L126),_怪物基线!$A$2:$A$501,0)),"")</f>
        <v>8519</v>
      </c>
      <c r="R126" s="16">
        <f>参数!$B$10</f>
        <v>4</v>
      </c>
      <c r="S126" s="16">
        <f>参数!$C$10</f>
        <v>1.2</v>
      </c>
      <c r="T126" s="16">
        <f>参数!$D$10</f>
        <v>1</v>
      </c>
      <c r="U126" s="16">
        <f t="shared" si="8"/>
        <v>150008</v>
      </c>
      <c r="V126" s="16">
        <f t="shared" si="9"/>
        <v>7946.4</v>
      </c>
      <c r="W126" s="16">
        <f t="shared" si="10"/>
        <v>8519</v>
      </c>
      <c r="X126" s="16">
        <f>IFERROR(INDEX(参数!$B$5:$B$7,MATCH($N126,参数!$A$5:$A$7,0)),"")</f>
        <v>1</v>
      </c>
      <c r="Y126" s="16">
        <f>IFERROR(INDEX(参数!$C$5:$C$7,MATCH($N126,参数!$A$5:$A$7,0)),"")</f>
        <v>1.2</v>
      </c>
      <c r="Z126" s="16">
        <f>IFERROR(INDEX(参数!$D$5:$D$7,MATCH($N126,参数!$A$5:$A$7,0)),"")</f>
        <v>1</v>
      </c>
      <c r="AA126" s="16">
        <f>IFERROR(INDEX(楼层配置!$E$5:$E$104,MATCH($K126,楼层配置!$B$5:$B$104,0)),1)</f>
        <v>1.14969429601044</v>
      </c>
      <c r="AB126" s="16">
        <f>IFERROR(INDEX(楼层配置!$F$5:$F$104,MATCH($K126,楼层配置!$B$5:$B$104,0)),1)</f>
        <v>0.68423679516723</v>
      </c>
      <c r="AC126" s="16">
        <f>IFERROR(INDEX(楼层配置!$G$5:$G$104,MATCH($K126,楼层配置!$B$5:$B$104,0)),1)</f>
        <v>1</v>
      </c>
      <c r="AD126" s="18">
        <f t="shared" si="11"/>
        <v>-0.129901973149825</v>
      </c>
      <c r="AE126" s="18">
        <f t="shared" si="12"/>
        <v>-0.146389324960754</v>
      </c>
      <c r="AF126" s="18">
        <f t="shared" si="13"/>
        <v>0.330262336039975</v>
      </c>
      <c r="AG126" s="16" t="str">
        <f t="shared" si="14"/>
        <v>有效</v>
      </c>
      <c r="AH126">
        <f t="shared" si="15"/>
        <v>233680.179041667</v>
      </c>
    </row>
    <row r="127" ht="14.25" customHeight="1" spans="1:34">
      <c r="A127" s="16">
        <v>123</v>
      </c>
      <c r="B127" s="16">
        <v>1029</v>
      </c>
      <c r="C127" s="16">
        <v>22</v>
      </c>
      <c r="D127" s="17">
        <f>IFERROR(ROUND($U127*$X127*$AA127*参数!$B$13,0),"")</f>
        <v>215579</v>
      </c>
      <c r="E127" s="17">
        <f>IFERROR(ROUND($V127*$Y127*$AB127*参数!$C$13,0),"")</f>
        <v>5437</v>
      </c>
      <c r="F127" s="17">
        <f>IFERROR(ROUND($W127*$Z127*$AC127*参数!$D$13,0),"")</f>
        <v>10649</v>
      </c>
      <c r="G127" s="16">
        <v>247764</v>
      </c>
      <c r="H127" s="16">
        <v>6370</v>
      </c>
      <c r="I127" s="16">
        <v>8005</v>
      </c>
      <c r="J127" s="16">
        <v>25</v>
      </c>
      <c r="K127" s="16">
        <v>25</v>
      </c>
      <c r="L127" s="16">
        <f>IFERROR(INDEX(楼层配置!$D$5:$D$104,MATCH($K127,楼层配置!$B$5:$B$104,0)),"")</f>
        <v>100</v>
      </c>
      <c r="M127" s="16" t="str">
        <f>IFERROR(INDEX(_角色基线!$B$2:$B$100,MATCH($B127,_角色基线!$A$2:$A$100,0)),"")</f>
        <v>凯兰</v>
      </c>
      <c r="N127" s="16" t="str">
        <f>IFERROR(INDEX(_角色基线!$C$2:$C$100,MATCH($B127,_角色基线!$A$2:$A$100,0)),"")</f>
        <v>Support</v>
      </c>
      <c r="O127" s="16">
        <f>IFERROR(INDEX(_怪物基线!$B$2:$B$501,MATCH(INT($L127),_怪物基线!$A$2:$A$501,0)),"")</f>
        <v>37502</v>
      </c>
      <c r="P127" s="16">
        <f>IFERROR(INDEX(_怪物基线!$C$2:$C$501,MATCH(INT($L127),_怪物基线!$A$2:$A$501,0)),"")</f>
        <v>6622</v>
      </c>
      <c r="Q127" s="16">
        <f>IFERROR(INDEX(_怪物基线!$D$2:$D$501,MATCH(INT($L127),_怪物基线!$A$2:$A$501,0)),"")</f>
        <v>8519</v>
      </c>
      <c r="R127" s="16">
        <f>参数!$B$10</f>
        <v>4</v>
      </c>
      <c r="S127" s="16">
        <f>参数!$C$10</f>
        <v>1.2</v>
      </c>
      <c r="T127" s="16">
        <f>参数!$D$10</f>
        <v>1</v>
      </c>
      <c r="U127" s="16">
        <f t="shared" si="8"/>
        <v>150008</v>
      </c>
      <c r="V127" s="16">
        <f t="shared" si="9"/>
        <v>7946.4</v>
      </c>
      <c r="W127" s="16">
        <f t="shared" si="10"/>
        <v>8519</v>
      </c>
      <c r="X127" s="16">
        <f>IFERROR(INDEX(参数!$B$5:$B$7,MATCH($N127,参数!$A$5:$A$7,0)),"")</f>
        <v>1.25</v>
      </c>
      <c r="Y127" s="16">
        <f>IFERROR(INDEX(参数!$C$5:$C$7,MATCH($N127,参数!$A$5:$A$7,0)),"")</f>
        <v>1</v>
      </c>
      <c r="Z127" s="16">
        <f>IFERROR(INDEX(参数!$D$5:$D$7,MATCH($N127,参数!$A$5:$A$7,0)),"")</f>
        <v>1.25</v>
      </c>
      <c r="AA127" s="16">
        <f>IFERROR(INDEX(楼层配置!$E$5:$E$104,MATCH($K127,楼层配置!$B$5:$B$104,0)),1)</f>
        <v>1.14969429601044</v>
      </c>
      <c r="AB127" s="16">
        <f>IFERROR(INDEX(楼层配置!$F$5:$F$104,MATCH($K127,楼层配置!$B$5:$B$104,0)),1)</f>
        <v>0.68423679516723</v>
      </c>
      <c r="AC127" s="16">
        <f>IFERROR(INDEX(楼层配置!$G$5:$G$104,MATCH($K127,楼层配置!$B$5:$B$104,0)),1)</f>
        <v>1</v>
      </c>
      <c r="AD127" s="18">
        <f t="shared" si="11"/>
        <v>-0.129901842075523</v>
      </c>
      <c r="AE127" s="18">
        <f t="shared" si="12"/>
        <v>-0.146467817896389</v>
      </c>
      <c r="AF127" s="18">
        <f t="shared" si="13"/>
        <v>0.330293566520924</v>
      </c>
      <c r="AG127" s="16" t="str">
        <f t="shared" si="14"/>
        <v>有效</v>
      </c>
      <c r="AH127">
        <f t="shared" si="15"/>
        <v>311233.198791667</v>
      </c>
    </row>
    <row r="128" ht="14.25" customHeight="1" spans="1:34">
      <c r="A128" s="16">
        <v>124</v>
      </c>
      <c r="B128" s="16">
        <v>1018</v>
      </c>
      <c r="C128" s="16">
        <v>22</v>
      </c>
      <c r="D128" s="17">
        <f>IFERROR(ROUND($U128*$X128*$AA128*参数!$B$13,0),"")</f>
        <v>215579</v>
      </c>
      <c r="E128" s="17">
        <f>IFERROR(ROUND($V128*$Y128*$AB128*参数!$C$13,0),"")</f>
        <v>5437</v>
      </c>
      <c r="F128" s="17">
        <f>IFERROR(ROUND($W128*$Z128*$AC128*参数!$D$13,0),"")</f>
        <v>10649</v>
      </c>
      <c r="G128" s="16">
        <v>247764</v>
      </c>
      <c r="H128" s="16">
        <v>6370</v>
      </c>
      <c r="I128" s="16">
        <v>8005</v>
      </c>
      <c r="J128" s="16">
        <v>25</v>
      </c>
      <c r="K128" s="16">
        <v>25</v>
      </c>
      <c r="L128" s="16">
        <f>IFERROR(INDEX(楼层配置!$D$5:$D$104,MATCH($K128,楼层配置!$B$5:$B$104,0)),"")</f>
        <v>100</v>
      </c>
      <c r="M128" s="16" t="str">
        <f>IFERROR(INDEX(_角色基线!$B$2:$B$100,MATCH($B128,_角色基线!$A$2:$A$100,0)),"")</f>
        <v>埃莉诺</v>
      </c>
      <c r="N128" s="16" t="str">
        <f>IFERROR(INDEX(_角色基线!$C$2:$C$100,MATCH($B128,_角色基线!$A$2:$A$100,0)),"")</f>
        <v>Support</v>
      </c>
      <c r="O128" s="16">
        <f>IFERROR(INDEX(_怪物基线!$B$2:$B$501,MATCH(INT($L128),_怪物基线!$A$2:$A$501,0)),"")</f>
        <v>37502</v>
      </c>
      <c r="P128" s="16">
        <f>IFERROR(INDEX(_怪物基线!$C$2:$C$501,MATCH(INT($L128),_怪物基线!$A$2:$A$501,0)),"")</f>
        <v>6622</v>
      </c>
      <c r="Q128" s="16">
        <f>IFERROR(INDEX(_怪物基线!$D$2:$D$501,MATCH(INT($L128),_怪物基线!$A$2:$A$501,0)),"")</f>
        <v>8519</v>
      </c>
      <c r="R128" s="16">
        <f>参数!$B$10</f>
        <v>4</v>
      </c>
      <c r="S128" s="16">
        <f>参数!$C$10</f>
        <v>1.2</v>
      </c>
      <c r="T128" s="16">
        <f>参数!$D$10</f>
        <v>1</v>
      </c>
      <c r="U128" s="16">
        <f t="shared" si="8"/>
        <v>150008</v>
      </c>
      <c r="V128" s="16">
        <f t="shared" si="9"/>
        <v>7946.4</v>
      </c>
      <c r="W128" s="16">
        <f t="shared" si="10"/>
        <v>8519</v>
      </c>
      <c r="X128" s="16">
        <f>IFERROR(INDEX(参数!$B$5:$B$7,MATCH($N128,参数!$A$5:$A$7,0)),"")</f>
        <v>1.25</v>
      </c>
      <c r="Y128" s="16">
        <f>IFERROR(INDEX(参数!$C$5:$C$7,MATCH($N128,参数!$A$5:$A$7,0)),"")</f>
        <v>1</v>
      </c>
      <c r="Z128" s="16">
        <f>IFERROR(INDEX(参数!$D$5:$D$7,MATCH($N128,参数!$A$5:$A$7,0)),"")</f>
        <v>1.25</v>
      </c>
      <c r="AA128" s="16">
        <f>IFERROR(INDEX(楼层配置!$E$5:$E$104,MATCH($K128,楼层配置!$B$5:$B$104,0)),1)</f>
        <v>1.14969429601044</v>
      </c>
      <c r="AB128" s="16">
        <f>IFERROR(INDEX(楼层配置!$F$5:$F$104,MATCH($K128,楼层配置!$B$5:$B$104,0)),1)</f>
        <v>0.68423679516723</v>
      </c>
      <c r="AC128" s="16">
        <f>IFERROR(INDEX(楼层配置!$G$5:$G$104,MATCH($K128,楼层配置!$B$5:$B$104,0)),1)</f>
        <v>1</v>
      </c>
      <c r="AD128" s="18">
        <f t="shared" si="11"/>
        <v>-0.129901842075523</v>
      </c>
      <c r="AE128" s="18">
        <f t="shared" si="12"/>
        <v>-0.146467817896389</v>
      </c>
      <c r="AF128" s="18">
        <f t="shared" si="13"/>
        <v>0.330293566520924</v>
      </c>
      <c r="AG128" s="16" t="str">
        <f t="shared" si="14"/>
        <v>有效</v>
      </c>
      <c r="AH128">
        <f t="shared" si="15"/>
        <v>311233.198791667</v>
      </c>
    </row>
    <row r="129" ht="14.25" customHeight="1" spans="1:34">
      <c r="A129" s="16">
        <v>125</v>
      </c>
      <c r="B129" s="16">
        <v>1012</v>
      </c>
      <c r="C129" s="16">
        <v>22</v>
      </c>
      <c r="D129" s="17">
        <f>IFERROR(ROUND($U129*$X129*$AA129*参数!$B$13,0),"")</f>
        <v>215579</v>
      </c>
      <c r="E129" s="17">
        <f>IFERROR(ROUND($V129*$Y129*$AB129*参数!$C$13,0),"")</f>
        <v>5437</v>
      </c>
      <c r="F129" s="17">
        <f>IFERROR(ROUND($W129*$Z129*$AC129*参数!$D$13,0),"")</f>
        <v>10649</v>
      </c>
      <c r="G129" s="16">
        <v>247764</v>
      </c>
      <c r="H129" s="16">
        <v>6370</v>
      </c>
      <c r="I129" s="16">
        <v>8005</v>
      </c>
      <c r="J129" s="16">
        <v>25</v>
      </c>
      <c r="K129" s="16">
        <v>25</v>
      </c>
      <c r="L129" s="16">
        <f>IFERROR(INDEX(楼层配置!$D$5:$D$104,MATCH($K129,楼层配置!$B$5:$B$104,0)),"")</f>
        <v>100</v>
      </c>
      <c r="M129" s="16" t="str">
        <f>IFERROR(INDEX(_角色基线!$B$2:$B$100,MATCH($B129,_角色基线!$A$2:$A$100,0)),"")</f>
        <v>艾德琳</v>
      </c>
      <c r="N129" s="16" t="str">
        <f>IFERROR(INDEX(_角色基线!$C$2:$C$100,MATCH($B129,_角色基线!$A$2:$A$100,0)),"")</f>
        <v>Support</v>
      </c>
      <c r="O129" s="16">
        <f>IFERROR(INDEX(_怪物基线!$B$2:$B$501,MATCH(INT($L129),_怪物基线!$A$2:$A$501,0)),"")</f>
        <v>37502</v>
      </c>
      <c r="P129" s="16">
        <f>IFERROR(INDEX(_怪物基线!$C$2:$C$501,MATCH(INT($L129),_怪物基线!$A$2:$A$501,0)),"")</f>
        <v>6622</v>
      </c>
      <c r="Q129" s="16">
        <f>IFERROR(INDEX(_怪物基线!$D$2:$D$501,MATCH(INT($L129),_怪物基线!$A$2:$A$501,0)),"")</f>
        <v>8519</v>
      </c>
      <c r="R129" s="16">
        <f>参数!$B$10</f>
        <v>4</v>
      </c>
      <c r="S129" s="16">
        <f>参数!$C$10</f>
        <v>1.2</v>
      </c>
      <c r="T129" s="16">
        <f>参数!$D$10</f>
        <v>1</v>
      </c>
      <c r="U129" s="16">
        <f t="shared" si="8"/>
        <v>150008</v>
      </c>
      <c r="V129" s="16">
        <f t="shared" si="9"/>
        <v>7946.4</v>
      </c>
      <c r="W129" s="16">
        <f t="shared" si="10"/>
        <v>8519</v>
      </c>
      <c r="X129" s="16">
        <f>IFERROR(INDEX(参数!$B$5:$B$7,MATCH($N129,参数!$A$5:$A$7,0)),"")</f>
        <v>1.25</v>
      </c>
      <c r="Y129" s="16">
        <f>IFERROR(INDEX(参数!$C$5:$C$7,MATCH($N129,参数!$A$5:$A$7,0)),"")</f>
        <v>1</v>
      </c>
      <c r="Z129" s="16">
        <f>IFERROR(INDEX(参数!$D$5:$D$7,MATCH($N129,参数!$A$5:$A$7,0)),"")</f>
        <v>1.25</v>
      </c>
      <c r="AA129" s="16">
        <f>IFERROR(INDEX(楼层配置!$E$5:$E$104,MATCH($K129,楼层配置!$B$5:$B$104,0)),1)</f>
        <v>1.14969429601044</v>
      </c>
      <c r="AB129" s="16">
        <f>IFERROR(INDEX(楼层配置!$F$5:$F$104,MATCH($K129,楼层配置!$B$5:$B$104,0)),1)</f>
        <v>0.68423679516723</v>
      </c>
      <c r="AC129" s="16">
        <f>IFERROR(INDEX(楼层配置!$G$5:$G$104,MATCH($K129,楼层配置!$B$5:$B$104,0)),1)</f>
        <v>1</v>
      </c>
      <c r="AD129" s="18">
        <f t="shared" si="11"/>
        <v>-0.129901842075523</v>
      </c>
      <c r="AE129" s="18">
        <f t="shared" si="12"/>
        <v>-0.146467817896389</v>
      </c>
      <c r="AF129" s="18">
        <f t="shared" si="13"/>
        <v>0.330293566520924</v>
      </c>
      <c r="AG129" s="16" t="str">
        <f t="shared" si="14"/>
        <v>有效</v>
      </c>
      <c r="AH129">
        <f t="shared" si="15"/>
        <v>311233.198791667</v>
      </c>
    </row>
    <row r="130" ht="14.25" customHeight="1" spans="1:34">
      <c r="A130" s="16">
        <v>126</v>
      </c>
      <c r="B130" s="16">
        <v>1038</v>
      </c>
      <c r="C130" s="16">
        <v>23</v>
      </c>
      <c r="D130" s="17">
        <f>IFERROR(ROUND($U130*$X130*$AA130*参数!$B$13,0),"")</f>
        <v>283107</v>
      </c>
      <c r="E130" s="17">
        <f>IFERROR(ROUND($V130*$Y130*$AB130*参数!$C$13,0),"")</f>
        <v>5788</v>
      </c>
      <c r="F130" s="17">
        <f>IFERROR(ROUND($W130*$Z130*$AC130*参数!$D$13,0),"")</f>
        <v>13361</v>
      </c>
      <c r="G130" s="16">
        <v>323748</v>
      </c>
      <c r="H130" s="16">
        <v>6736</v>
      </c>
      <c r="I130" s="16">
        <v>10102</v>
      </c>
      <c r="J130" s="16">
        <v>26</v>
      </c>
      <c r="K130" s="16">
        <v>26</v>
      </c>
      <c r="L130" s="16">
        <f>IFERROR(INDEX(楼层配置!$D$5:$D$104,MATCH($K130,楼层配置!$B$5:$B$104,0)),"")</f>
        <v>104</v>
      </c>
      <c r="M130" s="16" t="str">
        <f>IFERROR(INDEX(_角色基线!$B$2:$B$100,MATCH($B130,_角色基线!$A$2:$A$100,0)),"")</f>
        <v>商队战斗员</v>
      </c>
      <c r="N130" s="16" t="str">
        <f>IFERROR(INDEX(_角色基线!$C$2:$C$100,MATCH($B130,_角色基线!$A$2:$A$100,0)),"")</f>
        <v>Tank</v>
      </c>
      <c r="O130" s="16">
        <f>IFERROR(INDEX(_怪物基线!$B$2:$B$501,MATCH(INT($L130),_怪物基线!$A$2:$A$501,0)),"")</f>
        <v>40424</v>
      </c>
      <c r="P130" s="16">
        <f>IFERROR(INDEX(_怪物基线!$C$2:$C$501,MATCH(INT($L130),_怪物基线!$A$2:$A$501,0)),"")</f>
        <v>6996</v>
      </c>
      <c r="Q130" s="16">
        <f>IFERROR(INDEX(_怪物基线!$D$2:$D$501,MATCH(INT($L130),_怪物基线!$A$2:$A$501,0)),"")</f>
        <v>8907</v>
      </c>
      <c r="R130" s="16">
        <f>参数!$B$10</f>
        <v>4</v>
      </c>
      <c r="S130" s="16">
        <f>参数!$C$10</f>
        <v>1.2</v>
      </c>
      <c r="T130" s="16">
        <f>参数!$D$10</f>
        <v>1</v>
      </c>
      <c r="U130" s="16">
        <f t="shared" si="8"/>
        <v>161696</v>
      </c>
      <c r="V130" s="16">
        <f t="shared" si="9"/>
        <v>8395.2</v>
      </c>
      <c r="W130" s="16">
        <f t="shared" si="10"/>
        <v>8907</v>
      </c>
      <c r="X130" s="16">
        <f>IFERROR(INDEX(参数!$B$5:$B$7,MATCH($N130,参数!$A$5:$A$7,0)),"")</f>
        <v>1.5</v>
      </c>
      <c r="Y130" s="16">
        <f>IFERROR(INDEX(参数!$C$5:$C$7,MATCH($N130,参数!$A$5:$A$7,0)),"")</f>
        <v>1</v>
      </c>
      <c r="Z130" s="16">
        <f>IFERROR(INDEX(参数!$D$5:$D$7,MATCH($N130,参数!$A$5:$A$7,0)),"")</f>
        <v>1.5</v>
      </c>
      <c r="AA130" s="16">
        <f>IFERROR(INDEX(楼层配置!$E$5:$E$104,MATCH($K130,楼层配置!$B$5:$B$104,0)),1)</f>
        <v>1.16724116660848</v>
      </c>
      <c r="AB130" s="16">
        <f>IFERROR(INDEX(楼层配置!$F$5:$F$104,MATCH($K130,楼层配置!$B$5:$B$104,0)),1)</f>
        <v>0.689417739041316</v>
      </c>
      <c r="AC130" s="16">
        <f>IFERROR(INDEX(楼层配置!$G$5:$G$104,MATCH($K130,楼层配置!$B$5:$B$104,0)),1)</f>
        <v>1</v>
      </c>
      <c r="AD130" s="18">
        <f t="shared" si="11"/>
        <v>-0.125532821824382</v>
      </c>
      <c r="AE130" s="18">
        <f t="shared" si="12"/>
        <v>-0.140736342042755</v>
      </c>
      <c r="AF130" s="18">
        <f t="shared" si="13"/>
        <v>0.322609384280341</v>
      </c>
      <c r="AG130" s="16" t="str">
        <f t="shared" si="14"/>
        <v>有效</v>
      </c>
      <c r="AH130">
        <f t="shared" si="15"/>
        <v>440715.026125</v>
      </c>
    </row>
    <row r="131" ht="14.25" customHeight="1" spans="1:34">
      <c r="A131" s="16">
        <v>127</v>
      </c>
      <c r="B131" s="16">
        <v>1014</v>
      </c>
      <c r="C131" s="16">
        <v>23</v>
      </c>
      <c r="D131" s="17">
        <f>IFERROR(ROUND($U131*$X131*$AA131*参数!$B$13,0),"")</f>
        <v>188738</v>
      </c>
      <c r="E131" s="17">
        <f>IFERROR(ROUND($V131*$Y131*$AB131*参数!$C$13,0),"")</f>
        <v>6945</v>
      </c>
      <c r="F131" s="17">
        <f>IFERROR(ROUND($W131*$Z131*$AC131*参数!$D$13,0),"")</f>
        <v>8907</v>
      </c>
      <c r="G131" s="16">
        <v>215832</v>
      </c>
      <c r="H131" s="16">
        <v>8083</v>
      </c>
      <c r="I131" s="16">
        <v>6735</v>
      </c>
      <c r="J131" s="16">
        <v>26</v>
      </c>
      <c r="K131" s="16">
        <v>26</v>
      </c>
      <c r="L131" s="16">
        <f>IFERROR(INDEX(楼层配置!$D$5:$D$104,MATCH($K131,楼层配置!$B$5:$B$104,0)),"")</f>
        <v>104</v>
      </c>
      <c r="M131" s="16" t="str">
        <f>IFERROR(INDEX(_角色基线!$B$2:$B$100,MATCH($B131,_角色基线!$A$2:$A$100,0)),"")</f>
        <v>克莉丝汀</v>
      </c>
      <c r="N131" s="16" t="str">
        <f>IFERROR(INDEX(_角色基线!$C$2:$C$100,MATCH($B131,_角色基线!$A$2:$A$100,0)),"")</f>
        <v>DPS</v>
      </c>
      <c r="O131" s="16">
        <f>IFERROR(INDEX(_怪物基线!$B$2:$B$501,MATCH(INT($L131),_怪物基线!$A$2:$A$501,0)),"")</f>
        <v>40424</v>
      </c>
      <c r="P131" s="16">
        <f>IFERROR(INDEX(_怪物基线!$C$2:$C$501,MATCH(INT($L131),_怪物基线!$A$2:$A$501,0)),"")</f>
        <v>6996</v>
      </c>
      <c r="Q131" s="16">
        <f>IFERROR(INDEX(_怪物基线!$D$2:$D$501,MATCH(INT($L131),_怪物基线!$A$2:$A$501,0)),"")</f>
        <v>8907</v>
      </c>
      <c r="R131" s="16">
        <f>参数!$B$10</f>
        <v>4</v>
      </c>
      <c r="S131" s="16">
        <f>参数!$C$10</f>
        <v>1.2</v>
      </c>
      <c r="T131" s="16">
        <f>参数!$D$10</f>
        <v>1</v>
      </c>
      <c r="U131" s="16">
        <f t="shared" si="8"/>
        <v>161696</v>
      </c>
      <c r="V131" s="16">
        <f t="shared" si="9"/>
        <v>8395.2</v>
      </c>
      <c r="W131" s="16">
        <f t="shared" si="10"/>
        <v>8907</v>
      </c>
      <c r="X131" s="16">
        <f>IFERROR(INDEX(参数!$B$5:$B$7,MATCH($N131,参数!$A$5:$A$7,0)),"")</f>
        <v>1</v>
      </c>
      <c r="Y131" s="16">
        <f>IFERROR(INDEX(参数!$C$5:$C$7,MATCH($N131,参数!$A$5:$A$7,0)),"")</f>
        <v>1.2</v>
      </c>
      <c r="Z131" s="16">
        <f>IFERROR(INDEX(参数!$D$5:$D$7,MATCH($N131,参数!$A$5:$A$7,0)),"")</f>
        <v>1</v>
      </c>
      <c r="AA131" s="16">
        <f>IFERROR(INDEX(楼层配置!$E$5:$E$104,MATCH($K131,楼层配置!$B$5:$B$104,0)),1)</f>
        <v>1.16724116660848</v>
      </c>
      <c r="AB131" s="16">
        <f>IFERROR(INDEX(楼层配置!$F$5:$F$104,MATCH($K131,楼层配置!$B$5:$B$104,0)),1)</f>
        <v>0.689417739041316</v>
      </c>
      <c r="AC131" s="16">
        <f>IFERROR(INDEX(楼层配置!$G$5:$G$104,MATCH($K131,楼层配置!$B$5:$B$104,0)),1)</f>
        <v>1</v>
      </c>
      <c r="AD131" s="18">
        <f t="shared" si="11"/>
        <v>-0.125532821824382</v>
      </c>
      <c r="AE131" s="18">
        <f t="shared" si="12"/>
        <v>-0.140789310899418</v>
      </c>
      <c r="AF131" s="18">
        <f t="shared" si="13"/>
        <v>0.322494432071269</v>
      </c>
      <c r="AG131" s="16" t="str">
        <f t="shared" si="14"/>
        <v>有效</v>
      </c>
      <c r="AH131">
        <f t="shared" si="15"/>
        <v>258783.39025</v>
      </c>
    </row>
    <row r="132" ht="14.25" customHeight="1" spans="1:34">
      <c r="A132" s="16">
        <v>128</v>
      </c>
      <c r="B132" s="16">
        <v>1021</v>
      </c>
      <c r="C132" s="16">
        <v>23</v>
      </c>
      <c r="D132" s="17">
        <f>IFERROR(ROUND($U132*$X132*$AA132*参数!$B$13,0),"")</f>
        <v>188738</v>
      </c>
      <c r="E132" s="17">
        <f>IFERROR(ROUND($V132*$Y132*$AB132*参数!$C$13,0),"")</f>
        <v>6945</v>
      </c>
      <c r="F132" s="17">
        <f>IFERROR(ROUND($W132*$Z132*$AC132*参数!$D$13,0),"")</f>
        <v>8907</v>
      </c>
      <c r="G132" s="16">
        <v>215832</v>
      </c>
      <c r="H132" s="16">
        <v>8083</v>
      </c>
      <c r="I132" s="16">
        <v>6735</v>
      </c>
      <c r="J132" s="16">
        <v>26</v>
      </c>
      <c r="K132" s="16">
        <v>26</v>
      </c>
      <c r="L132" s="16">
        <f>IFERROR(INDEX(楼层配置!$D$5:$D$104,MATCH($K132,楼层配置!$B$5:$B$104,0)),"")</f>
        <v>104</v>
      </c>
      <c r="M132" s="16" t="str">
        <f>IFERROR(INDEX(_角色基线!$B$2:$B$100,MATCH($B132,_角色基线!$A$2:$A$100,0)),"")</f>
        <v>梅梅</v>
      </c>
      <c r="N132" s="16" t="str">
        <f>IFERROR(INDEX(_角色基线!$C$2:$C$100,MATCH($B132,_角色基线!$A$2:$A$100,0)),"")</f>
        <v>DPS</v>
      </c>
      <c r="O132" s="16">
        <f>IFERROR(INDEX(_怪物基线!$B$2:$B$501,MATCH(INT($L132),_怪物基线!$A$2:$A$501,0)),"")</f>
        <v>40424</v>
      </c>
      <c r="P132" s="16">
        <f>IFERROR(INDEX(_怪物基线!$C$2:$C$501,MATCH(INT($L132),_怪物基线!$A$2:$A$501,0)),"")</f>
        <v>6996</v>
      </c>
      <c r="Q132" s="16">
        <f>IFERROR(INDEX(_怪物基线!$D$2:$D$501,MATCH(INT($L132),_怪物基线!$A$2:$A$501,0)),"")</f>
        <v>8907</v>
      </c>
      <c r="R132" s="16">
        <f>参数!$B$10</f>
        <v>4</v>
      </c>
      <c r="S132" s="16">
        <f>参数!$C$10</f>
        <v>1.2</v>
      </c>
      <c r="T132" s="16">
        <f>参数!$D$10</f>
        <v>1</v>
      </c>
      <c r="U132" s="16">
        <f t="shared" si="8"/>
        <v>161696</v>
      </c>
      <c r="V132" s="16">
        <f t="shared" si="9"/>
        <v>8395.2</v>
      </c>
      <c r="W132" s="16">
        <f t="shared" si="10"/>
        <v>8907</v>
      </c>
      <c r="X132" s="16">
        <f>IFERROR(INDEX(参数!$B$5:$B$7,MATCH($N132,参数!$A$5:$A$7,0)),"")</f>
        <v>1</v>
      </c>
      <c r="Y132" s="16">
        <f>IFERROR(INDEX(参数!$C$5:$C$7,MATCH($N132,参数!$A$5:$A$7,0)),"")</f>
        <v>1.2</v>
      </c>
      <c r="Z132" s="16">
        <f>IFERROR(INDEX(参数!$D$5:$D$7,MATCH($N132,参数!$A$5:$A$7,0)),"")</f>
        <v>1</v>
      </c>
      <c r="AA132" s="16">
        <f>IFERROR(INDEX(楼层配置!$E$5:$E$104,MATCH($K132,楼层配置!$B$5:$B$104,0)),1)</f>
        <v>1.16724116660848</v>
      </c>
      <c r="AB132" s="16">
        <f>IFERROR(INDEX(楼层配置!$F$5:$F$104,MATCH($K132,楼层配置!$B$5:$B$104,0)),1)</f>
        <v>0.689417739041316</v>
      </c>
      <c r="AC132" s="16">
        <f>IFERROR(INDEX(楼层配置!$G$5:$G$104,MATCH($K132,楼层配置!$B$5:$B$104,0)),1)</f>
        <v>1</v>
      </c>
      <c r="AD132" s="18">
        <f t="shared" si="11"/>
        <v>-0.125532821824382</v>
      </c>
      <c r="AE132" s="18">
        <f t="shared" si="12"/>
        <v>-0.140789310899418</v>
      </c>
      <c r="AF132" s="18">
        <f t="shared" si="13"/>
        <v>0.322494432071269</v>
      </c>
      <c r="AG132" s="16" t="str">
        <f t="shared" si="14"/>
        <v>有效</v>
      </c>
      <c r="AH132">
        <f t="shared" si="15"/>
        <v>258783.39025</v>
      </c>
    </row>
    <row r="133" ht="14.25" customHeight="1" spans="1:34">
      <c r="A133" s="16">
        <v>129</v>
      </c>
      <c r="B133" s="16">
        <v>1026</v>
      </c>
      <c r="C133" s="16">
        <v>23</v>
      </c>
      <c r="D133" s="17">
        <f>IFERROR(ROUND($U133*$X133*$AA133*参数!$B$13,0),"")</f>
        <v>188738</v>
      </c>
      <c r="E133" s="17">
        <f>IFERROR(ROUND($V133*$Y133*$AB133*参数!$C$13,0),"")</f>
        <v>6945</v>
      </c>
      <c r="F133" s="17">
        <f>IFERROR(ROUND($W133*$Z133*$AC133*参数!$D$13,0),"")</f>
        <v>8907</v>
      </c>
      <c r="G133" s="16">
        <v>215832</v>
      </c>
      <c r="H133" s="16">
        <v>8083</v>
      </c>
      <c r="I133" s="16">
        <v>6735</v>
      </c>
      <c r="J133" s="16">
        <v>26</v>
      </c>
      <c r="K133" s="16">
        <v>26</v>
      </c>
      <c r="L133" s="16">
        <f>IFERROR(INDEX(楼层配置!$D$5:$D$104,MATCH($K133,楼层配置!$B$5:$B$104,0)),"")</f>
        <v>104</v>
      </c>
      <c r="M133" s="16" t="str">
        <f>IFERROR(INDEX(_角色基线!$B$2:$B$100,MATCH($B133,_角色基线!$A$2:$A$100,0)),"")</f>
        <v>乔一</v>
      </c>
      <c r="N133" s="16" t="str">
        <f>IFERROR(INDEX(_角色基线!$C$2:$C$100,MATCH($B133,_角色基线!$A$2:$A$100,0)),"")</f>
        <v>DPS</v>
      </c>
      <c r="O133" s="16">
        <f>IFERROR(INDEX(_怪物基线!$B$2:$B$501,MATCH(INT($L133),_怪物基线!$A$2:$A$501,0)),"")</f>
        <v>40424</v>
      </c>
      <c r="P133" s="16">
        <f>IFERROR(INDEX(_怪物基线!$C$2:$C$501,MATCH(INT($L133),_怪物基线!$A$2:$A$501,0)),"")</f>
        <v>6996</v>
      </c>
      <c r="Q133" s="16">
        <f>IFERROR(INDEX(_怪物基线!$D$2:$D$501,MATCH(INT($L133),_怪物基线!$A$2:$A$501,0)),"")</f>
        <v>8907</v>
      </c>
      <c r="R133" s="16">
        <f>参数!$B$10</f>
        <v>4</v>
      </c>
      <c r="S133" s="16">
        <f>参数!$C$10</f>
        <v>1.2</v>
      </c>
      <c r="T133" s="16">
        <f>参数!$D$10</f>
        <v>1</v>
      </c>
      <c r="U133" s="16">
        <f t="shared" ref="U133:U196" si="16">IF($O133="","",$O133*$R133)</f>
        <v>161696</v>
      </c>
      <c r="V133" s="16">
        <f t="shared" ref="V133:V196" si="17">IF($P133="","",$P133*$S133)</f>
        <v>8395.2</v>
      </c>
      <c r="W133" s="16">
        <f t="shared" ref="W133:W196" si="18">IF($Q133="","",$Q133*$T133)</f>
        <v>8907</v>
      </c>
      <c r="X133" s="16">
        <f>IFERROR(INDEX(参数!$B$5:$B$7,MATCH($N133,参数!$A$5:$A$7,0)),"")</f>
        <v>1</v>
      </c>
      <c r="Y133" s="16">
        <f>IFERROR(INDEX(参数!$C$5:$C$7,MATCH($N133,参数!$A$5:$A$7,0)),"")</f>
        <v>1.2</v>
      </c>
      <c r="Z133" s="16">
        <f>IFERROR(INDEX(参数!$D$5:$D$7,MATCH($N133,参数!$A$5:$A$7,0)),"")</f>
        <v>1</v>
      </c>
      <c r="AA133" s="16">
        <f>IFERROR(INDEX(楼层配置!$E$5:$E$104,MATCH($K133,楼层配置!$B$5:$B$104,0)),1)</f>
        <v>1.16724116660848</v>
      </c>
      <c r="AB133" s="16">
        <f>IFERROR(INDEX(楼层配置!$F$5:$F$104,MATCH($K133,楼层配置!$B$5:$B$104,0)),1)</f>
        <v>0.689417739041316</v>
      </c>
      <c r="AC133" s="16">
        <f>IFERROR(INDEX(楼层配置!$G$5:$G$104,MATCH($K133,楼层配置!$B$5:$B$104,0)),1)</f>
        <v>1</v>
      </c>
      <c r="AD133" s="18">
        <f t="shared" ref="AD133:AD196" si="19">IFERROR($D133/$G133-1,"")</f>
        <v>-0.125532821824382</v>
      </c>
      <c r="AE133" s="18">
        <f t="shared" ref="AE133:AE196" si="20">IFERROR($E133/$H133-1,"")</f>
        <v>-0.140789310899418</v>
      </c>
      <c r="AF133" s="18">
        <f t="shared" ref="AF133:AF196" si="21">IFERROR($F133/$I133-1,"")</f>
        <v>0.322494432071269</v>
      </c>
      <c r="AG133" s="16" t="str">
        <f t="shared" ref="AG133:AG196" si="22">IF(AND($A133&gt;=1,$L133&gt;=1,$L133&lt;=500,OR($N133="Tank",$N133="DPS",$N133="Support"),ISNUMBER($D133),ISNUMBER($E133),ISNUMBER($F133)),"有效","异常")</f>
        <v>有效</v>
      </c>
      <c r="AH133">
        <f t="shared" ref="AH133:AH196" si="23">D133/(1-MIN(0.75,F133/(24000+F133)))</f>
        <v>258783.39025</v>
      </c>
    </row>
    <row r="134" ht="14.25" customHeight="1" spans="1:34">
      <c r="A134" s="16">
        <v>130</v>
      </c>
      <c r="B134" s="16">
        <v>1012</v>
      </c>
      <c r="C134" s="16">
        <v>23</v>
      </c>
      <c r="D134" s="17">
        <f>IFERROR(ROUND($U134*$X134*$AA134*参数!$B$13,0),"")</f>
        <v>235923</v>
      </c>
      <c r="E134" s="17">
        <f>IFERROR(ROUND($V134*$Y134*$AB134*参数!$C$13,0),"")</f>
        <v>5788</v>
      </c>
      <c r="F134" s="17">
        <f>IFERROR(ROUND($W134*$Z134*$AC134*参数!$D$13,0),"")</f>
        <v>11134</v>
      </c>
      <c r="G134" s="16">
        <v>269790</v>
      </c>
      <c r="H134" s="16">
        <v>6736</v>
      </c>
      <c r="I134" s="16">
        <v>8419</v>
      </c>
      <c r="J134" s="16">
        <v>26</v>
      </c>
      <c r="K134" s="16">
        <v>26</v>
      </c>
      <c r="L134" s="16">
        <f>IFERROR(INDEX(楼层配置!$D$5:$D$104,MATCH($K134,楼层配置!$B$5:$B$104,0)),"")</f>
        <v>104</v>
      </c>
      <c r="M134" s="16" t="str">
        <f>IFERROR(INDEX(_角色基线!$B$2:$B$100,MATCH($B134,_角色基线!$A$2:$A$100,0)),"")</f>
        <v>艾德琳</v>
      </c>
      <c r="N134" s="16" t="str">
        <f>IFERROR(INDEX(_角色基线!$C$2:$C$100,MATCH($B134,_角色基线!$A$2:$A$100,0)),"")</f>
        <v>Support</v>
      </c>
      <c r="O134" s="16">
        <f>IFERROR(INDEX(_怪物基线!$B$2:$B$501,MATCH(INT($L134),_怪物基线!$A$2:$A$501,0)),"")</f>
        <v>40424</v>
      </c>
      <c r="P134" s="16">
        <f>IFERROR(INDEX(_怪物基线!$C$2:$C$501,MATCH(INT($L134),_怪物基线!$A$2:$A$501,0)),"")</f>
        <v>6996</v>
      </c>
      <c r="Q134" s="16">
        <f>IFERROR(INDEX(_怪物基线!$D$2:$D$501,MATCH(INT($L134),_怪物基线!$A$2:$A$501,0)),"")</f>
        <v>8907</v>
      </c>
      <c r="R134" s="16">
        <f>参数!$B$10</f>
        <v>4</v>
      </c>
      <c r="S134" s="16">
        <f>参数!$C$10</f>
        <v>1.2</v>
      </c>
      <c r="T134" s="16">
        <f>参数!$D$10</f>
        <v>1</v>
      </c>
      <c r="U134" s="16">
        <f t="shared" si="16"/>
        <v>161696</v>
      </c>
      <c r="V134" s="16">
        <f t="shared" si="17"/>
        <v>8395.2</v>
      </c>
      <c r="W134" s="16">
        <f t="shared" si="18"/>
        <v>8907</v>
      </c>
      <c r="X134" s="16">
        <f>IFERROR(INDEX(参数!$B$5:$B$7,MATCH($N134,参数!$A$5:$A$7,0)),"")</f>
        <v>1.25</v>
      </c>
      <c r="Y134" s="16">
        <f>IFERROR(INDEX(参数!$C$5:$C$7,MATCH($N134,参数!$A$5:$A$7,0)),"")</f>
        <v>1</v>
      </c>
      <c r="Z134" s="16">
        <f>IFERROR(INDEX(参数!$D$5:$D$7,MATCH($N134,参数!$A$5:$A$7,0)),"")</f>
        <v>1.25</v>
      </c>
      <c r="AA134" s="16">
        <f>IFERROR(INDEX(楼层配置!$E$5:$E$104,MATCH($K134,楼层配置!$B$5:$B$104,0)),1)</f>
        <v>1.16724116660848</v>
      </c>
      <c r="AB134" s="16">
        <f>IFERROR(INDEX(楼层配置!$F$5:$F$104,MATCH($K134,楼层配置!$B$5:$B$104,0)),1)</f>
        <v>0.689417739041316</v>
      </c>
      <c r="AC134" s="16">
        <f>IFERROR(INDEX(楼层配置!$G$5:$G$104,MATCH($K134,楼层配置!$B$5:$B$104,0)),1)</f>
        <v>1</v>
      </c>
      <c r="AD134" s="18">
        <f t="shared" si="19"/>
        <v>-0.12553096853108</v>
      </c>
      <c r="AE134" s="18">
        <f t="shared" si="20"/>
        <v>-0.140736342042755</v>
      </c>
      <c r="AF134" s="18">
        <f t="shared" si="21"/>
        <v>0.322484855683573</v>
      </c>
      <c r="AG134" s="16" t="str">
        <f t="shared" si="22"/>
        <v>有效</v>
      </c>
      <c r="AH134">
        <f t="shared" si="23"/>
        <v>345371.61175</v>
      </c>
    </row>
    <row r="135" ht="14.25" customHeight="1" spans="1:34">
      <c r="A135" s="16">
        <v>131</v>
      </c>
      <c r="B135" s="16">
        <v>1038</v>
      </c>
      <c r="C135" s="16">
        <v>23</v>
      </c>
      <c r="D135" s="17">
        <f>IFERROR(ROUND($U135*$X135*$AA135*参数!$B$13,0),"")</f>
        <v>303481</v>
      </c>
      <c r="E135" s="17">
        <f>IFERROR(ROUND($V135*$Y135*$AB135*参数!$C$13,0),"")</f>
        <v>6035</v>
      </c>
      <c r="F135" s="17">
        <f>IFERROR(ROUND($W135*$Z135*$AC135*参数!$D$13,0),"")</f>
        <v>13949</v>
      </c>
      <c r="G135" s="16">
        <v>345996</v>
      </c>
      <c r="H135" s="16">
        <v>7036</v>
      </c>
      <c r="I135" s="16">
        <v>10504</v>
      </c>
      <c r="J135" s="16">
        <v>27</v>
      </c>
      <c r="K135" s="16">
        <v>27</v>
      </c>
      <c r="L135" s="16">
        <f>IFERROR(INDEX(楼层配置!$D$5:$D$104,MATCH($K135,楼层配置!$B$5:$B$104,0)),"")</f>
        <v>108</v>
      </c>
      <c r="M135" s="16" t="str">
        <f>IFERROR(INDEX(_角色基线!$B$2:$B$100,MATCH($B135,_角色基线!$A$2:$A$100,0)),"")</f>
        <v>商队战斗员</v>
      </c>
      <c r="N135" s="16" t="str">
        <f>IFERROR(INDEX(_角色基线!$C$2:$C$100,MATCH($B135,_角色基线!$A$2:$A$100,0)),"")</f>
        <v>Tank</v>
      </c>
      <c r="O135" s="16">
        <f>IFERROR(INDEX(_怪物基线!$B$2:$B$501,MATCH(INT($L135),_怪物基线!$A$2:$A$501,0)),"")</f>
        <v>43490</v>
      </c>
      <c r="P135" s="16">
        <f>IFERROR(INDEX(_怪物基线!$C$2:$C$501,MATCH(INT($L135),_怪物基线!$A$2:$A$501,0)),"")</f>
        <v>7380</v>
      </c>
      <c r="Q135" s="16">
        <f>IFERROR(INDEX(_怪物基线!$D$2:$D$501,MATCH(INT($L135),_怪物基线!$A$2:$A$501,0)),"")</f>
        <v>9299</v>
      </c>
      <c r="R135" s="16">
        <f>参数!$B$10</f>
        <v>4</v>
      </c>
      <c r="S135" s="16">
        <f>参数!$C$10</f>
        <v>1.2</v>
      </c>
      <c r="T135" s="16">
        <f>参数!$D$10</f>
        <v>1</v>
      </c>
      <c r="U135" s="16">
        <f t="shared" si="16"/>
        <v>173960</v>
      </c>
      <c r="V135" s="16">
        <f t="shared" si="17"/>
        <v>8856</v>
      </c>
      <c r="W135" s="16">
        <f t="shared" si="18"/>
        <v>9299</v>
      </c>
      <c r="X135" s="16">
        <f>IFERROR(INDEX(参数!$B$5:$B$7,MATCH($N135,参数!$A$5:$A$7,0)),"")</f>
        <v>1.5</v>
      </c>
      <c r="Y135" s="16">
        <f>IFERROR(INDEX(参数!$C$5:$C$7,MATCH($N135,参数!$A$5:$A$7,0)),"")</f>
        <v>1</v>
      </c>
      <c r="Z135" s="16">
        <f>IFERROR(INDEX(参数!$D$5:$D$7,MATCH($N135,参数!$A$5:$A$7,0)),"")</f>
        <v>1.5</v>
      </c>
      <c r="AA135" s="16">
        <f>IFERROR(INDEX(楼层配置!$E$5:$E$104,MATCH($K135,楼层配置!$B$5:$B$104,0)),1)</f>
        <v>1.16303148484125</v>
      </c>
      <c r="AB135" s="16">
        <f>IFERROR(INDEX(楼层配置!$F$5:$F$104,MATCH($K135,楼层配置!$B$5:$B$104,0)),1)</f>
        <v>0.681464488943416</v>
      </c>
      <c r="AC135" s="16">
        <f>IFERROR(INDEX(楼层配置!$G$5:$G$104,MATCH($K135,楼层配置!$B$5:$B$104,0)),1)</f>
        <v>1</v>
      </c>
      <c r="AD135" s="18">
        <f t="shared" si="19"/>
        <v>-0.122877143088359</v>
      </c>
      <c r="AE135" s="18">
        <f t="shared" si="20"/>
        <v>-0.142268334280841</v>
      </c>
      <c r="AF135" s="18">
        <f t="shared" si="21"/>
        <v>0.327970297029703</v>
      </c>
      <c r="AG135" s="16" t="str">
        <f t="shared" si="22"/>
        <v>有效</v>
      </c>
      <c r="AH135">
        <f t="shared" si="23"/>
        <v>479866.686208333</v>
      </c>
    </row>
    <row r="136" ht="14.25" customHeight="1" spans="1:34">
      <c r="A136" s="16">
        <v>132</v>
      </c>
      <c r="B136" s="16">
        <v>1002</v>
      </c>
      <c r="C136" s="16">
        <v>23</v>
      </c>
      <c r="D136" s="17">
        <f>IFERROR(ROUND($U136*$X136*$AA136*参数!$B$13,0),"")</f>
        <v>303481</v>
      </c>
      <c r="E136" s="17">
        <f>IFERROR(ROUND($V136*$Y136*$AB136*参数!$C$13,0),"")</f>
        <v>6035</v>
      </c>
      <c r="F136" s="17">
        <f>IFERROR(ROUND($W136*$Z136*$AC136*参数!$D$13,0),"")</f>
        <v>13949</v>
      </c>
      <c r="G136" s="16">
        <v>345996</v>
      </c>
      <c r="H136" s="16">
        <v>7036</v>
      </c>
      <c r="I136" s="16">
        <v>10504</v>
      </c>
      <c r="J136" s="16">
        <v>27</v>
      </c>
      <c r="K136" s="16">
        <v>27</v>
      </c>
      <c r="L136" s="16">
        <f>IFERROR(INDEX(楼层配置!$D$5:$D$104,MATCH($K136,楼层配置!$B$5:$B$104,0)),"")</f>
        <v>108</v>
      </c>
      <c r="M136" s="16" t="str">
        <f>IFERROR(INDEX(_角色基线!$B$2:$B$100,MATCH($B136,_角色基线!$A$2:$A$100,0)),"")</f>
        <v>大暑</v>
      </c>
      <c r="N136" s="16" t="str">
        <f>IFERROR(INDEX(_角色基线!$C$2:$C$100,MATCH($B136,_角色基线!$A$2:$A$100,0)),"")</f>
        <v>Tank</v>
      </c>
      <c r="O136" s="16">
        <f>IFERROR(INDEX(_怪物基线!$B$2:$B$501,MATCH(INT($L136),_怪物基线!$A$2:$A$501,0)),"")</f>
        <v>43490</v>
      </c>
      <c r="P136" s="16">
        <f>IFERROR(INDEX(_怪物基线!$C$2:$C$501,MATCH(INT($L136),_怪物基线!$A$2:$A$501,0)),"")</f>
        <v>7380</v>
      </c>
      <c r="Q136" s="16">
        <f>IFERROR(INDEX(_怪物基线!$D$2:$D$501,MATCH(INT($L136),_怪物基线!$A$2:$A$501,0)),"")</f>
        <v>9299</v>
      </c>
      <c r="R136" s="16">
        <f>参数!$B$10</f>
        <v>4</v>
      </c>
      <c r="S136" s="16">
        <f>参数!$C$10</f>
        <v>1.2</v>
      </c>
      <c r="T136" s="16">
        <f>参数!$D$10</f>
        <v>1</v>
      </c>
      <c r="U136" s="16">
        <f t="shared" si="16"/>
        <v>173960</v>
      </c>
      <c r="V136" s="16">
        <f t="shared" si="17"/>
        <v>8856</v>
      </c>
      <c r="W136" s="16">
        <f t="shared" si="18"/>
        <v>9299</v>
      </c>
      <c r="X136" s="16">
        <f>IFERROR(INDEX(参数!$B$5:$B$7,MATCH($N136,参数!$A$5:$A$7,0)),"")</f>
        <v>1.5</v>
      </c>
      <c r="Y136" s="16">
        <f>IFERROR(INDEX(参数!$C$5:$C$7,MATCH($N136,参数!$A$5:$A$7,0)),"")</f>
        <v>1</v>
      </c>
      <c r="Z136" s="16">
        <f>IFERROR(INDEX(参数!$D$5:$D$7,MATCH($N136,参数!$A$5:$A$7,0)),"")</f>
        <v>1.5</v>
      </c>
      <c r="AA136" s="16">
        <f>IFERROR(INDEX(楼层配置!$E$5:$E$104,MATCH($K136,楼层配置!$B$5:$B$104,0)),1)</f>
        <v>1.16303148484125</v>
      </c>
      <c r="AB136" s="16">
        <f>IFERROR(INDEX(楼层配置!$F$5:$F$104,MATCH($K136,楼层配置!$B$5:$B$104,0)),1)</f>
        <v>0.681464488943416</v>
      </c>
      <c r="AC136" s="16">
        <f>IFERROR(INDEX(楼层配置!$G$5:$G$104,MATCH($K136,楼层配置!$B$5:$B$104,0)),1)</f>
        <v>1</v>
      </c>
      <c r="AD136" s="18">
        <f t="shared" si="19"/>
        <v>-0.122877143088359</v>
      </c>
      <c r="AE136" s="18">
        <f t="shared" si="20"/>
        <v>-0.142268334280841</v>
      </c>
      <c r="AF136" s="18">
        <f t="shared" si="21"/>
        <v>0.327970297029703</v>
      </c>
      <c r="AG136" s="16" t="str">
        <f t="shared" si="22"/>
        <v>有效</v>
      </c>
      <c r="AH136">
        <f t="shared" si="23"/>
        <v>479866.686208333</v>
      </c>
    </row>
    <row r="137" ht="14.25" customHeight="1" spans="1:34">
      <c r="A137" s="16">
        <v>133</v>
      </c>
      <c r="B137" s="16">
        <v>1018</v>
      </c>
      <c r="C137" s="16">
        <v>23</v>
      </c>
      <c r="D137" s="17">
        <f>IFERROR(ROUND($U137*$X137*$AA137*参数!$B$13,0),"")</f>
        <v>252901</v>
      </c>
      <c r="E137" s="17">
        <f>IFERROR(ROUND($V137*$Y137*$AB137*参数!$C$13,0),"")</f>
        <v>6035</v>
      </c>
      <c r="F137" s="17">
        <f>IFERROR(ROUND($W137*$Z137*$AC137*参数!$D$13,0),"")</f>
        <v>11624</v>
      </c>
      <c r="G137" s="16">
        <v>288330</v>
      </c>
      <c r="H137" s="16">
        <v>7036</v>
      </c>
      <c r="I137" s="16">
        <v>8754</v>
      </c>
      <c r="J137" s="16">
        <v>27</v>
      </c>
      <c r="K137" s="16">
        <v>27</v>
      </c>
      <c r="L137" s="16">
        <f>IFERROR(INDEX(楼层配置!$D$5:$D$104,MATCH($K137,楼层配置!$B$5:$B$104,0)),"")</f>
        <v>108</v>
      </c>
      <c r="M137" s="16" t="str">
        <f>IFERROR(INDEX(_角色基线!$B$2:$B$100,MATCH($B137,_角色基线!$A$2:$A$100,0)),"")</f>
        <v>埃莉诺</v>
      </c>
      <c r="N137" s="16" t="str">
        <f>IFERROR(INDEX(_角色基线!$C$2:$C$100,MATCH($B137,_角色基线!$A$2:$A$100,0)),"")</f>
        <v>Support</v>
      </c>
      <c r="O137" s="16">
        <f>IFERROR(INDEX(_怪物基线!$B$2:$B$501,MATCH(INT($L137),_怪物基线!$A$2:$A$501,0)),"")</f>
        <v>43490</v>
      </c>
      <c r="P137" s="16">
        <f>IFERROR(INDEX(_怪物基线!$C$2:$C$501,MATCH(INT($L137),_怪物基线!$A$2:$A$501,0)),"")</f>
        <v>7380</v>
      </c>
      <c r="Q137" s="16">
        <f>IFERROR(INDEX(_怪物基线!$D$2:$D$501,MATCH(INT($L137),_怪物基线!$A$2:$A$501,0)),"")</f>
        <v>9299</v>
      </c>
      <c r="R137" s="16">
        <f>参数!$B$10</f>
        <v>4</v>
      </c>
      <c r="S137" s="16">
        <f>参数!$C$10</f>
        <v>1.2</v>
      </c>
      <c r="T137" s="16">
        <f>参数!$D$10</f>
        <v>1</v>
      </c>
      <c r="U137" s="16">
        <f t="shared" si="16"/>
        <v>173960</v>
      </c>
      <c r="V137" s="16">
        <f t="shared" si="17"/>
        <v>8856</v>
      </c>
      <c r="W137" s="16">
        <f t="shared" si="18"/>
        <v>9299</v>
      </c>
      <c r="X137" s="16">
        <f>IFERROR(INDEX(参数!$B$5:$B$7,MATCH($N137,参数!$A$5:$A$7,0)),"")</f>
        <v>1.25</v>
      </c>
      <c r="Y137" s="16">
        <f>IFERROR(INDEX(参数!$C$5:$C$7,MATCH($N137,参数!$A$5:$A$7,0)),"")</f>
        <v>1</v>
      </c>
      <c r="Z137" s="16">
        <f>IFERROR(INDEX(参数!$D$5:$D$7,MATCH($N137,参数!$A$5:$A$7,0)),"")</f>
        <v>1.25</v>
      </c>
      <c r="AA137" s="16">
        <f>IFERROR(INDEX(楼层配置!$E$5:$E$104,MATCH($K137,楼层配置!$B$5:$B$104,0)),1)</f>
        <v>1.16303148484125</v>
      </c>
      <c r="AB137" s="16">
        <f>IFERROR(INDEX(楼层配置!$F$5:$F$104,MATCH($K137,楼层配置!$B$5:$B$104,0)),1)</f>
        <v>0.681464488943416</v>
      </c>
      <c r="AC137" s="16">
        <f>IFERROR(INDEX(楼层配置!$G$5:$G$104,MATCH($K137,楼层配置!$B$5:$B$104,0)),1)</f>
        <v>1</v>
      </c>
      <c r="AD137" s="18">
        <f t="shared" si="19"/>
        <v>-0.122876565046995</v>
      </c>
      <c r="AE137" s="18">
        <f t="shared" si="20"/>
        <v>-0.142268334280841</v>
      </c>
      <c r="AF137" s="18">
        <f t="shared" si="21"/>
        <v>0.327850125656843</v>
      </c>
      <c r="AG137" s="16" t="str">
        <f t="shared" si="22"/>
        <v>有效</v>
      </c>
      <c r="AH137">
        <f t="shared" si="23"/>
        <v>375389.384333333</v>
      </c>
    </row>
    <row r="138" ht="14.25" customHeight="1" spans="1:34">
      <c r="A138" s="16">
        <v>134</v>
      </c>
      <c r="B138" s="16">
        <v>1021</v>
      </c>
      <c r="C138" s="16">
        <v>23</v>
      </c>
      <c r="D138" s="17">
        <f>IFERROR(ROUND($U138*$X138*$AA138*参数!$B$13,0),"")</f>
        <v>202321</v>
      </c>
      <c r="E138" s="17">
        <f>IFERROR(ROUND($V138*$Y138*$AB138*参数!$C$13,0),"")</f>
        <v>7242</v>
      </c>
      <c r="F138" s="17">
        <f>IFERROR(ROUND($W138*$Z138*$AC138*参数!$D$13,0),"")</f>
        <v>9299</v>
      </c>
      <c r="G138" s="16">
        <v>230664</v>
      </c>
      <c r="H138" s="16">
        <v>8443</v>
      </c>
      <c r="I138" s="16">
        <v>7003</v>
      </c>
      <c r="J138" s="16">
        <v>27</v>
      </c>
      <c r="K138" s="16">
        <v>27</v>
      </c>
      <c r="L138" s="16">
        <f>IFERROR(INDEX(楼层配置!$D$5:$D$104,MATCH($K138,楼层配置!$B$5:$B$104,0)),"")</f>
        <v>108</v>
      </c>
      <c r="M138" s="16" t="str">
        <f>IFERROR(INDEX(_角色基线!$B$2:$B$100,MATCH($B138,_角色基线!$A$2:$A$100,0)),"")</f>
        <v>梅梅</v>
      </c>
      <c r="N138" s="16" t="str">
        <f>IFERROR(INDEX(_角色基线!$C$2:$C$100,MATCH($B138,_角色基线!$A$2:$A$100,0)),"")</f>
        <v>DPS</v>
      </c>
      <c r="O138" s="16">
        <f>IFERROR(INDEX(_怪物基线!$B$2:$B$501,MATCH(INT($L138),_怪物基线!$A$2:$A$501,0)),"")</f>
        <v>43490</v>
      </c>
      <c r="P138" s="16">
        <f>IFERROR(INDEX(_怪物基线!$C$2:$C$501,MATCH(INT($L138),_怪物基线!$A$2:$A$501,0)),"")</f>
        <v>7380</v>
      </c>
      <c r="Q138" s="16">
        <f>IFERROR(INDEX(_怪物基线!$D$2:$D$501,MATCH(INT($L138),_怪物基线!$A$2:$A$501,0)),"")</f>
        <v>9299</v>
      </c>
      <c r="R138" s="16">
        <f>参数!$B$10</f>
        <v>4</v>
      </c>
      <c r="S138" s="16">
        <f>参数!$C$10</f>
        <v>1.2</v>
      </c>
      <c r="T138" s="16">
        <f>参数!$D$10</f>
        <v>1</v>
      </c>
      <c r="U138" s="16">
        <f t="shared" si="16"/>
        <v>173960</v>
      </c>
      <c r="V138" s="16">
        <f t="shared" si="17"/>
        <v>8856</v>
      </c>
      <c r="W138" s="16">
        <f t="shared" si="18"/>
        <v>9299</v>
      </c>
      <c r="X138" s="16">
        <f>IFERROR(INDEX(参数!$B$5:$B$7,MATCH($N138,参数!$A$5:$A$7,0)),"")</f>
        <v>1</v>
      </c>
      <c r="Y138" s="16">
        <f>IFERROR(INDEX(参数!$C$5:$C$7,MATCH($N138,参数!$A$5:$A$7,0)),"")</f>
        <v>1.2</v>
      </c>
      <c r="Z138" s="16">
        <f>IFERROR(INDEX(参数!$D$5:$D$7,MATCH($N138,参数!$A$5:$A$7,0)),"")</f>
        <v>1</v>
      </c>
      <c r="AA138" s="16">
        <f>IFERROR(INDEX(楼层配置!$E$5:$E$104,MATCH($K138,楼层配置!$B$5:$B$104,0)),1)</f>
        <v>1.16303148484125</v>
      </c>
      <c r="AB138" s="16">
        <f>IFERROR(INDEX(楼层配置!$F$5:$F$104,MATCH($K138,楼层配置!$B$5:$B$104,0)),1)</f>
        <v>0.681464488943416</v>
      </c>
      <c r="AC138" s="16">
        <f>IFERROR(INDEX(楼层配置!$G$5:$G$104,MATCH($K138,楼层配置!$B$5:$B$104,0)),1)</f>
        <v>1</v>
      </c>
      <c r="AD138" s="18">
        <f t="shared" si="19"/>
        <v>-0.122875697984948</v>
      </c>
      <c r="AE138" s="18">
        <f t="shared" si="20"/>
        <v>-0.142248016108019</v>
      </c>
      <c r="AF138" s="18">
        <f t="shared" si="21"/>
        <v>0.327859488790518</v>
      </c>
      <c r="AG138" s="16" t="str">
        <f t="shared" si="22"/>
        <v>有效</v>
      </c>
      <c r="AH138">
        <f t="shared" si="23"/>
        <v>280711.957458333</v>
      </c>
    </row>
    <row r="139" ht="14.25" customHeight="1" spans="1:34">
      <c r="A139" s="16">
        <v>135</v>
      </c>
      <c r="B139" s="16">
        <v>1011</v>
      </c>
      <c r="C139" s="16">
        <v>23</v>
      </c>
      <c r="D139" s="17">
        <f>IFERROR(ROUND($U139*$X139*$AA139*参数!$B$13,0),"")</f>
        <v>252901</v>
      </c>
      <c r="E139" s="17">
        <f>IFERROR(ROUND($V139*$Y139*$AB139*参数!$C$13,0),"")</f>
        <v>6035</v>
      </c>
      <c r="F139" s="17">
        <f>IFERROR(ROUND($W139*$Z139*$AC139*参数!$D$13,0),"")</f>
        <v>11624</v>
      </c>
      <c r="G139" s="16">
        <v>288330</v>
      </c>
      <c r="H139" s="16">
        <v>7036</v>
      </c>
      <c r="I139" s="16">
        <v>8754</v>
      </c>
      <c r="J139" s="16">
        <v>27</v>
      </c>
      <c r="K139" s="16">
        <v>27</v>
      </c>
      <c r="L139" s="16">
        <f>IFERROR(INDEX(楼层配置!$D$5:$D$104,MATCH($K139,楼层配置!$B$5:$B$104,0)),"")</f>
        <v>108</v>
      </c>
      <c r="M139" s="16" t="str">
        <f>IFERROR(INDEX(_角色基线!$B$2:$B$100,MATCH($B139,_角色基线!$A$2:$A$100,0)),"")</f>
        <v>陈双双</v>
      </c>
      <c r="N139" s="16" t="str">
        <f>IFERROR(INDEX(_角色基线!$C$2:$C$100,MATCH($B139,_角色基线!$A$2:$A$100,0)),"")</f>
        <v>Support</v>
      </c>
      <c r="O139" s="16">
        <f>IFERROR(INDEX(_怪物基线!$B$2:$B$501,MATCH(INT($L139),_怪物基线!$A$2:$A$501,0)),"")</f>
        <v>43490</v>
      </c>
      <c r="P139" s="16">
        <f>IFERROR(INDEX(_怪物基线!$C$2:$C$501,MATCH(INT($L139),_怪物基线!$A$2:$A$501,0)),"")</f>
        <v>7380</v>
      </c>
      <c r="Q139" s="16">
        <f>IFERROR(INDEX(_怪物基线!$D$2:$D$501,MATCH(INT($L139),_怪物基线!$A$2:$A$501,0)),"")</f>
        <v>9299</v>
      </c>
      <c r="R139" s="16">
        <f>参数!$B$10</f>
        <v>4</v>
      </c>
      <c r="S139" s="16">
        <f>参数!$C$10</f>
        <v>1.2</v>
      </c>
      <c r="T139" s="16">
        <f>参数!$D$10</f>
        <v>1</v>
      </c>
      <c r="U139" s="16">
        <f t="shared" si="16"/>
        <v>173960</v>
      </c>
      <c r="V139" s="16">
        <f t="shared" si="17"/>
        <v>8856</v>
      </c>
      <c r="W139" s="16">
        <f t="shared" si="18"/>
        <v>9299</v>
      </c>
      <c r="X139" s="16">
        <f>IFERROR(INDEX(参数!$B$5:$B$7,MATCH($N139,参数!$A$5:$A$7,0)),"")</f>
        <v>1.25</v>
      </c>
      <c r="Y139" s="16">
        <f>IFERROR(INDEX(参数!$C$5:$C$7,MATCH($N139,参数!$A$5:$A$7,0)),"")</f>
        <v>1</v>
      </c>
      <c r="Z139" s="16">
        <f>IFERROR(INDEX(参数!$D$5:$D$7,MATCH($N139,参数!$A$5:$A$7,0)),"")</f>
        <v>1.25</v>
      </c>
      <c r="AA139" s="16">
        <f>IFERROR(INDEX(楼层配置!$E$5:$E$104,MATCH($K139,楼层配置!$B$5:$B$104,0)),1)</f>
        <v>1.16303148484125</v>
      </c>
      <c r="AB139" s="16">
        <f>IFERROR(INDEX(楼层配置!$F$5:$F$104,MATCH($K139,楼层配置!$B$5:$B$104,0)),1)</f>
        <v>0.681464488943416</v>
      </c>
      <c r="AC139" s="16">
        <f>IFERROR(INDEX(楼层配置!$G$5:$G$104,MATCH($K139,楼层配置!$B$5:$B$104,0)),1)</f>
        <v>1</v>
      </c>
      <c r="AD139" s="18">
        <f t="shared" si="19"/>
        <v>-0.122876565046995</v>
      </c>
      <c r="AE139" s="18">
        <f t="shared" si="20"/>
        <v>-0.142268334280841</v>
      </c>
      <c r="AF139" s="18">
        <f t="shared" si="21"/>
        <v>0.327850125656843</v>
      </c>
      <c r="AG139" s="16" t="str">
        <f t="shared" si="22"/>
        <v>有效</v>
      </c>
      <c r="AH139">
        <f t="shared" si="23"/>
        <v>375389.384333333</v>
      </c>
    </row>
    <row r="140" ht="14.25" customHeight="1" spans="1:34">
      <c r="A140" s="16">
        <v>136</v>
      </c>
      <c r="B140" s="16">
        <v>1038</v>
      </c>
      <c r="C140" s="16">
        <v>24</v>
      </c>
      <c r="D140" s="17">
        <f>IFERROR(ROUND($U140*$X140*$AA140*参数!$B$13,0),"")</f>
        <v>326882</v>
      </c>
      <c r="E140" s="17">
        <f>IFERROR(ROUND($V140*$Y140*$AB140*参数!$C$13,0),"")</f>
        <v>6348</v>
      </c>
      <c r="F140" s="17">
        <f>IFERROR(ROUND($W140*$Z140*$AC140*参数!$D$13,0),"")</f>
        <v>14541</v>
      </c>
      <c r="G140" s="16">
        <v>369252</v>
      </c>
      <c r="H140" s="16">
        <v>7342</v>
      </c>
      <c r="I140" s="16">
        <v>10911</v>
      </c>
      <c r="J140" s="16">
        <v>28</v>
      </c>
      <c r="K140" s="16">
        <v>28</v>
      </c>
      <c r="L140" s="16">
        <f>IFERROR(INDEX(楼层配置!$D$5:$D$104,MATCH($K140,楼层配置!$B$5:$B$104,0)),"")</f>
        <v>112</v>
      </c>
      <c r="M140" s="16" t="str">
        <f>IFERROR(INDEX(_角色基线!$B$2:$B$100,MATCH($B140,_角色基线!$A$2:$A$100,0)),"")</f>
        <v>商队战斗员</v>
      </c>
      <c r="N140" s="16" t="str">
        <f>IFERROR(INDEX(_角色基线!$C$2:$C$100,MATCH($B140,_角色基线!$A$2:$A$100,0)),"")</f>
        <v>Tank</v>
      </c>
      <c r="O140" s="16">
        <f>IFERROR(INDEX(_怪物基线!$B$2:$B$501,MATCH(INT($L140),_怪物基线!$A$2:$A$501,0)),"")</f>
        <v>46708</v>
      </c>
      <c r="P140" s="16">
        <f>IFERROR(INDEX(_怪物基线!$C$2:$C$501,MATCH(INT($L140),_怪物基线!$A$2:$A$501,0)),"")</f>
        <v>7774</v>
      </c>
      <c r="Q140" s="16">
        <f>IFERROR(INDEX(_怪物基线!$D$2:$D$501,MATCH(INT($L140),_怪物基线!$A$2:$A$501,0)),"")</f>
        <v>9694</v>
      </c>
      <c r="R140" s="16">
        <f>参数!$B$10</f>
        <v>4</v>
      </c>
      <c r="S140" s="16">
        <f>参数!$C$10</f>
        <v>1.2</v>
      </c>
      <c r="T140" s="16">
        <f>参数!$D$10</f>
        <v>1</v>
      </c>
      <c r="U140" s="16">
        <f t="shared" si="16"/>
        <v>186832</v>
      </c>
      <c r="V140" s="16">
        <f t="shared" si="17"/>
        <v>9328.8</v>
      </c>
      <c r="W140" s="16">
        <f t="shared" si="18"/>
        <v>9694</v>
      </c>
      <c r="X140" s="16">
        <f>IFERROR(INDEX(参数!$B$5:$B$7,MATCH($N140,参数!$A$5:$A$7,0)),"")</f>
        <v>1.5</v>
      </c>
      <c r="Y140" s="16">
        <f>IFERROR(INDEX(参数!$C$5:$C$7,MATCH($N140,参数!$A$5:$A$7,0)),"")</f>
        <v>1</v>
      </c>
      <c r="Z140" s="16">
        <f>IFERROR(INDEX(参数!$D$5:$D$7,MATCH($N140,参数!$A$5:$A$7,0)),"")</f>
        <v>1.5</v>
      </c>
      <c r="AA140" s="16">
        <f>IFERROR(INDEX(楼层配置!$E$5:$E$104,MATCH($K140,楼层配置!$B$5:$B$104,0)),1)</f>
        <v>1.16640085694238</v>
      </c>
      <c r="AB140" s="16">
        <f>IFERROR(INDEX(楼层配置!$F$5:$F$104,MATCH($K140,楼层配置!$B$5:$B$104,0)),1)</f>
        <v>0.680501860332393</v>
      </c>
      <c r="AC140" s="16">
        <f>IFERROR(INDEX(楼层配置!$G$5:$G$104,MATCH($K140,楼层配置!$B$5:$B$104,0)),1)</f>
        <v>1</v>
      </c>
      <c r="AD140" s="18">
        <f t="shared" si="19"/>
        <v>-0.114745485467919</v>
      </c>
      <c r="AE140" s="18">
        <f t="shared" si="20"/>
        <v>-0.13538545355489</v>
      </c>
      <c r="AF140" s="18">
        <f t="shared" si="21"/>
        <v>0.332691778938686</v>
      </c>
      <c r="AG140" s="16" t="str">
        <f t="shared" si="22"/>
        <v>有效</v>
      </c>
      <c r="AH140">
        <f t="shared" si="23"/>
        <v>524931.63175</v>
      </c>
    </row>
    <row r="141" ht="14.25" customHeight="1" spans="1:34">
      <c r="A141" s="16">
        <v>137</v>
      </c>
      <c r="B141" s="16">
        <v>1030</v>
      </c>
      <c r="C141" s="16">
        <v>24</v>
      </c>
      <c r="D141" s="17">
        <f>IFERROR(ROUND($U141*$X141*$AA141*参数!$B$13,0),"")</f>
        <v>326882</v>
      </c>
      <c r="E141" s="17">
        <f>IFERROR(ROUND($V141*$Y141*$AB141*参数!$C$13,0),"")</f>
        <v>6348</v>
      </c>
      <c r="F141" s="17">
        <f>IFERROR(ROUND($W141*$Z141*$AC141*参数!$D$13,0),"")</f>
        <v>14541</v>
      </c>
      <c r="G141" s="16">
        <v>369252</v>
      </c>
      <c r="H141" s="16">
        <v>7342</v>
      </c>
      <c r="I141" s="16">
        <v>10911</v>
      </c>
      <c r="J141" s="16">
        <v>28</v>
      </c>
      <c r="K141" s="16">
        <v>28</v>
      </c>
      <c r="L141" s="16">
        <f>IFERROR(INDEX(楼层配置!$D$5:$D$104,MATCH($K141,楼层配置!$B$5:$B$104,0)),"")</f>
        <v>112</v>
      </c>
      <c r="M141" s="16" t="str">
        <f>IFERROR(INDEX(_角色基线!$B$2:$B$100,MATCH($B141,_角色基线!$A$2:$A$100,0)),"")</f>
        <v>莫莉</v>
      </c>
      <c r="N141" s="16" t="str">
        <f>IFERROR(INDEX(_角色基线!$C$2:$C$100,MATCH($B141,_角色基线!$A$2:$A$100,0)),"")</f>
        <v>Tank</v>
      </c>
      <c r="O141" s="16">
        <f>IFERROR(INDEX(_怪物基线!$B$2:$B$501,MATCH(INT($L141),_怪物基线!$A$2:$A$501,0)),"")</f>
        <v>46708</v>
      </c>
      <c r="P141" s="16">
        <f>IFERROR(INDEX(_怪物基线!$C$2:$C$501,MATCH(INT($L141),_怪物基线!$A$2:$A$501,0)),"")</f>
        <v>7774</v>
      </c>
      <c r="Q141" s="16">
        <f>IFERROR(INDEX(_怪物基线!$D$2:$D$501,MATCH(INT($L141),_怪物基线!$A$2:$A$501,0)),"")</f>
        <v>9694</v>
      </c>
      <c r="R141" s="16">
        <f>参数!$B$10</f>
        <v>4</v>
      </c>
      <c r="S141" s="16">
        <f>参数!$C$10</f>
        <v>1.2</v>
      </c>
      <c r="T141" s="16">
        <f>参数!$D$10</f>
        <v>1</v>
      </c>
      <c r="U141" s="16">
        <f t="shared" si="16"/>
        <v>186832</v>
      </c>
      <c r="V141" s="16">
        <f t="shared" si="17"/>
        <v>9328.8</v>
      </c>
      <c r="W141" s="16">
        <f t="shared" si="18"/>
        <v>9694</v>
      </c>
      <c r="X141" s="16">
        <f>IFERROR(INDEX(参数!$B$5:$B$7,MATCH($N141,参数!$A$5:$A$7,0)),"")</f>
        <v>1.5</v>
      </c>
      <c r="Y141" s="16">
        <f>IFERROR(INDEX(参数!$C$5:$C$7,MATCH($N141,参数!$A$5:$A$7,0)),"")</f>
        <v>1</v>
      </c>
      <c r="Z141" s="16">
        <f>IFERROR(INDEX(参数!$D$5:$D$7,MATCH($N141,参数!$A$5:$A$7,0)),"")</f>
        <v>1.5</v>
      </c>
      <c r="AA141" s="16">
        <f>IFERROR(INDEX(楼层配置!$E$5:$E$104,MATCH($K141,楼层配置!$B$5:$B$104,0)),1)</f>
        <v>1.16640085694238</v>
      </c>
      <c r="AB141" s="16">
        <f>IFERROR(INDEX(楼层配置!$F$5:$F$104,MATCH($K141,楼层配置!$B$5:$B$104,0)),1)</f>
        <v>0.680501860332393</v>
      </c>
      <c r="AC141" s="16">
        <f>IFERROR(INDEX(楼层配置!$G$5:$G$104,MATCH($K141,楼层配置!$B$5:$B$104,0)),1)</f>
        <v>1</v>
      </c>
      <c r="AD141" s="18">
        <f t="shared" si="19"/>
        <v>-0.114745485467919</v>
      </c>
      <c r="AE141" s="18">
        <f t="shared" si="20"/>
        <v>-0.13538545355489</v>
      </c>
      <c r="AF141" s="18">
        <f t="shared" si="21"/>
        <v>0.332691778938686</v>
      </c>
      <c r="AG141" s="16" t="str">
        <f t="shared" si="22"/>
        <v>有效</v>
      </c>
      <c r="AH141">
        <f t="shared" si="23"/>
        <v>524931.63175</v>
      </c>
    </row>
    <row r="142" ht="14.25" customHeight="1" spans="1:34">
      <c r="A142" s="16">
        <v>138</v>
      </c>
      <c r="B142" s="16">
        <v>1002</v>
      </c>
      <c r="C142" s="16">
        <v>24</v>
      </c>
      <c r="D142" s="17">
        <f>IFERROR(ROUND($U142*$X142*$AA142*参数!$B$13,0),"")</f>
        <v>326882</v>
      </c>
      <c r="E142" s="17">
        <f>IFERROR(ROUND($V142*$Y142*$AB142*参数!$C$13,0),"")</f>
        <v>6348</v>
      </c>
      <c r="F142" s="17">
        <f>IFERROR(ROUND($W142*$Z142*$AC142*参数!$D$13,0),"")</f>
        <v>14541</v>
      </c>
      <c r="G142" s="16">
        <v>369252</v>
      </c>
      <c r="H142" s="16">
        <v>7342</v>
      </c>
      <c r="I142" s="16">
        <v>10911</v>
      </c>
      <c r="J142" s="16">
        <v>28</v>
      </c>
      <c r="K142" s="16">
        <v>28</v>
      </c>
      <c r="L142" s="16">
        <f>IFERROR(INDEX(楼层配置!$D$5:$D$104,MATCH($K142,楼层配置!$B$5:$B$104,0)),"")</f>
        <v>112</v>
      </c>
      <c r="M142" s="16" t="str">
        <f>IFERROR(INDEX(_角色基线!$B$2:$B$100,MATCH($B142,_角色基线!$A$2:$A$100,0)),"")</f>
        <v>大暑</v>
      </c>
      <c r="N142" s="16" t="str">
        <f>IFERROR(INDEX(_角色基线!$C$2:$C$100,MATCH($B142,_角色基线!$A$2:$A$100,0)),"")</f>
        <v>Tank</v>
      </c>
      <c r="O142" s="16">
        <f>IFERROR(INDEX(_怪物基线!$B$2:$B$501,MATCH(INT($L142),_怪物基线!$A$2:$A$501,0)),"")</f>
        <v>46708</v>
      </c>
      <c r="P142" s="16">
        <f>IFERROR(INDEX(_怪物基线!$C$2:$C$501,MATCH(INT($L142),_怪物基线!$A$2:$A$501,0)),"")</f>
        <v>7774</v>
      </c>
      <c r="Q142" s="16">
        <f>IFERROR(INDEX(_怪物基线!$D$2:$D$501,MATCH(INT($L142),_怪物基线!$A$2:$A$501,0)),"")</f>
        <v>9694</v>
      </c>
      <c r="R142" s="16">
        <f>参数!$B$10</f>
        <v>4</v>
      </c>
      <c r="S142" s="16">
        <f>参数!$C$10</f>
        <v>1.2</v>
      </c>
      <c r="T142" s="16">
        <f>参数!$D$10</f>
        <v>1</v>
      </c>
      <c r="U142" s="16">
        <f t="shared" si="16"/>
        <v>186832</v>
      </c>
      <c r="V142" s="16">
        <f t="shared" si="17"/>
        <v>9328.8</v>
      </c>
      <c r="W142" s="16">
        <f t="shared" si="18"/>
        <v>9694</v>
      </c>
      <c r="X142" s="16">
        <f>IFERROR(INDEX(参数!$B$5:$B$7,MATCH($N142,参数!$A$5:$A$7,0)),"")</f>
        <v>1.5</v>
      </c>
      <c r="Y142" s="16">
        <f>IFERROR(INDEX(参数!$C$5:$C$7,MATCH($N142,参数!$A$5:$A$7,0)),"")</f>
        <v>1</v>
      </c>
      <c r="Z142" s="16">
        <f>IFERROR(INDEX(参数!$D$5:$D$7,MATCH($N142,参数!$A$5:$A$7,0)),"")</f>
        <v>1.5</v>
      </c>
      <c r="AA142" s="16">
        <f>IFERROR(INDEX(楼层配置!$E$5:$E$104,MATCH($K142,楼层配置!$B$5:$B$104,0)),1)</f>
        <v>1.16640085694238</v>
      </c>
      <c r="AB142" s="16">
        <f>IFERROR(INDEX(楼层配置!$F$5:$F$104,MATCH($K142,楼层配置!$B$5:$B$104,0)),1)</f>
        <v>0.680501860332393</v>
      </c>
      <c r="AC142" s="16">
        <f>IFERROR(INDEX(楼层配置!$G$5:$G$104,MATCH($K142,楼层配置!$B$5:$B$104,0)),1)</f>
        <v>1</v>
      </c>
      <c r="AD142" s="18">
        <f t="shared" si="19"/>
        <v>-0.114745485467919</v>
      </c>
      <c r="AE142" s="18">
        <f t="shared" si="20"/>
        <v>-0.13538545355489</v>
      </c>
      <c r="AF142" s="18">
        <f t="shared" si="21"/>
        <v>0.332691778938686</v>
      </c>
      <c r="AG142" s="16" t="str">
        <f t="shared" si="22"/>
        <v>有效</v>
      </c>
      <c r="AH142">
        <f t="shared" si="23"/>
        <v>524931.63175</v>
      </c>
    </row>
    <row r="143" ht="14.25" customHeight="1" spans="1:34">
      <c r="A143" s="16">
        <v>139</v>
      </c>
      <c r="B143" s="16">
        <v>1014</v>
      </c>
      <c r="C143" s="16">
        <v>24</v>
      </c>
      <c r="D143" s="17">
        <f>IFERROR(ROUND($U143*$X143*$AA143*参数!$B$13,0),"")</f>
        <v>217921</v>
      </c>
      <c r="E143" s="17">
        <f>IFERROR(ROUND($V143*$Y143*$AB143*参数!$C$13,0),"")</f>
        <v>7618</v>
      </c>
      <c r="F143" s="17">
        <f>IFERROR(ROUND($W143*$Z143*$AC143*参数!$D$13,0),"")</f>
        <v>9694</v>
      </c>
      <c r="G143" s="16">
        <v>246168</v>
      </c>
      <c r="H143" s="16">
        <v>8810</v>
      </c>
      <c r="I143" s="16">
        <v>7274</v>
      </c>
      <c r="J143" s="16">
        <v>28</v>
      </c>
      <c r="K143" s="16">
        <v>28</v>
      </c>
      <c r="L143" s="16">
        <f>IFERROR(INDEX(楼层配置!$D$5:$D$104,MATCH($K143,楼层配置!$B$5:$B$104,0)),"")</f>
        <v>112</v>
      </c>
      <c r="M143" s="16" t="str">
        <f>IFERROR(INDEX(_角色基线!$B$2:$B$100,MATCH($B143,_角色基线!$A$2:$A$100,0)),"")</f>
        <v>克莉丝汀</v>
      </c>
      <c r="N143" s="16" t="str">
        <f>IFERROR(INDEX(_角色基线!$C$2:$C$100,MATCH($B143,_角色基线!$A$2:$A$100,0)),"")</f>
        <v>DPS</v>
      </c>
      <c r="O143" s="16">
        <f>IFERROR(INDEX(_怪物基线!$B$2:$B$501,MATCH(INT($L143),_怪物基线!$A$2:$A$501,0)),"")</f>
        <v>46708</v>
      </c>
      <c r="P143" s="16">
        <f>IFERROR(INDEX(_怪物基线!$C$2:$C$501,MATCH(INT($L143),_怪物基线!$A$2:$A$501,0)),"")</f>
        <v>7774</v>
      </c>
      <c r="Q143" s="16">
        <f>IFERROR(INDEX(_怪物基线!$D$2:$D$501,MATCH(INT($L143),_怪物基线!$A$2:$A$501,0)),"")</f>
        <v>9694</v>
      </c>
      <c r="R143" s="16">
        <f>参数!$B$10</f>
        <v>4</v>
      </c>
      <c r="S143" s="16">
        <f>参数!$C$10</f>
        <v>1.2</v>
      </c>
      <c r="T143" s="16">
        <f>参数!$D$10</f>
        <v>1</v>
      </c>
      <c r="U143" s="16">
        <f t="shared" si="16"/>
        <v>186832</v>
      </c>
      <c r="V143" s="16">
        <f t="shared" si="17"/>
        <v>9328.8</v>
      </c>
      <c r="W143" s="16">
        <f t="shared" si="18"/>
        <v>9694</v>
      </c>
      <c r="X143" s="16">
        <f>IFERROR(INDEX(参数!$B$5:$B$7,MATCH($N143,参数!$A$5:$A$7,0)),"")</f>
        <v>1</v>
      </c>
      <c r="Y143" s="16">
        <f>IFERROR(INDEX(参数!$C$5:$C$7,MATCH($N143,参数!$A$5:$A$7,0)),"")</f>
        <v>1.2</v>
      </c>
      <c r="Z143" s="16">
        <f>IFERROR(INDEX(参数!$D$5:$D$7,MATCH($N143,参数!$A$5:$A$7,0)),"")</f>
        <v>1</v>
      </c>
      <c r="AA143" s="16">
        <f>IFERROR(INDEX(楼层配置!$E$5:$E$104,MATCH($K143,楼层配置!$B$5:$B$104,0)),1)</f>
        <v>1.16640085694238</v>
      </c>
      <c r="AB143" s="16">
        <f>IFERROR(INDEX(楼层配置!$F$5:$F$104,MATCH($K143,楼层配置!$B$5:$B$104,0)),1)</f>
        <v>0.680501860332393</v>
      </c>
      <c r="AC143" s="16">
        <f>IFERROR(INDEX(楼层配置!$G$5:$G$104,MATCH($K143,楼层配置!$B$5:$B$104,0)),1)</f>
        <v>1</v>
      </c>
      <c r="AD143" s="18">
        <f t="shared" si="19"/>
        <v>-0.114746839556725</v>
      </c>
      <c r="AE143" s="18">
        <f t="shared" si="20"/>
        <v>-0.135300794551646</v>
      </c>
      <c r="AF143" s="18">
        <f t="shared" si="21"/>
        <v>0.332691778938686</v>
      </c>
      <c r="AG143" s="16" t="str">
        <f t="shared" si="22"/>
        <v>有效</v>
      </c>
      <c r="AH143">
        <f t="shared" si="23"/>
        <v>305942.923916667</v>
      </c>
    </row>
    <row r="144" ht="14.25" customHeight="1" spans="1:34">
      <c r="A144" s="16">
        <v>140</v>
      </c>
      <c r="B144" s="16">
        <v>1021</v>
      </c>
      <c r="C144" s="16">
        <v>24</v>
      </c>
      <c r="D144" s="17">
        <f>IFERROR(ROUND($U144*$X144*$AA144*参数!$B$13,0),"")</f>
        <v>217921</v>
      </c>
      <c r="E144" s="17">
        <f>IFERROR(ROUND($V144*$Y144*$AB144*参数!$C$13,0),"")</f>
        <v>7618</v>
      </c>
      <c r="F144" s="17">
        <f>IFERROR(ROUND($W144*$Z144*$AC144*参数!$D$13,0),"")</f>
        <v>9694</v>
      </c>
      <c r="G144" s="16">
        <v>246168</v>
      </c>
      <c r="H144" s="16">
        <v>8810</v>
      </c>
      <c r="I144" s="16">
        <v>7274</v>
      </c>
      <c r="J144" s="16">
        <v>28</v>
      </c>
      <c r="K144" s="16">
        <v>28</v>
      </c>
      <c r="L144" s="16">
        <f>IFERROR(INDEX(楼层配置!$D$5:$D$104,MATCH($K144,楼层配置!$B$5:$B$104,0)),"")</f>
        <v>112</v>
      </c>
      <c r="M144" s="16" t="str">
        <f>IFERROR(INDEX(_角色基线!$B$2:$B$100,MATCH($B144,_角色基线!$A$2:$A$100,0)),"")</f>
        <v>梅梅</v>
      </c>
      <c r="N144" s="16" t="str">
        <f>IFERROR(INDEX(_角色基线!$C$2:$C$100,MATCH($B144,_角色基线!$A$2:$A$100,0)),"")</f>
        <v>DPS</v>
      </c>
      <c r="O144" s="16">
        <f>IFERROR(INDEX(_怪物基线!$B$2:$B$501,MATCH(INT($L144),_怪物基线!$A$2:$A$501,0)),"")</f>
        <v>46708</v>
      </c>
      <c r="P144" s="16">
        <f>IFERROR(INDEX(_怪物基线!$C$2:$C$501,MATCH(INT($L144),_怪物基线!$A$2:$A$501,0)),"")</f>
        <v>7774</v>
      </c>
      <c r="Q144" s="16">
        <f>IFERROR(INDEX(_怪物基线!$D$2:$D$501,MATCH(INT($L144),_怪物基线!$A$2:$A$501,0)),"")</f>
        <v>9694</v>
      </c>
      <c r="R144" s="16">
        <f>参数!$B$10</f>
        <v>4</v>
      </c>
      <c r="S144" s="16">
        <f>参数!$C$10</f>
        <v>1.2</v>
      </c>
      <c r="T144" s="16">
        <f>参数!$D$10</f>
        <v>1</v>
      </c>
      <c r="U144" s="16">
        <f t="shared" si="16"/>
        <v>186832</v>
      </c>
      <c r="V144" s="16">
        <f t="shared" si="17"/>
        <v>9328.8</v>
      </c>
      <c r="W144" s="16">
        <f t="shared" si="18"/>
        <v>9694</v>
      </c>
      <c r="X144" s="16">
        <f>IFERROR(INDEX(参数!$B$5:$B$7,MATCH($N144,参数!$A$5:$A$7,0)),"")</f>
        <v>1</v>
      </c>
      <c r="Y144" s="16">
        <f>IFERROR(INDEX(参数!$C$5:$C$7,MATCH($N144,参数!$A$5:$A$7,0)),"")</f>
        <v>1.2</v>
      </c>
      <c r="Z144" s="16">
        <f>IFERROR(INDEX(参数!$D$5:$D$7,MATCH($N144,参数!$A$5:$A$7,0)),"")</f>
        <v>1</v>
      </c>
      <c r="AA144" s="16">
        <f>IFERROR(INDEX(楼层配置!$E$5:$E$104,MATCH($K144,楼层配置!$B$5:$B$104,0)),1)</f>
        <v>1.16640085694238</v>
      </c>
      <c r="AB144" s="16">
        <f>IFERROR(INDEX(楼层配置!$F$5:$F$104,MATCH($K144,楼层配置!$B$5:$B$104,0)),1)</f>
        <v>0.680501860332393</v>
      </c>
      <c r="AC144" s="16">
        <f>IFERROR(INDEX(楼层配置!$G$5:$G$104,MATCH($K144,楼层配置!$B$5:$B$104,0)),1)</f>
        <v>1</v>
      </c>
      <c r="AD144" s="18">
        <f t="shared" si="19"/>
        <v>-0.114746839556725</v>
      </c>
      <c r="AE144" s="18">
        <f t="shared" si="20"/>
        <v>-0.135300794551646</v>
      </c>
      <c r="AF144" s="18">
        <f t="shared" si="21"/>
        <v>0.332691778938686</v>
      </c>
      <c r="AG144" s="16" t="str">
        <f t="shared" si="22"/>
        <v>有效</v>
      </c>
      <c r="AH144">
        <f t="shared" si="23"/>
        <v>305942.923916667</v>
      </c>
    </row>
    <row r="145" ht="14.25" customHeight="1" spans="1:34">
      <c r="A145" s="16">
        <v>141</v>
      </c>
      <c r="B145" s="16">
        <v>1038</v>
      </c>
      <c r="C145" s="16">
        <v>24</v>
      </c>
      <c r="D145" s="17">
        <f>IFERROR(ROUND($U145*$X145*$AA145*参数!$B$13,0),"")</f>
        <v>349410</v>
      </c>
      <c r="E145" s="17">
        <f>IFERROR(ROUND($V145*$Y145*$AB145*参数!$C$13,0),"")</f>
        <v>6669</v>
      </c>
      <c r="F145" s="17">
        <f>IFERROR(ROUND($W145*$Z145*$AC145*参数!$D$13,0),"")</f>
        <v>15140</v>
      </c>
      <c r="G145" s="16">
        <v>393537</v>
      </c>
      <c r="H145" s="16">
        <v>7652</v>
      </c>
      <c r="I145" s="16">
        <v>11322</v>
      </c>
      <c r="J145" s="16">
        <v>29</v>
      </c>
      <c r="K145" s="16">
        <v>29</v>
      </c>
      <c r="L145" s="16">
        <f>IFERROR(INDEX(楼层配置!$D$5:$D$104,MATCH($K145,楼层配置!$B$5:$B$104,0)),"")</f>
        <v>116</v>
      </c>
      <c r="M145" s="16" t="str">
        <f>IFERROR(INDEX(_角色基线!$B$2:$B$100,MATCH($B145,_角色基线!$A$2:$A$100,0)),"")</f>
        <v>商队战斗员</v>
      </c>
      <c r="N145" s="16" t="str">
        <f>IFERROR(INDEX(_角色基线!$C$2:$C$100,MATCH($B145,_角色基线!$A$2:$A$100,0)),"")</f>
        <v>Tank</v>
      </c>
      <c r="O145" s="16">
        <f>IFERROR(INDEX(_怪物基线!$B$2:$B$501,MATCH(INT($L145),_怪物基线!$A$2:$A$501,0)),"")</f>
        <v>50080</v>
      </c>
      <c r="P145" s="16">
        <f>IFERROR(INDEX(_怪物基线!$C$2:$C$501,MATCH(INT($L145),_怪物基线!$A$2:$A$501,0)),"")</f>
        <v>8180</v>
      </c>
      <c r="Q145" s="16">
        <f>IFERROR(INDEX(_怪物基线!$D$2:$D$501,MATCH(INT($L145),_怪物基线!$A$2:$A$501,0)),"")</f>
        <v>10093</v>
      </c>
      <c r="R145" s="16">
        <f>参数!$B$10</f>
        <v>4</v>
      </c>
      <c r="S145" s="16">
        <f>参数!$C$10</f>
        <v>1.2</v>
      </c>
      <c r="T145" s="16">
        <f>参数!$D$10</f>
        <v>1</v>
      </c>
      <c r="U145" s="16">
        <f t="shared" si="16"/>
        <v>200320</v>
      </c>
      <c r="V145" s="16">
        <f t="shared" si="17"/>
        <v>9816</v>
      </c>
      <c r="W145" s="16">
        <f t="shared" si="18"/>
        <v>10093</v>
      </c>
      <c r="X145" s="16">
        <f>IFERROR(INDEX(参数!$B$5:$B$7,MATCH($N145,参数!$A$5:$A$7,0)),"")</f>
        <v>1.5</v>
      </c>
      <c r="Y145" s="16">
        <f>IFERROR(INDEX(参数!$C$5:$C$7,MATCH($N145,参数!$A$5:$A$7,0)),"")</f>
        <v>1</v>
      </c>
      <c r="Z145" s="16">
        <f>IFERROR(INDEX(参数!$D$5:$D$7,MATCH($N145,参数!$A$5:$A$7,0)),"")</f>
        <v>1.5</v>
      </c>
      <c r="AA145" s="16">
        <f>IFERROR(INDEX(楼层配置!$E$5:$E$104,MATCH($K145,楼层配置!$B$5:$B$104,0)),1)</f>
        <v>1.16284078604177</v>
      </c>
      <c r="AB145" s="16">
        <f>IFERROR(INDEX(楼层配置!$F$5:$F$104,MATCH($K145,楼层配置!$B$5:$B$104,0)),1)</f>
        <v>0.679448918464657</v>
      </c>
      <c r="AC145" s="16">
        <f>IFERROR(INDEX(楼层配置!$G$5:$G$104,MATCH($K145,楼层配置!$B$5:$B$104,0)),1)</f>
        <v>1</v>
      </c>
      <c r="AD145" s="18">
        <f t="shared" si="19"/>
        <v>-0.112129228001433</v>
      </c>
      <c r="AE145" s="18">
        <f t="shared" si="20"/>
        <v>-0.128463146889702</v>
      </c>
      <c r="AF145" s="18">
        <f t="shared" si="21"/>
        <v>0.33721957251369</v>
      </c>
      <c r="AG145" s="16" t="str">
        <f t="shared" si="22"/>
        <v>有效</v>
      </c>
      <c r="AH145">
        <f t="shared" si="23"/>
        <v>569829.475</v>
      </c>
    </row>
    <row r="146" ht="14.25" customHeight="1" spans="1:34">
      <c r="A146" s="16">
        <v>142</v>
      </c>
      <c r="B146" s="16">
        <v>1038</v>
      </c>
      <c r="C146" s="16">
        <v>24</v>
      </c>
      <c r="D146" s="17">
        <f>IFERROR(ROUND($U146*$X146*$AA146*参数!$B$13,0),"")</f>
        <v>349410</v>
      </c>
      <c r="E146" s="17">
        <f>IFERROR(ROUND($V146*$Y146*$AB146*参数!$C$13,0),"")</f>
        <v>6669</v>
      </c>
      <c r="F146" s="17">
        <f>IFERROR(ROUND($W146*$Z146*$AC146*参数!$D$13,0),"")</f>
        <v>15140</v>
      </c>
      <c r="G146" s="16">
        <v>393537</v>
      </c>
      <c r="H146" s="16">
        <v>7652</v>
      </c>
      <c r="I146" s="16">
        <v>11322</v>
      </c>
      <c r="J146" s="16">
        <v>29</v>
      </c>
      <c r="K146" s="16">
        <v>29</v>
      </c>
      <c r="L146" s="16">
        <f>IFERROR(INDEX(楼层配置!$D$5:$D$104,MATCH($K146,楼层配置!$B$5:$B$104,0)),"")</f>
        <v>116</v>
      </c>
      <c r="M146" s="16" t="str">
        <f>IFERROR(INDEX(_角色基线!$B$2:$B$100,MATCH($B146,_角色基线!$A$2:$A$100,0)),"")</f>
        <v>商队战斗员</v>
      </c>
      <c r="N146" s="16" t="str">
        <f>IFERROR(INDEX(_角色基线!$C$2:$C$100,MATCH($B146,_角色基线!$A$2:$A$100,0)),"")</f>
        <v>Tank</v>
      </c>
      <c r="O146" s="16">
        <f>IFERROR(INDEX(_怪物基线!$B$2:$B$501,MATCH(INT($L146),_怪物基线!$A$2:$A$501,0)),"")</f>
        <v>50080</v>
      </c>
      <c r="P146" s="16">
        <f>IFERROR(INDEX(_怪物基线!$C$2:$C$501,MATCH(INT($L146),_怪物基线!$A$2:$A$501,0)),"")</f>
        <v>8180</v>
      </c>
      <c r="Q146" s="16">
        <f>IFERROR(INDEX(_怪物基线!$D$2:$D$501,MATCH(INT($L146),_怪物基线!$A$2:$A$501,0)),"")</f>
        <v>10093</v>
      </c>
      <c r="R146" s="16">
        <f>参数!$B$10</f>
        <v>4</v>
      </c>
      <c r="S146" s="16">
        <f>参数!$C$10</f>
        <v>1.2</v>
      </c>
      <c r="T146" s="16">
        <f>参数!$D$10</f>
        <v>1</v>
      </c>
      <c r="U146" s="16">
        <f t="shared" si="16"/>
        <v>200320</v>
      </c>
      <c r="V146" s="16">
        <f t="shared" si="17"/>
        <v>9816</v>
      </c>
      <c r="W146" s="16">
        <f t="shared" si="18"/>
        <v>10093</v>
      </c>
      <c r="X146" s="16">
        <f>IFERROR(INDEX(参数!$B$5:$B$7,MATCH($N146,参数!$A$5:$A$7,0)),"")</f>
        <v>1.5</v>
      </c>
      <c r="Y146" s="16">
        <f>IFERROR(INDEX(参数!$C$5:$C$7,MATCH($N146,参数!$A$5:$A$7,0)),"")</f>
        <v>1</v>
      </c>
      <c r="Z146" s="16">
        <f>IFERROR(INDEX(参数!$D$5:$D$7,MATCH($N146,参数!$A$5:$A$7,0)),"")</f>
        <v>1.5</v>
      </c>
      <c r="AA146" s="16">
        <f>IFERROR(INDEX(楼层配置!$E$5:$E$104,MATCH($K146,楼层配置!$B$5:$B$104,0)),1)</f>
        <v>1.16284078604177</v>
      </c>
      <c r="AB146" s="16">
        <f>IFERROR(INDEX(楼层配置!$F$5:$F$104,MATCH($K146,楼层配置!$B$5:$B$104,0)),1)</f>
        <v>0.679448918464657</v>
      </c>
      <c r="AC146" s="16">
        <f>IFERROR(INDEX(楼层配置!$G$5:$G$104,MATCH($K146,楼层配置!$B$5:$B$104,0)),1)</f>
        <v>1</v>
      </c>
      <c r="AD146" s="18">
        <f t="shared" si="19"/>
        <v>-0.112129228001433</v>
      </c>
      <c r="AE146" s="18">
        <f t="shared" si="20"/>
        <v>-0.128463146889702</v>
      </c>
      <c r="AF146" s="18">
        <f t="shared" si="21"/>
        <v>0.33721957251369</v>
      </c>
      <c r="AG146" s="16" t="str">
        <f t="shared" si="22"/>
        <v>有效</v>
      </c>
      <c r="AH146">
        <f t="shared" si="23"/>
        <v>569829.475</v>
      </c>
    </row>
    <row r="147" ht="14.25" customHeight="1" spans="1:34">
      <c r="A147" s="16">
        <v>143</v>
      </c>
      <c r="B147" s="16">
        <v>1014</v>
      </c>
      <c r="C147" s="16">
        <v>24</v>
      </c>
      <c r="D147" s="17">
        <f>IFERROR(ROUND($U147*$X147*$AA147*参数!$B$13,0),"")</f>
        <v>232940</v>
      </c>
      <c r="E147" s="17">
        <f>IFERROR(ROUND($V147*$Y147*$AB147*参数!$C$13,0),"")</f>
        <v>8003</v>
      </c>
      <c r="F147" s="17">
        <f>IFERROR(ROUND($W147*$Z147*$AC147*参数!$D$13,0),"")</f>
        <v>10093</v>
      </c>
      <c r="G147" s="16">
        <v>262358</v>
      </c>
      <c r="H147" s="16">
        <v>9182</v>
      </c>
      <c r="I147" s="16">
        <v>7548</v>
      </c>
      <c r="J147" s="16">
        <v>29</v>
      </c>
      <c r="K147" s="16">
        <v>29</v>
      </c>
      <c r="L147" s="16">
        <f>IFERROR(INDEX(楼层配置!$D$5:$D$104,MATCH($K147,楼层配置!$B$5:$B$104,0)),"")</f>
        <v>116</v>
      </c>
      <c r="M147" s="16" t="str">
        <f>IFERROR(INDEX(_角色基线!$B$2:$B$100,MATCH($B147,_角色基线!$A$2:$A$100,0)),"")</f>
        <v>克莉丝汀</v>
      </c>
      <c r="N147" s="16" t="str">
        <f>IFERROR(INDEX(_角色基线!$C$2:$C$100,MATCH($B147,_角色基线!$A$2:$A$100,0)),"")</f>
        <v>DPS</v>
      </c>
      <c r="O147" s="16">
        <f>IFERROR(INDEX(_怪物基线!$B$2:$B$501,MATCH(INT($L147),_怪物基线!$A$2:$A$501,0)),"")</f>
        <v>50080</v>
      </c>
      <c r="P147" s="16">
        <f>IFERROR(INDEX(_怪物基线!$C$2:$C$501,MATCH(INT($L147),_怪物基线!$A$2:$A$501,0)),"")</f>
        <v>8180</v>
      </c>
      <c r="Q147" s="16">
        <f>IFERROR(INDEX(_怪物基线!$D$2:$D$501,MATCH(INT($L147),_怪物基线!$A$2:$A$501,0)),"")</f>
        <v>10093</v>
      </c>
      <c r="R147" s="16">
        <f>参数!$B$10</f>
        <v>4</v>
      </c>
      <c r="S147" s="16">
        <f>参数!$C$10</f>
        <v>1.2</v>
      </c>
      <c r="T147" s="16">
        <f>参数!$D$10</f>
        <v>1</v>
      </c>
      <c r="U147" s="16">
        <f t="shared" si="16"/>
        <v>200320</v>
      </c>
      <c r="V147" s="16">
        <f t="shared" si="17"/>
        <v>9816</v>
      </c>
      <c r="W147" s="16">
        <f t="shared" si="18"/>
        <v>10093</v>
      </c>
      <c r="X147" s="16">
        <f>IFERROR(INDEX(参数!$B$5:$B$7,MATCH($N147,参数!$A$5:$A$7,0)),"")</f>
        <v>1</v>
      </c>
      <c r="Y147" s="16">
        <f>IFERROR(INDEX(参数!$C$5:$C$7,MATCH($N147,参数!$A$5:$A$7,0)),"")</f>
        <v>1.2</v>
      </c>
      <c r="Z147" s="16">
        <f>IFERROR(INDEX(参数!$D$5:$D$7,MATCH($N147,参数!$A$5:$A$7,0)),"")</f>
        <v>1</v>
      </c>
      <c r="AA147" s="16">
        <f>IFERROR(INDEX(楼层配置!$E$5:$E$104,MATCH($K147,楼层配置!$B$5:$B$104,0)),1)</f>
        <v>1.16284078604177</v>
      </c>
      <c r="AB147" s="16">
        <f>IFERROR(INDEX(楼层配置!$F$5:$F$104,MATCH($K147,楼层配置!$B$5:$B$104,0)),1)</f>
        <v>0.679448918464657</v>
      </c>
      <c r="AC147" s="16">
        <f>IFERROR(INDEX(楼层配置!$G$5:$G$104,MATCH($K147,楼层配置!$B$5:$B$104,0)),1)</f>
        <v>1</v>
      </c>
      <c r="AD147" s="18">
        <f t="shared" si="19"/>
        <v>-0.112129228001433</v>
      </c>
      <c r="AE147" s="18">
        <f t="shared" si="20"/>
        <v>-0.128403397952516</v>
      </c>
      <c r="AF147" s="18">
        <f t="shared" si="21"/>
        <v>0.337175410704822</v>
      </c>
      <c r="AG147" s="16" t="str">
        <f t="shared" si="22"/>
        <v>有效</v>
      </c>
      <c r="AH147">
        <f t="shared" si="23"/>
        <v>330900.975833333</v>
      </c>
    </row>
    <row r="148" ht="14.25" customHeight="1" spans="1:34">
      <c r="A148" s="16">
        <v>144</v>
      </c>
      <c r="B148" s="16">
        <v>1021</v>
      </c>
      <c r="C148" s="16">
        <v>24</v>
      </c>
      <c r="D148" s="17">
        <f>IFERROR(ROUND($U148*$X148*$AA148*参数!$B$13,0),"")</f>
        <v>232940</v>
      </c>
      <c r="E148" s="17">
        <f>IFERROR(ROUND($V148*$Y148*$AB148*参数!$C$13,0),"")</f>
        <v>8003</v>
      </c>
      <c r="F148" s="17">
        <f>IFERROR(ROUND($W148*$Z148*$AC148*参数!$D$13,0),"")</f>
        <v>10093</v>
      </c>
      <c r="G148" s="16">
        <v>262358</v>
      </c>
      <c r="H148" s="16">
        <v>9182</v>
      </c>
      <c r="I148" s="16">
        <v>7548</v>
      </c>
      <c r="J148" s="16">
        <v>29</v>
      </c>
      <c r="K148" s="16">
        <v>29</v>
      </c>
      <c r="L148" s="16">
        <f>IFERROR(INDEX(楼层配置!$D$5:$D$104,MATCH($K148,楼层配置!$B$5:$B$104,0)),"")</f>
        <v>116</v>
      </c>
      <c r="M148" s="16" t="str">
        <f>IFERROR(INDEX(_角色基线!$B$2:$B$100,MATCH($B148,_角色基线!$A$2:$A$100,0)),"")</f>
        <v>梅梅</v>
      </c>
      <c r="N148" s="16" t="str">
        <f>IFERROR(INDEX(_角色基线!$C$2:$C$100,MATCH($B148,_角色基线!$A$2:$A$100,0)),"")</f>
        <v>DPS</v>
      </c>
      <c r="O148" s="16">
        <f>IFERROR(INDEX(_怪物基线!$B$2:$B$501,MATCH(INT($L148),_怪物基线!$A$2:$A$501,0)),"")</f>
        <v>50080</v>
      </c>
      <c r="P148" s="16">
        <f>IFERROR(INDEX(_怪物基线!$C$2:$C$501,MATCH(INT($L148),_怪物基线!$A$2:$A$501,0)),"")</f>
        <v>8180</v>
      </c>
      <c r="Q148" s="16">
        <f>IFERROR(INDEX(_怪物基线!$D$2:$D$501,MATCH(INT($L148),_怪物基线!$A$2:$A$501,0)),"")</f>
        <v>10093</v>
      </c>
      <c r="R148" s="16">
        <f>参数!$B$10</f>
        <v>4</v>
      </c>
      <c r="S148" s="16">
        <f>参数!$C$10</f>
        <v>1.2</v>
      </c>
      <c r="T148" s="16">
        <f>参数!$D$10</f>
        <v>1</v>
      </c>
      <c r="U148" s="16">
        <f t="shared" si="16"/>
        <v>200320</v>
      </c>
      <c r="V148" s="16">
        <f t="shared" si="17"/>
        <v>9816</v>
      </c>
      <c r="W148" s="16">
        <f t="shared" si="18"/>
        <v>10093</v>
      </c>
      <c r="X148" s="16">
        <f>IFERROR(INDEX(参数!$B$5:$B$7,MATCH($N148,参数!$A$5:$A$7,0)),"")</f>
        <v>1</v>
      </c>
      <c r="Y148" s="16">
        <f>IFERROR(INDEX(参数!$C$5:$C$7,MATCH($N148,参数!$A$5:$A$7,0)),"")</f>
        <v>1.2</v>
      </c>
      <c r="Z148" s="16">
        <f>IFERROR(INDEX(参数!$D$5:$D$7,MATCH($N148,参数!$A$5:$A$7,0)),"")</f>
        <v>1</v>
      </c>
      <c r="AA148" s="16">
        <f>IFERROR(INDEX(楼层配置!$E$5:$E$104,MATCH($K148,楼层配置!$B$5:$B$104,0)),1)</f>
        <v>1.16284078604177</v>
      </c>
      <c r="AB148" s="16">
        <f>IFERROR(INDEX(楼层配置!$F$5:$F$104,MATCH($K148,楼层配置!$B$5:$B$104,0)),1)</f>
        <v>0.679448918464657</v>
      </c>
      <c r="AC148" s="16">
        <f>IFERROR(INDEX(楼层配置!$G$5:$G$104,MATCH($K148,楼层配置!$B$5:$B$104,0)),1)</f>
        <v>1</v>
      </c>
      <c r="AD148" s="18">
        <f t="shared" si="19"/>
        <v>-0.112129228001433</v>
      </c>
      <c r="AE148" s="18">
        <f t="shared" si="20"/>
        <v>-0.128403397952516</v>
      </c>
      <c r="AF148" s="18">
        <f t="shared" si="21"/>
        <v>0.337175410704822</v>
      </c>
      <c r="AG148" s="16" t="str">
        <f t="shared" si="22"/>
        <v>有效</v>
      </c>
      <c r="AH148">
        <f t="shared" si="23"/>
        <v>330900.975833333</v>
      </c>
    </row>
    <row r="149" ht="14.25" customHeight="1" spans="1:34">
      <c r="A149" s="16">
        <v>145</v>
      </c>
      <c r="B149" s="16">
        <v>1026</v>
      </c>
      <c r="C149" s="16">
        <v>24</v>
      </c>
      <c r="D149" s="17">
        <f>IFERROR(ROUND($U149*$X149*$AA149*参数!$B$13,0),"")</f>
        <v>232940</v>
      </c>
      <c r="E149" s="17">
        <f>IFERROR(ROUND($V149*$Y149*$AB149*参数!$C$13,0),"")</f>
        <v>8003</v>
      </c>
      <c r="F149" s="17">
        <f>IFERROR(ROUND($W149*$Z149*$AC149*参数!$D$13,0),"")</f>
        <v>10093</v>
      </c>
      <c r="G149" s="16">
        <v>262358</v>
      </c>
      <c r="H149" s="16">
        <v>9182</v>
      </c>
      <c r="I149" s="16">
        <v>7548</v>
      </c>
      <c r="J149" s="16">
        <v>29</v>
      </c>
      <c r="K149" s="16">
        <v>29</v>
      </c>
      <c r="L149" s="16">
        <f>IFERROR(INDEX(楼层配置!$D$5:$D$104,MATCH($K149,楼层配置!$B$5:$B$104,0)),"")</f>
        <v>116</v>
      </c>
      <c r="M149" s="16" t="str">
        <f>IFERROR(INDEX(_角色基线!$B$2:$B$100,MATCH($B149,_角色基线!$A$2:$A$100,0)),"")</f>
        <v>乔一</v>
      </c>
      <c r="N149" s="16" t="str">
        <f>IFERROR(INDEX(_角色基线!$C$2:$C$100,MATCH($B149,_角色基线!$A$2:$A$100,0)),"")</f>
        <v>DPS</v>
      </c>
      <c r="O149" s="16">
        <f>IFERROR(INDEX(_怪物基线!$B$2:$B$501,MATCH(INT($L149),_怪物基线!$A$2:$A$501,0)),"")</f>
        <v>50080</v>
      </c>
      <c r="P149" s="16">
        <f>IFERROR(INDEX(_怪物基线!$C$2:$C$501,MATCH(INT($L149),_怪物基线!$A$2:$A$501,0)),"")</f>
        <v>8180</v>
      </c>
      <c r="Q149" s="16">
        <f>IFERROR(INDEX(_怪物基线!$D$2:$D$501,MATCH(INT($L149),_怪物基线!$A$2:$A$501,0)),"")</f>
        <v>10093</v>
      </c>
      <c r="R149" s="16">
        <f>参数!$B$10</f>
        <v>4</v>
      </c>
      <c r="S149" s="16">
        <f>参数!$C$10</f>
        <v>1.2</v>
      </c>
      <c r="T149" s="16">
        <f>参数!$D$10</f>
        <v>1</v>
      </c>
      <c r="U149" s="16">
        <f t="shared" si="16"/>
        <v>200320</v>
      </c>
      <c r="V149" s="16">
        <f t="shared" si="17"/>
        <v>9816</v>
      </c>
      <c r="W149" s="16">
        <f t="shared" si="18"/>
        <v>10093</v>
      </c>
      <c r="X149" s="16">
        <f>IFERROR(INDEX(参数!$B$5:$B$7,MATCH($N149,参数!$A$5:$A$7,0)),"")</f>
        <v>1</v>
      </c>
      <c r="Y149" s="16">
        <f>IFERROR(INDEX(参数!$C$5:$C$7,MATCH($N149,参数!$A$5:$A$7,0)),"")</f>
        <v>1.2</v>
      </c>
      <c r="Z149" s="16">
        <f>IFERROR(INDEX(参数!$D$5:$D$7,MATCH($N149,参数!$A$5:$A$7,0)),"")</f>
        <v>1</v>
      </c>
      <c r="AA149" s="16">
        <f>IFERROR(INDEX(楼层配置!$E$5:$E$104,MATCH($K149,楼层配置!$B$5:$B$104,0)),1)</f>
        <v>1.16284078604177</v>
      </c>
      <c r="AB149" s="16">
        <f>IFERROR(INDEX(楼层配置!$F$5:$F$104,MATCH($K149,楼层配置!$B$5:$B$104,0)),1)</f>
        <v>0.679448918464657</v>
      </c>
      <c r="AC149" s="16">
        <f>IFERROR(INDEX(楼层配置!$G$5:$G$104,MATCH($K149,楼层配置!$B$5:$B$104,0)),1)</f>
        <v>1</v>
      </c>
      <c r="AD149" s="18">
        <f t="shared" si="19"/>
        <v>-0.112129228001433</v>
      </c>
      <c r="AE149" s="18">
        <f t="shared" si="20"/>
        <v>-0.128403397952516</v>
      </c>
      <c r="AF149" s="18">
        <f t="shared" si="21"/>
        <v>0.337175410704822</v>
      </c>
      <c r="AG149" s="16" t="str">
        <f t="shared" si="22"/>
        <v>有效</v>
      </c>
      <c r="AH149">
        <f t="shared" si="23"/>
        <v>330900.975833333</v>
      </c>
    </row>
    <row r="150" ht="14.25" customHeight="1" spans="1:34">
      <c r="A150" s="16">
        <v>146</v>
      </c>
      <c r="B150" s="16">
        <v>1030</v>
      </c>
      <c r="C150" s="16">
        <v>25</v>
      </c>
      <c r="D150" s="17">
        <f>IFERROR(ROUND($U150*$X150*$AA150*参数!$B$13,0),"")</f>
        <v>372479</v>
      </c>
      <c r="E150" s="17">
        <f>IFERROR(ROUND($V150*$Y150*$AB150*参数!$C$13,0),"")</f>
        <v>6967</v>
      </c>
      <c r="F150" s="17">
        <f>IFERROR(ROUND($W150*$Z150*$AC150*参数!$D$13,0),"")</f>
        <v>15744</v>
      </c>
      <c r="G150" s="16">
        <v>418896</v>
      </c>
      <c r="H150" s="16">
        <v>7970</v>
      </c>
      <c r="I150" s="16">
        <v>11738</v>
      </c>
      <c r="J150" s="16">
        <v>30</v>
      </c>
      <c r="K150" s="16">
        <v>30</v>
      </c>
      <c r="L150" s="16">
        <f>IFERROR(INDEX(楼层配置!$D$5:$D$104,MATCH($K150,楼层配置!$B$5:$B$104,0)),"")</f>
        <v>120</v>
      </c>
      <c r="M150" s="16" t="str">
        <f>IFERROR(INDEX(_角色基线!$B$2:$B$100,MATCH($B150,_角色基线!$A$2:$A$100,0)),"")</f>
        <v>莫莉</v>
      </c>
      <c r="N150" s="16" t="str">
        <f>IFERROR(INDEX(_角色基线!$C$2:$C$100,MATCH($B150,_角色基线!$A$2:$A$100,0)),"")</f>
        <v>Tank</v>
      </c>
      <c r="O150" s="16">
        <f>IFERROR(INDEX(_怪物基线!$B$2:$B$501,MATCH(INT($L150),_怪物基线!$A$2:$A$501,0)),"")</f>
        <v>53614</v>
      </c>
      <c r="P150" s="16">
        <f>IFERROR(INDEX(_怪物基线!$C$2:$C$501,MATCH(INT($L150),_怪物基线!$A$2:$A$501,0)),"")</f>
        <v>8595</v>
      </c>
      <c r="Q150" s="16">
        <f>IFERROR(INDEX(_怪物基线!$D$2:$D$501,MATCH(INT($L150),_怪物基线!$A$2:$A$501,0)),"")</f>
        <v>10496</v>
      </c>
      <c r="R150" s="16">
        <f>参数!$B$10</f>
        <v>4</v>
      </c>
      <c r="S150" s="16">
        <f>参数!$C$10</f>
        <v>1.2</v>
      </c>
      <c r="T150" s="16">
        <f>参数!$D$10</f>
        <v>1</v>
      </c>
      <c r="U150" s="16">
        <f t="shared" si="16"/>
        <v>214456</v>
      </c>
      <c r="V150" s="16">
        <f t="shared" si="17"/>
        <v>10314</v>
      </c>
      <c r="W150" s="16">
        <f t="shared" si="18"/>
        <v>10496</v>
      </c>
      <c r="X150" s="16">
        <f>IFERROR(INDEX(参数!$B$5:$B$7,MATCH($N150,参数!$A$5:$A$7,0)),"")</f>
        <v>1.5</v>
      </c>
      <c r="Y150" s="16">
        <f>IFERROR(INDEX(参数!$C$5:$C$7,MATCH($N150,参数!$A$5:$A$7,0)),"")</f>
        <v>1</v>
      </c>
      <c r="Z150" s="16">
        <f>IFERROR(INDEX(参数!$D$5:$D$7,MATCH($N150,参数!$A$5:$A$7,0)),"")</f>
        <v>1.5</v>
      </c>
      <c r="AA150" s="16">
        <f>IFERROR(INDEX(楼层配置!$E$5:$E$104,MATCH($K150,楼层配置!$B$5:$B$104,0)),1)</f>
        <v>1.15790204370874</v>
      </c>
      <c r="AB150" s="16">
        <f>IFERROR(INDEX(楼层配置!$F$5:$F$104,MATCH($K150,楼层配置!$B$5:$B$104,0)),1)</f>
        <v>0.675485081391402</v>
      </c>
      <c r="AC150" s="16">
        <f>IFERROR(INDEX(楼层配置!$G$5:$G$104,MATCH($K150,楼层配置!$B$5:$B$104,0)),1)</f>
        <v>1</v>
      </c>
      <c r="AD150" s="18">
        <f t="shared" si="19"/>
        <v>-0.110807933234025</v>
      </c>
      <c r="AE150" s="18">
        <f t="shared" si="20"/>
        <v>-0.125846925972396</v>
      </c>
      <c r="AF150" s="18">
        <f t="shared" si="21"/>
        <v>0.341284716306015</v>
      </c>
      <c r="AG150" s="16" t="str">
        <f t="shared" si="22"/>
        <v>有效</v>
      </c>
      <c r="AH150">
        <f t="shared" si="23"/>
        <v>616825.224</v>
      </c>
    </row>
    <row r="151" ht="14.25" customHeight="1" spans="1:34">
      <c r="A151" s="16">
        <v>147</v>
      </c>
      <c r="B151" s="16">
        <v>1001</v>
      </c>
      <c r="C151" s="16">
        <v>25</v>
      </c>
      <c r="D151" s="17">
        <f>IFERROR(ROUND($U151*$X151*$AA151*参数!$B$13,0),"")</f>
        <v>248319</v>
      </c>
      <c r="E151" s="17">
        <f>IFERROR(ROUND($V151*$Y151*$AB151*参数!$C$13,0),"")</f>
        <v>8360</v>
      </c>
      <c r="F151" s="17">
        <f>IFERROR(ROUND($W151*$Z151*$AC151*参数!$D$13,0),"")</f>
        <v>10496</v>
      </c>
      <c r="G151" s="16">
        <v>279264</v>
      </c>
      <c r="H151" s="16">
        <v>9564</v>
      </c>
      <c r="I151" s="16">
        <v>7825</v>
      </c>
      <c r="J151" s="16">
        <v>30</v>
      </c>
      <c r="K151" s="16">
        <v>30</v>
      </c>
      <c r="L151" s="16">
        <f>IFERROR(INDEX(楼层配置!$D$5:$D$104,MATCH($K151,楼层配置!$B$5:$B$104,0)),"")</f>
        <v>120</v>
      </c>
      <c r="M151" s="16" t="str">
        <f>IFERROR(INDEX(_角色基线!$B$2:$B$100,MATCH($B151,_角色基线!$A$2:$A$100,0)),"")</f>
        <v>星海</v>
      </c>
      <c r="N151" s="16" t="str">
        <f>IFERROR(INDEX(_角色基线!$C$2:$C$100,MATCH($B151,_角色基线!$A$2:$A$100,0)),"")</f>
        <v>DPS</v>
      </c>
      <c r="O151" s="16">
        <f>IFERROR(INDEX(_怪物基线!$B$2:$B$501,MATCH(INT($L151),_怪物基线!$A$2:$A$501,0)),"")</f>
        <v>53614</v>
      </c>
      <c r="P151" s="16">
        <f>IFERROR(INDEX(_怪物基线!$C$2:$C$501,MATCH(INT($L151),_怪物基线!$A$2:$A$501,0)),"")</f>
        <v>8595</v>
      </c>
      <c r="Q151" s="16">
        <f>IFERROR(INDEX(_怪物基线!$D$2:$D$501,MATCH(INT($L151),_怪物基线!$A$2:$A$501,0)),"")</f>
        <v>10496</v>
      </c>
      <c r="R151" s="16">
        <f>参数!$B$10</f>
        <v>4</v>
      </c>
      <c r="S151" s="16">
        <f>参数!$C$10</f>
        <v>1.2</v>
      </c>
      <c r="T151" s="16">
        <f>参数!$D$10</f>
        <v>1</v>
      </c>
      <c r="U151" s="16">
        <f t="shared" si="16"/>
        <v>214456</v>
      </c>
      <c r="V151" s="16">
        <f t="shared" si="17"/>
        <v>10314</v>
      </c>
      <c r="W151" s="16">
        <f t="shared" si="18"/>
        <v>10496</v>
      </c>
      <c r="X151" s="16">
        <f>IFERROR(INDEX(参数!$B$5:$B$7,MATCH($N151,参数!$A$5:$A$7,0)),"")</f>
        <v>1</v>
      </c>
      <c r="Y151" s="16">
        <f>IFERROR(INDEX(参数!$C$5:$C$7,MATCH($N151,参数!$A$5:$A$7,0)),"")</f>
        <v>1.2</v>
      </c>
      <c r="Z151" s="16">
        <f>IFERROR(INDEX(参数!$D$5:$D$7,MATCH($N151,参数!$A$5:$A$7,0)),"")</f>
        <v>1</v>
      </c>
      <c r="AA151" s="16">
        <f>IFERROR(INDEX(楼层配置!$E$5:$E$104,MATCH($K151,楼层配置!$B$5:$B$104,0)),1)</f>
        <v>1.15790204370874</v>
      </c>
      <c r="AB151" s="16">
        <f>IFERROR(INDEX(楼层配置!$F$5:$F$104,MATCH($K151,楼层配置!$B$5:$B$104,0)),1)</f>
        <v>0.675485081391402</v>
      </c>
      <c r="AC151" s="16">
        <f>IFERROR(INDEX(楼层配置!$G$5:$G$104,MATCH($K151,楼层配置!$B$5:$B$104,0)),1)</f>
        <v>1</v>
      </c>
      <c r="AD151" s="18">
        <f t="shared" si="19"/>
        <v>-0.110809126847714</v>
      </c>
      <c r="AE151" s="18">
        <f t="shared" si="20"/>
        <v>-0.125888749477206</v>
      </c>
      <c r="AF151" s="18">
        <f t="shared" si="21"/>
        <v>0.341341853035144</v>
      </c>
      <c r="AG151" s="16" t="str">
        <f t="shared" si="22"/>
        <v>有效</v>
      </c>
      <c r="AH151">
        <f t="shared" si="23"/>
        <v>356917.176</v>
      </c>
    </row>
    <row r="152" ht="14.25" customHeight="1" spans="1:34">
      <c r="A152" s="16">
        <v>148</v>
      </c>
      <c r="B152" s="16">
        <v>1021</v>
      </c>
      <c r="C152" s="16">
        <v>25</v>
      </c>
      <c r="D152" s="17">
        <f>IFERROR(ROUND($U152*$X152*$AA152*参数!$B$13,0),"")</f>
        <v>248319</v>
      </c>
      <c r="E152" s="17">
        <f>IFERROR(ROUND($V152*$Y152*$AB152*参数!$C$13,0),"")</f>
        <v>8360</v>
      </c>
      <c r="F152" s="17">
        <f>IFERROR(ROUND($W152*$Z152*$AC152*参数!$D$13,0),"")</f>
        <v>10496</v>
      </c>
      <c r="G152" s="16">
        <v>279264</v>
      </c>
      <c r="H152" s="16">
        <v>9564</v>
      </c>
      <c r="I152" s="16">
        <v>7825</v>
      </c>
      <c r="J152" s="16">
        <v>30</v>
      </c>
      <c r="K152" s="16">
        <v>30</v>
      </c>
      <c r="L152" s="16">
        <f>IFERROR(INDEX(楼层配置!$D$5:$D$104,MATCH($K152,楼层配置!$B$5:$B$104,0)),"")</f>
        <v>120</v>
      </c>
      <c r="M152" s="16" t="str">
        <f>IFERROR(INDEX(_角色基线!$B$2:$B$100,MATCH($B152,_角色基线!$A$2:$A$100,0)),"")</f>
        <v>梅梅</v>
      </c>
      <c r="N152" s="16" t="str">
        <f>IFERROR(INDEX(_角色基线!$C$2:$C$100,MATCH($B152,_角色基线!$A$2:$A$100,0)),"")</f>
        <v>DPS</v>
      </c>
      <c r="O152" s="16">
        <f>IFERROR(INDEX(_怪物基线!$B$2:$B$501,MATCH(INT($L152),_怪物基线!$A$2:$A$501,0)),"")</f>
        <v>53614</v>
      </c>
      <c r="P152" s="16">
        <f>IFERROR(INDEX(_怪物基线!$C$2:$C$501,MATCH(INT($L152),_怪物基线!$A$2:$A$501,0)),"")</f>
        <v>8595</v>
      </c>
      <c r="Q152" s="16">
        <f>IFERROR(INDEX(_怪物基线!$D$2:$D$501,MATCH(INT($L152),_怪物基线!$A$2:$A$501,0)),"")</f>
        <v>10496</v>
      </c>
      <c r="R152" s="16">
        <f>参数!$B$10</f>
        <v>4</v>
      </c>
      <c r="S152" s="16">
        <f>参数!$C$10</f>
        <v>1.2</v>
      </c>
      <c r="T152" s="16">
        <f>参数!$D$10</f>
        <v>1</v>
      </c>
      <c r="U152" s="16">
        <f t="shared" si="16"/>
        <v>214456</v>
      </c>
      <c r="V152" s="16">
        <f t="shared" si="17"/>
        <v>10314</v>
      </c>
      <c r="W152" s="16">
        <f t="shared" si="18"/>
        <v>10496</v>
      </c>
      <c r="X152" s="16">
        <f>IFERROR(INDEX(参数!$B$5:$B$7,MATCH($N152,参数!$A$5:$A$7,0)),"")</f>
        <v>1</v>
      </c>
      <c r="Y152" s="16">
        <f>IFERROR(INDEX(参数!$C$5:$C$7,MATCH($N152,参数!$A$5:$A$7,0)),"")</f>
        <v>1.2</v>
      </c>
      <c r="Z152" s="16">
        <f>IFERROR(INDEX(参数!$D$5:$D$7,MATCH($N152,参数!$A$5:$A$7,0)),"")</f>
        <v>1</v>
      </c>
      <c r="AA152" s="16">
        <f>IFERROR(INDEX(楼层配置!$E$5:$E$104,MATCH($K152,楼层配置!$B$5:$B$104,0)),1)</f>
        <v>1.15790204370874</v>
      </c>
      <c r="AB152" s="16">
        <f>IFERROR(INDEX(楼层配置!$F$5:$F$104,MATCH($K152,楼层配置!$B$5:$B$104,0)),1)</f>
        <v>0.675485081391402</v>
      </c>
      <c r="AC152" s="16">
        <f>IFERROR(INDEX(楼层配置!$G$5:$G$104,MATCH($K152,楼层配置!$B$5:$B$104,0)),1)</f>
        <v>1</v>
      </c>
      <c r="AD152" s="18">
        <f t="shared" si="19"/>
        <v>-0.110809126847714</v>
      </c>
      <c r="AE152" s="18">
        <f t="shared" si="20"/>
        <v>-0.125888749477206</v>
      </c>
      <c r="AF152" s="18">
        <f t="shared" si="21"/>
        <v>0.341341853035144</v>
      </c>
      <c r="AG152" s="16" t="str">
        <f t="shared" si="22"/>
        <v>有效</v>
      </c>
      <c r="AH152">
        <f t="shared" si="23"/>
        <v>356917.176</v>
      </c>
    </row>
    <row r="153" ht="14.25" customHeight="1" spans="1:34">
      <c r="A153" s="16">
        <v>149</v>
      </c>
      <c r="B153" s="16">
        <v>1020</v>
      </c>
      <c r="C153" s="16">
        <v>25</v>
      </c>
      <c r="D153" s="17">
        <f>IFERROR(ROUND($U153*$X153*$AA153*参数!$B$13,0),"")</f>
        <v>310399</v>
      </c>
      <c r="E153" s="17">
        <f>IFERROR(ROUND($V153*$Y153*$AB153*参数!$C$13,0),"")</f>
        <v>6967</v>
      </c>
      <c r="F153" s="17">
        <f>IFERROR(ROUND($W153*$Z153*$AC153*参数!$D$13,0),"")</f>
        <v>13120</v>
      </c>
      <c r="G153" s="16">
        <v>349080</v>
      </c>
      <c r="H153" s="16">
        <v>7970</v>
      </c>
      <c r="I153" s="16">
        <v>9782</v>
      </c>
      <c r="J153" s="16">
        <v>30</v>
      </c>
      <c r="K153" s="16">
        <v>30</v>
      </c>
      <c r="L153" s="16">
        <f>IFERROR(INDEX(楼层配置!$D$5:$D$104,MATCH($K153,楼层配置!$B$5:$B$104,0)),"")</f>
        <v>120</v>
      </c>
      <c r="M153" s="16" t="str">
        <f>IFERROR(INDEX(_角色基线!$B$2:$B$100,MATCH($B153,_角色基线!$A$2:$A$100,0)),"")</f>
        <v>卡斯帕</v>
      </c>
      <c r="N153" s="16" t="str">
        <f>IFERROR(INDEX(_角色基线!$C$2:$C$100,MATCH($B153,_角色基线!$A$2:$A$100,0)),"")</f>
        <v>Support</v>
      </c>
      <c r="O153" s="16">
        <f>IFERROR(INDEX(_怪物基线!$B$2:$B$501,MATCH(INT($L153),_怪物基线!$A$2:$A$501,0)),"")</f>
        <v>53614</v>
      </c>
      <c r="P153" s="16">
        <f>IFERROR(INDEX(_怪物基线!$C$2:$C$501,MATCH(INT($L153),_怪物基线!$A$2:$A$501,0)),"")</f>
        <v>8595</v>
      </c>
      <c r="Q153" s="16">
        <f>IFERROR(INDEX(_怪物基线!$D$2:$D$501,MATCH(INT($L153),_怪物基线!$A$2:$A$501,0)),"")</f>
        <v>10496</v>
      </c>
      <c r="R153" s="16">
        <f>参数!$B$10</f>
        <v>4</v>
      </c>
      <c r="S153" s="16">
        <f>参数!$C$10</f>
        <v>1.2</v>
      </c>
      <c r="T153" s="16">
        <f>参数!$D$10</f>
        <v>1</v>
      </c>
      <c r="U153" s="16">
        <f t="shared" si="16"/>
        <v>214456</v>
      </c>
      <c r="V153" s="16">
        <f t="shared" si="17"/>
        <v>10314</v>
      </c>
      <c r="W153" s="16">
        <f t="shared" si="18"/>
        <v>10496</v>
      </c>
      <c r="X153" s="16">
        <f>IFERROR(INDEX(参数!$B$5:$B$7,MATCH($N153,参数!$A$5:$A$7,0)),"")</f>
        <v>1.25</v>
      </c>
      <c r="Y153" s="16">
        <f>IFERROR(INDEX(参数!$C$5:$C$7,MATCH($N153,参数!$A$5:$A$7,0)),"")</f>
        <v>1</v>
      </c>
      <c r="Z153" s="16">
        <f>IFERROR(INDEX(参数!$D$5:$D$7,MATCH($N153,参数!$A$5:$A$7,0)),"")</f>
        <v>1.25</v>
      </c>
      <c r="AA153" s="16">
        <f>IFERROR(INDEX(楼层配置!$E$5:$E$104,MATCH($K153,楼层配置!$B$5:$B$104,0)),1)</f>
        <v>1.15790204370874</v>
      </c>
      <c r="AB153" s="16">
        <f>IFERROR(INDEX(楼层配置!$F$5:$F$104,MATCH($K153,楼层配置!$B$5:$B$104,0)),1)</f>
        <v>0.675485081391402</v>
      </c>
      <c r="AC153" s="16">
        <f>IFERROR(INDEX(楼层配置!$G$5:$G$104,MATCH($K153,楼层配置!$B$5:$B$104,0)),1)</f>
        <v>1</v>
      </c>
      <c r="AD153" s="18">
        <f t="shared" si="19"/>
        <v>-0.1108084106795</v>
      </c>
      <c r="AE153" s="18">
        <f t="shared" si="20"/>
        <v>-0.125846925972396</v>
      </c>
      <c r="AF153" s="18">
        <f t="shared" si="21"/>
        <v>0.341239010427316</v>
      </c>
      <c r="AG153" s="16" t="str">
        <f t="shared" si="22"/>
        <v>有效</v>
      </c>
      <c r="AH153">
        <f t="shared" si="23"/>
        <v>480083.786666667</v>
      </c>
    </row>
    <row r="154" ht="14.25" customHeight="1" spans="1:34">
      <c r="A154" s="16">
        <v>150</v>
      </c>
      <c r="B154" s="16">
        <v>1011</v>
      </c>
      <c r="C154" s="16">
        <v>25</v>
      </c>
      <c r="D154" s="17">
        <f>IFERROR(ROUND($U154*$X154*$AA154*参数!$B$13,0),"")</f>
        <v>310399</v>
      </c>
      <c r="E154" s="17">
        <f>IFERROR(ROUND($V154*$Y154*$AB154*参数!$C$13,0),"")</f>
        <v>6967</v>
      </c>
      <c r="F154" s="17">
        <f>IFERROR(ROUND($W154*$Z154*$AC154*参数!$D$13,0),"")</f>
        <v>13120</v>
      </c>
      <c r="G154" s="16">
        <v>349080</v>
      </c>
      <c r="H154" s="16">
        <v>7970</v>
      </c>
      <c r="I154" s="16">
        <v>9782</v>
      </c>
      <c r="J154" s="16">
        <v>30</v>
      </c>
      <c r="K154" s="16">
        <v>30</v>
      </c>
      <c r="L154" s="16">
        <f>IFERROR(INDEX(楼层配置!$D$5:$D$104,MATCH($K154,楼层配置!$B$5:$B$104,0)),"")</f>
        <v>120</v>
      </c>
      <c r="M154" s="16" t="str">
        <f>IFERROR(INDEX(_角色基线!$B$2:$B$100,MATCH($B154,_角色基线!$A$2:$A$100,0)),"")</f>
        <v>陈双双</v>
      </c>
      <c r="N154" s="16" t="str">
        <f>IFERROR(INDEX(_角色基线!$C$2:$C$100,MATCH($B154,_角色基线!$A$2:$A$100,0)),"")</f>
        <v>Support</v>
      </c>
      <c r="O154" s="16">
        <f>IFERROR(INDEX(_怪物基线!$B$2:$B$501,MATCH(INT($L154),_怪物基线!$A$2:$A$501,0)),"")</f>
        <v>53614</v>
      </c>
      <c r="P154" s="16">
        <f>IFERROR(INDEX(_怪物基线!$C$2:$C$501,MATCH(INT($L154),_怪物基线!$A$2:$A$501,0)),"")</f>
        <v>8595</v>
      </c>
      <c r="Q154" s="16">
        <f>IFERROR(INDEX(_怪物基线!$D$2:$D$501,MATCH(INT($L154),_怪物基线!$A$2:$A$501,0)),"")</f>
        <v>10496</v>
      </c>
      <c r="R154" s="16">
        <f>参数!$B$10</f>
        <v>4</v>
      </c>
      <c r="S154" s="16">
        <f>参数!$C$10</f>
        <v>1.2</v>
      </c>
      <c r="T154" s="16">
        <f>参数!$D$10</f>
        <v>1</v>
      </c>
      <c r="U154" s="16">
        <f t="shared" si="16"/>
        <v>214456</v>
      </c>
      <c r="V154" s="16">
        <f t="shared" si="17"/>
        <v>10314</v>
      </c>
      <c r="W154" s="16">
        <f t="shared" si="18"/>
        <v>10496</v>
      </c>
      <c r="X154" s="16">
        <f>IFERROR(INDEX(参数!$B$5:$B$7,MATCH($N154,参数!$A$5:$A$7,0)),"")</f>
        <v>1.25</v>
      </c>
      <c r="Y154" s="16">
        <f>IFERROR(INDEX(参数!$C$5:$C$7,MATCH($N154,参数!$A$5:$A$7,0)),"")</f>
        <v>1</v>
      </c>
      <c r="Z154" s="16">
        <f>IFERROR(INDEX(参数!$D$5:$D$7,MATCH($N154,参数!$A$5:$A$7,0)),"")</f>
        <v>1.25</v>
      </c>
      <c r="AA154" s="16">
        <f>IFERROR(INDEX(楼层配置!$E$5:$E$104,MATCH($K154,楼层配置!$B$5:$B$104,0)),1)</f>
        <v>1.15790204370874</v>
      </c>
      <c r="AB154" s="16">
        <f>IFERROR(INDEX(楼层配置!$F$5:$F$104,MATCH($K154,楼层配置!$B$5:$B$104,0)),1)</f>
        <v>0.675485081391402</v>
      </c>
      <c r="AC154" s="16">
        <f>IFERROR(INDEX(楼层配置!$G$5:$G$104,MATCH($K154,楼层配置!$B$5:$B$104,0)),1)</f>
        <v>1</v>
      </c>
      <c r="AD154" s="18">
        <f t="shared" si="19"/>
        <v>-0.1108084106795</v>
      </c>
      <c r="AE154" s="18">
        <f t="shared" si="20"/>
        <v>-0.125846925972396</v>
      </c>
      <c r="AF154" s="18">
        <f t="shared" si="21"/>
        <v>0.341239010427316</v>
      </c>
      <c r="AG154" s="16" t="str">
        <f t="shared" si="22"/>
        <v>有效</v>
      </c>
      <c r="AH154">
        <f t="shared" si="23"/>
        <v>480083.786666667</v>
      </c>
    </row>
    <row r="155" ht="14.25" customHeight="1" spans="1:34">
      <c r="A155" s="16">
        <v>151</v>
      </c>
      <c r="B155" s="16">
        <v>1030</v>
      </c>
      <c r="C155" s="16">
        <v>25</v>
      </c>
      <c r="D155" s="17">
        <f>IFERROR(ROUND($U155*$X155*$AA155*参数!$B$13,0),"")</f>
        <v>402226</v>
      </c>
      <c r="E155" s="17">
        <f>IFERROR(ROUND($V155*$Y155*$AB155*参数!$C$13,0),"")</f>
        <v>7322</v>
      </c>
      <c r="F155" s="17">
        <f>IFERROR(ROUND($W155*$Z155*$AC155*参数!$D$13,0),"")</f>
        <v>16353</v>
      </c>
      <c r="G155" s="16">
        <v>445348</v>
      </c>
      <c r="H155" s="16">
        <v>8296</v>
      </c>
      <c r="I155" s="16">
        <v>12157</v>
      </c>
      <c r="J155" s="16">
        <v>31</v>
      </c>
      <c r="K155" s="16">
        <v>31</v>
      </c>
      <c r="L155" s="16">
        <f>IFERROR(INDEX(楼层配置!$D$5:$D$104,MATCH($K155,楼层配置!$B$5:$B$104,0)),"")</f>
        <v>124</v>
      </c>
      <c r="M155" s="16" t="str">
        <f>IFERROR(INDEX(_角色基线!$B$2:$B$100,MATCH($B155,_角色基线!$A$2:$A$100,0)),"")</f>
        <v>莫莉</v>
      </c>
      <c r="N155" s="16" t="str">
        <f>IFERROR(INDEX(_角色基线!$C$2:$C$100,MATCH($B155,_角色基线!$A$2:$A$100,0)),"")</f>
        <v>Tank</v>
      </c>
      <c r="O155" s="16">
        <f>IFERROR(INDEX(_怪物基线!$B$2:$B$501,MATCH(INT($L155),_怪物基线!$A$2:$A$501,0)),"")</f>
        <v>57313</v>
      </c>
      <c r="P155" s="16">
        <f>IFERROR(INDEX(_怪物基线!$C$2:$C$501,MATCH(INT($L155),_怪物基线!$A$2:$A$501,0)),"")</f>
        <v>9021</v>
      </c>
      <c r="Q155" s="16">
        <f>IFERROR(INDEX(_怪物基线!$D$2:$D$501,MATCH(INT($L155),_怪物基线!$A$2:$A$501,0)),"")</f>
        <v>10902</v>
      </c>
      <c r="R155" s="16">
        <f>参数!$B$10</f>
        <v>4</v>
      </c>
      <c r="S155" s="16">
        <f>参数!$C$10</f>
        <v>1.2</v>
      </c>
      <c r="T155" s="16">
        <f>参数!$D$10</f>
        <v>1</v>
      </c>
      <c r="U155" s="16">
        <f t="shared" si="16"/>
        <v>229252</v>
      </c>
      <c r="V155" s="16">
        <f t="shared" si="17"/>
        <v>10825.2</v>
      </c>
      <c r="W155" s="16">
        <f t="shared" si="18"/>
        <v>10902</v>
      </c>
      <c r="X155" s="16">
        <f>IFERROR(INDEX(参数!$B$5:$B$7,MATCH($N155,参数!$A$5:$A$7,0)),"")</f>
        <v>1.5</v>
      </c>
      <c r="Y155" s="16">
        <f>IFERROR(INDEX(参数!$C$5:$C$7,MATCH($N155,参数!$A$5:$A$7,0)),"")</f>
        <v>1</v>
      </c>
      <c r="Z155" s="16">
        <f>IFERROR(INDEX(参数!$D$5:$D$7,MATCH($N155,参数!$A$5:$A$7,0)),"")</f>
        <v>1.5</v>
      </c>
      <c r="AA155" s="16">
        <f>IFERROR(INDEX(楼层配置!$E$5:$E$104,MATCH($K155,楼层配置!$B$5:$B$104,0)),1)</f>
        <v>1.16967741431087</v>
      </c>
      <c r="AB155" s="16">
        <f>IFERROR(INDEX(楼层配置!$F$5:$F$104,MATCH($K155,楼层配置!$B$5:$B$104,0)),1)</f>
        <v>0.676370195756928</v>
      </c>
      <c r="AC155" s="16">
        <f>IFERROR(INDEX(楼层配置!$G$5:$G$104,MATCH($K155,楼层配置!$B$5:$B$104,0)),1)</f>
        <v>1</v>
      </c>
      <c r="AD155" s="18">
        <f t="shared" si="19"/>
        <v>-0.0968276493887926</v>
      </c>
      <c r="AE155" s="18">
        <f t="shared" si="20"/>
        <v>-0.117405978784957</v>
      </c>
      <c r="AF155" s="18">
        <f t="shared" si="21"/>
        <v>0.345150941844205</v>
      </c>
      <c r="AG155" s="16" t="str">
        <f t="shared" si="22"/>
        <v>有效</v>
      </c>
      <c r="AH155">
        <f t="shared" si="23"/>
        <v>676292.74075</v>
      </c>
    </row>
    <row r="156" ht="14.25" customHeight="1" spans="1:34">
      <c r="A156" s="16">
        <v>152</v>
      </c>
      <c r="B156" s="16">
        <v>1035</v>
      </c>
      <c r="C156" s="16">
        <v>25</v>
      </c>
      <c r="D156" s="17">
        <f>IFERROR(ROUND($U156*$X156*$AA156*参数!$B$13,0),"")</f>
        <v>268151</v>
      </c>
      <c r="E156" s="17">
        <f>IFERROR(ROUND($V156*$Y156*$AB156*参数!$C$13,0),"")</f>
        <v>8786</v>
      </c>
      <c r="F156" s="17">
        <f>IFERROR(ROUND($W156*$Z156*$AC156*参数!$D$13,0),"")</f>
        <v>10902</v>
      </c>
      <c r="G156" s="16">
        <v>296899</v>
      </c>
      <c r="H156" s="16">
        <v>9955</v>
      </c>
      <c r="I156" s="16">
        <v>8104</v>
      </c>
      <c r="J156" s="16">
        <v>31</v>
      </c>
      <c r="K156" s="16">
        <v>31</v>
      </c>
      <c r="L156" s="16">
        <f>IFERROR(INDEX(楼层配置!$D$5:$D$104,MATCH($K156,楼层配置!$B$5:$B$104,0)),"")</f>
        <v>124</v>
      </c>
      <c r="M156" s="16" t="str">
        <f>IFERROR(INDEX(_角色基线!$B$2:$B$100,MATCH($B156,_角色基线!$A$2:$A$100,0)),"")</f>
        <v>碎冰者</v>
      </c>
      <c r="N156" s="16" t="str">
        <f>IFERROR(INDEX(_角色基线!$C$2:$C$100,MATCH($B156,_角色基线!$A$2:$A$100,0)),"")</f>
        <v>DPS</v>
      </c>
      <c r="O156" s="16">
        <f>IFERROR(INDEX(_怪物基线!$B$2:$B$501,MATCH(INT($L156),_怪物基线!$A$2:$A$501,0)),"")</f>
        <v>57313</v>
      </c>
      <c r="P156" s="16">
        <f>IFERROR(INDEX(_怪物基线!$C$2:$C$501,MATCH(INT($L156),_怪物基线!$A$2:$A$501,0)),"")</f>
        <v>9021</v>
      </c>
      <c r="Q156" s="16">
        <f>IFERROR(INDEX(_怪物基线!$D$2:$D$501,MATCH(INT($L156),_怪物基线!$A$2:$A$501,0)),"")</f>
        <v>10902</v>
      </c>
      <c r="R156" s="16">
        <f>参数!$B$10</f>
        <v>4</v>
      </c>
      <c r="S156" s="16">
        <f>参数!$C$10</f>
        <v>1.2</v>
      </c>
      <c r="T156" s="16">
        <f>参数!$D$10</f>
        <v>1</v>
      </c>
      <c r="U156" s="16">
        <f t="shared" si="16"/>
        <v>229252</v>
      </c>
      <c r="V156" s="16">
        <f t="shared" si="17"/>
        <v>10825.2</v>
      </c>
      <c r="W156" s="16">
        <f t="shared" si="18"/>
        <v>10902</v>
      </c>
      <c r="X156" s="16">
        <f>IFERROR(INDEX(参数!$B$5:$B$7,MATCH($N156,参数!$A$5:$A$7,0)),"")</f>
        <v>1</v>
      </c>
      <c r="Y156" s="16">
        <f>IFERROR(INDEX(参数!$C$5:$C$7,MATCH($N156,参数!$A$5:$A$7,0)),"")</f>
        <v>1.2</v>
      </c>
      <c r="Z156" s="16">
        <f>IFERROR(INDEX(参数!$D$5:$D$7,MATCH($N156,参数!$A$5:$A$7,0)),"")</f>
        <v>1</v>
      </c>
      <c r="AA156" s="16">
        <f>IFERROR(INDEX(楼层配置!$E$5:$E$104,MATCH($K156,楼层配置!$B$5:$B$104,0)),1)</f>
        <v>1.16967741431087</v>
      </c>
      <c r="AB156" s="16">
        <f>IFERROR(INDEX(楼层配置!$F$5:$F$104,MATCH($K156,楼层配置!$B$5:$B$104,0)),1)</f>
        <v>0.676370195756928</v>
      </c>
      <c r="AC156" s="16">
        <f>IFERROR(INDEX(楼层配置!$G$5:$G$104,MATCH($K156,楼层配置!$B$5:$B$104,0)),1)</f>
        <v>1</v>
      </c>
      <c r="AD156" s="18">
        <f t="shared" si="19"/>
        <v>-0.0968275406788167</v>
      </c>
      <c r="AE156" s="18">
        <f t="shared" si="20"/>
        <v>-0.117428427925666</v>
      </c>
      <c r="AF156" s="18">
        <f t="shared" si="21"/>
        <v>0.345261599210267</v>
      </c>
      <c r="AG156" s="16" t="str">
        <f t="shared" si="22"/>
        <v>有效</v>
      </c>
      <c r="AH156">
        <f t="shared" si="23"/>
        <v>389958.59175</v>
      </c>
    </row>
    <row r="157" ht="14.25" customHeight="1" spans="1:34">
      <c r="A157" s="16">
        <v>153</v>
      </c>
      <c r="B157" s="16">
        <v>1026</v>
      </c>
      <c r="C157" s="16">
        <v>25</v>
      </c>
      <c r="D157" s="17">
        <f>IFERROR(ROUND($U157*$X157*$AA157*参数!$B$13,0),"")</f>
        <v>268151</v>
      </c>
      <c r="E157" s="17">
        <f>IFERROR(ROUND($V157*$Y157*$AB157*参数!$C$13,0),"")</f>
        <v>8786</v>
      </c>
      <c r="F157" s="17">
        <f>IFERROR(ROUND($W157*$Z157*$AC157*参数!$D$13,0),"")</f>
        <v>10902</v>
      </c>
      <c r="G157" s="16">
        <v>296899</v>
      </c>
      <c r="H157" s="16">
        <v>9955</v>
      </c>
      <c r="I157" s="16">
        <v>8104</v>
      </c>
      <c r="J157" s="16">
        <v>31</v>
      </c>
      <c r="K157" s="16">
        <v>31</v>
      </c>
      <c r="L157" s="16">
        <f>IFERROR(INDEX(楼层配置!$D$5:$D$104,MATCH($K157,楼层配置!$B$5:$B$104,0)),"")</f>
        <v>124</v>
      </c>
      <c r="M157" s="16" t="str">
        <f>IFERROR(INDEX(_角色基线!$B$2:$B$100,MATCH($B157,_角色基线!$A$2:$A$100,0)),"")</f>
        <v>乔一</v>
      </c>
      <c r="N157" s="16" t="str">
        <f>IFERROR(INDEX(_角色基线!$C$2:$C$100,MATCH($B157,_角色基线!$A$2:$A$100,0)),"")</f>
        <v>DPS</v>
      </c>
      <c r="O157" s="16">
        <f>IFERROR(INDEX(_怪物基线!$B$2:$B$501,MATCH(INT($L157),_怪物基线!$A$2:$A$501,0)),"")</f>
        <v>57313</v>
      </c>
      <c r="P157" s="16">
        <f>IFERROR(INDEX(_怪物基线!$C$2:$C$501,MATCH(INT($L157),_怪物基线!$A$2:$A$501,0)),"")</f>
        <v>9021</v>
      </c>
      <c r="Q157" s="16">
        <f>IFERROR(INDEX(_怪物基线!$D$2:$D$501,MATCH(INT($L157),_怪物基线!$A$2:$A$501,0)),"")</f>
        <v>10902</v>
      </c>
      <c r="R157" s="16">
        <f>参数!$B$10</f>
        <v>4</v>
      </c>
      <c r="S157" s="16">
        <f>参数!$C$10</f>
        <v>1.2</v>
      </c>
      <c r="T157" s="16">
        <f>参数!$D$10</f>
        <v>1</v>
      </c>
      <c r="U157" s="16">
        <f t="shared" si="16"/>
        <v>229252</v>
      </c>
      <c r="V157" s="16">
        <f t="shared" si="17"/>
        <v>10825.2</v>
      </c>
      <c r="W157" s="16">
        <f t="shared" si="18"/>
        <v>10902</v>
      </c>
      <c r="X157" s="16">
        <f>IFERROR(INDEX(参数!$B$5:$B$7,MATCH($N157,参数!$A$5:$A$7,0)),"")</f>
        <v>1</v>
      </c>
      <c r="Y157" s="16">
        <f>IFERROR(INDEX(参数!$C$5:$C$7,MATCH($N157,参数!$A$5:$A$7,0)),"")</f>
        <v>1.2</v>
      </c>
      <c r="Z157" s="16">
        <f>IFERROR(INDEX(参数!$D$5:$D$7,MATCH($N157,参数!$A$5:$A$7,0)),"")</f>
        <v>1</v>
      </c>
      <c r="AA157" s="16">
        <f>IFERROR(INDEX(楼层配置!$E$5:$E$104,MATCH($K157,楼层配置!$B$5:$B$104,0)),1)</f>
        <v>1.16967741431087</v>
      </c>
      <c r="AB157" s="16">
        <f>IFERROR(INDEX(楼层配置!$F$5:$F$104,MATCH($K157,楼层配置!$B$5:$B$104,0)),1)</f>
        <v>0.676370195756928</v>
      </c>
      <c r="AC157" s="16">
        <f>IFERROR(INDEX(楼层配置!$G$5:$G$104,MATCH($K157,楼层配置!$B$5:$B$104,0)),1)</f>
        <v>1</v>
      </c>
      <c r="AD157" s="18">
        <f t="shared" si="19"/>
        <v>-0.0968275406788167</v>
      </c>
      <c r="AE157" s="18">
        <f t="shared" si="20"/>
        <v>-0.117428427925666</v>
      </c>
      <c r="AF157" s="18">
        <f t="shared" si="21"/>
        <v>0.345261599210267</v>
      </c>
      <c r="AG157" s="16" t="str">
        <f t="shared" si="22"/>
        <v>有效</v>
      </c>
      <c r="AH157">
        <f t="shared" si="23"/>
        <v>389958.59175</v>
      </c>
    </row>
    <row r="158" ht="14.25" customHeight="1" spans="1:34">
      <c r="A158" s="16">
        <v>154</v>
      </c>
      <c r="B158" s="16">
        <v>1011</v>
      </c>
      <c r="C158" s="16">
        <v>25</v>
      </c>
      <c r="D158" s="17">
        <f>IFERROR(ROUND($U158*$X158*$AA158*参数!$B$13,0),"")</f>
        <v>335189</v>
      </c>
      <c r="E158" s="17">
        <f>IFERROR(ROUND($V158*$Y158*$AB158*参数!$C$13,0),"")</f>
        <v>7322</v>
      </c>
      <c r="F158" s="17">
        <f>IFERROR(ROUND($W158*$Z158*$AC158*参数!$D$13,0),"")</f>
        <v>13628</v>
      </c>
      <c r="G158" s="16">
        <v>371124</v>
      </c>
      <c r="H158" s="16">
        <v>8296</v>
      </c>
      <c r="I158" s="16">
        <v>10131</v>
      </c>
      <c r="J158" s="16">
        <v>31</v>
      </c>
      <c r="K158" s="16">
        <v>31</v>
      </c>
      <c r="L158" s="16">
        <f>IFERROR(INDEX(楼层配置!$D$5:$D$104,MATCH($K158,楼层配置!$B$5:$B$104,0)),"")</f>
        <v>124</v>
      </c>
      <c r="M158" s="16" t="str">
        <f>IFERROR(INDEX(_角色基线!$B$2:$B$100,MATCH($B158,_角色基线!$A$2:$A$100,0)),"")</f>
        <v>陈双双</v>
      </c>
      <c r="N158" s="16" t="str">
        <f>IFERROR(INDEX(_角色基线!$C$2:$C$100,MATCH($B158,_角色基线!$A$2:$A$100,0)),"")</f>
        <v>Support</v>
      </c>
      <c r="O158" s="16">
        <f>IFERROR(INDEX(_怪物基线!$B$2:$B$501,MATCH(INT($L158),_怪物基线!$A$2:$A$501,0)),"")</f>
        <v>57313</v>
      </c>
      <c r="P158" s="16">
        <f>IFERROR(INDEX(_怪物基线!$C$2:$C$501,MATCH(INT($L158),_怪物基线!$A$2:$A$501,0)),"")</f>
        <v>9021</v>
      </c>
      <c r="Q158" s="16">
        <f>IFERROR(INDEX(_怪物基线!$D$2:$D$501,MATCH(INT($L158),_怪物基线!$A$2:$A$501,0)),"")</f>
        <v>10902</v>
      </c>
      <c r="R158" s="16">
        <f>参数!$B$10</f>
        <v>4</v>
      </c>
      <c r="S158" s="16">
        <f>参数!$C$10</f>
        <v>1.2</v>
      </c>
      <c r="T158" s="16">
        <f>参数!$D$10</f>
        <v>1</v>
      </c>
      <c r="U158" s="16">
        <f t="shared" si="16"/>
        <v>229252</v>
      </c>
      <c r="V158" s="16">
        <f t="shared" si="17"/>
        <v>10825.2</v>
      </c>
      <c r="W158" s="16">
        <f t="shared" si="18"/>
        <v>10902</v>
      </c>
      <c r="X158" s="16">
        <f>IFERROR(INDEX(参数!$B$5:$B$7,MATCH($N158,参数!$A$5:$A$7,0)),"")</f>
        <v>1.25</v>
      </c>
      <c r="Y158" s="16">
        <f>IFERROR(INDEX(参数!$C$5:$C$7,MATCH($N158,参数!$A$5:$A$7,0)),"")</f>
        <v>1</v>
      </c>
      <c r="Z158" s="16">
        <f>IFERROR(INDEX(参数!$D$5:$D$7,MATCH($N158,参数!$A$5:$A$7,0)),"")</f>
        <v>1.25</v>
      </c>
      <c r="AA158" s="16">
        <f>IFERROR(INDEX(楼层配置!$E$5:$E$104,MATCH($K158,楼层配置!$B$5:$B$104,0)),1)</f>
        <v>1.16967741431087</v>
      </c>
      <c r="AB158" s="16">
        <f>IFERROR(INDEX(楼层配置!$F$5:$F$104,MATCH($K158,楼层配置!$B$5:$B$104,0)),1)</f>
        <v>0.676370195756928</v>
      </c>
      <c r="AC158" s="16">
        <f>IFERROR(INDEX(楼层配置!$G$5:$G$104,MATCH($K158,楼层配置!$B$5:$B$104,0)),1)</f>
        <v>1</v>
      </c>
      <c r="AD158" s="18">
        <f t="shared" si="19"/>
        <v>-0.0968274754529483</v>
      </c>
      <c r="AE158" s="18">
        <f t="shared" si="20"/>
        <v>-0.117405978784957</v>
      </c>
      <c r="AF158" s="18">
        <f t="shared" si="21"/>
        <v>0.345178166025071</v>
      </c>
      <c r="AG158" s="16" t="str">
        <f t="shared" si="22"/>
        <v>有效</v>
      </c>
      <c r="AH158">
        <f t="shared" si="23"/>
        <v>525520.487166667</v>
      </c>
    </row>
    <row r="159" ht="14.25" customHeight="1" spans="1:34">
      <c r="A159" s="16">
        <v>155</v>
      </c>
      <c r="B159" s="16">
        <v>1023</v>
      </c>
      <c r="C159" s="16">
        <v>25</v>
      </c>
      <c r="D159" s="17">
        <f>IFERROR(ROUND($U159*$X159*$AA159*参数!$B$13,0),"")</f>
        <v>335189</v>
      </c>
      <c r="E159" s="17">
        <f>IFERROR(ROUND($V159*$Y159*$AB159*参数!$C$13,0),"")</f>
        <v>7322</v>
      </c>
      <c r="F159" s="17">
        <f>IFERROR(ROUND($W159*$Z159*$AC159*参数!$D$13,0),"")</f>
        <v>13628</v>
      </c>
      <c r="G159" s="16">
        <v>371124</v>
      </c>
      <c r="H159" s="16">
        <v>8296</v>
      </c>
      <c r="I159" s="16">
        <v>10131</v>
      </c>
      <c r="J159" s="16">
        <v>31</v>
      </c>
      <c r="K159" s="16">
        <v>31</v>
      </c>
      <c r="L159" s="16">
        <f>IFERROR(INDEX(楼层配置!$D$5:$D$104,MATCH($K159,楼层配置!$B$5:$B$104,0)),"")</f>
        <v>124</v>
      </c>
      <c r="M159" s="16" t="str">
        <f>IFERROR(INDEX(_角色基线!$B$2:$B$100,MATCH($B159,_角色基线!$A$2:$A$100,0)),"")</f>
        <v>马克</v>
      </c>
      <c r="N159" s="16" t="str">
        <f>IFERROR(INDEX(_角色基线!$C$2:$C$100,MATCH($B159,_角色基线!$A$2:$A$100,0)),"")</f>
        <v>Support</v>
      </c>
      <c r="O159" s="16">
        <f>IFERROR(INDEX(_怪物基线!$B$2:$B$501,MATCH(INT($L159),_怪物基线!$A$2:$A$501,0)),"")</f>
        <v>57313</v>
      </c>
      <c r="P159" s="16">
        <f>IFERROR(INDEX(_怪物基线!$C$2:$C$501,MATCH(INT($L159),_怪物基线!$A$2:$A$501,0)),"")</f>
        <v>9021</v>
      </c>
      <c r="Q159" s="16">
        <f>IFERROR(INDEX(_怪物基线!$D$2:$D$501,MATCH(INT($L159),_怪物基线!$A$2:$A$501,0)),"")</f>
        <v>10902</v>
      </c>
      <c r="R159" s="16">
        <f>参数!$B$10</f>
        <v>4</v>
      </c>
      <c r="S159" s="16">
        <f>参数!$C$10</f>
        <v>1.2</v>
      </c>
      <c r="T159" s="16">
        <f>参数!$D$10</f>
        <v>1</v>
      </c>
      <c r="U159" s="16">
        <f t="shared" si="16"/>
        <v>229252</v>
      </c>
      <c r="V159" s="16">
        <f t="shared" si="17"/>
        <v>10825.2</v>
      </c>
      <c r="W159" s="16">
        <f t="shared" si="18"/>
        <v>10902</v>
      </c>
      <c r="X159" s="16">
        <f>IFERROR(INDEX(参数!$B$5:$B$7,MATCH($N159,参数!$A$5:$A$7,0)),"")</f>
        <v>1.25</v>
      </c>
      <c r="Y159" s="16">
        <f>IFERROR(INDEX(参数!$C$5:$C$7,MATCH($N159,参数!$A$5:$A$7,0)),"")</f>
        <v>1</v>
      </c>
      <c r="Z159" s="16">
        <f>IFERROR(INDEX(参数!$D$5:$D$7,MATCH($N159,参数!$A$5:$A$7,0)),"")</f>
        <v>1.25</v>
      </c>
      <c r="AA159" s="16">
        <f>IFERROR(INDEX(楼层配置!$E$5:$E$104,MATCH($K159,楼层配置!$B$5:$B$104,0)),1)</f>
        <v>1.16967741431087</v>
      </c>
      <c r="AB159" s="16">
        <f>IFERROR(INDEX(楼层配置!$F$5:$F$104,MATCH($K159,楼层配置!$B$5:$B$104,0)),1)</f>
        <v>0.676370195756928</v>
      </c>
      <c r="AC159" s="16">
        <f>IFERROR(INDEX(楼层配置!$G$5:$G$104,MATCH($K159,楼层配置!$B$5:$B$104,0)),1)</f>
        <v>1</v>
      </c>
      <c r="AD159" s="18">
        <f t="shared" si="19"/>
        <v>-0.0968274754529483</v>
      </c>
      <c r="AE159" s="18">
        <f t="shared" si="20"/>
        <v>-0.117405978784957</v>
      </c>
      <c r="AF159" s="18">
        <f t="shared" si="21"/>
        <v>0.345178166025071</v>
      </c>
      <c r="AG159" s="16" t="str">
        <f t="shared" si="22"/>
        <v>有效</v>
      </c>
      <c r="AH159">
        <f t="shared" si="23"/>
        <v>525520.487166667</v>
      </c>
    </row>
    <row r="160" ht="14.25" customHeight="1" spans="1:34">
      <c r="A160" s="16">
        <v>156</v>
      </c>
      <c r="B160" s="16">
        <v>1002</v>
      </c>
      <c r="C160" s="16">
        <v>26</v>
      </c>
      <c r="D160" s="17">
        <f>IFERROR(ROUND($U160*$X160*$AA160*参数!$B$13,0),"")</f>
        <v>430969</v>
      </c>
      <c r="E160" s="17">
        <f>IFERROR(ROUND($V160*$Y160*$AB160*参数!$C$13,0),"")</f>
        <v>7665</v>
      </c>
      <c r="F160" s="17">
        <f>IFERROR(ROUND($W160*$Z160*$AC160*参数!$D$13,0),"")</f>
        <v>16968</v>
      </c>
      <c r="G160" s="16">
        <v>472932</v>
      </c>
      <c r="H160" s="16">
        <v>8626</v>
      </c>
      <c r="I160" s="16">
        <v>12582</v>
      </c>
      <c r="J160" s="16">
        <v>32</v>
      </c>
      <c r="K160" s="16">
        <v>32</v>
      </c>
      <c r="L160" s="16">
        <f>IFERROR(INDEX(楼层配置!$D$5:$D$104,MATCH($K160,楼层配置!$B$5:$B$104,0)),"")</f>
        <v>128</v>
      </c>
      <c r="M160" s="16" t="str">
        <f>IFERROR(INDEX(_角色基线!$B$2:$B$100,MATCH($B160,_角色基线!$A$2:$A$100,0)),"")</f>
        <v>大暑</v>
      </c>
      <c r="N160" s="16" t="str">
        <f>IFERROR(INDEX(_角色基线!$C$2:$C$100,MATCH($B160,_角色基线!$A$2:$A$100,0)),"")</f>
        <v>Tank</v>
      </c>
      <c r="O160" s="16">
        <f>IFERROR(INDEX(_怪物基线!$B$2:$B$501,MATCH(INT($L160),_怪物基线!$A$2:$A$501,0)),"")</f>
        <v>61184</v>
      </c>
      <c r="P160" s="16">
        <f>IFERROR(INDEX(_怪物基线!$C$2:$C$501,MATCH(INT($L160),_怪物基线!$A$2:$A$501,0)),"")</f>
        <v>9459</v>
      </c>
      <c r="Q160" s="16">
        <f>IFERROR(INDEX(_怪物基线!$D$2:$D$501,MATCH(INT($L160),_怪物基线!$A$2:$A$501,0)),"")</f>
        <v>11312</v>
      </c>
      <c r="R160" s="16">
        <f>参数!$B$10</f>
        <v>4</v>
      </c>
      <c r="S160" s="16">
        <f>参数!$C$10</f>
        <v>1.2</v>
      </c>
      <c r="T160" s="16">
        <f>参数!$D$10</f>
        <v>1</v>
      </c>
      <c r="U160" s="16">
        <f t="shared" si="16"/>
        <v>244736</v>
      </c>
      <c r="V160" s="16">
        <f t="shared" si="17"/>
        <v>11350.8</v>
      </c>
      <c r="W160" s="16">
        <f t="shared" si="18"/>
        <v>11312</v>
      </c>
      <c r="X160" s="16">
        <f>IFERROR(INDEX(参数!$B$5:$B$7,MATCH($N160,参数!$A$5:$A$7,0)),"")</f>
        <v>1.5</v>
      </c>
      <c r="Y160" s="16">
        <f>IFERROR(INDEX(参数!$C$5:$C$7,MATCH($N160,参数!$A$5:$A$7,0)),"")</f>
        <v>1</v>
      </c>
      <c r="Z160" s="16">
        <f>IFERROR(INDEX(参数!$D$5:$D$7,MATCH($N160,参数!$A$5:$A$7,0)),"")</f>
        <v>1.5</v>
      </c>
      <c r="AA160" s="16">
        <f>IFERROR(INDEX(楼层配置!$E$5:$E$104,MATCH($K160,楼层配置!$B$5:$B$104,0)),1)</f>
        <v>1.17397097419226</v>
      </c>
      <c r="AB160" s="16">
        <f>IFERROR(INDEX(楼层配置!$F$5:$F$104,MATCH($K160,楼层配置!$B$5:$B$104,0)),1)</f>
        <v>0.675278998801872</v>
      </c>
      <c r="AC160" s="16">
        <f>IFERROR(INDEX(楼层配置!$G$5:$G$104,MATCH($K160,楼层配置!$B$5:$B$104,0)),1)</f>
        <v>1</v>
      </c>
      <c r="AD160" s="18">
        <f t="shared" si="19"/>
        <v>-0.088729457934756</v>
      </c>
      <c r="AE160" s="18">
        <f t="shared" si="20"/>
        <v>-0.111407373058196</v>
      </c>
      <c r="AF160" s="18">
        <f t="shared" si="21"/>
        <v>0.348593228421555</v>
      </c>
      <c r="AG160" s="16" t="str">
        <f t="shared" si="22"/>
        <v>有效</v>
      </c>
      <c r="AH160">
        <f t="shared" si="23"/>
        <v>735664.083</v>
      </c>
    </row>
    <row r="161" ht="14.25" customHeight="1" spans="1:34">
      <c r="A161" s="16">
        <v>157</v>
      </c>
      <c r="B161" s="16">
        <v>1023</v>
      </c>
      <c r="C161" s="16">
        <v>26</v>
      </c>
      <c r="D161" s="17">
        <f>IFERROR(ROUND($U161*$X161*$AA161*参数!$B$13,0),"")</f>
        <v>359141</v>
      </c>
      <c r="E161" s="17">
        <f>IFERROR(ROUND($V161*$Y161*$AB161*参数!$C$13,0),"")</f>
        <v>7665</v>
      </c>
      <c r="F161" s="17">
        <f>IFERROR(ROUND($W161*$Z161*$AC161*参数!$D$13,0),"")</f>
        <v>14140</v>
      </c>
      <c r="G161" s="16">
        <v>394110</v>
      </c>
      <c r="H161" s="16">
        <v>8626</v>
      </c>
      <c r="I161" s="16">
        <v>10485</v>
      </c>
      <c r="J161" s="16">
        <v>32</v>
      </c>
      <c r="K161" s="16">
        <v>32</v>
      </c>
      <c r="L161" s="16">
        <f>IFERROR(INDEX(楼层配置!$D$5:$D$104,MATCH($K161,楼层配置!$B$5:$B$104,0)),"")</f>
        <v>128</v>
      </c>
      <c r="M161" s="16" t="str">
        <f>IFERROR(INDEX(_角色基线!$B$2:$B$100,MATCH($B161,_角色基线!$A$2:$A$100,0)),"")</f>
        <v>马克</v>
      </c>
      <c r="N161" s="16" t="str">
        <f>IFERROR(INDEX(_角色基线!$C$2:$C$100,MATCH($B161,_角色基线!$A$2:$A$100,0)),"")</f>
        <v>Support</v>
      </c>
      <c r="O161" s="16">
        <f>IFERROR(INDEX(_怪物基线!$B$2:$B$501,MATCH(INT($L161),_怪物基线!$A$2:$A$501,0)),"")</f>
        <v>61184</v>
      </c>
      <c r="P161" s="16">
        <f>IFERROR(INDEX(_怪物基线!$C$2:$C$501,MATCH(INT($L161),_怪物基线!$A$2:$A$501,0)),"")</f>
        <v>9459</v>
      </c>
      <c r="Q161" s="16">
        <f>IFERROR(INDEX(_怪物基线!$D$2:$D$501,MATCH(INT($L161),_怪物基线!$A$2:$A$501,0)),"")</f>
        <v>11312</v>
      </c>
      <c r="R161" s="16">
        <f>参数!$B$10</f>
        <v>4</v>
      </c>
      <c r="S161" s="16">
        <f>参数!$C$10</f>
        <v>1.2</v>
      </c>
      <c r="T161" s="16">
        <f>参数!$D$10</f>
        <v>1</v>
      </c>
      <c r="U161" s="16">
        <f t="shared" si="16"/>
        <v>244736</v>
      </c>
      <c r="V161" s="16">
        <f t="shared" si="17"/>
        <v>11350.8</v>
      </c>
      <c r="W161" s="16">
        <f t="shared" si="18"/>
        <v>11312</v>
      </c>
      <c r="X161" s="16">
        <f>IFERROR(INDEX(参数!$B$5:$B$7,MATCH($N161,参数!$A$5:$A$7,0)),"")</f>
        <v>1.25</v>
      </c>
      <c r="Y161" s="16">
        <f>IFERROR(INDEX(参数!$C$5:$C$7,MATCH($N161,参数!$A$5:$A$7,0)),"")</f>
        <v>1</v>
      </c>
      <c r="Z161" s="16">
        <f>IFERROR(INDEX(参数!$D$5:$D$7,MATCH($N161,参数!$A$5:$A$7,0)),"")</f>
        <v>1.25</v>
      </c>
      <c r="AA161" s="16">
        <f>IFERROR(INDEX(楼层配置!$E$5:$E$104,MATCH($K161,楼层配置!$B$5:$B$104,0)),1)</f>
        <v>1.17397097419226</v>
      </c>
      <c r="AB161" s="16">
        <f>IFERROR(INDEX(楼层配置!$F$5:$F$104,MATCH($K161,楼层配置!$B$5:$B$104,0)),1)</f>
        <v>0.675278998801872</v>
      </c>
      <c r="AC161" s="16">
        <f>IFERROR(INDEX(楼层配置!$G$5:$G$104,MATCH($K161,楼层配置!$B$5:$B$104,0)),1)</f>
        <v>1</v>
      </c>
      <c r="AD161" s="18">
        <f t="shared" si="19"/>
        <v>-0.0887290350409784</v>
      </c>
      <c r="AE161" s="18">
        <f t="shared" si="20"/>
        <v>-0.111407373058196</v>
      </c>
      <c r="AF161" s="18">
        <f t="shared" si="21"/>
        <v>0.348593228421555</v>
      </c>
      <c r="AG161" s="16" t="str">
        <f t="shared" si="22"/>
        <v>有效</v>
      </c>
      <c r="AH161">
        <f t="shared" si="23"/>
        <v>570734.905833333</v>
      </c>
    </row>
    <row r="162" ht="14.25" customHeight="1" spans="1:34">
      <c r="A162" s="16">
        <v>158</v>
      </c>
      <c r="B162" s="16">
        <v>1001</v>
      </c>
      <c r="C162" s="16">
        <v>26</v>
      </c>
      <c r="D162" s="17">
        <f>IFERROR(ROUND($U162*$X162*$AA162*参数!$B$13,0),"")</f>
        <v>287313</v>
      </c>
      <c r="E162" s="17">
        <f>IFERROR(ROUND($V162*$Y162*$AB162*参数!$C$13,0),"")</f>
        <v>9198</v>
      </c>
      <c r="F162" s="17">
        <f>IFERROR(ROUND($W162*$Z162*$AC162*参数!$D$13,0),"")</f>
        <v>11312</v>
      </c>
      <c r="G162" s="16">
        <v>315288</v>
      </c>
      <c r="H162" s="16">
        <v>10351</v>
      </c>
      <c r="I162" s="16">
        <v>8388</v>
      </c>
      <c r="J162" s="16">
        <v>32</v>
      </c>
      <c r="K162" s="16">
        <v>32</v>
      </c>
      <c r="L162" s="16">
        <f>IFERROR(INDEX(楼层配置!$D$5:$D$104,MATCH($K162,楼层配置!$B$5:$B$104,0)),"")</f>
        <v>128</v>
      </c>
      <c r="M162" s="16" t="str">
        <f>IFERROR(INDEX(_角色基线!$B$2:$B$100,MATCH($B162,_角色基线!$A$2:$A$100,0)),"")</f>
        <v>星海</v>
      </c>
      <c r="N162" s="16" t="str">
        <f>IFERROR(INDEX(_角色基线!$C$2:$C$100,MATCH($B162,_角色基线!$A$2:$A$100,0)),"")</f>
        <v>DPS</v>
      </c>
      <c r="O162" s="16">
        <f>IFERROR(INDEX(_怪物基线!$B$2:$B$501,MATCH(INT($L162),_怪物基线!$A$2:$A$501,0)),"")</f>
        <v>61184</v>
      </c>
      <c r="P162" s="16">
        <f>IFERROR(INDEX(_怪物基线!$C$2:$C$501,MATCH(INT($L162),_怪物基线!$A$2:$A$501,0)),"")</f>
        <v>9459</v>
      </c>
      <c r="Q162" s="16">
        <f>IFERROR(INDEX(_怪物基线!$D$2:$D$501,MATCH(INT($L162),_怪物基线!$A$2:$A$501,0)),"")</f>
        <v>11312</v>
      </c>
      <c r="R162" s="16">
        <f>参数!$B$10</f>
        <v>4</v>
      </c>
      <c r="S162" s="16">
        <f>参数!$C$10</f>
        <v>1.2</v>
      </c>
      <c r="T162" s="16">
        <f>参数!$D$10</f>
        <v>1</v>
      </c>
      <c r="U162" s="16">
        <f t="shared" si="16"/>
        <v>244736</v>
      </c>
      <c r="V162" s="16">
        <f t="shared" si="17"/>
        <v>11350.8</v>
      </c>
      <c r="W162" s="16">
        <f t="shared" si="18"/>
        <v>11312</v>
      </c>
      <c r="X162" s="16">
        <f>IFERROR(INDEX(参数!$B$5:$B$7,MATCH($N162,参数!$A$5:$A$7,0)),"")</f>
        <v>1</v>
      </c>
      <c r="Y162" s="16">
        <f>IFERROR(INDEX(参数!$C$5:$C$7,MATCH($N162,参数!$A$5:$A$7,0)),"")</f>
        <v>1.2</v>
      </c>
      <c r="Z162" s="16">
        <f>IFERROR(INDEX(参数!$D$5:$D$7,MATCH($N162,参数!$A$5:$A$7,0)),"")</f>
        <v>1</v>
      </c>
      <c r="AA162" s="16">
        <f>IFERROR(INDEX(楼层配置!$E$5:$E$104,MATCH($K162,楼层配置!$B$5:$B$104,0)),1)</f>
        <v>1.17397097419226</v>
      </c>
      <c r="AB162" s="16">
        <f>IFERROR(INDEX(楼层配置!$F$5:$F$104,MATCH($K162,楼层配置!$B$5:$B$104,0)),1)</f>
        <v>0.675278998801872</v>
      </c>
      <c r="AC162" s="16">
        <f>IFERROR(INDEX(楼层配置!$G$5:$G$104,MATCH($K162,楼层配置!$B$5:$B$104,0)),1)</f>
        <v>1</v>
      </c>
      <c r="AD162" s="18">
        <f t="shared" si="19"/>
        <v>-0.0887284007003121</v>
      </c>
      <c r="AE162" s="18">
        <f t="shared" si="20"/>
        <v>-0.111390203845039</v>
      </c>
      <c r="AF162" s="18">
        <f t="shared" si="21"/>
        <v>0.348593228421555</v>
      </c>
      <c r="AG162" s="16" t="str">
        <f t="shared" si="22"/>
        <v>有效</v>
      </c>
      <c r="AH162">
        <f t="shared" si="23"/>
        <v>422733.194</v>
      </c>
    </row>
    <row r="163" ht="14.25" customHeight="1" spans="1:34">
      <c r="A163" s="16">
        <v>159</v>
      </c>
      <c r="B163" s="16">
        <v>1023</v>
      </c>
      <c r="C163" s="16">
        <v>26</v>
      </c>
      <c r="D163" s="17">
        <f>IFERROR(ROUND($U163*$X163*$AA163*参数!$B$13,0),"")</f>
        <v>359141</v>
      </c>
      <c r="E163" s="17">
        <f>IFERROR(ROUND($V163*$Y163*$AB163*参数!$C$13,0),"")</f>
        <v>7665</v>
      </c>
      <c r="F163" s="17">
        <f>IFERROR(ROUND($W163*$Z163*$AC163*参数!$D$13,0),"")</f>
        <v>14140</v>
      </c>
      <c r="G163" s="16">
        <v>394110</v>
      </c>
      <c r="H163" s="16">
        <v>8626</v>
      </c>
      <c r="I163" s="16">
        <v>10485</v>
      </c>
      <c r="J163" s="16">
        <v>32</v>
      </c>
      <c r="K163" s="16">
        <v>32</v>
      </c>
      <c r="L163" s="16">
        <f>IFERROR(INDEX(楼层配置!$D$5:$D$104,MATCH($K163,楼层配置!$B$5:$B$104,0)),"")</f>
        <v>128</v>
      </c>
      <c r="M163" s="16" t="str">
        <f>IFERROR(INDEX(_角色基线!$B$2:$B$100,MATCH($B163,_角色基线!$A$2:$A$100,0)),"")</f>
        <v>马克</v>
      </c>
      <c r="N163" s="16" t="str">
        <f>IFERROR(INDEX(_角色基线!$C$2:$C$100,MATCH($B163,_角色基线!$A$2:$A$100,0)),"")</f>
        <v>Support</v>
      </c>
      <c r="O163" s="16">
        <f>IFERROR(INDEX(_怪物基线!$B$2:$B$501,MATCH(INT($L163),_怪物基线!$A$2:$A$501,0)),"")</f>
        <v>61184</v>
      </c>
      <c r="P163" s="16">
        <f>IFERROR(INDEX(_怪物基线!$C$2:$C$501,MATCH(INT($L163),_怪物基线!$A$2:$A$501,0)),"")</f>
        <v>9459</v>
      </c>
      <c r="Q163" s="16">
        <f>IFERROR(INDEX(_怪物基线!$D$2:$D$501,MATCH(INT($L163),_怪物基线!$A$2:$A$501,0)),"")</f>
        <v>11312</v>
      </c>
      <c r="R163" s="16">
        <f>参数!$B$10</f>
        <v>4</v>
      </c>
      <c r="S163" s="16">
        <f>参数!$C$10</f>
        <v>1.2</v>
      </c>
      <c r="T163" s="16">
        <f>参数!$D$10</f>
        <v>1</v>
      </c>
      <c r="U163" s="16">
        <f t="shared" si="16"/>
        <v>244736</v>
      </c>
      <c r="V163" s="16">
        <f t="shared" si="17"/>
        <v>11350.8</v>
      </c>
      <c r="W163" s="16">
        <f t="shared" si="18"/>
        <v>11312</v>
      </c>
      <c r="X163" s="16">
        <f>IFERROR(INDEX(参数!$B$5:$B$7,MATCH($N163,参数!$A$5:$A$7,0)),"")</f>
        <v>1.25</v>
      </c>
      <c r="Y163" s="16">
        <f>IFERROR(INDEX(参数!$C$5:$C$7,MATCH($N163,参数!$A$5:$A$7,0)),"")</f>
        <v>1</v>
      </c>
      <c r="Z163" s="16">
        <f>IFERROR(INDEX(参数!$D$5:$D$7,MATCH($N163,参数!$A$5:$A$7,0)),"")</f>
        <v>1.25</v>
      </c>
      <c r="AA163" s="16">
        <f>IFERROR(INDEX(楼层配置!$E$5:$E$104,MATCH($K163,楼层配置!$B$5:$B$104,0)),1)</f>
        <v>1.17397097419226</v>
      </c>
      <c r="AB163" s="16">
        <f>IFERROR(INDEX(楼层配置!$F$5:$F$104,MATCH($K163,楼层配置!$B$5:$B$104,0)),1)</f>
        <v>0.675278998801872</v>
      </c>
      <c r="AC163" s="16">
        <f>IFERROR(INDEX(楼层配置!$G$5:$G$104,MATCH($K163,楼层配置!$B$5:$B$104,0)),1)</f>
        <v>1</v>
      </c>
      <c r="AD163" s="18">
        <f t="shared" si="19"/>
        <v>-0.0887290350409784</v>
      </c>
      <c r="AE163" s="18">
        <f t="shared" si="20"/>
        <v>-0.111407373058196</v>
      </c>
      <c r="AF163" s="18">
        <f t="shared" si="21"/>
        <v>0.348593228421555</v>
      </c>
      <c r="AG163" s="16" t="str">
        <f t="shared" si="22"/>
        <v>有效</v>
      </c>
      <c r="AH163">
        <f t="shared" si="23"/>
        <v>570734.905833333</v>
      </c>
    </row>
    <row r="164" ht="14.25" customHeight="1" spans="1:34">
      <c r="A164" s="16">
        <v>160</v>
      </c>
      <c r="B164" s="16">
        <v>1011</v>
      </c>
      <c r="C164" s="16">
        <v>26</v>
      </c>
      <c r="D164" s="17">
        <f>IFERROR(ROUND($U164*$X164*$AA164*参数!$B$13,0),"")</f>
        <v>359141</v>
      </c>
      <c r="E164" s="17">
        <f>IFERROR(ROUND($V164*$Y164*$AB164*参数!$C$13,0),"")</f>
        <v>7665</v>
      </c>
      <c r="F164" s="17">
        <f>IFERROR(ROUND($W164*$Z164*$AC164*参数!$D$13,0),"")</f>
        <v>14140</v>
      </c>
      <c r="G164" s="16">
        <v>394110</v>
      </c>
      <c r="H164" s="16">
        <v>8626</v>
      </c>
      <c r="I164" s="16">
        <v>10485</v>
      </c>
      <c r="J164" s="16">
        <v>32</v>
      </c>
      <c r="K164" s="16">
        <v>32</v>
      </c>
      <c r="L164" s="16">
        <f>IFERROR(INDEX(楼层配置!$D$5:$D$104,MATCH($K164,楼层配置!$B$5:$B$104,0)),"")</f>
        <v>128</v>
      </c>
      <c r="M164" s="16" t="str">
        <f>IFERROR(INDEX(_角色基线!$B$2:$B$100,MATCH($B164,_角色基线!$A$2:$A$100,0)),"")</f>
        <v>陈双双</v>
      </c>
      <c r="N164" s="16" t="str">
        <f>IFERROR(INDEX(_角色基线!$C$2:$C$100,MATCH($B164,_角色基线!$A$2:$A$100,0)),"")</f>
        <v>Support</v>
      </c>
      <c r="O164" s="16">
        <f>IFERROR(INDEX(_怪物基线!$B$2:$B$501,MATCH(INT($L164),_怪物基线!$A$2:$A$501,0)),"")</f>
        <v>61184</v>
      </c>
      <c r="P164" s="16">
        <f>IFERROR(INDEX(_怪物基线!$C$2:$C$501,MATCH(INT($L164),_怪物基线!$A$2:$A$501,0)),"")</f>
        <v>9459</v>
      </c>
      <c r="Q164" s="16">
        <f>IFERROR(INDEX(_怪物基线!$D$2:$D$501,MATCH(INT($L164),_怪物基线!$A$2:$A$501,0)),"")</f>
        <v>11312</v>
      </c>
      <c r="R164" s="16">
        <f>参数!$B$10</f>
        <v>4</v>
      </c>
      <c r="S164" s="16">
        <f>参数!$C$10</f>
        <v>1.2</v>
      </c>
      <c r="T164" s="16">
        <f>参数!$D$10</f>
        <v>1</v>
      </c>
      <c r="U164" s="16">
        <f t="shared" si="16"/>
        <v>244736</v>
      </c>
      <c r="V164" s="16">
        <f t="shared" si="17"/>
        <v>11350.8</v>
      </c>
      <c r="W164" s="16">
        <f t="shared" si="18"/>
        <v>11312</v>
      </c>
      <c r="X164" s="16">
        <f>IFERROR(INDEX(参数!$B$5:$B$7,MATCH($N164,参数!$A$5:$A$7,0)),"")</f>
        <v>1.25</v>
      </c>
      <c r="Y164" s="16">
        <f>IFERROR(INDEX(参数!$C$5:$C$7,MATCH($N164,参数!$A$5:$A$7,0)),"")</f>
        <v>1</v>
      </c>
      <c r="Z164" s="16">
        <f>IFERROR(INDEX(参数!$D$5:$D$7,MATCH($N164,参数!$A$5:$A$7,0)),"")</f>
        <v>1.25</v>
      </c>
      <c r="AA164" s="16">
        <f>IFERROR(INDEX(楼层配置!$E$5:$E$104,MATCH($K164,楼层配置!$B$5:$B$104,0)),1)</f>
        <v>1.17397097419226</v>
      </c>
      <c r="AB164" s="16">
        <f>IFERROR(INDEX(楼层配置!$F$5:$F$104,MATCH($K164,楼层配置!$B$5:$B$104,0)),1)</f>
        <v>0.675278998801872</v>
      </c>
      <c r="AC164" s="16">
        <f>IFERROR(INDEX(楼层配置!$G$5:$G$104,MATCH($K164,楼层配置!$B$5:$B$104,0)),1)</f>
        <v>1</v>
      </c>
      <c r="AD164" s="18">
        <f t="shared" si="19"/>
        <v>-0.0887290350409784</v>
      </c>
      <c r="AE164" s="18">
        <f t="shared" si="20"/>
        <v>-0.111407373058196</v>
      </c>
      <c r="AF164" s="18">
        <f t="shared" si="21"/>
        <v>0.348593228421555</v>
      </c>
      <c r="AG164" s="16" t="str">
        <f t="shared" si="22"/>
        <v>有效</v>
      </c>
      <c r="AH164">
        <f t="shared" si="23"/>
        <v>570734.905833333</v>
      </c>
    </row>
    <row r="165" ht="14.25" customHeight="1" spans="1:34">
      <c r="A165" s="16">
        <v>161</v>
      </c>
      <c r="B165" s="16">
        <v>1002</v>
      </c>
      <c r="C165" s="16">
        <v>26</v>
      </c>
      <c r="D165" s="17">
        <f>IFERROR(ROUND($U165*$X165*$AA165*参数!$B$13,0),"")</f>
        <v>457900</v>
      </c>
      <c r="E165" s="17">
        <f>IFERROR(ROUND($V165*$Y165*$AB165*参数!$C$13,0),"")</f>
        <v>8000</v>
      </c>
      <c r="F165" s="17">
        <f>IFERROR(ROUND($W165*$Z165*$AC165*参数!$D$13,0),"")</f>
        <v>17589</v>
      </c>
      <c r="G165" s="16">
        <v>501660</v>
      </c>
      <c r="H165" s="16">
        <v>8964</v>
      </c>
      <c r="I165" s="16">
        <v>13010</v>
      </c>
      <c r="J165" s="16">
        <v>33</v>
      </c>
      <c r="K165" s="16">
        <v>33</v>
      </c>
      <c r="L165" s="16">
        <f>IFERROR(INDEX(楼层配置!$D$5:$D$104,MATCH($K165,楼层配置!$B$5:$B$104,0)),"")</f>
        <v>132</v>
      </c>
      <c r="M165" s="16" t="str">
        <f>IFERROR(INDEX(_角色基线!$B$2:$B$100,MATCH($B165,_角色基线!$A$2:$A$100,0)),"")</f>
        <v>大暑</v>
      </c>
      <c r="N165" s="16" t="str">
        <f>IFERROR(INDEX(_角色基线!$C$2:$C$100,MATCH($B165,_角色基线!$A$2:$A$100,0)),"")</f>
        <v>Tank</v>
      </c>
      <c r="O165" s="16">
        <f>IFERROR(INDEX(_怪物基线!$B$2:$B$501,MATCH(INT($L165),_怪物基线!$A$2:$A$501,0)),"")</f>
        <v>65231</v>
      </c>
      <c r="P165" s="16">
        <f>IFERROR(INDEX(_怪物基线!$C$2:$C$501,MATCH(INT($L165),_怪物基线!$A$2:$A$501,0)),"")</f>
        <v>9908</v>
      </c>
      <c r="Q165" s="16">
        <f>IFERROR(INDEX(_怪物基线!$D$2:$D$501,MATCH(INT($L165),_怪物基线!$A$2:$A$501,0)),"")</f>
        <v>11726</v>
      </c>
      <c r="R165" s="16">
        <f>参数!$B$10</f>
        <v>4</v>
      </c>
      <c r="S165" s="16">
        <f>参数!$C$10</f>
        <v>1.2</v>
      </c>
      <c r="T165" s="16">
        <f>参数!$D$10</f>
        <v>1</v>
      </c>
      <c r="U165" s="16">
        <f t="shared" si="16"/>
        <v>260924</v>
      </c>
      <c r="V165" s="16">
        <f t="shared" si="17"/>
        <v>11889.6</v>
      </c>
      <c r="W165" s="16">
        <f t="shared" si="18"/>
        <v>11726</v>
      </c>
      <c r="X165" s="16">
        <f>IFERROR(INDEX(参数!$B$5:$B$7,MATCH($N165,参数!$A$5:$A$7,0)),"")</f>
        <v>1.5</v>
      </c>
      <c r="Y165" s="16">
        <f>IFERROR(INDEX(参数!$C$5:$C$7,MATCH($N165,参数!$A$5:$A$7,0)),"")</f>
        <v>1</v>
      </c>
      <c r="Z165" s="16">
        <f>IFERROR(INDEX(参数!$D$5:$D$7,MATCH($N165,参数!$A$5:$A$7,0)),"")</f>
        <v>1.5</v>
      </c>
      <c r="AA165" s="16">
        <f>IFERROR(INDEX(楼层配置!$E$5:$E$104,MATCH($K165,楼层配置!$B$5:$B$104,0)),1)</f>
        <v>1.16994480700504</v>
      </c>
      <c r="AB165" s="16">
        <f>IFERROR(INDEX(楼层配置!$F$5:$F$104,MATCH($K165,楼层配置!$B$5:$B$104,0)),1)</f>
        <v>0.672863596505294</v>
      </c>
      <c r="AC165" s="16">
        <f>IFERROR(INDEX(楼层配置!$G$5:$G$104,MATCH($K165,楼层配置!$B$5:$B$104,0)),1)</f>
        <v>1</v>
      </c>
      <c r="AD165" s="18">
        <f t="shared" si="19"/>
        <v>-0.0872303950883068</v>
      </c>
      <c r="AE165" s="18">
        <f t="shared" si="20"/>
        <v>-0.107541276215975</v>
      </c>
      <c r="AF165" s="18">
        <f t="shared" si="21"/>
        <v>0.35196003074558</v>
      </c>
      <c r="AG165" s="16" t="str">
        <f t="shared" si="22"/>
        <v>有效</v>
      </c>
      <c r="AH165">
        <f t="shared" si="23"/>
        <v>793483.4625</v>
      </c>
    </row>
    <row r="166" ht="14.25" customHeight="1" spans="1:34">
      <c r="A166" s="16">
        <v>162</v>
      </c>
      <c r="B166" s="16">
        <v>1001</v>
      </c>
      <c r="C166" s="16">
        <v>26</v>
      </c>
      <c r="D166" s="17">
        <f>IFERROR(ROUND($U166*$X166*$AA166*参数!$B$13,0),"")</f>
        <v>305267</v>
      </c>
      <c r="E166" s="17">
        <f>IFERROR(ROUND($V166*$Y166*$AB166*参数!$C$13,0),"")</f>
        <v>9600</v>
      </c>
      <c r="F166" s="17">
        <f>IFERROR(ROUND($W166*$Z166*$AC166*参数!$D$13,0),"")</f>
        <v>11726</v>
      </c>
      <c r="G166" s="16">
        <v>334440</v>
      </c>
      <c r="H166" s="16">
        <v>10756</v>
      </c>
      <c r="I166" s="16">
        <v>8673</v>
      </c>
      <c r="J166" s="16">
        <v>33</v>
      </c>
      <c r="K166" s="16">
        <v>33</v>
      </c>
      <c r="L166" s="16">
        <f>IFERROR(INDEX(楼层配置!$D$5:$D$104,MATCH($K166,楼层配置!$B$5:$B$104,0)),"")</f>
        <v>132</v>
      </c>
      <c r="M166" s="16" t="str">
        <f>IFERROR(INDEX(_角色基线!$B$2:$B$100,MATCH($B166,_角色基线!$A$2:$A$100,0)),"")</f>
        <v>星海</v>
      </c>
      <c r="N166" s="16" t="str">
        <f>IFERROR(INDEX(_角色基线!$C$2:$C$100,MATCH($B166,_角色基线!$A$2:$A$100,0)),"")</f>
        <v>DPS</v>
      </c>
      <c r="O166" s="16">
        <f>IFERROR(INDEX(_怪物基线!$B$2:$B$501,MATCH(INT($L166),_怪物基线!$A$2:$A$501,0)),"")</f>
        <v>65231</v>
      </c>
      <c r="P166" s="16">
        <f>IFERROR(INDEX(_怪物基线!$C$2:$C$501,MATCH(INT($L166),_怪物基线!$A$2:$A$501,0)),"")</f>
        <v>9908</v>
      </c>
      <c r="Q166" s="16">
        <f>IFERROR(INDEX(_怪物基线!$D$2:$D$501,MATCH(INT($L166),_怪物基线!$A$2:$A$501,0)),"")</f>
        <v>11726</v>
      </c>
      <c r="R166" s="16">
        <f>参数!$B$10</f>
        <v>4</v>
      </c>
      <c r="S166" s="16">
        <f>参数!$C$10</f>
        <v>1.2</v>
      </c>
      <c r="T166" s="16">
        <f>参数!$D$10</f>
        <v>1</v>
      </c>
      <c r="U166" s="16">
        <f t="shared" si="16"/>
        <v>260924</v>
      </c>
      <c r="V166" s="16">
        <f t="shared" si="17"/>
        <v>11889.6</v>
      </c>
      <c r="W166" s="16">
        <f t="shared" si="18"/>
        <v>11726</v>
      </c>
      <c r="X166" s="16">
        <f>IFERROR(INDEX(参数!$B$5:$B$7,MATCH($N166,参数!$A$5:$A$7,0)),"")</f>
        <v>1</v>
      </c>
      <c r="Y166" s="16">
        <f>IFERROR(INDEX(参数!$C$5:$C$7,MATCH($N166,参数!$A$5:$A$7,0)),"")</f>
        <v>1.2</v>
      </c>
      <c r="Z166" s="16">
        <f>IFERROR(INDEX(参数!$D$5:$D$7,MATCH($N166,参数!$A$5:$A$7,0)),"")</f>
        <v>1</v>
      </c>
      <c r="AA166" s="16">
        <f>IFERROR(INDEX(楼层配置!$E$5:$E$104,MATCH($K166,楼层配置!$B$5:$B$104,0)),1)</f>
        <v>1.16994480700504</v>
      </c>
      <c r="AB166" s="16">
        <f>IFERROR(INDEX(楼层配置!$F$5:$F$104,MATCH($K166,楼层配置!$B$5:$B$104,0)),1)</f>
        <v>0.672863596505294</v>
      </c>
      <c r="AC166" s="16">
        <f>IFERROR(INDEX(楼层配置!$G$5:$G$104,MATCH($K166,楼层配置!$B$5:$B$104,0)),1)</f>
        <v>1</v>
      </c>
      <c r="AD166" s="18">
        <f t="shared" si="19"/>
        <v>-0.0872293983973209</v>
      </c>
      <c r="AE166" s="18">
        <f t="shared" si="20"/>
        <v>-0.107474897731499</v>
      </c>
      <c r="AF166" s="18">
        <f t="shared" si="21"/>
        <v>0.352011991237173</v>
      </c>
      <c r="AG166" s="16" t="str">
        <f t="shared" si="22"/>
        <v>有效</v>
      </c>
      <c r="AH166">
        <f t="shared" si="23"/>
        <v>454415.368416667</v>
      </c>
    </row>
    <row r="167" ht="14.25" customHeight="1" spans="1:34">
      <c r="A167" s="16">
        <v>163</v>
      </c>
      <c r="B167" s="16">
        <v>1035</v>
      </c>
      <c r="C167" s="16">
        <v>26</v>
      </c>
      <c r="D167" s="17">
        <f>IFERROR(ROUND($U167*$X167*$AA167*参数!$B$13,0),"")</f>
        <v>305267</v>
      </c>
      <c r="E167" s="17">
        <f>IFERROR(ROUND($V167*$Y167*$AB167*参数!$C$13,0),"")</f>
        <v>9600</v>
      </c>
      <c r="F167" s="17">
        <f>IFERROR(ROUND($W167*$Z167*$AC167*参数!$D$13,0),"")</f>
        <v>11726</v>
      </c>
      <c r="G167" s="16">
        <v>334440</v>
      </c>
      <c r="H167" s="16">
        <v>10756</v>
      </c>
      <c r="I167" s="16">
        <v>8673</v>
      </c>
      <c r="J167" s="16">
        <v>33</v>
      </c>
      <c r="K167" s="16">
        <v>33</v>
      </c>
      <c r="L167" s="16">
        <f>IFERROR(INDEX(楼层配置!$D$5:$D$104,MATCH($K167,楼层配置!$B$5:$B$104,0)),"")</f>
        <v>132</v>
      </c>
      <c r="M167" s="16" t="str">
        <f>IFERROR(INDEX(_角色基线!$B$2:$B$100,MATCH($B167,_角色基线!$A$2:$A$100,0)),"")</f>
        <v>碎冰者</v>
      </c>
      <c r="N167" s="16" t="str">
        <f>IFERROR(INDEX(_角色基线!$C$2:$C$100,MATCH($B167,_角色基线!$A$2:$A$100,0)),"")</f>
        <v>DPS</v>
      </c>
      <c r="O167" s="16">
        <f>IFERROR(INDEX(_怪物基线!$B$2:$B$501,MATCH(INT($L167),_怪物基线!$A$2:$A$501,0)),"")</f>
        <v>65231</v>
      </c>
      <c r="P167" s="16">
        <f>IFERROR(INDEX(_怪物基线!$C$2:$C$501,MATCH(INT($L167),_怪物基线!$A$2:$A$501,0)),"")</f>
        <v>9908</v>
      </c>
      <c r="Q167" s="16">
        <f>IFERROR(INDEX(_怪物基线!$D$2:$D$501,MATCH(INT($L167),_怪物基线!$A$2:$A$501,0)),"")</f>
        <v>11726</v>
      </c>
      <c r="R167" s="16">
        <f>参数!$B$10</f>
        <v>4</v>
      </c>
      <c r="S167" s="16">
        <f>参数!$C$10</f>
        <v>1.2</v>
      </c>
      <c r="T167" s="16">
        <f>参数!$D$10</f>
        <v>1</v>
      </c>
      <c r="U167" s="16">
        <f t="shared" si="16"/>
        <v>260924</v>
      </c>
      <c r="V167" s="16">
        <f t="shared" si="17"/>
        <v>11889.6</v>
      </c>
      <c r="W167" s="16">
        <f t="shared" si="18"/>
        <v>11726</v>
      </c>
      <c r="X167" s="16">
        <f>IFERROR(INDEX(参数!$B$5:$B$7,MATCH($N167,参数!$A$5:$A$7,0)),"")</f>
        <v>1</v>
      </c>
      <c r="Y167" s="16">
        <f>IFERROR(INDEX(参数!$C$5:$C$7,MATCH($N167,参数!$A$5:$A$7,0)),"")</f>
        <v>1.2</v>
      </c>
      <c r="Z167" s="16">
        <f>IFERROR(INDEX(参数!$D$5:$D$7,MATCH($N167,参数!$A$5:$A$7,0)),"")</f>
        <v>1</v>
      </c>
      <c r="AA167" s="16">
        <f>IFERROR(INDEX(楼层配置!$E$5:$E$104,MATCH($K167,楼层配置!$B$5:$B$104,0)),1)</f>
        <v>1.16994480700504</v>
      </c>
      <c r="AB167" s="16">
        <f>IFERROR(INDEX(楼层配置!$F$5:$F$104,MATCH($K167,楼层配置!$B$5:$B$104,0)),1)</f>
        <v>0.672863596505294</v>
      </c>
      <c r="AC167" s="16">
        <f>IFERROR(INDEX(楼层配置!$G$5:$G$104,MATCH($K167,楼层配置!$B$5:$B$104,0)),1)</f>
        <v>1</v>
      </c>
      <c r="AD167" s="18">
        <f t="shared" si="19"/>
        <v>-0.0872293983973209</v>
      </c>
      <c r="AE167" s="18">
        <f t="shared" si="20"/>
        <v>-0.107474897731499</v>
      </c>
      <c r="AF167" s="18">
        <f t="shared" si="21"/>
        <v>0.352011991237173</v>
      </c>
      <c r="AG167" s="16" t="str">
        <f t="shared" si="22"/>
        <v>有效</v>
      </c>
      <c r="AH167">
        <f t="shared" si="23"/>
        <v>454415.368416667</v>
      </c>
    </row>
    <row r="168" ht="14.25" customHeight="1" spans="1:34">
      <c r="A168" s="16">
        <v>164</v>
      </c>
      <c r="B168" s="16">
        <v>1018</v>
      </c>
      <c r="C168" s="16">
        <v>26</v>
      </c>
      <c r="D168" s="17">
        <f>IFERROR(ROUND($U168*$X168*$AA168*参数!$B$13,0),"")</f>
        <v>381583</v>
      </c>
      <c r="E168" s="17">
        <f>IFERROR(ROUND($V168*$Y168*$AB168*参数!$C$13,0),"")</f>
        <v>8000</v>
      </c>
      <c r="F168" s="17">
        <f>IFERROR(ROUND($W168*$Z168*$AC168*参数!$D$13,0),"")</f>
        <v>14658</v>
      </c>
      <c r="G168" s="16">
        <v>418050</v>
      </c>
      <c r="H168" s="16">
        <v>8964</v>
      </c>
      <c r="I168" s="16">
        <v>10842</v>
      </c>
      <c r="J168" s="16">
        <v>33</v>
      </c>
      <c r="K168" s="16">
        <v>33</v>
      </c>
      <c r="L168" s="16">
        <f>IFERROR(INDEX(楼层配置!$D$5:$D$104,MATCH($K168,楼层配置!$B$5:$B$104,0)),"")</f>
        <v>132</v>
      </c>
      <c r="M168" s="16" t="str">
        <f>IFERROR(INDEX(_角色基线!$B$2:$B$100,MATCH($B168,_角色基线!$A$2:$A$100,0)),"")</f>
        <v>埃莉诺</v>
      </c>
      <c r="N168" s="16" t="str">
        <f>IFERROR(INDEX(_角色基线!$C$2:$C$100,MATCH($B168,_角色基线!$A$2:$A$100,0)),"")</f>
        <v>Support</v>
      </c>
      <c r="O168" s="16">
        <f>IFERROR(INDEX(_怪物基线!$B$2:$B$501,MATCH(INT($L168),_怪物基线!$A$2:$A$501,0)),"")</f>
        <v>65231</v>
      </c>
      <c r="P168" s="16">
        <f>IFERROR(INDEX(_怪物基线!$C$2:$C$501,MATCH(INT($L168),_怪物基线!$A$2:$A$501,0)),"")</f>
        <v>9908</v>
      </c>
      <c r="Q168" s="16">
        <f>IFERROR(INDEX(_怪物基线!$D$2:$D$501,MATCH(INT($L168),_怪物基线!$A$2:$A$501,0)),"")</f>
        <v>11726</v>
      </c>
      <c r="R168" s="16">
        <f>参数!$B$10</f>
        <v>4</v>
      </c>
      <c r="S168" s="16">
        <f>参数!$C$10</f>
        <v>1.2</v>
      </c>
      <c r="T168" s="16">
        <f>参数!$D$10</f>
        <v>1</v>
      </c>
      <c r="U168" s="16">
        <f t="shared" si="16"/>
        <v>260924</v>
      </c>
      <c r="V168" s="16">
        <f t="shared" si="17"/>
        <v>11889.6</v>
      </c>
      <c r="W168" s="16">
        <f t="shared" si="18"/>
        <v>11726</v>
      </c>
      <c r="X168" s="16">
        <f>IFERROR(INDEX(参数!$B$5:$B$7,MATCH($N168,参数!$A$5:$A$7,0)),"")</f>
        <v>1.25</v>
      </c>
      <c r="Y168" s="16">
        <f>IFERROR(INDEX(参数!$C$5:$C$7,MATCH($N168,参数!$A$5:$A$7,0)),"")</f>
        <v>1</v>
      </c>
      <c r="Z168" s="16">
        <f>IFERROR(INDEX(参数!$D$5:$D$7,MATCH($N168,参数!$A$5:$A$7,0)),"")</f>
        <v>1.25</v>
      </c>
      <c r="AA168" s="16">
        <f>IFERROR(INDEX(楼层配置!$E$5:$E$104,MATCH($K168,楼层配置!$B$5:$B$104,0)),1)</f>
        <v>1.16994480700504</v>
      </c>
      <c r="AB168" s="16">
        <f>IFERROR(INDEX(楼层配置!$F$5:$F$104,MATCH($K168,楼层配置!$B$5:$B$104,0)),1)</f>
        <v>0.672863596505294</v>
      </c>
      <c r="AC168" s="16">
        <f>IFERROR(INDEX(楼层配置!$G$5:$G$104,MATCH($K168,楼层配置!$B$5:$B$104,0)),1)</f>
        <v>1</v>
      </c>
      <c r="AD168" s="18">
        <f t="shared" si="19"/>
        <v>-0.0872311924410956</v>
      </c>
      <c r="AE168" s="18">
        <f t="shared" si="20"/>
        <v>-0.107541276215975</v>
      </c>
      <c r="AF168" s="18">
        <f t="shared" si="21"/>
        <v>0.35196458218041</v>
      </c>
      <c r="AG168" s="16" t="str">
        <f t="shared" si="22"/>
        <v>有效</v>
      </c>
      <c r="AH168">
        <f t="shared" si="23"/>
        <v>614634.81725</v>
      </c>
    </row>
    <row r="169" ht="14.25" customHeight="1" spans="1:34">
      <c r="A169" s="16">
        <v>165</v>
      </c>
      <c r="B169" s="16">
        <v>1012</v>
      </c>
      <c r="C169" s="16">
        <v>26</v>
      </c>
      <c r="D169" s="17">
        <f>IFERROR(ROUND($U169*$X169*$AA169*参数!$B$13,0),"")</f>
        <v>381583</v>
      </c>
      <c r="E169" s="17">
        <f>IFERROR(ROUND($V169*$Y169*$AB169*参数!$C$13,0),"")</f>
        <v>8000</v>
      </c>
      <c r="F169" s="17">
        <f>IFERROR(ROUND($W169*$Z169*$AC169*参数!$D$13,0),"")</f>
        <v>14658</v>
      </c>
      <c r="G169" s="16">
        <v>418050</v>
      </c>
      <c r="H169" s="16">
        <v>8964</v>
      </c>
      <c r="I169" s="16">
        <v>10842</v>
      </c>
      <c r="J169" s="16">
        <v>33</v>
      </c>
      <c r="K169" s="16">
        <v>33</v>
      </c>
      <c r="L169" s="16">
        <f>IFERROR(INDEX(楼层配置!$D$5:$D$104,MATCH($K169,楼层配置!$B$5:$B$104,0)),"")</f>
        <v>132</v>
      </c>
      <c r="M169" s="16" t="str">
        <f>IFERROR(INDEX(_角色基线!$B$2:$B$100,MATCH($B169,_角色基线!$A$2:$A$100,0)),"")</f>
        <v>艾德琳</v>
      </c>
      <c r="N169" s="16" t="str">
        <f>IFERROR(INDEX(_角色基线!$C$2:$C$100,MATCH($B169,_角色基线!$A$2:$A$100,0)),"")</f>
        <v>Support</v>
      </c>
      <c r="O169" s="16">
        <f>IFERROR(INDEX(_怪物基线!$B$2:$B$501,MATCH(INT($L169),_怪物基线!$A$2:$A$501,0)),"")</f>
        <v>65231</v>
      </c>
      <c r="P169" s="16">
        <f>IFERROR(INDEX(_怪物基线!$C$2:$C$501,MATCH(INT($L169),_怪物基线!$A$2:$A$501,0)),"")</f>
        <v>9908</v>
      </c>
      <c r="Q169" s="16">
        <f>IFERROR(INDEX(_怪物基线!$D$2:$D$501,MATCH(INT($L169),_怪物基线!$A$2:$A$501,0)),"")</f>
        <v>11726</v>
      </c>
      <c r="R169" s="16">
        <f>参数!$B$10</f>
        <v>4</v>
      </c>
      <c r="S169" s="16">
        <f>参数!$C$10</f>
        <v>1.2</v>
      </c>
      <c r="T169" s="16">
        <f>参数!$D$10</f>
        <v>1</v>
      </c>
      <c r="U169" s="16">
        <f t="shared" si="16"/>
        <v>260924</v>
      </c>
      <c r="V169" s="16">
        <f t="shared" si="17"/>
        <v>11889.6</v>
      </c>
      <c r="W169" s="16">
        <f t="shared" si="18"/>
        <v>11726</v>
      </c>
      <c r="X169" s="16">
        <f>IFERROR(INDEX(参数!$B$5:$B$7,MATCH($N169,参数!$A$5:$A$7,0)),"")</f>
        <v>1.25</v>
      </c>
      <c r="Y169" s="16">
        <f>IFERROR(INDEX(参数!$C$5:$C$7,MATCH($N169,参数!$A$5:$A$7,0)),"")</f>
        <v>1</v>
      </c>
      <c r="Z169" s="16">
        <f>IFERROR(INDEX(参数!$D$5:$D$7,MATCH($N169,参数!$A$5:$A$7,0)),"")</f>
        <v>1.25</v>
      </c>
      <c r="AA169" s="16">
        <f>IFERROR(INDEX(楼层配置!$E$5:$E$104,MATCH($K169,楼层配置!$B$5:$B$104,0)),1)</f>
        <v>1.16994480700504</v>
      </c>
      <c r="AB169" s="16">
        <f>IFERROR(INDEX(楼层配置!$F$5:$F$104,MATCH($K169,楼层配置!$B$5:$B$104,0)),1)</f>
        <v>0.672863596505294</v>
      </c>
      <c r="AC169" s="16">
        <f>IFERROR(INDEX(楼层配置!$G$5:$G$104,MATCH($K169,楼层配置!$B$5:$B$104,0)),1)</f>
        <v>1</v>
      </c>
      <c r="AD169" s="18">
        <f t="shared" si="19"/>
        <v>-0.0872311924410956</v>
      </c>
      <c r="AE169" s="18">
        <f t="shared" si="20"/>
        <v>-0.107541276215975</v>
      </c>
      <c r="AF169" s="18">
        <f t="shared" si="21"/>
        <v>0.35196458218041</v>
      </c>
      <c r="AG169" s="16" t="str">
        <f t="shared" si="22"/>
        <v>有效</v>
      </c>
      <c r="AH169">
        <f t="shared" si="23"/>
        <v>614634.81725</v>
      </c>
    </row>
    <row r="170" ht="14.25" customHeight="1" spans="1:34">
      <c r="A170" s="16">
        <v>166</v>
      </c>
      <c r="B170" s="16">
        <v>1002</v>
      </c>
      <c r="C170" s="16">
        <v>27</v>
      </c>
      <c r="D170" s="17">
        <f>IFERROR(ROUND($U170*$X170*$AA170*参数!$B$13,0),"")</f>
        <v>490200</v>
      </c>
      <c r="E170" s="17">
        <f>IFERROR(ROUND($V170*$Y170*$AB170*参数!$C$13,0),"")</f>
        <v>8385</v>
      </c>
      <c r="F170" s="17">
        <f>IFERROR(ROUND($W170*$Z170*$AC170*参数!$D$13,0),"")</f>
        <v>18215</v>
      </c>
      <c r="G170" s="16">
        <v>531583</v>
      </c>
      <c r="H170" s="16">
        <v>9308</v>
      </c>
      <c r="I170" s="16">
        <v>13442</v>
      </c>
      <c r="J170" s="16">
        <v>34</v>
      </c>
      <c r="K170" s="16">
        <v>34</v>
      </c>
      <c r="L170" s="16">
        <f>IFERROR(INDEX(楼层配置!$D$5:$D$104,MATCH($K170,楼层配置!$B$5:$B$104,0)),"")</f>
        <v>136</v>
      </c>
      <c r="M170" s="16" t="str">
        <f>IFERROR(INDEX(_角色基线!$B$2:$B$100,MATCH($B170,_角色基线!$A$2:$A$100,0)),"")</f>
        <v>大暑</v>
      </c>
      <c r="N170" s="16" t="str">
        <f>IFERROR(INDEX(_角色基线!$C$2:$C$100,MATCH($B170,_角色基线!$A$2:$A$100,0)),"")</f>
        <v>Tank</v>
      </c>
      <c r="O170" s="16">
        <f>IFERROR(INDEX(_怪物基线!$B$2:$B$501,MATCH(INT($L170),_怪物基线!$A$2:$A$501,0)),"")</f>
        <v>69461</v>
      </c>
      <c r="P170" s="16">
        <f>IFERROR(INDEX(_怪物基线!$C$2:$C$501,MATCH(INT($L170),_怪物基线!$A$2:$A$501,0)),"")</f>
        <v>10368</v>
      </c>
      <c r="Q170" s="16">
        <f>IFERROR(INDEX(_怪物基线!$D$2:$D$501,MATCH(INT($L170),_怪物基线!$A$2:$A$501,0)),"")</f>
        <v>12143</v>
      </c>
      <c r="R170" s="16">
        <f>参数!$B$10</f>
        <v>4</v>
      </c>
      <c r="S170" s="16">
        <f>参数!$C$10</f>
        <v>1.2</v>
      </c>
      <c r="T170" s="16">
        <f>参数!$D$10</f>
        <v>1</v>
      </c>
      <c r="U170" s="16">
        <f t="shared" si="16"/>
        <v>277844</v>
      </c>
      <c r="V170" s="16">
        <f t="shared" si="17"/>
        <v>12441.6</v>
      </c>
      <c r="W170" s="16">
        <f t="shared" si="18"/>
        <v>12143</v>
      </c>
      <c r="X170" s="16">
        <f>IFERROR(INDEX(参数!$B$5:$B$7,MATCH($N170,参数!$A$5:$A$7,0)),"")</f>
        <v>1.5</v>
      </c>
      <c r="Y170" s="16">
        <f>IFERROR(INDEX(参数!$C$5:$C$7,MATCH($N170,参数!$A$5:$A$7,0)),"")</f>
        <v>1</v>
      </c>
      <c r="Z170" s="16">
        <f>IFERROR(INDEX(参数!$D$5:$D$7,MATCH($N170,参数!$A$5:$A$7,0)),"")</f>
        <v>1.5</v>
      </c>
      <c r="AA170" s="16">
        <f>IFERROR(INDEX(楼层配置!$E$5:$E$104,MATCH($K170,楼层配置!$B$5:$B$104,0)),1)</f>
        <v>1.1761990096556</v>
      </c>
      <c r="AB170" s="16">
        <f>IFERROR(INDEX(楼层配置!$F$5:$F$104,MATCH($K170,楼层配置!$B$5:$B$104,0)),1)</f>
        <v>0.673956999018393</v>
      </c>
      <c r="AC170" s="16">
        <f>IFERROR(INDEX(楼层配置!$G$5:$G$104,MATCH($K170,楼层配置!$B$5:$B$104,0)),1)</f>
        <v>1</v>
      </c>
      <c r="AD170" s="18">
        <f t="shared" si="19"/>
        <v>-0.0778486144214544</v>
      </c>
      <c r="AE170" s="18">
        <f t="shared" si="20"/>
        <v>-0.0991620111731843</v>
      </c>
      <c r="AF170" s="18">
        <f t="shared" si="21"/>
        <v>0.355081089123642</v>
      </c>
      <c r="AG170" s="16" t="str">
        <f t="shared" si="22"/>
        <v>有效</v>
      </c>
      <c r="AH170">
        <f t="shared" si="23"/>
        <v>862241.375</v>
      </c>
    </row>
    <row r="171" ht="14.25" customHeight="1" spans="1:34">
      <c r="A171" s="16">
        <v>167</v>
      </c>
      <c r="B171" s="16">
        <v>1021</v>
      </c>
      <c r="C171" s="16">
        <v>27</v>
      </c>
      <c r="D171" s="17">
        <f>IFERROR(ROUND($U171*$X171*$AA171*参数!$B$13,0),"")</f>
        <v>326800</v>
      </c>
      <c r="E171" s="17">
        <f>IFERROR(ROUND($V171*$Y171*$AB171*参数!$C$13,0),"")</f>
        <v>10062</v>
      </c>
      <c r="F171" s="17">
        <f>IFERROR(ROUND($W171*$Z171*$AC171*参数!$D$13,0),"")</f>
        <v>12143</v>
      </c>
      <c r="G171" s="16">
        <v>354388</v>
      </c>
      <c r="H171" s="16">
        <v>11169</v>
      </c>
      <c r="I171" s="16">
        <v>8961</v>
      </c>
      <c r="J171" s="16">
        <v>34</v>
      </c>
      <c r="K171" s="16">
        <v>34</v>
      </c>
      <c r="L171" s="16">
        <f>IFERROR(INDEX(楼层配置!$D$5:$D$104,MATCH($K171,楼层配置!$B$5:$B$104,0)),"")</f>
        <v>136</v>
      </c>
      <c r="M171" s="16" t="str">
        <f>IFERROR(INDEX(_角色基线!$B$2:$B$100,MATCH($B171,_角色基线!$A$2:$A$100,0)),"")</f>
        <v>梅梅</v>
      </c>
      <c r="N171" s="16" t="str">
        <f>IFERROR(INDEX(_角色基线!$C$2:$C$100,MATCH($B171,_角色基线!$A$2:$A$100,0)),"")</f>
        <v>DPS</v>
      </c>
      <c r="O171" s="16">
        <f>IFERROR(INDEX(_怪物基线!$B$2:$B$501,MATCH(INT($L171),_怪物基线!$A$2:$A$501,0)),"")</f>
        <v>69461</v>
      </c>
      <c r="P171" s="16">
        <f>IFERROR(INDEX(_怪物基线!$C$2:$C$501,MATCH(INT($L171),_怪物基线!$A$2:$A$501,0)),"")</f>
        <v>10368</v>
      </c>
      <c r="Q171" s="16">
        <f>IFERROR(INDEX(_怪物基线!$D$2:$D$501,MATCH(INT($L171),_怪物基线!$A$2:$A$501,0)),"")</f>
        <v>12143</v>
      </c>
      <c r="R171" s="16">
        <f>参数!$B$10</f>
        <v>4</v>
      </c>
      <c r="S171" s="16">
        <f>参数!$C$10</f>
        <v>1.2</v>
      </c>
      <c r="T171" s="16">
        <f>参数!$D$10</f>
        <v>1</v>
      </c>
      <c r="U171" s="16">
        <f t="shared" si="16"/>
        <v>277844</v>
      </c>
      <c r="V171" s="16">
        <f t="shared" si="17"/>
        <v>12441.6</v>
      </c>
      <c r="W171" s="16">
        <f t="shared" si="18"/>
        <v>12143</v>
      </c>
      <c r="X171" s="16">
        <f>IFERROR(INDEX(参数!$B$5:$B$7,MATCH($N171,参数!$A$5:$A$7,0)),"")</f>
        <v>1</v>
      </c>
      <c r="Y171" s="16">
        <f>IFERROR(INDEX(参数!$C$5:$C$7,MATCH($N171,参数!$A$5:$A$7,0)),"")</f>
        <v>1.2</v>
      </c>
      <c r="Z171" s="16">
        <f>IFERROR(INDEX(参数!$D$5:$D$7,MATCH($N171,参数!$A$5:$A$7,0)),"")</f>
        <v>1</v>
      </c>
      <c r="AA171" s="16">
        <f>IFERROR(INDEX(楼层配置!$E$5:$E$104,MATCH($K171,楼层配置!$B$5:$B$104,0)),1)</f>
        <v>1.1761990096556</v>
      </c>
      <c r="AB171" s="16">
        <f>IFERROR(INDEX(楼层配置!$F$5:$F$104,MATCH($K171,楼层配置!$B$5:$B$104,0)),1)</f>
        <v>0.673956999018393</v>
      </c>
      <c r="AC171" s="16">
        <f>IFERROR(INDEX(楼层配置!$G$5:$G$104,MATCH($K171,楼层配置!$B$5:$B$104,0)),1)</f>
        <v>1</v>
      </c>
      <c r="AD171" s="18">
        <f t="shared" si="19"/>
        <v>-0.077846879691186</v>
      </c>
      <c r="AE171" s="18">
        <f t="shared" si="20"/>
        <v>-0.0991136180499597</v>
      </c>
      <c r="AF171" s="18">
        <f t="shared" si="21"/>
        <v>0.355094297511438</v>
      </c>
      <c r="AG171" s="16" t="str">
        <f t="shared" si="22"/>
        <v>有效</v>
      </c>
      <c r="AH171">
        <f t="shared" si="23"/>
        <v>492147.183333333</v>
      </c>
    </row>
    <row r="172" ht="14.25" customHeight="1" spans="1:34">
      <c r="A172" s="16">
        <v>168</v>
      </c>
      <c r="B172" s="16">
        <v>1020</v>
      </c>
      <c r="C172" s="16">
        <v>27</v>
      </c>
      <c r="D172" s="17">
        <f>IFERROR(ROUND($U172*$X172*$AA172*参数!$B$13,0),"")</f>
        <v>408500</v>
      </c>
      <c r="E172" s="17">
        <f>IFERROR(ROUND($V172*$Y172*$AB172*参数!$C$13,0),"")</f>
        <v>8385</v>
      </c>
      <c r="F172" s="17">
        <f>IFERROR(ROUND($W172*$Z172*$AC172*参数!$D$13,0),"")</f>
        <v>15179</v>
      </c>
      <c r="G172" s="16">
        <v>442986</v>
      </c>
      <c r="H172" s="16">
        <v>9308</v>
      </c>
      <c r="I172" s="16">
        <v>11202</v>
      </c>
      <c r="J172" s="16">
        <v>34</v>
      </c>
      <c r="K172" s="16">
        <v>34</v>
      </c>
      <c r="L172" s="16">
        <f>IFERROR(INDEX(楼层配置!$D$5:$D$104,MATCH($K172,楼层配置!$B$5:$B$104,0)),"")</f>
        <v>136</v>
      </c>
      <c r="M172" s="16" t="str">
        <f>IFERROR(INDEX(_角色基线!$B$2:$B$100,MATCH($B172,_角色基线!$A$2:$A$100,0)),"")</f>
        <v>卡斯帕</v>
      </c>
      <c r="N172" s="16" t="str">
        <f>IFERROR(INDEX(_角色基线!$C$2:$C$100,MATCH($B172,_角色基线!$A$2:$A$100,0)),"")</f>
        <v>Support</v>
      </c>
      <c r="O172" s="16">
        <f>IFERROR(INDEX(_怪物基线!$B$2:$B$501,MATCH(INT($L172),_怪物基线!$A$2:$A$501,0)),"")</f>
        <v>69461</v>
      </c>
      <c r="P172" s="16">
        <f>IFERROR(INDEX(_怪物基线!$C$2:$C$501,MATCH(INT($L172),_怪物基线!$A$2:$A$501,0)),"")</f>
        <v>10368</v>
      </c>
      <c r="Q172" s="16">
        <f>IFERROR(INDEX(_怪物基线!$D$2:$D$501,MATCH(INT($L172),_怪物基线!$A$2:$A$501,0)),"")</f>
        <v>12143</v>
      </c>
      <c r="R172" s="16">
        <f>参数!$B$10</f>
        <v>4</v>
      </c>
      <c r="S172" s="16">
        <f>参数!$C$10</f>
        <v>1.2</v>
      </c>
      <c r="T172" s="16">
        <f>参数!$D$10</f>
        <v>1</v>
      </c>
      <c r="U172" s="16">
        <f t="shared" si="16"/>
        <v>277844</v>
      </c>
      <c r="V172" s="16">
        <f t="shared" si="17"/>
        <v>12441.6</v>
      </c>
      <c r="W172" s="16">
        <f t="shared" si="18"/>
        <v>12143</v>
      </c>
      <c r="X172" s="16">
        <f>IFERROR(INDEX(参数!$B$5:$B$7,MATCH($N172,参数!$A$5:$A$7,0)),"")</f>
        <v>1.25</v>
      </c>
      <c r="Y172" s="16">
        <f>IFERROR(INDEX(参数!$C$5:$C$7,MATCH($N172,参数!$A$5:$A$7,0)),"")</f>
        <v>1</v>
      </c>
      <c r="Z172" s="16">
        <f>IFERROR(INDEX(参数!$D$5:$D$7,MATCH($N172,参数!$A$5:$A$7,0)),"")</f>
        <v>1.25</v>
      </c>
      <c r="AA172" s="16">
        <f>IFERROR(INDEX(楼层配置!$E$5:$E$104,MATCH($K172,楼层配置!$B$5:$B$104,0)),1)</f>
        <v>1.1761990096556</v>
      </c>
      <c r="AB172" s="16">
        <f>IFERROR(INDEX(楼层配置!$F$5:$F$104,MATCH($K172,楼层配置!$B$5:$B$104,0)),1)</f>
        <v>0.673956999018393</v>
      </c>
      <c r="AC172" s="16">
        <f>IFERROR(INDEX(楼层配置!$G$5:$G$104,MATCH($K172,楼层配置!$B$5:$B$104,0)),1)</f>
        <v>1</v>
      </c>
      <c r="AD172" s="18">
        <f t="shared" si="19"/>
        <v>-0.0778489613667249</v>
      </c>
      <c r="AE172" s="18">
        <f t="shared" si="20"/>
        <v>-0.0991620111731843</v>
      </c>
      <c r="AF172" s="18">
        <f t="shared" si="21"/>
        <v>0.355025888234244</v>
      </c>
      <c r="AG172" s="16" t="str">
        <f t="shared" si="22"/>
        <v>有效</v>
      </c>
      <c r="AH172">
        <f t="shared" si="23"/>
        <v>666859.229166667</v>
      </c>
    </row>
    <row r="173" ht="14.25" customHeight="1" spans="1:34">
      <c r="A173" s="16">
        <v>169</v>
      </c>
      <c r="B173" s="16">
        <v>1015</v>
      </c>
      <c r="C173" s="16">
        <v>27</v>
      </c>
      <c r="D173" s="17">
        <f>IFERROR(ROUND($U173*$X173*$AA173*参数!$B$13,0),"")</f>
        <v>408500</v>
      </c>
      <c r="E173" s="17">
        <f>IFERROR(ROUND($V173*$Y173*$AB173*参数!$C$13,0),"")</f>
        <v>8385</v>
      </c>
      <c r="F173" s="17">
        <f>IFERROR(ROUND($W173*$Z173*$AC173*参数!$D$13,0),"")</f>
        <v>15179</v>
      </c>
      <c r="G173" s="16">
        <v>442986</v>
      </c>
      <c r="H173" s="16">
        <v>9308</v>
      </c>
      <c r="I173" s="16">
        <v>11202</v>
      </c>
      <c r="J173" s="16">
        <v>34</v>
      </c>
      <c r="K173" s="16">
        <v>34</v>
      </c>
      <c r="L173" s="16">
        <f>IFERROR(INDEX(楼层配置!$D$5:$D$104,MATCH($K173,楼层配置!$B$5:$B$104,0)),"")</f>
        <v>136</v>
      </c>
      <c r="M173" s="16" t="str">
        <f>IFERROR(INDEX(_角色基线!$B$2:$B$100,MATCH($B173,_角色基线!$A$2:$A$100,0)),"")</f>
        <v>阿莱克西娅</v>
      </c>
      <c r="N173" s="16" t="str">
        <f>IFERROR(INDEX(_角色基线!$C$2:$C$100,MATCH($B173,_角色基线!$A$2:$A$100,0)),"")</f>
        <v>Support</v>
      </c>
      <c r="O173" s="16">
        <f>IFERROR(INDEX(_怪物基线!$B$2:$B$501,MATCH(INT($L173),_怪物基线!$A$2:$A$501,0)),"")</f>
        <v>69461</v>
      </c>
      <c r="P173" s="16">
        <f>IFERROR(INDEX(_怪物基线!$C$2:$C$501,MATCH(INT($L173),_怪物基线!$A$2:$A$501,0)),"")</f>
        <v>10368</v>
      </c>
      <c r="Q173" s="16">
        <f>IFERROR(INDEX(_怪物基线!$D$2:$D$501,MATCH(INT($L173),_怪物基线!$A$2:$A$501,0)),"")</f>
        <v>12143</v>
      </c>
      <c r="R173" s="16">
        <f>参数!$B$10</f>
        <v>4</v>
      </c>
      <c r="S173" s="16">
        <f>参数!$C$10</f>
        <v>1.2</v>
      </c>
      <c r="T173" s="16">
        <f>参数!$D$10</f>
        <v>1</v>
      </c>
      <c r="U173" s="16">
        <f t="shared" si="16"/>
        <v>277844</v>
      </c>
      <c r="V173" s="16">
        <f t="shared" si="17"/>
        <v>12441.6</v>
      </c>
      <c r="W173" s="16">
        <f t="shared" si="18"/>
        <v>12143</v>
      </c>
      <c r="X173" s="16">
        <f>IFERROR(INDEX(参数!$B$5:$B$7,MATCH($N173,参数!$A$5:$A$7,0)),"")</f>
        <v>1.25</v>
      </c>
      <c r="Y173" s="16">
        <f>IFERROR(INDEX(参数!$C$5:$C$7,MATCH($N173,参数!$A$5:$A$7,0)),"")</f>
        <v>1</v>
      </c>
      <c r="Z173" s="16">
        <f>IFERROR(INDEX(参数!$D$5:$D$7,MATCH($N173,参数!$A$5:$A$7,0)),"")</f>
        <v>1.25</v>
      </c>
      <c r="AA173" s="16">
        <f>IFERROR(INDEX(楼层配置!$E$5:$E$104,MATCH($K173,楼层配置!$B$5:$B$104,0)),1)</f>
        <v>1.1761990096556</v>
      </c>
      <c r="AB173" s="16">
        <f>IFERROR(INDEX(楼层配置!$F$5:$F$104,MATCH($K173,楼层配置!$B$5:$B$104,0)),1)</f>
        <v>0.673956999018393</v>
      </c>
      <c r="AC173" s="16">
        <f>IFERROR(INDEX(楼层配置!$G$5:$G$104,MATCH($K173,楼层配置!$B$5:$B$104,0)),1)</f>
        <v>1</v>
      </c>
      <c r="AD173" s="18">
        <f t="shared" si="19"/>
        <v>-0.0778489613667249</v>
      </c>
      <c r="AE173" s="18">
        <f t="shared" si="20"/>
        <v>-0.0991620111731843</v>
      </c>
      <c r="AF173" s="18">
        <f t="shared" si="21"/>
        <v>0.355025888234244</v>
      </c>
      <c r="AG173" s="16" t="str">
        <f t="shared" si="22"/>
        <v>有效</v>
      </c>
      <c r="AH173">
        <f t="shared" si="23"/>
        <v>666859.229166667</v>
      </c>
    </row>
    <row r="174" ht="14.25" customHeight="1" spans="1:34">
      <c r="A174" s="16">
        <v>170</v>
      </c>
      <c r="B174" s="16">
        <v>1024</v>
      </c>
      <c r="C174" s="16">
        <v>27</v>
      </c>
      <c r="D174" s="17">
        <f>IFERROR(ROUND($U174*$X174*$AA174*参数!$B$13,0),"")</f>
        <v>326800</v>
      </c>
      <c r="E174" s="17">
        <f>IFERROR(ROUND($V174*$Y174*$AB174*参数!$C$13,0),"")</f>
        <v>10062</v>
      </c>
      <c r="F174" s="17">
        <f>IFERROR(ROUND($W174*$Z174*$AC174*参数!$D$13,0),"")</f>
        <v>12143</v>
      </c>
      <c r="G174" s="16">
        <v>354388</v>
      </c>
      <c r="H174" s="16">
        <v>11169</v>
      </c>
      <c r="I174" s="16">
        <v>8961</v>
      </c>
      <c r="J174" s="16">
        <v>34</v>
      </c>
      <c r="K174" s="16">
        <v>34</v>
      </c>
      <c r="L174" s="16">
        <f>IFERROR(INDEX(楼层配置!$D$5:$D$104,MATCH($K174,楼层配置!$B$5:$B$104,0)),"")</f>
        <v>136</v>
      </c>
      <c r="M174" s="16" t="str">
        <f>IFERROR(INDEX(_角色基线!$B$2:$B$100,MATCH($B174,_角色基线!$A$2:$A$100,0)),"")</f>
        <v>卡薇</v>
      </c>
      <c r="N174" s="16" t="str">
        <f>IFERROR(INDEX(_角色基线!$C$2:$C$100,MATCH($B174,_角色基线!$A$2:$A$100,0)),"")</f>
        <v>DPS</v>
      </c>
      <c r="O174" s="16">
        <f>IFERROR(INDEX(_怪物基线!$B$2:$B$501,MATCH(INT($L174),_怪物基线!$A$2:$A$501,0)),"")</f>
        <v>69461</v>
      </c>
      <c r="P174" s="16">
        <f>IFERROR(INDEX(_怪物基线!$C$2:$C$501,MATCH(INT($L174),_怪物基线!$A$2:$A$501,0)),"")</f>
        <v>10368</v>
      </c>
      <c r="Q174" s="16">
        <f>IFERROR(INDEX(_怪物基线!$D$2:$D$501,MATCH(INT($L174),_怪物基线!$A$2:$A$501,0)),"")</f>
        <v>12143</v>
      </c>
      <c r="R174" s="16">
        <f>参数!$B$10</f>
        <v>4</v>
      </c>
      <c r="S174" s="16">
        <f>参数!$C$10</f>
        <v>1.2</v>
      </c>
      <c r="T174" s="16">
        <f>参数!$D$10</f>
        <v>1</v>
      </c>
      <c r="U174" s="16">
        <f t="shared" si="16"/>
        <v>277844</v>
      </c>
      <c r="V174" s="16">
        <f t="shared" si="17"/>
        <v>12441.6</v>
      </c>
      <c r="W174" s="16">
        <f t="shared" si="18"/>
        <v>12143</v>
      </c>
      <c r="X174" s="16">
        <f>IFERROR(INDEX(参数!$B$5:$B$7,MATCH($N174,参数!$A$5:$A$7,0)),"")</f>
        <v>1</v>
      </c>
      <c r="Y174" s="16">
        <f>IFERROR(INDEX(参数!$C$5:$C$7,MATCH($N174,参数!$A$5:$A$7,0)),"")</f>
        <v>1.2</v>
      </c>
      <c r="Z174" s="16">
        <f>IFERROR(INDEX(参数!$D$5:$D$7,MATCH($N174,参数!$A$5:$A$7,0)),"")</f>
        <v>1</v>
      </c>
      <c r="AA174" s="16">
        <f>IFERROR(INDEX(楼层配置!$E$5:$E$104,MATCH($K174,楼层配置!$B$5:$B$104,0)),1)</f>
        <v>1.1761990096556</v>
      </c>
      <c r="AB174" s="16">
        <f>IFERROR(INDEX(楼层配置!$F$5:$F$104,MATCH($K174,楼层配置!$B$5:$B$104,0)),1)</f>
        <v>0.673956999018393</v>
      </c>
      <c r="AC174" s="16">
        <f>IFERROR(INDEX(楼层配置!$G$5:$G$104,MATCH($K174,楼层配置!$B$5:$B$104,0)),1)</f>
        <v>1</v>
      </c>
      <c r="AD174" s="18">
        <f t="shared" si="19"/>
        <v>-0.077846879691186</v>
      </c>
      <c r="AE174" s="18">
        <f t="shared" si="20"/>
        <v>-0.0991136180499597</v>
      </c>
      <c r="AF174" s="18">
        <f t="shared" si="21"/>
        <v>0.355094297511438</v>
      </c>
      <c r="AG174" s="16" t="str">
        <f t="shared" si="22"/>
        <v>有效</v>
      </c>
      <c r="AH174">
        <f t="shared" si="23"/>
        <v>492147.183333333</v>
      </c>
    </row>
    <row r="175" ht="14.25" customHeight="1" spans="1:34">
      <c r="A175" s="16">
        <v>171</v>
      </c>
      <c r="B175" s="16">
        <v>1030</v>
      </c>
      <c r="C175" s="16">
        <v>27</v>
      </c>
      <c r="D175" s="17">
        <f>IFERROR(ROUND($U175*$X175*$AA175*参数!$B$13,0),"")</f>
        <v>515540</v>
      </c>
      <c r="E175" s="17">
        <f>IFERROR(ROUND($V175*$Y175*$AB175*参数!$C$13,0),"")</f>
        <v>8690</v>
      </c>
      <c r="F175" s="17">
        <f>IFERROR(ROUND($W175*$Z175*$AC175*参数!$D$13,0),"")</f>
        <v>18846</v>
      </c>
      <c r="G175" s="16">
        <v>562716</v>
      </c>
      <c r="H175" s="16">
        <v>9659</v>
      </c>
      <c r="I175" s="16">
        <v>13880</v>
      </c>
      <c r="J175" s="16">
        <v>35</v>
      </c>
      <c r="K175" s="16">
        <v>35</v>
      </c>
      <c r="L175" s="16">
        <f>IFERROR(INDEX(楼层配置!$D$5:$D$104,MATCH($K175,楼层配置!$B$5:$B$104,0)),"")</f>
        <v>140</v>
      </c>
      <c r="M175" s="16" t="str">
        <f>IFERROR(INDEX(_角色基线!$B$2:$B$100,MATCH($B175,_角色基线!$A$2:$A$100,0)),"")</f>
        <v>莫莉</v>
      </c>
      <c r="N175" s="16" t="str">
        <f>IFERROR(INDEX(_角色基线!$C$2:$C$100,MATCH($B175,_角色基线!$A$2:$A$100,0)),"")</f>
        <v>Tank</v>
      </c>
      <c r="O175" s="16">
        <f>IFERROR(INDEX(_怪物基线!$B$2:$B$501,MATCH(INT($L175),_怪物基线!$A$2:$A$501,0)),"")</f>
        <v>73878</v>
      </c>
      <c r="P175" s="16">
        <f>IFERROR(INDEX(_怪物基线!$C$2:$C$501,MATCH(INT($L175),_怪物基线!$A$2:$A$501,0)),"")</f>
        <v>10841</v>
      </c>
      <c r="Q175" s="16">
        <f>IFERROR(INDEX(_怪物基线!$D$2:$D$501,MATCH(INT($L175),_怪物基线!$A$2:$A$501,0)),"")</f>
        <v>12564</v>
      </c>
      <c r="R175" s="16">
        <f>参数!$B$10</f>
        <v>4</v>
      </c>
      <c r="S175" s="16">
        <f>参数!$C$10</f>
        <v>1.2</v>
      </c>
      <c r="T175" s="16">
        <f>参数!$D$10</f>
        <v>1</v>
      </c>
      <c r="U175" s="16">
        <f t="shared" si="16"/>
        <v>295512</v>
      </c>
      <c r="V175" s="16">
        <f t="shared" si="17"/>
        <v>13009.2</v>
      </c>
      <c r="W175" s="16">
        <f t="shared" si="18"/>
        <v>12564</v>
      </c>
      <c r="X175" s="16">
        <f>IFERROR(INDEX(参数!$B$5:$B$7,MATCH($N175,参数!$A$5:$A$7,0)),"")</f>
        <v>1.5</v>
      </c>
      <c r="Y175" s="16">
        <f>IFERROR(INDEX(参数!$C$5:$C$7,MATCH($N175,参数!$A$5:$A$7,0)),"")</f>
        <v>1</v>
      </c>
      <c r="Z175" s="16">
        <f>IFERROR(INDEX(参数!$D$5:$D$7,MATCH($N175,参数!$A$5:$A$7,0)),"")</f>
        <v>1.5</v>
      </c>
      <c r="AA175" s="16">
        <f>IFERROR(INDEX(楼层配置!$E$5:$E$104,MATCH($K175,楼层配置!$B$5:$B$104,0)),1)</f>
        <v>1.16304350071123</v>
      </c>
      <c r="AB175" s="16">
        <f>IFERROR(INDEX(楼层配置!$F$5:$F$104,MATCH($K175,楼层配置!$B$5:$B$104,0)),1)</f>
        <v>0.668010949572134</v>
      </c>
      <c r="AC175" s="16">
        <f>IFERROR(INDEX(楼层配置!$G$5:$G$104,MATCH($K175,楼层配置!$B$5:$B$104,0)),1)</f>
        <v>1</v>
      </c>
      <c r="AD175" s="18">
        <f t="shared" si="19"/>
        <v>-0.083836251323936</v>
      </c>
      <c r="AE175" s="18">
        <f t="shared" si="20"/>
        <v>-0.100320944197122</v>
      </c>
      <c r="AF175" s="18">
        <f t="shared" si="21"/>
        <v>0.357780979827089</v>
      </c>
      <c r="AG175" s="16" t="str">
        <f t="shared" si="22"/>
        <v>有效</v>
      </c>
      <c r="AH175">
        <f t="shared" si="23"/>
        <v>920367.785</v>
      </c>
    </row>
    <row r="176" ht="14.25" customHeight="1" spans="1:34">
      <c r="A176" s="16">
        <v>172</v>
      </c>
      <c r="B176" s="16">
        <v>1021</v>
      </c>
      <c r="C176" s="16">
        <v>27</v>
      </c>
      <c r="D176" s="17">
        <f>IFERROR(ROUND($U176*$X176*$AA176*参数!$B$13,0),"")</f>
        <v>343693</v>
      </c>
      <c r="E176" s="17">
        <f>IFERROR(ROUND($V176*$Y176*$AB176*参数!$C$13,0),"")</f>
        <v>10428</v>
      </c>
      <c r="F176" s="17">
        <f>IFERROR(ROUND($W176*$Z176*$AC176*参数!$D$13,0),"")</f>
        <v>12564</v>
      </c>
      <c r="G176" s="16">
        <v>375144</v>
      </c>
      <c r="H176" s="16">
        <v>11590</v>
      </c>
      <c r="I176" s="16">
        <v>9253</v>
      </c>
      <c r="J176" s="16">
        <v>35</v>
      </c>
      <c r="K176" s="16">
        <v>35</v>
      </c>
      <c r="L176" s="16">
        <f>IFERROR(INDEX(楼层配置!$D$5:$D$104,MATCH($K176,楼层配置!$B$5:$B$104,0)),"")</f>
        <v>140</v>
      </c>
      <c r="M176" s="16" t="str">
        <f>IFERROR(INDEX(_角色基线!$B$2:$B$100,MATCH($B176,_角色基线!$A$2:$A$100,0)),"")</f>
        <v>梅梅</v>
      </c>
      <c r="N176" s="16" t="str">
        <f>IFERROR(INDEX(_角色基线!$C$2:$C$100,MATCH($B176,_角色基线!$A$2:$A$100,0)),"")</f>
        <v>DPS</v>
      </c>
      <c r="O176" s="16">
        <f>IFERROR(INDEX(_怪物基线!$B$2:$B$501,MATCH(INT($L176),_怪物基线!$A$2:$A$501,0)),"")</f>
        <v>73878</v>
      </c>
      <c r="P176" s="16">
        <f>IFERROR(INDEX(_怪物基线!$C$2:$C$501,MATCH(INT($L176),_怪物基线!$A$2:$A$501,0)),"")</f>
        <v>10841</v>
      </c>
      <c r="Q176" s="16">
        <f>IFERROR(INDEX(_怪物基线!$D$2:$D$501,MATCH(INT($L176),_怪物基线!$A$2:$A$501,0)),"")</f>
        <v>12564</v>
      </c>
      <c r="R176" s="16">
        <f>参数!$B$10</f>
        <v>4</v>
      </c>
      <c r="S176" s="16">
        <f>参数!$C$10</f>
        <v>1.2</v>
      </c>
      <c r="T176" s="16">
        <f>参数!$D$10</f>
        <v>1</v>
      </c>
      <c r="U176" s="16">
        <f t="shared" si="16"/>
        <v>295512</v>
      </c>
      <c r="V176" s="16">
        <f t="shared" si="17"/>
        <v>13009.2</v>
      </c>
      <c r="W176" s="16">
        <f t="shared" si="18"/>
        <v>12564</v>
      </c>
      <c r="X176" s="16">
        <f>IFERROR(INDEX(参数!$B$5:$B$7,MATCH($N176,参数!$A$5:$A$7,0)),"")</f>
        <v>1</v>
      </c>
      <c r="Y176" s="16">
        <f>IFERROR(INDEX(参数!$C$5:$C$7,MATCH($N176,参数!$A$5:$A$7,0)),"")</f>
        <v>1.2</v>
      </c>
      <c r="Z176" s="16">
        <f>IFERROR(INDEX(参数!$D$5:$D$7,MATCH($N176,参数!$A$5:$A$7,0)),"")</f>
        <v>1</v>
      </c>
      <c r="AA176" s="16">
        <f>IFERROR(INDEX(楼层配置!$E$5:$E$104,MATCH($K176,楼层配置!$B$5:$B$104,0)),1)</f>
        <v>1.16304350071123</v>
      </c>
      <c r="AB176" s="16">
        <f>IFERROR(INDEX(楼层配置!$F$5:$F$104,MATCH($K176,楼层配置!$B$5:$B$104,0)),1)</f>
        <v>0.668010949572134</v>
      </c>
      <c r="AC176" s="16">
        <f>IFERROR(INDEX(楼层配置!$G$5:$G$104,MATCH($K176,楼层配置!$B$5:$B$104,0)),1)</f>
        <v>1</v>
      </c>
      <c r="AD176" s="18">
        <f t="shared" si="19"/>
        <v>-0.0838371398716227</v>
      </c>
      <c r="AE176" s="18">
        <f t="shared" si="20"/>
        <v>-0.100258843830889</v>
      </c>
      <c r="AF176" s="18">
        <f t="shared" si="21"/>
        <v>0.357829893007673</v>
      </c>
      <c r="AG176" s="16" t="str">
        <f t="shared" si="22"/>
        <v>有效</v>
      </c>
      <c r="AH176">
        <f t="shared" si="23"/>
        <v>523616.2855</v>
      </c>
    </row>
    <row r="177" ht="14.25" customHeight="1" spans="1:34">
      <c r="A177" s="16">
        <v>173</v>
      </c>
      <c r="B177" s="16">
        <v>1029</v>
      </c>
      <c r="C177" s="16">
        <v>27</v>
      </c>
      <c r="D177" s="17">
        <f>IFERROR(ROUND($U177*$X177*$AA177*参数!$B$13,0),"")</f>
        <v>429617</v>
      </c>
      <c r="E177" s="17">
        <f>IFERROR(ROUND($V177*$Y177*$AB177*参数!$C$13,0),"")</f>
        <v>8690</v>
      </c>
      <c r="F177" s="17">
        <f>IFERROR(ROUND($W177*$Z177*$AC177*参数!$D$13,0),"")</f>
        <v>15705</v>
      </c>
      <c r="G177" s="16">
        <v>468930</v>
      </c>
      <c r="H177" s="16">
        <v>9659</v>
      </c>
      <c r="I177" s="16">
        <v>11567</v>
      </c>
      <c r="J177" s="16">
        <v>35</v>
      </c>
      <c r="K177" s="16">
        <v>35</v>
      </c>
      <c r="L177" s="16">
        <f>IFERROR(INDEX(楼层配置!$D$5:$D$104,MATCH($K177,楼层配置!$B$5:$B$104,0)),"")</f>
        <v>140</v>
      </c>
      <c r="M177" s="16" t="str">
        <f>IFERROR(INDEX(_角色基线!$B$2:$B$100,MATCH($B177,_角色基线!$A$2:$A$100,0)),"")</f>
        <v>凯兰</v>
      </c>
      <c r="N177" s="16" t="str">
        <f>IFERROR(INDEX(_角色基线!$C$2:$C$100,MATCH($B177,_角色基线!$A$2:$A$100,0)),"")</f>
        <v>Support</v>
      </c>
      <c r="O177" s="16">
        <f>IFERROR(INDEX(_怪物基线!$B$2:$B$501,MATCH(INT($L177),_怪物基线!$A$2:$A$501,0)),"")</f>
        <v>73878</v>
      </c>
      <c r="P177" s="16">
        <f>IFERROR(INDEX(_怪物基线!$C$2:$C$501,MATCH(INT($L177),_怪物基线!$A$2:$A$501,0)),"")</f>
        <v>10841</v>
      </c>
      <c r="Q177" s="16">
        <f>IFERROR(INDEX(_怪物基线!$D$2:$D$501,MATCH(INT($L177),_怪物基线!$A$2:$A$501,0)),"")</f>
        <v>12564</v>
      </c>
      <c r="R177" s="16">
        <f>参数!$B$10</f>
        <v>4</v>
      </c>
      <c r="S177" s="16">
        <f>参数!$C$10</f>
        <v>1.2</v>
      </c>
      <c r="T177" s="16">
        <f>参数!$D$10</f>
        <v>1</v>
      </c>
      <c r="U177" s="16">
        <f t="shared" si="16"/>
        <v>295512</v>
      </c>
      <c r="V177" s="16">
        <f t="shared" si="17"/>
        <v>13009.2</v>
      </c>
      <c r="W177" s="16">
        <f t="shared" si="18"/>
        <v>12564</v>
      </c>
      <c r="X177" s="16">
        <f>IFERROR(INDEX(参数!$B$5:$B$7,MATCH($N177,参数!$A$5:$A$7,0)),"")</f>
        <v>1.25</v>
      </c>
      <c r="Y177" s="16">
        <f>IFERROR(INDEX(参数!$C$5:$C$7,MATCH($N177,参数!$A$5:$A$7,0)),"")</f>
        <v>1</v>
      </c>
      <c r="Z177" s="16">
        <f>IFERROR(INDEX(参数!$D$5:$D$7,MATCH($N177,参数!$A$5:$A$7,0)),"")</f>
        <v>1.25</v>
      </c>
      <c r="AA177" s="16">
        <f>IFERROR(INDEX(楼层配置!$E$5:$E$104,MATCH($K177,楼层配置!$B$5:$B$104,0)),1)</f>
        <v>1.16304350071123</v>
      </c>
      <c r="AB177" s="16">
        <f>IFERROR(INDEX(楼层配置!$F$5:$F$104,MATCH($K177,楼层配置!$B$5:$B$104,0)),1)</f>
        <v>0.668010949572134</v>
      </c>
      <c r="AC177" s="16">
        <f>IFERROR(INDEX(楼层配置!$G$5:$G$104,MATCH($K177,楼层配置!$B$5:$B$104,0)),1)</f>
        <v>1</v>
      </c>
      <c r="AD177" s="18">
        <f t="shared" si="19"/>
        <v>-0.0838355404857868</v>
      </c>
      <c r="AE177" s="18">
        <f t="shared" si="20"/>
        <v>-0.100320944197122</v>
      </c>
      <c r="AF177" s="18">
        <f t="shared" si="21"/>
        <v>0.357741851819832</v>
      </c>
      <c r="AG177" s="16" t="str">
        <f t="shared" si="22"/>
        <v>有效</v>
      </c>
      <c r="AH177">
        <f t="shared" si="23"/>
        <v>710747.624375</v>
      </c>
    </row>
    <row r="178" ht="14.25" customHeight="1" spans="1:34">
      <c r="A178" s="16">
        <v>174</v>
      </c>
      <c r="B178" s="16">
        <v>1020</v>
      </c>
      <c r="C178" s="16">
        <v>27</v>
      </c>
      <c r="D178" s="17">
        <f>IFERROR(ROUND($U178*$X178*$AA178*参数!$B$13,0),"")</f>
        <v>429617</v>
      </c>
      <c r="E178" s="17">
        <f>IFERROR(ROUND($V178*$Y178*$AB178*参数!$C$13,0),"")</f>
        <v>8690</v>
      </c>
      <c r="F178" s="17">
        <f>IFERROR(ROUND($W178*$Z178*$AC178*参数!$D$13,0),"")</f>
        <v>15705</v>
      </c>
      <c r="G178" s="16">
        <v>468930</v>
      </c>
      <c r="H178" s="16">
        <v>9659</v>
      </c>
      <c r="I178" s="16">
        <v>11567</v>
      </c>
      <c r="J178" s="16">
        <v>35</v>
      </c>
      <c r="K178" s="16">
        <v>35</v>
      </c>
      <c r="L178" s="16">
        <f>IFERROR(INDEX(楼层配置!$D$5:$D$104,MATCH($K178,楼层配置!$B$5:$B$104,0)),"")</f>
        <v>140</v>
      </c>
      <c r="M178" s="16" t="str">
        <f>IFERROR(INDEX(_角色基线!$B$2:$B$100,MATCH($B178,_角色基线!$A$2:$A$100,0)),"")</f>
        <v>卡斯帕</v>
      </c>
      <c r="N178" s="16" t="str">
        <f>IFERROR(INDEX(_角色基线!$C$2:$C$100,MATCH($B178,_角色基线!$A$2:$A$100,0)),"")</f>
        <v>Support</v>
      </c>
      <c r="O178" s="16">
        <f>IFERROR(INDEX(_怪物基线!$B$2:$B$501,MATCH(INT($L178),_怪物基线!$A$2:$A$501,0)),"")</f>
        <v>73878</v>
      </c>
      <c r="P178" s="16">
        <f>IFERROR(INDEX(_怪物基线!$C$2:$C$501,MATCH(INT($L178),_怪物基线!$A$2:$A$501,0)),"")</f>
        <v>10841</v>
      </c>
      <c r="Q178" s="16">
        <f>IFERROR(INDEX(_怪物基线!$D$2:$D$501,MATCH(INT($L178),_怪物基线!$A$2:$A$501,0)),"")</f>
        <v>12564</v>
      </c>
      <c r="R178" s="16">
        <f>参数!$B$10</f>
        <v>4</v>
      </c>
      <c r="S178" s="16">
        <f>参数!$C$10</f>
        <v>1.2</v>
      </c>
      <c r="T178" s="16">
        <f>参数!$D$10</f>
        <v>1</v>
      </c>
      <c r="U178" s="16">
        <f t="shared" si="16"/>
        <v>295512</v>
      </c>
      <c r="V178" s="16">
        <f t="shared" si="17"/>
        <v>13009.2</v>
      </c>
      <c r="W178" s="16">
        <f t="shared" si="18"/>
        <v>12564</v>
      </c>
      <c r="X178" s="16">
        <f>IFERROR(INDEX(参数!$B$5:$B$7,MATCH($N178,参数!$A$5:$A$7,0)),"")</f>
        <v>1.25</v>
      </c>
      <c r="Y178" s="16">
        <f>IFERROR(INDEX(参数!$C$5:$C$7,MATCH($N178,参数!$A$5:$A$7,0)),"")</f>
        <v>1</v>
      </c>
      <c r="Z178" s="16">
        <f>IFERROR(INDEX(参数!$D$5:$D$7,MATCH($N178,参数!$A$5:$A$7,0)),"")</f>
        <v>1.25</v>
      </c>
      <c r="AA178" s="16">
        <f>IFERROR(INDEX(楼层配置!$E$5:$E$104,MATCH($K178,楼层配置!$B$5:$B$104,0)),1)</f>
        <v>1.16304350071123</v>
      </c>
      <c r="AB178" s="16">
        <f>IFERROR(INDEX(楼层配置!$F$5:$F$104,MATCH($K178,楼层配置!$B$5:$B$104,0)),1)</f>
        <v>0.668010949572134</v>
      </c>
      <c r="AC178" s="16">
        <f>IFERROR(INDEX(楼层配置!$G$5:$G$104,MATCH($K178,楼层配置!$B$5:$B$104,0)),1)</f>
        <v>1</v>
      </c>
      <c r="AD178" s="18">
        <f t="shared" si="19"/>
        <v>-0.0838355404857868</v>
      </c>
      <c r="AE178" s="18">
        <f t="shared" si="20"/>
        <v>-0.100320944197122</v>
      </c>
      <c r="AF178" s="18">
        <f t="shared" si="21"/>
        <v>0.357741851819832</v>
      </c>
      <c r="AG178" s="16" t="str">
        <f t="shared" si="22"/>
        <v>有效</v>
      </c>
      <c r="AH178">
        <f t="shared" si="23"/>
        <v>710747.624375</v>
      </c>
    </row>
    <row r="179" ht="14.25" customHeight="1" spans="1:34">
      <c r="A179" s="16">
        <v>175</v>
      </c>
      <c r="B179" s="16">
        <v>1018</v>
      </c>
      <c r="C179" s="16">
        <v>27</v>
      </c>
      <c r="D179" s="17">
        <f>IFERROR(ROUND($U179*$X179*$AA179*参数!$B$13,0),"")</f>
        <v>429617</v>
      </c>
      <c r="E179" s="17">
        <f>IFERROR(ROUND($V179*$Y179*$AB179*参数!$C$13,0),"")</f>
        <v>8690</v>
      </c>
      <c r="F179" s="17">
        <f>IFERROR(ROUND($W179*$Z179*$AC179*参数!$D$13,0),"")</f>
        <v>15705</v>
      </c>
      <c r="G179" s="16">
        <v>468930</v>
      </c>
      <c r="H179" s="16">
        <v>9659</v>
      </c>
      <c r="I179" s="16">
        <v>11567</v>
      </c>
      <c r="J179" s="16">
        <v>35</v>
      </c>
      <c r="K179" s="16">
        <v>35</v>
      </c>
      <c r="L179" s="16">
        <f>IFERROR(INDEX(楼层配置!$D$5:$D$104,MATCH($K179,楼层配置!$B$5:$B$104,0)),"")</f>
        <v>140</v>
      </c>
      <c r="M179" s="16" t="str">
        <f>IFERROR(INDEX(_角色基线!$B$2:$B$100,MATCH($B179,_角色基线!$A$2:$A$100,0)),"")</f>
        <v>埃莉诺</v>
      </c>
      <c r="N179" s="16" t="str">
        <f>IFERROR(INDEX(_角色基线!$C$2:$C$100,MATCH($B179,_角色基线!$A$2:$A$100,0)),"")</f>
        <v>Support</v>
      </c>
      <c r="O179" s="16">
        <f>IFERROR(INDEX(_怪物基线!$B$2:$B$501,MATCH(INT($L179),_怪物基线!$A$2:$A$501,0)),"")</f>
        <v>73878</v>
      </c>
      <c r="P179" s="16">
        <f>IFERROR(INDEX(_怪物基线!$C$2:$C$501,MATCH(INT($L179),_怪物基线!$A$2:$A$501,0)),"")</f>
        <v>10841</v>
      </c>
      <c r="Q179" s="16">
        <f>IFERROR(INDEX(_怪物基线!$D$2:$D$501,MATCH(INT($L179),_怪物基线!$A$2:$A$501,0)),"")</f>
        <v>12564</v>
      </c>
      <c r="R179" s="16">
        <f>参数!$B$10</f>
        <v>4</v>
      </c>
      <c r="S179" s="16">
        <f>参数!$C$10</f>
        <v>1.2</v>
      </c>
      <c r="T179" s="16">
        <f>参数!$D$10</f>
        <v>1</v>
      </c>
      <c r="U179" s="16">
        <f t="shared" si="16"/>
        <v>295512</v>
      </c>
      <c r="V179" s="16">
        <f t="shared" si="17"/>
        <v>13009.2</v>
      </c>
      <c r="W179" s="16">
        <f t="shared" si="18"/>
        <v>12564</v>
      </c>
      <c r="X179" s="16">
        <f>IFERROR(INDEX(参数!$B$5:$B$7,MATCH($N179,参数!$A$5:$A$7,0)),"")</f>
        <v>1.25</v>
      </c>
      <c r="Y179" s="16">
        <f>IFERROR(INDEX(参数!$C$5:$C$7,MATCH($N179,参数!$A$5:$A$7,0)),"")</f>
        <v>1</v>
      </c>
      <c r="Z179" s="16">
        <f>IFERROR(INDEX(参数!$D$5:$D$7,MATCH($N179,参数!$A$5:$A$7,0)),"")</f>
        <v>1.25</v>
      </c>
      <c r="AA179" s="16">
        <f>IFERROR(INDEX(楼层配置!$E$5:$E$104,MATCH($K179,楼层配置!$B$5:$B$104,0)),1)</f>
        <v>1.16304350071123</v>
      </c>
      <c r="AB179" s="16">
        <f>IFERROR(INDEX(楼层配置!$F$5:$F$104,MATCH($K179,楼层配置!$B$5:$B$104,0)),1)</f>
        <v>0.668010949572134</v>
      </c>
      <c r="AC179" s="16">
        <f>IFERROR(INDEX(楼层配置!$G$5:$G$104,MATCH($K179,楼层配置!$B$5:$B$104,0)),1)</f>
        <v>1</v>
      </c>
      <c r="AD179" s="18">
        <f t="shared" si="19"/>
        <v>-0.0838355404857868</v>
      </c>
      <c r="AE179" s="18">
        <f t="shared" si="20"/>
        <v>-0.100320944197122</v>
      </c>
      <c r="AF179" s="18">
        <f t="shared" si="21"/>
        <v>0.357741851819832</v>
      </c>
      <c r="AG179" s="16" t="str">
        <f t="shared" si="22"/>
        <v>有效</v>
      </c>
      <c r="AH179">
        <f t="shared" si="23"/>
        <v>710747.624375</v>
      </c>
    </row>
    <row r="180" ht="14.25" customHeight="1" spans="1:34">
      <c r="A180" s="16">
        <v>176</v>
      </c>
      <c r="B180" s="16">
        <v>1030</v>
      </c>
      <c r="C180" s="16">
        <v>28</v>
      </c>
      <c r="D180" s="17">
        <f>IFERROR(ROUND($U180*$X180*$AA180*参数!$B$13,0),"")</f>
        <v>553548</v>
      </c>
      <c r="E180" s="17">
        <f>IFERROR(ROUND($V180*$Y180*$AB180*参数!$C$13,0),"")</f>
        <v>9124</v>
      </c>
      <c r="F180" s="17">
        <f>IFERROR(ROUND($W180*$Z180*$AC180*参数!$D$13,0),"")</f>
        <v>19482</v>
      </c>
      <c r="G180" s="16">
        <v>595094</v>
      </c>
      <c r="H180" s="16">
        <v>10018</v>
      </c>
      <c r="I180" s="16">
        <v>14322</v>
      </c>
      <c r="J180" s="16">
        <v>36</v>
      </c>
      <c r="K180" s="16">
        <v>36</v>
      </c>
      <c r="L180" s="16">
        <f>IFERROR(INDEX(楼层配置!$D$5:$D$104,MATCH($K180,楼层配置!$B$5:$B$104,0)),"")</f>
        <v>144</v>
      </c>
      <c r="M180" s="16" t="str">
        <f>IFERROR(INDEX(_角色基线!$B$2:$B$100,MATCH($B180,_角色基线!$A$2:$A$100,0)),"")</f>
        <v>莫莉</v>
      </c>
      <c r="N180" s="16" t="str">
        <f>IFERROR(INDEX(_角色基线!$C$2:$C$100,MATCH($B180,_角色基线!$A$2:$A$100,0)),"")</f>
        <v>Tank</v>
      </c>
      <c r="O180" s="16">
        <f>IFERROR(INDEX(_怪物基线!$B$2:$B$501,MATCH(INT($L180),_怪物基线!$A$2:$A$501,0)),"")</f>
        <v>78489</v>
      </c>
      <c r="P180" s="16">
        <f>IFERROR(INDEX(_怪物基线!$C$2:$C$501,MATCH(INT($L180),_怪物基线!$A$2:$A$501,0)),"")</f>
        <v>11325</v>
      </c>
      <c r="Q180" s="16">
        <f>IFERROR(INDEX(_怪物基线!$D$2:$D$501,MATCH(INT($L180),_怪物基线!$A$2:$A$501,0)),"")</f>
        <v>12988</v>
      </c>
      <c r="R180" s="16">
        <f>参数!$B$10</f>
        <v>4</v>
      </c>
      <c r="S180" s="16">
        <f>参数!$C$10</f>
        <v>1.2</v>
      </c>
      <c r="T180" s="16">
        <f>参数!$D$10</f>
        <v>1</v>
      </c>
      <c r="U180" s="16">
        <f t="shared" si="16"/>
        <v>313956</v>
      </c>
      <c r="V180" s="16">
        <f t="shared" si="17"/>
        <v>13590</v>
      </c>
      <c r="W180" s="16">
        <f t="shared" si="18"/>
        <v>12988</v>
      </c>
      <c r="X180" s="16">
        <f>IFERROR(INDEX(参数!$B$5:$B$7,MATCH($N180,参数!$A$5:$A$7,0)),"")</f>
        <v>1.5</v>
      </c>
      <c r="Y180" s="16">
        <f>IFERROR(INDEX(参数!$C$5:$C$7,MATCH($N180,参数!$A$5:$A$7,0)),"")</f>
        <v>1</v>
      </c>
      <c r="Z180" s="16">
        <f>IFERROR(INDEX(参数!$D$5:$D$7,MATCH($N180,参数!$A$5:$A$7,0)),"")</f>
        <v>1.5</v>
      </c>
      <c r="AA180" s="16">
        <f>IFERROR(INDEX(楼层配置!$E$5:$E$104,MATCH($K180,楼层配置!$B$5:$B$104,0)),1)</f>
        <v>1.17542560624017</v>
      </c>
      <c r="AB180" s="16">
        <f>IFERROR(INDEX(楼层配置!$F$5:$F$104,MATCH($K180,楼层配置!$B$5:$B$104,0)),1)</f>
        <v>0.671359586349877</v>
      </c>
      <c r="AC180" s="16">
        <f>IFERROR(INDEX(楼层配置!$G$5:$G$104,MATCH($K180,楼层配置!$B$5:$B$104,0)),1)</f>
        <v>1</v>
      </c>
      <c r="AD180" s="18">
        <f t="shared" si="19"/>
        <v>-0.0698141806168437</v>
      </c>
      <c r="AE180" s="18">
        <f t="shared" si="20"/>
        <v>-0.089239369135556</v>
      </c>
      <c r="AF180" s="18">
        <f t="shared" si="21"/>
        <v>0.360284876413909</v>
      </c>
      <c r="AG180" s="16" t="str">
        <f t="shared" si="22"/>
        <v>有效</v>
      </c>
      <c r="AH180">
        <f t="shared" si="23"/>
        <v>1002890.589</v>
      </c>
    </row>
    <row r="181" ht="14.25" customHeight="1" spans="1:34">
      <c r="A181" s="16">
        <v>177</v>
      </c>
      <c r="B181" s="16">
        <v>1024</v>
      </c>
      <c r="C181" s="16">
        <v>28</v>
      </c>
      <c r="D181" s="17">
        <f>IFERROR(ROUND($U181*$X181*$AA181*参数!$B$13,0),"")</f>
        <v>369032</v>
      </c>
      <c r="E181" s="17">
        <f>IFERROR(ROUND($V181*$Y181*$AB181*参数!$C$13,0),"")</f>
        <v>10949</v>
      </c>
      <c r="F181" s="17">
        <f>IFERROR(ROUND($W181*$Z181*$AC181*参数!$D$13,0),"")</f>
        <v>12988</v>
      </c>
      <c r="G181" s="16">
        <v>396729</v>
      </c>
      <c r="H181" s="16">
        <v>12021</v>
      </c>
      <c r="I181" s="16">
        <v>9548</v>
      </c>
      <c r="J181" s="16">
        <v>36</v>
      </c>
      <c r="K181" s="16">
        <v>36</v>
      </c>
      <c r="L181" s="16">
        <f>IFERROR(INDEX(楼层配置!$D$5:$D$104,MATCH($K181,楼层配置!$B$5:$B$104,0)),"")</f>
        <v>144</v>
      </c>
      <c r="M181" s="16" t="str">
        <f>IFERROR(INDEX(_角色基线!$B$2:$B$100,MATCH($B181,_角色基线!$A$2:$A$100,0)),"")</f>
        <v>卡薇</v>
      </c>
      <c r="N181" s="16" t="str">
        <f>IFERROR(INDEX(_角色基线!$C$2:$C$100,MATCH($B181,_角色基线!$A$2:$A$100,0)),"")</f>
        <v>DPS</v>
      </c>
      <c r="O181" s="16">
        <f>IFERROR(INDEX(_怪物基线!$B$2:$B$501,MATCH(INT($L181),_怪物基线!$A$2:$A$501,0)),"")</f>
        <v>78489</v>
      </c>
      <c r="P181" s="16">
        <f>IFERROR(INDEX(_怪物基线!$C$2:$C$501,MATCH(INT($L181),_怪物基线!$A$2:$A$501,0)),"")</f>
        <v>11325</v>
      </c>
      <c r="Q181" s="16">
        <f>IFERROR(INDEX(_怪物基线!$D$2:$D$501,MATCH(INT($L181),_怪物基线!$A$2:$A$501,0)),"")</f>
        <v>12988</v>
      </c>
      <c r="R181" s="16">
        <f>参数!$B$10</f>
        <v>4</v>
      </c>
      <c r="S181" s="16">
        <f>参数!$C$10</f>
        <v>1.2</v>
      </c>
      <c r="T181" s="16">
        <f>参数!$D$10</f>
        <v>1</v>
      </c>
      <c r="U181" s="16">
        <f t="shared" si="16"/>
        <v>313956</v>
      </c>
      <c r="V181" s="16">
        <f t="shared" si="17"/>
        <v>13590</v>
      </c>
      <c r="W181" s="16">
        <f t="shared" si="18"/>
        <v>12988</v>
      </c>
      <c r="X181" s="16">
        <f>IFERROR(INDEX(参数!$B$5:$B$7,MATCH($N181,参数!$A$5:$A$7,0)),"")</f>
        <v>1</v>
      </c>
      <c r="Y181" s="16">
        <f>IFERROR(INDEX(参数!$C$5:$C$7,MATCH($N181,参数!$A$5:$A$7,0)),"")</f>
        <v>1.2</v>
      </c>
      <c r="Z181" s="16">
        <f>IFERROR(INDEX(参数!$D$5:$D$7,MATCH($N181,参数!$A$5:$A$7,0)),"")</f>
        <v>1</v>
      </c>
      <c r="AA181" s="16">
        <f>IFERROR(INDEX(楼层配置!$E$5:$E$104,MATCH($K181,楼层配置!$B$5:$B$104,0)),1)</f>
        <v>1.17542560624017</v>
      </c>
      <c r="AB181" s="16">
        <f>IFERROR(INDEX(楼层配置!$F$5:$F$104,MATCH($K181,楼层配置!$B$5:$B$104,0)),1)</f>
        <v>0.671359586349877</v>
      </c>
      <c r="AC181" s="16">
        <f>IFERROR(INDEX(楼层配置!$G$5:$G$104,MATCH($K181,楼层配置!$B$5:$B$104,0)),1)</f>
        <v>1</v>
      </c>
      <c r="AD181" s="18">
        <f t="shared" si="19"/>
        <v>-0.0698133990709023</v>
      </c>
      <c r="AE181" s="18">
        <f t="shared" si="20"/>
        <v>-0.0891772731053989</v>
      </c>
      <c r="AF181" s="18">
        <f t="shared" si="21"/>
        <v>0.360284876413909</v>
      </c>
      <c r="AG181" s="16" t="str">
        <f t="shared" si="22"/>
        <v>有效</v>
      </c>
      <c r="AH181">
        <f t="shared" si="23"/>
        <v>568739.817333333</v>
      </c>
    </row>
    <row r="182" ht="14.25" customHeight="1" spans="1:34">
      <c r="A182" s="16">
        <v>178</v>
      </c>
      <c r="B182" s="16">
        <v>1018</v>
      </c>
      <c r="C182" s="16">
        <v>28</v>
      </c>
      <c r="D182" s="17">
        <f>IFERROR(ROUND($U182*$X182*$AA182*参数!$B$13,0),"")</f>
        <v>461290</v>
      </c>
      <c r="E182" s="17">
        <f>IFERROR(ROUND($V182*$Y182*$AB182*参数!$C$13,0),"")</f>
        <v>9124</v>
      </c>
      <c r="F182" s="17">
        <f>IFERROR(ROUND($W182*$Z182*$AC182*参数!$D$13,0),"")</f>
        <v>16235</v>
      </c>
      <c r="G182" s="16">
        <v>495912</v>
      </c>
      <c r="H182" s="16">
        <v>10018</v>
      </c>
      <c r="I182" s="16">
        <v>11935</v>
      </c>
      <c r="J182" s="16">
        <v>36</v>
      </c>
      <c r="K182" s="16">
        <v>36</v>
      </c>
      <c r="L182" s="16">
        <f>IFERROR(INDEX(楼层配置!$D$5:$D$104,MATCH($K182,楼层配置!$B$5:$B$104,0)),"")</f>
        <v>144</v>
      </c>
      <c r="M182" s="16" t="str">
        <f>IFERROR(INDEX(_角色基线!$B$2:$B$100,MATCH($B182,_角色基线!$A$2:$A$100,0)),"")</f>
        <v>埃莉诺</v>
      </c>
      <c r="N182" s="16" t="str">
        <f>IFERROR(INDEX(_角色基线!$C$2:$C$100,MATCH($B182,_角色基线!$A$2:$A$100,0)),"")</f>
        <v>Support</v>
      </c>
      <c r="O182" s="16">
        <f>IFERROR(INDEX(_怪物基线!$B$2:$B$501,MATCH(INT($L182),_怪物基线!$A$2:$A$501,0)),"")</f>
        <v>78489</v>
      </c>
      <c r="P182" s="16">
        <f>IFERROR(INDEX(_怪物基线!$C$2:$C$501,MATCH(INT($L182),_怪物基线!$A$2:$A$501,0)),"")</f>
        <v>11325</v>
      </c>
      <c r="Q182" s="16">
        <f>IFERROR(INDEX(_怪物基线!$D$2:$D$501,MATCH(INT($L182),_怪物基线!$A$2:$A$501,0)),"")</f>
        <v>12988</v>
      </c>
      <c r="R182" s="16">
        <f>参数!$B$10</f>
        <v>4</v>
      </c>
      <c r="S182" s="16">
        <f>参数!$C$10</f>
        <v>1.2</v>
      </c>
      <c r="T182" s="16">
        <f>参数!$D$10</f>
        <v>1</v>
      </c>
      <c r="U182" s="16">
        <f t="shared" si="16"/>
        <v>313956</v>
      </c>
      <c r="V182" s="16">
        <f t="shared" si="17"/>
        <v>13590</v>
      </c>
      <c r="W182" s="16">
        <f t="shared" si="18"/>
        <v>12988</v>
      </c>
      <c r="X182" s="16">
        <f>IFERROR(INDEX(参数!$B$5:$B$7,MATCH($N182,参数!$A$5:$A$7,0)),"")</f>
        <v>1.25</v>
      </c>
      <c r="Y182" s="16">
        <f>IFERROR(INDEX(参数!$C$5:$C$7,MATCH($N182,参数!$A$5:$A$7,0)),"")</f>
        <v>1</v>
      </c>
      <c r="Z182" s="16">
        <f>IFERROR(INDEX(参数!$D$5:$D$7,MATCH($N182,参数!$A$5:$A$7,0)),"")</f>
        <v>1.25</v>
      </c>
      <c r="AA182" s="16">
        <f>IFERROR(INDEX(楼层配置!$E$5:$E$104,MATCH($K182,楼层配置!$B$5:$B$104,0)),1)</f>
        <v>1.17542560624017</v>
      </c>
      <c r="AB182" s="16">
        <f>IFERROR(INDEX(楼层配置!$F$5:$F$104,MATCH($K182,楼层配置!$B$5:$B$104,0)),1)</f>
        <v>0.671359586349877</v>
      </c>
      <c r="AC182" s="16">
        <f>IFERROR(INDEX(楼层配置!$G$5:$G$104,MATCH($K182,楼层配置!$B$5:$B$104,0)),1)</f>
        <v>1</v>
      </c>
      <c r="AD182" s="18">
        <f t="shared" si="19"/>
        <v>-0.0698148058526513</v>
      </c>
      <c r="AE182" s="18">
        <f t="shared" si="20"/>
        <v>-0.089239369135556</v>
      </c>
      <c r="AF182" s="18">
        <f t="shared" si="21"/>
        <v>0.360284876413909</v>
      </c>
      <c r="AG182" s="16" t="str">
        <f t="shared" si="22"/>
        <v>有效</v>
      </c>
      <c r="AH182">
        <f t="shared" si="23"/>
        <v>773333.464583333</v>
      </c>
    </row>
    <row r="183" ht="14.25" customHeight="1" spans="1:34">
      <c r="A183" s="16">
        <v>179</v>
      </c>
      <c r="B183" s="16">
        <v>1011</v>
      </c>
      <c r="C183" s="16">
        <v>28</v>
      </c>
      <c r="D183" s="17">
        <f>IFERROR(ROUND($U183*$X183*$AA183*参数!$B$13,0),"")</f>
        <v>461290</v>
      </c>
      <c r="E183" s="17">
        <f>IFERROR(ROUND($V183*$Y183*$AB183*参数!$C$13,0),"")</f>
        <v>9124</v>
      </c>
      <c r="F183" s="17">
        <f>IFERROR(ROUND($W183*$Z183*$AC183*参数!$D$13,0),"")</f>
        <v>16235</v>
      </c>
      <c r="G183" s="16">
        <v>495912</v>
      </c>
      <c r="H183" s="16">
        <v>10018</v>
      </c>
      <c r="I183" s="16">
        <v>11935</v>
      </c>
      <c r="J183" s="16">
        <v>36</v>
      </c>
      <c r="K183" s="16">
        <v>36</v>
      </c>
      <c r="L183" s="16">
        <f>IFERROR(INDEX(楼层配置!$D$5:$D$104,MATCH($K183,楼层配置!$B$5:$B$104,0)),"")</f>
        <v>144</v>
      </c>
      <c r="M183" s="16" t="str">
        <f>IFERROR(INDEX(_角色基线!$B$2:$B$100,MATCH($B183,_角色基线!$A$2:$A$100,0)),"")</f>
        <v>陈双双</v>
      </c>
      <c r="N183" s="16" t="str">
        <f>IFERROR(INDEX(_角色基线!$C$2:$C$100,MATCH($B183,_角色基线!$A$2:$A$100,0)),"")</f>
        <v>Support</v>
      </c>
      <c r="O183" s="16">
        <f>IFERROR(INDEX(_怪物基线!$B$2:$B$501,MATCH(INT($L183),_怪物基线!$A$2:$A$501,0)),"")</f>
        <v>78489</v>
      </c>
      <c r="P183" s="16">
        <f>IFERROR(INDEX(_怪物基线!$C$2:$C$501,MATCH(INT($L183),_怪物基线!$A$2:$A$501,0)),"")</f>
        <v>11325</v>
      </c>
      <c r="Q183" s="16">
        <f>IFERROR(INDEX(_怪物基线!$D$2:$D$501,MATCH(INT($L183),_怪物基线!$A$2:$A$501,0)),"")</f>
        <v>12988</v>
      </c>
      <c r="R183" s="16">
        <f>参数!$B$10</f>
        <v>4</v>
      </c>
      <c r="S183" s="16">
        <f>参数!$C$10</f>
        <v>1.2</v>
      </c>
      <c r="T183" s="16">
        <f>参数!$D$10</f>
        <v>1</v>
      </c>
      <c r="U183" s="16">
        <f t="shared" si="16"/>
        <v>313956</v>
      </c>
      <c r="V183" s="16">
        <f t="shared" si="17"/>
        <v>13590</v>
      </c>
      <c r="W183" s="16">
        <f t="shared" si="18"/>
        <v>12988</v>
      </c>
      <c r="X183" s="16">
        <f>IFERROR(INDEX(参数!$B$5:$B$7,MATCH($N183,参数!$A$5:$A$7,0)),"")</f>
        <v>1.25</v>
      </c>
      <c r="Y183" s="16">
        <f>IFERROR(INDEX(参数!$C$5:$C$7,MATCH($N183,参数!$A$5:$A$7,0)),"")</f>
        <v>1</v>
      </c>
      <c r="Z183" s="16">
        <f>IFERROR(INDEX(参数!$D$5:$D$7,MATCH($N183,参数!$A$5:$A$7,0)),"")</f>
        <v>1.25</v>
      </c>
      <c r="AA183" s="16">
        <f>IFERROR(INDEX(楼层配置!$E$5:$E$104,MATCH($K183,楼层配置!$B$5:$B$104,0)),1)</f>
        <v>1.17542560624017</v>
      </c>
      <c r="AB183" s="16">
        <f>IFERROR(INDEX(楼层配置!$F$5:$F$104,MATCH($K183,楼层配置!$B$5:$B$104,0)),1)</f>
        <v>0.671359586349877</v>
      </c>
      <c r="AC183" s="16">
        <f>IFERROR(INDEX(楼层配置!$G$5:$G$104,MATCH($K183,楼层配置!$B$5:$B$104,0)),1)</f>
        <v>1</v>
      </c>
      <c r="AD183" s="18">
        <f t="shared" si="19"/>
        <v>-0.0698148058526513</v>
      </c>
      <c r="AE183" s="18">
        <f t="shared" si="20"/>
        <v>-0.089239369135556</v>
      </c>
      <c r="AF183" s="18">
        <f t="shared" si="21"/>
        <v>0.360284876413909</v>
      </c>
      <c r="AG183" s="16" t="str">
        <f t="shared" si="22"/>
        <v>有效</v>
      </c>
      <c r="AH183">
        <f t="shared" si="23"/>
        <v>773333.464583333</v>
      </c>
    </row>
    <row r="184" ht="14.25" customHeight="1" spans="1:34">
      <c r="A184" s="16">
        <v>180</v>
      </c>
      <c r="B184" s="16">
        <v>1021</v>
      </c>
      <c r="C184" s="16">
        <v>28</v>
      </c>
      <c r="D184" s="17">
        <f>IFERROR(ROUND($U184*$X184*$AA184*参数!$B$13,0),"")</f>
        <v>369032</v>
      </c>
      <c r="E184" s="17">
        <f>IFERROR(ROUND($V184*$Y184*$AB184*参数!$C$13,0),"")</f>
        <v>10949</v>
      </c>
      <c r="F184" s="17">
        <f>IFERROR(ROUND($W184*$Z184*$AC184*参数!$D$13,0),"")</f>
        <v>12988</v>
      </c>
      <c r="G184" s="16">
        <v>396729</v>
      </c>
      <c r="H184" s="16">
        <v>12021</v>
      </c>
      <c r="I184" s="16">
        <v>9548</v>
      </c>
      <c r="J184" s="16">
        <v>36</v>
      </c>
      <c r="K184" s="16">
        <v>36</v>
      </c>
      <c r="L184" s="16">
        <f>IFERROR(INDEX(楼层配置!$D$5:$D$104,MATCH($K184,楼层配置!$B$5:$B$104,0)),"")</f>
        <v>144</v>
      </c>
      <c r="M184" s="16" t="str">
        <f>IFERROR(INDEX(_角色基线!$B$2:$B$100,MATCH($B184,_角色基线!$A$2:$A$100,0)),"")</f>
        <v>梅梅</v>
      </c>
      <c r="N184" s="16" t="str">
        <f>IFERROR(INDEX(_角色基线!$C$2:$C$100,MATCH($B184,_角色基线!$A$2:$A$100,0)),"")</f>
        <v>DPS</v>
      </c>
      <c r="O184" s="16">
        <f>IFERROR(INDEX(_怪物基线!$B$2:$B$501,MATCH(INT($L184),_怪物基线!$A$2:$A$501,0)),"")</f>
        <v>78489</v>
      </c>
      <c r="P184" s="16">
        <f>IFERROR(INDEX(_怪物基线!$C$2:$C$501,MATCH(INT($L184),_怪物基线!$A$2:$A$501,0)),"")</f>
        <v>11325</v>
      </c>
      <c r="Q184" s="16">
        <f>IFERROR(INDEX(_怪物基线!$D$2:$D$501,MATCH(INT($L184),_怪物基线!$A$2:$A$501,0)),"")</f>
        <v>12988</v>
      </c>
      <c r="R184" s="16">
        <f>参数!$B$10</f>
        <v>4</v>
      </c>
      <c r="S184" s="16">
        <f>参数!$C$10</f>
        <v>1.2</v>
      </c>
      <c r="T184" s="16">
        <f>参数!$D$10</f>
        <v>1</v>
      </c>
      <c r="U184" s="16">
        <f t="shared" si="16"/>
        <v>313956</v>
      </c>
      <c r="V184" s="16">
        <f t="shared" si="17"/>
        <v>13590</v>
      </c>
      <c r="W184" s="16">
        <f t="shared" si="18"/>
        <v>12988</v>
      </c>
      <c r="X184" s="16">
        <f>IFERROR(INDEX(参数!$B$5:$B$7,MATCH($N184,参数!$A$5:$A$7,0)),"")</f>
        <v>1</v>
      </c>
      <c r="Y184" s="16">
        <f>IFERROR(INDEX(参数!$C$5:$C$7,MATCH($N184,参数!$A$5:$A$7,0)),"")</f>
        <v>1.2</v>
      </c>
      <c r="Z184" s="16">
        <f>IFERROR(INDEX(参数!$D$5:$D$7,MATCH($N184,参数!$A$5:$A$7,0)),"")</f>
        <v>1</v>
      </c>
      <c r="AA184" s="16">
        <f>IFERROR(INDEX(楼层配置!$E$5:$E$104,MATCH($K184,楼层配置!$B$5:$B$104,0)),1)</f>
        <v>1.17542560624017</v>
      </c>
      <c r="AB184" s="16">
        <f>IFERROR(INDEX(楼层配置!$F$5:$F$104,MATCH($K184,楼层配置!$B$5:$B$104,0)),1)</f>
        <v>0.671359586349877</v>
      </c>
      <c r="AC184" s="16">
        <f>IFERROR(INDEX(楼层配置!$G$5:$G$104,MATCH($K184,楼层配置!$B$5:$B$104,0)),1)</f>
        <v>1</v>
      </c>
      <c r="AD184" s="18">
        <f t="shared" si="19"/>
        <v>-0.0698133990709023</v>
      </c>
      <c r="AE184" s="18">
        <f t="shared" si="20"/>
        <v>-0.0891772731053989</v>
      </c>
      <c r="AF184" s="18">
        <f t="shared" si="21"/>
        <v>0.360284876413909</v>
      </c>
      <c r="AG184" s="16" t="str">
        <f t="shared" si="22"/>
        <v>有效</v>
      </c>
      <c r="AH184">
        <f t="shared" si="23"/>
        <v>568739.817333333</v>
      </c>
    </row>
    <row r="185" ht="14.25" customHeight="1" spans="1:34">
      <c r="A185" s="16">
        <v>181</v>
      </c>
      <c r="B185" s="16">
        <v>1002</v>
      </c>
      <c r="C185" s="16">
        <v>28</v>
      </c>
      <c r="D185" s="17">
        <f>IFERROR(ROUND($U185*$X185*$AA185*参数!$B$13,0),"")</f>
        <v>585948</v>
      </c>
      <c r="E185" s="17">
        <f>IFERROR(ROUND($V185*$Y185*$AB185*参数!$C$13,0),"")</f>
        <v>9475</v>
      </c>
      <c r="F185" s="17">
        <f>IFERROR(ROUND($W185*$Z185*$AC185*参数!$D$13,0),"")</f>
        <v>20126</v>
      </c>
      <c r="G185" s="16">
        <v>628754</v>
      </c>
      <c r="H185" s="16">
        <v>10384</v>
      </c>
      <c r="I185" s="16">
        <v>14767</v>
      </c>
      <c r="J185" s="16">
        <v>37</v>
      </c>
      <c r="K185" s="16">
        <v>37</v>
      </c>
      <c r="L185" s="16">
        <f>IFERROR(INDEX(楼层配置!$D$5:$D$104,MATCH($K185,楼层配置!$B$5:$B$104,0)),"")</f>
        <v>148</v>
      </c>
      <c r="M185" s="16" t="str">
        <f>IFERROR(INDEX(_角色基线!$B$2:$B$100,MATCH($B185,_角色基线!$A$2:$A$100,0)),"")</f>
        <v>大暑</v>
      </c>
      <c r="N185" s="16" t="str">
        <f>IFERROR(INDEX(_角色基线!$C$2:$C$100,MATCH($B185,_角色基线!$A$2:$A$100,0)),"")</f>
        <v>Tank</v>
      </c>
      <c r="O185" s="16">
        <f>IFERROR(INDEX(_怪物基线!$B$2:$B$501,MATCH(INT($L185),_怪物基线!$A$2:$A$501,0)),"")</f>
        <v>83299</v>
      </c>
      <c r="P185" s="16">
        <f>IFERROR(INDEX(_怪物基线!$C$2:$C$501,MATCH(INT($L185),_怪物基线!$A$2:$A$501,0)),"")</f>
        <v>11821</v>
      </c>
      <c r="Q185" s="16">
        <f>IFERROR(INDEX(_怪物基线!$D$2:$D$501,MATCH(INT($L185),_怪物基线!$A$2:$A$501,0)),"")</f>
        <v>13417</v>
      </c>
      <c r="R185" s="16">
        <f>参数!$B$10</f>
        <v>4</v>
      </c>
      <c r="S185" s="16">
        <f>参数!$C$10</f>
        <v>1.2</v>
      </c>
      <c r="T185" s="16">
        <f>参数!$D$10</f>
        <v>1</v>
      </c>
      <c r="U185" s="16">
        <f t="shared" si="16"/>
        <v>333196</v>
      </c>
      <c r="V185" s="16">
        <f t="shared" si="17"/>
        <v>14185.2</v>
      </c>
      <c r="W185" s="16">
        <f t="shared" si="18"/>
        <v>13417</v>
      </c>
      <c r="X185" s="16">
        <f>IFERROR(INDEX(参数!$B$5:$B$7,MATCH($N185,参数!$A$5:$A$7,0)),"")</f>
        <v>1.5</v>
      </c>
      <c r="Y185" s="16">
        <f>IFERROR(INDEX(参数!$C$5:$C$7,MATCH($N185,参数!$A$5:$A$7,0)),"")</f>
        <v>1</v>
      </c>
      <c r="Z185" s="16">
        <f>IFERROR(INDEX(参数!$D$5:$D$7,MATCH($N185,参数!$A$5:$A$7,0)),"")</f>
        <v>1.5</v>
      </c>
      <c r="AA185" s="16">
        <f>IFERROR(INDEX(楼层配置!$E$5:$E$104,MATCH($K185,楼层配置!$B$5:$B$104,0)),1)</f>
        <v>1.17237889170564</v>
      </c>
      <c r="AB185" s="16">
        <f>IFERROR(INDEX(楼层配置!$F$5:$F$104,MATCH($K185,楼层配置!$B$5:$B$104,0)),1)</f>
        <v>0.667931756315419</v>
      </c>
      <c r="AC185" s="16">
        <f>IFERROR(INDEX(楼层配置!$G$5:$G$104,MATCH($K185,楼层配置!$B$5:$B$104,0)),1)</f>
        <v>1</v>
      </c>
      <c r="AD185" s="18">
        <f t="shared" si="19"/>
        <v>-0.0680806802024321</v>
      </c>
      <c r="AE185" s="18">
        <f t="shared" si="20"/>
        <v>-0.0875385208012327</v>
      </c>
      <c r="AF185" s="18">
        <f t="shared" si="21"/>
        <v>0.362903771923884</v>
      </c>
      <c r="AG185" s="16" t="str">
        <f t="shared" si="22"/>
        <v>有效</v>
      </c>
      <c r="AH185">
        <f t="shared" si="23"/>
        <v>1077314.227</v>
      </c>
    </row>
    <row r="186" ht="14.25" customHeight="1" spans="1:34">
      <c r="A186" s="16">
        <v>182</v>
      </c>
      <c r="B186" s="16">
        <v>1030</v>
      </c>
      <c r="C186" s="16">
        <v>28</v>
      </c>
      <c r="D186" s="17">
        <f>IFERROR(ROUND($U186*$X186*$AA186*参数!$B$13,0),"")</f>
        <v>585948</v>
      </c>
      <c r="E186" s="17">
        <f>IFERROR(ROUND($V186*$Y186*$AB186*参数!$C$13,0),"")</f>
        <v>9475</v>
      </c>
      <c r="F186" s="17">
        <f>IFERROR(ROUND($W186*$Z186*$AC186*参数!$D$13,0),"")</f>
        <v>20126</v>
      </c>
      <c r="G186" s="16">
        <v>628754</v>
      </c>
      <c r="H186" s="16">
        <v>10384</v>
      </c>
      <c r="I186" s="16">
        <v>14767</v>
      </c>
      <c r="J186" s="16">
        <v>37</v>
      </c>
      <c r="K186" s="16">
        <v>37</v>
      </c>
      <c r="L186" s="16">
        <f>IFERROR(INDEX(楼层配置!$D$5:$D$104,MATCH($K186,楼层配置!$B$5:$B$104,0)),"")</f>
        <v>148</v>
      </c>
      <c r="M186" s="16" t="str">
        <f>IFERROR(INDEX(_角色基线!$B$2:$B$100,MATCH($B186,_角色基线!$A$2:$A$100,0)),"")</f>
        <v>莫莉</v>
      </c>
      <c r="N186" s="16" t="str">
        <f>IFERROR(INDEX(_角色基线!$C$2:$C$100,MATCH($B186,_角色基线!$A$2:$A$100,0)),"")</f>
        <v>Tank</v>
      </c>
      <c r="O186" s="16">
        <f>IFERROR(INDEX(_怪物基线!$B$2:$B$501,MATCH(INT($L186),_怪物基线!$A$2:$A$501,0)),"")</f>
        <v>83299</v>
      </c>
      <c r="P186" s="16">
        <f>IFERROR(INDEX(_怪物基线!$C$2:$C$501,MATCH(INT($L186),_怪物基线!$A$2:$A$501,0)),"")</f>
        <v>11821</v>
      </c>
      <c r="Q186" s="16">
        <f>IFERROR(INDEX(_怪物基线!$D$2:$D$501,MATCH(INT($L186),_怪物基线!$A$2:$A$501,0)),"")</f>
        <v>13417</v>
      </c>
      <c r="R186" s="16">
        <f>参数!$B$10</f>
        <v>4</v>
      </c>
      <c r="S186" s="16">
        <f>参数!$C$10</f>
        <v>1.2</v>
      </c>
      <c r="T186" s="16">
        <f>参数!$D$10</f>
        <v>1</v>
      </c>
      <c r="U186" s="16">
        <f t="shared" si="16"/>
        <v>333196</v>
      </c>
      <c r="V186" s="16">
        <f t="shared" si="17"/>
        <v>14185.2</v>
      </c>
      <c r="W186" s="16">
        <f t="shared" si="18"/>
        <v>13417</v>
      </c>
      <c r="X186" s="16">
        <f>IFERROR(INDEX(参数!$B$5:$B$7,MATCH($N186,参数!$A$5:$A$7,0)),"")</f>
        <v>1.5</v>
      </c>
      <c r="Y186" s="16">
        <f>IFERROR(INDEX(参数!$C$5:$C$7,MATCH($N186,参数!$A$5:$A$7,0)),"")</f>
        <v>1</v>
      </c>
      <c r="Z186" s="16">
        <f>IFERROR(INDEX(参数!$D$5:$D$7,MATCH($N186,参数!$A$5:$A$7,0)),"")</f>
        <v>1.5</v>
      </c>
      <c r="AA186" s="16">
        <f>IFERROR(INDEX(楼层配置!$E$5:$E$104,MATCH($K186,楼层配置!$B$5:$B$104,0)),1)</f>
        <v>1.17237889170564</v>
      </c>
      <c r="AB186" s="16">
        <f>IFERROR(INDEX(楼层配置!$F$5:$F$104,MATCH($K186,楼层配置!$B$5:$B$104,0)),1)</f>
        <v>0.667931756315419</v>
      </c>
      <c r="AC186" s="16">
        <f>IFERROR(INDEX(楼层配置!$G$5:$G$104,MATCH($K186,楼层配置!$B$5:$B$104,0)),1)</f>
        <v>1</v>
      </c>
      <c r="AD186" s="18">
        <f t="shared" si="19"/>
        <v>-0.0680806802024321</v>
      </c>
      <c r="AE186" s="18">
        <f t="shared" si="20"/>
        <v>-0.0875385208012327</v>
      </c>
      <c r="AF186" s="18">
        <f t="shared" si="21"/>
        <v>0.362903771923884</v>
      </c>
      <c r="AG186" s="16" t="str">
        <f t="shared" si="22"/>
        <v>有效</v>
      </c>
      <c r="AH186">
        <f t="shared" si="23"/>
        <v>1077314.227</v>
      </c>
    </row>
    <row r="187" ht="14.25" customHeight="1" spans="1:34">
      <c r="A187" s="16">
        <v>183</v>
      </c>
      <c r="B187" s="16">
        <v>1021</v>
      </c>
      <c r="C187" s="16">
        <v>28</v>
      </c>
      <c r="D187" s="17">
        <f>IFERROR(ROUND($U187*$X187*$AA187*参数!$B$13,0),"")</f>
        <v>390632</v>
      </c>
      <c r="E187" s="17">
        <f>IFERROR(ROUND($V187*$Y187*$AB187*参数!$C$13,0),"")</f>
        <v>11370</v>
      </c>
      <c r="F187" s="17">
        <f>IFERROR(ROUND($W187*$Z187*$AC187*参数!$D$13,0),"")</f>
        <v>13417</v>
      </c>
      <c r="G187" s="16">
        <v>419169</v>
      </c>
      <c r="H187" s="16">
        <v>12460</v>
      </c>
      <c r="I187" s="16">
        <v>9844</v>
      </c>
      <c r="J187" s="16">
        <v>37</v>
      </c>
      <c r="K187" s="16">
        <v>37</v>
      </c>
      <c r="L187" s="16">
        <f>IFERROR(INDEX(楼层配置!$D$5:$D$104,MATCH($K187,楼层配置!$B$5:$B$104,0)),"")</f>
        <v>148</v>
      </c>
      <c r="M187" s="16" t="str">
        <f>IFERROR(INDEX(_角色基线!$B$2:$B$100,MATCH($B187,_角色基线!$A$2:$A$100,0)),"")</f>
        <v>梅梅</v>
      </c>
      <c r="N187" s="16" t="str">
        <f>IFERROR(INDEX(_角色基线!$C$2:$C$100,MATCH($B187,_角色基线!$A$2:$A$100,0)),"")</f>
        <v>DPS</v>
      </c>
      <c r="O187" s="16">
        <f>IFERROR(INDEX(_怪物基线!$B$2:$B$501,MATCH(INT($L187),_怪物基线!$A$2:$A$501,0)),"")</f>
        <v>83299</v>
      </c>
      <c r="P187" s="16">
        <f>IFERROR(INDEX(_怪物基线!$C$2:$C$501,MATCH(INT($L187),_怪物基线!$A$2:$A$501,0)),"")</f>
        <v>11821</v>
      </c>
      <c r="Q187" s="16">
        <f>IFERROR(INDEX(_怪物基线!$D$2:$D$501,MATCH(INT($L187),_怪物基线!$A$2:$A$501,0)),"")</f>
        <v>13417</v>
      </c>
      <c r="R187" s="16">
        <f>参数!$B$10</f>
        <v>4</v>
      </c>
      <c r="S187" s="16">
        <f>参数!$C$10</f>
        <v>1.2</v>
      </c>
      <c r="T187" s="16">
        <f>参数!$D$10</f>
        <v>1</v>
      </c>
      <c r="U187" s="16">
        <f t="shared" si="16"/>
        <v>333196</v>
      </c>
      <c r="V187" s="16">
        <f t="shared" si="17"/>
        <v>14185.2</v>
      </c>
      <c r="W187" s="16">
        <f t="shared" si="18"/>
        <v>13417</v>
      </c>
      <c r="X187" s="16">
        <f>IFERROR(INDEX(参数!$B$5:$B$7,MATCH($N187,参数!$A$5:$A$7,0)),"")</f>
        <v>1</v>
      </c>
      <c r="Y187" s="16">
        <f>IFERROR(INDEX(参数!$C$5:$C$7,MATCH($N187,参数!$A$5:$A$7,0)),"")</f>
        <v>1.2</v>
      </c>
      <c r="Z187" s="16">
        <f>IFERROR(INDEX(参数!$D$5:$D$7,MATCH($N187,参数!$A$5:$A$7,0)),"")</f>
        <v>1</v>
      </c>
      <c r="AA187" s="16">
        <f>IFERROR(INDEX(楼层配置!$E$5:$E$104,MATCH($K187,楼层配置!$B$5:$B$104,0)),1)</f>
        <v>1.17237889170564</v>
      </c>
      <c r="AB187" s="16">
        <f>IFERROR(INDEX(楼层配置!$F$5:$F$104,MATCH($K187,楼层配置!$B$5:$B$104,0)),1)</f>
        <v>0.667931756315419</v>
      </c>
      <c r="AC187" s="16">
        <f>IFERROR(INDEX(楼层配置!$G$5:$G$104,MATCH($K187,楼层配置!$B$5:$B$104,0)),1)</f>
        <v>1</v>
      </c>
      <c r="AD187" s="18">
        <f t="shared" si="19"/>
        <v>-0.0680799391176351</v>
      </c>
      <c r="AE187" s="18">
        <f t="shared" si="20"/>
        <v>-0.0874799357945425</v>
      </c>
      <c r="AF187" s="18">
        <f t="shared" si="21"/>
        <v>0.362962210483543</v>
      </c>
      <c r="AG187" s="16" t="str">
        <f t="shared" si="22"/>
        <v>有效</v>
      </c>
      <c r="AH187">
        <f t="shared" si="23"/>
        <v>609011.564333333</v>
      </c>
    </row>
    <row r="188" ht="14.25" customHeight="1" spans="1:34">
      <c r="A188" s="16">
        <v>184</v>
      </c>
      <c r="B188" s="16">
        <v>1020</v>
      </c>
      <c r="C188" s="16">
        <v>28</v>
      </c>
      <c r="D188" s="17">
        <f>IFERROR(ROUND($U188*$X188*$AA188*参数!$B$13,0),"")</f>
        <v>488290</v>
      </c>
      <c r="E188" s="17">
        <f>IFERROR(ROUND($V188*$Y188*$AB188*参数!$C$13,0),"")</f>
        <v>9475</v>
      </c>
      <c r="F188" s="17">
        <f>IFERROR(ROUND($W188*$Z188*$AC188*参数!$D$13,0),"")</f>
        <v>16771</v>
      </c>
      <c r="G188" s="16">
        <v>523962</v>
      </c>
      <c r="H188" s="16">
        <v>10384</v>
      </c>
      <c r="I188" s="16">
        <v>12306</v>
      </c>
      <c r="J188" s="16">
        <v>37</v>
      </c>
      <c r="K188" s="16">
        <v>37</v>
      </c>
      <c r="L188" s="16">
        <f>IFERROR(INDEX(楼层配置!$D$5:$D$104,MATCH($K188,楼层配置!$B$5:$B$104,0)),"")</f>
        <v>148</v>
      </c>
      <c r="M188" s="16" t="str">
        <f>IFERROR(INDEX(_角色基线!$B$2:$B$100,MATCH($B188,_角色基线!$A$2:$A$100,0)),"")</f>
        <v>卡斯帕</v>
      </c>
      <c r="N188" s="16" t="str">
        <f>IFERROR(INDEX(_角色基线!$C$2:$C$100,MATCH($B188,_角色基线!$A$2:$A$100,0)),"")</f>
        <v>Support</v>
      </c>
      <c r="O188" s="16">
        <f>IFERROR(INDEX(_怪物基线!$B$2:$B$501,MATCH(INT($L188),_怪物基线!$A$2:$A$501,0)),"")</f>
        <v>83299</v>
      </c>
      <c r="P188" s="16">
        <f>IFERROR(INDEX(_怪物基线!$C$2:$C$501,MATCH(INT($L188),_怪物基线!$A$2:$A$501,0)),"")</f>
        <v>11821</v>
      </c>
      <c r="Q188" s="16">
        <f>IFERROR(INDEX(_怪物基线!$D$2:$D$501,MATCH(INT($L188),_怪物基线!$A$2:$A$501,0)),"")</f>
        <v>13417</v>
      </c>
      <c r="R188" s="16">
        <f>参数!$B$10</f>
        <v>4</v>
      </c>
      <c r="S188" s="16">
        <f>参数!$C$10</f>
        <v>1.2</v>
      </c>
      <c r="T188" s="16">
        <f>参数!$D$10</f>
        <v>1</v>
      </c>
      <c r="U188" s="16">
        <f t="shared" si="16"/>
        <v>333196</v>
      </c>
      <c r="V188" s="16">
        <f t="shared" si="17"/>
        <v>14185.2</v>
      </c>
      <c r="W188" s="16">
        <f t="shared" si="18"/>
        <v>13417</v>
      </c>
      <c r="X188" s="16">
        <f>IFERROR(INDEX(参数!$B$5:$B$7,MATCH($N188,参数!$A$5:$A$7,0)),"")</f>
        <v>1.25</v>
      </c>
      <c r="Y188" s="16">
        <f>IFERROR(INDEX(参数!$C$5:$C$7,MATCH($N188,参数!$A$5:$A$7,0)),"")</f>
        <v>1</v>
      </c>
      <c r="Z188" s="16">
        <f>IFERROR(INDEX(参数!$D$5:$D$7,MATCH($N188,参数!$A$5:$A$7,0)),"")</f>
        <v>1.25</v>
      </c>
      <c r="AA188" s="16">
        <f>IFERROR(INDEX(楼层配置!$E$5:$E$104,MATCH($K188,楼层配置!$B$5:$B$104,0)),1)</f>
        <v>1.17237889170564</v>
      </c>
      <c r="AB188" s="16">
        <f>IFERROR(INDEX(楼层配置!$F$5:$F$104,MATCH($K188,楼层配置!$B$5:$B$104,0)),1)</f>
        <v>0.667931756315419</v>
      </c>
      <c r="AC188" s="16">
        <f>IFERROR(INDEX(楼层配置!$G$5:$G$104,MATCH($K188,楼层配置!$B$5:$B$104,0)),1)</f>
        <v>1</v>
      </c>
      <c r="AD188" s="18">
        <f t="shared" si="19"/>
        <v>-0.068081273069421</v>
      </c>
      <c r="AE188" s="18">
        <f t="shared" si="20"/>
        <v>-0.0875385208012327</v>
      </c>
      <c r="AF188" s="18">
        <f t="shared" si="21"/>
        <v>0.362831139281651</v>
      </c>
      <c r="AG188" s="16" t="str">
        <f t="shared" si="22"/>
        <v>有效</v>
      </c>
      <c r="AH188">
        <f t="shared" si="23"/>
        <v>829502.982916667</v>
      </c>
    </row>
    <row r="189" ht="14.25" customHeight="1" spans="1:34">
      <c r="A189" s="16">
        <v>185</v>
      </c>
      <c r="B189" s="16">
        <v>1020</v>
      </c>
      <c r="C189" s="16">
        <v>28</v>
      </c>
      <c r="D189" s="17">
        <f>IFERROR(ROUND($U189*$X189*$AA189*参数!$B$13,0),"")</f>
        <v>488290</v>
      </c>
      <c r="E189" s="17">
        <f>IFERROR(ROUND($V189*$Y189*$AB189*参数!$C$13,0),"")</f>
        <v>9475</v>
      </c>
      <c r="F189" s="17">
        <f>IFERROR(ROUND($W189*$Z189*$AC189*参数!$D$13,0),"")</f>
        <v>16771</v>
      </c>
      <c r="G189" s="16">
        <v>523962</v>
      </c>
      <c r="H189" s="16">
        <v>10384</v>
      </c>
      <c r="I189" s="16">
        <v>12306</v>
      </c>
      <c r="J189" s="16">
        <v>37</v>
      </c>
      <c r="K189" s="16">
        <v>37</v>
      </c>
      <c r="L189" s="16">
        <f>IFERROR(INDEX(楼层配置!$D$5:$D$104,MATCH($K189,楼层配置!$B$5:$B$104,0)),"")</f>
        <v>148</v>
      </c>
      <c r="M189" s="16" t="str">
        <f>IFERROR(INDEX(_角色基线!$B$2:$B$100,MATCH($B189,_角色基线!$A$2:$A$100,0)),"")</f>
        <v>卡斯帕</v>
      </c>
      <c r="N189" s="16" t="str">
        <f>IFERROR(INDEX(_角色基线!$C$2:$C$100,MATCH($B189,_角色基线!$A$2:$A$100,0)),"")</f>
        <v>Support</v>
      </c>
      <c r="O189" s="16">
        <f>IFERROR(INDEX(_怪物基线!$B$2:$B$501,MATCH(INT($L189),_怪物基线!$A$2:$A$501,0)),"")</f>
        <v>83299</v>
      </c>
      <c r="P189" s="16">
        <f>IFERROR(INDEX(_怪物基线!$C$2:$C$501,MATCH(INT($L189),_怪物基线!$A$2:$A$501,0)),"")</f>
        <v>11821</v>
      </c>
      <c r="Q189" s="16">
        <f>IFERROR(INDEX(_怪物基线!$D$2:$D$501,MATCH(INT($L189),_怪物基线!$A$2:$A$501,0)),"")</f>
        <v>13417</v>
      </c>
      <c r="R189" s="16">
        <f>参数!$B$10</f>
        <v>4</v>
      </c>
      <c r="S189" s="16">
        <f>参数!$C$10</f>
        <v>1.2</v>
      </c>
      <c r="T189" s="16">
        <f>参数!$D$10</f>
        <v>1</v>
      </c>
      <c r="U189" s="16">
        <f t="shared" si="16"/>
        <v>333196</v>
      </c>
      <c r="V189" s="16">
        <f t="shared" si="17"/>
        <v>14185.2</v>
      </c>
      <c r="W189" s="16">
        <f t="shared" si="18"/>
        <v>13417</v>
      </c>
      <c r="X189" s="16">
        <f>IFERROR(INDEX(参数!$B$5:$B$7,MATCH($N189,参数!$A$5:$A$7,0)),"")</f>
        <v>1.25</v>
      </c>
      <c r="Y189" s="16">
        <f>IFERROR(INDEX(参数!$C$5:$C$7,MATCH($N189,参数!$A$5:$A$7,0)),"")</f>
        <v>1</v>
      </c>
      <c r="Z189" s="16">
        <f>IFERROR(INDEX(参数!$D$5:$D$7,MATCH($N189,参数!$A$5:$A$7,0)),"")</f>
        <v>1.25</v>
      </c>
      <c r="AA189" s="16">
        <f>IFERROR(INDEX(楼层配置!$E$5:$E$104,MATCH($K189,楼层配置!$B$5:$B$104,0)),1)</f>
        <v>1.17237889170564</v>
      </c>
      <c r="AB189" s="16">
        <f>IFERROR(INDEX(楼层配置!$F$5:$F$104,MATCH($K189,楼层配置!$B$5:$B$104,0)),1)</f>
        <v>0.667931756315419</v>
      </c>
      <c r="AC189" s="16">
        <f>IFERROR(INDEX(楼层配置!$G$5:$G$104,MATCH($K189,楼层配置!$B$5:$B$104,0)),1)</f>
        <v>1</v>
      </c>
      <c r="AD189" s="18">
        <f t="shared" si="19"/>
        <v>-0.068081273069421</v>
      </c>
      <c r="AE189" s="18">
        <f t="shared" si="20"/>
        <v>-0.0875385208012327</v>
      </c>
      <c r="AF189" s="18">
        <f t="shared" si="21"/>
        <v>0.362831139281651</v>
      </c>
      <c r="AG189" s="16" t="str">
        <f t="shared" si="22"/>
        <v>有效</v>
      </c>
      <c r="AH189">
        <f t="shared" si="23"/>
        <v>829502.982916667</v>
      </c>
    </row>
    <row r="190" ht="14.25" customHeight="1" spans="1:34">
      <c r="A190" s="16">
        <v>186</v>
      </c>
      <c r="B190" s="16">
        <v>1002</v>
      </c>
      <c r="C190" s="16">
        <v>29</v>
      </c>
      <c r="D190" s="17">
        <f>IFERROR(ROUND($U190*$X190*$AA190*参数!$B$13,0),"")</f>
        <v>618932</v>
      </c>
      <c r="E190" s="17">
        <f>IFERROR(ROUND($V190*$Y190*$AB190*参数!$C$13,0),"")</f>
        <v>9899</v>
      </c>
      <c r="F190" s="17">
        <f>IFERROR(ROUND($W190*$Z190*$AC190*参数!$D$13,0),"")</f>
        <v>20772</v>
      </c>
      <c r="G190" s="16">
        <v>663724</v>
      </c>
      <c r="H190" s="16">
        <v>10757</v>
      </c>
      <c r="I190" s="16">
        <v>15217</v>
      </c>
      <c r="J190" s="16">
        <v>38</v>
      </c>
      <c r="K190" s="16">
        <v>38</v>
      </c>
      <c r="L190" s="16">
        <f>IFERROR(INDEX(楼层配置!$D$5:$D$104,MATCH($K190,楼层配置!$B$5:$B$104,0)),"")</f>
        <v>152</v>
      </c>
      <c r="M190" s="16" t="str">
        <f>IFERROR(INDEX(_角色基线!$B$2:$B$100,MATCH($B190,_角色基线!$A$2:$A$100,0)),"")</f>
        <v>大暑</v>
      </c>
      <c r="N190" s="16" t="str">
        <f>IFERROR(INDEX(_角色基线!$C$2:$C$100,MATCH($B190,_角色基线!$A$2:$A$100,0)),"")</f>
        <v>Tank</v>
      </c>
      <c r="O190" s="16">
        <f>IFERROR(INDEX(_怪物基线!$B$2:$B$501,MATCH(INT($L190),_怪物基线!$A$2:$A$501,0)),"")</f>
        <v>88314</v>
      </c>
      <c r="P190" s="16">
        <f>IFERROR(INDEX(_怪物基线!$C$2:$C$501,MATCH(INT($L190),_怪物基线!$A$2:$A$501,0)),"")</f>
        <v>12330</v>
      </c>
      <c r="Q190" s="16">
        <f>IFERROR(INDEX(_怪物基线!$D$2:$D$501,MATCH(INT($L190),_怪物基线!$A$2:$A$501,0)),"")</f>
        <v>13848</v>
      </c>
      <c r="R190" s="16">
        <f>参数!$B$10</f>
        <v>4</v>
      </c>
      <c r="S190" s="16">
        <f>参数!$C$10</f>
        <v>1.2</v>
      </c>
      <c r="T190" s="16">
        <f>参数!$D$10</f>
        <v>1</v>
      </c>
      <c r="U190" s="16">
        <f t="shared" si="16"/>
        <v>353256</v>
      </c>
      <c r="V190" s="16">
        <f t="shared" si="17"/>
        <v>14796</v>
      </c>
      <c r="W190" s="16">
        <f t="shared" si="18"/>
        <v>13848</v>
      </c>
      <c r="X190" s="16">
        <f>IFERROR(INDEX(参数!$B$5:$B$7,MATCH($N190,参数!$A$5:$A$7,0)),"")</f>
        <v>1.5</v>
      </c>
      <c r="Y190" s="16">
        <f>IFERROR(INDEX(参数!$C$5:$C$7,MATCH($N190,参数!$A$5:$A$7,0)),"")</f>
        <v>1</v>
      </c>
      <c r="Z190" s="16">
        <f>IFERROR(INDEX(参数!$D$5:$D$7,MATCH($N190,参数!$A$5:$A$7,0)),"")</f>
        <v>1.5</v>
      </c>
      <c r="AA190" s="16">
        <f>IFERROR(INDEX(楼层配置!$E$5:$E$104,MATCH($K190,楼层配置!$B$5:$B$104,0)),1)</f>
        <v>1.16805227807085</v>
      </c>
      <c r="AB190" s="16">
        <f>IFERROR(INDEX(楼层配置!$F$5:$F$104,MATCH($K190,楼层配置!$B$5:$B$104,0)),1)</f>
        <v>0.669062845144116</v>
      </c>
      <c r="AC190" s="16">
        <f>IFERROR(INDEX(楼层配置!$G$5:$G$104,MATCH($K190,楼层配置!$B$5:$B$104,0)),1)</f>
        <v>1</v>
      </c>
      <c r="AD190" s="18">
        <f t="shared" si="19"/>
        <v>-0.0674858826861768</v>
      </c>
      <c r="AE190" s="18">
        <f t="shared" si="20"/>
        <v>-0.0797620154318118</v>
      </c>
      <c r="AF190" s="18">
        <f t="shared" si="21"/>
        <v>0.365052244200565</v>
      </c>
      <c r="AG190" s="16" t="str">
        <f t="shared" si="22"/>
        <v>有效</v>
      </c>
      <c r="AH190">
        <f t="shared" si="23"/>
        <v>1154617.646</v>
      </c>
    </row>
    <row r="191" ht="14.25" customHeight="1" spans="1:34">
      <c r="A191" s="16">
        <v>187</v>
      </c>
      <c r="B191" s="16">
        <v>1001</v>
      </c>
      <c r="C191" s="16">
        <v>29</v>
      </c>
      <c r="D191" s="17">
        <f>IFERROR(ROUND($U191*$X191*$AA191*参数!$B$13,0),"")</f>
        <v>412621</v>
      </c>
      <c r="E191" s="17">
        <f>IFERROR(ROUND($V191*$Y191*$AB191*参数!$C$13,0),"")</f>
        <v>11879</v>
      </c>
      <c r="F191" s="17">
        <f>IFERROR(ROUND($W191*$Z191*$AC191*参数!$D$13,0),"")</f>
        <v>13848</v>
      </c>
      <c r="G191" s="16">
        <v>442483</v>
      </c>
      <c r="H191" s="16">
        <v>12908</v>
      </c>
      <c r="I191" s="16">
        <v>10144</v>
      </c>
      <c r="J191" s="16">
        <v>38</v>
      </c>
      <c r="K191" s="16">
        <v>38</v>
      </c>
      <c r="L191" s="16">
        <f>IFERROR(INDEX(楼层配置!$D$5:$D$104,MATCH($K191,楼层配置!$B$5:$B$104,0)),"")</f>
        <v>152</v>
      </c>
      <c r="M191" s="16" t="str">
        <f>IFERROR(INDEX(_角色基线!$B$2:$B$100,MATCH($B191,_角色基线!$A$2:$A$100,0)),"")</f>
        <v>星海</v>
      </c>
      <c r="N191" s="16" t="str">
        <f>IFERROR(INDEX(_角色基线!$C$2:$C$100,MATCH($B191,_角色基线!$A$2:$A$100,0)),"")</f>
        <v>DPS</v>
      </c>
      <c r="O191" s="16">
        <f>IFERROR(INDEX(_怪物基线!$B$2:$B$501,MATCH(INT($L191),_怪物基线!$A$2:$A$501,0)),"")</f>
        <v>88314</v>
      </c>
      <c r="P191" s="16">
        <f>IFERROR(INDEX(_怪物基线!$C$2:$C$501,MATCH(INT($L191),_怪物基线!$A$2:$A$501,0)),"")</f>
        <v>12330</v>
      </c>
      <c r="Q191" s="16">
        <f>IFERROR(INDEX(_怪物基线!$D$2:$D$501,MATCH(INT($L191),_怪物基线!$A$2:$A$501,0)),"")</f>
        <v>13848</v>
      </c>
      <c r="R191" s="16">
        <f>参数!$B$10</f>
        <v>4</v>
      </c>
      <c r="S191" s="16">
        <f>参数!$C$10</f>
        <v>1.2</v>
      </c>
      <c r="T191" s="16">
        <f>参数!$D$10</f>
        <v>1</v>
      </c>
      <c r="U191" s="16">
        <f t="shared" si="16"/>
        <v>353256</v>
      </c>
      <c r="V191" s="16">
        <f t="shared" si="17"/>
        <v>14796</v>
      </c>
      <c r="W191" s="16">
        <f t="shared" si="18"/>
        <v>13848</v>
      </c>
      <c r="X191" s="16">
        <f>IFERROR(INDEX(参数!$B$5:$B$7,MATCH($N191,参数!$A$5:$A$7,0)),"")</f>
        <v>1</v>
      </c>
      <c r="Y191" s="16">
        <f>IFERROR(INDEX(参数!$C$5:$C$7,MATCH($N191,参数!$A$5:$A$7,0)),"")</f>
        <v>1.2</v>
      </c>
      <c r="Z191" s="16">
        <f>IFERROR(INDEX(参数!$D$5:$D$7,MATCH($N191,参数!$A$5:$A$7,0)),"")</f>
        <v>1</v>
      </c>
      <c r="AA191" s="16">
        <f>IFERROR(INDEX(楼层配置!$E$5:$E$104,MATCH($K191,楼层配置!$B$5:$B$104,0)),1)</f>
        <v>1.16805227807085</v>
      </c>
      <c r="AB191" s="16">
        <f>IFERROR(INDEX(楼层配置!$F$5:$F$104,MATCH($K191,楼层配置!$B$5:$B$104,0)),1)</f>
        <v>0.669062845144116</v>
      </c>
      <c r="AC191" s="16">
        <f>IFERROR(INDEX(楼层配置!$G$5:$G$104,MATCH($K191,楼层配置!$B$5:$B$104,0)),1)</f>
        <v>1</v>
      </c>
      <c r="AD191" s="18">
        <f t="shared" si="19"/>
        <v>-0.0674873384966203</v>
      </c>
      <c r="AE191" s="18">
        <f t="shared" si="20"/>
        <v>-0.0797180043383948</v>
      </c>
      <c r="AF191" s="18">
        <f t="shared" si="21"/>
        <v>0.365141955835962</v>
      </c>
      <c r="AG191" s="16" t="str">
        <f t="shared" si="22"/>
        <v>有效</v>
      </c>
      <c r="AH191">
        <f t="shared" si="23"/>
        <v>650703.317</v>
      </c>
    </row>
    <row r="192" ht="14.25" customHeight="1" spans="1:34">
      <c r="A192" s="16">
        <v>188</v>
      </c>
      <c r="B192" s="16">
        <v>1001</v>
      </c>
      <c r="C192" s="16">
        <v>29</v>
      </c>
      <c r="D192" s="17">
        <f>IFERROR(ROUND($U192*$X192*$AA192*参数!$B$13,0),"")</f>
        <v>412621</v>
      </c>
      <c r="E192" s="17">
        <f>IFERROR(ROUND($V192*$Y192*$AB192*参数!$C$13,0),"")</f>
        <v>11879</v>
      </c>
      <c r="F192" s="17">
        <f>IFERROR(ROUND($W192*$Z192*$AC192*参数!$D$13,0),"")</f>
        <v>13848</v>
      </c>
      <c r="G192" s="16">
        <v>442483</v>
      </c>
      <c r="H192" s="16">
        <v>12908</v>
      </c>
      <c r="I192" s="16">
        <v>10144</v>
      </c>
      <c r="J192" s="16">
        <v>38</v>
      </c>
      <c r="K192" s="16">
        <v>38</v>
      </c>
      <c r="L192" s="16">
        <f>IFERROR(INDEX(楼层配置!$D$5:$D$104,MATCH($K192,楼层配置!$B$5:$B$104,0)),"")</f>
        <v>152</v>
      </c>
      <c r="M192" s="16" t="str">
        <f>IFERROR(INDEX(_角色基线!$B$2:$B$100,MATCH($B192,_角色基线!$A$2:$A$100,0)),"")</f>
        <v>星海</v>
      </c>
      <c r="N192" s="16" t="str">
        <f>IFERROR(INDEX(_角色基线!$C$2:$C$100,MATCH($B192,_角色基线!$A$2:$A$100,0)),"")</f>
        <v>DPS</v>
      </c>
      <c r="O192" s="16">
        <f>IFERROR(INDEX(_怪物基线!$B$2:$B$501,MATCH(INT($L192),_怪物基线!$A$2:$A$501,0)),"")</f>
        <v>88314</v>
      </c>
      <c r="P192" s="16">
        <f>IFERROR(INDEX(_怪物基线!$C$2:$C$501,MATCH(INT($L192),_怪物基线!$A$2:$A$501,0)),"")</f>
        <v>12330</v>
      </c>
      <c r="Q192" s="16">
        <f>IFERROR(INDEX(_怪物基线!$D$2:$D$501,MATCH(INT($L192),_怪物基线!$A$2:$A$501,0)),"")</f>
        <v>13848</v>
      </c>
      <c r="R192" s="16">
        <f>参数!$B$10</f>
        <v>4</v>
      </c>
      <c r="S192" s="16">
        <f>参数!$C$10</f>
        <v>1.2</v>
      </c>
      <c r="T192" s="16">
        <f>参数!$D$10</f>
        <v>1</v>
      </c>
      <c r="U192" s="16">
        <f t="shared" si="16"/>
        <v>353256</v>
      </c>
      <c r="V192" s="16">
        <f t="shared" si="17"/>
        <v>14796</v>
      </c>
      <c r="W192" s="16">
        <f t="shared" si="18"/>
        <v>13848</v>
      </c>
      <c r="X192" s="16">
        <f>IFERROR(INDEX(参数!$B$5:$B$7,MATCH($N192,参数!$A$5:$A$7,0)),"")</f>
        <v>1</v>
      </c>
      <c r="Y192" s="16">
        <f>IFERROR(INDEX(参数!$C$5:$C$7,MATCH($N192,参数!$A$5:$A$7,0)),"")</f>
        <v>1.2</v>
      </c>
      <c r="Z192" s="16">
        <f>IFERROR(INDEX(参数!$D$5:$D$7,MATCH($N192,参数!$A$5:$A$7,0)),"")</f>
        <v>1</v>
      </c>
      <c r="AA192" s="16">
        <f>IFERROR(INDEX(楼层配置!$E$5:$E$104,MATCH($K192,楼层配置!$B$5:$B$104,0)),1)</f>
        <v>1.16805227807085</v>
      </c>
      <c r="AB192" s="16">
        <f>IFERROR(INDEX(楼层配置!$F$5:$F$104,MATCH($K192,楼层配置!$B$5:$B$104,0)),1)</f>
        <v>0.669062845144116</v>
      </c>
      <c r="AC192" s="16">
        <f>IFERROR(INDEX(楼层配置!$G$5:$G$104,MATCH($K192,楼层配置!$B$5:$B$104,0)),1)</f>
        <v>1</v>
      </c>
      <c r="AD192" s="18">
        <f t="shared" si="19"/>
        <v>-0.0674873384966203</v>
      </c>
      <c r="AE192" s="18">
        <f t="shared" si="20"/>
        <v>-0.0797180043383948</v>
      </c>
      <c r="AF192" s="18">
        <f t="shared" si="21"/>
        <v>0.365141955835962</v>
      </c>
      <c r="AG192" s="16" t="str">
        <f t="shared" si="22"/>
        <v>有效</v>
      </c>
      <c r="AH192">
        <f t="shared" si="23"/>
        <v>650703.317</v>
      </c>
    </row>
    <row r="193" ht="14.25" customHeight="1" spans="1:34">
      <c r="A193" s="16">
        <v>189</v>
      </c>
      <c r="B193" s="16">
        <v>1021</v>
      </c>
      <c r="C193" s="16">
        <v>29</v>
      </c>
      <c r="D193" s="17">
        <f>IFERROR(ROUND($U193*$X193*$AA193*参数!$B$13,0),"")</f>
        <v>412621</v>
      </c>
      <c r="E193" s="17">
        <f>IFERROR(ROUND($V193*$Y193*$AB193*参数!$C$13,0),"")</f>
        <v>11879</v>
      </c>
      <c r="F193" s="17">
        <f>IFERROR(ROUND($W193*$Z193*$AC193*参数!$D$13,0),"")</f>
        <v>13848</v>
      </c>
      <c r="G193" s="16">
        <v>442483</v>
      </c>
      <c r="H193" s="16">
        <v>12908</v>
      </c>
      <c r="I193" s="16">
        <v>10144</v>
      </c>
      <c r="J193" s="16">
        <v>38</v>
      </c>
      <c r="K193" s="16">
        <v>38</v>
      </c>
      <c r="L193" s="16">
        <f>IFERROR(INDEX(楼层配置!$D$5:$D$104,MATCH($K193,楼层配置!$B$5:$B$104,0)),"")</f>
        <v>152</v>
      </c>
      <c r="M193" s="16" t="str">
        <f>IFERROR(INDEX(_角色基线!$B$2:$B$100,MATCH($B193,_角色基线!$A$2:$A$100,0)),"")</f>
        <v>梅梅</v>
      </c>
      <c r="N193" s="16" t="str">
        <f>IFERROR(INDEX(_角色基线!$C$2:$C$100,MATCH($B193,_角色基线!$A$2:$A$100,0)),"")</f>
        <v>DPS</v>
      </c>
      <c r="O193" s="16">
        <f>IFERROR(INDEX(_怪物基线!$B$2:$B$501,MATCH(INT($L193),_怪物基线!$A$2:$A$501,0)),"")</f>
        <v>88314</v>
      </c>
      <c r="P193" s="16">
        <f>IFERROR(INDEX(_怪物基线!$C$2:$C$501,MATCH(INT($L193),_怪物基线!$A$2:$A$501,0)),"")</f>
        <v>12330</v>
      </c>
      <c r="Q193" s="16">
        <f>IFERROR(INDEX(_怪物基线!$D$2:$D$501,MATCH(INT($L193),_怪物基线!$A$2:$A$501,0)),"")</f>
        <v>13848</v>
      </c>
      <c r="R193" s="16">
        <f>参数!$B$10</f>
        <v>4</v>
      </c>
      <c r="S193" s="16">
        <f>参数!$C$10</f>
        <v>1.2</v>
      </c>
      <c r="T193" s="16">
        <f>参数!$D$10</f>
        <v>1</v>
      </c>
      <c r="U193" s="16">
        <f t="shared" si="16"/>
        <v>353256</v>
      </c>
      <c r="V193" s="16">
        <f t="shared" si="17"/>
        <v>14796</v>
      </c>
      <c r="W193" s="16">
        <f t="shared" si="18"/>
        <v>13848</v>
      </c>
      <c r="X193" s="16">
        <f>IFERROR(INDEX(参数!$B$5:$B$7,MATCH($N193,参数!$A$5:$A$7,0)),"")</f>
        <v>1</v>
      </c>
      <c r="Y193" s="16">
        <f>IFERROR(INDEX(参数!$C$5:$C$7,MATCH($N193,参数!$A$5:$A$7,0)),"")</f>
        <v>1.2</v>
      </c>
      <c r="Z193" s="16">
        <f>IFERROR(INDEX(参数!$D$5:$D$7,MATCH($N193,参数!$A$5:$A$7,0)),"")</f>
        <v>1</v>
      </c>
      <c r="AA193" s="16">
        <f>IFERROR(INDEX(楼层配置!$E$5:$E$104,MATCH($K193,楼层配置!$B$5:$B$104,0)),1)</f>
        <v>1.16805227807085</v>
      </c>
      <c r="AB193" s="16">
        <f>IFERROR(INDEX(楼层配置!$F$5:$F$104,MATCH($K193,楼层配置!$B$5:$B$104,0)),1)</f>
        <v>0.669062845144116</v>
      </c>
      <c r="AC193" s="16">
        <f>IFERROR(INDEX(楼层配置!$G$5:$G$104,MATCH($K193,楼层配置!$B$5:$B$104,0)),1)</f>
        <v>1</v>
      </c>
      <c r="AD193" s="18">
        <f t="shared" si="19"/>
        <v>-0.0674873384966203</v>
      </c>
      <c r="AE193" s="18">
        <f t="shared" si="20"/>
        <v>-0.0797180043383948</v>
      </c>
      <c r="AF193" s="18">
        <f t="shared" si="21"/>
        <v>0.365141955835962</v>
      </c>
      <c r="AG193" s="16" t="str">
        <f t="shared" si="22"/>
        <v>有效</v>
      </c>
      <c r="AH193">
        <f t="shared" si="23"/>
        <v>650703.317</v>
      </c>
    </row>
    <row r="194" ht="14.25" customHeight="1" spans="1:34">
      <c r="A194" s="16">
        <v>190</v>
      </c>
      <c r="B194" s="16">
        <v>1012</v>
      </c>
      <c r="C194" s="16">
        <v>29</v>
      </c>
      <c r="D194" s="17">
        <f>IFERROR(ROUND($U194*$X194*$AA194*参数!$B$13,0),"")</f>
        <v>515777</v>
      </c>
      <c r="E194" s="17">
        <f>IFERROR(ROUND($V194*$Y194*$AB194*参数!$C$13,0),"")</f>
        <v>9899</v>
      </c>
      <c r="F194" s="17">
        <f>IFERROR(ROUND($W194*$Z194*$AC194*参数!$D$13,0),"")</f>
        <v>17310</v>
      </c>
      <c r="G194" s="16">
        <v>553104</v>
      </c>
      <c r="H194" s="16">
        <v>10757</v>
      </c>
      <c r="I194" s="16">
        <v>12681</v>
      </c>
      <c r="J194" s="16">
        <v>38</v>
      </c>
      <c r="K194" s="16">
        <v>38</v>
      </c>
      <c r="L194" s="16">
        <f>IFERROR(INDEX(楼层配置!$D$5:$D$104,MATCH($K194,楼层配置!$B$5:$B$104,0)),"")</f>
        <v>152</v>
      </c>
      <c r="M194" s="16" t="str">
        <f>IFERROR(INDEX(_角色基线!$B$2:$B$100,MATCH($B194,_角色基线!$A$2:$A$100,0)),"")</f>
        <v>艾德琳</v>
      </c>
      <c r="N194" s="16" t="str">
        <f>IFERROR(INDEX(_角色基线!$C$2:$C$100,MATCH($B194,_角色基线!$A$2:$A$100,0)),"")</f>
        <v>Support</v>
      </c>
      <c r="O194" s="16">
        <f>IFERROR(INDEX(_怪物基线!$B$2:$B$501,MATCH(INT($L194),_怪物基线!$A$2:$A$501,0)),"")</f>
        <v>88314</v>
      </c>
      <c r="P194" s="16">
        <f>IFERROR(INDEX(_怪物基线!$C$2:$C$501,MATCH(INT($L194),_怪物基线!$A$2:$A$501,0)),"")</f>
        <v>12330</v>
      </c>
      <c r="Q194" s="16">
        <f>IFERROR(INDEX(_怪物基线!$D$2:$D$501,MATCH(INT($L194),_怪物基线!$A$2:$A$501,0)),"")</f>
        <v>13848</v>
      </c>
      <c r="R194" s="16">
        <f>参数!$B$10</f>
        <v>4</v>
      </c>
      <c r="S194" s="16">
        <f>参数!$C$10</f>
        <v>1.2</v>
      </c>
      <c r="T194" s="16">
        <f>参数!$D$10</f>
        <v>1</v>
      </c>
      <c r="U194" s="16">
        <f t="shared" si="16"/>
        <v>353256</v>
      </c>
      <c r="V194" s="16">
        <f t="shared" si="17"/>
        <v>14796</v>
      </c>
      <c r="W194" s="16">
        <f t="shared" si="18"/>
        <v>13848</v>
      </c>
      <c r="X194" s="16">
        <f>IFERROR(INDEX(参数!$B$5:$B$7,MATCH($N194,参数!$A$5:$A$7,0)),"")</f>
        <v>1.25</v>
      </c>
      <c r="Y194" s="16">
        <f>IFERROR(INDEX(参数!$C$5:$C$7,MATCH($N194,参数!$A$5:$A$7,0)),"")</f>
        <v>1</v>
      </c>
      <c r="Z194" s="16">
        <f>IFERROR(INDEX(参数!$D$5:$D$7,MATCH($N194,参数!$A$5:$A$7,0)),"")</f>
        <v>1.25</v>
      </c>
      <c r="AA194" s="16">
        <f>IFERROR(INDEX(楼层配置!$E$5:$E$104,MATCH($K194,楼层配置!$B$5:$B$104,0)),1)</f>
        <v>1.16805227807085</v>
      </c>
      <c r="AB194" s="16">
        <f>IFERROR(INDEX(楼层配置!$F$5:$F$104,MATCH($K194,楼层配置!$B$5:$B$104,0)),1)</f>
        <v>0.669062845144116</v>
      </c>
      <c r="AC194" s="16">
        <f>IFERROR(INDEX(楼层配置!$G$5:$G$104,MATCH($K194,楼层配置!$B$5:$B$104,0)),1)</f>
        <v>1</v>
      </c>
      <c r="AD194" s="18">
        <f t="shared" si="19"/>
        <v>-0.0674864040035871</v>
      </c>
      <c r="AE194" s="18">
        <f t="shared" si="20"/>
        <v>-0.0797620154318118</v>
      </c>
      <c r="AF194" s="18">
        <f t="shared" si="21"/>
        <v>0.365034303288384</v>
      </c>
      <c r="AG194" s="16" t="str">
        <f t="shared" si="22"/>
        <v>有效</v>
      </c>
      <c r="AH194">
        <f t="shared" si="23"/>
        <v>887781.16125</v>
      </c>
    </row>
    <row r="195" ht="14.25" customHeight="1" spans="1:34">
      <c r="A195" s="16">
        <v>191</v>
      </c>
      <c r="B195" s="16">
        <v>1002</v>
      </c>
      <c r="C195" s="16">
        <v>29</v>
      </c>
      <c r="D195" s="17">
        <f>IFERROR(ROUND($U195*$X195*$AA195*参数!$B$13,0),"")</f>
        <v>659945</v>
      </c>
      <c r="E195" s="17">
        <f>IFERROR(ROUND($V195*$Y195*$AB195*参数!$C$13,0),"")</f>
        <v>10349</v>
      </c>
      <c r="F195" s="17">
        <f>IFERROR(ROUND($W195*$Z195*$AC195*参数!$D$13,0),"")</f>
        <v>21426</v>
      </c>
      <c r="G195" s="16">
        <v>700034</v>
      </c>
      <c r="H195" s="16">
        <v>11137</v>
      </c>
      <c r="I195" s="16">
        <v>15672</v>
      </c>
      <c r="J195" s="16">
        <v>39</v>
      </c>
      <c r="K195" s="16">
        <v>39</v>
      </c>
      <c r="L195" s="16">
        <f>IFERROR(INDEX(楼层配置!$D$5:$D$104,MATCH($K195,楼层配置!$B$5:$B$104,0)),"")</f>
        <v>156</v>
      </c>
      <c r="M195" s="16" t="str">
        <f>IFERROR(INDEX(_角色基线!$B$2:$B$100,MATCH($B195,_角色基线!$A$2:$A$100,0)),"")</f>
        <v>大暑</v>
      </c>
      <c r="N195" s="16" t="str">
        <f>IFERROR(INDEX(_角色基线!$C$2:$C$100,MATCH($B195,_角色基线!$A$2:$A$100,0)),"")</f>
        <v>Tank</v>
      </c>
      <c r="O195" s="16">
        <f>IFERROR(INDEX(_怪物基线!$B$2:$B$501,MATCH(INT($L195),_怪物基线!$A$2:$A$501,0)),"")</f>
        <v>93540</v>
      </c>
      <c r="P195" s="16">
        <f>IFERROR(INDEX(_怪物基线!$C$2:$C$501,MATCH(INT($L195),_怪物基线!$A$2:$A$501,0)),"")</f>
        <v>12852</v>
      </c>
      <c r="Q195" s="16">
        <f>IFERROR(INDEX(_怪物基线!$D$2:$D$501,MATCH(INT($L195),_怪物基线!$A$2:$A$501,0)),"")</f>
        <v>14284</v>
      </c>
      <c r="R195" s="16">
        <f>参数!$B$10</f>
        <v>4</v>
      </c>
      <c r="S195" s="16">
        <f>参数!$C$10</f>
        <v>1.2</v>
      </c>
      <c r="T195" s="16">
        <f>参数!$D$10</f>
        <v>1</v>
      </c>
      <c r="U195" s="16">
        <f t="shared" si="16"/>
        <v>374160</v>
      </c>
      <c r="V195" s="16">
        <f t="shared" si="17"/>
        <v>15422.4</v>
      </c>
      <c r="W195" s="16">
        <f t="shared" si="18"/>
        <v>14284</v>
      </c>
      <c r="X195" s="16">
        <f>IFERROR(INDEX(参数!$B$5:$B$7,MATCH($N195,参数!$A$5:$A$7,0)),"")</f>
        <v>1.5</v>
      </c>
      <c r="Y195" s="16">
        <f>IFERROR(INDEX(参数!$C$5:$C$7,MATCH($N195,参数!$A$5:$A$7,0)),"")</f>
        <v>1</v>
      </c>
      <c r="Z195" s="16">
        <f>IFERROR(INDEX(参数!$D$5:$D$7,MATCH($N195,参数!$A$5:$A$7,0)),"")</f>
        <v>1.5</v>
      </c>
      <c r="AA195" s="16">
        <f>IFERROR(INDEX(楼层配置!$E$5:$E$104,MATCH($K195,楼层配置!$B$5:$B$104,0)),1)</f>
        <v>1.17586973931056</v>
      </c>
      <c r="AB195" s="16">
        <f>IFERROR(INDEX(楼层配置!$F$5:$F$104,MATCH($K195,楼层配置!$B$5:$B$104,0)),1)</f>
        <v>0.671014300557864</v>
      </c>
      <c r="AC195" s="16">
        <f>IFERROR(INDEX(楼层配置!$G$5:$G$104,MATCH($K195,楼层配置!$B$5:$B$104,0)),1)</f>
        <v>1</v>
      </c>
      <c r="AD195" s="18">
        <f t="shared" si="19"/>
        <v>-0.0572672184493896</v>
      </c>
      <c r="AE195" s="18">
        <f t="shared" si="20"/>
        <v>-0.0707551405225824</v>
      </c>
      <c r="AF195" s="18">
        <f t="shared" si="21"/>
        <v>0.367151607963247</v>
      </c>
      <c r="AG195" s="16" t="str">
        <f t="shared" si="22"/>
        <v>有效</v>
      </c>
      <c r="AH195">
        <f t="shared" si="23"/>
        <v>1249110.89875</v>
      </c>
    </row>
    <row r="196" ht="14.25" customHeight="1" spans="1:34">
      <c r="A196" s="16">
        <v>192</v>
      </c>
      <c r="B196" s="16">
        <v>1002</v>
      </c>
      <c r="C196" s="16">
        <v>29</v>
      </c>
      <c r="D196" s="17">
        <f>IFERROR(ROUND($U196*$X196*$AA196*参数!$B$13,0),"")</f>
        <v>659945</v>
      </c>
      <c r="E196" s="17">
        <f>IFERROR(ROUND($V196*$Y196*$AB196*参数!$C$13,0),"")</f>
        <v>10349</v>
      </c>
      <c r="F196" s="17">
        <f>IFERROR(ROUND($W196*$Z196*$AC196*参数!$D$13,0),"")</f>
        <v>21426</v>
      </c>
      <c r="G196" s="16">
        <v>700034</v>
      </c>
      <c r="H196" s="16">
        <v>11137</v>
      </c>
      <c r="I196" s="16">
        <v>15672</v>
      </c>
      <c r="J196" s="16">
        <v>39</v>
      </c>
      <c r="K196" s="16">
        <v>39</v>
      </c>
      <c r="L196" s="16">
        <f>IFERROR(INDEX(楼层配置!$D$5:$D$104,MATCH($K196,楼层配置!$B$5:$B$104,0)),"")</f>
        <v>156</v>
      </c>
      <c r="M196" s="16" t="str">
        <f>IFERROR(INDEX(_角色基线!$B$2:$B$100,MATCH($B196,_角色基线!$A$2:$A$100,0)),"")</f>
        <v>大暑</v>
      </c>
      <c r="N196" s="16" t="str">
        <f>IFERROR(INDEX(_角色基线!$C$2:$C$100,MATCH($B196,_角色基线!$A$2:$A$100,0)),"")</f>
        <v>Tank</v>
      </c>
      <c r="O196" s="16">
        <f>IFERROR(INDEX(_怪物基线!$B$2:$B$501,MATCH(INT($L196),_怪物基线!$A$2:$A$501,0)),"")</f>
        <v>93540</v>
      </c>
      <c r="P196" s="16">
        <f>IFERROR(INDEX(_怪物基线!$C$2:$C$501,MATCH(INT($L196),_怪物基线!$A$2:$A$501,0)),"")</f>
        <v>12852</v>
      </c>
      <c r="Q196" s="16">
        <f>IFERROR(INDEX(_怪物基线!$D$2:$D$501,MATCH(INT($L196),_怪物基线!$A$2:$A$501,0)),"")</f>
        <v>14284</v>
      </c>
      <c r="R196" s="16">
        <f>参数!$B$10</f>
        <v>4</v>
      </c>
      <c r="S196" s="16">
        <f>参数!$C$10</f>
        <v>1.2</v>
      </c>
      <c r="T196" s="16">
        <f>参数!$D$10</f>
        <v>1</v>
      </c>
      <c r="U196" s="16">
        <f t="shared" si="16"/>
        <v>374160</v>
      </c>
      <c r="V196" s="16">
        <f t="shared" si="17"/>
        <v>15422.4</v>
      </c>
      <c r="W196" s="16">
        <f t="shared" si="18"/>
        <v>14284</v>
      </c>
      <c r="X196" s="16">
        <f>IFERROR(INDEX(参数!$B$5:$B$7,MATCH($N196,参数!$A$5:$A$7,0)),"")</f>
        <v>1.5</v>
      </c>
      <c r="Y196" s="16">
        <f>IFERROR(INDEX(参数!$C$5:$C$7,MATCH($N196,参数!$A$5:$A$7,0)),"")</f>
        <v>1</v>
      </c>
      <c r="Z196" s="16">
        <f>IFERROR(INDEX(参数!$D$5:$D$7,MATCH($N196,参数!$A$5:$A$7,0)),"")</f>
        <v>1.5</v>
      </c>
      <c r="AA196" s="16">
        <f>IFERROR(INDEX(楼层配置!$E$5:$E$104,MATCH($K196,楼层配置!$B$5:$B$104,0)),1)</f>
        <v>1.17586973931056</v>
      </c>
      <c r="AB196" s="16">
        <f>IFERROR(INDEX(楼层配置!$F$5:$F$104,MATCH($K196,楼层配置!$B$5:$B$104,0)),1)</f>
        <v>0.671014300557864</v>
      </c>
      <c r="AC196" s="16">
        <f>IFERROR(INDEX(楼层配置!$G$5:$G$104,MATCH($K196,楼层配置!$B$5:$B$104,0)),1)</f>
        <v>1</v>
      </c>
      <c r="AD196" s="18">
        <f t="shared" si="19"/>
        <v>-0.0572672184493896</v>
      </c>
      <c r="AE196" s="18">
        <f t="shared" si="20"/>
        <v>-0.0707551405225824</v>
      </c>
      <c r="AF196" s="18">
        <f t="shared" si="21"/>
        <v>0.367151607963247</v>
      </c>
      <c r="AG196" s="16" t="str">
        <f t="shared" si="22"/>
        <v>有效</v>
      </c>
      <c r="AH196">
        <f t="shared" si="23"/>
        <v>1249110.89875</v>
      </c>
    </row>
    <row r="197" ht="14.25" customHeight="1" spans="1:34">
      <c r="A197" s="16">
        <v>193</v>
      </c>
      <c r="B197" s="16">
        <v>1024</v>
      </c>
      <c r="C197" s="16">
        <v>29</v>
      </c>
      <c r="D197" s="17">
        <f>IFERROR(ROUND($U197*$X197*$AA197*参数!$B$13,0),"")</f>
        <v>439963</v>
      </c>
      <c r="E197" s="17">
        <f>IFERROR(ROUND($V197*$Y197*$AB197*参数!$C$13,0),"")</f>
        <v>12418</v>
      </c>
      <c r="F197" s="17">
        <f>IFERROR(ROUND($W197*$Z197*$AC197*参数!$D$13,0),"")</f>
        <v>14284</v>
      </c>
      <c r="G197" s="16">
        <v>466689</v>
      </c>
      <c r="H197" s="16">
        <v>13364</v>
      </c>
      <c r="I197" s="16">
        <v>10448</v>
      </c>
      <c r="J197" s="16">
        <v>39</v>
      </c>
      <c r="K197" s="16">
        <v>39</v>
      </c>
      <c r="L197" s="16">
        <f>IFERROR(INDEX(楼层配置!$D$5:$D$104,MATCH($K197,楼层配置!$B$5:$B$104,0)),"")</f>
        <v>156</v>
      </c>
      <c r="M197" s="16" t="str">
        <f>IFERROR(INDEX(_角色基线!$B$2:$B$100,MATCH($B197,_角色基线!$A$2:$A$100,0)),"")</f>
        <v>卡薇</v>
      </c>
      <c r="N197" s="16" t="str">
        <f>IFERROR(INDEX(_角色基线!$C$2:$C$100,MATCH($B197,_角色基线!$A$2:$A$100,0)),"")</f>
        <v>DPS</v>
      </c>
      <c r="O197" s="16">
        <f>IFERROR(INDEX(_怪物基线!$B$2:$B$501,MATCH(INT($L197),_怪物基线!$A$2:$A$501,0)),"")</f>
        <v>93540</v>
      </c>
      <c r="P197" s="16">
        <f>IFERROR(INDEX(_怪物基线!$C$2:$C$501,MATCH(INT($L197),_怪物基线!$A$2:$A$501,0)),"")</f>
        <v>12852</v>
      </c>
      <c r="Q197" s="16">
        <f>IFERROR(INDEX(_怪物基线!$D$2:$D$501,MATCH(INT($L197),_怪物基线!$A$2:$A$501,0)),"")</f>
        <v>14284</v>
      </c>
      <c r="R197" s="16">
        <f>参数!$B$10</f>
        <v>4</v>
      </c>
      <c r="S197" s="16">
        <f>参数!$C$10</f>
        <v>1.2</v>
      </c>
      <c r="T197" s="16">
        <f>参数!$D$10</f>
        <v>1</v>
      </c>
      <c r="U197" s="16">
        <f t="shared" ref="U197:U260" si="24">IF($O197="","",$O197*$R197)</f>
        <v>374160</v>
      </c>
      <c r="V197" s="16">
        <f t="shared" ref="V197:V260" si="25">IF($P197="","",$P197*$S197)</f>
        <v>15422.4</v>
      </c>
      <c r="W197" s="16">
        <f t="shared" ref="W197:W260" si="26">IF($Q197="","",$Q197*$T197)</f>
        <v>14284</v>
      </c>
      <c r="X197" s="16">
        <f>IFERROR(INDEX(参数!$B$5:$B$7,MATCH($N197,参数!$A$5:$A$7,0)),"")</f>
        <v>1</v>
      </c>
      <c r="Y197" s="16">
        <f>IFERROR(INDEX(参数!$C$5:$C$7,MATCH($N197,参数!$A$5:$A$7,0)),"")</f>
        <v>1.2</v>
      </c>
      <c r="Z197" s="16">
        <f>IFERROR(INDEX(参数!$D$5:$D$7,MATCH($N197,参数!$A$5:$A$7,0)),"")</f>
        <v>1</v>
      </c>
      <c r="AA197" s="16">
        <f>IFERROR(INDEX(楼层配置!$E$5:$E$104,MATCH($K197,楼层配置!$B$5:$B$104,0)),1)</f>
        <v>1.17586973931056</v>
      </c>
      <c r="AB197" s="16">
        <f>IFERROR(INDEX(楼层配置!$F$5:$F$104,MATCH($K197,楼层配置!$B$5:$B$104,0)),1)</f>
        <v>0.671014300557864</v>
      </c>
      <c r="AC197" s="16">
        <f>IFERROR(INDEX(楼层配置!$G$5:$G$104,MATCH($K197,楼层配置!$B$5:$B$104,0)),1)</f>
        <v>1</v>
      </c>
      <c r="AD197" s="18">
        <f t="shared" ref="AD197:AD260" si="27">IFERROR($D197/$G197-1,"")</f>
        <v>-0.0572672593525881</v>
      </c>
      <c r="AE197" s="18">
        <f t="shared" ref="AE197:AE260" si="28">IFERROR($E197/$H197-1,"")</f>
        <v>-0.0707871894642322</v>
      </c>
      <c r="AF197" s="18">
        <f t="shared" ref="AF197:AF260" si="29">IFERROR($F197/$I197-1,"")</f>
        <v>0.367151607963247</v>
      </c>
      <c r="AG197" s="16" t="str">
        <f t="shared" ref="AG197:AG260" si="30">IF(AND($A197&gt;=1,$L197&gt;=1,$L197&lt;=500,OR($N197="Tank",$N197="DPS",$N197="Support"),ISNUMBER($D197),ISNUMBER($E197),ISNUMBER($F197)),"有效","异常")</f>
        <v>有效</v>
      </c>
      <c r="AH197">
        <f t="shared" ref="AH197:AH260" si="31">D197/(1-MIN(0.75,F197/(24000+F197)))</f>
        <v>701814.312166667</v>
      </c>
    </row>
    <row r="198" ht="14.25" customHeight="1" spans="1:34">
      <c r="A198" s="16">
        <v>194</v>
      </c>
      <c r="B198" s="16">
        <v>1021</v>
      </c>
      <c r="C198" s="16">
        <v>29</v>
      </c>
      <c r="D198" s="17">
        <f>IFERROR(ROUND($U198*$X198*$AA198*参数!$B$13,0),"")</f>
        <v>439963</v>
      </c>
      <c r="E198" s="17">
        <f>IFERROR(ROUND($V198*$Y198*$AB198*参数!$C$13,0),"")</f>
        <v>12418</v>
      </c>
      <c r="F198" s="17">
        <f>IFERROR(ROUND($W198*$Z198*$AC198*参数!$D$13,0),"")</f>
        <v>14284</v>
      </c>
      <c r="G198" s="16">
        <v>466689</v>
      </c>
      <c r="H198" s="16">
        <v>13364</v>
      </c>
      <c r="I198" s="16">
        <v>10448</v>
      </c>
      <c r="J198" s="16">
        <v>39</v>
      </c>
      <c r="K198" s="16">
        <v>39</v>
      </c>
      <c r="L198" s="16">
        <f>IFERROR(INDEX(楼层配置!$D$5:$D$104,MATCH($K198,楼层配置!$B$5:$B$104,0)),"")</f>
        <v>156</v>
      </c>
      <c r="M198" s="16" t="str">
        <f>IFERROR(INDEX(_角色基线!$B$2:$B$100,MATCH($B198,_角色基线!$A$2:$A$100,0)),"")</f>
        <v>梅梅</v>
      </c>
      <c r="N198" s="16" t="str">
        <f>IFERROR(INDEX(_角色基线!$C$2:$C$100,MATCH($B198,_角色基线!$A$2:$A$100,0)),"")</f>
        <v>DPS</v>
      </c>
      <c r="O198" s="16">
        <f>IFERROR(INDEX(_怪物基线!$B$2:$B$501,MATCH(INT($L198),_怪物基线!$A$2:$A$501,0)),"")</f>
        <v>93540</v>
      </c>
      <c r="P198" s="16">
        <f>IFERROR(INDEX(_怪物基线!$C$2:$C$501,MATCH(INT($L198),_怪物基线!$A$2:$A$501,0)),"")</f>
        <v>12852</v>
      </c>
      <c r="Q198" s="16">
        <f>IFERROR(INDEX(_怪物基线!$D$2:$D$501,MATCH(INT($L198),_怪物基线!$A$2:$A$501,0)),"")</f>
        <v>14284</v>
      </c>
      <c r="R198" s="16">
        <f>参数!$B$10</f>
        <v>4</v>
      </c>
      <c r="S198" s="16">
        <f>参数!$C$10</f>
        <v>1.2</v>
      </c>
      <c r="T198" s="16">
        <f>参数!$D$10</f>
        <v>1</v>
      </c>
      <c r="U198" s="16">
        <f t="shared" si="24"/>
        <v>374160</v>
      </c>
      <c r="V198" s="16">
        <f t="shared" si="25"/>
        <v>15422.4</v>
      </c>
      <c r="W198" s="16">
        <f t="shared" si="26"/>
        <v>14284</v>
      </c>
      <c r="X198" s="16">
        <f>IFERROR(INDEX(参数!$B$5:$B$7,MATCH($N198,参数!$A$5:$A$7,0)),"")</f>
        <v>1</v>
      </c>
      <c r="Y198" s="16">
        <f>IFERROR(INDEX(参数!$C$5:$C$7,MATCH($N198,参数!$A$5:$A$7,0)),"")</f>
        <v>1.2</v>
      </c>
      <c r="Z198" s="16">
        <f>IFERROR(INDEX(参数!$D$5:$D$7,MATCH($N198,参数!$A$5:$A$7,0)),"")</f>
        <v>1</v>
      </c>
      <c r="AA198" s="16">
        <f>IFERROR(INDEX(楼层配置!$E$5:$E$104,MATCH($K198,楼层配置!$B$5:$B$104,0)),1)</f>
        <v>1.17586973931056</v>
      </c>
      <c r="AB198" s="16">
        <f>IFERROR(INDEX(楼层配置!$F$5:$F$104,MATCH($K198,楼层配置!$B$5:$B$104,0)),1)</f>
        <v>0.671014300557864</v>
      </c>
      <c r="AC198" s="16">
        <f>IFERROR(INDEX(楼层配置!$G$5:$G$104,MATCH($K198,楼层配置!$B$5:$B$104,0)),1)</f>
        <v>1</v>
      </c>
      <c r="AD198" s="18">
        <f t="shared" si="27"/>
        <v>-0.0572672593525881</v>
      </c>
      <c r="AE198" s="18">
        <f t="shared" si="28"/>
        <v>-0.0707871894642322</v>
      </c>
      <c r="AF198" s="18">
        <f t="shared" si="29"/>
        <v>0.367151607963247</v>
      </c>
      <c r="AG198" s="16" t="str">
        <f t="shared" si="30"/>
        <v>有效</v>
      </c>
      <c r="AH198">
        <f t="shared" si="31"/>
        <v>701814.312166667</v>
      </c>
    </row>
    <row r="199" ht="14.25" customHeight="1" spans="1:34">
      <c r="A199" s="16">
        <v>195</v>
      </c>
      <c r="B199" s="16">
        <v>1026</v>
      </c>
      <c r="C199" s="16">
        <v>29</v>
      </c>
      <c r="D199" s="17">
        <f>IFERROR(ROUND($U199*$X199*$AA199*参数!$B$13,0),"")</f>
        <v>439963</v>
      </c>
      <c r="E199" s="17">
        <f>IFERROR(ROUND($V199*$Y199*$AB199*参数!$C$13,0),"")</f>
        <v>12418</v>
      </c>
      <c r="F199" s="17">
        <f>IFERROR(ROUND($W199*$Z199*$AC199*参数!$D$13,0),"")</f>
        <v>14284</v>
      </c>
      <c r="G199" s="16">
        <v>466689</v>
      </c>
      <c r="H199" s="16">
        <v>13364</v>
      </c>
      <c r="I199" s="16">
        <v>10448</v>
      </c>
      <c r="J199" s="16">
        <v>39</v>
      </c>
      <c r="K199" s="16">
        <v>39</v>
      </c>
      <c r="L199" s="16">
        <f>IFERROR(INDEX(楼层配置!$D$5:$D$104,MATCH($K199,楼层配置!$B$5:$B$104,0)),"")</f>
        <v>156</v>
      </c>
      <c r="M199" s="16" t="str">
        <f>IFERROR(INDEX(_角色基线!$B$2:$B$100,MATCH($B199,_角色基线!$A$2:$A$100,0)),"")</f>
        <v>乔一</v>
      </c>
      <c r="N199" s="16" t="str">
        <f>IFERROR(INDEX(_角色基线!$C$2:$C$100,MATCH($B199,_角色基线!$A$2:$A$100,0)),"")</f>
        <v>DPS</v>
      </c>
      <c r="O199" s="16">
        <f>IFERROR(INDEX(_怪物基线!$B$2:$B$501,MATCH(INT($L199),_怪物基线!$A$2:$A$501,0)),"")</f>
        <v>93540</v>
      </c>
      <c r="P199" s="16">
        <f>IFERROR(INDEX(_怪物基线!$C$2:$C$501,MATCH(INT($L199),_怪物基线!$A$2:$A$501,0)),"")</f>
        <v>12852</v>
      </c>
      <c r="Q199" s="16">
        <f>IFERROR(INDEX(_怪物基线!$D$2:$D$501,MATCH(INT($L199),_怪物基线!$A$2:$A$501,0)),"")</f>
        <v>14284</v>
      </c>
      <c r="R199" s="16">
        <f>参数!$B$10</f>
        <v>4</v>
      </c>
      <c r="S199" s="16">
        <f>参数!$C$10</f>
        <v>1.2</v>
      </c>
      <c r="T199" s="16">
        <f>参数!$D$10</f>
        <v>1</v>
      </c>
      <c r="U199" s="16">
        <f t="shared" si="24"/>
        <v>374160</v>
      </c>
      <c r="V199" s="16">
        <f t="shared" si="25"/>
        <v>15422.4</v>
      </c>
      <c r="W199" s="16">
        <f t="shared" si="26"/>
        <v>14284</v>
      </c>
      <c r="X199" s="16">
        <f>IFERROR(INDEX(参数!$B$5:$B$7,MATCH($N199,参数!$A$5:$A$7,0)),"")</f>
        <v>1</v>
      </c>
      <c r="Y199" s="16">
        <f>IFERROR(INDEX(参数!$C$5:$C$7,MATCH($N199,参数!$A$5:$A$7,0)),"")</f>
        <v>1.2</v>
      </c>
      <c r="Z199" s="16">
        <f>IFERROR(INDEX(参数!$D$5:$D$7,MATCH($N199,参数!$A$5:$A$7,0)),"")</f>
        <v>1</v>
      </c>
      <c r="AA199" s="16">
        <f>IFERROR(INDEX(楼层配置!$E$5:$E$104,MATCH($K199,楼层配置!$B$5:$B$104,0)),1)</f>
        <v>1.17586973931056</v>
      </c>
      <c r="AB199" s="16">
        <f>IFERROR(INDEX(楼层配置!$F$5:$F$104,MATCH($K199,楼层配置!$B$5:$B$104,0)),1)</f>
        <v>0.671014300557864</v>
      </c>
      <c r="AC199" s="16">
        <f>IFERROR(INDEX(楼层配置!$G$5:$G$104,MATCH($K199,楼层配置!$B$5:$B$104,0)),1)</f>
        <v>1</v>
      </c>
      <c r="AD199" s="18">
        <f t="shared" si="27"/>
        <v>-0.0572672593525881</v>
      </c>
      <c r="AE199" s="18">
        <f t="shared" si="28"/>
        <v>-0.0707871894642322</v>
      </c>
      <c r="AF199" s="18">
        <f t="shared" si="29"/>
        <v>0.367151607963247</v>
      </c>
      <c r="AG199" s="16" t="str">
        <f t="shared" si="30"/>
        <v>有效</v>
      </c>
      <c r="AH199">
        <f t="shared" si="31"/>
        <v>701814.312166667</v>
      </c>
    </row>
    <row r="200" ht="14.25" customHeight="1" spans="1:34">
      <c r="A200" s="16">
        <v>196</v>
      </c>
      <c r="B200" s="16">
        <v>1002</v>
      </c>
      <c r="C200" s="16">
        <v>30</v>
      </c>
      <c r="D200" s="17">
        <f>IFERROR(ROUND($U200*$X200*$AA200*参数!$B$13,0),"")</f>
        <v>690988</v>
      </c>
      <c r="E200" s="17">
        <f>IFERROR(ROUND($V200*$Y200*$AB200*参数!$C$13,0),"")</f>
        <v>10710</v>
      </c>
      <c r="F200" s="17">
        <f>IFERROR(ROUND($W200*$Z200*$AC200*参数!$D$13,0),"")</f>
        <v>22085</v>
      </c>
      <c r="G200" s="16">
        <v>737719</v>
      </c>
      <c r="H200" s="16">
        <v>11526</v>
      </c>
      <c r="I200" s="16">
        <v>16131</v>
      </c>
      <c r="J200" s="16">
        <v>40</v>
      </c>
      <c r="K200" s="16">
        <v>40</v>
      </c>
      <c r="L200" s="16">
        <f>IFERROR(INDEX(楼层配置!$D$5:$D$104,MATCH($K200,楼层配置!$B$5:$B$104,0)),"")</f>
        <v>160</v>
      </c>
      <c r="M200" s="16" t="str">
        <f>IFERROR(INDEX(_角色基线!$B$2:$B$100,MATCH($B200,_角色基线!$A$2:$A$100,0)),"")</f>
        <v>大暑</v>
      </c>
      <c r="N200" s="16" t="str">
        <f>IFERROR(INDEX(_角色基线!$C$2:$C$100,MATCH($B200,_角色基线!$A$2:$A$100,0)),"")</f>
        <v>Tank</v>
      </c>
      <c r="O200" s="16">
        <f>IFERROR(INDEX(_怪物基线!$B$2:$B$501,MATCH(INT($L200),_怪物基线!$A$2:$A$501,0)),"")</f>
        <v>98983</v>
      </c>
      <c r="P200" s="16">
        <f>IFERROR(INDEX(_怪物基线!$C$2:$C$501,MATCH(INT($L200),_怪物基线!$A$2:$A$501,0)),"")</f>
        <v>13387</v>
      </c>
      <c r="Q200" s="16">
        <f>IFERROR(INDEX(_怪物基线!$D$2:$D$501,MATCH(INT($L200),_怪物基线!$A$2:$A$501,0)),"")</f>
        <v>14723</v>
      </c>
      <c r="R200" s="16">
        <f>参数!$B$10</f>
        <v>4</v>
      </c>
      <c r="S200" s="16">
        <f>参数!$C$10</f>
        <v>1.2</v>
      </c>
      <c r="T200" s="16">
        <f>参数!$D$10</f>
        <v>1</v>
      </c>
      <c r="U200" s="16">
        <f t="shared" si="24"/>
        <v>395932</v>
      </c>
      <c r="V200" s="16">
        <f t="shared" si="25"/>
        <v>16064.4</v>
      </c>
      <c r="W200" s="16">
        <f t="shared" si="26"/>
        <v>14723</v>
      </c>
      <c r="X200" s="16">
        <f>IFERROR(INDEX(参数!$B$5:$B$7,MATCH($N200,参数!$A$5:$A$7,0)),"")</f>
        <v>1.5</v>
      </c>
      <c r="Y200" s="16">
        <f>IFERROR(INDEX(参数!$C$5:$C$7,MATCH($N200,参数!$A$5:$A$7,0)),"")</f>
        <v>1</v>
      </c>
      <c r="Z200" s="16">
        <f>IFERROR(INDEX(参数!$D$5:$D$7,MATCH($N200,参数!$A$5:$A$7,0)),"")</f>
        <v>1.5</v>
      </c>
      <c r="AA200" s="16">
        <f>IFERROR(INDEX(楼层配置!$E$5:$E$104,MATCH($K200,楼层配置!$B$5:$B$104,0)),1)</f>
        <v>1.16347845028068</v>
      </c>
      <c r="AB200" s="16">
        <f>IFERROR(INDEX(楼层配置!$F$5:$F$104,MATCH($K200,楼层配置!$B$5:$B$104,0)),1)</f>
        <v>0.666707854003219</v>
      </c>
      <c r="AC200" s="16">
        <f>IFERROR(INDEX(楼层配置!$G$5:$G$104,MATCH($K200,楼层配置!$B$5:$B$104,0)),1)</f>
        <v>1</v>
      </c>
      <c r="AD200" s="18">
        <f t="shared" si="27"/>
        <v>-0.0633452574760851</v>
      </c>
      <c r="AE200" s="18">
        <f t="shared" si="28"/>
        <v>-0.0707964601769911</v>
      </c>
      <c r="AF200" s="18">
        <f t="shared" si="29"/>
        <v>0.369102969437729</v>
      </c>
      <c r="AG200" s="16" t="str">
        <f t="shared" si="30"/>
        <v>有效</v>
      </c>
      <c r="AH200">
        <f t="shared" si="31"/>
        <v>1326840.91583333</v>
      </c>
    </row>
    <row r="201" ht="14.25" customHeight="1" spans="1:34">
      <c r="A201" s="16">
        <v>197</v>
      </c>
      <c r="B201" s="16">
        <v>1026</v>
      </c>
      <c r="C201" s="16">
        <v>30</v>
      </c>
      <c r="D201" s="17">
        <f>IFERROR(ROUND($U201*$X201*$AA201*参数!$B$13,0),"")</f>
        <v>460658</v>
      </c>
      <c r="E201" s="17">
        <f>IFERROR(ROUND($V201*$Y201*$AB201*参数!$C$13,0),"")</f>
        <v>12852</v>
      </c>
      <c r="F201" s="17">
        <f>IFERROR(ROUND($W201*$Z201*$AC201*参数!$D$13,0),"")</f>
        <v>14723</v>
      </c>
      <c r="G201" s="16">
        <v>491812</v>
      </c>
      <c r="H201" s="16">
        <v>13831</v>
      </c>
      <c r="I201" s="16">
        <v>10754</v>
      </c>
      <c r="J201" s="16">
        <v>40</v>
      </c>
      <c r="K201" s="16">
        <v>40</v>
      </c>
      <c r="L201" s="16">
        <f>IFERROR(INDEX(楼层配置!$D$5:$D$104,MATCH($K201,楼层配置!$B$5:$B$104,0)),"")</f>
        <v>160</v>
      </c>
      <c r="M201" s="16" t="str">
        <f>IFERROR(INDEX(_角色基线!$B$2:$B$100,MATCH($B201,_角色基线!$A$2:$A$100,0)),"")</f>
        <v>乔一</v>
      </c>
      <c r="N201" s="16" t="str">
        <f>IFERROR(INDEX(_角色基线!$C$2:$C$100,MATCH($B201,_角色基线!$A$2:$A$100,0)),"")</f>
        <v>DPS</v>
      </c>
      <c r="O201" s="16">
        <f>IFERROR(INDEX(_怪物基线!$B$2:$B$501,MATCH(INT($L201),_怪物基线!$A$2:$A$501,0)),"")</f>
        <v>98983</v>
      </c>
      <c r="P201" s="16">
        <f>IFERROR(INDEX(_怪物基线!$C$2:$C$501,MATCH(INT($L201),_怪物基线!$A$2:$A$501,0)),"")</f>
        <v>13387</v>
      </c>
      <c r="Q201" s="16">
        <f>IFERROR(INDEX(_怪物基线!$D$2:$D$501,MATCH(INT($L201),_怪物基线!$A$2:$A$501,0)),"")</f>
        <v>14723</v>
      </c>
      <c r="R201" s="16">
        <f>参数!$B$10</f>
        <v>4</v>
      </c>
      <c r="S201" s="16">
        <f>参数!$C$10</f>
        <v>1.2</v>
      </c>
      <c r="T201" s="16">
        <f>参数!$D$10</f>
        <v>1</v>
      </c>
      <c r="U201" s="16">
        <f t="shared" si="24"/>
        <v>395932</v>
      </c>
      <c r="V201" s="16">
        <f t="shared" si="25"/>
        <v>16064.4</v>
      </c>
      <c r="W201" s="16">
        <f t="shared" si="26"/>
        <v>14723</v>
      </c>
      <c r="X201" s="16">
        <f>IFERROR(INDEX(参数!$B$5:$B$7,MATCH($N201,参数!$A$5:$A$7,0)),"")</f>
        <v>1</v>
      </c>
      <c r="Y201" s="16">
        <f>IFERROR(INDEX(参数!$C$5:$C$7,MATCH($N201,参数!$A$5:$A$7,0)),"")</f>
        <v>1.2</v>
      </c>
      <c r="Z201" s="16">
        <f>IFERROR(INDEX(参数!$D$5:$D$7,MATCH($N201,参数!$A$5:$A$7,0)),"")</f>
        <v>1</v>
      </c>
      <c r="AA201" s="16">
        <f>IFERROR(INDEX(楼层配置!$E$5:$E$104,MATCH($K201,楼层配置!$B$5:$B$104,0)),1)</f>
        <v>1.16347845028068</v>
      </c>
      <c r="AB201" s="16">
        <f>IFERROR(INDEX(楼层配置!$F$5:$F$104,MATCH($K201,楼层配置!$B$5:$B$104,0)),1)</f>
        <v>0.666707854003219</v>
      </c>
      <c r="AC201" s="16">
        <f>IFERROR(INDEX(楼层配置!$G$5:$G$104,MATCH($K201,楼层配置!$B$5:$B$104,0)),1)</f>
        <v>1</v>
      </c>
      <c r="AD201" s="18">
        <f t="shared" si="27"/>
        <v>-0.063345343342578</v>
      </c>
      <c r="AE201" s="18">
        <f t="shared" si="28"/>
        <v>-0.0707830236425421</v>
      </c>
      <c r="AF201" s="18">
        <f t="shared" si="29"/>
        <v>0.369071973219267</v>
      </c>
      <c r="AG201" s="16" t="str">
        <f t="shared" si="30"/>
        <v>有效</v>
      </c>
      <c r="AH201">
        <f t="shared" si="31"/>
        <v>743252.488916667</v>
      </c>
    </row>
    <row r="202" ht="14.25" customHeight="1" spans="1:34">
      <c r="A202" s="16">
        <v>198</v>
      </c>
      <c r="B202" s="16">
        <v>1029</v>
      </c>
      <c r="C202" s="16">
        <v>30</v>
      </c>
      <c r="D202" s="17">
        <f>IFERROR(ROUND($U202*$X202*$AA202*参数!$B$13,0),"")</f>
        <v>575823</v>
      </c>
      <c r="E202" s="17">
        <f>IFERROR(ROUND($V202*$Y202*$AB202*参数!$C$13,0),"")</f>
        <v>10710</v>
      </c>
      <c r="F202" s="17">
        <f>IFERROR(ROUND($W202*$Z202*$AC202*参数!$D$13,0),"")</f>
        <v>18404</v>
      </c>
      <c r="G202" s="16">
        <v>614766</v>
      </c>
      <c r="H202" s="16">
        <v>11526</v>
      </c>
      <c r="I202" s="16">
        <v>13443</v>
      </c>
      <c r="J202" s="16">
        <v>40</v>
      </c>
      <c r="K202" s="16">
        <v>40</v>
      </c>
      <c r="L202" s="16">
        <f>IFERROR(INDEX(楼层配置!$D$5:$D$104,MATCH($K202,楼层配置!$B$5:$B$104,0)),"")</f>
        <v>160</v>
      </c>
      <c r="M202" s="16" t="str">
        <f>IFERROR(INDEX(_角色基线!$B$2:$B$100,MATCH($B202,_角色基线!$A$2:$A$100,0)),"")</f>
        <v>凯兰</v>
      </c>
      <c r="N202" s="16" t="str">
        <f>IFERROR(INDEX(_角色基线!$C$2:$C$100,MATCH($B202,_角色基线!$A$2:$A$100,0)),"")</f>
        <v>Support</v>
      </c>
      <c r="O202" s="16">
        <f>IFERROR(INDEX(_怪物基线!$B$2:$B$501,MATCH(INT($L202),_怪物基线!$A$2:$A$501,0)),"")</f>
        <v>98983</v>
      </c>
      <c r="P202" s="16">
        <f>IFERROR(INDEX(_怪物基线!$C$2:$C$501,MATCH(INT($L202),_怪物基线!$A$2:$A$501,0)),"")</f>
        <v>13387</v>
      </c>
      <c r="Q202" s="16">
        <f>IFERROR(INDEX(_怪物基线!$D$2:$D$501,MATCH(INT($L202),_怪物基线!$A$2:$A$501,0)),"")</f>
        <v>14723</v>
      </c>
      <c r="R202" s="16">
        <f>参数!$B$10</f>
        <v>4</v>
      </c>
      <c r="S202" s="16">
        <f>参数!$C$10</f>
        <v>1.2</v>
      </c>
      <c r="T202" s="16">
        <f>参数!$D$10</f>
        <v>1</v>
      </c>
      <c r="U202" s="16">
        <f t="shared" si="24"/>
        <v>395932</v>
      </c>
      <c r="V202" s="16">
        <f t="shared" si="25"/>
        <v>16064.4</v>
      </c>
      <c r="W202" s="16">
        <f t="shared" si="26"/>
        <v>14723</v>
      </c>
      <c r="X202" s="16">
        <f>IFERROR(INDEX(参数!$B$5:$B$7,MATCH($N202,参数!$A$5:$A$7,0)),"")</f>
        <v>1.25</v>
      </c>
      <c r="Y202" s="16">
        <f>IFERROR(INDEX(参数!$C$5:$C$7,MATCH($N202,参数!$A$5:$A$7,0)),"")</f>
        <v>1</v>
      </c>
      <c r="Z202" s="16">
        <f>IFERROR(INDEX(参数!$D$5:$D$7,MATCH($N202,参数!$A$5:$A$7,0)),"")</f>
        <v>1.25</v>
      </c>
      <c r="AA202" s="16">
        <f>IFERROR(INDEX(楼层配置!$E$5:$E$104,MATCH($K202,楼层配置!$B$5:$B$104,0)),1)</f>
        <v>1.16347845028068</v>
      </c>
      <c r="AB202" s="16">
        <f>IFERROR(INDEX(楼层配置!$F$5:$F$104,MATCH($K202,楼层配置!$B$5:$B$104,0)),1)</f>
        <v>0.666707854003219</v>
      </c>
      <c r="AC202" s="16">
        <f>IFERROR(INDEX(楼层配置!$G$5:$G$104,MATCH($K202,楼层配置!$B$5:$B$104,0)),1)</f>
        <v>1</v>
      </c>
      <c r="AD202" s="18">
        <f t="shared" si="27"/>
        <v>-0.0633460536204019</v>
      </c>
      <c r="AE202" s="18">
        <f t="shared" si="28"/>
        <v>-0.0707964601769911</v>
      </c>
      <c r="AF202" s="18">
        <f t="shared" si="29"/>
        <v>0.369039648887897</v>
      </c>
      <c r="AG202" s="16" t="str">
        <f t="shared" si="30"/>
        <v>有效</v>
      </c>
      <c r="AH202">
        <f t="shared" si="31"/>
        <v>1017383.2705</v>
      </c>
    </row>
    <row r="203" ht="14.25" customHeight="1" spans="1:34">
      <c r="A203" s="16">
        <v>199</v>
      </c>
      <c r="B203" s="16">
        <v>1018</v>
      </c>
      <c r="C203" s="16">
        <v>30</v>
      </c>
      <c r="D203" s="17">
        <f>IFERROR(ROUND($U203*$X203*$AA203*参数!$B$13,0),"")</f>
        <v>575823</v>
      </c>
      <c r="E203" s="17">
        <f>IFERROR(ROUND($V203*$Y203*$AB203*参数!$C$13,0),"")</f>
        <v>10710</v>
      </c>
      <c r="F203" s="17">
        <f>IFERROR(ROUND($W203*$Z203*$AC203*参数!$D$13,0),"")</f>
        <v>18404</v>
      </c>
      <c r="G203" s="16">
        <v>614766</v>
      </c>
      <c r="H203" s="16">
        <v>11526</v>
      </c>
      <c r="I203" s="16">
        <v>13443</v>
      </c>
      <c r="J203" s="16">
        <v>40</v>
      </c>
      <c r="K203" s="16">
        <v>40</v>
      </c>
      <c r="L203" s="16">
        <f>IFERROR(INDEX(楼层配置!$D$5:$D$104,MATCH($K203,楼层配置!$B$5:$B$104,0)),"")</f>
        <v>160</v>
      </c>
      <c r="M203" s="16" t="str">
        <f>IFERROR(INDEX(_角色基线!$B$2:$B$100,MATCH($B203,_角色基线!$A$2:$A$100,0)),"")</f>
        <v>埃莉诺</v>
      </c>
      <c r="N203" s="16" t="str">
        <f>IFERROR(INDEX(_角色基线!$C$2:$C$100,MATCH($B203,_角色基线!$A$2:$A$100,0)),"")</f>
        <v>Support</v>
      </c>
      <c r="O203" s="16">
        <f>IFERROR(INDEX(_怪物基线!$B$2:$B$501,MATCH(INT($L203),_怪物基线!$A$2:$A$501,0)),"")</f>
        <v>98983</v>
      </c>
      <c r="P203" s="16">
        <f>IFERROR(INDEX(_怪物基线!$C$2:$C$501,MATCH(INT($L203),_怪物基线!$A$2:$A$501,0)),"")</f>
        <v>13387</v>
      </c>
      <c r="Q203" s="16">
        <f>IFERROR(INDEX(_怪物基线!$D$2:$D$501,MATCH(INT($L203),_怪物基线!$A$2:$A$501,0)),"")</f>
        <v>14723</v>
      </c>
      <c r="R203" s="16">
        <f>参数!$B$10</f>
        <v>4</v>
      </c>
      <c r="S203" s="16">
        <f>参数!$C$10</f>
        <v>1.2</v>
      </c>
      <c r="T203" s="16">
        <f>参数!$D$10</f>
        <v>1</v>
      </c>
      <c r="U203" s="16">
        <f t="shared" si="24"/>
        <v>395932</v>
      </c>
      <c r="V203" s="16">
        <f t="shared" si="25"/>
        <v>16064.4</v>
      </c>
      <c r="W203" s="16">
        <f t="shared" si="26"/>
        <v>14723</v>
      </c>
      <c r="X203" s="16">
        <f>IFERROR(INDEX(参数!$B$5:$B$7,MATCH($N203,参数!$A$5:$A$7,0)),"")</f>
        <v>1.25</v>
      </c>
      <c r="Y203" s="16">
        <f>IFERROR(INDEX(参数!$C$5:$C$7,MATCH($N203,参数!$A$5:$A$7,0)),"")</f>
        <v>1</v>
      </c>
      <c r="Z203" s="16">
        <f>IFERROR(INDEX(参数!$D$5:$D$7,MATCH($N203,参数!$A$5:$A$7,0)),"")</f>
        <v>1.25</v>
      </c>
      <c r="AA203" s="16">
        <f>IFERROR(INDEX(楼层配置!$E$5:$E$104,MATCH($K203,楼层配置!$B$5:$B$104,0)),1)</f>
        <v>1.16347845028068</v>
      </c>
      <c r="AB203" s="16">
        <f>IFERROR(INDEX(楼层配置!$F$5:$F$104,MATCH($K203,楼层配置!$B$5:$B$104,0)),1)</f>
        <v>0.666707854003219</v>
      </c>
      <c r="AC203" s="16">
        <f>IFERROR(INDEX(楼层配置!$G$5:$G$104,MATCH($K203,楼层配置!$B$5:$B$104,0)),1)</f>
        <v>1</v>
      </c>
      <c r="AD203" s="18">
        <f t="shared" si="27"/>
        <v>-0.0633460536204019</v>
      </c>
      <c r="AE203" s="18">
        <f t="shared" si="28"/>
        <v>-0.0707964601769911</v>
      </c>
      <c r="AF203" s="18">
        <f t="shared" si="29"/>
        <v>0.369039648887897</v>
      </c>
      <c r="AG203" s="16" t="str">
        <f t="shared" si="30"/>
        <v>有效</v>
      </c>
      <c r="AH203">
        <f t="shared" si="31"/>
        <v>1017383.2705</v>
      </c>
    </row>
    <row r="204" ht="14.25" customHeight="1" spans="1:34">
      <c r="A204" s="16">
        <v>200</v>
      </c>
      <c r="B204" s="16">
        <v>1012</v>
      </c>
      <c r="C204" s="16">
        <v>30</v>
      </c>
      <c r="D204" s="17">
        <f>IFERROR(ROUND($U204*$X204*$AA204*参数!$B$13,0),"")</f>
        <v>575823</v>
      </c>
      <c r="E204" s="17">
        <f>IFERROR(ROUND($V204*$Y204*$AB204*参数!$C$13,0),"")</f>
        <v>10710</v>
      </c>
      <c r="F204" s="17">
        <f>IFERROR(ROUND($W204*$Z204*$AC204*参数!$D$13,0),"")</f>
        <v>18404</v>
      </c>
      <c r="G204" s="16">
        <v>614766</v>
      </c>
      <c r="H204" s="16">
        <v>11526</v>
      </c>
      <c r="I204" s="16">
        <v>13443</v>
      </c>
      <c r="J204" s="16">
        <v>40</v>
      </c>
      <c r="K204" s="16">
        <v>40</v>
      </c>
      <c r="L204" s="16">
        <f>IFERROR(INDEX(楼层配置!$D$5:$D$104,MATCH($K204,楼层配置!$B$5:$B$104,0)),"")</f>
        <v>160</v>
      </c>
      <c r="M204" s="16" t="str">
        <f>IFERROR(INDEX(_角色基线!$B$2:$B$100,MATCH($B204,_角色基线!$A$2:$A$100,0)),"")</f>
        <v>艾德琳</v>
      </c>
      <c r="N204" s="16" t="str">
        <f>IFERROR(INDEX(_角色基线!$C$2:$C$100,MATCH($B204,_角色基线!$A$2:$A$100,0)),"")</f>
        <v>Support</v>
      </c>
      <c r="O204" s="16">
        <f>IFERROR(INDEX(_怪物基线!$B$2:$B$501,MATCH(INT($L204),_怪物基线!$A$2:$A$501,0)),"")</f>
        <v>98983</v>
      </c>
      <c r="P204" s="16">
        <f>IFERROR(INDEX(_怪物基线!$C$2:$C$501,MATCH(INT($L204),_怪物基线!$A$2:$A$501,0)),"")</f>
        <v>13387</v>
      </c>
      <c r="Q204" s="16">
        <f>IFERROR(INDEX(_怪物基线!$D$2:$D$501,MATCH(INT($L204),_怪物基线!$A$2:$A$501,0)),"")</f>
        <v>14723</v>
      </c>
      <c r="R204" s="16">
        <f>参数!$B$10</f>
        <v>4</v>
      </c>
      <c r="S204" s="16">
        <f>参数!$C$10</f>
        <v>1.2</v>
      </c>
      <c r="T204" s="16">
        <f>参数!$D$10</f>
        <v>1</v>
      </c>
      <c r="U204" s="16">
        <f t="shared" si="24"/>
        <v>395932</v>
      </c>
      <c r="V204" s="16">
        <f t="shared" si="25"/>
        <v>16064.4</v>
      </c>
      <c r="W204" s="16">
        <f t="shared" si="26"/>
        <v>14723</v>
      </c>
      <c r="X204" s="16">
        <f>IFERROR(INDEX(参数!$B$5:$B$7,MATCH($N204,参数!$A$5:$A$7,0)),"")</f>
        <v>1.25</v>
      </c>
      <c r="Y204" s="16">
        <f>IFERROR(INDEX(参数!$C$5:$C$7,MATCH($N204,参数!$A$5:$A$7,0)),"")</f>
        <v>1</v>
      </c>
      <c r="Z204" s="16">
        <f>IFERROR(INDEX(参数!$D$5:$D$7,MATCH($N204,参数!$A$5:$A$7,0)),"")</f>
        <v>1.25</v>
      </c>
      <c r="AA204" s="16">
        <f>IFERROR(INDEX(楼层配置!$E$5:$E$104,MATCH($K204,楼层配置!$B$5:$B$104,0)),1)</f>
        <v>1.16347845028068</v>
      </c>
      <c r="AB204" s="16">
        <f>IFERROR(INDEX(楼层配置!$F$5:$F$104,MATCH($K204,楼层配置!$B$5:$B$104,0)),1)</f>
        <v>0.666707854003219</v>
      </c>
      <c r="AC204" s="16">
        <f>IFERROR(INDEX(楼层配置!$G$5:$G$104,MATCH($K204,楼层配置!$B$5:$B$104,0)),1)</f>
        <v>1</v>
      </c>
      <c r="AD204" s="18">
        <f t="shared" si="27"/>
        <v>-0.0633460536204019</v>
      </c>
      <c r="AE204" s="18">
        <f t="shared" si="28"/>
        <v>-0.0707964601769911</v>
      </c>
      <c r="AF204" s="18">
        <f t="shared" si="29"/>
        <v>0.369039648887897</v>
      </c>
      <c r="AG204" s="16" t="str">
        <f t="shared" si="30"/>
        <v>有效</v>
      </c>
      <c r="AH204">
        <f t="shared" si="31"/>
        <v>1017383.2705</v>
      </c>
    </row>
    <row r="205" ht="14.25" customHeight="1" spans="1:34">
      <c r="A205" s="16">
        <v>201</v>
      </c>
      <c r="B205" s="16">
        <v>1030</v>
      </c>
      <c r="C205" s="16">
        <v>30</v>
      </c>
      <c r="D205" s="17">
        <f>IFERROR(ROUND($U205*$X205*$AA205*参数!$B$13,0),"")</f>
        <v>732638</v>
      </c>
      <c r="E205" s="17">
        <f>IFERROR(ROUND($V205*$Y205*$AB205*参数!$C$13,0),"")</f>
        <v>11180</v>
      </c>
      <c r="F205" s="17">
        <f>IFERROR(ROUND($W205*$Z205*$AC205*参数!$D$13,0),"")</f>
        <v>22748</v>
      </c>
      <c r="G205" s="16">
        <v>776800</v>
      </c>
      <c r="H205" s="16">
        <v>11923</v>
      </c>
      <c r="I205" s="16">
        <v>16594</v>
      </c>
      <c r="J205" s="16">
        <v>41</v>
      </c>
      <c r="K205" s="16">
        <v>41</v>
      </c>
      <c r="L205" s="16">
        <f>IFERROR(INDEX(楼层配置!$D$5:$D$104,MATCH($K205,楼层配置!$B$5:$B$104,0)),"")</f>
        <v>164</v>
      </c>
      <c r="M205" s="16" t="str">
        <f>IFERROR(INDEX(_角色基线!$B$2:$B$100,MATCH($B205,_角色基线!$A$2:$A$100,0)),"")</f>
        <v>莫莉</v>
      </c>
      <c r="N205" s="16" t="str">
        <f>IFERROR(INDEX(_角色基线!$C$2:$C$100,MATCH($B205,_角色基线!$A$2:$A$100,0)),"")</f>
        <v>Tank</v>
      </c>
      <c r="O205" s="16">
        <f>IFERROR(INDEX(_怪物基线!$B$2:$B$501,MATCH(INT($L205),_怪物基线!$A$2:$A$501,0)),"")</f>
        <v>104649</v>
      </c>
      <c r="P205" s="16">
        <f>IFERROR(INDEX(_怪物基线!$C$2:$C$501,MATCH(INT($L205),_怪物基线!$A$2:$A$501,0)),"")</f>
        <v>13934</v>
      </c>
      <c r="Q205" s="16">
        <f>IFERROR(INDEX(_怪物基线!$D$2:$D$501,MATCH(INT($L205),_怪物基线!$A$2:$A$501,0)),"")</f>
        <v>15165</v>
      </c>
      <c r="R205" s="16">
        <f>参数!$B$10</f>
        <v>4</v>
      </c>
      <c r="S205" s="16">
        <f>参数!$C$10</f>
        <v>1.2</v>
      </c>
      <c r="T205" s="16">
        <f>参数!$D$10</f>
        <v>1</v>
      </c>
      <c r="U205" s="16">
        <f t="shared" si="24"/>
        <v>418596</v>
      </c>
      <c r="V205" s="16">
        <f t="shared" si="25"/>
        <v>16720.8</v>
      </c>
      <c r="W205" s="16">
        <f t="shared" si="26"/>
        <v>15165</v>
      </c>
      <c r="X205" s="16">
        <f>IFERROR(INDEX(参数!$B$5:$B$7,MATCH($N205,参数!$A$5:$A$7,0)),"")</f>
        <v>1.5</v>
      </c>
      <c r="Y205" s="16">
        <f>IFERROR(INDEX(参数!$C$5:$C$7,MATCH($N205,参数!$A$5:$A$7,0)),"")</f>
        <v>1</v>
      </c>
      <c r="Z205" s="16">
        <f>IFERROR(INDEX(参数!$D$5:$D$7,MATCH($N205,参数!$A$5:$A$7,0)),"")</f>
        <v>1.5</v>
      </c>
      <c r="AA205" s="16">
        <f>IFERROR(INDEX(楼层配置!$E$5:$E$104,MATCH($K205,楼层配置!$B$5:$B$104,0)),1)</f>
        <v>1.1668186396599</v>
      </c>
      <c r="AB205" s="16">
        <f>IFERROR(INDEX(楼层配置!$F$5:$F$104,MATCH($K205,楼层配置!$B$5:$B$104,0)),1)</f>
        <v>0.668610159368872</v>
      </c>
      <c r="AC205" s="16">
        <f>IFERROR(INDEX(楼层配置!$G$5:$G$104,MATCH($K205,楼层配置!$B$5:$B$104,0)),1)</f>
        <v>1</v>
      </c>
      <c r="AD205" s="18">
        <f t="shared" si="27"/>
        <v>-0.056851184346035</v>
      </c>
      <c r="AE205" s="18">
        <f t="shared" si="28"/>
        <v>-0.0623165310743941</v>
      </c>
      <c r="AF205" s="18">
        <f t="shared" si="29"/>
        <v>0.370856936242015</v>
      </c>
      <c r="AG205" s="16" t="str">
        <f t="shared" si="30"/>
        <v>有效</v>
      </c>
      <c r="AH205">
        <f t="shared" si="31"/>
        <v>1427056.71766667</v>
      </c>
    </row>
    <row r="206" ht="14.25" customHeight="1" spans="1:34">
      <c r="A206" s="16">
        <v>202</v>
      </c>
      <c r="B206" s="16">
        <v>1002</v>
      </c>
      <c r="C206" s="16">
        <v>30</v>
      </c>
      <c r="D206" s="17">
        <f>IFERROR(ROUND($U206*$X206*$AA206*参数!$B$13,0),"")</f>
        <v>732638</v>
      </c>
      <c r="E206" s="17">
        <f>IFERROR(ROUND($V206*$Y206*$AB206*参数!$C$13,0),"")</f>
        <v>11180</v>
      </c>
      <c r="F206" s="17">
        <f>IFERROR(ROUND($W206*$Z206*$AC206*参数!$D$13,0),"")</f>
        <v>22748</v>
      </c>
      <c r="G206" s="16">
        <v>776800</v>
      </c>
      <c r="H206" s="16">
        <v>11923</v>
      </c>
      <c r="I206" s="16">
        <v>16594</v>
      </c>
      <c r="J206" s="16">
        <v>41</v>
      </c>
      <c r="K206" s="16">
        <v>41</v>
      </c>
      <c r="L206" s="16">
        <f>IFERROR(INDEX(楼层配置!$D$5:$D$104,MATCH($K206,楼层配置!$B$5:$B$104,0)),"")</f>
        <v>164</v>
      </c>
      <c r="M206" s="16" t="str">
        <f>IFERROR(INDEX(_角色基线!$B$2:$B$100,MATCH($B206,_角色基线!$A$2:$A$100,0)),"")</f>
        <v>大暑</v>
      </c>
      <c r="N206" s="16" t="str">
        <f>IFERROR(INDEX(_角色基线!$C$2:$C$100,MATCH($B206,_角色基线!$A$2:$A$100,0)),"")</f>
        <v>Tank</v>
      </c>
      <c r="O206" s="16">
        <f>IFERROR(INDEX(_怪物基线!$B$2:$B$501,MATCH(INT($L206),_怪物基线!$A$2:$A$501,0)),"")</f>
        <v>104649</v>
      </c>
      <c r="P206" s="16">
        <f>IFERROR(INDEX(_怪物基线!$C$2:$C$501,MATCH(INT($L206),_怪物基线!$A$2:$A$501,0)),"")</f>
        <v>13934</v>
      </c>
      <c r="Q206" s="16">
        <f>IFERROR(INDEX(_怪物基线!$D$2:$D$501,MATCH(INT($L206),_怪物基线!$A$2:$A$501,0)),"")</f>
        <v>15165</v>
      </c>
      <c r="R206" s="16">
        <f>参数!$B$10</f>
        <v>4</v>
      </c>
      <c r="S206" s="16">
        <f>参数!$C$10</f>
        <v>1.2</v>
      </c>
      <c r="T206" s="16">
        <f>参数!$D$10</f>
        <v>1</v>
      </c>
      <c r="U206" s="16">
        <f t="shared" si="24"/>
        <v>418596</v>
      </c>
      <c r="V206" s="16">
        <f t="shared" si="25"/>
        <v>16720.8</v>
      </c>
      <c r="W206" s="16">
        <f t="shared" si="26"/>
        <v>15165</v>
      </c>
      <c r="X206" s="16">
        <f>IFERROR(INDEX(参数!$B$5:$B$7,MATCH($N206,参数!$A$5:$A$7,0)),"")</f>
        <v>1.5</v>
      </c>
      <c r="Y206" s="16">
        <f>IFERROR(INDEX(参数!$C$5:$C$7,MATCH($N206,参数!$A$5:$A$7,0)),"")</f>
        <v>1</v>
      </c>
      <c r="Z206" s="16">
        <f>IFERROR(INDEX(参数!$D$5:$D$7,MATCH($N206,参数!$A$5:$A$7,0)),"")</f>
        <v>1.5</v>
      </c>
      <c r="AA206" s="16">
        <f>IFERROR(INDEX(楼层配置!$E$5:$E$104,MATCH($K206,楼层配置!$B$5:$B$104,0)),1)</f>
        <v>1.1668186396599</v>
      </c>
      <c r="AB206" s="16">
        <f>IFERROR(INDEX(楼层配置!$F$5:$F$104,MATCH($K206,楼层配置!$B$5:$B$104,0)),1)</f>
        <v>0.668610159368872</v>
      </c>
      <c r="AC206" s="16">
        <f>IFERROR(INDEX(楼层配置!$G$5:$G$104,MATCH($K206,楼层配置!$B$5:$B$104,0)),1)</f>
        <v>1</v>
      </c>
      <c r="AD206" s="18">
        <f t="shared" si="27"/>
        <v>-0.056851184346035</v>
      </c>
      <c r="AE206" s="18">
        <f t="shared" si="28"/>
        <v>-0.0623165310743941</v>
      </c>
      <c r="AF206" s="18">
        <f t="shared" si="29"/>
        <v>0.370856936242015</v>
      </c>
      <c r="AG206" s="16" t="str">
        <f t="shared" si="30"/>
        <v>有效</v>
      </c>
      <c r="AH206">
        <f t="shared" si="31"/>
        <v>1427056.71766667</v>
      </c>
    </row>
    <row r="207" ht="14.25" customHeight="1" spans="1:34">
      <c r="A207" s="16">
        <v>203</v>
      </c>
      <c r="B207" s="16">
        <v>1011</v>
      </c>
      <c r="C207" s="16">
        <v>30</v>
      </c>
      <c r="D207" s="17">
        <f>IFERROR(ROUND($U207*$X207*$AA207*参数!$B$13,0),"")</f>
        <v>610532</v>
      </c>
      <c r="E207" s="17">
        <f>IFERROR(ROUND($V207*$Y207*$AB207*参数!$C$13,0),"")</f>
        <v>11180</v>
      </c>
      <c r="F207" s="17">
        <f>IFERROR(ROUND($W207*$Z207*$AC207*参数!$D$13,0),"")</f>
        <v>18956</v>
      </c>
      <c r="G207" s="16">
        <v>647334</v>
      </c>
      <c r="H207" s="16">
        <v>11923</v>
      </c>
      <c r="I207" s="16">
        <v>13829</v>
      </c>
      <c r="J207" s="16">
        <v>41</v>
      </c>
      <c r="K207" s="16">
        <v>41</v>
      </c>
      <c r="L207" s="16">
        <f>IFERROR(INDEX(楼层配置!$D$5:$D$104,MATCH($K207,楼层配置!$B$5:$B$104,0)),"")</f>
        <v>164</v>
      </c>
      <c r="M207" s="16" t="str">
        <f>IFERROR(INDEX(_角色基线!$B$2:$B$100,MATCH($B207,_角色基线!$A$2:$A$100,0)),"")</f>
        <v>陈双双</v>
      </c>
      <c r="N207" s="16" t="str">
        <f>IFERROR(INDEX(_角色基线!$C$2:$C$100,MATCH($B207,_角色基线!$A$2:$A$100,0)),"")</f>
        <v>Support</v>
      </c>
      <c r="O207" s="16">
        <f>IFERROR(INDEX(_怪物基线!$B$2:$B$501,MATCH(INT($L207),_怪物基线!$A$2:$A$501,0)),"")</f>
        <v>104649</v>
      </c>
      <c r="P207" s="16">
        <f>IFERROR(INDEX(_怪物基线!$C$2:$C$501,MATCH(INT($L207),_怪物基线!$A$2:$A$501,0)),"")</f>
        <v>13934</v>
      </c>
      <c r="Q207" s="16">
        <f>IFERROR(INDEX(_怪物基线!$D$2:$D$501,MATCH(INT($L207),_怪物基线!$A$2:$A$501,0)),"")</f>
        <v>15165</v>
      </c>
      <c r="R207" s="16">
        <f>参数!$B$10</f>
        <v>4</v>
      </c>
      <c r="S207" s="16">
        <f>参数!$C$10</f>
        <v>1.2</v>
      </c>
      <c r="T207" s="16">
        <f>参数!$D$10</f>
        <v>1</v>
      </c>
      <c r="U207" s="16">
        <f t="shared" si="24"/>
        <v>418596</v>
      </c>
      <c r="V207" s="16">
        <f t="shared" si="25"/>
        <v>16720.8</v>
      </c>
      <c r="W207" s="16">
        <f t="shared" si="26"/>
        <v>15165</v>
      </c>
      <c r="X207" s="16">
        <f>IFERROR(INDEX(参数!$B$5:$B$7,MATCH($N207,参数!$A$5:$A$7,0)),"")</f>
        <v>1.25</v>
      </c>
      <c r="Y207" s="16">
        <f>IFERROR(INDEX(参数!$C$5:$C$7,MATCH($N207,参数!$A$5:$A$7,0)),"")</f>
        <v>1</v>
      </c>
      <c r="Z207" s="16">
        <f>IFERROR(INDEX(参数!$D$5:$D$7,MATCH($N207,参数!$A$5:$A$7,0)),"")</f>
        <v>1.25</v>
      </c>
      <c r="AA207" s="16">
        <f>IFERROR(INDEX(楼层配置!$E$5:$E$104,MATCH($K207,楼层配置!$B$5:$B$104,0)),1)</f>
        <v>1.1668186396599</v>
      </c>
      <c r="AB207" s="16">
        <f>IFERROR(INDEX(楼层配置!$F$5:$F$104,MATCH($K207,楼层配置!$B$5:$B$104,0)),1)</f>
        <v>0.668610159368872</v>
      </c>
      <c r="AC207" s="16">
        <f>IFERROR(INDEX(楼层配置!$G$5:$G$104,MATCH($K207,楼层配置!$B$5:$B$104,0)),1)</f>
        <v>1</v>
      </c>
      <c r="AD207" s="18">
        <f t="shared" si="27"/>
        <v>-0.0568516407295152</v>
      </c>
      <c r="AE207" s="18">
        <f t="shared" si="28"/>
        <v>-0.0623165310743941</v>
      </c>
      <c r="AF207" s="18">
        <f t="shared" si="29"/>
        <v>0.370742642273483</v>
      </c>
      <c r="AG207" s="16" t="str">
        <f t="shared" si="30"/>
        <v>有效</v>
      </c>
      <c r="AH207">
        <f t="shared" si="31"/>
        <v>1092750.52466667</v>
      </c>
    </row>
    <row r="208" ht="14.25" customHeight="1" spans="1:34">
      <c r="A208" s="16">
        <v>204</v>
      </c>
      <c r="B208" s="16">
        <v>1021</v>
      </c>
      <c r="C208" s="16">
        <v>30</v>
      </c>
      <c r="D208" s="17">
        <f>IFERROR(ROUND($U208*$X208*$AA208*参数!$B$13,0),"")</f>
        <v>488426</v>
      </c>
      <c r="E208" s="17">
        <f>IFERROR(ROUND($V208*$Y208*$AB208*参数!$C$13,0),"")</f>
        <v>13416</v>
      </c>
      <c r="F208" s="17">
        <f>IFERROR(ROUND($W208*$Z208*$AC208*参数!$D$13,0),"")</f>
        <v>15165</v>
      </c>
      <c r="G208" s="16">
        <v>517867</v>
      </c>
      <c r="H208" s="16">
        <v>14307</v>
      </c>
      <c r="I208" s="16">
        <v>11063</v>
      </c>
      <c r="J208" s="16">
        <v>41</v>
      </c>
      <c r="K208" s="16">
        <v>41</v>
      </c>
      <c r="L208" s="16">
        <f>IFERROR(INDEX(楼层配置!$D$5:$D$104,MATCH($K208,楼层配置!$B$5:$B$104,0)),"")</f>
        <v>164</v>
      </c>
      <c r="M208" s="16" t="str">
        <f>IFERROR(INDEX(_角色基线!$B$2:$B$100,MATCH($B208,_角色基线!$A$2:$A$100,0)),"")</f>
        <v>梅梅</v>
      </c>
      <c r="N208" s="16" t="str">
        <f>IFERROR(INDEX(_角色基线!$C$2:$C$100,MATCH($B208,_角色基线!$A$2:$A$100,0)),"")</f>
        <v>DPS</v>
      </c>
      <c r="O208" s="16">
        <f>IFERROR(INDEX(_怪物基线!$B$2:$B$501,MATCH(INT($L208),_怪物基线!$A$2:$A$501,0)),"")</f>
        <v>104649</v>
      </c>
      <c r="P208" s="16">
        <f>IFERROR(INDEX(_怪物基线!$C$2:$C$501,MATCH(INT($L208),_怪物基线!$A$2:$A$501,0)),"")</f>
        <v>13934</v>
      </c>
      <c r="Q208" s="16">
        <f>IFERROR(INDEX(_怪物基线!$D$2:$D$501,MATCH(INT($L208),_怪物基线!$A$2:$A$501,0)),"")</f>
        <v>15165</v>
      </c>
      <c r="R208" s="16">
        <f>参数!$B$10</f>
        <v>4</v>
      </c>
      <c r="S208" s="16">
        <f>参数!$C$10</f>
        <v>1.2</v>
      </c>
      <c r="T208" s="16">
        <f>参数!$D$10</f>
        <v>1</v>
      </c>
      <c r="U208" s="16">
        <f t="shared" si="24"/>
        <v>418596</v>
      </c>
      <c r="V208" s="16">
        <f t="shared" si="25"/>
        <v>16720.8</v>
      </c>
      <c r="W208" s="16">
        <f t="shared" si="26"/>
        <v>15165</v>
      </c>
      <c r="X208" s="16">
        <f>IFERROR(INDEX(参数!$B$5:$B$7,MATCH($N208,参数!$A$5:$A$7,0)),"")</f>
        <v>1</v>
      </c>
      <c r="Y208" s="16">
        <f>IFERROR(INDEX(参数!$C$5:$C$7,MATCH($N208,参数!$A$5:$A$7,0)),"")</f>
        <v>1.2</v>
      </c>
      <c r="Z208" s="16">
        <f>IFERROR(INDEX(参数!$D$5:$D$7,MATCH($N208,参数!$A$5:$A$7,0)),"")</f>
        <v>1</v>
      </c>
      <c r="AA208" s="16">
        <f>IFERROR(INDEX(楼层配置!$E$5:$E$104,MATCH($K208,楼层配置!$B$5:$B$104,0)),1)</f>
        <v>1.1668186396599</v>
      </c>
      <c r="AB208" s="16">
        <f>IFERROR(INDEX(楼层配置!$F$5:$F$104,MATCH($K208,楼层配置!$B$5:$B$104,0)),1)</f>
        <v>0.668610159368872</v>
      </c>
      <c r="AC208" s="16">
        <f>IFERROR(INDEX(楼层配置!$G$5:$G$104,MATCH($K208,楼层配置!$B$5:$B$104,0)),1)</f>
        <v>1</v>
      </c>
      <c r="AD208" s="18">
        <f t="shared" si="27"/>
        <v>-0.0568505040869567</v>
      </c>
      <c r="AE208" s="18">
        <f t="shared" si="28"/>
        <v>-0.0622772069616272</v>
      </c>
      <c r="AF208" s="18">
        <f t="shared" si="29"/>
        <v>0.370785501220284</v>
      </c>
      <c r="AG208" s="16" t="str">
        <f t="shared" si="30"/>
        <v>有效</v>
      </c>
      <c r="AH208">
        <f t="shared" si="31"/>
        <v>797050.17875</v>
      </c>
    </row>
    <row r="209" ht="14.25" customHeight="1" spans="1:34">
      <c r="A209" s="16">
        <v>205</v>
      </c>
      <c r="B209" s="16">
        <v>1015</v>
      </c>
      <c r="C209" s="16">
        <v>30</v>
      </c>
      <c r="D209" s="17">
        <f>IFERROR(ROUND($U209*$X209*$AA209*参数!$B$13,0),"")</f>
        <v>610532</v>
      </c>
      <c r="E209" s="17">
        <f>IFERROR(ROUND($V209*$Y209*$AB209*参数!$C$13,0),"")</f>
        <v>11180</v>
      </c>
      <c r="F209" s="17">
        <f>IFERROR(ROUND($W209*$Z209*$AC209*参数!$D$13,0),"")</f>
        <v>18956</v>
      </c>
      <c r="G209" s="16">
        <v>647334</v>
      </c>
      <c r="H209" s="16">
        <v>11923</v>
      </c>
      <c r="I209" s="16">
        <v>13829</v>
      </c>
      <c r="J209" s="16">
        <v>41</v>
      </c>
      <c r="K209" s="16">
        <v>41</v>
      </c>
      <c r="L209" s="16">
        <f>IFERROR(INDEX(楼层配置!$D$5:$D$104,MATCH($K209,楼层配置!$B$5:$B$104,0)),"")</f>
        <v>164</v>
      </c>
      <c r="M209" s="16" t="str">
        <f>IFERROR(INDEX(_角色基线!$B$2:$B$100,MATCH($B209,_角色基线!$A$2:$A$100,0)),"")</f>
        <v>阿莱克西娅</v>
      </c>
      <c r="N209" s="16" t="str">
        <f>IFERROR(INDEX(_角色基线!$C$2:$C$100,MATCH($B209,_角色基线!$A$2:$A$100,0)),"")</f>
        <v>Support</v>
      </c>
      <c r="O209" s="16">
        <f>IFERROR(INDEX(_怪物基线!$B$2:$B$501,MATCH(INT($L209),_怪物基线!$A$2:$A$501,0)),"")</f>
        <v>104649</v>
      </c>
      <c r="P209" s="16">
        <f>IFERROR(INDEX(_怪物基线!$C$2:$C$501,MATCH(INT($L209),_怪物基线!$A$2:$A$501,0)),"")</f>
        <v>13934</v>
      </c>
      <c r="Q209" s="16">
        <f>IFERROR(INDEX(_怪物基线!$D$2:$D$501,MATCH(INT($L209),_怪物基线!$A$2:$A$501,0)),"")</f>
        <v>15165</v>
      </c>
      <c r="R209" s="16">
        <f>参数!$B$10</f>
        <v>4</v>
      </c>
      <c r="S209" s="16">
        <f>参数!$C$10</f>
        <v>1.2</v>
      </c>
      <c r="T209" s="16">
        <f>参数!$D$10</f>
        <v>1</v>
      </c>
      <c r="U209" s="16">
        <f t="shared" si="24"/>
        <v>418596</v>
      </c>
      <c r="V209" s="16">
        <f t="shared" si="25"/>
        <v>16720.8</v>
      </c>
      <c r="W209" s="16">
        <f t="shared" si="26"/>
        <v>15165</v>
      </c>
      <c r="X209" s="16">
        <f>IFERROR(INDEX(参数!$B$5:$B$7,MATCH($N209,参数!$A$5:$A$7,0)),"")</f>
        <v>1.25</v>
      </c>
      <c r="Y209" s="16">
        <f>IFERROR(INDEX(参数!$C$5:$C$7,MATCH($N209,参数!$A$5:$A$7,0)),"")</f>
        <v>1</v>
      </c>
      <c r="Z209" s="16">
        <f>IFERROR(INDEX(参数!$D$5:$D$7,MATCH($N209,参数!$A$5:$A$7,0)),"")</f>
        <v>1.25</v>
      </c>
      <c r="AA209" s="16">
        <f>IFERROR(INDEX(楼层配置!$E$5:$E$104,MATCH($K209,楼层配置!$B$5:$B$104,0)),1)</f>
        <v>1.1668186396599</v>
      </c>
      <c r="AB209" s="16">
        <f>IFERROR(INDEX(楼层配置!$F$5:$F$104,MATCH($K209,楼层配置!$B$5:$B$104,0)),1)</f>
        <v>0.668610159368872</v>
      </c>
      <c r="AC209" s="16">
        <f>IFERROR(INDEX(楼层配置!$G$5:$G$104,MATCH($K209,楼层配置!$B$5:$B$104,0)),1)</f>
        <v>1</v>
      </c>
      <c r="AD209" s="18">
        <f t="shared" si="27"/>
        <v>-0.0568516407295152</v>
      </c>
      <c r="AE209" s="18">
        <f t="shared" si="28"/>
        <v>-0.0623165310743941</v>
      </c>
      <c r="AF209" s="18">
        <f t="shared" si="29"/>
        <v>0.370742642273483</v>
      </c>
      <c r="AG209" s="16" t="str">
        <f t="shared" si="30"/>
        <v>有效</v>
      </c>
      <c r="AH209">
        <f t="shared" si="31"/>
        <v>1092750.52466667</v>
      </c>
    </row>
    <row r="210" ht="14.25" customHeight="1" spans="1:34">
      <c r="A210" s="16">
        <v>206</v>
      </c>
      <c r="B210" s="16">
        <v>1002</v>
      </c>
      <c r="C210" s="16">
        <v>31</v>
      </c>
      <c r="D210" s="17">
        <f>IFERROR(ROUND($U210*$X210*$AA210*参数!$B$13,0),"")</f>
        <v>760695</v>
      </c>
      <c r="E210" s="17">
        <f>IFERROR(ROUND($V210*$Y210*$AB210*参数!$C$13,0),"")</f>
        <v>11515</v>
      </c>
      <c r="F210" s="17">
        <f>IFERROR(ROUND($W210*$Z210*$AC210*参数!$D$13,0),"")</f>
        <v>23250</v>
      </c>
      <c r="G210" s="16">
        <v>817329</v>
      </c>
      <c r="H210" s="16">
        <v>12328</v>
      </c>
      <c r="I210" s="16">
        <v>17062</v>
      </c>
      <c r="J210" s="16">
        <v>42</v>
      </c>
      <c r="K210" s="16">
        <v>42</v>
      </c>
      <c r="L210" s="16">
        <f>IFERROR(INDEX(楼层配置!$D$5:$D$104,MATCH($K210,楼层配置!$B$5:$B$104,0)),"")</f>
        <v>167</v>
      </c>
      <c r="M210" s="16" t="str">
        <f>IFERROR(INDEX(_角色基线!$B$2:$B$100,MATCH($B210,_角色基线!$A$2:$A$100,0)),"")</f>
        <v>大暑</v>
      </c>
      <c r="N210" s="16" t="str">
        <f>IFERROR(INDEX(_角色基线!$C$2:$C$100,MATCH($B210,_角色基线!$A$2:$A$100,0)),"")</f>
        <v>Tank</v>
      </c>
      <c r="O210" s="16">
        <f>IFERROR(INDEX(_怪物基线!$B$2:$B$501,MATCH(INT($L210),_怪物基线!$A$2:$A$501,0)),"")</f>
        <v>109048</v>
      </c>
      <c r="P210" s="16">
        <f>IFERROR(INDEX(_怪物基线!$C$2:$C$501,MATCH(INT($L210),_怪物基线!$A$2:$A$501,0)),"")</f>
        <v>14354</v>
      </c>
      <c r="Q210" s="16">
        <f>IFERROR(INDEX(_怪物基线!$D$2:$D$501,MATCH(INT($L210),_怪物基线!$A$2:$A$501,0)),"")</f>
        <v>15500</v>
      </c>
      <c r="R210" s="16">
        <f>参数!$B$10</f>
        <v>4</v>
      </c>
      <c r="S210" s="16">
        <f>参数!$C$10</f>
        <v>1.2</v>
      </c>
      <c r="T210" s="16">
        <f>参数!$D$10</f>
        <v>1</v>
      </c>
      <c r="U210" s="16">
        <f t="shared" si="24"/>
        <v>436192</v>
      </c>
      <c r="V210" s="16">
        <f t="shared" si="25"/>
        <v>17224.8</v>
      </c>
      <c r="W210" s="16">
        <f t="shared" si="26"/>
        <v>15500</v>
      </c>
      <c r="X210" s="16">
        <f>IFERROR(INDEX(参数!$B$5:$B$7,MATCH($N210,参数!$A$5:$A$7,0)),"")</f>
        <v>1.5</v>
      </c>
      <c r="Y210" s="16">
        <f>IFERROR(INDEX(参数!$C$5:$C$7,MATCH($N210,参数!$A$5:$A$7,0)),"")</f>
        <v>1</v>
      </c>
      <c r="Z210" s="16">
        <f>IFERROR(INDEX(参数!$D$5:$D$7,MATCH($N210,参数!$A$5:$A$7,0)),"")</f>
        <v>1.5</v>
      </c>
      <c r="AA210" s="16">
        <f>IFERROR(INDEX(楼层配置!$E$5:$E$104,MATCH($K210,楼层配置!$B$5:$B$104,0)),1)</f>
        <v>1.1626296034588</v>
      </c>
      <c r="AB210" s="16">
        <f>IFERROR(INDEX(楼层配置!$F$5:$F$104,MATCH($K210,楼层配置!$B$5:$B$104,0)),1)</f>
        <v>0.668485213188333</v>
      </c>
      <c r="AC210" s="16">
        <f>IFERROR(INDEX(楼层配置!$G$5:$G$104,MATCH($K210,楼层配置!$B$5:$B$104,0)),1)</f>
        <v>1</v>
      </c>
      <c r="AD210" s="18">
        <f t="shared" si="27"/>
        <v>-0.0692915582341994</v>
      </c>
      <c r="AE210" s="18">
        <f t="shared" si="28"/>
        <v>-0.0659474367293965</v>
      </c>
      <c r="AF210" s="18">
        <f t="shared" si="29"/>
        <v>0.362677294572735</v>
      </c>
      <c r="AG210" s="16" t="str">
        <f t="shared" si="30"/>
        <v>有效</v>
      </c>
      <c r="AH210">
        <f t="shared" si="31"/>
        <v>1497618.28125</v>
      </c>
    </row>
    <row r="211" ht="14.25" customHeight="1" spans="1:34">
      <c r="A211" s="16">
        <v>207</v>
      </c>
      <c r="B211" s="16">
        <v>1011</v>
      </c>
      <c r="C211" s="16">
        <v>31</v>
      </c>
      <c r="D211" s="17">
        <f>IFERROR(ROUND($U211*$X211*$AA211*参数!$B$13,0),"")</f>
        <v>633912</v>
      </c>
      <c r="E211" s="17">
        <f>IFERROR(ROUND($V211*$Y211*$AB211*参数!$C$13,0),"")</f>
        <v>11515</v>
      </c>
      <c r="F211" s="17">
        <f>IFERROR(ROUND($W211*$Z211*$AC211*参数!$D$13,0),"")</f>
        <v>19375</v>
      </c>
      <c r="G211" s="16">
        <v>681108</v>
      </c>
      <c r="H211" s="16">
        <v>12328</v>
      </c>
      <c r="I211" s="16">
        <v>14219</v>
      </c>
      <c r="J211" s="16">
        <v>42</v>
      </c>
      <c r="K211" s="16">
        <v>42</v>
      </c>
      <c r="L211" s="16">
        <f>IFERROR(INDEX(楼层配置!$D$5:$D$104,MATCH($K211,楼层配置!$B$5:$B$104,0)),"")</f>
        <v>167</v>
      </c>
      <c r="M211" s="16" t="str">
        <f>IFERROR(INDEX(_角色基线!$B$2:$B$100,MATCH($B211,_角色基线!$A$2:$A$100,0)),"")</f>
        <v>陈双双</v>
      </c>
      <c r="N211" s="16" t="str">
        <f>IFERROR(INDEX(_角色基线!$C$2:$C$100,MATCH($B211,_角色基线!$A$2:$A$100,0)),"")</f>
        <v>Support</v>
      </c>
      <c r="O211" s="16">
        <f>IFERROR(INDEX(_怪物基线!$B$2:$B$501,MATCH(INT($L211),_怪物基线!$A$2:$A$501,0)),"")</f>
        <v>109048</v>
      </c>
      <c r="P211" s="16">
        <f>IFERROR(INDEX(_怪物基线!$C$2:$C$501,MATCH(INT($L211),_怪物基线!$A$2:$A$501,0)),"")</f>
        <v>14354</v>
      </c>
      <c r="Q211" s="16">
        <f>IFERROR(INDEX(_怪物基线!$D$2:$D$501,MATCH(INT($L211),_怪物基线!$A$2:$A$501,0)),"")</f>
        <v>15500</v>
      </c>
      <c r="R211" s="16">
        <f>参数!$B$10</f>
        <v>4</v>
      </c>
      <c r="S211" s="16">
        <f>参数!$C$10</f>
        <v>1.2</v>
      </c>
      <c r="T211" s="16">
        <f>参数!$D$10</f>
        <v>1</v>
      </c>
      <c r="U211" s="16">
        <f t="shared" si="24"/>
        <v>436192</v>
      </c>
      <c r="V211" s="16">
        <f t="shared" si="25"/>
        <v>17224.8</v>
      </c>
      <c r="W211" s="16">
        <f t="shared" si="26"/>
        <v>15500</v>
      </c>
      <c r="X211" s="16">
        <f>IFERROR(INDEX(参数!$B$5:$B$7,MATCH($N211,参数!$A$5:$A$7,0)),"")</f>
        <v>1.25</v>
      </c>
      <c r="Y211" s="16">
        <f>IFERROR(INDEX(参数!$C$5:$C$7,MATCH($N211,参数!$A$5:$A$7,0)),"")</f>
        <v>1</v>
      </c>
      <c r="Z211" s="16">
        <f>IFERROR(INDEX(参数!$D$5:$D$7,MATCH($N211,参数!$A$5:$A$7,0)),"")</f>
        <v>1.25</v>
      </c>
      <c r="AA211" s="16">
        <f>IFERROR(INDEX(楼层配置!$E$5:$E$104,MATCH($K211,楼层配置!$B$5:$B$104,0)),1)</f>
        <v>1.1626296034588</v>
      </c>
      <c r="AB211" s="16">
        <f>IFERROR(INDEX(楼层配置!$F$5:$F$104,MATCH($K211,楼层配置!$B$5:$B$104,0)),1)</f>
        <v>0.668485213188333</v>
      </c>
      <c r="AC211" s="16">
        <f>IFERROR(INDEX(楼层配置!$G$5:$G$104,MATCH($K211,楼层配置!$B$5:$B$104,0)),1)</f>
        <v>1</v>
      </c>
      <c r="AD211" s="18">
        <f t="shared" si="27"/>
        <v>-0.0692929755633468</v>
      </c>
      <c r="AE211" s="18">
        <f t="shared" si="28"/>
        <v>-0.0659474367293965</v>
      </c>
      <c r="AF211" s="18">
        <f t="shared" si="29"/>
        <v>0.36261340459948</v>
      </c>
      <c r="AG211" s="16" t="str">
        <f t="shared" si="30"/>
        <v>有效</v>
      </c>
      <c r="AH211">
        <f t="shared" si="31"/>
        <v>1145663.875</v>
      </c>
    </row>
    <row r="212" ht="14.25" customHeight="1" spans="1:34">
      <c r="A212" s="16">
        <v>208</v>
      </c>
      <c r="B212" s="16">
        <v>1021</v>
      </c>
      <c r="C212" s="16">
        <v>31</v>
      </c>
      <c r="D212" s="17">
        <f>IFERROR(ROUND($U212*$X212*$AA212*参数!$B$13,0),"")</f>
        <v>507130</v>
      </c>
      <c r="E212" s="17">
        <f>IFERROR(ROUND($V212*$Y212*$AB212*参数!$C$13,0),"")</f>
        <v>13817</v>
      </c>
      <c r="F212" s="17">
        <f>IFERROR(ROUND($W212*$Z212*$AC212*参数!$D$13,0),"")</f>
        <v>15500</v>
      </c>
      <c r="G212" s="16">
        <v>544886</v>
      </c>
      <c r="H212" s="16">
        <v>14793</v>
      </c>
      <c r="I212" s="16">
        <v>11375</v>
      </c>
      <c r="J212" s="16">
        <v>42</v>
      </c>
      <c r="K212" s="16">
        <v>42</v>
      </c>
      <c r="L212" s="16">
        <f>IFERROR(INDEX(楼层配置!$D$5:$D$104,MATCH($K212,楼层配置!$B$5:$B$104,0)),"")</f>
        <v>167</v>
      </c>
      <c r="M212" s="16" t="str">
        <f>IFERROR(INDEX(_角色基线!$B$2:$B$100,MATCH($B212,_角色基线!$A$2:$A$100,0)),"")</f>
        <v>梅梅</v>
      </c>
      <c r="N212" s="16" t="str">
        <f>IFERROR(INDEX(_角色基线!$C$2:$C$100,MATCH($B212,_角色基线!$A$2:$A$100,0)),"")</f>
        <v>DPS</v>
      </c>
      <c r="O212" s="16">
        <f>IFERROR(INDEX(_怪物基线!$B$2:$B$501,MATCH(INT($L212),_怪物基线!$A$2:$A$501,0)),"")</f>
        <v>109048</v>
      </c>
      <c r="P212" s="16">
        <f>IFERROR(INDEX(_怪物基线!$C$2:$C$501,MATCH(INT($L212),_怪物基线!$A$2:$A$501,0)),"")</f>
        <v>14354</v>
      </c>
      <c r="Q212" s="16">
        <f>IFERROR(INDEX(_怪物基线!$D$2:$D$501,MATCH(INT($L212),_怪物基线!$A$2:$A$501,0)),"")</f>
        <v>15500</v>
      </c>
      <c r="R212" s="16">
        <f>参数!$B$10</f>
        <v>4</v>
      </c>
      <c r="S212" s="16">
        <f>参数!$C$10</f>
        <v>1.2</v>
      </c>
      <c r="T212" s="16">
        <f>参数!$D$10</f>
        <v>1</v>
      </c>
      <c r="U212" s="16">
        <f t="shared" si="24"/>
        <v>436192</v>
      </c>
      <c r="V212" s="16">
        <f t="shared" si="25"/>
        <v>17224.8</v>
      </c>
      <c r="W212" s="16">
        <f t="shared" si="26"/>
        <v>15500</v>
      </c>
      <c r="X212" s="16">
        <f>IFERROR(INDEX(参数!$B$5:$B$7,MATCH($N212,参数!$A$5:$A$7,0)),"")</f>
        <v>1</v>
      </c>
      <c r="Y212" s="16">
        <f>IFERROR(INDEX(参数!$C$5:$C$7,MATCH($N212,参数!$A$5:$A$7,0)),"")</f>
        <v>1.2</v>
      </c>
      <c r="Z212" s="16">
        <f>IFERROR(INDEX(参数!$D$5:$D$7,MATCH($N212,参数!$A$5:$A$7,0)),"")</f>
        <v>1</v>
      </c>
      <c r="AA212" s="16">
        <f>IFERROR(INDEX(楼层配置!$E$5:$E$104,MATCH($K212,楼层配置!$B$5:$B$104,0)),1)</f>
        <v>1.1626296034588</v>
      </c>
      <c r="AB212" s="16">
        <f>IFERROR(INDEX(楼层配置!$F$5:$F$104,MATCH($K212,楼层配置!$B$5:$B$104,0)),1)</f>
        <v>0.668485213188333</v>
      </c>
      <c r="AC212" s="16">
        <f>IFERROR(INDEX(楼层配置!$G$5:$G$104,MATCH($K212,楼层配置!$B$5:$B$104,0)),1)</f>
        <v>1</v>
      </c>
      <c r="AD212" s="18">
        <f t="shared" si="27"/>
        <v>-0.0692915582341994</v>
      </c>
      <c r="AE212" s="18">
        <f t="shared" si="28"/>
        <v>-0.0659771513553707</v>
      </c>
      <c r="AF212" s="18">
        <f t="shared" si="29"/>
        <v>0.362637362637363</v>
      </c>
      <c r="AG212" s="16" t="str">
        <f t="shared" si="30"/>
        <v>有效</v>
      </c>
      <c r="AH212">
        <f t="shared" si="31"/>
        <v>834651.458333333</v>
      </c>
    </row>
    <row r="213" ht="14.25" customHeight="1" spans="1:34">
      <c r="A213" s="16">
        <v>209</v>
      </c>
      <c r="B213" s="16">
        <v>1040</v>
      </c>
      <c r="C213" s="16">
        <v>31</v>
      </c>
      <c r="D213" s="17">
        <f>IFERROR(ROUND($U213*$X213*$AA213*参数!$B$13,0),"")</f>
        <v>633912</v>
      </c>
      <c r="E213" s="17">
        <f>IFERROR(ROUND($V213*$Y213*$AB213*参数!$C$13,0),"")</f>
        <v>11515</v>
      </c>
      <c r="F213" s="17">
        <f>IFERROR(ROUND($W213*$Z213*$AC213*参数!$D$13,0),"")</f>
        <v>19375</v>
      </c>
      <c r="G213" s="16">
        <v>681108</v>
      </c>
      <c r="H213" s="16">
        <v>12328</v>
      </c>
      <c r="I213" s="16">
        <v>14219</v>
      </c>
      <c r="J213" s="16">
        <v>42</v>
      </c>
      <c r="K213" s="16">
        <v>42</v>
      </c>
      <c r="L213" s="16">
        <f>IFERROR(INDEX(楼层配置!$D$5:$D$104,MATCH($K213,楼层配置!$B$5:$B$104,0)),"")</f>
        <v>167</v>
      </c>
      <c r="M213" s="16" t="str">
        <f>IFERROR(INDEX(_角色基线!$B$2:$B$100,MATCH($B213,_角色基线!$A$2:$A$100,0)),"")</f>
        <v>小寒</v>
      </c>
      <c r="N213" s="16" t="str">
        <f>IFERROR(INDEX(_角色基线!$C$2:$C$100,MATCH($B213,_角色基线!$A$2:$A$100,0)),"")</f>
        <v>Support</v>
      </c>
      <c r="O213" s="16">
        <f>IFERROR(INDEX(_怪物基线!$B$2:$B$501,MATCH(INT($L213),_怪物基线!$A$2:$A$501,0)),"")</f>
        <v>109048</v>
      </c>
      <c r="P213" s="16">
        <f>IFERROR(INDEX(_怪物基线!$C$2:$C$501,MATCH(INT($L213),_怪物基线!$A$2:$A$501,0)),"")</f>
        <v>14354</v>
      </c>
      <c r="Q213" s="16">
        <f>IFERROR(INDEX(_怪物基线!$D$2:$D$501,MATCH(INT($L213),_怪物基线!$A$2:$A$501,0)),"")</f>
        <v>15500</v>
      </c>
      <c r="R213" s="16">
        <f>参数!$B$10</f>
        <v>4</v>
      </c>
      <c r="S213" s="16">
        <f>参数!$C$10</f>
        <v>1.2</v>
      </c>
      <c r="T213" s="16">
        <f>参数!$D$10</f>
        <v>1</v>
      </c>
      <c r="U213" s="16">
        <f t="shared" si="24"/>
        <v>436192</v>
      </c>
      <c r="V213" s="16">
        <f t="shared" si="25"/>
        <v>17224.8</v>
      </c>
      <c r="W213" s="16">
        <f t="shared" si="26"/>
        <v>15500</v>
      </c>
      <c r="X213" s="16">
        <f>IFERROR(INDEX(参数!$B$5:$B$7,MATCH($N213,参数!$A$5:$A$7,0)),"")</f>
        <v>1.25</v>
      </c>
      <c r="Y213" s="16">
        <f>IFERROR(INDEX(参数!$C$5:$C$7,MATCH($N213,参数!$A$5:$A$7,0)),"")</f>
        <v>1</v>
      </c>
      <c r="Z213" s="16">
        <f>IFERROR(INDEX(参数!$D$5:$D$7,MATCH($N213,参数!$A$5:$A$7,0)),"")</f>
        <v>1.25</v>
      </c>
      <c r="AA213" s="16">
        <f>IFERROR(INDEX(楼层配置!$E$5:$E$104,MATCH($K213,楼层配置!$B$5:$B$104,0)),1)</f>
        <v>1.1626296034588</v>
      </c>
      <c r="AB213" s="16">
        <f>IFERROR(INDEX(楼层配置!$F$5:$F$104,MATCH($K213,楼层配置!$B$5:$B$104,0)),1)</f>
        <v>0.668485213188333</v>
      </c>
      <c r="AC213" s="16">
        <f>IFERROR(INDEX(楼层配置!$G$5:$G$104,MATCH($K213,楼层配置!$B$5:$B$104,0)),1)</f>
        <v>1</v>
      </c>
      <c r="AD213" s="18">
        <f t="shared" si="27"/>
        <v>-0.0692929755633468</v>
      </c>
      <c r="AE213" s="18">
        <f t="shared" si="28"/>
        <v>-0.0659474367293965</v>
      </c>
      <c r="AF213" s="18">
        <f t="shared" si="29"/>
        <v>0.36261340459948</v>
      </c>
      <c r="AG213" s="16" t="str">
        <f t="shared" si="30"/>
        <v>有效</v>
      </c>
      <c r="AH213">
        <f t="shared" si="31"/>
        <v>1145663.875</v>
      </c>
    </row>
    <row r="214" ht="14.25" customHeight="1" spans="1:34">
      <c r="A214" s="16">
        <v>210</v>
      </c>
      <c r="B214" s="16">
        <v>1012</v>
      </c>
      <c r="C214" s="16">
        <v>31</v>
      </c>
      <c r="D214" s="17">
        <f>IFERROR(ROUND($U214*$X214*$AA214*参数!$B$13,0),"")</f>
        <v>633912</v>
      </c>
      <c r="E214" s="17">
        <f>IFERROR(ROUND($V214*$Y214*$AB214*参数!$C$13,0),"")</f>
        <v>11515</v>
      </c>
      <c r="F214" s="17">
        <f>IFERROR(ROUND($W214*$Z214*$AC214*参数!$D$13,0),"")</f>
        <v>19375</v>
      </c>
      <c r="G214" s="16">
        <v>681108</v>
      </c>
      <c r="H214" s="16">
        <v>12328</v>
      </c>
      <c r="I214" s="16">
        <v>14219</v>
      </c>
      <c r="J214" s="16">
        <v>42</v>
      </c>
      <c r="K214" s="16">
        <v>42</v>
      </c>
      <c r="L214" s="16">
        <f>IFERROR(INDEX(楼层配置!$D$5:$D$104,MATCH($K214,楼层配置!$B$5:$B$104,0)),"")</f>
        <v>167</v>
      </c>
      <c r="M214" s="16" t="str">
        <f>IFERROR(INDEX(_角色基线!$B$2:$B$100,MATCH($B214,_角色基线!$A$2:$A$100,0)),"")</f>
        <v>艾德琳</v>
      </c>
      <c r="N214" s="16" t="str">
        <f>IFERROR(INDEX(_角色基线!$C$2:$C$100,MATCH($B214,_角色基线!$A$2:$A$100,0)),"")</f>
        <v>Support</v>
      </c>
      <c r="O214" s="16">
        <f>IFERROR(INDEX(_怪物基线!$B$2:$B$501,MATCH(INT($L214),_怪物基线!$A$2:$A$501,0)),"")</f>
        <v>109048</v>
      </c>
      <c r="P214" s="16">
        <f>IFERROR(INDEX(_怪物基线!$C$2:$C$501,MATCH(INT($L214),_怪物基线!$A$2:$A$501,0)),"")</f>
        <v>14354</v>
      </c>
      <c r="Q214" s="16">
        <f>IFERROR(INDEX(_怪物基线!$D$2:$D$501,MATCH(INT($L214),_怪物基线!$A$2:$A$501,0)),"")</f>
        <v>15500</v>
      </c>
      <c r="R214" s="16">
        <f>参数!$B$10</f>
        <v>4</v>
      </c>
      <c r="S214" s="16">
        <f>参数!$C$10</f>
        <v>1.2</v>
      </c>
      <c r="T214" s="16">
        <f>参数!$D$10</f>
        <v>1</v>
      </c>
      <c r="U214" s="16">
        <f t="shared" si="24"/>
        <v>436192</v>
      </c>
      <c r="V214" s="16">
        <f t="shared" si="25"/>
        <v>17224.8</v>
      </c>
      <c r="W214" s="16">
        <f t="shared" si="26"/>
        <v>15500</v>
      </c>
      <c r="X214" s="16">
        <f>IFERROR(INDEX(参数!$B$5:$B$7,MATCH($N214,参数!$A$5:$A$7,0)),"")</f>
        <v>1.25</v>
      </c>
      <c r="Y214" s="16">
        <f>IFERROR(INDEX(参数!$C$5:$C$7,MATCH($N214,参数!$A$5:$A$7,0)),"")</f>
        <v>1</v>
      </c>
      <c r="Z214" s="16">
        <f>IFERROR(INDEX(参数!$D$5:$D$7,MATCH($N214,参数!$A$5:$A$7,0)),"")</f>
        <v>1.25</v>
      </c>
      <c r="AA214" s="16">
        <f>IFERROR(INDEX(楼层配置!$E$5:$E$104,MATCH($K214,楼层配置!$B$5:$B$104,0)),1)</f>
        <v>1.1626296034588</v>
      </c>
      <c r="AB214" s="16">
        <f>IFERROR(INDEX(楼层配置!$F$5:$F$104,MATCH($K214,楼层配置!$B$5:$B$104,0)),1)</f>
        <v>0.668485213188333</v>
      </c>
      <c r="AC214" s="16">
        <f>IFERROR(INDEX(楼层配置!$G$5:$G$104,MATCH($K214,楼层配置!$B$5:$B$104,0)),1)</f>
        <v>1</v>
      </c>
      <c r="AD214" s="18">
        <f t="shared" si="27"/>
        <v>-0.0692929755633468</v>
      </c>
      <c r="AE214" s="18">
        <f t="shared" si="28"/>
        <v>-0.0659474367293965</v>
      </c>
      <c r="AF214" s="18">
        <f t="shared" si="29"/>
        <v>0.36261340459948</v>
      </c>
      <c r="AG214" s="16" t="str">
        <f t="shared" si="30"/>
        <v>有效</v>
      </c>
      <c r="AH214">
        <f t="shared" si="31"/>
        <v>1145663.875</v>
      </c>
    </row>
    <row r="215" ht="14.25" customHeight="1" spans="1:34">
      <c r="A215" s="16">
        <v>211</v>
      </c>
      <c r="B215" s="16">
        <v>1002</v>
      </c>
      <c r="C215" s="16">
        <v>31</v>
      </c>
      <c r="D215" s="17">
        <f>IFERROR(ROUND($U215*$X215*$AA215*参数!$B$13,0),"")</f>
        <v>799177</v>
      </c>
      <c r="E215" s="17">
        <f>IFERROR(ROUND($V215*$Y215*$AB215*参数!$C$13,0),"")</f>
        <v>11930</v>
      </c>
      <c r="F215" s="17">
        <f>IFERROR(ROUND($W215*$Z215*$AC215*参数!$D$13,0),"")</f>
        <v>23924</v>
      </c>
      <c r="G215" s="16">
        <v>859320</v>
      </c>
      <c r="H215" s="16">
        <v>12740</v>
      </c>
      <c r="I215" s="16">
        <v>17534</v>
      </c>
      <c r="J215" s="16">
        <v>43</v>
      </c>
      <c r="K215" s="16">
        <v>43</v>
      </c>
      <c r="L215" s="16">
        <f>IFERROR(INDEX(楼层配置!$D$5:$D$104,MATCH($K215,楼层配置!$B$5:$B$104,0)),"")</f>
        <v>171</v>
      </c>
      <c r="M215" s="16" t="str">
        <f>IFERROR(INDEX(_角色基线!$B$2:$B$100,MATCH($B215,_角色基线!$A$2:$A$100,0)),"")</f>
        <v>大暑</v>
      </c>
      <c r="N215" s="16" t="str">
        <f>IFERROR(INDEX(_角色基线!$C$2:$C$100,MATCH($B215,_角色基线!$A$2:$A$100,0)),"")</f>
        <v>Tank</v>
      </c>
      <c r="O215" s="16">
        <f>IFERROR(INDEX(_怪物基线!$B$2:$B$501,MATCH(INT($L215),_怪物基线!$A$2:$A$501,0)),"")</f>
        <v>115120</v>
      </c>
      <c r="P215" s="16">
        <f>IFERROR(INDEX(_怪物基线!$C$2:$C$501,MATCH(INT($L215),_怪物基线!$A$2:$A$501,0)),"")</f>
        <v>14926</v>
      </c>
      <c r="Q215" s="16">
        <f>IFERROR(INDEX(_怪物基线!$D$2:$D$501,MATCH(INT($L215),_怪物基线!$A$2:$A$501,0)),"")</f>
        <v>15949</v>
      </c>
      <c r="R215" s="16">
        <f>参数!$B$10</f>
        <v>4</v>
      </c>
      <c r="S215" s="16">
        <f>参数!$C$10</f>
        <v>1.2</v>
      </c>
      <c r="T215" s="16">
        <f>参数!$D$10</f>
        <v>1</v>
      </c>
      <c r="U215" s="16">
        <f t="shared" si="24"/>
        <v>460480</v>
      </c>
      <c r="V215" s="16">
        <f t="shared" si="25"/>
        <v>17911.2</v>
      </c>
      <c r="W215" s="16">
        <f t="shared" si="26"/>
        <v>15949</v>
      </c>
      <c r="X215" s="16">
        <f>IFERROR(INDEX(参数!$B$5:$B$7,MATCH($N215,参数!$A$5:$A$7,0)),"")</f>
        <v>1.5</v>
      </c>
      <c r="Y215" s="16">
        <f>IFERROR(INDEX(参数!$C$5:$C$7,MATCH($N215,参数!$A$5:$A$7,0)),"")</f>
        <v>1</v>
      </c>
      <c r="Z215" s="16">
        <f>IFERROR(INDEX(参数!$D$5:$D$7,MATCH($N215,参数!$A$5:$A$7,0)),"")</f>
        <v>1.5</v>
      </c>
      <c r="AA215" s="16">
        <f>IFERROR(INDEX(楼层配置!$E$5:$E$104,MATCH($K215,楼层配置!$B$5:$B$104,0)),1)</f>
        <v>1.15701985376253</v>
      </c>
      <c r="AB215" s="16">
        <f>IFERROR(INDEX(楼层配置!$F$5:$F$104,MATCH($K215,楼层配置!$B$5:$B$104,0)),1)</f>
        <v>0.666077166265881</v>
      </c>
      <c r="AC215" s="16">
        <f>IFERROR(INDEX(楼层配置!$G$5:$G$104,MATCH($K215,楼层配置!$B$5:$B$104,0)),1)</f>
        <v>1</v>
      </c>
      <c r="AD215" s="18">
        <f t="shared" si="27"/>
        <v>-0.0699890611180933</v>
      </c>
      <c r="AE215" s="18">
        <f t="shared" si="28"/>
        <v>-0.0635792778649922</v>
      </c>
      <c r="AF215" s="18">
        <f t="shared" si="29"/>
        <v>0.364434812364549</v>
      </c>
      <c r="AG215" s="16" t="str">
        <f t="shared" si="30"/>
        <v>有效</v>
      </c>
      <c r="AH215">
        <f t="shared" si="31"/>
        <v>1595823.27283333</v>
      </c>
    </row>
    <row r="216" ht="14.25" customHeight="1" spans="1:34">
      <c r="A216" s="16">
        <v>212</v>
      </c>
      <c r="B216" s="16">
        <v>1030</v>
      </c>
      <c r="C216" s="16">
        <v>31</v>
      </c>
      <c r="D216" s="17">
        <f>IFERROR(ROUND($U216*$X216*$AA216*参数!$B$13,0),"")</f>
        <v>799177</v>
      </c>
      <c r="E216" s="17">
        <f>IFERROR(ROUND($V216*$Y216*$AB216*参数!$C$13,0),"")</f>
        <v>11930</v>
      </c>
      <c r="F216" s="17">
        <f>IFERROR(ROUND($W216*$Z216*$AC216*参数!$D$13,0),"")</f>
        <v>23924</v>
      </c>
      <c r="G216" s="16">
        <v>859320</v>
      </c>
      <c r="H216" s="16">
        <v>12740</v>
      </c>
      <c r="I216" s="16">
        <v>17534</v>
      </c>
      <c r="J216" s="16">
        <v>43</v>
      </c>
      <c r="K216" s="16">
        <v>43</v>
      </c>
      <c r="L216" s="16">
        <f>IFERROR(INDEX(楼层配置!$D$5:$D$104,MATCH($K216,楼层配置!$B$5:$B$104,0)),"")</f>
        <v>171</v>
      </c>
      <c r="M216" s="16" t="str">
        <f>IFERROR(INDEX(_角色基线!$B$2:$B$100,MATCH($B216,_角色基线!$A$2:$A$100,0)),"")</f>
        <v>莫莉</v>
      </c>
      <c r="N216" s="16" t="str">
        <f>IFERROR(INDEX(_角色基线!$C$2:$C$100,MATCH($B216,_角色基线!$A$2:$A$100,0)),"")</f>
        <v>Tank</v>
      </c>
      <c r="O216" s="16">
        <f>IFERROR(INDEX(_怪物基线!$B$2:$B$501,MATCH(INT($L216),_怪物基线!$A$2:$A$501,0)),"")</f>
        <v>115120</v>
      </c>
      <c r="P216" s="16">
        <f>IFERROR(INDEX(_怪物基线!$C$2:$C$501,MATCH(INT($L216),_怪物基线!$A$2:$A$501,0)),"")</f>
        <v>14926</v>
      </c>
      <c r="Q216" s="16">
        <f>IFERROR(INDEX(_怪物基线!$D$2:$D$501,MATCH(INT($L216),_怪物基线!$A$2:$A$501,0)),"")</f>
        <v>15949</v>
      </c>
      <c r="R216" s="16">
        <f>参数!$B$10</f>
        <v>4</v>
      </c>
      <c r="S216" s="16">
        <f>参数!$C$10</f>
        <v>1.2</v>
      </c>
      <c r="T216" s="16">
        <f>参数!$D$10</f>
        <v>1</v>
      </c>
      <c r="U216" s="16">
        <f t="shared" si="24"/>
        <v>460480</v>
      </c>
      <c r="V216" s="16">
        <f t="shared" si="25"/>
        <v>17911.2</v>
      </c>
      <c r="W216" s="16">
        <f t="shared" si="26"/>
        <v>15949</v>
      </c>
      <c r="X216" s="16">
        <f>IFERROR(INDEX(参数!$B$5:$B$7,MATCH($N216,参数!$A$5:$A$7,0)),"")</f>
        <v>1.5</v>
      </c>
      <c r="Y216" s="16">
        <f>IFERROR(INDEX(参数!$C$5:$C$7,MATCH($N216,参数!$A$5:$A$7,0)),"")</f>
        <v>1</v>
      </c>
      <c r="Z216" s="16">
        <f>IFERROR(INDEX(参数!$D$5:$D$7,MATCH($N216,参数!$A$5:$A$7,0)),"")</f>
        <v>1.5</v>
      </c>
      <c r="AA216" s="16">
        <f>IFERROR(INDEX(楼层配置!$E$5:$E$104,MATCH($K216,楼层配置!$B$5:$B$104,0)),1)</f>
        <v>1.15701985376253</v>
      </c>
      <c r="AB216" s="16">
        <f>IFERROR(INDEX(楼层配置!$F$5:$F$104,MATCH($K216,楼层配置!$B$5:$B$104,0)),1)</f>
        <v>0.666077166265881</v>
      </c>
      <c r="AC216" s="16">
        <f>IFERROR(INDEX(楼层配置!$G$5:$G$104,MATCH($K216,楼层配置!$B$5:$B$104,0)),1)</f>
        <v>1</v>
      </c>
      <c r="AD216" s="18">
        <f t="shared" si="27"/>
        <v>-0.0699890611180933</v>
      </c>
      <c r="AE216" s="18">
        <f t="shared" si="28"/>
        <v>-0.0635792778649922</v>
      </c>
      <c r="AF216" s="18">
        <f t="shared" si="29"/>
        <v>0.364434812364549</v>
      </c>
      <c r="AG216" s="16" t="str">
        <f t="shared" si="30"/>
        <v>有效</v>
      </c>
      <c r="AH216">
        <f t="shared" si="31"/>
        <v>1595823.27283333</v>
      </c>
    </row>
    <row r="217" ht="14.25" customHeight="1" spans="1:34">
      <c r="A217" s="16">
        <v>213</v>
      </c>
      <c r="B217" s="16">
        <v>1015</v>
      </c>
      <c r="C217" s="16">
        <v>31</v>
      </c>
      <c r="D217" s="17">
        <f>IFERROR(ROUND($U217*$X217*$AA217*参数!$B$13,0),"")</f>
        <v>665981</v>
      </c>
      <c r="E217" s="17">
        <f>IFERROR(ROUND($V217*$Y217*$AB217*参数!$C$13,0),"")</f>
        <v>11930</v>
      </c>
      <c r="F217" s="17">
        <f>IFERROR(ROUND($W217*$Z217*$AC217*参数!$D$13,0),"")</f>
        <v>19936</v>
      </c>
      <c r="G217" s="16">
        <v>716100</v>
      </c>
      <c r="H217" s="16">
        <v>12740</v>
      </c>
      <c r="I217" s="16">
        <v>14612</v>
      </c>
      <c r="J217" s="16">
        <v>43</v>
      </c>
      <c r="K217" s="16">
        <v>43</v>
      </c>
      <c r="L217" s="16">
        <f>IFERROR(INDEX(楼层配置!$D$5:$D$104,MATCH($K217,楼层配置!$B$5:$B$104,0)),"")</f>
        <v>171</v>
      </c>
      <c r="M217" s="16" t="str">
        <f>IFERROR(INDEX(_角色基线!$B$2:$B$100,MATCH($B217,_角色基线!$A$2:$A$100,0)),"")</f>
        <v>阿莱克西娅</v>
      </c>
      <c r="N217" s="16" t="str">
        <f>IFERROR(INDEX(_角色基线!$C$2:$C$100,MATCH($B217,_角色基线!$A$2:$A$100,0)),"")</f>
        <v>Support</v>
      </c>
      <c r="O217" s="16">
        <f>IFERROR(INDEX(_怪物基线!$B$2:$B$501,MATCH(INT($L217),_怪物基线!$A$2:$A$501,0)),"")</f>
        <v>115120</v>
      </c>
      <c r="P217" s="16">
        <f>IFERROR(INDEX(_怪物基线!$C$2:$C$501,MATCH(INT($L217),_怪物基线!$A$2:$A$501,0)),"")</f>
        <v>14926</v>
      </c>
      <c r="Q217" s="16">
        <f>IFERROR(INDEX(_怪物基线!$D$2:$D$501,MATCH(INT($L217),_怪物基线!$A$2:$A$501,0)),"")</f>
        <v>15949</v>
      </c>
      <c r="R217" s="16">
        <f>参数!$B$10</f>
        <v>4</v>
      </c>
      <c r="S217" s="16">
        <f>参数!$C$10</f>
        <v>1.2</v>
      </c>
      <c r="T217" s="16">
        <f>参数!$D$10</f>
        <v>1</v>
      </c>
      <c r="U217" s="16">
        <f t="shared" si="24"/>
        <v>460480</v>
      </c>
      <c r="V217" s="16">
        <f t="shared" si="25"/>
        <v>17911.2</v>
      </c>
      <c r="W217" s="16">
        <f t="shared" si="26"/>
        <v>15949</v>
      </c>
      <c r="X217" s="16">
        <f>IFERROR(INDEX(参数!$B$5:$B$7,MATCH($N217,参数!$A$5:$A$7,0)),"")</f>
        <v>1.25</v>
      </c>
      <c r="Y217" s="16">
        <f>IFERROR(INDEX(参数!$C$5:$C$7,MATCH($N217,参数!$A$5:$A$7,0)),"")</f>
        <v>1</v>
      </c>
      <c r="Z217" s="16">
        <f>IFERROR(INDEX(参数!$D$5:$D$7,MATCH($N217,参数!$A$5:$A$7,0)),"")</f>
        <v>1.25</v>
      </c>
      <c r="AA217" s="16">
        <f>IFERROR(INDEX(楼层配置!$E$5:$E$104,MATCH($K217,楼层配置!$B$5:$B$104,0)),1)</f>
        <v>1.15701985376253</v>
      </c>
      <c r="AB217" s="16">
        <f>IFERROR(INDEX(楼层配置!$F$5:$F$104,MATCH($K217,楼层配置!$B$5:$B$104,0)),1)</f>
        <v>0.666077166265881</v>
      </c>
      <c r="AC217" s="16">
        <f>IFERROR(INDEX(楼层配置!$G$5:$G$104,MATCH($K217,楼层配置!$B$5:$B$104,0)),1)</f>
        <v>1</v>
      </c>
      <c r="AD217" s="18">
        <f t="shared" si="27"/>
        <v>-0.0699888283759251</v>
      </c>
      <c r="AE217" s="18">
        <f t="shared" si="28"/>
        <v>-0.0635792778649922</v>
      </c>
      <c r="AF217" s="18">
        <f t="shared" si="29"/>
        <v>0.364358061866959</v>
      </c>
      <c r="AG217" s="16" t="str">
        <f t="shared" si="30"/>
        <v>有效</v>
      </c>
      <c r="AH217">
        <f t="shared" si="31"/>
        <v>1219189.21733333</v>
      </c>
    </row>
    <row r="218" ht="14.25" customHeight="1" spans="1:34">
      <c r="A218" s="16">
        <v>214</v>
      </c>
      <c r="B218" s="16">
        <v>1026</v>
      </c>
      <c r="C218" s="16">
        <v>31</v>
      </c>
      <c r="D218" s="17">
        <f>IFERROR(ROUND($U218*$X218*$AA218*参数!$B$13,0),"")</f>
        <v>532785</v>
      </c>
      <c r="E218" s="17">
        <f>IFERROR(ROUND($V218*$Y218*$AB218*参数!$C$13,0),"")</f>
        <v>14316</v>
      </c>
      <c r="F218" s="17">
        <f>IFERROR(ROUND($W218*$Z218*$AC218*参数!$D$13,0),"")</f>
        <v>15949</v>
      </c>
      <c r="G218" s="16">
        <v>572880</v>
      </c>
      <c r="H218" s="16">
        <v>15288</v>
      </c>
      <c r="I218" s="16">
        <v>11689</v>
      </c>
      <c r="J218" s="16">
        <v>43</v>
      </c>
      <c r="K218" s="16">
        <v>43</v>
      </c>
      <c r="L218" s="16">
        <f>IFERROR(INDEX(楼层配置!$D$5:$D$104,MATCH($K218,楼层配置!$B$5:$B$104,0)),"")</f>
        <v>171</v>
      </c>
      <c r="M218" s="16" t="str">
        <f>IFERROR(INDEX(_角色基线!$B$2:$B$100,MATCH($B218,_角色基线!$A$2:$A$100,0)),"")</f>
        <v>乔一</v>
      </c>
      <c r="N218" s="16" t="str">
        <f>IFERROR(INDEX(_角色基线!$C$2:$C$100,MATCH($B218,_角色基线!$A$2:$A$100,0)),"")</f>
        <v>DPS</v>
      </c>
      <c r="O218" s="16">
        <f>IFERROR(INDEX(_怪物基线!$B$2:$B$501,MATCH(INT($L218),_怪物基线!$A$2:$A$501,0)),"")</f>
        <v>115120</v>
      </c>
      <c r="P218" s="16">
        <f>IFERROR(INDEX(_怪物基线!$C$2:$C$501,MATCH(INT($L218),_怪物基线!$A$2:$A$501,0)),"")</f>
        <v>14926</v>
      </c>
      <c r="Q218" s="16">
        <f>IFERROR(INDEX(_怪物基线!$D$2:$D$501,MATCH(INT($L218),_怪物基线!$A$2:$A$501,0)),"")</f>
        <v>15949</v>
      </c>
      <c r="R218" s="16">
        <f>参数!$B$10</f>
        <v>4</v>
      </c>
      <c r="S218" s="16">
        <f>参数!$C$10</f>
        <v>1.2</v>
      </c>
      <c r="T218" s="16">
        <f>参数!$D$10</f>
        <v>1</v>
      </c>
      <c r="U218" s="16">
        <f t="shared" si="24"/>
        <v>460480</v>
      </c>
      <c r="V218" s="16">
        <f t="shared" si="25"/>
        <v>17911.2</v>
      </c>
      <c r="W218" s="16">
        <f t="shared" si="26"/>
        <v>15949</v>
      </c>
      <c r="X218" s="16">
        <f>IFERROR(INDEX(参数!$B$5:$B$7,MATCH($N218,参数!$A$5:$A$7,0)),"")</f>
        <v>1</v>
      </c>
      <c r="Y218" s="16">
        <f>IFERROR(INDEX(参数!$C$5:$C$7,MATCH($N218,参数!$A$5:$A$7,0)),"")</f>
        <v>1.2</v>
      </c>
      <c r="Z218" s="16">
        <f>IFERROR(INDEX(参数!$D$5:$D$7,MATCH($N218,参数!$A$5:$A$7,0)),"")</f>
        <v>1</v>
      </c>
      <c r="AA218" s="16">
        <f>IFERROR(INDEX(楼层配置!$E$5:$E$104,MATCH($K218,楼层配置!$B$5:$B$104,0)),1)</f>
        <v>1.15701985376253</v>
      </c>
      <c r="AB218" s="16">
        <f>IFERROR(INDEX(楼层配置!$F$5:$F$104,MATCH($K218,楼层配置!$B$5:$B$104,0)),1)</f>
        <v>0.666077166265881</v>
      </c>
      <c r="AC218" s="16">
        <f>IFERROR(INDEX(楼层配置!$G$5:$G$104,MATCH($K218,楼层配置!$B$5:$B$104,0)),1)</f>
        <v>1</v>
      </c>
      <c r="AD218" s="18">
        <f t="shared" si="27"/>
        <v>-0.0699884792626728</v>
      </c>
      <c r="AE218" s="18">
        <f t="shared" si="28"/>
        <v>-0.0635792778649922</v>
      </c>
      <c r="AF218" s="18">
        <f t="shared" si="29"/>
        <v>0.36444520489349</v>
      </c>
      <c r="AG218" s="16" t="str">
        <f t="shared" si="30"/>
        <v>有效</v>
      </c>
      <c r="AH218">
        <f t="shared" si="31"/>
        <v>886842.831875</v>
      </c>
    </row>
    <row r="219" ht="14.25" customHeight="1" spans="1:34">
      <c r="A219" s="16">
        <v>215</v>
      </c>
      <c r="B219" s="16">
        <v>1020</v>
      </c>
      <c r="C219" s="16">
        <v>31</v>
      </c>
      <c r="D219" s="17">
        <f>IFERROR(ROUND($U219*$X219*$AA219*参数!$B$13,0),"")</f>
        <v>665981</v>
      </c>
      <c r="E219" s="17">
        <f>IFERROR(ROUND($V219*$Y219*$AB219*参数!$C$13,0),"")</f>
        <v>11930</v>
      </c>
      <c r="F219" s="17">
        <f>IFERROR(ROUND($W219*$Z219*$AC219*参数!$D$13,0),"")</f>
        <v>19936</v>
      </c>
      <c r="G219" s="16">
        <v>716100</v>
      </c>
      <c r="H219" s="16">
        <v>12740</v>
      </c>
      <c r="I219" s="16">
        <v>14612</v>
      </c>
      <c r="J219" s="16">
        <v>43</v>
      </c>
      <c r="K219" s="16">
        <v>43</v>
      </c>
      <c r="L219" s="16">
        <f>IFERROR(INDEX(楼层配置!$D$5:$D$104,MATCH($K219,楼层配置!$B$5:$B$104,0)),"")</f>
        <v>171</v>
      </c>
      <c r="M219" s="16" t="str">
        <f>IFERROR(INDEX(_角色基线!$B$2:$B$100,MATCH($B219,_角色基线!$A$2:$A$100,0)),"")</f>
        <v>卡斯帕</v>
      </c>
      <c r="N219" s="16" t="str">
        <f>IFERROR(INDEX(_角色基线!$C$2:$C$100,MATCH($B219,_角色基线!$A$2:$A$100,0)),"")</f>
        <v>Support</v>
      </c>
      <c r="O219" s="16">
        <f>IFERROR(INDEX(_怪物基线!$B$2:$B$501,MATCH(INT($L219),_怪物基线!$A$2:$A$501,0)),"")</f>
        <v>115120</v>
      </c>
      <c r="P219" s="16">
        <f>IFERROR(INDEX(_怪物基线!$C$2:$C$501,MATCH(INT($L219),_怪物基线!$A$2:$A$501,0)),"")</f>
        <v>14926</v>
      </c>
      <c r="Q219" s="16">
        <f>IFERROR(INDEX(_怪物基线!$D$2:$D$501,MATCH(INT($L219),_怪物基线!$A$2:$A$501,0)),"")</f>
        <v>15949</v>
      </c>
      <c r="R219" s="16">
        <f>参数!$B$10</f>
        <v>4</v>
      </c>
      <c r="S219" s="16">
        <f>参数!$C$10</f>
        <v>1.2</v>
      </c>
      <c r="T219" s="16">
        <f>参数!$D$10</f>
        <v>1</v>
      </c>
      <c r="U219" s="16">
        <f t="shared" si="24"/>
        <v>460480</v>
      </c>
      <c r="V219" s="16">
        <f t="shared" si="25"/>
        <v>17911.2</v>
      </c>
      <c r="W219" s="16">
        <f t="shared" si="26"/>
        <v>15949</v>
      </c>
      <c r="X219" s="16">
        <f>IFERROR(INDEX(参数!$B$5:$B$7,MATCH($N219,参数!$A$5:$A$7,0)),"")</f>
        <v>1.25</v>
      </c>
      <c r="Y219" s="16">
        <f>IFERROR(INDEX(参数!$C$5:$C$7,MATCH($N219,参数!$A$5:$A$7,0)),"")</f>
        <v>1</v>
      </c>
      <c r="Z219" s="16">
        <f>IFERROR(INDEX(参数!$D$5:$D$7,MATCH($N219,参数!$A$5:$A$7,0)),"")</f>
        <v>1.25</v>
      </c>
      <c r="AA219" s="16">
        <f>IFERROR(INDEX(楼层配置!$E$5:$E$104,MATCH($K219,楼层配置!$B$5:$B$104,0)),1)</f>
        <v>1.15701985376253</v>
      </c>
      <c r="AB219" s="16">
        <f>IFERROR(INDEX(楼层配置!$F$5:$F$104,MATCH($K219,楼层配置!$B$5:$B$104,0)),1)</f>
        <v>0.666077166265881</v>
      </c>
      <c r="AC219" s="16">
        <f>IFERROR(INDEX(楼层配置!$G$5:$G$104,MATCH($K219,楼层配置!$B$5:$B$104,0)),1)</f>
        <v>1</v>
      </c>
      <c r="AD219" s="18">
        <f t="shared" si="27"/>
        <v>-0.0699888283759251</v>
      </c>
      <c r="AE219" s="18">
        <f t="shared" si="28"/>
        <v>-0.0635792778649922</v>
      </c>
      <c r="AF219" s="18">
        <f t="shared" si="29"/>
        <v>0.364358061866959</v>
      </c>
      <c r="AG219" s="16" t="str">
        <f t="shared" si="30"/>
        <v>有效</v>
      </c>
      <c r="AH219">
        <f t="shared" si="31"/>
        <v>1219189.21733333</v>
      </c>
    </row>
    <row r="220" ht="14.25" customHeight="1" spans="1:34">
      <c r="A220" s="16">
        <v>216</v>
      </c>
      <c r="B220" s="16">
        <v>1030</v>
      </c>
      <c r="C220" s="16">
        <v>32</v>
      </c>
      <c r="D220" s="17">
        <f>IFERROR(ROUND($U220*$X220*$AA220*参数!$B$13,0),"")</f>
        <v>838962</v>
      </c>
      <c r="E220" s="17">
        <f>IFERROR(ROUND($V220*$Y220*$AB220*参数!$C$13,0),"")</f>
        <v>12360</v>
      </c>
      <c r="F220" s="17">
        <f>IFERROR(ROUND($W220*$Z220*$AC220*参数!$D$13,0),"")</f>
        <v>24432</v>
      </c>
      <c r="G220" s="16">
        <v>902822</v>
      </c>
      <c r="H220" s="16">
        <v>13163</v>
      </c>
      <c r="I220" s="16">
        <v>18010</v>
      </c>
      <c r="J220" s="16">
        <v>44</v>
      </c>
      <c r="K220" s="16">
        <v>44</v>
      </c>
      <c r="L220" s="16">
        <f>IFERROR(INDEX(楼层配置!$D$5:$D$104,MATCH($K220,楼层配置!$B$5:$B$104,0)),"")</f>
        <v>174</v>
      </c>
      <c r="M220" s="16" t="str">
        <f>IFERROR(INDEX(_角色基线!$B$2:$B$100,MATCH($B220,_角色基线!$A$2:$A$100,0)),"")</f>
        <v>莫莉</v>
      </c>
      <c r="N220" s="16" t="str">
        <f>IFERROR(INDEX(_角色基线!$C$2:$C$100,MATCH($B220,_角色基线!$A$2:$A$100,0)),"")</f>
        <v>Tank</v>
      </c>
      <c r="O220" s="16">
        <f>IFERROR(INDEX(_怪物基线!$B$2:$B$501,MATCH(INT($L220),_怪物基线!$A$2:$A$501,0)),"")</f>
        <v>119830</v>
      </c>
      <c r="P220" s="16">
        <f>IFERROR(INDEX(_怪物基线!$C$2:$C$501,MATCH(INT($L220),_怪物基线!$A$2:$A$501,0)),"")</f>
        <v>15364</v>
      </c>
      <c r="Q220" s="16">
        <f>IFERROR(INDEX(_怪物基线!$D$2:$D$501,MATCH(INT($L220),_怪物基线!$A$2:$A$501,0)),"")</f>
        <v>16288</v>
      </c>
      <c r="R220" s="16">
        <f>参数!$B$10</f>
        <v>4</v>
      </c>
      <c r="S220" s="16">
        <f>参数!$C$10</f>
        <v>1.2</v>
      </c>
      <c r="T220" s="16">
        <f>参数!$D$10</f>
        <v>1</v>
      </c>
      <c r="U220" s="16">
        <f t="shared" si="24"/>
        <v>479320</v>
      </c>
      <c r="V220" s="16">
        <f t="shared" si="25"/>
        <v>18436.8</v>
      </c>
      <c r="W220" s="16">
        <f t="shared" si="26"/>
        <v>16288</v>
      </c>
      <c r="X220" s="16">
        <f>IFERROR(INDEX(参数!$B$5:$B$7,MATCH($N220,参数!$A$5:$A$7,0)),"")</f>
        <v>1.5</v>
      </c>
      <c r="Y220" s="16">
        <f>IFERROR(INDEX(参数!$C$5:$C$7,MATCH($N220,参数!$A$5:$A$7,0)),"")</f>
        <v>1</v>
      </c>
      <c r="Z220" s="16">
        <f>IFERROR(INDEX(参数!$D$5:$D$7,MATCH($N220,参数!$A$5:$A$7,0)),"")</f>
        <v>1.5</v>
      </c>
      <c r="AA220" s="16">
        <f>IFERROR(INDEX(楼层配置!$E$5:$E$104,MATCH($K220,楼层配置!$B$5:$B$104,0)),1)</f>
        <v>1.16687871974651</v>
      </c>
      <c r="AB220" s="16">
        <f>IFERROR(INDEX(楼层配置!$F$5:$F$104,MATCH($K220,楼层配置!$B$5:$B$104,0)),1)</f>
        <v>0.67038170805797</v>
      </c>
      <c r="AC220" s="16">
        <f>IFERROR(INDEX(楼层配置!$G$5:$G$104,MATCH($K220,楼层配置!$B$5:$B$104,0)),1)</f>
        <v>1</v>
      </c>
      <c r="AD220" s="18">
        <f t="shared" si="27"/>
        <v>-0.0707337659029134</v>
      </c>
      <c r="AE220" s="18">
        <f t="shared" si="28"/>
        <v>-0.0610043303198359</v>
      </c>
      <c r="AF220" s="18">
        <f t="shared" si="29"/>
        <v>0.356579677956691</v>
      </c>
      <c r="AG220" s="16" t="str">
        <f t="shared" si="30"/>
        <v>有效</v>
      </c>
      <c r="AH220">
        <f t="shared" si="31"/>
        <v>1693025.316</v>
      </c>
    </row>
    <row r="221" ht="14.25" customHeight="1" spans="1:34">
      <c r="A221" s="16">
        <v>217</v>
      </c>
      <c r="B221" s="16">
        <v>1030</v>
      </c>
      <c r="C221" s="16">
        <v>32</v>
      </c>
      <c r="D221" s="17">
        <f>IFERROR(ROUND($U221*$X221*$AA221*参数!$B$13,0),"")</f>
        <v>838962</v>
      </c>
      <c r="E221" s="17">
        <f>IFERROR(ROUND($V221*$Y221*$AB221*参数!$C$13,0),"")</f>
        <v>12360</v>
      </c>
      <c r="F221" s="17">
        <f>IFERROR(ROUND($W221*$Z221*$AC221*参数!$D$13,0),"")</f>
        <v>24432</v>
      </c>
      <c r="G221" s="16">
        <v>902822</v>
      </c>
      <c r="H221" s="16">
        <v>13163</v>
      </c>
      <c r="I221" s="16">
        <v>18010</v>
      </c>
      <c r="J221" s="16">
        <v>44</v>
      </c>
      <c r="K221" s="16">
        <v>44</v>
      </c>
      <c r="L221" s="16">
        <f>IFERROR(INDEX(楼层配置!$D$5:$D$104,MATCH($K221,楼层配置!$B$5:$B$104,0)),"")</f>
        <v>174</v>
      </c>
      <c r="M221" s="16" t="str">
        <f>IFERROR(INDEX(_角色基线!$B$2:$B$100,MATCH($B221,_角色基线!$A$2:$A$100,0)),"")</f>
        <v>莫莉</v>
      </c>
      <c r="N221" s="16" t="str">
        <f>IFERROR(INDEX(_角色基线!$C$2:$C$100,MATCH($B221,_角色基线!$A$2:$A$100,0)),"")</f>
        <v>Tank</v>
      </c>
      <c r="O221" s="16">
        <f>IFERROR(INDEX(_怪物基线!$B$2:$B$501,MATCH(INT($L221),_怪物基线!$A$2:$A$501,0)),"")</f>
        <v>119830</v>
      </c>
      <c r="P221" s="16">
        <f>IFERROR(INDEX(_怪物基线!$C$2:$C$501,MATCH(INT($L221),_怪物基线!$A$2:$A$501,0)),"")</f>
        <v>15364</v>
      </c>
      <c r="Q221" s="16">
        <f>IFERROR(INDEX(_怪物基线!$D$2:$D$501,MATCH(INT($L221),_怪物基线!$A$2:$A$501,0)),"")</f>
        <v>16288</v>
      </c>
      <c r="R221" s="16">
        <f>参数!$B$10</f>
        <v>4</v>
      </c>
      <c r="S221" s="16">
        <f>参数!$C$10</f>
        <v>1.2</v>
      </c>
      <c r="T221" s="16">
        <f>参数!$D$10</f>
        <v>1</v>
      </c>
      <c r="U221" s="16">
        <f t="shared" si="24"/>
        <v>479320</v>
      </c>
      <c r="V221" s="16">
        <f t="shared" si="25"/>
        <v>18436.8</v>
      </c>
      <c r="W221" s="16">
        <f t="shared" si="26"/>
        <v>16288</v>
      </c>
      <c r="X221" s="16">
        <f>IFERROR(INDEX(参数!$B$5:$B$7,MATCH($N221,参数!$A$5:$A$7,0)),"")</f>
        <v>1.5</v>
      </c>
      <c r="Y221" s="16">
        <f>IFERROR(INDEX(参数!$C$5:$C$7,MATCH($N221,参数!$A$5:$A$7,0)),"")</f>
        <v>1</v>
      </c>
      <c r="Z221" s="16">
        <f>IFERROR(INDEX(参数!$D$5:$D$7,MATCH($N221,参数!$A$5:$A$7,0)),"")</f>
        <v>1.5</v>
      </c>
      <c r="AA221" s="16">
        <f>IFERROR(INDEX(楼层配置!$E$5:$E$104,MATCH($K221,楼层配置!$B$5:$B$104,0)),1)</f>
        <v>1.16687871974651</v>
      </c>
      <c r="AB221" s="16">
        <f>IFERROR(INDEX(楼层配置!$F$5:$F$104,MATCH($K221,楼层配置!$B$5:$B$104,0)),1)</f>
        <v>0.67038170805797</v>
      </c>
      <c r="AC221" s="16">
        <f>IFERROR(INDEX(楼层配置!$G$5:$G$104,MATCH($K221,楼层配置!$B$5:$B$104,0)),1)</f>
        <v>1</v>
      </c>
      <c r="AD221" s="18">
        <f t="shared" si="27"/>
        <v>-0.0707337659029134</v>
      </c>
      <c r="AE221" s="18">
        <f t="shared" si="28"/>
        <v>-0.0610043303198359</v>
      </c>
      <c r="AF221" s="18">
        <f t="shared" si="29"/>
        <v>0.356579677956691</v>
      </c>
      <c r="AG221" s="16" t="str">
        <f t="shared" si="30"/>
        <v>有效</v>
      </c>
      <c r="AH221">
        <f t="shared" si="31"/>
        <v>1693025.316</v>
      </c>
    </row>
    <row r="222" ht="14.25" customHeight="1" spans="1:34">
      <c r="A222" s="16">
        <v>218</v>
      </c>
      <c r="B222" s="16">
        <v>1024</v>
      </c>
      <c r="C222" s="16">
        <v>32</v>
      </c>
      <c r="D222" s="17">
        <f>IFERROR(ROUND($U222*$X222*$AA222*参数!$B$13,0),"")</f>
        <v>559308</v>
      </c>
      <c r="E222" s="17">
        <f>IFERROR(ROUND($V222*$Y222*$AB222*参数!$C$13,0),"")</f>
        <v>14832</v>
      </c>
      <c r="F222" s="17">
        <f>IFERROR(ROUND($W222*$Z222*$AC222*参数!$D$13,0),"")</f>
        <v>16288</v>
      </c>
      <c r="G222" s="16">
        <v>601881</v>
      </c>
      <c r="H222" s="16">
        <v>15795</v>
      </c>
      <c r="I222" s="16">
        <v>12007</v>
      </c>
      <c r="J222" s="16">
        <v>44</v>
      </c>
      <c r="K222" s="16">
        <v>44</v>
      </c>
      <c r="L222" s="16">
        <f>IFERROR(INDEX(楼层配置!$D$5:$D$104,MATCH($K222,楼层配置!$B$5:$B$104,0)),"")</f>
        <v>174</v>
      </c>
      <c r="M222" s="16" t="str">
        <f>IFERROR(INDEX(_角色基线!$B$2:$B$100,MATCH($B222,_角色基线!$A$2:$A$100,0)),"")</f>
        <v>卡薇</v>
      </c>
      <c r="N222" s="16" t="str">
        <f>IFERROR(INDEX(_角色基线!$C$2:$C$100,MATCH($B222,_角色基线!$A$2:$A$100,0)),"")</f>
        <v>DPS</v>
      </c>
      <c r="O222" s="16">
        <f>IFERROR(INDEX(_怪物基线!$B$2:$B$501,MATCH(INT($L222),_怪物基线!$A$2:$A$501,0)),"")</f>
        <v>119830</v>
      </c>
      <c r="P222" s="16">
        <f>IFERROR(INDEX(_怪物基线!$C$2:$C$501,MATCH(INT($L222),_怪物基线!$A$2:$A$501,0)),"")</f>
        <v>15364</v>
      </c>
      <c r="Q222" s="16">
        <f>IFERROR(INDEX(_怪物基线!$D$2:$D$501,MATCH(INT($L222),_怪物基线!$A$2:$A$501,0)),"")</f>
        <v>16288</v>
      </c>
      <c r="R222" s="16">
        <f>参数!$B$10</f>
        <v>4</v>
      </c>
      <c r="S222" s="16">
        <f>参数!$C$10</f>
        <v>1.2</v>
      </c>
      <c r="T222" s="16">
        <f>参数!$D$10</f>
        <v>1</v>
      </c>
      <c r="U222" s="16">
        <f t="shared" si="24"/>
        <v>479320</v>
      </c>
      <c r="V222" s="16">
        <f t="shared" si="25"/>
        <v>18436.8</v>
      </c>
      <c r="W222" s="16">
        <f t="shared" si="26"/>
        <v>16288</v>
      </c>
      <c r="X222" s="16">
        <f>IFERROR(INDEX(参数!$B$5:$B$7,MATCH($N222,参数!$A$5:$A$7,0)),"")</f>
        <v>1</v>
      </c>
      <c r="Y222" s="16">
        <f>IFERROR(INDEX(参数!$C$5:$C$7,MATCH($N222,参数!$A$5:$A$7,0)),"")</f>
        <v>1.2</v>
      </c>
      <c r="Z222" s="16">
        <f>IFERROR(INDEX(参数!$D$5:$D$7,MATCH($N222,参数!$A$5:$A$7,0)),"")</f>
        <v>1</v>
      </c>
      <c r="AA222" s="16">
        <f>IFERROR(INDEX(楼层配置!$E$5:$E$104,MATCH($K222,楼层配置!$B$5:$B$104,0)),1)</f>
        <v>1.16687871974651</v>
      </c>
      <c r="AB222" s="16">
        <f>IFERROR(INDEX(楼层配置!$F$5:$F$104,MATCH($K222,楼层配置!$B$5:$B$104,0)),1)</f>
        <v>0.67038170805797</v>
      </c>
      <c r="AC222" s="16">
        <f>IFERROR(INDEX(楼层配置!$G$5:$G$104,MATCH($K222,楼层配置!$B$5:$B$104,0)),1)</f>
        <v>1</v>
      </c>
      <c r="AD222" s="18">
        <f t="shared" si="27"/>
        <v>-0.0707332512573083</v>
      </c>
      <c r="AE222" s="18">
        <f t="shared" si="28"/>
        <v>-0.0609686609686609</v>
      </c>
      <c r="AF222" s="18">
        <f t="shared" si="29"/>
        <v>0.356542017156659</v>
      </c>
      <c r="AG222" s="16" t="str">
        <f t="shared" si="30"/>
        <v>有效</v>
      </c>
      <c r="AH222">
        <f t="shared" si="31"/>
        <v>938891.696</v>
      </c>
    </row>
    <row r="223" ht="14.25" customHeight="1" spans="1:34">
      <c r="A223" s="16">
        <v>219</v>
      </c>
      <c r="B223" s="16">
        <v>1020</v>
      </c>
      <c r="C223" s="16">
        <v>32</v>
      </c>
      <c r="D223" s="17">
        <f>IFERROR(ROUND($U223*$X223*$AA223*参数!$B$13,0),"")</f>
        <v>699135</v>
      </c>
      <c r="E223" s="17">
        <f>IFERROR(ROUND($V223*$Y223*$AB223*参数!$C$13,0),"")</f>
        <v>12360</v>
      </c>
      <c r="F223" s="17">
        <f>IFERROR(ROUND($W223*$Z223*$AC223*参数!$D$13,0),"")</f>
        <v>20360</v>
      </c>
      <c r="G223" s="16">
        <v>752352</v>
      </c>
      <c r="H223" s="16">
        <v>13163</v>
      </c>
      <c r="I223" s="16">
        <v>15009</v>
      </c>
      <c r="J223" s="16">
        <v>44</v>
      </c>
      <c r="K223" s="16">
        <v>44</v>
      </c>
      <c r="L223" s="16">
        <f>IFERROR(INDEX(楼层配置!$D$5:$D$104,MATCH($K223,楼层配置!$B$5:$B$104,0)),"")</f>
        <v>174</v>
      </c>
      <c r="M223" s="16" t="str">
        <f>IFERROR(INDEX(_角色基线!$B$2:$B$100,MATCH($B223,_角色基线!$A$2:$A$100,0)),"")</f>
        <v>卡斯帕</v>
      </c>
      <c r="N223" s="16" t="str">
        <f>IFERROR(INDEX(_角色基线!$C$2:$C$100,MATCH($B223,_角色基线!$A$2:$A$100,0)),"")</f>
        <v>Support</v>
      </c>
      <c r="O223" s="16">
        <f>IFERROR(INDEX(_怪物基线!$B$2:$B$501,MATCH(INT($L223),_怪物基线!$A$2:$A$501,0)),"")</f>
        <v>119830</v>
      </c>
      <c r="P223" s="16">
        <f>IFERROR(INDEX(_怪物基线!$C$2:$C$501,MATCH(INT($L223),_怪物基线!$A$2:$A$501,0)),"")</f>
        <v>15364</v>
      </c>
      <c r="Q223" s="16">
        <f>IFERROR(INDEX(_怪物基线!$D$2:$D$501,MATCH(INT($L223),_怪物基线!$A$2:$A$501,0)),"")</f>
        <v>16288</v>
      </c>
      <c r="R223" s="16">
        <f>参数!$B$10</f>
        <v>4</v>
      </c>
      <c r="S223" s="16">
        <f>参数!$C$10</f>
        <v>1.2</v>
      </c>
      <c r="T223" s="16">
        <f>参数!$D$10</f>
        <v>1</v>
      </c>
      <c r="U223" s="16">
        <f t="shared" si="24"/>
        <v>479320</v>
      </c>
      <c r="V223" s="16">
        <f t="shared" si="25"/>
        <v>18436.8</v>
      </c>
      <c r="W223" s="16">
        <f t="shared" si="26"/>
        <v>16288</v>
      </c>
      <c r="X223" s="16">
        <f>IFERROR(INDEX(参数!$B$5:$B$7,MATCH($N223,参数!$A$5:$A$7,0)),"")</f>
        <v>1.25</v>
      </c>
      <c r="Y223" s="16">
        <f>IFERROR(INDEX(参数!$C$5:$C$7,MATCH($N223,参数!$A$5:$A$7,0)),"")</f>
        <v>1</v>
      </c>
      <c r="Z223" s="16">
        <f>IFERROR(INDEX(参数!$D$5:$D$7,MATCH($N223,参数!$A$5:$A$7,0)),"")</f>
        <v>1.25</v>
      </c>
      <c r="AA223" s="16">
        <f>IFERROR(INDEX(楼层配置!$E$5:$E$104,MATCH($K223,楼层配置!$B$5:$B$104,0)),1)</f>
        <v>1.16687871974651</v>
      </c>
      <c r="AB223" s="16">
        <f>IFERROR(INDEX(楼层配置!$F$5:$F$104,MATCH($K223,楼层配置!$B$5:$B$104,0)),1)</f>
        <v>0.67038170805797</v>
      </c>
      <c r="AC223" s="16">
        <f>IFERROR(INDEX(楼层配置!$G$5:$G$104,MATCH($K223,楼层配置!$B$5:$B$104,0)),1)</f>
        <v>1</v>
      </c>
      <c r="AD223" s="18">
        <f t="shared" si="27"/>
        <v>-0.0707341776189868</v>
      </c>
      <c r="AE223" s="18">
        <f t="shared" si="28"/>
        <v>-0.0610043303198359</v>
      </c>
      <c r="AF223" s="18">
        <f t="shared" si="29"/>
        <v>0.356519421680325</v>
      </c>
      <c r="AG223" s="16" t="str">
        <f t="shared" si="30"/>
        <v>有效</v>
      </c>
      <c r="AH223">
        <f t="shared" si="31"/>
        <v>1292234.525</v>
      </c>
    </row>
    <row r="224" ht="14.25" customHeight="1" spans="1:34">
      <c r="A224" s="16">
        <v>220</v>
      </c>
      <c r="B224" s="16">
        <v>1011</v>
      </c>
      <c r="C224" s="16">
        <v>32</v>
      </c>
      <c r="D224" s="17">
        <f>IFERROR(ROUND($U224*$X224*$AA224*参数!$B$13,0),"")</f>
        <v>699135</v>
      </c>
      <c r="E224" s="17">
        <f>IFERROR(ROUND($V224*$Y224*$AB224*参数!$C$13,0),"")</f>
        <v>12360</v>
      </c>
      <c r="F224" s="17">
        <f>IFERROR(ROUND($W224*$Z224*$AC224*参数!$D$13,0),"")</f>
        <v>20360</v>
      </c>
      <c r="G224" s="16">
        <v>752352</v>
      </c>
      <c r="H224" s="16">
        <v>13163</v>
      </c>
      <c r="I224" s="16">
        <v>15009</v>
      </c>
      <c r="J224" s="16">
        <v>44</v>
      </c>
      <c r="K224" s="16">
        <v>44</v>
      </c>
      <c r="L224" s="16">
        <f>IFERROR(INDEX(楼层配置!$D$5:$D$104,MATCH($K224,楼层配置!$B$5:$B$104,0)),"")</f>
        <v>174</v>
      </c>
      <c r="M224" s="16" t="str">
        <f>IFERROR(INDEX(_角色基线!$B$2:$B$100,MATCH($B224,_角色基线!$A$2:$A$100,0)),"")</f>
        <v>陈双双</v>
      </c>
      <c r="N224" s="16" t="str">
        <f>IFERROR(INDEX(_角色基线!$C$2:$C$100,MATCH($B224,_角色基线!$A$2:$A$100,0)),"")</f>
        <v>Support</v>
      </c>
      <c r="O224" s="16">
        <f>IFERROR(INDEX(_怪物基线!$B$2:$B$501,MATCH(INT($L224),_怪物基线!$A$2:$A$501,0)),"")</f>
        <v>119830</v>
      </c>
      <c r="P224" s="16">
        <f>IFERROR(INDEX(_怪物基线!$C$2:$C$501,MATCH(INT($L224),_怪物基线!$A$2:$A$501,0)),"")</f>
        <v>15364</v>
      </c>
      <c r="Q224" s="16">
        <f>IFERROR(INDEX(_怪物基线!$D$2:$D$501,MATCH(INT($L224),_怪物基线!$A$2:$A$501,0)),"")</f>
        <v>16288</v>
      </c>
      <c r="R224" s="16">
        <f>参数!$B$10</f>
        <v>4</v>
      </c>
      <c r="S224" s="16">
        <f>参数!$C$10</f>
        <v>1.2</v>
      </c>
      <c r="T224" s="16">
        <f>参数!$D$10</f>
        <v>1</v>
      </c>
      <c r="U224" s="16">
        <f t="shared" si="24"/>
        <v>479320</v>
      </c>
      <c r="V224" s="16">
        <f t="shared" si="25"/>
        <v>18436.8</v>
      </c>
      <c r="W224" s="16">
        <f t="shared" si="26"/>
        <v>16288</v>
      </c>
      <c r="X224" s="16">
        <f>IFERROR(INDEX(参数!$B$5:$B$7,MATCH($N224,参数!$A$5:$A$7,0)),"")</f>
        <v>1.25</v>
      </c>
      <c r="Y224" s="16">
        <f>IFERROR(INDEX(参数!$C$5:$C$7,MATCH($N224,参数!$A$5:$A$7,0)),"")</f>
        <v>1</v>
      </c>
      <c r="Z224" s="16">
        <f>IFERROR(INDEX(参数!$D$5:$D$7,MATCH($N224,参数!$A$5:$A$7,0)),"")</f>
        <v>1.25</v>
      </c>
      <c r="AA224" s="16">
        <f>IFERROR(INDEX(楼层配置!$E$5:$E$104,MATCH($K224,楼层配置!$B$5:$B$104,0)),1)</f>
        <v>1.16687871974651</v>
      </c>
      <c r="AB224" s="16">
        <f>IFERROR(INDEX(楼层配置!$F$5:$F$104,MATCH($K224,楼层配置!$B$5:$B$104,0)),1)</f>
        <v>0.67038170805797</v>
      </c>
      <c r="AC224" s="16">
        <f>IFERROR(INDEX(楼层配置!$G$5:$G$104,MATCH($K224,楼层配置!$B$5:$B$104,0)),1)</f>
        <v>1</v>
      </c>
      <c r="AD224" s="18">
        <f t="shared" si="27"/>
        <v>-0.0707341776189868</v>
      </c>
      <c r="AE224" s="18">
        <f t="shared" si="28"/>
        <v>-0.0610043303198359</v>
      </c>
      <c r="AF224" s="18">
        <f t="shared" si="29"/>
        <v>0.356519421680325</v>
      </c>
      <c r="AG224" s="16" t="str">
        <f t="shared" si="30"/>
        <v>有效</v>
      </c>
      <c r="AH224">
        <f t="shared" si="31"/>
        <v>1292234.525</v>
      </c>
    </row>
    <row r="225" ht="14.25" customHeight="1" spans="1:34">
      <c r="A225" s="16">
        <v>221</v>
      </c>
      <c r="B225" s="16">
        <v>1030</v>
      </c>
      <c r="C225" s="16">
        <v>32</v>
      </c>
      <c r="D225" s="17">
        <f>IFERROR(ROUND($U225*$X225*$AA225*参数!$B$13,0),"")</f>
        <v>877226</v>
      </c>
      <c r="E225" s="17">
        <f>IFERROR(ROUND($V225*$Y225*$AB225*参数!$C$13,0),"")</f>
        <v>12826</v>
      </c>
      <c r="F225" s="17">
        <f>IFERROR(ROUND($W225*$Z225*$AC225*参数!$D$13,0),"")</f>
        <v>25115</v>
      </c>
      <c r="G225" s="16">
        <v>947858</v>
      </c>
      <c r="H225" s="16">
        <v>13592</v>
      </c>
      <c r="I225" s="16">
        <v>18492</v>
      </c>
      <c r="J225" s="16">
        <v>45</v>
      </c>
      <c r="K225" s="16">
        <v>45</v>
      </c>
      <c r="L225" s="16">
        <f>IFERROR(INDEX(楼层配置!$D$5:$D$104,MATCH($K225,楼层配置!$B$5:$B$104,0)),"")</f>
        <v>178</v>
      </c>
      <c r="M225" s="16" t="str">
        <f>IFERROR(INDEX(_角色基线!$B$2:$B$100,MATCH($B225,_角色基线!$A$2:$A$100,0)),"")</f>
        <v>莫莉</v>
      </c>
      <c r="N225" s="16" t="str">
        <f>IFERROR(INDEX(_角色基线!$C$2:$C$100,MATCH($B225,_角色基线!$A$2:$A$100,0)),"")</f>
        <v>Tank</v>
      </c>
      <c r="O225" s="16">
        <f>IFERROR(INDEX(_怪物基线!$B$2:$B$501,MATCH(INT($L225),_怪物基线!$A$2:$A$501,0)),"")</f>
        <v>126326</v>
      </c>
      <c r="P225" s="16">
        <f>IFERROR(INDEX(_怪物基线!$C$2:$C$501,MATCH(INT($L225),_怪物基线!$A$2:$A$501,0)),"")</f>
        <v>15960</v>
      </c>
      <c r="Q225" s="16">
        <f>IFERROR(INDEX(_怪物基线!$D$2:$D$501,MATCH(INT($L225),_怪物基线!$A$2:$A$501,0)),"")</f>
        <v>16743</v>
      </c>
      <c r="R225" s="16">
        <f>参数!$B$10</f>
        <v>4</v>
      </c>
      <c r="S225" s="16">
        <f>参数!$C$10</f>
        <v>1.2</v>
      </c>
      <c r="T225" s="16">
        <f>参数!$D$10</f>
        <v>1</v>
      </c>
      <c r="U225" s="16">
        <f t="shared" si="24"/>
        <v>505304</v>
      </c>
      <c r="V225" s="16">
        <f t="shared" si="25"/>
        <v>19152</v>
      </c>
      <c r="W225" s="16">
        <f t="shared" si="26"/>
        <v>16743</v>
      </c>
      <c r="X225" s="16">
        <f>IFERROR(INDEX(参数!$B$5:$B$7,MATCH($N225,参数!$A$5:$A$7,0)),"")</f>
        <v>1.5</v>
      </c>
      <c r="Y225" s="16">
        <f>IFERROR(INDEX(参数!$C$5:$C$7,MATCH($N225,参数!$A$5:$A$7,0)),"")</f>
        <v>1</v>
      </c>
      <c r="Z225" s="16">
        <f>IFERROR(INDEX(参数!$D$5:$D$7,MATCH($N225,参数!$A$5:$A$7,0)),"")</f>
        <v>1.5</v>
      </c>
      <c r="AA225" s="16">
        <f>IFERROR(INDEX(楼层配置!$E$5:$E$104,MATCH($K225,楼层配置!$B$5:$B$104,0)),1)</f>
        <v>1.15735739795593</v>
      </c>
      <c r="AB225" s="16">
        <f>IFERROR(INDEX(楼层配置!$F$5:$F$104,MATCH($K225,楼层配置!$B$5:$B$104,0)),1)</f>
        <v>0.669688309096367</v>
      </c>
      <c r="AC225" s="16">
        <f>IFERROR(INDEX(楼层配置!$G$5:$G$104,MATCH($K225,楼层配置!$B$5:$B$104,0)),1)</f>
        <v>1</v>
      </c>
      <c r="AD225" s="18">
        <f t="shared" si="27"/>
        <v>-0.0745174910165869</v>
      </c>
      <c r="AE225" s="18">
        <f t="shared" si="28"/>
        <v>-0.0563566804002354</v>
      </c>
      <c r="AF225" s="18">
        <f t="shared" si="29"/>
        <v>0.358154877784988</v>
      </c>
      <c r="AG225" s="16" t="str">
        <f t="shared" si="30"/>
        <v>有效</v>
      </c>
      <c r="AH225">
        <f t="shared" si="31"/>
        <v>1795206.45791667</v>
      </c>
    </row>
    <row r="226" ht="14.25" customHeight="1" spans="1:34">
      <c r="A226" s="16">
        <v>222</v>
      </c>
      <c r="B226" s="16">
        <v>1001</v>
      </c>
      <c r="C226" s="16">
        <v>32</v>
      </c>
      <c r="D226" s="17">
        <f>IFERROR(ROUND($U226*$X226*$AA226*参数!$B$13,0),"")</f>
        <v>584817</v>
      </c>
      <c r="E226" s="17">
        <f>IFERROR(ROUND($V226*$Y226*$AB226*参数!$C$13,0),"")</f>
        <v>15391</v>
      </c>
      <c r="F226" s="17">
        <f>IFERROR(ROUND($W226*$Z226*$AC226*参数!$D$13,0),"")</f>
        <v>16743</v>
      </c>
      <c r="G226" s="16">
        <v>631905</v>
      </c>
      <c r="H226" s="16">
        <v>16310</v>
      </c>
      <c r="I226" s="16">
        <v>12328</v>
      </c>
      <c r="J226" s="16">
        <v>45</v>
      </c>
      <c r="K226" s="16">
        <v>45</v>
      </c>
      <c r="L226" s="16">
        <f>IFERROR(INDEX(楼层配置!$D$5:$D$104,MATCH($K226,楼层配置!$B$5:$B$104,0)),"")</f>
        <v>178</v>
      </c>
      <c r="M226" s="16" t="str">
        <f>IFERROR(INDEX(_角色基线!$B$2:$B$100,MATCH($B226,_角色基线!$A$2:$A$100,0)),"")</f>
        <v>星海</v>
      </c>
      <c r="N226" s="16" t="str">
        <f>IFERROR(INDEX(_角色基线!$C$2:$C$100,MATCH($B226,_角色基线!$A$2:$A$100,0)),"")</f>
        <v>DPS</v>
      </c>
      <c r="O226" s="16">
        <f>IFERROR(INDEX(_怪物基线!$B$2:$B$501,MATCH(INT($L226),_怪物基线!$A$2:$A$501,0)),"")</f>
        <v>126326</v>
      </c>
      <c r="P226" s="16">
        <f>IFERROR(INDEX(_怪物基线!$C$2:$C$501,MATCH(INT($L226),_怪物基线!$A$2:$A$501,0)),"")</f>
        <v>15960</v>
      </c>
      <c r="Q226" s="16">
        <f>IFERROR(INDEX(_怪物基线!$D$2:$D$501,MATCH(INT($L226),_怪物基线!$A$2:$A$501,0)),"")</f>
        <v>16743</v>
      </c>
      <c r="R226" s="16">
        <f>参数!$B$10</f>
        <v>4</v>
      </c>
      <c r="S226" s="16">
        <f>参数!$C$10</f>
        <v>1.2</v>
      </c>
      <c r="T226" s="16">
        <f>参数!$D$10</f>
        <v>1</v>
      </c>
      <c r="U226" s="16">
        <f t="shared" si="24"/>
        <v>505304</v>
      </c>
      <c r="V226" s="16">
        <f t="shared" si="25"/>
        <v>19152</v>
      </c>
      <c r="W226" s="16">
        <f t="shared" si="26"/>
        <v>16743</v>
      </c>
      <c r="X226" s="16">
        <f>IFERROR(INDEX(参数!$B$5:$B$7,MATCH($N226,参数!$A$5:$A$7,0)),"")</f>
        <v>1</v>
      </c>
      <c r="Y226" s="16">
        <f>IFERROR(INDEX(参数!$C$5:$C$7,MATCH($N226,参数!$A$5:$A$7,0)),"")</f>
        <v>1.2</v>
      </c>
      <c r="Z226" s="16">
        <f>IFERROR(INDEX(参数!$D$5:$D$7,MATCH($N226,参数!$A$5:$A$7,0)),"")</f>
        <v>1</v>
      </c>
      <c r="AA226" s="16">
        <f>IFERROR(INDEX(楼层配置!$E$5:$E$104,MATCH($K226,楼层配置!$B$5:$B$104,0)),1)</f>
        <v>1.15735739795593</v>
      </c>
      <c r="AB226" s="16">
        <f>IFERROR(INDEX(楼层配置!$F$5:$F$104,MATCH($K226,楼层配置!$B$5:$B$104,0)),1)</f>
        <v>0.669688309096367</v>
      </c>
      <c r="AC226" s="16">
        <f>IFERROR(INDEX(楼层配置!$G$5:$G$104,MATCH($K226,楼层配置!$B$5:$B$104,0)),1)</f>
        <v>1</v>
      </c>
      <c r="AD226" s="18">
        <f t="shared" si="27"/>
        <v>-0.0745175303249698</v>
      </c>
      <c r="AE226" s="18">
        <f t="shared" si="28"/>
        <v>-0.0563458001226241</v>
      </c>
      <c r="AF226" s="18">
        <f t="shared" si="29"/>
        <v>0.358127839065542</v>
      </c>
      <c r="AG226" s="16" t="str">
        <f t="shared" si="30"/>
        <v>有效</v>
      </c>
      <c r="AH226">
        <f t="shared" si="31"/>
        <v>992799.959625</v>
      </c>
    </row>
    <row r="227" ht="14.25" customHeight="1" spans="1:34">
      <c r="A227" s="16">
        <v>223</v>
      </c>
      <c r="B227" s="16">
        <v>1021</v>
      </c>
      <c r="C227" s="16">
        <v>32</v>
      </c>
      <c r="D227" s="17">
        <f>IFERROR(ROUND($U227*$X227*$AA227*参数!$B$13,0),"")</f>
        <v>584817</v>
      </c>
      <c r="E227" s="17">
        <f>IFERROR(ROUND($V227*$Y227*$AB227*参数!$C$13,0),"")</f>
        <v>15391</v>
      </c>
      <c r="F227" s="17">
        <f>IFERROR(ROUND($W227*$Z227*$AC227*参数!$D$13,0),"")</f>
        <v>16743</v>
      </c>
      <c r="G227" s="16">
        <v>631905</v>
      </c>
      <c r="H227" s="16">
        <v>16310</v>
      </c>
      <c r="I227" s="16">
        <v>12328</v>
      </c>
      <c r="J227" s="16">
        <v>45</v>
      </c>
      <c r="K227" s="16">
        <v>45</v>
      </c>
      <c r="L227" s="16">
        <f>IFERROR(INDEX(楼层配置!$D$5:$D$104,MATCH($K227,楼层配置!$B$5:$B$104,0)),"")</f>
        <v>178</v>
      </c>
      <c r="M227" s="16" t="str">
        <f>IFERROR(INDEX(_角色基线!$B$2:$B$100,MATCH($B227,_角色基线!$A$2:$A$100,0)),"")</f>
        <v>梅梅</v>
      </c>
      <c r="N227" s="16" t="str">
        <f>IFERROR(INDEX(_角色基线!$C$2:$C$100,MATCH($B227,_角色基线!$A$2:$A$100,0)),"")</f>
        <v>DPS</v>
      </c>
      <c r="O227" s="16">
        <f>IFERROR(INDEX(_怪物基线!$B$2:$B$501,MATCH(INT($L227),_怪物基线!$A$2:$A$501,0)),"")</f>
        <v>126326</v>
      </c>
      <c r="P227" s="16">
        <f>IFERROR(INDEX(_怪物基线!$C$2:$C$501,MATCH(INT($L227),_怪物基线!$A$2:$A$501,0)),"")</f>
        <v>15960</v>
      </c>
      <c r="Q227" s="16">
        <f>IFERROR(INDEX(_怪物基线!$D$2:$D$501,MATCH(INT($L227),_怪物基线!$A$2:$A$501,0)),"")</f>
        <v>16743</v>
      </c>
      <c r="R227" s="16">
        <f>参数!$B$10</f>
        <v>4</v>
      </c>
      <c r="S227" s="16">
        <f>参数!$C$10</f>
        <v>1.2</v>
      </c>
      <c r="T227" s="16">
        <f>参数!$D$10</f>
        <v>1</v>
      </c>
      <c r="U227" s="16">
        <f t="shared" si="24"/>
        <v>505304</v>
      </c>
      <c r="V227" s="16">
        <f t="shared" si="25"/>
        <v>19152</v>
      </c>
      <c r="W227" s="16">
        <f t="shared" si="26"/>
        <v>16743</v>
      </c>
      <c r="X227" s="16">
        <f>IFERROR(INDEX(参数!$B$5:$B$7,MATCH($N227,参数!$A$5:$A$7,0)),"")</f>
        <v>1</v>
      </c>
      <c r="Y227" s="16">
        <f>IFERROR(INDEX(参数!$C$5:$C$7,MATCH($N227,参数!$A$5:$A$7,0)),"")</f>
        <v>1.2</v>
      </c>
      <c r="Z227" s="16">
        <f>IFERROR(INDEX(参数!$D$5:$D$7,MATCH($N227,参数!$A$5:$A$7,0)),"")</f>
        <v>1</v>
      </c>
      <c r="AA227" s="16">
        <f>IFERROR(INDEX(楼层配置!$E$5:$E$104,MATCH($K227,楼层配置!$B$5:$B$104,0)),1)</f>
        <v>1.15735739795593</v>
      </c>
      <c r="AB227" s="16">
        <f>IFERROR(INDEX(楼层配置!$F$5:$F$104,MATCH($K227,楼层配置!$B$5:$B$104,0)),1)</f>
        <v>0.669688309096367</v>
      </c>
      <c r="AC227" s="16">
        <f>IFERROR(INDEX(楼层配置!$G$5:$G$104,MATCH($K227,楼层配置!$B$5:$B$104,0)),1)</f>
        <v>1</v>
      </c>
      <c r="AD227" s="18">
        <f t="shared" si="27"/>
        <v>-0.0745175303249698</v>
      </c>
      <c r="AE227" s="18">
        <f t="shared" si="28"/>
        <v>-0.0563458001226241</v>
      </c>
      <c r="AF227" s="18">
        <f t="shared" si="29"/>
        <v>0.358127839065542</v>
      </c>
      <c r="AG227" s="16" t="str">
        <f t="shared" si="30"/>
        <v>有效</v>
      </c>
      <c r="AH227">
        <f t="shared" si="31"/>
        <v>992799.959625</v>
      </c>
    </row>
    <row r="228" ht="14.25" customHeight="1" spans="1:34">
      <c r="A228" s="16">
        <v>224</v>
      </c>
      <c r="B228" s="16">
        <v>1020</v>
      </c>
      <c r="C228" s="16">
        <v>32</v>
      </c>
      <c r="D228" s="17">
        <f>IFERROR(ROUND($U228*$X228*$AA228*参数!$B$13,0),"")</f>
        <v>731022</v>
      </c>
      <c r="E228" s="17">
        <f>IFERROR(ROUND($V228*$Y228*$AB228*参数!$C$13,0),"")</f>
        <v>12826</v>
      </c>
      <c r="F228" s="17">
        <f>IFERROR(ROUND($W228*$Z228*$AC228*参数!$D$13,0),"")</f>
        <v>20929</v>
      </c>
      <c r="G228" s="16">
        <v>789882</v>
      </c>
      <c r="H228" s="16">
        <v>13592</v>
      </c>
      <c r="I228" s="16">
        <v>15410</v>
      </c>
      <c r="J228" s="16">
        <v>45</v>
      </c>
      <c r="K228" s="16">
        <v>45</v>
      </c>
      <c r="L228" s="16">
        <f>IFERROR(INDEX(楼层配置!$D$5:$D$104,MATCH($K228,楼层配置!$B$5:$B$104,0)),"")</f>
        <v>178</v>
      </c>
      <c r="M228" s="16" t="str">
        <f>IFERROR(INDEX(_角色基线!$B$2:$B$100,MATCH($B228,_角色基线!$A$2:$A$100,0)),"")</f>
        <v>卡斯帕</v>
      </c>
      <c r="N228" s="16" t="str">
        <f>IFERROR(INDEX(_角色基线!$C$2:$C$100,MATCH($B228,_角色基线!$A$2:$A$100,0)),"")</f>
        <v>Support</v>
      </c>
      <c r="O228" s="16">
        <f>IFERROR(INDEX(_怪物基线!$B$2:$B$501,MATCH(INT($L228),_怪物基线!$A$2:$A$501,0)),"")</f>
        <v>126326</v>
      </c>
      <c r="P228" s="16">
        <f>IFERROR(INDEX(_怪物基线!$C$2:$C$501,MATCH(INT($L228),_怪物基线!$A$2:$A$501,0)),"")</f>
        <v>15960</v>
      </c>
      <c r="Q228" s="16">
        <f>IFERROR(INDEX(_怪物基线!$D$2:$D$501,MATCH(INT($L228),_怪物基线!$A$2:$A$501,0)),"")</f>
        <v>16743</v>
      </c>
      <c r="R228" s="16">
        <f>参数!$B$10</f>
        <v>4</v>
      </c>
      <c r="S228" s="16">
        <f>参数!$C$10</f>
        <v>1.2</v>
      </c>
      <c r="T228" s="16">
        <f>参数!$D$10</f>
        <v>1</v>
      </c>
      <c r="U228" s="16">
        <f t="shared" si="24"/>
        <v>505304</v>
      </c>
      <c r="V228" s="16">
        <f t="shared" si="25"/>
        <v>19152</v>
      </c>
      <c r="W228" s="16">
        <f t="shared" si="26"/>
        <v>16743</v>
      </c>
      <c r="X228" s="16">
        <f>IFERROR(INDEX(参数!$B$5:$B$7,MATCH($N228,参数!$A$5:$A$7,0)),"")</f>
        <v>1.25</v>
      </c>
      <c r="Y228" s="16">
        <f>IFERROR(INDEX(参数!$C$5:$C$7,MATCH($N228,参数!$A$5:$A$7,0)),"")</f>
        <v>1</v>
      </c>
      <c r="Z228" s="16">
        <f>IFERROR(INDEX(参数!$D$5:$D$7,MATCH($N228,参数!$A$5:$A$7,0)),"")</f>
        <v>1.25</v>
      </c>
      <c r="AA228" s="16">
        <f>IFERROR(INDEX(楼层配置!$E$5:$E$104,MATCH($K228,楼层配置!$B$5:$B$104,0)),1)</f>
        <v>1.15735739795593</v>
      </c>
      <c r="AB228" s="16">
        <f>IFERROR(INDEX(楼层配置!$F$5:$F$104,MATCH($K228,楼层配置!$B$5:$B$104,0)),1)</f>
        <v>0.669688309096367</v>
      </c>
      <c r="AC228" s="16">
        <f>IFERROR(INDEX(楼层配置!$G$5:$G$104,MATCH($K228,楼层配置!$B$5:$B$104,0)),1)</f>
        <v>1</v>
      </c>
      <c r="AD228" s="18">
        <f t="shared" si="27"/>
        <v>-0.0745174595699104</v>
      </c>
      <c r="AE228" s="18">
        <f t="shared" si="28"/>
        <v>-0.0563566804002354</v>
      </c>
      <c r="AF228" s="18">
        <f t="shared" si="29"/>
        <v>0.35814406229721</v>
      </c>
      <c r="AG228" s="16" t="str">
        <f t="shared" si="30"/>
        <v>有效</v>
      </c>
      <c r="AH228">
        <f t="shared" si="31"/>
        <v>1368503.64325</v>
      </c>
    </row>
    <row r="229" ht="14.25" customHeight="1" spans="1:34">
      <c r="A229" s="16">
        <v>225</v>
      </c>
      <c r="B229" s="16">
        <v>1011</v>
      </c>
      <c r="C229" s="16">
        <v>32</v>
      </c>
      <c r="D229" s="17">
        <f>IFERROR(ROUND($U229*$X229*$AA229*参数!$B$13,0),"")</f>
        <v>731022</v>
      </c>
      <c r="E229" s="17">
        <f>IFERROR(ROUND($V229*$Y229*$AB229*参数!$C$13,0),"")</f>
        <v>12826</v>
      </c>
      <c r="F229" s="17">
        <f>IFERROR(ROUND($W229*$Z229*$AC229*参数!$D$13,0),"")</f>
        <v>20929</v>
      </c>
      <c r="G229" s="16">
        <v>789882</v>
      </c>
      <c r="H229" s="16">
        <v>13592</v>
      </c>
      <c r="I229" s="16">
        <v>15410</v>
      </c>
      <c r="J229" s="16">
        <v>45</v>
      </c>
      <c r="K229" s="16">
        <v>45</v>
      </c>
      <c r="L229" s="16">
        <f>IFERROR(INDEX(楼层配置!$D$5:$D$104,MATCH($K229,楼层配置!$B$5:$B$104,0)),"")</f>
        <v>178</v>
      </c>
      <c r="M229" s="16" t="str">
        <f>IFERROR(INDEX(_角色基线!$B$2:$B$100,MATCH($B229,_角色基线!$A$2:$A$100,0)),"")</f>
        <v>陈双双</v>
      </c>
      <c r="N229" s="16" t="str">
        <f>IFERROR(INDEX(_角色基线!$C$2:$C$100,MATCH($B229,_角色基线!$A$2:$A$100,0)),"")</f>
        <v>Support</v>
      </c>
      <c r="O229" s="16">
        <f>IFERROR(INDEX(_怪物基线!$B$2:$B$501,MATCH(INT($L229),_怪物基线!$A$2:$A$501,0)),"")</f>
        <v>126326</v>
      </c>
      <c r="P229" s="16">
        <f>IFERROR(INDEX(_怪物基线!$C$2:$C$501,MATCH(INT($L229),_怪物基线!$A$2:$A$501,0)),"")</f>
        <v>15960</v>
      </c>
      <c r="Q229" s="16">
        <f>IFERROR(INDEX(_怪物基线!$D$2:$D$501,MATCH(INT($L229),_怪物基线!$A$2:$A$501,0)),"")</f>
        <v>16743</v>
      </c>
      <c r="R229" s="16">
        <f>参数!$B$10</f>
        <v>4</v>
      </c>
      <c r="S229" s="16">
        <f>参数!$C$10</f>
        <v>1.2</v>
      </c>
      <c r="T229" s="16">
        <f>参数!$D$10</f>
        <v>1</v>
      </c>
      <c r="U229" s="16">
        <f t="shared" si="24"/>
        <v>505304</v>
      </c>
      <c r="V229" s="16">
        <f t="shared" si="25"/>
        <v>19152</v>
      </c>
      <c r="W229" s="16">
        <f t="shared" si="26"/>
        <v>16743</v>
      </c>
      <c r="X229" s="16">
        <f>IFERROR(INDEX(参数!$B$5:$B$7,MATCH($N229,参数!$A$5:$A$7,0)),"")</f>
        <v>1.25</v>
      </c>
      <c r="Y229" s="16">
        <f>IFERROR(INDEX(参数!$C$5:$C$7,MATCH($N229,参数!$A$5:$A$7,0)),"")</f>
        <v>1</v>
      </c>
      <c r="Z229" s="16">
        <f>IFERROR(INDEX(参数!$D$5:$D$7,MATCH($N229,参数!$A$5:$A$7,0)),"")</f>
        <v>1.25</v>
      </c>
      <c r="AA229" s="16">
        <f>IFERROR(INDEX(楼层配置!$E$5:$E$104,MATCH($K229,楼层配置!$B$5:$B$104,0)),1)</f>
        <v>1.15735739795593</v>
      </c>
      <c r="AB229" s="16">
        <f>IFERROR(INDEX(楼层配置!$F$5:$F$104,MATCH($K229,楼层配置!$B$5:$B$104,0)),1)</f>
        <v>0.669688309096367</v>
      </c>
      <c r="AC229" s="16">
        <f>IFERROR(INDEX(楼层配置!$G$5:$G$104,MATCH($K229,楼层配置!$B$5:$B$104,0)),1)</f>
        <v>1</v>
      </c>
      <c r="AD229" s="18">
        <f t="shared" si="27"/>
        <v>-0.0745174595699104</v>
      </c>
      <c r="AE229" s="18">
        <f t="shared" si="28"/>
        <v>-0.0563566804002354</v>
      </c>
      <c r="AF229" s="18">
        <f t="shared" si="29"/>
        <v>0.35814406229721</v>
      </c>
      <c r="AG229" s="16" t="str">
        <f t="shared" si="30"/>
        <v>有效</v>
      </c>
      <c r="AH229">
        <f t="shared" si="31"/>
        <v>1368503.64325</v>
      </c>
    </row>
    <row r="230" ht="14.25" customHeight="1" spans="1:34">
      <c r="A230" s="16">
        <v>226</v>
      </c>
      <c r="B230" s="16">
        <v>1030</v>
      </c>
      <c r="C230" s="16">
        <v>33</v>
      </c>
      <c r="D230" s="17">
        <f>IFERROR(ROUND($U230*$X230*$AA230*参数!$B$13,0),"")</f>
        <v>925415</v>
      </c>
      <c r="E230" s="17">
        <f>IFERROR(ROUND($V230*$Y230*$AB230*参数!$C$13,0),"")</f>
        <v>13332</v>
      </c>
      <c r="F230" s="17">
        <f>IFERROR(ROUND($W230*$Z230*$AC230*参数!$D$13,0),"")</f>
        <v>25805</v>
      </c>
      <c r="G230" s="16">
        <v>994471</v>
      </c>
      <c r="H230" s="16">
        <v>14033</v>
      </c>
      <c r="I230" s="16">
        <v>18976</v>
      </c>
      <c r="J230" s="16">
        <v>46</v>
      </c>
      <c r="K230" s="16">
        <v>46</v>
      </c>
      <c r="L230" s="16">
        <f>IFERROR(INDEX(楼层配置!$D$5:$D$104,MATCH($K230,楼层配置!$B$5:$B$104,0)),"")</f>
        <v>182</v>
      </c>
      <c r="M230" s="16" t="str">
        <f>IFERROR(INDEX(_角色基线!$B$2:$B$100,MATCH($B230,_角色基线!$A$2:$A$100,0)),"")</f>
        <v>莫莉</v>
      </c>
      <c r="N230" s="16" t="str">
        <f>IFERROR(INDEX(_角色基线!$C$2:$C$100,MATCH($B230,_角色基线!$A$2:$A$100,0)),"")</f>
        <v>Tank</v>
      </c>
      <c r="O230" s="16">
        <f>IFERROR(INDEX(_怪物基线!$B$2:$B$501,MATCH(INT($L230),_怪物基线!$A$2:$A$501,0)),"")</f>
        <v>133074</v>
      </c>
      <c r="P230" s="16">
        <f>IFERROR(INDEX(_怪物基线!$C$2:$C$501,MATCH(INT($L230),_怪物基线!$A$2:$A$501,0)),"")</f>
        <v>16571</v>
      </c>
      <c r="Q230" s="16">
        <f>IFERROR(INDEX(_怪物基线!$D$2:$D$501,MATCH(INT($L230),_怪物基线!$A$2:$A$501,0)),"")</f>
        <v>17203</v>
      </c>
      <c r="R230" s="16">
        <f>参数!$B$10</f>
        <v>4</v>
      </c>
      <c r="S230" s="16">
        <f>参数!$C$10</f>
        <v>1.2</v>
      </c>
      <c r="T230" s="16">
        <f>参数!$D$10</f>
        <v>1</v>
      </c>
      <c r="U230" s="16">
        <f t="shared" si="24"/>
        <v>532296</v>
      </c>
      <c r="V230" s="16">
        <f t="shared" si="25"/>
        <v>19885.2</v>
      </c>
      <c r="W230" s="16">
        <f t="shared" si="26"/>
        <v>17203</v>
      </c>
      <c r="X230" s="16">
        <f>IFERROR(INDEX(参数!$B$5:$B$7,MATCH($N230,参数!$A$5:$A$7,0)),"")</f>
        <v>1.5</v>
      </c>
      <c r="Y230" s="16">
        <f>IFERROR(INDEX(参数!$C$5:$C$7,MATCH($N230,参数!$A$5:$A$7,0)),"")</f>
        <v>1</v>
      </c>
      <c r="Z230" s="16">
        <f>IFERROR(INDEX(参数!$D$5:$D$7,MATCH($N230,参数!$A$5:$A$7,0)),"")</f>
        <v>1.5</v>
      </c>
      <c r="AA230" s="16">
        <f>IFERROR(INDEX(楼层配置!$E$5:$E$104,MATCH($K230,楼层配置!$B$5:$B$104,0)),1)</f>
        <v>1.15902261534038</v>
      </c>
      <c r="AB230" s="16">
        <f>IFERROR(INDEX(楼层配置!$F$5:$F$104,MATCH($K230,楼层配置!$B$5:$B$104,0)),1)</f>
        <v>0.670428662462566</v>
      </c>
      <c r="AC230" s="16">
        <f>IFERROR(INDEX(楼层配置!$G$5:$G$104,MATCH($K230,楼层配置!$B$5:$B$104,0)),1)</f>
        <v>1</v>
      </c>
      <c r="AD230" s="18">
        <f t="shared" si="27"/>
        <v>-0.0694399333917228</v>
      </c>
      <c r="AE230" s="18">
        <f t="shared" si="28"/>
        <v>-0.0499536806099907</v>
      </c>
      <c r="AF230" s="18">
        <f t="shared" si="29"/>
        <v>0.35987563237774</v>
      </c>
      <c r="AG230" s="16" t="str">
        <f t="shared" si="30"/>
        <v>有效</v>
      </c>
      <c r="AH230">
        <f t="shared" si="31"/>
        <v>1920428.91979167</v>
      </c>
    </row>
    <row r="231" ht="14.25" customHeight="1" spans="1:34">
      <c r="A231" s="16">
        <v>227</v>
      </c>
      <c r="B231" s="16">
        <v>1012</v>
      </c>
      <c r="C231" s="16">
        <v>33</v>
      </c>
      <c r="D231" s="17">
        <f>IFERROR(ROUND($U231*$X231*$AA231*参数!$B$13,0),"")</f>
        <v>771179</v>
      </c>
      <c r="E231" s="17">
        <f>IFERROR(ROUND($V231*$Y231*$AB231*参数!$C$13,0),"")</f>
        <v>13332</v>
      </c>
      <c r="F231" s="17">
        <f>IFERROR(ROUND($W231*$Z231*$AC231*参数!$D$13,0),"")</f>
        <v>21504</v>
      </c>
      <c r="G231" s="16">
        <v>828726</v>
      </c>
      <c r="H231" s="16">
        <v>14033</v>
      </c>
      <c r="I231" s="16">
        <v>15814</v>
      </c>
      <c r="J231" s="16">
        <v>46</v>
      </c>
      <c r="K231" s="16">
        <v>46</v>
      </c>
      <c r="L231" s="16">
        <f>IFERROR(INDEX(楼层配置!$D$5:$D$104,MATCH($K231,楼层配置!$B$5:$B$104,0)),"")</f>
        <v>182</v>
      </c>
      <c r="M231" s="16" t="str">
        <f>IFERROR(INDEX(_角色基线!$B$2:$B$100,MATCH($B231,_角色基线!$A$2:$A$100,0)),"")</f>
        <v>艾德琳</v>
      </c>
      <c r="N231" s="16" t="str">
        <f>IFERROR(INDEX(_角色基线!$C$2:$C$100,MATCH($B231,_角色基线!$A$2:$A$100,0)),"")</f>
        <v>Support</v>
      </c>
      <c r="O231" s="16">
        <f>IFERROR(INDEX(_怪物基线!$B$2:$B$501,MATCH(INT($L231),_怪物基线!$A$2:$A$501,0)),"")</f>
        <v>133074</v>
      </c>
      <c r="P231" s="16">
        <f>IFERROR(INDEX(_怪物基线!$C$2:$C$501,MATCH(INT($L231),_怪物基线!$A$2:$A$501,0)),"")</f>
        <v>16571</v>
      </c>
      <c r="Q231" s="16">
        <f>IFERROR(INDEX(_怪物基线!$D$2:$D$501,MATCH(INT($L231),_怪物基线!$A$2:$A$501,0)),"")</f>
        <v>17203</v>
      </c>
      <c r="R231" s="16">
        <f>参数!$B$10</f>
        <v>4</v>
      </c>
      <c r="S231" s="16">
        <f>参数!$C$10</f>
        <v>1.2</v>
      </c>
      <c r="T231" s="16">
        <f>参数!$D$10</f>
        <v>1</v>
      </c>
      <c r="U231" s="16">
        <f t="shared" si="24"/>
        <v>532296</v>
      </c>
      <c r="V231" s="16">
        <f t="shared" si="25"/>
        <v>19885.2</v>
      </c>
      <c r="W231" s="16">
        <f t="shared" si="26"/>
        <v>17203</v>
      </c>
      <c r="X231" s="16">
        <f>IFERROR(INDEX(参数!$B$5:$B$7,MATCH($N231,参数!$A$5:$A$7,0)),"")</f>
        <v>1.25</v>
      </c>
      <c r="Y231" s="16">
        <f>IFERROR(INDEX(参数!$C$5:$C$7,MATCH($N231,参数!$A$5:$A$7,0)),"")</f>
        <v>1</v>
      </c>
      <c r="Z231" s="16">
        <f>IFERROR(INDEX(参数!$D$5:$D$7,MATCH($N231,参数!$A$5:$A$7,0)),"")</f>
        <v>1.25</v>
      </c>
      <c r="AA231" s="16">
        <f>IFERROR(INDEX(楼层配置!$E$5:$E$104,MATCH($K231,楼层配置!$B$5:$B$104,0)),1)</f>
        <v>1.15902261534038</v>
      </c>
      <c r="AB231" s="16">
        <f>IFERROR(INDEX(楼层配置!$F$5:$F$104,MATCH($K231,楼层配置!$B$5:$B$104,0)),1)</f>
        <v>0.670428662462566</v>
      </c>
      <c r="AC231" s="16">
        <f>IFERROR(INDEX(楼层配置!$G$5:$G$104,MATCH($K231,楼层配置!$B$5:$B$104,0)),1)</f>
        <v>1</v>
      </c>
      <c r="AD231" s="18">
        <f t="shared" si="27"/>
        <v>-0.0694403216503404</v>
      </c>
      <c r="AE231" s="18">
        <f t="shared" si="28"/>
        <v>-0.0499536806099907</v>
      </c>
      <c r="AF231" s="18">
        <f t="shared" si="29"/>
        <v>0.359807765271279</v>
      </c>
      <c r="AG231" s="16" t="str">
        <f t="shared" si="30"/>
        <v>有效</v>
      </c>
      <c r="AH231">
        <f t="shared" si="31"/>
        <v>1462155.384</v>
      </c>
    </row>
    <row r="232" ht="14.25" customHeight="1" spans="1:34">
      <c r="A232" s="16">
        <v>228</v>
      </c>
      <c r="B232" s="16">
        <v>1011</v>
      </c>
      <c r="C232" s="16">
        <v>33</v>
      </c>
      <c r="D232" s="17">
        <f>IFERROR(ROUND($U232*$X232*$AA232*参数!$B$13,0),"")</f>
        <v>771179</v>
      </c>
      <c r="E232" s="17">
        <f>IFERROR(ROUND($V232*$Y232*$AB232*参数!$C$13,0),"")</f>
        <v>13332</v>
      </c>
      <c r="F232" s="17">
        <f>IFERROR(ROUND($W232*$Z232*$AC232*参数!$D$13,0),"")</f>
        <v>21504</v>
      </c>
      <c r="G232" s="16">
        <v>828726</v>
      </c>
      <c r="H232" s="16">
        <v>14033</v>
      </c>
      <c r="I232" s="16">
        <v>15814</v>
      </c>
      <c r="J232" s="16">
        <v>46</v>
      </c>
      <c r="K232" s="16">
        <v>46</v>
      </c>
      <c r="L232" s="16">
        <f>IFERROR(INDEX(楼层配置!$D$5:$D$104,MATCH($K232,楼层配置!$B$5:$B$104,0)),"")</f>
        <v>182</v>
      </c>
      <c r="M232" s="16" t="str">
        <f>IFERROR(INDEX(_角色基线!$B$2:$B$100,MATCH($B232,_角色基线!$A$2:$A$100,0)),"")</f>
        <v>陈双双</v>
      </c>
      <c r="N232" s="16" t="str">
        <f>IFERROR(INDEX(_角色基线!$C$2:$C$100,MATCH($B232,_角色基线!$A$2:$A$100,0)),"")</f>
        <v>Support</v>
      </c>
      <c r="O232" s="16">
        <f>IFERROR(INDEX(_怪物基线!$B$2:$B$501,MATCH(INT($L232),_怪物基线!$A$2:$A$501,0)),"")</f>
        <v>133074</v>
      </c>
      <c r="P232" s="16">
        <f>IFERROR(INDEX(_怪物基线!$C$2:$C$501,MATCH(INT($L232),_怪物基线!$A$2:$A$501,0)),"")</f>
        <v>16571</v>
      </c>
      <c r="Q232" s="16">
        <f>IFERROR(INDEX(_怪物基线!$D$2:$D$501,MATCH(INT($L232),_怪物基线!$A$2:$A$501,0)),"")</f>
        <v>17203</v>
      </c>
      <c r="R232" s="16">
        <f>参数!$B$10</f>
        <v>4</v>
      </c>
      <c r="S232" s="16">
        <f>参数!$C$10</f>
        <v>1.2</v>
      </c>
      <c r="T232" s="16">
        <f>参数!$D$10</f>
        <v>1</v>
      </c>
      <c r="U232" s="16">
        <f t="shared" si="24"/>
        <v>532296</v>
      </c>
      <c r="V232" s="16">
        <f t="shared" si="25"/>
        <v>19885.2</v>
      </c>
      <c r="W232" s="16">
        <f t="shared" si="26"/>
        <v>17203</v>
      </c>
      <c r="X232" s="16">
        <f>IFERROR(INDEX(参数!$B$5:$B$7,MATCH($N232,参数!$A$5:$A$7,0)),"")</f>
        <v>1.25</v>
      </c>
      <c r="Y232" s="16">
        <f>IFERROR(INDEX(参数!$C$5:$C$7,MATCH($N232,参数!$A$5:$A$7,0)),"")</f>
        <v>1</v>
      </c>
      <c r="Z232" s="16">
        <f>IFERROR(INDEX(参数!$D$5:$D$7,MATCH($N232,参数!$A$5:$A$7,0)),"")</f>
        <v>1.25</v>
      </c>
      <c r="AA232" s="16">
        <f>IFERROR(INDEX(楼层配置!$E$5:$E$104,MATCH($K232,楼层配置!$B$5:$B$104,0)),1)</f>
        <v>1.15902261534038</v>
      </c>
      <c r="AB232" s="16">
        <f>IFERROR(INDEX(楼层配置!$F$5:$F$104,MATCH($K232,楼层配置!$B$5:$B$104,0)),1)</f>
        <v>0.670428662462566</v>
      </c>
      <c r="AC232" s="16">
        <f>IFERROR(INDEX(楼层配置!$G$5:$G$104,MATCH($K232,楼层配置!$B$5:$B$104,0)),1)</f>
        <v>1</v>
      </c>
      <c r="AD232" s="18">
        <f t="shared" si="27"/>
        <v>-0.0694403216503404</v>
      </c>
      <c r="AE232" s="18">
        <f t="shared" si="28"/>
        <v>-0.0499536806099907</v>
      </c>
      <c r="AF232" s="18">
        <f t="shared" si="29"/>
        <v>0.359807765271279</v>
      </c>
      <c r="AG232" s="16" t="str">
        <f t="shared" si="30"/>
        <v>有效</v>
      </c>
      <c r="AH232">
        <f t="shared" si="31"/>
        <v>1462155.384</v>
      </c>
    </row>
    <row r="233" ht="14.25" customHeight="1" spans="1:34">
      <c r="A233" s="16">
        <v>229</v>
      </c>
      <c r="B233" s="16">
        <v>1018</v>
      </c>
      <c r="C233" s="16">
        <v>33</v>
      </c>
      <c r="D233" s="17">
        <f>IFERROR(ROUND($U233*$X233*$AA233*参数!$B$13,0),"")</f>
        <v>771179</v>
      </c>
      <c r="E233" s="17">
        <f>IFERROR(ROUND($V233*$Y233*$AB233*参数!$C$13,0),"")</f>
        <v>13332</v>
      </c>
      <c r="F233" s="17">
        <f>IFERROR(ROUND($W233*$Z233*$AC233*参数!$D$13,0),"")</f>
        <v>21504</v>
      </c>
      <c r="G233" s="16">
        <v>828726</v>
      </c>
      <c r="H233" s="16">
        <v>14033</v>
      </c>
      <c r="I233" s="16">
        <v>15814</v>
      </c>
      <c r="J233" s="16">
        <v>46</v>
      </c>
      <c r="K233" s="16">
        <v>46</v>
      </c>
      <c r="L233" s="16">
        <f>IFERROR(INDEX(楼层配置!$D$5:$D$104,MATCH($K233,楼层配置!$B$5:$B$104,0)),"")</f>
        <v>182</v>
      </c>
      <c r="M233" s="16" t="str">
        <f>IFERROR(INDEX(_角色基线!$B$2:$B$100,MATCH($B233,_角色基线!$A$2:$A$100,0)),"")</f>
        <v>埃莉诺</v>
      </c>
      <c r="N233" s="16" t="str">
        <f>IFERROR(INDEX(_角色基线!$C$2:$C$100,MATCH($B233,_角色基线!$A$2:$A$100,0)),"")</f>
        <v>Support</v>
      </c>
      <c r="O233" s="16">
        <f>IFERROR(INDEX(_怪物基线!$B$2:$B$501,MATCH(INT($L233),_怪物基线!$A$2:$A$501,0)),"")</f>
        <v>133074</v>
      </c>
      <c r="P233" s="16">
        <f>IFERROR(INDEX(_怪物基线!$C$2:$C$501,MATCH(INT($L233),_怪物基线!$A$2:$A$501,0)),"")</f>
        <v>16571</v>
      </c>
      <c r="Q233" s="16">
        <f>IFERROR(INDEX(_怪物基线!$D$2:$D$501,MATCH(INT($L233),_怪物基线!$A$2:$A$501,0)),"")</f>
        <v>17203</v>
      </c>
      <c r="R233" s="16">
        <f>参数!$B$10</f>
        <v>4</v>
      </c>
      <c r="S233" s="16">
        <f>参数!$C$10</f>
        <v>1.2</v>
      </c>
      <c r="T233" s="16">
        <f>参数!$D$10</f>
        <v>1</v>
      </c>
      <c r="U233" s="16">
        <f t="shared" si="24"/>
        <v>532296</v>
      </c>
      <c r="V233" s="16">
        <f t="shared" si="25"/>
        <v>19885.2</v>
      </c>
      <c r="W233" s="16">
        <f t="shared" si="26"/>
        <v>17203</v>
      </c>
      <c r="X233" s="16">
        <f>IFERROR(INDEX(参数!$B$5:$B$7,MATCH($N233,参数!$A$5:$A$7,0)),"")</f>
        <v>1.25</v>
      </c>
      <c r="Y233" s="16">
        <f>IFERROR(INDEX(参数!$C$5:$C$7,MATCH($N233,参数!$A$5:$A$7,0)),"")</f>
        <v>1</v>
      </c>
      <c r="Z233" s="16">
        <f>IFERROR(INDEX(参数!$D$5:$D$7,MATCH($N233,参数!$A$5:$A$7,0)),"")</f>
        <v>1.25</v>
      </c>
      <c r="AA233" s="16">
        <f>IFERROR(INDEX(楼层配置!$E$5:$E$104,MATCH($K233,楼层配置!$B$5:$B$104,0)),1)</f>
        <v>1.15902261534038</v>
      </c>
      <c r="AB233" s="16">
        <f>IFERROR(INDEX(楼层配置!$F$5:$F$104,MATCH($K233,楼层配置!$B$5:$B$104,0)),1)</f>
        <v>0.670428662462566</v>
      </c>
      <c r="AC233" s="16">
        <f>IFERROR(INDEX(楼层配置!$G$5:$G$104,MATCH($K233,楼层配置!$B$5:$B$104,0)),1)</f>
        <v>1</v>
      </c>
      <c r="AD233" s="18">
        <f t="shared" si="27"/>
        <v>-0.0694403216503404</v>
      </c>
      <c r="AE233" s="18">
        <f t="shared" si="28"/>
        <v>-0.0499536806099907</v>
      </c>
      <c r="AF233" s="18">
        <f t="shared" si="29"/>
        <v>0.359807765271279</v>
      </c>
      <c r="AG233" s="16" t="str">
        <f t="shared" si="30"/>
        <v>有效</v>
      </c>
      <c r="AH233">
        <f t="shared" si="31"/>
        <v>1462155.384</v>
      </c>
    </row>
    <row r="234" ht="14.25" customHeight="1" spans="1:34">
      <c r="A234" s="16">
        <v>230</v>
      </c>
      <c r="B234" s="16">
        <v>1018</v>
      </c>
      <c r="C234" s="16">
        <v>33</v>
      </c>
      <c r="D234" s="17">
        <f>IFERROR(ROUND($U234*$X234*$AA234*参数!$B$13,0),"")</f>
        <v>771179</v>
      </c>
      <c r="E234" s="17">
        <f>IFERROR(ROUND($V234*$Y234*$AB234*参数!$C$13,0),"")</f>
        <v>13332</v>
      </c>
      <c r="F234" s="17">
        <f>IFERROR(ROUND($W234*$Z234*$AC234*参数!$D$13,0),"")</f>
        <v>21504</v>
      </c>
      <c r="G234" s="16">
        <v>828726</v>
      </c>
      <c r="H234" s="16">
        <v>14033</v>
      </c>
      <c r="I234" s="16">
        <v>15814</v>
      </c>
      <c r="J234" s="16">
        <v>46</v>
      </c>
      <c r="K234" s="16">
        <v>46</v>
      </c>
      <c r="L234" s="16">
        <f>IFERROR(INDEX(楼层配置!$D$5:$D$104,MATCH($K234,楼层配置!$B$5:$B$104,0)),"")</f>
        <v>182</v>
      </c>
      <c r="M234" s="16" t="str">
        <f>IFERROR(INDEX(_角色基线!$B$2:$B$100,MATCH($B234,_角色基线!$A$2:$A$100,0)),"")</f>
        <v>埃莉诺</v>
      </c>
      <c r="N234" s="16" t="str">
        <f>IFERROR(INDEX(_角色基线!$C$2:$C$100,MATCH($B234,_角色基线!$A$2:$A$100,0)),"")</f>
        <v>Support</v>
      </c>
      <c r="O234" s="16">
        <f>IFERROR(INDEX(_怪物基线!$B$2:$B$501,MATCH(INT($L234),_怪物基线!$A$2:$A$501,0)),"")</f>
        <v>133074</v>
      </c>
      <c r="P234" s="16">
        <f>IFERROR(INDEX(_怪物基线!$C$2:$C$501,MATCH(INT($L234),_怪物基线!$A$2:$A$501,0)),"")</f>
        <v>16571</v>
      </c>
      <c r="Q234" s="16">
        <f>IFERROR(INDEX(_怪物基线!$D$2:$D$501,MATCH(INT($L234),_怪物基线!$A$2:$A$501,0)),"")</f>
        <v>17203</v>
      </c>
      <c r="R234" s="16">
        <f>参数!$B$10</f>
        <v>4</v>
      </c>
      <c r="S234" s="16">
        <f>参数!$C$10</f>
        <v>1.2</v>
      </c>
      <c r="T234" s="16">
        <f>参数!$D$10</f>
        <v>1</v>
      </c>
      <c r="U234" s="16">
        <f t="shared" si="24"/>
        <v>532296</v>
      </c>
      <c r="V234" s="16">
        <f t="shared" si="25"/>
        <v>19885.2</v>
      </c>
      <c r="W234" s="16">
        <f t="shared" si="26"/>
        <v>17203</v>
      </c>
      <c r="X234" s="16">
        <f>IFERROR(INDEX(参数!$B$5:$B$7,MATCH($N234,参数!$A$5:$A$7,0)),"")</f>
        <v>1.25</v>
      </c>
      <c r="Y234" s="16">
        <f>IFERROR(INDEX(参数!$C$5:$C$7,MATCH($N234,参数!$A$5:$A$7,0)),"")</f>
        <v>1</v>
      </c>
      <c r="Z234" s="16">
        <f>IFERROR(INDEX(参数!$D$5:$D$7,MATCH($N234,参数!$A$5:$A$7,0)),"")</f>
        <v>1.25</v>
      </c>
      <c r="AA234" s="16">
        <f>IFERROR(INDEX(楼层配置!$E$5:$E$104,MATCH($K234,楼层配置!$B$5:$B$104,0)),1)</f>
        <v>1.15902261534038</v>
      </c>
      <c r="AB234" s="16">
        <f>IFERROR(INDEX(楼层配置!$F$5:$F$104,MATCH($K234,楼层配置!$B$5:$B$104,0)),1)</f>
        <v>0.670428662462566</v>
      </c>
      <c r="AC234" s="16">
        <f>IFERROR(INDEX(楼层配置!$G$5:$G$104,MATCH($K234,楼层配置!$B$5:$B$104,0)),1)</f>
        <v>1</v>
      </c>
      <c r="AD234" s="18">
        <f t="shared" si="27"/>
        <v>-0.0694403216503404</v>
      </c>
      <c r="AE234" s="18">
        <f t="shared" si="28"/>
        <v>-0.0499536806099907</v>
      </c>
      <c r="AF234" s="18">
        <f t="shared" si="29"/>
        <v>0.359807765271279</v>
      </c>
      <c r="AG234" s="16" t="str">
        <f t="shared" si="30"/>
        <v>有效</v>
      </c>
      <c r="AH234">
        <f t="shared" si="31"/>
        <v>1462155.384</v>
      </c>
    </row>
    <row r="235" ht="14.25" customHeight="1" spans="1:34">
      <c r="A235" s="16">
        <v>231</v>
      </c>
      <c r="B235" s="16">
        <v>1030</v>
      </c>
      <c r="C235" s="16">
        <v>33</v>
      </c>
      <c r="D235" s="17">
        <f>IFERROR(ROUND($U235*$X235*$AA235*参数!$B$13,0),"")</f>
        <v>960300</v>
      </c>
      <c r="E235" s="17">
        <f>IFERROR(ROUND($V235*$Y235*$AB235*参数!$C$13,0),"")</f>
        <v>13757</v>
      </c>
      <c r="F235" s="17">
        <f>IFERROR(ROUND($W235*$Z235*$AC235*参数!$D$13,0),"")</f>
        <v>26324</v>
      </c>
      <c r="G235" s="16">
        <v>1042682</v>
      </c>
      <c r="H235" s="16">
        <v>14482</v>
      </c>
      <c r="I235" s="16">
        <v>19466</v>
      </c>
      <c r="J235" s="16">
        <v>47</v>
      </c>
      <c r="K235" s="16">
        <v>47</v>
      </c>
      <c r="L235" s="16">
        <f>IFERROR(INDEX(楼层配置!$D$5:$D$104,MATCH($K235,楼层配置!$B$5:$B$104,0)),"")</f>
        <v>185</v>
      </c>
      <c r="M235" s="16" t="str">
        <f>IFERROR(INDEX(_角色基线!$B$2:$B$100,MATCH($B235,_角色基线!$A$2:$A$100,0)),"")</f>
        <v>莫莉</v>
      </c>
      <c r="N235" s="16" t="str">
        <f>IFERROR(INDEX(_角色基线!$C$2:$C$100,MATCH($B235,_角色基线!$A$2:$A$100,0)),"")</f>
        <v>Tank</v>
      </c>
      <c r="O235" s="16">
        <f>IFERROR(INDEX(_怪物基线!$B$2:$B$501,MATCH(INT($L235),_怪物基线!$A$2:$A$501,0)),"")</f>
        <v>138304</v>
      </c>
      <c r="P235" s="16">
        <f>IFERROR(INDEX(_怪物基线!$C$2:$C$501,MATCH(INT($L235),_怪物基线!$A$2:$A$501,0)),"")</f>
        <v>17039</v>
      </c>
      <c r="Q235" s="16">
        <f>IFERROR(INDEX(_怪物基线!$D$2:$D$501,MATCH(INT($L235),_怪物基线!$A$2:$A$501,0)),"")</f>
        <v>17549</v>
      </c>
      <c r="R235" s="16">
        <f>参数!$B$10</f>
        <v>4</v>
      </c>
      <c r="S235" s="16">
        <f>参数!$C$10</f>
        <v>1.2</v>
      </c>
      <c r="T235" s="16">
        <f>参数!$D$10</f>
        <v>1</v>
      </c>
      <c r="U235" s="16">
        <f t="shared" si="24"/>
        <v>553216</v>
      </c>
      <c r="V235" s="16">
        <f t="shared" si="25"/>
        <v>20446.8</v>
      </c>
      <c r="W235" s="16">
        <f t="shared" si="26"/>
        <v>17549</v>
      </c>
      <c r="X235" s="16">
        <f>IFERROR(INDEX(参数!$B$5:$B$7,MATCH($N235,参数!$A$5:$A$7,0)),"")</f>
        <v>1.5</v>
      </c>
      <c r="Y235" s="16">
        <f>IFERROR(INDEX(参数!$C$5:$C$7,MATCH($N235,参数!$A$5:$A$7,0)),"")</f>
        <v>1</v>
      </c>
      <c r="Z235" s="16">
        <f>IFERROR(INDEX(参数!$D$5:$D$7,MATCH($N235,参数!$A$5:$A$7,0)),"")</f>
        <v>1.5</v>
      </c>
      <c r="AA235" s="16">
        <f>IFERROR(INDEX(楼层配置!$E$5:$E$104,MATCH($K235,楼层配置!$B$5:$B$104,0)),1)</f>
        <v>1.15723303110238</v>
      </c>
      <c r="AB235" s="16">
        <f>IFERROR(INDEX(楼层配置!$F$5:$F$104,MATCH($K235,楼层配置!$B$5:$B$104,0)),1)</f>
        <v>0.672811477945234</v>
      </c>
      <c r="AC235" s="16">
        <f>IFERROR(INDEX(楼层配置!$G$5:$G$104,MATCH($K235,楼层配置!$B$5:$B$104,0)),1)</f>
        <v>1</v>
      </c>
      <c r="AD235" s="18">
        <f t="shared" si="27"/>
        <v>-0.0790097076577518</v>
      </c>
      <c r="AE235" s="18">
        <f t="shared" si="28"/>
        <v>-0.0500621461124154</v>
      </c>
      <c r="AF235" s="18">
        <f t="shared" si="29"/>
        <v>0.352306585841981</v>
      </c>
      <c r="AG235" s="16" t="str">
        <f t="shared" si="30"/>
        <v>有效</v>
      </c>
      <c r="AH235">
        <f t="shared" si="31"/>
        <v>2013589.05</v>
      </c>
    </row>
    <row r="236" ht="14.25" customHeight="1" spans="1:34">
      <c r="A236" s="16">
        <v>232</v>
      </c>
      <c r="B236" s="16">
        <v>1012</v>
      </c>
      <c r="C236" s="16">
        <v>33</v>
      </c>
      <c r="D236" s="17">
        <f>IFERROR(ROUND($U236*$X236*$AA236*参数!$B$13,0),"")</f>
        <v>800250</v>
      </c>
      <c r="E236" s="17">
        <f>IFERROR(ROUND($V236*$Y236*$AB236*参数!$C$13,0),"")</f>
        <v>13757</v>
      </c>
      <c r="F236" s="17">
        <f>IFERROR(ROUND($W236*$Z236*$AC236*参数!$D$13,0),"")</f>
        <v>21936</v>
      </c>
      <c r="G236" s="16">
        <v>868902</v>
      </c>
      <c r="H236" s="16">
        <v>14482</v>
      </c>
      <c r="I236" s="16">
        <v>16222</v>
      </c>
      <c r="J236" s="16">
        <v>47</v>
      </c>
      <c r="K236" s="16">
        <v>47</v>
      </c>
      <c r="L236" s="16">
        <f>IFERROR(INDEX(楼层配置!$D$5:$D$104,MATCH($K236,楼层配置!$B$5:$B$104,0)),"")</f>
        <v>185</v>
      </c>
      <c r="M236" s="16" t="str">
        <f>IFERROR(INDEX(_角色基线!$B$2:$B$100,MATCH($B236,_角色基线!$A$2:$A$100,0)),"")</f>
        <v>艾德琳</v>
      </c>
      <c r="N236" s="16" t="str">
        <f>IFERROR(INDEX(_角色基线!$C$2:$C$100,MATCH($B236,_角色基线!$A$2:$A$100,0)),"")</f>
        <v>Support</v>
      </c>
      <c r="O236" s="16">
        <f>IFERROR(INDEX(_怪物基线!$B$2:$B$501,MATCH(INT($L236),_怪物基线!$A$2:$A$501,0)),"")</f>
        <v>138304</v>
      </c>
      <c r="P236" s="16">
        <f>IFERROR(INDEX(_怪物基线!$C$2:$C$501,MATCH(INT($L236),_怪物基线!$A$2:$A$501,0)),"")</f>
        <v>17039</v>
      </c>
      <c r="Q236" s="16">
        <f>IFERROR(INDEX(_怪物基线!$D$2:$D$501,MATCH(INT($L236),_怪物基线!$A$2:$A$501,0)),"")</f>
        <v>17549</v>
      </c>
      <c r="R236" s="16">
        <f>参数!$B$10</f>
        <v>4</v>
      </c>
      <c r="S236" s="16">
        <f>参数!$C$10</f>
        <v>1.2</v>
      </c>
      <c r="T236" s="16">
        <f>参数!$D$10</f>
        <v>1</v>
      </c>
      <c r="U236" s="16">
        <f t="shared" si="24"/>
        <v>553216</v>
      </c>
      <c r="V236" s="16">
        <f t="shared" si="25"/>
        <v>20446.8</v>
      </c>
      <c r="W236" s="16">
        <f t="shared" si="26"/>
        <v>17549</v>
      </c>
      <c r="X236" s="16">
        <f>IFERROR(INDEX(参数!$B$5:$B$7,MATCH($N236,参数!$A$5:$A$7,0)),"")</f>
        <v>1.25</v>
      </c>
      <c r="Y236" s="16">
        <f>IFERROR(INDEX(参数!$C$5:$C$7,MATCH($N236,参数!$A$5:$A$7,0)),"")</f>
        <v>1</v>
      </c>
      <c r="Z236" s="16">
        <f>IFERROR(INDEX(参数!$D$5:$D$7,MATCH($N236,参数!$A$5:$A$7,0)),"")</f>
        <v>1.25</v>
      </c>
      <c r="AA236" s="16">
        <f>IFERROR(INDEX(楼层配置!$E$5:$E$104,MATCH($K236,楼层配置!$B$5:$B$104,0)),1)</f>
        <v>1.15723303110238</v>
      </c>
      <c r="AB236" s="16">
        <f>IFERROR(INDEX(楼层配置!$F$5:$F$104,MATCH($K236,楼层配置!$B$5:$B$104,0)),1)</f>
        <v>0.672811477945234</v>
      </c>
      <c r="AC236" s="16">
        <f>IFERROR(INDEX(楼层配置!$G$5:$G$104,MATCH($K236,楼层配置!$B$5:$B$104,0)),1)</f>
        <v>1</v>
      </c>
      <c r="AD236" s="18">
        <f t="shared" si="27"/>
        <v>-0.0790100609735045</v>
      </c>
      <c r="AE236" s="18">
        <f t="shared" si="28"/>
        <v>-0.0500621461124154</v>
      </c>
      <c r="AF236" s="18">
        <f t="shared" si="29"/>
        <v>0.352237701886327</v>
      </c>
      <c r="AG236" s="16" t="str">
        <f t="shared" si="30"/>
        <v>有效</v>
      </c>
      <c r="AH236">
        <f t="shared" si="31"/>
        <v>1531678.5</v>
      </c>
    </row>
    <row r="237" ht="14.25" customHeight="1" spans="1:34">
      <c r="A237" s="16">
        <v>233</v>
      </c>
      <c r="B237" s="16">
        <v>1012</v>
      </c>
      <c r="C237" s="16">
        <v>33</v>
      </c>
      <c r="D237" s="17">
        <f>IFERROR(ROUND($U237*$X237*$AA237*参数!$B$13,0),"")</f>
        <v>800250</v>
      </c>
      <c r="E237" s="17">
        <f>IFERROR(ROUND($V237*$Y237*$AB237*参数!$C$13,0),"")</f>
        <v>13757</v>
      </c>
      <c r="F237" s="17">
        <f>IFERROR(ROUND($W237*$Z237*$AC237*参数!$D$13,0),"")</f>
        <v>21936</v>
      </c>
      <c r="G237" s="16">
        <v>868902</v>
      </c>
      <c r="H237" s="16">
        <v>14482</v>
      </c>
      <c r="I237" s="16">
        <v>16222</v>
      </c>
      <c r="J237" s="16">
        <v>47</v>
      </c>
      <c r="K237" s="16">
        <v>47</v>
      </c>
      <c r="L237" s="16">
        <f>IFERROR(INDEX(楼层配置!$D$5:$D$104,MATCH($K237,楼层配置!$B$5:$B$104,0)),"")</f>
        <v>185</v>
      </c>
      <c r="M237" s="16" t="str">
        <f>IFERROR(INDEX(_角色基线!$B$2:$B$100,MATCH($B237,_角色基线!$A$2:$A$100,0)),"")</f>
        <v>艾德琳</v>
      </c>
      <c r="N237" s="16" t="str">
        <f>IFERROR(INDEX(_角色基线!$C$2:$C$100,MATCH($B237,_角色基线!$A$2:$A$100,0)),"")</f>
        <v>Support</v>
      </c>
      <c r="O237" s="16">
        <f>IFERROR(INDEX(_怪物基线!$B$2:$B$501,MATCH(INT($L237),_怪物基线!$A$2:$A$501,0)),"")</f>
        <v>138304</v>
      </c>
      <c r="P237" s="16">
        <f>IFERROR(INDEX(_怪物基线!$C$2:$C$501,MATCH(INT($L237),_怪物基线!$A$2:$A$501,0)),"")</f>
        <v>17039</v>
      </c>
      <c r="Q237" s="16">
        <f>IFERROR(INDEX(_怪物基线!$D$2:$D$501,MATCH(INT($L237),_怪物基线!$A$2:$A$501,0)),"")</f>
        <v>17549</v>
      </c>
      <c r="R237" s="16">
        <f>参数!$B$10</f>
        <v>4</v>
      </c>
      <c r="S237" s="16">
        <f>参数!$C$10</f>
        <v>1.2</v>
      </c>
      <c r="T237" s="16">
        <f>参数!$D$10</f>
        <v>1</v>
      </c>
      <c r="U237" s="16">
        <f t="shared" si="24"/>
        <v>553216</v>
      </c>
      <c r="V237" s="16">
        <f t="shared" si="25"/>
        <v>20446.8</v>
      </c>
      <c r="W237" s="16">
        <f t="shared" si="26"/>
        <v>17549</v>
      </c>
      <c r="X237" s="16">
        <f>IFERROR(INDEX(参数!$B$5:$B$7,MATCH($N237,参数!$A$5:$A$7,0)),"")</f>
        <v>1.25</v>
      </c>
      <c r="Y237" s="16">
        <f>IFERROR(INDEX(参数!$C$5:$C$7,MATCH($N237,参数!$A$5:$A$7,0)),"")</f>
        <v>1</v>
      </c>
      <c r="Z237" s="16">
        <f>IFERROR(INDEX(参数!$D$5:$D$7,MATCH($N237,参数!$A$5:$A$7,0)),"")</f>
        <v>1.25</v>
      </c>
      <c r="AA237" s="16">
        <f>IFERROR(INDEX(楼层配置!$E$5:$E$104,MATCH($K237,楼层配置!$B$5:$B$104,0)),1)</f>
        <v>1.15723303110238</v>
      </c>
      <c r="AB237" s="16">
        <f>IFERROR(INDEX(楼层配置!$F$5:$F$104,MATCH($K237,楼层配置!$B$5:$B$104,0)),1)</f>
        <v>0.672811477945234</v>
      </c>
      <c r="AC237" s="16">
        <f>IFERROR(INDEX(楼层配置!$G$5:$G$104,MATCH($K237,楼层配置!$B$5:$B$104,0)),1)</f>
        <v>1</v>
      </c>
      <c r="AD237" s="18">
        <f t="shared" si="27"/>
        <v>-0.0790100609735045</v>
      </c>
      <c r="AE237" s="18">
        <f t="shared" si="28"/>
        <v>-0.0500621461124154</v>
      </c>
      <c r="AF237" s="18">
        <f t="shared" si="29"/>
        <v>0.352237701886327</v>
      </c>
      <c r="AG237" s="16" t="str">
        <f t="shared" si="30"/>
        <v>有效</v>
      </c>
      <c r="AH237">
        <f t="shared" si="31"/>
        <v>1531678.5</v>
      </c>
    </row>
    <row r="238" ht="14.25" customHeight="1" spans="1:34">
      <c r="A238" s="16">
        <v>234</v>
      </c>
      <c r="B238" s="16">
        <v>1026</v>
      </c>
      <c r="C238" s="16">
        <v>33</v>
      </c>
      <c r="D238" s="17">
        <f>IFERROR(ROUND($U238*$X238*$AA238*参数!$B$13,0),"")</f>
        <v>640200</v>
      </c>
      <c r="E238" s="17">
        <f>IFERROR(ROUND($V238*$Y238*$AB238*参数!$C$13,0),"")</f>
        <v>16508</v>
      </c>
      <c r="F238" s="17">
        <f>IFERROR(ROUND($W238*$Z238*$AC238*参数!$D$13,0),"")</f>
        <v>17549</v>
      </c>
      <c r="G238" s="16">
        <v>695121</v>
      </c>
      <c r="H238" s="16">
        <v>17378</v>
      </c>
      <c r="I238" s="16">
        <v>12977</v>
      </c>
      <c r="J238" s="16">
        <v>47</v>
      </c>
      <c r="K238" s="16">
        <v>47</v>
      </c>
      <c r="L238" s="16">
        <f>IFERROR(INDEX(楼层配置!$D$5:$D$104,MATCH($K238,楼层配置!$B$5:$B$104,0)),"")</f>
        <v>185</v>
      </c>
      <c r="M238" s="16" t="str">
        <f>IFERROR(INDEX(_角色基线!$B$2:$B$100,MATCH($B238,_角色基线!$A$2:$A$100,0)),"")</f>
        <v>乔一</v>
      </c>
      <c r="N238" s="16" t="str">
        <f>IFERROR(INDEX(_角色基线!$C$2:$C$100,MATCH($B238,_角色基线!$A$2:$A$100,0)),"")</f>
        <v>DPS</v>
      </c>
      <c r="O238" s="16">
        <f>IFERROR(INDEX(_怪物基线!$B$2:$B$501,MATCH(INT($L238),_怪物基线!$A$2:$A$501,0)),"")</f>
        <v>138304</v>
      </c>
      <c r="P238" s="16">
        <f>IFERROR(INDEX(_怪物基线!$C$2:$C$501,MATCH(INT($L238),_怪物基线!$A$2:$A$501,0)),"")</f>
        <v>17039</v>
      </c>
      <c r="Q238" s="16">
        <f>IFERROR(INDEX(_怪物基线!$D$2:$D$501,MATCH(INT($L238),_怪物基线!$A$2:$A$501,0)),"")</f>
        <v>17549</v>
      </c>
      <c r="R238" s="16">
        <f>参数!$B$10</f>
        <v>4</v>
      </c>
      <c r="S238" s="16">
        <f>参数!$C$10</f>
        <v>1.2</v>
      </c>
      <c r="T238" s="16">
        <f>参数!$D$10</f>
        <v>1</v>
      </c>
      <c r="U238" s="16">
        <f t="shared" si="24"/>
        <v>553216</v>
      </c>
      <c r="V238" s="16">
        <f t="shared" si="25"/>
        <v>20446.8</v>
      </c>
      <c r="W238" s="16">
        <f t="shared" si="26"/>
        <v>17549</v>
      </c>
      <c r="X238" s="16">
        <f>IFERROR(INDEX(参数!$B$5:$B$7,MATCH($N238,参数!$A$5:$A$7,0)),"")</f>
        <v>1</v>
      </c>
      <c r="Y238" s="16">
        <f>IFERROR(INDEX(参数!$C$5:$C$7,MATCH($N238,参数!$A$5:$A$7,0)),"")</f>
        <v>1.2</v>
      </c>
      <c r="Z238" s="16">
        <f>IFERROR(INDEX(参数!$D$5:$D$7,MATCH($N238,参数!$A$5:$A$7,0)),"")</f>
        <v>1</v>
      </c>
      <c r="AA238" s="16">
        <f>IFERROR(INDEX(楼层配置!$E$5:$E$104,MATCH($K238,楼层配置!$B$5:$B$104,0)),1)</f>
        <v>1.15723303110238</v>
      </c>
      <c r="AB238" s="16">
        <f>IFERROR(INDEX(楼层配置!$F$5:$F$104,MATCH($K238,楼层配置!$B$5:$B$104,0)),1)</f>
        <v>0.672811477945234</v>
      </c>
      <c r="AC238" s="16">
        <f>IFERROR(INDEX(楼层配置!$G$5:$G$104,MATCH($K238,楼层配置!$B$5:$B$104,0)),1)</f>
        <v>1</v>
      </c>
      <c r="AD238" s="18">
        <f t="shared" si="27"/>
        <v>-0.0790092660126798</v>
      </c>
      <c r="AE238" s="18">
        <f t="shared" si="28"/>
        <v>-0.0500632984232938</v>
      </c>
      <c r="AF238" s="18">
        <f t="shared" si="29"/>
        <v>0.352315635354859</v>
      </c>
      <c r="AG238" s="16" t="str">
        <f t="shared" si="30"/>
        <v>有效</v>
      </c>
      <c r="AH238">
        <f t="shared" si="31"/>
        <v>1108319.575</v>
      </c>
    </row>
    <row r="239" ht="14.25" customHeight="1" spans="1:34">
      <c r="A239" s="16">
        <v>235</v>
      </c>
      <c r="B239" s="16">
        <v>1021</v>
      </c>
      <c r="C239" s="16">
        <v>33</v>
      </c>
      <c r="D239" s="17">
        <f>IFERROR(ROUND($U239*$X239*$AA239*参数!$B$13,0),"")</f>
        <v>640200</v>
      </c>
      <c r="E239" s="17">
        <f>IFERROR(ROUND($V239*$Y239*$AB239*参数!$C$13,0),"")</f>
        <v>16508</v>
      </c>
      <c r="F239" s="17">
        <f>IFERROR(ROUND($W239*$Z239*$AC239*参数!$D$13,0),"")</f>
        <v>17549</v>
      </c>
      <c r="G239" s="16">
        <v>695121</v>
      </c>
      <c r="H239" s="16">
        <v>17378</v>
      </c>
      <c r="I239" s="16">
        <v>12977</v>
      </c>
      <c r="J239" s="16">
        <v>47</v>
      </c>
      <c r="K239" s="16">
        <v>47</v>
      </c>
      <c r="L239" s="16">
        <f>IFERROR(INDEX(楼层配置!$D$5:$D$104,MATCH($K239,楼层配置!$B$5:$B$104,0)),"")</f>
        <v>185</v>
      </c>
      <c r="M239" s="16" t="str">
        <f>IFERROR(INDEX(_角色基线!$B$2:$B$100,MATCH($B239,_角色基线!$A$2:$A$100,0)),"")</f>
        <v>梅梅</v>
      </c>
      <c r="N239" s="16" t="str">
        <f>IFERROR(INDEX(_角色基线!$C$2:$C$100,MATCH($B239,_角色基线!$A$2:$A$100,0)),"")</f>
        <v>DPS</v>
      </c>
      <c r="O239" s="16">
        <f>IFERROR(INDEX(_怪物基线!$B$2:$B$501,MATCH(INT($L239),_怪物基线!$A$2:$A$501,0)),"")</f>
        <v>138304</v>
      </c>
      <c r="P239" s="16">
        <f>IFERROR(INDEX(_怪物基线!$C$2:$C$501,MATCH(INT($L239),_怪物基线!$A$2:$A$501,0)),"")</f>
        <v>17039</v>
      </c>
      <c r="Q239" s="16">
        <f>IFERROR(INDEX(_怪物基线!$D$2:$D$501,MATCH(INT($L239),_怪物基线!$A$2:$A$501,0)),"")</f>
        <v>17549</v>
      </c>
      <c r="R239" s="16">
        <f>参数!$B$10</f>
        <v>4</v>
      </c>
      <c r="S239" s="16">
        <f>参数!$C$10</f>
        <v>1.2</v>
      </c>
      <c r="T239" s="16">
        <f>参数!$D$10</f>
        <v>1</v>
      </c>
      <c r="U239" s="16">
        <f t="shared" si="24"/>
        <v>553216</v>
      </c>
      <c r="V239" s="16">
        <f t="shared" si="25"/>
        <v>20446.8</v>
      </c>
      <c r="W239" s="16">
        <f t="shared" si="26"/>
        <v>17549</v>
      </c>
      <c r="X239" s="16">
        <f>IFERROR(INDEX(参数!$B$5:$B$7,MATCH($N239,参数!$A$5:$A$7,0)),"")</f>
        <v>1</v>
      </c>
      <c r="Y239" s="16">
        <f>IFERROR(INDEX(参数!$C$5:$C$7,MATCH($N239,参数!$A$5:$A$7,0)),"")</f>
        <v>1.2</v>
      </c>
      <c r="Z239" s="16">
        <f>IFERROR(INDEX(参数!$D$5:$D$7,MATCH($N239,参数!$A$5:$A$7,0)),"")</f>
        <v>1</v>
      </c>
      <c r="AA239" s="16">
        <f>IFERROR(INDEX(楼层配置!$E$5:$E$104,MATCH($K239,楼层配置!$B$5:$B$104,0)),1)</f>
        <v>1.15723303110238</v>
      </c>
      <c r="AB239" s="16">
        <f>IFERROR(INDEX(楼层配置!$F$5:$F$104,MATCH($K239,楼层配置!$B$5:$B$104,0)),1)</f>
        <v>0.672811477945234</v>
      </c>
      <c r="AC239" s="16">
        <f>IFERROR(INDEX(楼层配置!$G$5:$G$104,MATCH($K239,楼层配置!$B$5:$B$104,0)),1)</f>
        <v>1</v>
      </c>
      <c r="AD239" s="18">
        <f t="shared" si="27"/>
        <v>-0.0790092660126798</v>
      </c>
      <c r="AE239" s="18">
        <f t="shared" si="28"/>
        <v>-0.0500632984232938</v>
      </c>
      <c r="AF239" s="18">
        <f t="shared" si="29"/>
        <v>0.352315635354859</v>
      </c>
      <c r="AG239" s="16" t="str">
        <f t="shared" si="30"/>
        <v>有效</v>
      </c>
      <c r="AH239">
        <f t="shared" si="31"/>
        <v>1108319.575</v>
      </c>
    </row>
    <row r="240" ht="14.25" customHeight="1" spans="1:34">
      <c r="A240" s="16">
        <v>236</v>
      </c>
      <c r="B240" s="16">
        <v>1002</v>
      </c>
      <c r="C240" s="16">
        <v>34</v>
      </c>
      <c r="D240" s="17">
        <f>IFERROR(ROUND($U240*$X240*$AA240*参数!$B$13,0),"")</f>
        <v>1009493</v>
      </c>
      <c r="E240" s="17">
        <f>IFERROR(ROUND($V240*$Y240*$AB240*参数!$C$13,0),"")</f>
        <v>14265</v>
      </c>
      <c r="F240" s="17">
        <f>IFERROR(ROUND($W240*$Z240*$AC240*参数!$D$13,0),"")</f>
        <v>27023</v>
      </c>
      <c r="G240" s="16">
        <v>1092542</v>
      </c>
      <c r="H240" s="16">
        <v>14939</v>
      </c>
      <c r="I240" s="16">
        <v>19960</v>
      </c>
      <c r="J240" s="16">
        <v>48</v>
      </c>
      <c r="K240" s="16">
        <v>48</v>
      </c>
      <c r="L240" s="16">
        <f>IFERROR(INDEX(楼层配置!$D$5:$D$104,MATCH($K240,楼层配置!$B$5:$B$104,0)),"")</f>
        <v>189</v>
      </c>
      <c r="M240" s="16" t="str">
        <f>IFERROR(INDEX(_角色基线!$B$2:$B$100,MATCH($B240,_角色基线!$A$2:$A$100,0)),"")</f>
        <v>大暑</v>
      </c>
      <c r="N240" s="16" t="str">
        <f>IFERROR(INDEX(_角色基线!$C$2:$C$100,MATCH($B240,_角色基线!$A$2:$A$100,0)),"")</f>
        <v>Tank</v>
      </c>
      <c r="O240" s="16">
        <f>IFERROR(INDEX(_怪物基线!$B$2:$B$501,MATCH(INT($L240),_怪物基线!$A$2:$A$501,0)),"")</f>
        <v>145508</v>
      </c>
      <c r="P240" s="16">
        <f>IFERROR(INDEX(_怪物基线!$C$2:$C$501,MATCH(INT($L240),_怪物基线!$A$2:$A$501,0)),"")</f>
        <v>17677</v>
      </c>
      <c r="Q240" s="16">
        <f>IFERROR(INDEX(_怪物基线!$D$2:$D$501,MATCH(INT($L240),_怪物基线!$A$2:$A$501,0)),"")</f>
        <v>18015</v>
      </c>
      <c r="R240" s="16">
        <f>参数!$B$10</f>
        <v>4</v>
      </c>
      <c r="S240" s="16">
        <f>参数!$C$10</f>
        <v>1.2</v>
      </c>
      <c r="T240" s="16">
        <f>参数!$D$10</f>
        <v>1</v>
      </c>
      <c r="U240" s="16">
        <f t="shared" si="24"/>
        <v>582032</v>
      </c>
      <c r="V240" s="16">
        <f t="shared" si="25"/>
        <v>21212.4</v>
      </c>
      <c r="W240" s="16">
        <f t="shared" si="26"/>
        <v>18015</v>
      </c>
      <c r="X240" s="16">
        <f>IFERROR(INDEX(参数!$B$5:$B$7,MATCH($N240,参数!$A$5:$A$7,0)),"")</f>
        <v>1.5</v>
      </c>
      <c r="Y240" s="16">
        <f>IFERROR(INDEX(参数!$C$5:$C$7,MATCH($N240,参数!$A$5:$A$7,0)),"")</f>
        <v>1</v>
      </c>
      <c r="Z240" s="16">
        <f>IFERROR(INDEX(参数!$D$5:$D$7,MATCH($N240,参数!$A$5:$A$7,0)),"")</f>
        <v>1.5</v>
      </c>
      <c r="AA240" s="16">
        <f>IFERROR(INDEX(楼层配置!$E$5:$E$104,MATCH($K240,楼层配置!$B$5:$B$104,0)),1)</f>
        <v>1.15628599730198</v>
      </c>
      <c r="AB240" s="16">
        <f>IFERROR(INDEX(楼层配置!$F$5:$F$104,MATCH($K240,楼层配置!$B$5:$B$104,0)),1)</f>
        <v>0.672487082221314</v>
      </c>
      <c r="AC240" s="16">
        <f>IFERROR(INDEX(楼层配置!$G$5:$G$104,MATCH($K240,楼层配置!$B$5:$B$104,0)),1)</f>
        <v>1</v>
      </c>
      <c r="AD240" s="18">
        <f t="shared" si="27"/>
        <v>-0.0760144690089717</v>
      </c>
      <c r="AE240" s="18">
        <f t="shared" si="28"/>
        <v>-0.0451168083539728</v>
      </c>
      <c r="AF240" s="18">
        <f t="shared" si="29"/>
        <v>0.353857715430862</v>
      </c>
      <c r="AG240" s="16" t="str">
        <f t="shared" si="30"/>
        <v>有效</v>
      </c>
      <c r="AH240">
        <f t="shared" si="31"/>
        <v>2146140.05579167</v>
      </c>
    </row>
    <row r="241" ht="14.25" customHeight="1" spans="1:34">
      <c r="A241" s="16">
        <v>237</v>
      </c>
      <c r="B241" s="16">
        <v>1015</v>
      </c>
      <c r="C241" s="16">
        <v>34</v>
      </c>
      <c r="D241" s="17">
        <f>IFERROR(ROUND($U241*$X241*$AA241*参数!$B$13,0),"")</f>
        <v>841244</v>
      </c>
      <c r="E241" s="17">
        <f>IFERROR(ROUND($V241*$Y241*$AB241*参数!$C$13,0),"")</f>
        <v>14265</v>
      </c>
      <c r="F241" s="17">
        <f>IFERROR(ROUND($W241*$Z241*$AC241*参数!$D$13,0),"")</f>
        <v>22519</v>
      </c>
      <c r="G241" s="16">
        <v>910452</v>
      </c>
      <c r="H241" s="16">
        <v>14939</v>
      </c>
      <c r="I241" s="16">
        <v>16634</v>
      </c>
      <c r="J241" s="16">
        <v>48</v>
      </c>
      <c r="K241" s="16">
        <v>48</v>
      </c>
      <c r="L241" s="16">
        <f>IFERROR(INDEX(楼层配置!$D$5:$D$104,MATCH($K241,楼层配置!$B$5:$B$104,0)),"")</f>
        <v>189</v>
      </c>
      <c r="M241" s="16" t="str">
        <f>IFERROR(INDEX(_角色基线!$B$2:$B$100,MATCH($B241,_角色基线!$A$2:$A$100,0)),"")</f>
        <v>阿莱克西娅</v>
      </c>
      <c r="N241" s="16" t="str">
        <f>IFERROR(INDEX(_角色基线!$C$2:$C$100,MATCH($B241,_角色基线!$A$2:$A$100,0)),"")</f>
        <v>Support</v>
      </c>
      <c r="O241" s="16">
        <f>IFERROR(INDEX(_怪物基线!$B$2:$B$501,MATCH(INT($L241),_怪物基线!$A$2:$A$501,0)),"")</f>
        <v>145508</v>
      </c>
      <c r="P241" s="16">
        <f>IFERROR(INDEX(_怪物基线!$C$2:$C$501,MATCH(INT($L241),_怪物基线!$A$2:$A$501,0)),"")</f>
        <v>17677</v>
      </c>
      <c r="Q241" s="16">
        <f>IFERROR(INDEX(_怪物基线!$D$2:$D$501,MATCH(INT($L241),_怪物基线!$A$2:$A$501,0)),"")</f>
        <v>18015</v>
      </c>
      <c r="R241" s="16">
        <f>参数!$B$10</f>
        <v>4</v>
      </c>
      <c r="S241" s="16">
        <f>参数!$C$10</f>
        <v>1.2</v>
      </c>
      <c r="T241" s="16">
        <f>参数!$D$10</f>
        <v>1</v>
      </c>
      <c r="U241" s="16">
        <f t="shared" si="24"/>
        <v>582032</v>
      </c>
      <c r="V241" s="16">
        <f t="shared" si="25"/>
        <v>21212.4</v>
      </c>
      <c r="W241" s="16">
        <f t="shared" si="26"/>
        <v>18015</v>
      </c>
      <c r="X241" s="16">
        <f>IFERROR(INDEX(参数!$B$5:$B$7,MATCH($N241,参数!$A$5:$A$7,0)),"")</f>
        <v>1.25</v>
      </c>
      <c r="Y241" s="16">
        <f>IFERROR(INDEX(参数!$C$5:$C$7,MATCH($N241,参数!$A$5:$A$7,0)),"")</f>
        <v>1</v>
      </c>
      <c r="Z241" s="16">
        <f>IFERROR(INDEX(参数!$D$5:$D$7,MATCH($N241,参数!$A$5:$A$7,0)),"")</f>
        <v>1.25</v>
      </c>
      <c r="AA241" s="16">
        <f>IFERROR(INDEX(楼层配置!$E$5:$E$104,MATCH($K241,楼层配置!$B$5:$B$104,0)),1)</f>
        <v>1.15628599730198</v>
      </c>
      <c r="AB241" s="16">
        <f>IFERROR(INDEX(楼层配置!$F$5:$F$104,MATCH($K241,楼层配置!$B$5:$B$104,0)),1)</f>
        <v>0.672487082221314</v>
      </c>
      <c r="AC241" s="16">
        <f>IFERROR(INDEX(楼层配置!$G$5:$G$104,MATCH($K241,楼层配置!$B$5:$B$104,0)),1)</f>
        <v>1</v>
      </c>
      <c r="AD241" s="18">
        <f t="shared" si="27"/>
        <v>-0.0760149903564383</v>
      </c>
      <c r="AE241" s="18">
        <f t="shared" si="28"/>
        <v>-0.0451168083539728</v>
      </c>
      <c r="AF241" s="18">
        <f t="shared" si="29"/>
        <v>0.35379343513286</v>
      </c>
      <c r="AG241" s="16" t="str">
        <f t="shared" si="30"/>
        <v>有效</v>
      </c>
      <c r="AH241">
        <f t="shared" si="31"/>
        <v>1630576.23483333</v>
      </c>
    </row>
    <row r="242" ht="14.25" customHeight="1" spans="1:34">
      <c r="A242" s="16">
        <v>238</v>
      </c>
      <c r="B242" s="16">
        <v>1020</v>
      </c>
      <c r="C242" s="16">
        <v>34</v>
      </c>
      <c r="D242" s="17">
        <f>IFERROR(ROUND($U242*$X242*$AA242*参数!$B$13,0),"")</f>
        <v>841244</v>
      </c>
      <c r="E242" s="17">
        <f>IFERROR(ROUND($V242*$Y242*$AB242*参数!$C$13,0),"")</f>
        <v>14265</v>
      </c>
      <c r="F242" s="17">
        <f>IFERROR(ROUND($W242*$Z242*$AC242*参数!$D$13,0),"")</f>
        <v>22519</v>
      </c>
      <c r="G242" s="16">
        <v>910452</v>
      </c>
      <c r="H242" s="16">
        <v>14939</v>
      </c>
      <c r="I242" s="16">
        <v>16634</v>
      </c>
      <c r="J242" s="16">
        <v>48</v>
      </c>
      <c r="K242" s="16">
        <v>48</v>
      </c>
      <c r="L242" s="16">
        <f>IFERROR(INDEX(楼层配置!$D$5:$D$104,MATCH($K242,楼层配置!$B$5:$B$104,0)),"")</f>
        <v>189</v>
      </c>
      <c r="M242" s="16" t="str">
        <f>IFERROR(INDEX(_角色基线!$B$2:$B$100,MATCH($B242,_角色基线!$A$2:$A$100,0)),"")</f>
        <v>卡斯帕</v>
      </c>
      <c r="N242" s="16" t="str">
        <f>IFERROR(INDEX(_角色基线!$C$2:$C$100,MATCH($B242,_角色基线!$A$2:$A$100,0)),"")</f>
        <v>Support</v>
      </c>
      <c r="O242" s="16">
        <f>IFERROR(INDEX(_怪物基线!$B$2:$B$501,MATCH(INT($L242),_怪物基线!$A$2:$A$501,0)),"")</f>
        <v>145508</v>
      </c>
      <c r="P242" s="16">
        <f>IFERROR(INDEX(_怪物基线!$C$2:$C$501,MATCH(INT($L242),_怪物基线!$A$2:$A$501,0)),"")</f>
        <v>17677</v>
      </c>
      <c r="Q242" s="16">
        <f>IFERROR(INDEX(_怪物基线!$D$2:$D$501,MATCH(INT($L242),_怪物基线!$A$2:$A$501,0)),"")</f>
        <v>18015</v>
      </c>
      <c r="R242" s="16">
        <f>参数!$B$10</f>
        <v>4</v>
      </c>
      <c r="S242" s="16">
        <f>参数!$C$10</f>
        <v>1.2</v>
      </c>
      <c r="T242" s="16">
        <f>参数!$D$10</f>
        <v>1</v>
      </c>
      <c r="U242" s="16">
        <f t="shared" si="24"/>
        <v>582032</v>
      </c>
      <c r="V242" s="16">
        <f t="shared" si="25"/>
        <v>21212.4</v>
      </c>
      <c r="W242" s="16">
        <f t="shared" si="26"/>
        <v>18015</v>
      </c>
      <c r="X242" s="16">
        <f>IFERROR(INDEX(参数!$B$5:$B$7,MATCH($N242,参数!$A$5:$A$7,0)),"")</f>
        <v>1.25</v>
      </c>
      <c r="Y242" s="16">
        <f>IFERROR(INDEX(参数!$C$5:$C$7,MATCH($N242,参数!$A$5:$A$7,0)),"")</f>
        <v>1</v>
      </c>
      <c r="Z242" s="16">
        <f>IFERROR(INDEX(参数!$D$5:$D$7,MATCH($N242,参数!$A$5:$A$7,0)),"")</f>
        <v>1.25</v>
      </c>
      <c r="AA242" s="16">
        <f>IFERROR(INDEX(楼层配置!$E$5:$E$104,MATCH($K242,楼层配置!$B$5:$B$104,0)),1)</f>
        <v>1.15628599730198</v>
      </c>
      <c r="AB242" s="16">
        <f>IFERROR(INDEX(楼层配置!$F$5:$F$104,MATCH($K242,楼层配置!$B$5:$B$104,0)),1)</f>
        <v>0.672487082221314</v>
      </c>
      <c r="AC242" s="16">
        <f>IFERROR(INDEX(楼层配置!$G$5:$G$104,MATCH($K242,楼层配置!$B$5:$B$104,0)),1)</f>
        <v>1</v>
      </c>
      <c r="AD242" s="18">
        <f t="shared" si="27"/>
        <v>-0.0760149903564383</v>
      </c>
      <c r="AE242" s="18">
        <f t="shared" si="28"/>
        <v>-0.0451168083539728</v>
      </c>
      <c r="AF242" s="18">
        <f t="shared" si="29"/>
        <v>0.35379343513286</v>
      </c>
      <c r="AG242" s="16" t="str">
        <f t="shared" si="30"/>
        <v>有效</v>
      </c>
      <c r="AH242">
        <f t="shared" si="31"/>
        <v>1630576.23483333</v>
      </c>
    </row>
    <row r="243" ht="14.25" customHeight="1" spans="1:34">
      <c r="A243" s="16">
        <v>239</v>
      </c>
      <c r="B243" s="16">
        <v>1021</v>
      </c>
      <c r="C243" s="16">
        <v>34</v>
      </c>
      <c r="D243" s="17">
        <f>IFERROR(ROUND($U243*$X243*$AA243*参数!$B$13,0),"")</f>
        <v>672995</v>
      </c>
      <c r="E243" s="17">
        <f>IFERROR(ROUND($V243*$Y243*$AB243*参数!$C$13,0),"")</f>
        <v>17118</v>
      </c>
      <c r="F243" s="17">
        <f>IFERROR(ROUND($W243*$Z243*$AC243*参数!$D$13,0),"")</f>
        <v>18015</v>
      </c>
      <c r="G243" s="16">
        <v>728361</v>
      </c>
      <c r="H243" s="16">
        <v>17926</v>
      </c>
      <c r="I243" s="16">
        <v>13307</v>
      </c>
      <c r="J243" s="16">
        <v>48</v>
      </c>
      <c r="K243" s="16">
        <v>48</v>
      </c>
      <c r="L243" s="16">
        <f>IFERROR(INDEX(楼层配置!$D$5:$D$104,MATCH($K243,楼层配置!$B$5:$B$104,0)),"")</f>
        <v>189</v>
      </c>
      <c r="M243" s="16" t="str">
        <f>IFERROR(INDEX(_角色基线!$B$2:$B$100,MATCH($B243,_角色基线!$A$2:$A$100,0)),"")</f>
        <v>梅梅</v>
      </c>
      <c r="N243" s="16" t="str">
        <f>IFERROR(INDEX(_角色基线!$C$2:$C$100,MATCH($B243,_角色基线!$A$2:$A$100,0)),"")</f>
        <v>DPS</v>
      </c>
      <c r="O243" s="16">
        <f>IFERROR(INDEX(_怪物基线!$B$2:$B$501,MATCH(INT($L243),_怪物基线!$A$2:$A$501,0)),"")</f>
        <v>145508</v>
      </c>
      <c r="P243" s="16">
        <f>IFERROR(INDEX(_怪物基线!$C$2:$C$501,MATCH(INT($L243),_怪物基线!$A$2:$A$501,0)),"")</f>
        <v>17677</v>
      </c>
      <c r="Q243" s="16">
        <f>IFERROR(INDEX(_怪物基线!$D$2:$D$501,MATCH(INT($L243),_怪物基线!$A$2:$A$501,0)),"")</f>
        <v>18015</v>
      </c>
      <c r="R243" s="16">
        <f>参数!$B$10</f>
        <v>4</v>
      </c>
      <c r="S243" s="16">
        <f>参数!$C$10</f>
        <v>1.2</v>
      </c>
      <c r="T243" s="16">
        <f>参数!$D$10</f>
        <v>1</v>
      </c>
      <c r="U243" s="16">
        <f t="shared" si="24"/>
        <v>582032</v>
      </c>
      <c r="V243" s="16">
        <f t="shared" si="25"/>
        <v>21212.4</v>
      </c>
      <c r="W243" s="16">
        <f t="shared" si="26"/>
        <v>18015</v>
      </c>
      <c r="X243" s="16">
        <f>IFERROR(INDEX(参数!$B$5:$B$7,MATCH($N243,参数!$A$5:$A$7,0)),"")</f>
        <v>1</v>
      </c>
      <c r="Y243" s="16">
        <f>IFERROR(INDEX(参数!$C$5:$C$7,MATCH($N243,参数!$A$5:$A$7,0)),"")</f>
        <v>1.2</v>
      </c>
      <c r="Z243" s="16">
        <f>IFERROR(INDEX(参数!$D$5:$D$7,MATCH($N243,参数!$A$5:$A$7,0)),"")</f>
        <v>1</v>
      </c>
      <c r="AA243" s="16">
        <f>IFERROR(INDEX(楼层配置!$E$5:$E$104,MATCH($K243,楼层配置!$B$5:$B$104,0)),1)</f>
        <v>1.15628599730198</v>
      </c>
      <c r="AB243" s="16">
        <f>IFERROR(INDEX(楼层配置!$F$5:$F$104,MATCH($K243,楼层配置!$B$5:$B$104,0)),1)</f>
        <v>0.672487082221314</v>
      </c>
      <c r="AC243" s="16">
        <f>IFERROR(INDEX(楼层配置!$G$5:$G$104,MATCH($K243,楼层配置!$B$5:$B$104,0)),1)</f>
        <v>1</v>
      </c>
      <c r="AD243" s="18">
        <f t="shared" si="27"/>
        <v>-0.0760145037968809</v>
      </c>
      <c r="AE243" s="18">
        <f t="shared" si="28"/>
        <v>-0.0450741939082896</v>
      </c>
      <c r="AF243" s="18">
        <f t="shared" si="29"/>
        <v>0.353798752536259</v>
      </c>
      <c r="AG243" s="16" t="str">
        <f t="shared" si="30"/>
        <v>有效</v>
      </c>
      <c r="AH243">
        <f t="shared" si="31"/>
        <v>1178161.871875</v>
      </c>
    </row>
    <row r="244" ht="14.25" customHeight="1" spans="1:34">
      <c r="A244" s="16">
        <v>240</v>
      </c>
      <c r="B244" s="16">
        <v>1040</v>
      </c>
      <c r="C244" s="16">
        <v>34</v>
      </c>
      <c r="D244" s="17">
        <f>IFERROR(ROUND($U244*$X244*$AA244*参数!$B$13,0),"")</f>
        <v>841244</v>
      </c>
      <c r="E244" s="17">
        <f>IFERROR(ROUND($V244*$Y244*$AB244*参数!$C$13,0),"")</f>
        <v>14265</v>
      </c>
      <c r="F244" s="17">
        <f>IFERROR(ROUND($W244*$Z244*$AC244*参数!$D$13,0),"")</f>
        <v>22519</v>
      </c>
      <c r="G244" s="16">
        <v>910452</v>
      </c>
      <c r="H244" s="16">
        <v>14939</v>
      </c>
      <c r="I244" s="16">
        <v>16634</v>
      </c>
      <c r="J244" s="16">
        <v>48</v>
      </c>
      <c r="K244" s="16">
        <v>48</v>
      </c>
      <c r="L244" s="16">
        <f>IFERROR(INDEX(楼层配置!$D$5:$D$104,MATCH($K244,楼层配置!$B$5:$B$104,0)),"")</f>
        <v>189</v>
      </c>
      <c r="M244" s="16" t="str">
        <f>IFERROR(INDEX(_角色基线!$B$2:$B$100,MATCH($B244,_角色基线!$A$2:$A$100,0)),"")</f>
        <v>小寒</v>
      </c>
      <c r="N244" s="16" t="str">
        <f>IFERROR(INDEX(_角色基线!$C$2:$C$100,MATCH($B244,_角色基线!$A$2:$A$100,0)),"")</f>
        <v>Support</v>
      </c>
      <c r="O244" s="16">
        <f>IFERROR(INDEX(_怪物基线!$B$2:$B$501,MATCH(INT($L244),_怪物基线!$A$2:$A$501,0)),"")</f>
        <v>145508</v>
      </c>
      <c r="P244" s="16">
        <f>IFERROR(INDEX(_怪物基线!$C$2:$C$501,MATCH(INT($L244),_怪物基线!$A$2:$A$501,0)),"")</f>
        <v>17677</v>
      </c>
      <c r="Q244" s="16">
        <f>IFERROR(INDEX(_怪物基线!$D$2:$D$501,MATCH(INT($L244),_怪物基线!$A$2:$A$501,0)),"")</f>
        <v>18015</v>
      </c>
      <c r="R244" s="16">
        <f>参数!$B$10</f>
        <v>4</v>
      </c>
      <c r="S244" s="16">
        <f>参数!$C$10</f>
        <v>1.2</v>
      </c>
      <c r="T244" s="16">
        <f>参数!$D$10</f>
        <v>1</v>
      </c>
      <c r="U244" s="16">
        <f t="shared" si="24"/>
        <v>582032</v>
      </c>
      <c r="V244" s="16">
        <f t="shared" si="25"/>
        <v>21212.4</v>
      </c>
      <c r="W244" s="16">
        <f t="shared" si="26"/>
        <v>18015</v>
      </c>
      <c r="X244" s="16">
        <f>IFERROR(INDEX(参数!$B$5:$B$7,MATCH($N244,参数!$A$5:$A$7,0)),"")</f>
        <v>1.25</v>
      </c>
      <c r="Y244" s="16">
        <f>IFERROR(INDEX(参数!$C$5:$C$7,MATCH($N244,参数!$A$5:$A$7,0)),"")</f>
        <v>1</v>
      </c>
      <c r="Z244" s="16">
        <f>IFERROR(INDEX(参数!$D$5:$D$7,MATCH($N244,参数!$A$5:$A$7,0)),"")</f>
        <v>1.25</v>
      </c>
      <c r="AA244" s="16">
        <f>IFERROR(INDEX(楼层配置!$E$5:$E$104,MATCH($K244,楼层配置!$B$5:$B$104,0)),1)</f>
        <v>1.15628599730198</v>
      </c>
      <c r="AB244" s="16">
        <f>IFERROR(INDEX(楼层配置!$F$5:$F$104,MATCH($K244,楼层配置!$B$5:$B$104,0)),1)</f>
        <v>0.672487082221314</v>
      </c>
      <c r="AC244" s="16">
        <f>IFERROR(INDEX(楼层配置!$G$5:$G$104,MATCH($K244,楼层配置!$B$5:$B$104,0)),1)</f>
        <v>1</v>
      </c>
      <c r="AD244" s="18">
        <f t="shared" si="27"/>
        <v>-0.0760149903564383</v>
      </c>
      <c r="AE244" s="18">
        <f t="shared" si="28"/>
        <v>-0.0451168083539728</v>
      </c>
      <c r="AF244" s="18">
        <f t="shared" si="29"/>
        <v>0.35379343513286</v>
      </c>
      <c r="AG244" s="16" t="str">
        <f t="shared" si="30"/>
        <v>有效</v>
      </c>
      <c r="AH244">
        <f t="shared" si="31"/>
        <v>1630576.23483333</v>
      </c>
    </row>
    <row r="245" ht="14.25" customHeight="1" spans="1:34">
      <c r="A245" s="16">
        <v>241</v>
      </c>
      <c r="B245" s="16">
        <v>1030</v>
      </c>
      <c r="C245" s="16">
        <v>34</v>
      </c>
      <c r="D245" s="17">
        <f>IFERROR(ROUND($U245*$X245*$AA245*参数!$B$13,0),"")</f>
        <v>1047790</v>
      </c>
      <c r="E245" s="17">
        <f>IFERROR(ROUND($V245*$Y245*$AB245*参数!$C$13,0),"")</f>
        <v>14643</v>
      </c>
      <c r="F245" s="17">
        <f>IFERROR(ROUND($W245*$Z245*$AC245*参数!$D$13,0),"")</f>
        <v>27549</v>
      </c>
      <c r="G245" s="16">
        <v>1144072</v>
      </c>
      <c r="H245" s="16">
        <v>15407</v>
      </c>
      <c r="I245" s="16">
        <v>20458</v>
      </c>
      <c r="J245" s="16">
        <v>49</v>
      </c>
      <c r="K245" s="16">
        <v>49</v>
      </c>
      <c r="L245" s="16">
        <f>IFERROR(INDEX(楼层配置!$D$5:$D$104,MATCH($K245,楼层配置!$B$5:$B$104,0)),"")</f>
        <v>192</v>
      </c>
      <c r="M245" s="16" t="str">
        <f>IFERROR(INDEX(_角色基线!$B$2:$B$100,MATCH($B245,_角色基线!$A$2:$A$100,0)),"")</f>
        <v>莫莉</v>
      </c>
      <c r="N245" s="16" t="str">
        <f>IFERROR(INDEX(_角色基线!$C$2:$C$100,MATCH($B245,_角色基线!$A$2:$A$100,0)),"")</f>
        <v>Tank</v>
      </c>
      <c r="O245" s="16">
        <f>IFERROR(INDEX(_怪物基线!$B$2:$B$501,MATCH(INT($L245),_怪物基线!$A$2:$A$501,0)),"")</f>
        <v>151088</v>
      </c>
      <c r="P245" s="16">
        <f>IFERROR(INDEX(_怪物基线!$C$2:$C$501,MATCH(INT($L245),_怪物基线!$A$2:$A$501,0)),"")</f>
        <v>18164</v>
      </c>
      <c r="Q245" s="16">
        <f>IFERROR(INDEX(_怪物基线!$D$2:$D$501,MATCH(INT($L245),_怪物基线!$A$2:$A$501,0)),"")</f>
        <v>18366</v>
      </c>
      <c r="R245" s="16">
        <f>参数!$B$10</f>
        <v>4</v>
      </c>
      <c r="S245" s="16">
        <f>参数!$C$10</f>
        <v>1.2</v>
      </c>
      <c r="T245" s="16">
        <f>参数!$D$10</f>
        <v>1</v>
      </c>
      <c r="U245" s="16">
        <f t="shared" si="24"/>
        <v>604352</v>
      </c>
      <c r="V245" s="16">
        <f t="shared" si="25"/>
        <v>21796.8</v>
      </c>
      <c r="W245" s="16">
        <f t="shared" si="26"/>
        <v>18366</v>
      </c>
      <c r="X245" s="16">
        <f>IFERROR(INDEX(参数!$B$5:$B$7,MATCH($N245,参数!$A$5:$A$7,0)),"")</f>
        <v>1.5</v>
      </c>
      <c r="Y245" s="16">
        <f>IFERROR(INDEX(参数!$C$5:$C$7,MATCH($N245,参数!$A$5:$A$7,0)),"")</f>
        <v>1</v>
      </c>
      <c r="Z245" s="16">
        <f>IFERROR(INDEX(参数!$D$5:$D$7,MATCH($N245,参数!$A$5:$A$7,0)),"")</f>
        <v>1.5</v>
      </c>
      <c r="AA245" s="16">
        <f>IFERROR(INDEX(楼层配置!$E$5:$E$104,MATCH($K245,楼层配置!$B$5:$B$104,0)),1)</f>
        <v>1.1558279872176</v>
      </c>
      <c r="AB245" s="16">
        <f>IFERROR(INDEX(楼层配置!$F$5:$F$104,MATCH($K245,楼层配置!$B$5:$B$104,0)),1)</f>
        <v>0.671805468942296</v>
      </c>
      <c r="AC245" s="16">
        <f>IFERROR(INDEX(楼层配置!$G$5:$G$104,MATCH($K245,楼层配置!$B$5:$B$104,0)),1)</f>
        <v>1</v>
      </c>
      <c r="AD245" s="18">
        <f t="shared" si="27"/>
        <v>-0.0841572907998798</v>
      </c>
      <c r="AE245" s="18">
        <f t="shared" si="28"/>
        <v>-0.0495878496787174</v>
      </c>
      <c r="AF245" s="18">
        <f t="shared" si="29"/>
        <v>0.346612572098934</v>
      </c>
      <c r="AG245" s="16" t="str">
        <f t="shared" si="30"/>
        <v>有效</v>
      </c>
      <c r="AH245">
        <f t="shared" si="31"/>
        <v>2250521.94625</v>
      </c>
    </row>
    <row r="246" ht="14.25" customHeight="1" spans="1:34">
      <c r="A246" s="16">
        <v>242</v>
      </c>
      <c r="B246" s="16">
        <v>1002</v>
      </c>
      <c r="C246" s="16">
        <v>34</v>
      </c>
      <c r="D246" s="17">
        <f>IFERROR(ROUND($U246*$X246*$AA246*参数!$B$13,0),"")</f>
        <v>1047790</v>
      </c>
      <c r="E246" s="17">
        <f>IFERROR(ROUND($V246*$Y246*$AB246*参数!$C$13,0),"")</f>
        <v>14643</v>
      </c>
      <c r="F246" s="17">
        <f>IFERROR(ROUND($W246*$Z246*$AC246*参数!$D$13,0),"")</f>
        <v>27549</v>
      </c>
      <c r="G246" s="16">
        <v>1144072</v>
      </c>
      <c r="H246" s="16">
        <v>15407</v>
      </c>
      <c r="I246" s="16">
        <v>20458</v>
      </c>
      <c r="J246" s="16">
        <v>49</v>
      </c>
      <c r="K246" s="16">
        <v>49</v>
      </c>
      <c r="L246" s="16">
        <f>IFERROR(INDEX(楼层配置!$D$5:$D$104,MATCH($K246,楼层配置!$B$5:$B$104,0)),"")</f>
        <v>192</v>
      </c>
      <c r="M246" s="16" t="str">
        <f>IFERROR(INDEX(_角色基线!$B$2:$B$100,MATCH($B246,_角色基线!$A$2:$A$100,0)),"")</f>
        <v>大暑</v>
      </c>
      <c r="N246" s="16" t="str">
        <f>IFERROR(INDEX(_角色基线!$C$2:$C$100,MATCH($B246,_角色基线!$A$2:$A$100,0)),"")</f>
        <v>Tank</v>
      </c>
      <c r="O246" s="16">
        <f>IFERROR(INDEX(_怪物基线!$B$2:$B$501,MATCH(INT($L246),_怪物基线!$A$2:$A$501,0)),"")</f>
        <v>151088</v>
      </c>
      <c r="P246" s="16">
        <f>IFERROR(INDEX(_怪物基线!$C$2:$C$501,MATCH(INT($L246),_怪物基线!$A$2:$A$501,0)),"")</f>
        <v>18164</v>
      </c>
      <c r="Q246" s="16">
        <f>IFERROR(INDEX(_怪物基线!$D$2:$D$501,MATCH(INT($L246),_怪物基线!$A$2:$A$501,0)),"")</f>
        <v>18366</v>
      </c>
      <c r="R246" s="16">
        <f>参数!$B$10</f>
        <v>4</v>
      </c>
      <c r="S246" s="16">
        <f>参数!$C$10</f>
        <v>1.2</v>
      </c>
      <c r="T246" s="16">
        <f>参数!$D$10</f>
        <v>1</v>
      </c>
      <c r="U246" s="16">
        <f t="shared" si="24"/>
        <v>604352</v>
      </c>
      <c r="V246" s="16">
        <f t="shared" si="25"/>
        <v>21796.8</v>
      </c>
      <c r="W246" s="16">
        <f t="shared" si="26"/>
        <v>18366</v>
      </c>
      <c r="X246" s="16">
        <f>IFERROR(INDEX(参数!$B$5:$B$7,MATCH($N246,参数!$A$5:$A$7,0)),"")</f>
        <v>1.5</v>
      </c>
      <c r="Y246" s="16">
        <f>IFERROR(INDEX(参数!$C$5:$C$7,MATCH($N246,参数!$A$5:$A$7,0)),"")</f>
        <v>1</v>
      </c>
      <c r="Z246" s="16">
        <f>IFERROR(INDEX(参数!$D$5:$D$7,MATCH($N246,参数!$A$5:$A$7,0)),"")</f>
        <v>1.5</v>
      </c>
      <c r="AA246" s="16">
        <f>IFERROR(INDEX(楼层配置!$E$5:$E$104,MATCH($K246,楼层配置!$B$5:$B$104,0)),1)</f>
        <v>1.1558279872176</v>
      </c>
      <c r="AB246" s="16">
        <f>IFERROR(INDEX(楼层配置!$F$5:$F$104,MATCH($K246,楼层配置!$B$5:$B$104,0)),1)</f>
        <v>0.671805468942296</v>
      </c>
      <c r="AC246" s="16">
        <f>IFERROR(INDEX(楼层配置!$G$5:$G$104,MATCH($K246,楼层配置!$B$5:$B$104,0)),1)</f>
        <v>1</v>
      </c>
      <c r="AD246" s="18">
        <f t="shared" si="27"/>
        <v>-0.0841572907998798</v>
      </c>
      <c r="AE246" s="18">
        <f t="shared" si="28"/>
        <v>-0.0495878496787174</v>
      </c>
      <c r="AF246" s="18">
        <f t="shared" si="29"/>
        <v>0.346612572098934</v>
      </c>
      <c r="AG246" s="16" t="str">
        <f t="shared" si="30"/>
        <v>有效</v>
      </c>
      <c r="AH246">
        <f t="shared" si="31"/>
        <v>2250521.94625</v>
      </c>
    </row>
    <row r="247" ht="14.25" customHeight="1" spans="1:34">
      <c r="A247" s="16">
        <v>243</v>
      </c>
      <c r="B247" s="16">
        <v>1030</v>
      </c>
      <c r="C247" s="16">
        <v>34</v>
      </c>
      <c r="D247" s="17">
        <f>IFERROR(ROUND($U247*$X247*$AA247*参数!$B$13,0),"")</f>
        <v>1047790</v>
      </c>
      <c r="E247" s="17">
        <f>IFERROR(ROUND($V247*$Y247*$AB247*参数!$C$13,0),"")</f>
        <v>14643</v>
      </c>
      <c r="F247" s="17">
        <f>IFERROR(ROUND($W247*$Z247*$AC247*参数!$D$13,0),"")</f>
        <v>27549</v>
      </c>
      <c r="G247" s="16">
        <v>1144072</v>
      </c>
      <c r="H247" s="16">
        <v>15407</v>
      </c>
      <c r="I247" s="16">
        <v>20458</v>
      </c>
      <c r="J247" s="16">
        <v>49</v>
      </c>
      <c r="K247" s="16">
        <v>49</v>
      </c>
      <c r="L247" s="16">
        <f>IFERROR(INDEX(楼层配置!$D$5:$D$104,MATCH($K247,楼层配置!$B$5:$B$104,0)),"")</f>
        <v>192</v>
      </c>
      <c r="M247" s="16" t="str">
        <f>IFERROR(INDEX(_角色基线!$B$2:$B$100,MATCH($B247,_角色基线!$A$2:$A$100,0)),"")</f>
        <v>莫莉</v>
      </c>
      <c r="N247" s="16" t="str">
        <f>IFERROR(INDEX(_角色基线!$C$2:$C$100,MATCH($B247,_角色基线!$A$2:$A$100,0)),"")</f>
        <v>Tank</v>
      </c>
      <c r="O247" s="16">
        <f>IFERROR(INDEX(_怪物基线!$B$2:$B$501,MATCH(INT($L247),_怪物基线!$A$2:$A$501,0)),"")</f>
        <v>151088</v>
      </c>
      <c r="P247" s="16">
        <f>IFERROR(INDEX(_怪物基线!$C$2:$C$501,MATCH(INT($L247),_怪物基线!$A$2:$A$501,0)),"")</f>
        <v>18164</v>
      </c>
      <c r="Q247" s="16">
        <f>IFERROR(INDEX(_怪物基线!$D$2:$D$501,MATCH(INT($L247),_怪物基线!$A$2:$A$501,0)),"")</f>
        <v>18366</v>
      </c>
      <c r="R247" s="16">
        <f>参数!$B$10</f>
        <v>4</v>
      </c>
      <c r="S247" s="16">
        <f>参数!$C$10</f>
        <v>1.2</v>
      </c>
      <c r="T247" s="16">
        <f>参数!$D$10</f>
        <v>1</v>
      </c>
      <c r="U247" s="16">
        <f t="shared" si="24"/>
        <v>604352</v>
      </c>
      <c r="V247" s="16">
        <f t="shared" si="25"/>
        <v>21796.8</v>
      </c>
      <c r="W247" s="16">
        <f t="shared" si="26"/>
        <v>18366</v>
      </c>
      <c r="X247" s="16">
        <f>IFERROR(INDEX(参数!$B$5:$B$7,MATCH($N247,参数!$A$5:$A$7,0)),"")</f>
        <v>1.5</v>
      </c>
      <c r="Y247" s="16">
        <f>IFERROR(INDEX(参数!$C$5:$C$7,MATCH($N247,参数!$A$5:$A$7,0)),"")</f>
        <v>1</v>
      </c>
      <c r="Z247" s="16">
        <f>IFERROR(INDEX(参数!$D$5:$D$7,MATCH($N247,参数!$A$5:$A$7,0)),"")</f>
        <v>1.5</v>
      </c>
      <c r="AA247" s="16">
        <f>IFERROR(INDEX(楼层配置!$E$5:$E$104,MATCH($K247,楼层配置!$B$5:$B$104,0)),1)</f>
        <v>1.1558279872176</v>
      </c>
      <c r="AB247" s="16">
        <f>IFERROR(INDEX(楼层配置!$F$5:$F$104,MATCH($K247,楼层配置!$B$5:$B$104,0)),1)</f>
        <v>0.671805468942296</v>
      </c>
      <c r="AC247" s="16">
        <f>IFERROR(INDEX(楼层配置!$G$5:$G$104,MATCH($K247,楼层配置!$B$5:$B$104,0)),1)</f>
        <v>1</v>
      </c>
      <c r="AD247" s="18">
        <f t="shared" si="27"/>
        <v>-0.0841572907998798</v>
      </c>
      <c r="AE247" s="18">
        <f t="shared" si="28"/>
        <v>-0.0495878496787174</v>
      </c>
      <c r="AF247" s="18">
        <f t="shared" si="29"/>
        <v>0.346612572098934</v>
      </c>
      <c r="AG247" s="16" t="str">
        <f t="shared" si="30"/>
        <v>有效</v>
      </c>
      <c r="AH247">
        <f t="shared" si="31"/>
        <v>2250521.94625</v>
      </c>
    </row>
    <row r="248" ht="14.25" customHeight="1" spans="1:34">
      <c r="A248" s="16">
        <v>244</v>
      </c>
      <c r="B248" s="16">
        <v>1018</v>
      </c>
      <c r="C248" s="16">
        <v>34</v>
      </c>
      <c r="D248" s="17">
        <f>IFERROR(ROUND($U248*$X248*$AA248*参数!$B$13,0),"")</f>
        <v>873159</v>
      </c>
      <c r="E248" s="17">
        <f>IFERROR(ROUND($V248*$Y248*$AB248*参数!$C$13,0),"")</f>
        <v>14643</v>
      </c>
      <c r="F248" s="17">
        <f>IFERROR(ROUND($W248*$Z248*$AC248*参数!$D$13,0),"")</f>
        <v>22958</v>
      </c>
      <c r="G248" s="16">
        <v>953394</v>
      </c>
      <c r="H248" s="16">
        <v>15407</v>
      </c>
      <c r="I248" s="16">
        <v>17049</v>
      </c>
      <c r="J248" s="16">
        <v>49</v>
      </c>
      <c r="K248" s="16">
        <v>49</v>
      </c>
      <c r="L248" s="16">
        <f>IFERROR(INDEX(楼层配置!$D$5:$D$104,MATCH($K248,楼层配置!$B$5:$B$104,0)),"")</f>
        <v>192</v>
      </c>
      <c r="M248" s="16" t="str">
        <f>IFERROR(INDEX(_角色基线!$B$2:$B$100,MATCH($B248,_角色基线!$A$2:$A$100,0)),"")</f>
        <v>埃莉诺</v>
      </c>
      <c r="N248" s="16" t="str">
        <f>IFERROR(INDEX(_角色基线!$C$2:$C$100,MATCH($B248,_角色基线!$A$2:$A$100,0)),"")</f>
        <v>Support</v>
      </c>
      <c r="O248" s="16">
        <f>IFERROR(INDEX(_怪物基线!$B$2:$B$501,MATCH(INT($L248),_怪物基线!$A$2:$A$501,0)),"")</f>
        <v>151088</v>
      </c>
      <c r="P248" s="16">
        <f>IFERROR(INDEX(_怪物基线!$C$2:$C$501,MATCH(INT($L248),_怪物基线!$A$2:$A$501,0)),"")</f>
        <v>18164</v>
      </c>
      <c r="Q248" s="16">
        <f>IFERROR(INDEX(_怪物基线!$D$2:$D$501,MATCH(INT($L248),_怪物基线!$A$2:$A$501,0)),"")</f>
        <v>18366</v>
      </c>
      <c r="R248" s="16">
        <f>参数!$B$10</f>
        <v>4</v>
      </c>
      <c r="S248" s="16">
        <f>参数!$C$10</f>
        <v>1.2</v>
      </c>
      <c r="T248" s="16">
        <f>参数!$D$10</f>
        <v>1</v>
      </c>
      <c r="U248" s="16">
        <f t="shared" si="24"/>
        <v>604352</v>
      </c>
      <c r="V248" s="16">
        <f t="shared" si="25"/>
        <v>21796.8</v>
      </c>
      <c r="W248" s="16">
        <f t="shared" si="26"/>
        <v>18366</v>
      </c>
      <c r="X248" s="16">
        <f>IFERROR(INDEX(参数!$B$5:$B$7,MATCH($N248,参数!$A$5:$A$7,0)),"")</f>
        <v>1.25</v>
      </c>
      <c r="Y248" s="16">
        <f>IFERROR(INDEX(参数!$C$5:$C$7,MATCH($N248,参数!$A$5:$A$7,0)),"")</f>
        <v>1</v>
      </c>
      <c r="Z248" s="16">
        <f>IFERROR(INDEX(参数!$D$5:$D$7,MATCH($N248,参数!$A$5:$A$7,0)),"")</f>
        <v>1.25</v>
      </c>
      <c r="AA248" s="16">
        <f>IFERROR(INDEX(楼层配置!$E$5:$E$104,MATCH($K248,楼层配置!$B$5:$B$104,0)),1)</f>
        <v>1.1558279872176</v>
      </c>
      <c r="AB248" s="16">
        <f>IFERROR(INDEX(楼层配置!$F$5:$F$104,MATCH($K248,楼层配置!$B$5:$B$104,0)),1)</f>
        <v>0.671805468942296</v>
      </c>
      <c r="AC248" s="16">
        <f>IFERROR(INDEX(楼层配置!$G$5:$G$104,MATCH($K248,楼层配置!$B$5:$B$104,0)),1)</f>
        <v>1</v>
      </c>
      <c r="AD248" s="18">
        <f t="shared" si="27"/>
        <v>-0.0841572319523722</v>
      </c>
      <c r="AE248" s="18">
        <f t="shared" si="28"/>
        <v>-0.0495878496787174</v>
      </c>
      <c r="AF248" s="18">
        <f t="shared" si="29"/>
        <v>0.346589242770837</v>
      </c>
      <c r="AG248" s="16" t="str">
        <f t="shared" si="30"/>
        <v>有效</v>
      </c>
      <c r="AH248">
        <f t="shared" si="31"/>
        <v>1708408.34675</v>
      </c>
    </row>
    <row r="249" ht="14.25" customHeight="1" spans="1:34">
      <c r="A249" s="16">
        <v>245</v>
      </c>
      <c r="B249" s="16">
        <v>1021</v>
      </c>
      <c r="C249" s="16">
        <v>34</v>
      </c>
      <c r="D249" s="17">
        <f>IFERROR(ROUND($U249*$X249*$AA249*参数!$B$13,0),"")</f>
        <v>698527</v>
      </c>
      <c r="E249" s="17">
        <f>IFERROR(ROUND($V249*$Y249*$AB249*参数!$C$13,0),"")</f>
        <v>17572</v>
      </c>
      <c r="F249" s="17">
        <f>IFERROR(ROUND($W249*$Z249*$AC249*参数!$D$13,0),"")</f>
        <v>18366</v>
      </c>
      <c r="G249" s="16">
        <v>762715</v>
      </c>
      <c r="H249" s="16">
        <v>18488</v>
      </c>
      <c r="I249" s="16">
        <v>13639</v>
      </c>
      <c r="J249" s="16">
        <v>49</v>
      </c>
      <c r="K249" s="16">
        <v>49</v>
      </c>
      <c r="L249" s="16">
        <f>IFERROR(INDEX(楼层配置!$D$5:$D$104,MATCH($K249,楼层配置!$B$5:$B$104,0)),"")</f>
        <v>192</v>
      </c>
      <c r="M249" s="16" t="str">
        <f>IFERROR(INDEX(_角色基线!$B$2:$B$100,MATCH($B249,_角色基线!$A$2:$A$100,0)),"")</f>
        <v>梅梅</v>
      </c>
      <c r="N249" s="16" t="str">
        <f>IFERROR(INDEX(_角色基线!$C$2:$C$100,MATCH($B249,_角色基线!$A$2:$A$100,0)),"")</f>
        <v>DPS</v>
      </c>
      <c r="O249" s="16">
        <f>IFERROR(INDEX(_怪物基线!$B$2:$B$501,MATCH(INT($L249),_怪物基线!$A$2:$A$501,0)),"")</f>
        <v>151088</v>
      </c>
      <c r="P249" s="16">
        <f>IFERROR(INDEX(_怪物基线!$C$2:$C$501,MATCH(INT($L249),_怪物基线!$A$2:$A$501,0)),"")</f>
        <v>18164</v>
      </c>
      <c r="Q249" s="16">
        <f>IFERROR(INDEX(_怪物基线!$D$2:$D$501,MATCH(INT($L249),_怪物基线!$A$2:$A$501,0)),"")</f>
        <v>18366</v>
      </c>
      <c r="R249" s="16">
        <f>参数!$B$10</f>
        <v>4</v>
      </c>
      <c r="S249" s="16">
        <f>参数!$C$10</f>
        <v>1.2</v>
      </c>
      <c r="T249" s="16">
        <f>参数!$D$10</f>
        <v>1</v>
      </c>
      <c r="U249" s="16">
        <f t="shared" si="24"/>
        <v>604352</v>
      </c>
      <c r="V249" s="16">
        <f t="shared" si="25"/>
        <v>21796.8</v>
      </c>
      <c r="W249" s="16">
        <f t="shared" si="26"/>
        <v>18366</v>
      </c>
      <c r="X249" s="16">
        <f>IFERROR(INDEX(参数!$B$5:$B$7,MATCH($N249,参数!$A$5:$A$7,0)),"")</f>
        <v>1</v>
      </c>
      <c r="Y249" s="16">
        <f>IFERROR(INDEX(参数!$C$5:$C$7,MATCH($N249,参数!$A$5:$A$7,0)),"")</f>
        <v>1.2</v>
      </c>
      <c r="Z249" s="16">
        <f>IFERROR(INDEX(参数!$D$5:$D$7,MATCH($N249,参数!$A$5:$A$7,0)),"")</f>
        <v>1</v>
      </c>
      <c r="AA249" s="16">
        <f>IFERROR(INDEX(楼层配置!$E$5:$E$104,MATCH($K249,楼层配置!$B$5:$B$104,0)),1)</f>
        <v>1.1558279872176</v>
      </c>
      <c r="AB249" s="16">
        <f>IFERROR(INDEX(楼层配置!$F$5:$F$104,MATCH($K249,楼层配置!$B$5:$B$104,0)),1)</f>
        <v>0.671805468942296</v>
      </c>
      <c r="AC249" s="16">
        <f>IFERROR(INDEX(楼层配置!$G$5:$G$104,MATCH($K249,楼层配置!$B$5:$B$104,0)),1)</f>
        <v>1</v>
      </c>
      <c r="AD249" s="18">
        <f t="shared" si="27"/>
        <v>-0.0841572540201779</v>
      </c>
      <c r="AE249" s="18">
        <f t="shared" si="28"/>
        <v>-0.0495456512332324</v>
      </c>
      <c r="AF249" s="18">
        <f t="shared" si="29"/>
        <v>0.346579661265489</v>
      </c>
      <c r="AG249" s="16" t="str">
        <f t="shared" si="30"/>
        <v>有效</v>
      </c>
      <c r="AH249">
        <f t="shared" si="31"/>
        <v>1233074.78675</v>
      </c>
    </row>
    <row r="250" ht="14.25" customHeight="1" spans="1:34">
      <c r="A250" s="16">
        <v>246</v>
      </c>
      <c r="B250" s="16">
        <v>1030</v>
      </c>
      <c r="C250" s="16">
        <v>35</v>
      </c>
      <c r="D250" s="17">
        <f>IFERROR(ROUND($U250*$X250*$AA250*参数!$B$13,0),"")</f>
        <v>1109663</v>
      </c>
      <c r="E250" s="17">
        <f>IFERROR(ROUND($V250*$Y250*$AB250*参数!$C$13,0),"")</f>
        <v>15315</v>
      </c>
      <c r="F250" s="17">
        <f>IFERROR(ROUND($W250*$Z250*$AC250*参数!$D$13,0),"")</f>
        <v>28257</v>
      </c>
      <c r="G250" s="16">
        <v>1197316</v>
      </c>
      <c r="H250" s="16">
        <v>15884</v>
      </c>
      <c r="I250" s="16">
        <v>20961</v>
      </c>
      <c r="J250" s="16">
        <v>50</v>
      </c>
      <c r="K250" s="16">
        <v>50</v>
      </c>
      <c r="L250" s="16">
        <f>IFERROR(INDEX(楼层配置!$D$5:$D$104,MATCH($K250,楼层配置!$B$5:$B$104,0)),"")</f>
        <v>196</v>
      </c>
      <c r="M250" s="16" t="str">
        <f>IFERROR(INDEX(_角色基线!$B$2:$B$100,MATCH($B250,_角色基线!$A$2:$A$100,0)),"")</f>
        <v>莫莉</v>
      </c>
      <c r="N250" s="16" t="str">
        <f>IFERROR(INDEX(_角色基线!$C$2:$C$100,MATCH($B250,_角色基线!$A$2:$A$100,0)),"")</f>
        <v>Tank</v>
      </c>
      <c r="O250" s="16">
        <f>IFERROR(INDEX(_怪物基线!$B$2:$B$501,MATCH(INT($L250),_怪物基线!$A$2:$A$501,0)),"")</f>
        <v>158769</v>
      </c>
      <c r="P250" s="16">
        <f>IFERROR(INDEX(_怪物基线!$C$2:$C$501,MATCH(INT($L250),_怪物基线!$A$2:$A$501,0)),"")</f>
        <v>18828</v>
      </c>
      <c r="Q250" s="16">
        <f>IFERROR(INDEX(_怪物基线!$D$2:$D$501,MATCH(INT($L250),_怪物基线!$A$2:$A$501,0)),"")</f>
        <v>18838</v>
      </c>
      <c r="R250" s="16">
        <f>参数!$B$10</f>
        <v>4</v>
      </c>
      <c r="S250" s="16">
        <f>参数!$C$10</f>
        <v>1.2</v>
      </c>
      <c r="T250" s="16">
        <f>参数!$D$10</f>
        <v>1</v>
      </c>
      <c r="U250" s="16">
        <f t="shared" si="24"/>
        <v>635076</v>
      </c>
      <c r="V250" s="16">
        <f t="shared" si="25"/>
        <v>22593.6</v>
      </c>
      <c r="W250" s="16">
        <f t="shared" si="26"/>
        <v>18838</v>
      </c>
      <c r="X250" s="16">
        <f>IFERROR(INDEX(参数!$B$5:$B$7,MATCH($N250,参数!$A$5:$A$7,0)),"")</f>
        <v>1.5</v>
      </c>
      <c r="Y250" s="16">
        <f>IFERROR(INDEX(参数!$C$5:$C$7,MATCH($N250,参数!$A$5:$A$7,0)),"")</f>
        <v>1</v>
      </c>
      <c r="Z250" s="16">
        <f>IFERROR(INDEX(参数!$D$5:$D$7,MATCH($N250,参数!$A$5:$A$7,0)),"")</f>
        <v>1.5</v>
      </c>
      <c r="AA250" s="16">
        <f>IFERROR(INDEX(楼层配置!$E$5:$E$104,MATCH($K250,楼层配置!$B$5:$B$104,0)),1)</f>
        <v>1.16486059105706</v>
      </c>
      <c r="AB250" s="16">
        <f>IFERROR(INDEX(楼层配置!$F$5:$F$104,MATCH($K250,楼层配置!$B$5:$B$104,0)),1)</f>
        <v>0.677862042556071</v>
      </c>
      <c r="AC250" s="16">
        <f>IFERROR(INDEX(楼层配置!$G$5:$G$104,MATCH($K250,楼层配置!$B$5:$B$104,0)),1)</f>
        <v>1</v>
      </c>
      <c r="AD250" s="18">
        <f t="shared" si="27"/>
        <v>-0.0732079083550208</v>
      </c>
      <c r="AE250" s="18">
        <f t="shared" si="28"/>
        <v>-0.0358222110299673</v>
      </c>
      <c r="AF250" s="18">
        <f t="shared" si="29"/>
        <v>0.348074996421927</v>
      </c>
      <c r="AG250" s="16" t="str">
        <f t="shared" si="30"/>
        <v>有效</v>
      </c>
      <c r="AH250">
        <f t="shared" si="31"/>
        <v>2416152.474625</v>
      </c>
    </row>
    <row r="251" ht="14.25" customHeight="1" spans="1:34">
      <c r="A251" s="16">
        <v>247</v>
      </c>
      <c r="B251" s="16">
        <v>1021</v>
      </c>
      <c r="C251" s="16">
        <v>35</v>
      </c>
      <c r="D251" s="17">
        <f>IFERROR(ROUND($U251*$X251*$AA251*参数!$B$13,0),"")</f>
        <v>739775</v>
      </c>
      <c r="E251" s="17">
        <f>IFERROR(ROUND($V251*$Y251*$AB251*参数!$C$13,0),"")</f>
        <v>18378</v>
      </c>
      <c r="F251" s="17">
        <f>IFERROR(ROUND($W251*$Z251*$AC251*参数!$D$13,0),"")</f>
        <v>18838</v>
      </c>
      <c r="G251" s="16">
        <v>798211</v>
      </c>
      <c r="H251" s="16">
        <v>19060</v>
      </c>
      <c r="I251" s="16">
        <v>13974</v>
      </c>
      <c r="J251" s="16">
        <v>50</v>
      </c>
      <c r="K251" s="16">
        <v>50</v>
      </c>
      <c r="L251" s="16">
        <f>IFERROR(INDEX(楼层配置!$D$5:$D$104,MATCH($K251,楼层配置!$B$5:$B$104,0)),"")</f>
        <v>196</v>
      </c>
      <c r="M251" s="16" t="str">
        <f>IFERROR(INDEX(_角色基线!$B$2:$B$100,MATCH($B251,_角色基线!$A$2:$A$100,0)),"")</f>
        <v>梅梅</v>
      </c>
      <c r="N251" s="16" t="str">
        <f>IFERROR(INDEX(_角色基线!$C$2:$C$100,MATCH($B251,_角色基线!$A$2:$A$100,0)),"")</f>
        <v>DPS</v>
      </c>
      <c r="O251" s="16">
        <f>IFERROR(INDEX(_怪物基线!$B$2:$B$501,MATCH(INT($L251),_怪物基线!$A$2:$A$501,0)),"")</f>
        <v>158769</v>
      </c>
      <c r="P251" s="16">
        <f>IFERROR(INDEX(_怪物基线!$C$2:$C$501,MATCH(INT($L251),_怪物基线!$A$2:$A$501,0)),"")</f>
        <v>18828</v>
      </c>
      <c r="Q251" s="16">
        <f>IFERROR(INDEX(_怪物基线!$D$2:$D$501,MATCH(INT($L251),_怪物基线!$A$2:$A$501,0)),"")</f>
        <v>18838</v>
      </c>
      <c r="R251" s="16">
        <f>参数!$B$10</f>
        <v>4</v>
      </c>
      <c r="S251" s="16">
        <f>参数!$C$10</f>
        <v>1.2</v>
      </c>
      <c r="T251" s="16">
        <f>参数!$D$10</f>
        <v>1</v>
      </c>
      <c r="U251" s="16">
        <f t="shared" si="24"/>
        <v>635076</v>
      </c>
      <c r="V251" s="16">
        <f t="shared" si="25"/>
        <v>22593.6</v>
      </c>
      <c r="W251" s="16">
        <f t="shared" si="26"/>
        <v>18838</v>
      </c>
      <c r="X251" s="16">
        <f>IFERROR(INDEX(参数!$B$5:$B$7,MATCH($N251,参数!$A$5:$A$7,0)),"")</f>
        <v>1</v>
      </c>
      <c r="Y251" s="16">
        <f>IFERROR(INDEX(参数!$C$5:$C$7,MATCH($N251,参数!$A$5:$A$7,0)),"")</f>
        <v>1.2</v>
      </c>
      <c r="Z251" s="16">
        <f>IFERROR(INDEX(参数!$D$5:$D$7,MATCH($N251,参数!$A$5:$A$7,0)),"")</f>
        <v>1</v>
      </c>
      <c r="AA251" s="16">
        <f>IFERROR(INDEX(楼层配置!$E$5:$E$104,MATCH($K251,楼层配置!$B$5:$B$104,0)),1)</f>
        <v>1.16486059105706</v>
      </c>
      <c r="AB251" s="16">
        <f>IFERROR(INDEX(楼层配置!$F$5:$F$104,MATCH($K251,楼层配置!$B$5:$B$104,0)),1)</f>
        <v>0.677862042556071</v>
      </c>
      <c r="AC251" s="16">
        <f>IFERROR(INDEX(楼层配置!$G$5:$G$104,MATCH($K251,楼层配置!$B$5:$B$104,0)),1)</f>
        <v>1</v>
      </c>
      <c r="AD251" s="18">
        <f t="shared" si="27"/>
        <v>-0.0732087129844113</v>
      </c>
      <c r="AE251" s="18">
        <f t="shared" si="28"/>
        <v>-0.0357817418677859</v>
      </c>
      <c r="AF251" s="18">
        <f t="shared" si="29"/>
        <v>0.348074996421927</v>
      </c>
      <c r="AG251" s="16" t="str">
        <f t="shared" si="30"/>
        <v>有效</v>
      </c>
      <c r="AH251">
        <f t="shared" si="31"/>
        <v>1320436.72708333</v>
      </c>
    </row>
    <row r="252" ht="14.25" customHeight="1" spans="1:34">
      <c r="A252" s="16">
        <v>248</v>
      </c>
      <c r="B252" s="16">
        <v>1029</v>
      </c>
      <c r="C252" s="16">
        <v>35</v>
      </c>
      <c r="D252" s="17">
        <f>IFERROR(ROUND($U252*$X252*$AA252*参数!$B$13,0),"")</f>
        <v>924719</v>
      </c>
      <c r="E252" s="17">
        <f>IFERROR(ROUND($V252*$Y252*$AB252*参数!$C$13,0),"")</f>
        <v>15315</v>
      </c>
      <c r="F252" s="17">
        <f>IFERROR(ROUND($W252*$Z252*$AC252*参数!$D$13,0),"")</f>
        <v>23548</v>
      </c>
      <c r="G252" s="16">
        <v>997764</v>
      </c>
      <c r="H252" s="16">
        <v>15884</v>
      </c>
      <c r="I252" s="16">
        <v>17468</v>
      </c>
      <c r="J252" s="16">
        <v>50</v>
      </c>
      <c r="K252" s="16">
        <v>50</v>
      </c>
      <c r="L252" s="16">
        <f>IFERROR(INDEX(楼层配置!$D$5:$D$104,MATCH($K252,楼层配置!$B$5:$B$104,0)),"")</f>
        <v>196</v>
      </c>
      <c r="M252" s="16" t="str">
        <f>IFERROR(INDEX(_角色基线!$B$2:$B$100,MATCH($B252,_角色基线!$A$2:$A$100,0)),"")</f>
        <v>凯兰</v>
      </c>
      <c r="N252" s="16" t="str">
        <f>IFERROR(INDEX(_角色基线!$C$2:$C$100,MATCH($B252,_角色基线!$A$2:$A$100,0)),"")</f>
        <v>Support</v>
      </c>
      <c r="O252" s="16">
        <f>IFERROR(INDEX(_怪物基线!$B$2:$B$501,MATCH(INT($L252),_怪物基线!$A$2:$A$501,0)),"")</f>
        <v>158769</v>
      </c>
      <c r="P252" s="16">
        <f>IFERROR(INDEX(_怪物基线!$C$2:$C$501,MATCH(INT($L252),_怪物基线!$A$2:$A$501,0)),"")</f>
        <v>18828</v>
      </c>
      <c r="Q252" s="16">
        <f>IFERROR(INDEX(_怪物基线!$D$2:$D$501,MATCH(INT($L252),_怪物基线!$A$2:$A$501,0)),"")</f>
        <v>18838</v>
      </c>
      <c r="R252" s="16">
        <f>参数!$B$10</f>
        <v>4</v>
      </c>
      <c r="S252" s="16">
        <f>参数!$C$10</f>
        <v>1.2</v>
      </c>
      <c r="T252" s="16">
        <f>参数!$D$10</f>
        <v>1</v>
      </c>
      <c r="U252" s="16">
        <f t="shared" si="24"/>
        <v>635076</v>
      </c>
      <c r="V252" s="16">
        <f t="shared" si="25"/>
        <v>22593.6</v>
      </c>
      <c r="W252" s="16">
        <f t="shared" si="26"/>
        <v>18838</v>
      </c>
      <c r="X252" s="16">
        <f>IFERROR(INDEX(参数!$B$5:$B$7,MATCH($N252,参数!$A$5:$A$7,0)),"")</f>
        <v>1.25</v>
      </c>
      <c r="Y252" s="16">
        <f>IFERROR(INDEX(参数!$C$5:$C$7,MATCH($N252,参数!$A$5:$A$7,0)),"")</f>
        <v>1</v>
      </c>
      <c r="Z252" s="16">
        <f>IFERROR(INDEX(参数!$D$5:$D$7,MATCH($N252,参数!$A$5:$A$7,0)),"")</f>
        <v>1.25</v>
      </c>
      <c r="AA252" s="16">
        <f>IFERROR(INDEX(楼层配置!$E$5:$E$104,MATCH($K252,楼层配置!$B$5:$B$104,0)),1)</f>
        <v>1.16486059105706</v>
      </c>
      <c r="AB252" s="16">
        <f>IFERROR(INDEX(楼层配置!$F$5:$F$104,MATCH($K252,楼层配置!$B$5:$B$104,0)),1)</f>
        <v>0.677862042556071</v>
      </c>
      <c r="AC252" s="16">
        <f>IFERROR(INDEX(楼层配置!$G$5:$G$104,MATCH($K252,楼层配置!$B$5:$B$104,0)),1)</f>
        <v>1</v>
      </c>
      <c r="AD252" s="18">
        <f t="shared" si="27"/>
        <v>-0.0732086946412177</v>
      </c>
      <c r="AE252" s="18">
        <f t="shared" si="28"/>
        <v>-0.0358222110299673</v>
      </c>
      <c r="AF252" s="18">
        <f t="shared" si="29"/>
        <v>0.348065033203572</v>
      </c>
      <c r="AG252" s="16" t="str">
        <f t="shared" si="30"/>
        <v>有效</v>
      </c>
      <c r="AH252">
        <f t="shared" si="31"/>
        <v>1832022.45883333</v>
      </c>
    </row>
    <row r="253" ht="14.25" customHeight="1" spans="1:34">
      <c r="A253" s="16">
        <v>249</v>
      </c>
      <c r="B253" s="16">
        <v>1020</v>
      </c>
      <c r="C253" s="16">
        <v>35</v>
      </c>
      <c r="D253" s="17">
        <f>IFERROR(ROUND($U253*$X253*$AA253*参数!$B$13,0),"")</f>
        <v>924719</v>
      </c>
      <c r="E253" s="17">
        <f>IFERROR(ROUND($V253*$Y253*$AB253*参数!$C$13,0),"")</f>
        <v>15315</v>
      </c>
      <c r="F253" s="17">
        <f>IFERROR(ROUND($W253*$Z253*$AC253*参数!$D$13,0),"")</f>
        <v>23548</v>
      </c>
      <c r="G253" s="16">
        <v>997764</v>
      </c>
      <c r="H253" s="16">
        <v>15884</v>
      </c>
      <c r="I253" s="16">
        <v>17468</v>
      </c>
      <c r="J253" s="16">
        <v>50</v>
      </c>
      <c r="K253" s="16">
        <v>50</v>
      </c>
      <c r="L253" s="16">
        <f>IFERROR(INDEX(楼层配置!$D$5:$D$104,MATCH($K253,楼层配置!$B$5:$B$104,0)),"")</f>
        <v>196</v>
      </c>
      <c r="M253" s="16" t="str">
        <f>IFERROR(INDEX(_角色基线!$B$2:$B$100,MATCH($B253,_角色基线!$A$2:$A$100,0)),"")</f>
        <v>卡斯帕</v>
      </c>
      <c r="N253" s="16" t="str">
        <f>IFERROR(INDEX(_角色基线!$C$2:$C$100,MATCH($B253,_角色基线!$A$2:$A$100,0)),"")</f>
        <v>Support</v>
      </c>
      <c r="O253" s="16">
        <f>IFERROR(INDEX(_怪物基线!$B$2:$B$501,MATCH(INT($L253),_怪物基线!$A$2:$A$501,0)),"")</f>
        <v>158769</v>
      </c>
      <c r="P253" s="16">
        <f>IFERROR(INDEX(_怪物基线!$C$2:$C$501,MATCH(INT($L253),_怪物基线!$A$2:$A$501,0)),"")</f>
        <v>18828</v>
      </c>
      <c r="Q253" s="16">
        <f>IFERROR(INDEX(_怪物基线!$D$2:$D$501,MATCH(INT($L253),_怪物基线!$A$2:$A$501,0)),"")</f>
        <v>18838</v>
      </c>
      <c r="R253" s="16">
        <f>参数!$B$10</f>
        <v>4</v>
      </c>
      <c r="S253" s="16">
        <f>参数!$C$10</f>
        <v>1.2</v>
      </c>
      <c r="T253" s="16">
        <f>参数!$D$10</f>
        <v>1</v>
      </c>
      <c r="U253" s="16">
        <f t="shared" si="24"/>
        <v>635076</v>
      </c>
      <c r="V253" s="16">
        <f t="shared" si="25"/>
        <v>22593.6</v>
      </c>
      <c r="W253" s="16">
        <f t="shared" si="26"/>
        <v>18838</v>
      </c>
      <c r="X253" s="16">
        <f>IFERROR(INDEX(参数!$B$5:$B$7,MATCH($N253,参数!$A$5:$A$7,0)),"")</f>
        <v>1.25</v>
      </c>
      <c r="Y253" s="16">
        <f>IFERROR(INDEX(参数!$C$5:$C$7,MATCH($N253,参数!$A$5:$A$7,0)),"")</f>
        <v>1</v>
      </c>
      <c r="Z253" s="16">
        <f>IFERROR(INDEX(参数!$D$5:$D$7,MATCH($N253,参数!$A$5:$A$7,0)),"")</f>
        <v>1.25</v>
      </c>
      <c r="AA253" s="16">
        <f>IFERROR(INDEX(楼层配置!$E$5:$E$104,MATCH($K253,楼层配置!$B$5:$B$104,0)),1)</f>
        <v>1.16486059105706</v>
      </c>
      <c r="AB253" s="16">
        <f>IFERROR(INDEX(楼层配置!$F$5:$F$104,MATCH($K253,楼层配置!$B$5:$B$104,0)),1)</f>
        <v>0.677862042556071</v>
      </c>
      <c r="AC253" s="16">
        <f>IFERROR(INDEX(楼层配置!$G$5:$G$104,MATCH($K253,楼层配置!$B$5:$B$104,0)),1)</f>
        <v>1</v>
      </c>
      <c r="AD253" s="18">
        <f t="shared" si="27"/>
        <v>-0.0732086946412177</v>
      </c>
      <c r="AE253" s="18">
        <f t="shared" si="28"/>
        <v>-0.0358222110299673</v>
      </c>
      <c r="AF253" s="18">
        <f t="shared" si="29"/>
        <v>0.348065033203572</v>
      </c>
      <c r="AG253" s="16" t="str">
        <f t="shared" si="30"/>
        <v>有效</v>
      </c>
      <c r="AH253">
        <f t="shared" si="31"/>
        <v>1832022.45883333</v>
      </c>
    </row>
    <row r="254" ht="14.25" customHeight="1" spans="1:34">
      <c r="A254" s="16">
        <v>250</v>
      </c>
      <c r="B254" s="16">
        <v>1018</v>
      </c>
      <c r="C254" s="16">
        <v>35</v>
      </c>
      <c r="D254" s="17">
        <f>IFERROR(ROUND($U254*$X254*$AA254*参数!$B$13,0),"")</f>
        <v>924719</v>
      </c>
      <c r="E254" s="17">
        <f>IFERROR(ROUND($V254*$Y254*$AB254*参数!$C$13,0),"")</f>
        <v>15315</v>
      </c>
      <c r="F254" s="17">
        <f>IFERROR(ROUND($W254*$Z254*$AC254*参数!$D$13,0),"")</f>
        <v>23548</v>
      </c>
      <c r="G254" s="16">
        <v>997764</v>
      </c>
      <c r="H254" s="16">
        <v>15884</v>
      </c>
      <c r="I254" s="16">
        <v>17468</v>
      </c>
      <c r="J254" s="16">
        <v>50</v>
      </c>
      <c r="K254" s="16">
        <v>50</v>
      </c>
      <c r="L254" s="16">
        <f>IFERROR(INDEX(楼层配置!$D$5:$D$104,MATCH($K254,楼层配置!$B$5:$B$104,0)),"")</f>
        <v>196</v>
      </c>
      <c r="M254" s="16" t="str">
        <f>IFERROR(INDEX(_角色基线!$B$2:$B$100,MATCH($B254,_角色基线!$A$2:$A$100,0)),"")</f>
        <v>埃莉诺</v>
      </c>
      <c r="N254" s="16" t="str">
        <f>IFERROR(INDEX(_角色基线!$C$2:$C$100,MATCH($B254,_角色基线!$A$2:$A$100,0)),"")</f>
        <v>Support</v>
      </c>
      <c r="O254" s="16">
        <f>IFERROR(INDEX(_怪物基线!$B$2:$B$501,MATCH(INT($L254),_怪物基线!$A$2:$A$501,0)),"")</f>
        <v>158769</v>
      </c>
      <c r="P254" s="16">
        <f>IFERROR(INDEX(_怪物基线!$C$2:$C$501,MATCH(INT($L254),_怪物基线!$A$2:$A$501,0)),"")</f>
        <v>18828</v>
      </c>
      <c r="Q254" s="16">
        <f>IFERROR(INDEX(_怪物基线!$D$2:$D$501,MATCH(INT($L254),_怪物基线!$A$2:$A$501,0)),"")</f>
        <v>18838</v>
      </c>
      <c r="R254" s="16">
        <f>参数!$B$10</f>
        <v>4</v>
      </c>
      <c r="S254" s="16">
        <f>参数!$C$10</f>
        <v>1.2</v>
      </c>
      <c r="T254" s="16">
        <f>参数!$D$10</f>
        <v>1</v>
      </c>
      <c r="U254" s="16">
        <f t="shared" si="24"/>
        <v>635076</v>
      </c>
      <c r="V254" s="16">
        <f t="shared" si="25"/>
        <v>22593.6</v>
      </c>
      <c r="W254" s="16">
        <f t="shared" si="26"/>
        <v>18838</v>
      </c>
      <c r="X254" s="16">
        <f>IFERROR(INDEX(参数!$B$5:$B$7,MATCH($N254,参数!$A$5:$A$7,0)),"")</f>
        <v>1.25</v>
      </c>
      <c r="Y254" s="16">
        <f>IFERROR(INDEX(参数!$C$5:$C$7,MATCH($N254,参数!$A$5:$A$7,0)),"")</f>
        <v>1</v>
      </c>
      <c r="Z254" s="16">
        <f>IFERROR(INDEX(参数!$D$5:$D$7,MATCH($N254,参数!$A$5:$A$7,0)),"")</f>
        <v>1.25</v>
      </c>
      <c r="AA254" s="16">
        <f>IFERROR(INDEX(楼层配置!$E$5:$E$104,MATCH($K254,楼层配置!$B$5:$B$104,0)),1)</f>
        <v>1.16486059105706</v>
      </c>
      <c r="AB254" s="16">
        <f>IFERROR(INDEX(楼层配置!$F$5:$F$104,MATCH($K254,楼层配置!$B$5:$B$104,0)),1)</f>
        <v>0.677862042556071</v>
      </c>
      <c r="AC254" s="16">
        <f>IFERROR(INDEX(楼层配置!$G$5:$G$104,MATCH($K254,楼层配置!$B$5:$B$104,0)),1)</f>
        <v>1</v>
      </c>
      <c r="AD254" s="18">
        <f t="shared" si="27"/>
        <v>-0.0732086946412177</v>
      </c>
      <c r="AE254" s="18">
        <f t="shared" si="28"/>
        <v>-0.0358222110299673</v>
      </c>
      <c r="AF254" s="18">
        <f t="shared" si="29"/>
        <v>0.348065033203572</v>
      </c>
      <c r="AG254" s="16" t="str">
        <f t="shared" si="30"/>
        <v>有效</v>
      </c>
      <c r="AH254">
        <f t="shared" si="31"/>
        <v>1832022.45883333</v>
      </c>
    </row>
    <row r="255" ht="14.25" customHeight="1" spans="1:34">
      <c r="A255" s="16">
        <v>251</v>
      </c>
      <c r="B255" s="16">
        <v>1030</v>
      </c>
      <c r="C255" s="16">
        <v>35</v>
      </c>
      <c r="D255" s="17">
        <f>IFERROR(ROUND($U255*$X255*$AA255*参数!$B$13,0),"")</f>
        <v>1134668</v>
      </c>
      <c r="E255" s="17">
        <f>IFERROR(ROUND($V255*$Y255*$AB255*参数!$C$13,0),"")</f>
        <v>15626</v>
      </c>
      <c r="F255" s="17">
        <f>IFERROR(ROUND($W255*$Z255*$AC255*参数!$D$13,0),"")</f>
        <v>28613</v>
      </c>
      <c r="G255" s="16">
        <v>1266336</v>
      </c>
      <c r="H255" s="16">
        <v>16495</v>
      </c>
      <c r="I255" s="16">
        <v>21596</v>
      </c>
      <c r="J255" s="16">
        <v>51</v>
      </c>
      <c r="K255" s="16">
        <v>51</v>
      </c>
      <c r="L255" s="16">
        <f>IFERROR(INDEX(楼层配置!$D$5:$D$104,MATCH($K255,楼层配置!$B$5:$B$104,0)),"")</f>
        <v>198</v>
      </c>
      <c r="M255" s="16" t="str">
        <f>IFERROR(INDEX(_角色基线!$B$2:$B$100,MATCH($B255,_角色基线!$A$2:$A$100,0)),"")</f>
        <v>莫莉</v>
      </c>
      <c r="N255" s="16" t="str">
        <f>IFERROR(INDEX(_角色基线!$C$2:$C$100,MATCH($B255,_角色基线!$A$2:$A$100,0)),"")</f>
        <v>Tank</v>
      </c>
      <c r="O255" s="16">
        <f>IFERROR(INDEX(_怪物基线!$B$2:$B$501,MATCH(INT($L255),_怪物基线!$A$2:$A$501,0)),"")</f>
        <v>162716</v>
      </c>
      <c r="P255" s="16">
        <f>IFERROR(INDEX(_怪物基线!$C$2:$C$501,MATCH(INT($L255),_怪物基线!$A$2:$A$501,0)),"")</f>
        <v>19166</v>
      </c>
      <c r="Q255" s="16">
        <f>IFERROR(INDEX(_怪物基线!$D$2:$D$501,MATCH(INT($L255),_怪物基线!$A$2:$A$501,0)),"")</f>
        <v>19075</v>
      </c>
      <c r="R255" s="16">
        <f>参数!$B$10</f>
        <v>4</v>
      </c>
      <c r="S255" s="16">
        <f>参数!$C$10</f>
        <v>1.2</v>
      </c>
      <c r="T255" s="16">
        <f>参数!$D$10</f>
        <v>1</v>
      </c>
      <c r="U255" s="16">
        <f t="shared" si="24"/>
        <v>650864</v>
      </c>
      <c r="V255" s="16">
        <f t="shared" si="25"/>
        <v>22999.2</v>
      </c>
      <c r="W255" s="16">
        <f t="shared" si="26"/>
        <v>19075</v>
      </c>
      <c r="X255" s="16">
        <f>IFERROR(INDEX(参数!$B$5:$B$7,MATCH($N255,参数!$A$5:$A$7,0)),"")</f>
        <v>1.5</v>
      </c>
      <c r="Y255" s="16">
        <f>IFERROR(INDEX(参数!$C$5:$C$7,MATCH($N255,参数!$A$5:$A$7,0)),"")</f>
        <v>1</v>
      </c>
      <c r="Z255" s="16">
        <f>IFERROR(INDEX(参数!$D$5:$D$7,MATCH($N255,参数!$A$5:$A$7,0)),"")</f>
        <v>1.5</v>
      </c>
      <c r="AA255" s="16">
        <f>IFERROR(INDEX(楼层配置!$E$5:$E$104,MATCH($K255,楼层配置!$B$5:$B$104,0)),1)</f>
        <v>1.16221696952162</v>
      </c>
      <c r="AB255" s="16">
        <f>IFERROR(INDEX(楼层配置!$F$5:$F$104,MATCH($K255,楼层配置!$B$5:$B$104,0)),1)</f>
        <v>0.679422160763523</v>
      </c>
      <c r="AC255" s="16">
        <f>IFERROR(INDEX(楼层配置!$G$5:$G$104,MATCH($K255,楼层配置!$B$5:$B$104,0)),1)</f>
        <v>1</v>
      </c>
      <c r="AD255" s="18">
        <f t="shared" si="27"/>
        <v>-0.103975564147272</v>
      </c>
      <c r="AE255" s="18">
        <f t="shared" si="28"/>
        <v>-0.0526826311003334</v>
      </c>
      <c r="AF255" s="18">
        <f t="shared" si="29"/>
        <v>0.324921281718837</v>
      </c>
      <c r="AG255" s="16" t="str">
        <f t="shared" si="30"/>
        <v>有效</v>
      </c>
      <c r="AH255">
        <f t="shared" si="31"/>
        <v>2487428.64516667</v>
      </c>
    </row>
    <row r="256" ht="14.25" customHeight="1" spans="1:34">
      <c r="A256" s="16">
        <v>252</v>
      </c>
      <c r="B256" s="16">
        <v>1015</v>
      </c>
      <c r="C256" s="16">
        <v>35</v>
      </c>
      <c r="D256" s="17">
        <f>IFERROR(ROUND($U256*$X256*$AA256*参数!$B$13,0),"")</f>
        <v>945556</v>
      </c>
      <c r="E256" s="17">
        <f>IFERROR(ROUND($V256*$Y256*$AB256*参数!$C$13,0),"")</f>
        <v>15626</v>
      </c>
      <c r="F256" s="17">
        <f>IFERROR(ROUND($W256*$Z256*$AC256*参数!$D$13,0),"")</f>
        <v>23844</v>
      </c>
      <c r="G256" s="16">
        <v>1055280</v>
      </c>
      <c r="H256" s="16">
        <v>16495</v>
      </c>
      <c r="I256" s="16">
        <v>17997</v>
      </c>
      <c r="J256" s="16">
        <v>51</v>
      </c>
      <c r="K256" s="16">
        <v>51</v>
      </c>
      <c r="L256" s="16">
        <f>IFERROR(INDEX(楼层配置!$D$5:$D$104,MATCH($K256,楼层配置!$B$5:$B$104,0)),"")</f>
        <v>198</v>
      </c>
      <c r="M256" s="16" t="str">
        <f>IFERROR(INDEX(_角色基线!$B$2:$B$100,MATCH($B256,_角色基线!$A$2:$A$100,0)),"")</f>
        <v>阿莱克西娅</v>
      </c>
      <c r="N256" s="16" t="str">
        <f>IFERROR(INDEX(_角色基线!$C$2:$C$100,MATCH($B256,_角色基线!$A$2:$A$100,0)),"")</f>
        <v>Support</v>
      </c>
      <c r="O256" s="16">
        <f>IFERROR(INDEX(_怪物基线!$B$2:$B$501,MATCH(INT($L256),_怪物基线!$A$2:$A$501,0)),"")</f>
        <v>162716</v>
      </c>
      <c r="P256" s="16">
        <f>IFERROR(INDEX(_怪物基线!$C$2:$C$501,MATCH(INT($L256),_怪物基线!$A$2:$A$501,0)),"")</f>
        <v>19166</v>
      </c>
      <c r="Q256" s="16">
        <f>IFERROR(INDEX(_怪物基线!$D$2:$D$501,MATCH(INT($L256),_怪物基线!$A$2:$A$501,0)),"")</f>
        <v>19075</v>
      </c>
      <c r="R256" s="16">
        <f>参数!$B$10</f>
        <v>4</v>
      </c>
      <c r="S256" s="16">
        <f>参数!$C$10</f>
        <v>1.2</v>
      </c>
      <c r="T256" s="16">
        <f>参数!$D$10</f>
        <v>1</v>
      </c>
      <c r="U256" s="16">
        <f t="shared" si="24"/>
        <v>650864</v>
      </c>
      <c r="V256" s="16">
        <f t="shared" si="25"/>
        <v>22999.2</v>
      </c>
      <c r="W256" s="16">
        <f t="shared" si="26"/>
        <v>19075</v>
      </c>
      <c r="X256" s="16">
        <f>IFERROR(INDEX(参数!$B$5:$B$7,MATCH($N256,参数!$A$5:$A$7,0)),"")</f>
        <v>1.25</v>
      </c>
      <c r="Y256" s="16">
        <f>IFERROR(INDEX(参数!$C$5:$C$7,MATCH($N256,参数!$A$5:$A$7,0)),"")</f>
        <v>1</v>
      </c>
      <c r="Z256" s="16">
        <f>IFERROR(INDEX(参数!$D$5:$D$7,MATCH($N256,参数!$A$5:$A$7,0)),"")</f>
        <v>1.25</v>
      </c>
      <c r="AA256" s="16">
        <f>IFERROR(INDEX(楼层配置!$E$5:$E$104,MATCH($K256,楼层配置!$B$5:$B$104,0)),1)</f>
        <v>1.16221696952162</v>
      </c>
      <c r="AB256" s="16">
        <f>IFERROR(INDEX(楼层配置!$F$5:$F$104,MATCH($K256,楼层配置!$B$5:$B$104,0)),1)</f>
        <v>0.679422160763523</v>
      </c>
      <c r="AC256" s="16">
        <f>IFERROR(INDEX(楼层配置!$G$5:$G$104,MATCH($K256,楼层配置!$B$5:$B$104,0)),1)</f>
        <v>1</v>
      </c>
      <c r="AD256" s="18">
        <f t="shared" si="27"/>
        <v>-0.103976195891138</v>
      </c>
      <c r="AE256" s="18">
        <f t="shared" si="28"/>
        <v>-0.0526826311003334</v>
      </c>
      <c r="AF256" s="18">
        <f t="shared" si="29"/>
        <v>0.324887481246874</v>
      </c>
      <c r="AG256" s="16" t="str">
        <f t="shared" si="30"/>
        <v>有效</v>
      </c>
      <c r="AH256">
        <f t="shared" si="31"/>
        <v>1884965.886</v>
      </c>
    </row>
    <row r="257" ht="14.25" customHeight="1" spans="1:34">
      <c r="A257" s="16">
        <v>253</v>
      </c>
      <c r="B257" s="16">
        <v>1014</v>
      </c>
      <c r="C257" s="16">
        <v>35</v>
      </c>
      <c r="D257" s="17">
        <f>IFERROR(ROUND($U257*$X257*$AA257*参数!$B$13,0),"")</f>
        <v>756445</v>
      </c>
      <c r="E257" s="17">
        <f>IFERROR(ROUND($V257*$Y257*$AB257*参数!$C$13,0),"")</f>
        <v>18751</v>
      </c>
      <c r="F257" s="17">
        <f>IFERROR(ROUND($W257*$Z257*$AC257*参数!$D$13,0),"")</f>
        <v>19075</v>
      </c>
      <c r="G257" s="16">
        <v>844224</v>
      </c>
      <c r="H257" s="16">
        <v>19794</v>
      </c>
      <c r="I257" s="16">
        <v>14397</v>
      </c>
      <c r="J257" s="16">
        <v>51</v>
      </c>
      <c r="K257" s="16">
        <v>51</v>
      </c>
      <c r="L257" s="16">
        <f>IFERROR(INDEX(楼层配置!$D$5:$D$104,MATCH($K257,楼层配置!$B$5:$B$104,0)),"")</f>
        <v>198</v>
      </c>
      <c r="M257" s="16" t="str">
        <f>IFERROR(INDEX(_角色基线!$B$2:$B$100,MATCH($B257,_角色基线!$A$2:$A$100,0)),"")</f>
        <v>克莉丝汀</v>
      </c>
      <c r="N257" s="16" t="str">
        <f>IFERROR(INDEX(_角色基线!$C$2:$C$100,MATCH($B257,_角色基线!$A$2:$A$100,0)),"")</f>
        <v>DPS</v>
      </c>
      <c r="O257" s="16">
        <f>IFERROR(INDEX(_怪物基线!$B$2:$B$501,MATCH(INT($L257),_怪物基线!$A$2:$A$501,0)),"")</f>
        <v>162716</v>
      </c>
      <c r="P257" s="16">
        <f>IFERROR(INDEX(_怪物基线!$C$2:$C$501,MATCH(INT($L257),_怪物基线!$A$2:$A$501,0)),"")</f>
        <v>19166</v>
      </c>
      <c r="Q257" s="16">
        <f>IFERROR(INDEX(_怪物基线!$D$2:$D$501,MATCH(INT($L257),_怪物基线!$A$2:$A$501,0)),"")</f>
        <v>19075</v>
      </c>
      <c r="R257" s="16">
        <f>参数!$B$10</f>
        <v>4</v>
      </c>
      <c r="S257" s="16">
        <f>参数!$C$10</f>
        <v>1.2</v>
      </c>
      <c r="T257" s="16">
        <f>参数!$D$10</f>
        <v>1</v>
      </c>
      <c r="U257" s="16">
        <f t="shared" si="24"/>
        <v>650864</v>
      </c>
      <c r="V257" s="16">
        <f t="shared" si="25"/>
        <v>22999.2</v>
      </c>
      <c r="W257" s="16">
        <f t="shared" si="26"/>
        <v>19075</v>
      </c>
      <c r="X257" s="16">
        <f>IFERROR(INDEX(参数!$B$5:$B$7,MATCH($N257,参数!$A$5:$A$7,0)),"")</f>
        <v>1</v>
      </c>
      <c r="Y257" s="16">
        <f>IFERROR(INDEX(参数!$C$5:$C$7,MATCH($N257,参数!$A$5:$A$7,0)),"")</f>
        <v>1.2</v>
      </c>
      <c r="Z257" s="16">
        <f>IFERROR(INDEX(参数!$D$5:$D$7,MATCH($N257,参数!$A$5:$A$7,0)),"")</f>
        <v>1</v>
      </c>
      <c r="AA257" s="16">
        <f>IFERROR(INDEX(楼层配置!$E$5:$E$104,MATCH($K257,楼层配置!$B$5:$B$104,0)),1)</f>
        <v>1.16221696952162</v>
      </c>
      <c r="AB257" s="16">
        <f>IFERROR(INDEX(楼层配置!$F$5:$F$104,MATCH($K257,楼层配置!$B$5:$B$104,0)),1)</f>
        <v>0.679422160763523</v>
      </c>
      <c r="AC257" s="16">
        <f>IFERROR(INDEX(楼层配置!$G$5:$G$104,MATCH($K257,楼层配置!$B$5:$B$104,0)),1)</f>
        <v>1</v>
      </c>
      <c r="AD257" s="18">
        <f t="shared" si="27"/>
        <v>-0.103975958987188</v>
      </c>
      <c r="AE257" s="18">
        <f t="shared" si="28"/>
        <v>-0.0526927351722745</v>
      </c>
      <c r="AF257" s="18">
        <f t="shared" si="29"/>
        <v>0.324928804612072</v>
      </c>
      <c r="AG257" s="16" t="str">
        <f t="shared" si="30"/>
        <v>有效</v>
      </c>
      <c r="AH257">
        <f t="shared" si="31"/>
        <v>1357661.18229167</v>
      </c>
    </row>
    <row r="258" ht="14.25" customHeight="1" spans="1:34">
      <c r="A258" s="16">
        <v>254</v>
      </c>
      <c r="B258" s="16">
        <v>1005</v>
      </c>
      <c r="C258" s="16">
        <v>35</v>
      </c>
      <c r="D258" s="17">
        <f>IFERROR(ROUND($U258*$X258*$AA258*参数!$B$13,0),"")</f>
        <v>756445</v>
      </c>
      <c r="E258" s="17">
        <f>IFERROR(ROUND($V258*$Y258*$AB258*参数!$C$13,0),"")</f>
        <v>18751</v>
      </c>
      <c r="F258" s="17">
        <f>IFERROR(ROUND($W258*$Z258*$AC258*参数!$D$13,0),"")</f>
        <v>19075</v>
      </c>
      <c r="G258" s="16">
        <v>844224</v>
      </c>
      <c r="H258" s="16">
        <v>19794</v>
      </c>
      <c r="I258" s="16">
        <v>14397</v>
      </c>
      <c r="J258" s="16">
        <v>51</v>
      </c>
      <c r="K258" s="16">
        <v>51</v>
      </c>
      <c r="L258" s="16">
        <f>IFERROR(INDEX(楼层配置!$D$5:$D$104,MATCH($K258,楼层配置!$B$5:$B$104,0)),"")</f>
        <v>198</v>
      </c>
      <c r="M258" s="16" t="str">
        <f>IFERROR(INDEX(_角色基线!$B$2:$B$100,MATCH($B258,_角色基线!$A$2:$A$100,0)),"")</f>
        <v>陈单单</v>
      </c>
      <c r="N258" s="16" t="str">
        <f>IFERROR(INDEX(_角色基线!$C$2:$C$100,MATCH($B258,_角色基线!$A$2:$A$100,0)),"")</f>
        <v>DPS</v>
      </c>
      <c r="O258" s="16">
        <f>IFERROR(INDEX(_怪物基线!$B$2:$B$501,MATCH(INT($L258),_怪物基线!$A$2:$A$501,0)),"")</f>
        <v>162716</v>
      </c>
      <c r="P258" s="16">
        <f>IFERROR(INDEX(_怪物基线!$C$2:$C$501,MATCH(INT($L258),_怪物基线!$A$2:$A$501,0)),"")</f>
        <v>19166</v>
      </c>
      <c r="Q258" s="16">
        <f>IFERROR(INDEX(_怪物基线!$D$2:$D$501,MATCH(INT($L258),_怪物基线!$A$2:$A$501,0)),"")</f>
        <v>19075</v>
      </c>
      <c r="R258" s="16">
        <f>参数!$B$10</f>
        <v>4</v>
      </c>
      <c r="S258" s="16">
        <f>参数!$C$10</f>
        <v>1.2</v>
      </c>
      <c r="T258" s="16">
        <f>参数!$D$10</f>
        <v>1</v>
      </c>
      <c r="U258" s="16">
        <f t="shared" si="24"/>
        <v>650864</v>
      </c>
      <c r="V258" s="16">
        <f t="shared" si="25"/>
        <v>22999.2</v>
      </c>
      <c r="W258" s="16">
        <f t="shared" si="26"/>
        <v>19075</v>
      </c>
      <c r="X258" s="16">
        <f>IFERROR(INDEX(参数!$B$5:$B$7,MATCH($N258,参数!$A$5:$A$7,0)),"")</f>
        <v>1</v>
      </c>
      <c r="Y258" s="16">
        <f>IFERROR(INDEX(参数!$C$5:$C$7,MATCH($N258,参数!$A$5:$A$7,0)),"")</f>
        <v>1.2</v>
      </c>
      <c r="Z258" s="16">
        <f>IFERROR(INDEX(参数!$D$5:$D$7,MATCH($N258,参数!$A$5:$A$7,0)),"")</f>
        <v>1</v>
      </c>
      <c r="AA258" s="16">
        <f>IFERROR(INDEX(楼层配置!$E$5:$E$104,MATCH($K258,楼层配置!$B$5:$B$104,0)),1)</f>
        <v>1.16221696952162</v>
      </c>
      <c r="AB258" s="16">
        <f>IFERROR(INDEX(楼层配置!$F$5:$F$104,MATCH($K258,楼层配置!$B$5:$B$104,0)),1)</f>
        <v>0.679422160763523</v>
      </c>
      <c r="AC258" s="16">
        <f>IFERROR(INDEX(楼层配置!$G$5:$G$104,MATCH($K258,楼层配置!$B$5:$B$104,0)),1)</f>
        <v>1</v>
      </c>
      <c r="AD258" s="18">
        <f t="shared" si="27"/>
        <v>-0.103975958987188</v>
      </c>
      <c r="AE258" s="18">
        <f t="shared" si="28"/>
        <v>-0.0526927351722745</v>
      </c>
      <c r="AF258" s="18">
        <f t="shared" si="29"/>
        <v>0.324928804612072</v>
      </c>
      <c r="AG258" s="16" t="str">
        <f t="shared" si="30"/>
        <v>有效</v>
      </c>
      <c r="AH258">
        <f t="shared" si="31"/>
        <v>1357661.18229167</v>
      </c>
    </row>
    <row r="259" ht="14.25" customHeight="1" spans="1:34">
      <c r="A259" s="16">
        <v>255</v>
      </c>
      <c r="B259" s="16">
        <v>1006</v>
      </c>
      <c r="C259" s="16">
        <v>35</v>
      </c>
      <c r="D259" s="17">
        <f>IFERROR(ROUND($U259*$X259*$AA259*参数!$B$13,0),"")</f>
        <v>756445</v>
      </c>
      <c r="E259" s="17">
        <f>IFERROR(ROUND($V259*$Y259*$AB259*参数!$C$13,0),"")</f>
        <v>18751</v>
      </c>
      <c r="F259" s="17">
        <f>IFERROR(ROUND($W259*$Z259*$AC259*参数!$D$13,0),"")</f>
        <v>19075</v>
      </c>
      <c r="G259" s="16">
        <v>844224</v>
      </c>
      <c r="H259" s="16">
        <v>19794</v>
      </c>
      <c r="I259" s="16">
        <v>14397</v>
      </c>
      <c r="J259" s="16">
        <v>51</v>
      </c>
      <c r="K259" s="16">
        <v>51</v>
      </c>
      <c r="L259" s="16">
        <f>IFERROR(INDEX(楼层配置!$D$5:$D$104,MATCH($K259,楼层配置!$B$5:$B$104,0)),"")</f>
        <v>198</v>
      </c>
      <c r="M259" s="16" t="str">
        <f>IFERROR(INDEX(_角色基线!$B$2:$B$100,MATCH($B259,_角色基线!$A$2:$A$100,0)),"")</f>
        <v>莉莉娅</v>
      </c>
      <c r="N259" s="16" t="str">
        <f>IFERROR(INDEX(_角色基线!$C$2:$C$100,MATCH($B259,_角色基线!$A$2:$A$100,0)),"")</f>
        <v>DPS</v>
      </c>
      <c r="O259" s="16">
        <f>IFERROR(INDEX(_怪物基线!$B$2:$B$501,MATCH(INT($L259),_怪物基线!$A$2:$A$501,0)),"")</f>
        <v>162716</v>
      </c>
      <c r="P259" s="16">
        <f>IFERROR(INDEX(_怪物基线!$C$2:$C$501,MATCH(INT($L259),_怪物基线!$A$2:$A$501,0)),"")</f>
        <v>19166</v>
      </c>
      <c r="Q259" s="16">
        <f>IFERROR(INDEX(_怪物基线!$D$2:$D$501,MATCH(INT($L259),_怪物基线!$A$2:$A$501,0)),"")</f>
        <v>19075</v>
      </c>
      <c r="R259" s="16">
        <f>参数!$B$10</f>
        <v>4</v>
      </c>
      <c r="S259" s="16">
        <f>参数!$C$10</f>
        <v>1.2</v>
      </c>
      <c r="T259" s="16">
        <f>参数!$D$10</f>
        <v>1</v>
      </c>
      <c r="U259" s="16">
        <f t="shared" si="24"/>
        <v>650864</v>
      </c>
      <c r="V259" s="16">
        <f t="shared" si="25"/>
        <v>22999.2</v>
      </c>
      <c r="W259" s="16">
        <f t="shared" si="26"/>
        <v>19075</v>
      </c>
      <c r="X259" s="16">
        <f>IFERROR(INDEX(参数!$B$5:$B$7,MATCH($N259,参数!$A$5:$A$7,0)),"")</f>
        <v>1</v>
      </c>
      <c r="Y259" s="16">
        <f>IFERROR(INDEX(参数!$C$5:$C$7,MATCH($N259,参数!$A$5:$A$7,0)),"")</f>
        <v>1.2</v>
      </c>
      <c r="Z259" s="16">
        <f>IFERROR(INDEX(参数!$D$5:$D$7,MATCH($N259,参数!$A$5:$A$7,0)),"")</f>
        <v>1</v>
      </c>
      <c r="AA259" s="16">
        <f>IFERROR(INDEX(楼层配置!$E$5:$E$104,MATCH($K259,楼层配置!$B$5:$B$104,0)),1)</f>
        <v>1.16221696952162</v>
      </c>
      <c r="AB259" s="16">
        <f>IFERROR(INDEX(楼层配置!$F$5:$F$104,MATCH($K259,楼层配置!$B$5:$B$104,0)),1)</f>
        <v>0.679422160763523</v>
      </c>
      <c r="AC259" s="16">
        <f>IFERROR(INDEX(楼层配置!$G$5:$G$104,MATCH($K259,楼层配置!$B$5:$B$104,0)),1)</f>
        <v>1</v>
      </c>
      <c r="AD259" s="18">
        <f t="shared" si="27"/>
        <v>-0.103975958987188</v>
      </c>
      <c r="AE259" s="18">
        <f t="shared" si="28"/>
        <v>-0.0526927351722745</v>
      </c>
      <c r="AF259" s="18">
        <f t="shared" si="29"/>
        <v>0.324928804612072</v>
      </c>
      <c r="AG259" s="16" t="str">
        <f t="shared" si="30"/>
        <v>有效</v>
      </c>
      <c r="AH259">
        <f t="shared" si="31"/>
        <v>1357661.18229167</v>
      </c>
    </row>
    <row r="260" ht="14.25" customHeight="1" spans="1:34">
      <c r="A260" s="16">
        <v>256</v>
      </c>
      <c r="B260" s="16">
        <v>1003</v>
      </c>
      <c r="C260" s="16">
        <v>36</v>
      </c>
      <c r="D260" s="17">
        <f>IFERROR(ROUND($U260*$X260*$AA260*参数!$B$13,0),"")</f>
        <v>1169721</v>
      </c>
      <c r="E260" s="17">
        <f>IFERROR(ROUND($V260*$Y260*$AB260*参数!$C$13,0),"")</f>
        <v>16013</v>
      </c>
      <c r="F260" s="17">
        <f>IFERROR(ROUND($W260*$Z260*$AC260*参数!$D$13,0),"")</f>
        <v>29150</v>
      </c>
      <c r="G260" s="16">
        <v>1323561</v>
      </c>
      <c r="H260" s="16">
        <v>16997</v>
      </c>
      <c r="I260" s="16">
        <v>22108</v>
      </c>
      <c r="J260" s="16">
        <v>52</v>
      </c>
      <c r="K260" s="16">
        <v>52</v>
      </c>
      <c r="L260" s="16">
        <f>IFERROR(INDEX(楼层配置!$D$5:$D$104,MATCH($K260,楼层配置!$B$5:$B$104,0)),"")</f>
        <v>201</v>
      </c>
      <c r="M260" s="16" t="str">
        <f>IFERROR(INDEX(_角色基线!$B$2:$B$100,MATCH($B260,_角色基线!$A$2:$A$100,0)),"")</f>
        <v>塔拉夏</v>
      </c>
      <c r="N260" s="16" t="str">
        <f>IFERROR(INDEX(_角色基线!$C$2:$C$100,MATCH($B260,_角色基线!$A$2:$A$100,0)),"")</f>
        <v>Tank</v>
      </c>
      <c r="O260" s="16">
        <f>IFERROR(INDEX(_怪物基线!$B$2:$B$501,MATCH(INT($L260),_怪物基线!$A$2:$A$501,0)),"")</f>
        <v>168769</v>
      </c>
      <c r="P260" s="16">
        <f>IFERROR(INDEX(_怪物基线!$C$2:$C$501,MATCH(INT($L260),_怪物基线!$A$2:$A$501,0)),"")</f>
        <v>19681</v>
      </c>
      <c r="Q260" s="16">
        <f>IFERROR(INDEX(_怪物基线!$D$2:$D$501,MATCH(INT($L260),_怪物基线!$A$2:$A$501,0)),"")</f>
        <v>19433</v>
      </c>
      <c r="R260" s="16">
        <f>参数!$B$10</f>
        <v>4</v>
      </c>
      <c r="S260" s="16">
        <f>参数!$C$10</f>
        <v>1.2</v>
      </c>
      <c r="T260" s="16">
        <f>参数!$D$10</f>
        <v>1</v>
      </c>
      <c r="U260" s="16">
        <f t="shared" si="24"/>
        <v>675076</v>
      </c>
      <c r="V260" s="16">
        <f t="shared" si="25"/>
        <v>23617.2</v>
      </c>
      <c r="W260" s="16">
        <f t="shared" si="26"/>
        <v>19433</v>
      </c>
      <c r="X260" s="16">
        <f>IFERROR(INDEX(参数!$B$5:$B$7,MATCH($N260,参数!$A$5:$A$7,0)),"")</f>
        <v>1.5</v>
      </c>
      <c r="Y260" s="16">
        <f>IFERROR(INDEX(参数!$C$5:$C$7,MATCH($N260,参数!$A$5:$A$7,0)),"")</f>
        <v>1</v>
      </c>
      <c r="Z260" s="16">
        <f>IFERROR(INDEX(参数!$D$5:$D$7,MATCH($N260,参数!$A$5:$A$7,0)),"")</f>
        <v>1.5</v>
      </c>
      <c r="AA260" s="16">
        <f>IFERROR(INDEX(楼层配置!$E$5:$E$104,MATCH($K260,楼层配置!$B$5:$B$104,0)),1)</f>
        <v>1.15514989318123</v>
      </c>
      <c r="AB260" s="16">
        <f>IFERROR(INDEX(楼层配置!$F$5:$F$104,MATCH($K260,楼层配置!$B$5:$B$104,0)),1)</f>
        <v>0.678032893523875</v>
      </c>
      <c r="AC260" s="16">
        <f>IFERROR(INDEX(楼层配置!$G$5:$G$104,MATCH($K260,楼层配置!$B$5:$B$104,0)),1)</f>
        <v>1</v>
      </c>
      <c r="AD260" s="18">
        <f t="shared" si="27"/>
        <v>-0.11623189259883</v>
      </c>
      <c r="AE260" s="18">
        <f t="shared" si="28"/>
        <v>-0.0578925692769312</v>
      </c>
      <c r="AF260" s="18">
        <f t="shared" si="29"/>
        <v>0.318527229962005</v>
      </c>
      <c r="AG260" s="16" t="str">
        <f t="shared" si="30"/>
        <v>有效</v>
      </c>
      <c r="AH260">
        <f t="shared" si="31"/>
        <v>2590444.63125</v>
      </c>
    </row>
    <row r="261" ht="14.25" customHeight="1" spans="1:34">
      <c r="A261" s="16">
        <v>257</v>
      </c>
      <c r="B261" s="16">
        <v>1014</v>
      </c>
      <c r="C261" s="16">
        <v>36</v>
      </c>
      <c r="D261" s="17">
        <f>IFERROR(ROUND($U261*$X261*$AA261*参数!$B$13,0),"")</f>
        <v>779814</v>
      </c>
      <c r="E261" s="17">
        <f>IFERROR(ROUND($V261*$Y261*$AB261*参数!$C$13,0),"")</f>
        <v>19216</v>
      </c>
      <c r="F261" s="17">
        <f>IFERROR(ROUND($W261*$Z261*$AC261*参数!$D$13,0),"")</f>
        <v>19433</v>
      </c>
      <c r="G261" s="16">
        <v>882374</v>
      </c>
      <c r="H261" s="16">
        <v>20396</v>
      </c>
      <c r="I261" s="16">
        <v>14739</v>
      </c>
      <c r="J261" s="16">
        <v>52</v>
      </c>
      <c r="K261" s="16">
        <v>52</v>
      </c>
      <c r="L261" s="16">
        <f>IFERROR(INDEX(楼层配置!$D$5:$D$104,MATCH($K261,楼层配置!$B$5:$B$104,0)),"")</f>
        <v>201</v>
      </c>
      <c r="M261" s="16" t="str">
        <f>IFERROR(INDEX(_角色基线!$B$2:$B$100,MATCH($B261,_角色基线!$A$2:$A$100,0)),"")</f>
        <v>克莉丝汀</v>
      </c>
      <c r="N261" s="16" t="str">
        <f>IFERROR(INDEX(_角色基线!$C$2:$C$100,MATCH($B261,_角色基线!$A$2:$A$100,0)),"")</f>
        <v>DPS</v>
      </c>
      <c r="O261" s="16">
        <f>IFERROR(INDEX(_怪物基线!$B$2:$B$501,MATCH(INT($L261),_怪物基线!$A$2:$A$501,0)),"")</f>
        <v>168769</v>
      </c>
      <c r="P261" s="16">
        <f>IFERROR(INDEX(_怪物基线!$C$2:$C$501,MATCH(INT($L261),_怪物基线!$A$2:$A$501,0)),"")</f>
        <v>19681</v>
      </c>
      <c r="Q261" s="16">
        <f>IFERROR(INDEX(_怪物基线!$D$2:$D$501,MATCH(INT($L261),_怪物基线!$A$2:$A$501,0)),"")</f>
        <v>19433</v>
      </c>
      <c r="R261" s="16">
        <f>参数!$B$10</f>
        <v>4</v>
      </c>
      <c r="S261" s="16">
        <f>参数!$C$10</f>
        <v>1.2</v>
      </c>
      <c r="T261" s="16">
        <f>参数!$D$10</f>
        <v>1</v>
      </c>
      <c r="U261" s="16">
        <f t="shared" ref="U261:U324" si="32">IF($O261="","",$O261*$R261)</f>
        <v>675076</v>
      </c>
      <c r="V261" s="16">
        <f t="shared" ref="V261:V324" si="33">IF($P261="","",$P261*$S261)</f>
        <v>23617.2</v>
      </c>
      <c r="W261" s="16">
        <f t="shared" ref="W261:W324" si="34">IF($Q261="","",$Q261*$T261)</f>
        <v>19433</v>
      </c>
      <c r="X261" s="16">
        <f>IFERROR(INDEX(参数!$B$5:$B$7,MATCH($N261,参数!$A$5:$A$7,0)),"")</f>
        <v>1</v>
      </c>
      <c r="Y261" s="16">
        <f>IFERROR(INDEX(参数!$C$5:$C$7,MATCH($N261,参数!$A$5:$A$7,0)),"")</f>
        <v>1.2</v>
      </c>
      <c r="Z261" s="16">
        <f>IFERROR(INDEX(参数!$D$5:$D$7,MATCH($N261,参数!$A$5:$A$7,0)),"")</f>
        <v>1</v>
      </c>
      <c r="AA261" s="16">
        <f>IFERROR(INDEX(楼层配置!$E$5:$E$104,MATCH($K261,楼层配置!$B$5:$B$104,0)),1)</f>
        <v>1.15514989318123</v>
      </c>
      <c r="AB261" s="16">
        <f>IFERROR(INDEX(楼层配置!$F$5:$F$104,MATCH($K261,楼层配置!$B$5:$B$104,0)),1)</f>
        <v>0.678032893523875</v>
      </c>
      <c r="AC261" s="16">
        <f>IFERROR(INDEX(楼层配置!$G$5:$G$104,MATCH($K261,楼层配置!$B$5:$B$104,0)),1)</f>
        <v>1</v>
      </c>
      <c r="AD261" s="18">
        <f t="shared" ref="AD261:AD324" si="35">IFERROR($D261/$G261-1,"")</f>
        <v>-0.11623189259883</v>
      </c>
      <c r="AE261" s="18">
        <f t="shared" ref="AE261:AE324" si="36">IFERROR($E261/$H261-1,"")</f>
        <v>-0.0578544812708374</v>
      </c>
      <c r="AF261" s="18">
        <f t="shared" ref="AF261:AF324" si="37">IFERROR($F261/$I261-1,"")</f>
        <v>0.318474794762196</v>
      </c>
      <c r="AG261" s="16" t="str">
        <f t="shared" ref="AG261:AG324" si="38">IF(AND($A261&gt;=1,$L261&gt;=1,$L261&lt;=500,OR($N261="Tank",$N261="DPS",$N261="Support"),ISNUMBER($D261),ISNUMBER($E261),ISNUMBER($F261)),"有效","异常")</f>
        <v>有效</v>
      </c>
      <c r="AH261">
        <f t="shared" ref="AH261:AH324" si="39">D261/(1-MIN(0.75,F261/(24000+F261)))</f>
        <v>1411235.89425</v>
      </c>
    </row>
    <row r="262" ht="14.25" customHeight="1" spans="1:34">
      <c r="A262" s="16">
        <v>258</v>
      </c>
      <c r="B262" s="16">
        <v>1018</v>
      </c>
      <c r="C262" s="16">
        <v>36</v>
      </c>
      <c r="D262" s="17">
        <f>IFERROR(ROUND($U262*$X262*$AA262*参数!$B$13,0),"")</f>
        <v>974767</v>
      </c>
      <c r="E262" s="17">
        <f>IFERROR(ROUND($V262*$Y262*$AB262*参数!$C$13,0),"")</f>
        <v>16013</v>
      </c>
      <c r="F262" s="17">
        <f>IFERROR(ROUND($W262*$Z262*$AC262*参数!$D$13,0),"")</f>
        <v>24291</v>
      </c>
      <c r="G262" s="16">
        <v>1102968</v>
      </c>
      <c r="H262" s="16">
        <v>16997</v>
      </c>
      <c r="I262" s="16">
        <v>18424</v>
      </c>
      <c r="J262" s="16">
        <v>52</v>
      </c>
      <c r="K262" s="16">
        <v>52</v>
      </c>
      <c r="L262" s="16">
        <f>IFERROR(INDEX(楼层配置!$D$5:$D$104,MATCH($K262,楼层配置!$B$5:$B$104,0)),"")</f>
        <v>201</v>
      </c>
      <c r="M262" s="16" t="str">
        <f>IFERROR(INDEX(_角色基线!$B$2:$B$100,MATCH($B262,_角色基线!$A$2:$A$100,0)),"")</f>
        <v>埃莉诺</v>
      </c>
      <c r="N262" s="16" t="str">
        <f>IFERROR(INDEX(_角色基线!$C$2:$C$100,MATCH($B262,_角色基线!$A$2:$A$100,0)),"")</f>
        <v>Support</v>
      </c>
      <c r="O262" s="16">
        <f>IFERROR(INDEX(_怪物基线!$B$2:$B$501,MATCH(INT($L262),_怪物基线!$A$2:$A$501,0)),"")</f>
        <v>168769</v>
      </c>
      <c r="P262" s="16">
        <f>IFERROR(INDEX(_怪物基线!$C$2:$C$501,MATCH(INT($L262),_怪物基线!$A$2:$A$501,0)),"")</f>
        <v>19681</v>
      </c>
      <c r="Q262" s="16">
        <f>IFERROR(INDEX(_怪物基线!$D$2:$D$501,MATCH(INT($L262),_怪物基线!$A$2:$A$501,0)),"")</f>
        <v>19433</v>
      </c>
      <c r="R262" s="16">
        <f>参数!$B$10</f>
        <v>4</v>
      </c>
      <c r="S262" s="16">
        <f>参数!$C$10</f>
        <v>1.2</v>
      </c>
      <c r="T262" s="16">
        <f>参数!$D$10</f>
        <v>1</v>
      </c>
      <c r="U262" s="16">
        <f t="shared" si="32"/>
        <v>675076</v>
      </c>
      <c r="V262" s="16">
        <f t="shared" si="33"/>
        <v>23617.2</v>
      </c>
      <c r="W262" s="16">
        <f t="shared" si="34"/>
        <v>19433</v>
      </c>
      <c r="X262" s="16">
        <f>IFERROR(INDEX(参数!$B$5:$B$7,MATCH($N262,参数!$A$5:$A$7,0)),"")</f>
        <v>1.25</v>
      </c>
      <c r="Y262" s="16">
        <f>IFERROR(INDEX(参数!$C$5:$C$7,MATCH($N262,参数!$A$5:$A$7,0)),"")</f>
        <v>1</v>
      </c>
      <c r="Z262" s="16">
        <f>IFERROR(INDEX(参数!$D$5:$D$7,MATCH($N262,参数!$A$5:$A$7,0)),"")</f>
        <v>1.25</v>
      </c>
      <c r="AA262" s="16">
        <f>IFERROR(INDEX(楼层配置!$E$5:$E$104,MATCH($K262,楼层配置!$B$5:$B$104,0)),1)</f>
        <v>1.15514989318123</v>
      </c>
      <c r="AB262" s="16">
        <f>IFERROR(INDEX(楼层配置!$F$5:$F$104,MATCH($K262,楼层配置!$B$5:$B$104,0)),1)</f>
        <v>0.678032893523875</v>
      </c>
      <c r="AC262" s="16">
        <f>IFERROR(INDEX(楼层配置!$G$5:$G$104,MATCH($K262,楼层配置!$B$5:$B$104,0)),1)</f>
        <v>1</v>
      </c>
      <c r="AD262" s="18">
        <f t="shared" si="35"/>
        <v>-0.116232746552937</v>
      </c>
      <c r="AE262" s="18">
        <f t="shared" si="36"/>
        <v>-0.0578925692769312</v>
      </c>
      <c r="AF262" s="18">
        <f t="shared" si="37"/>
        <v>0.318443334780721</v>
      </c>
      <c r="AG262" s="16" t="str">
        <f t="shared" si="38"/>
        <v>有效</v>
      </c>
      <c r="AH262">
        <f t="shared" si="39"/>
        <v>1961353.049875</v>
      </c>
    </row>
    <row r="263" ht="14.25" customHeight="1" spans="1:34">
      <c r="A263" s="16">
        <v>259</v>
      </c>
      <c r="B263" s="16">
        <v>1005</v>
      </c>
      <c r="C263" s="16">
        <v>36</v>
      </c>
      <c r="D263" s="17">
        <f>IFERROR(ROUND($U263*$X263*$AA263*参数!$B$13,0),"")</f>
        <v>779814</v>
      </c>
      <c r="E263" s="17">
        <f>IFERROR(ROUND($V263*$Y263*$AB263*参数!$C$13,0),"")</f>
        <v>19216</v>
      </c>
      <c r="F263" s="17">
        <f>IFERROR(ROUND($W263*$Z263*$AC263*参数!$D$13,0),"")</f>
        <v>19433</v>
      </c>
      <c r="G263" s="16">
        <v>882374</v>
      </c>
      <c r="H263" s="16">
        <v>20396</v>
      </c>
      <c r="I263" s="16">
        <v>14739</v>
      </c>
      <c r="J263" s="16">
        <v>52</v>
      </c>
      <c r="K263" s="16">
        <v>52</v>
      </c>
      <c r="L263" s="16">
        <f>IFERROR(INDEX(楼层配置!$D$5:$D$104,MATCH($K263,楼层配置!$B$5:$B$104,0)),"")</f>
        <v>201</v>
      </c>
      <c r="M263" s="16" t="str">
        <f>IFERROR(INDEX(_角色基线!$B$2:$B$100,MATCH($B263,_角色基线!$A$2:$A$100,0)),"")</f>
        <v>陈单单</v>
      </c>
      <c r="N263" s="16" t="str">
        <f>IFERROR(INDEX(_角色基线!$C$2:$C$100,MATCH($B263,_角色基线!$A$2:$A$100,0)),"")</f>
        <v>DPS</v>
      </c>
      <c r="O263" s="16">
        <f>IFERROR(INDEX(_怪物基线!$B$2:$B$501,MATCH(INT($L263),_怪物基线!$A$2:$A$501,0)),"")</f>
        <v>168769</v>
      </c>
      <c r="P263" s="16">
        <f>IFERROR(INDEX(_怪物基线!$C$2:$C$501,MATCH(INT($L263),_怪物基线!$A$2:$A$501,0)),"")</f>
        <v>19681</v>
      </c>
      <c r="Q263" s="16">
        <f>IFERROR(INDEX(_怪物基线!$D$2:$D$501,MATCH(INT($L263),_怪物基线!$A$2:$A$501,0)),"")</f>
        <v>19433</v>
      </c>
      <c r="R263" s="16">
        <f>参数!$B$10</f>
        <v>4</v>
      </c>
      <c r="S263" s="16">
        <f>参数!$C$10</f>
        <v>1.2</v>
      </c>
      <c r="T263" s="16">
        <f>参数!$D$10</f>
        <v>1</v>
      </c>
      <c r="U263" s="16">
        <f t="shared" si="32"/>
        <v>675076</v>
      </c>
      <c r="V263" s="16">
        <f t="shared" si="33"/>
        <v>23617.2</v>
      </c>
      <c r="W263" s="16">
        <f t="shared" si="34"/>
        <v>19433</v>
      </c>
      <c r="X263" s="16">
        <f>IFERROR(INDEX(参数!$B$5:$B$7,MATCH($N263,参数!$A$5:$A$7,0)),"")</f>
        <v>1</v>
      </c>
      <c r="Y263" s="16">
        <f>IFERROR(INDEX(参数!$C$5:$C$7,MATCH($N263,参数!$A$5:$A$7,0)),"")</f>
        <v>1.2</v>
      </c>
      <c r="Z263" s="16">
        <f>IFERROR(INDEX(参数!$D$5:$D$7,MATCH($N263,参数!$A$5:$A$7,0)),"")</f>
        <v>1</v>
      </c>
      <c r="AA263" s="16">
        <f>IFERROR(INDEX(楼层配置!$E$5:$E$104,MATCH($K263,楼层配置!$B$5:$B$104,0)),1)</f>
        <v>1.15514989318123</v>
      </c>
      <c r="AB263" s="16">
        <f>IFERROR(INDEX(楼层配置!$F$5:$F$104,MATCH($K263,楼层配置!$B$5:$B$104,0)),1)</f>
        <v>0.678032893523875</v>
      </c>
      <c r="AC263" s="16">
        <f>IFERROR(INDEX(楼层配置!$G$5:$G$104,MATCH($K263,楼层配置!$B$5:$B$104,0)),1)</f>
        <v>1</v>
      </c>
      <c r="AD263" s="18">
        <f t="shared" si="35"/>
        <v>-0.11623189259883</v>
      </c>
      <c r="AE263" s="18">
        <f t="shared" si="36"/>
        <v>-0.0578544812708374</v>
      </c>
      <c r="AF263" s="18">
        <f t="shared" si="37"/>
        <v>0.318474794762196</v>
      </c>
      <c r="AG263" s="16" t="str">
        <f t="shared" si="38"/>
        <v>有效</v>
      </c>
      <c r="AH263">
        <f t="shared" si="39"/>
        <v>1411235.89425</v>
      </c>
    </row>
    <row r="264" ht="14.25" customHeight="1" spans="1:34">
      <c r="A264" s="16">
        <v>260</v>
      </c>
      <c r="B264" s="16">
        <v>1012</v>
      </c>
      <c r="C264" s="16">
        <v>36</v>
      </c>
      <c r="D264" s="17">
        <f>IFERROR(ROUND($U264*$X264*$AA264*参数!$B$13,0),"")</f>
        <v>974767</v>
      </c>
      <c r="E264" s="17">
        <f>IFERROR(ROUND($V264*$Y264*$AB264*参数!$C$13,0),"")</f>
        <v>16013</v>
      </c>
      <c r="F264" s="17">
        <f>IFERROR(ROUND($W264*$Z264*$AC264*参数!$D$13,0),"")</f>
        <v>24291</v>
      </c>
      <c r="G264" s="16">
        <v>1102968</v>
      </c>
      <c r="H264" s="16">
        <v>16997</v>
      </c>
      <c r="I264" s="16">
        <v>18424</v>
      </c>
      <c r="J264" s="16">
        <v>52</v>
      </c>
      <c r="K264" s="16">
        <v>52</v>
      </c>
      <c r="L264" s="16">
        <f>IFERROR(INDEX(楼层配置!$D$5:$D$104,MATCH($K264,楼层配置!$B$5:$B$104,0)),"")</f>
        <v>201</v>
      </c>
      <c r="M264" s="16" t="str">
        <f>IFERROR(INDEX(_角色基线!$B$2:$B$100,MATCH($B264,_角色基线!$A$2:$A$100,0)),"")</f>
        <v>艾德琳</v>
      </c>
      <c r="N264" s="16" t="str">
        <f>IFERROR(INDEX(_角色基线!$C$2:$C$100,MATCH($B264,_角色基线!$A$2:$A$100,0)),"")</f>
        <v>Support</v>
      </c>
      <c r="O264" s="16">
        <f>IFERROR(INDEX(_怪物基线!$B$2:$B$501,MATCH(INT($L264),_怪物基线!$A$2:$A$501,0)),"")</f>
        <v>168769</v>
      </c>
      <c r="P264" s="16">
        <f>IFERROR(INDEX(_怪物基线!$C$2:$C$501,MATCH(INT($L264),_怪物基线!$A$2:$A$501,0)),"")</f>
        <v>19681</v>
      </c>
      <c r="Q264" s="16">
        <f>IFERROR(INDEX(_怪物基线!$D$2:$D$501,MATCH(INT($L264),_怪物基线!$A$2:$A$501,0)),"")</f>
        <v>19433</v>
      </c>
      <c r="R264" s="16">
        <f>参数!$B$10</f>
        <v>4</v>
      </c>
      <c r="S264" s="16">
        <f>参数!$C$10</f>
        <v>1.2</v>
      </c>
      <c r="T264" s="16">
        <f>参数!$D$10</f>
        <v>1</v>
      </c>
      <c r="U264" s="16">
        <f t="shared" si="32"/>
        <v>675076</v>
      </c>
      <c r="V264" s="16">
        <f t="shared" si="33"/>
        <v>23617.2</v>
      </c>
      <c r="W264" s="16">
        <f t="shared" si="34"/>
        <v>19433</v>
      </c>
      <c r="X264" s="16">
        <f>IFERROR(INDEX(参数!$B$5:$B$7,MATCH($N264,参数!$A$5:$A$7,0)),"")</f>
        <v>1.25</v>
      </c>
      <c r="Y264" s="16">
        <f>IFERROR(INDEX(参数!$C$5:$C$7,MATCH($N264,参数!$A$5:$A$7,0)),"")</f>
        <v>1</v>
      </c>
      <c r="Z264" s="16">
        <f>IFERROR(INDEX(参数!$D$5:$D$7,MATCH($N264,参数!$A$5:$A$7,0)),"")</f>
        <v>1.25</v>
      </c>
      <c r="AA264" s="16">
        <f>IFERROR(INDEX(楼层配置!$E$5:$E$104,MATCH($K264,楼层配置!$B$5:$B$104,0)),1)</f>
        <v>1.15514989318123</v>
      </c>
      <c r="AB264" s="16">
        <f>IFERROR(INDEX(楼层配置!$F$5:$F$104,MATCH($K264,楼层配置!$B$5:$B$104,0)),1)</f>
        <v>0.678032893523875</v>
      </c>
      <c r="AC264" s="16">
        <f>IFERROR(INDEX(楼层配置!$G$5:$G$104,MATCH($K264,楼层配置!$B$5:$B$104,0)),1)</f>
        <v>1</v>
      </c>
      <c r="AD264" s="18">
        <f t="shared" si="35"/>
        <v>-0.116232746552937</v>
      </c>
      <c r="AE264" s="18">
        <f t="shared" si="36"/>
        <v>-0.0578925692769312</v>
      </c>
      <c r="AF264" s="18">
        <f t="shared" si="37"/>
        <v>0.318443334780721</v>
      </c>
      <c r="AG264" s="16" t="str">
        <f t="shared" si="38"/>
        <v>有效</v>
      </c>
      <c r="AH264">
        <f t="shared" si="39"/>
        <v>1961353.049875</v>
      </c>
    </row>
    <row r="265" ht="14.25" customHeight="1" spans="1:34">
      <c r="A265" s="16">
        <v>261</v>
      </c>
      <c r="B265" s="16">
        <v>1003</v>
      </c>
      <c r="C265" s="16">
        <v>36</v>
      </c>
      <c r="D265" s="17">
        <f>IFERROR(ROUND($U265*$X265*$AA265*参数!$B$13,0),"")</f>
        <v>1200620</v>
      </c>
      <c r="E265" s="17">
        <f>IFERROR(ROUND($V265*$Y265*$AB265*参数!$C$13,0),"")</f>
        <v>16349</v>
      </c>
      <c r="F265" s="17">
        <f>IFERROR(ROUND($W265*$Z265*$AC265*参数!$D$13,0),"")</f>
        <v>29508</v>
      </c>
      <c r="G265" s="16">
        <v>1382623</v>
      </c>
      <c r="H265" s="16">
        <v>17508</v>
      </c>
      <c r="I265" s="16">
        <v>22624</v>
      </c>
      <c r="J265" s="16">
        <v>53</v>
      </c>
      <c r="K265" s="16">
        <v>53</v>
      </c>
      <c r="L265" s="16">
        <f>IFERROR(INDEX(楼层配置!$D$5:$D$104,MATCH($K265,楼层配置!$B$5:$B$104,0)),"")</f>
        <v>203</v>
      </c>
      <c r="M265" s="16" t="str">
        <f>IFERROR(INDEX(_角色基线!$B$2:$B$100,MATCH($B265,_角色基线!$A$2:$A$100,0)),"")</f>
        <v>塔拉夏</v>
      </c>
      <c r="N265" s="16" t="str">
        <f>IFERROR(INDEX(_角色基线!$C$2:$C$100,MATCH($B265,_角色基线!$A$2:$A$100,0)),"")</f>
        <v>Tank</v>
      </c>
      <c r="O265" s="16">
        <f>IFERROR(INDEX(_怪物基线!$B$2:$B$501,MATCH(INT($L265),_怪物基线!$A$2:$A$501,0)),"")</f>
        <v>172896</v>
      </c>
      <c r="P265" s="16">
        <f>IFERROR(INDEX(_怪物基线!$C$2:$C$501,MATCH(INT($L265),_怪物基线!$A$2:$A$501,0)),"")</f>
        <v>20028</v>
      </c>
      <c r="Q265" s="16">
        <f>IFERROR(INDEX(_怪物基线!$D$2:$D$501,MATCH(INT($L265),_怪物基线!$A$2:$A$501,0)),"")</f>
        <v>19672</v>
      </c>
      <c r="R265" s="16">
        <f>参数!$B$10</f>
        <v>4</v>
      </c>
      <c r="S265" s="16">
        <f>参数!$C$10</f>
        <v>1.2</v>
      </c>
      <c r="T265" s="16">
        <f>参数!$D$10</f>
        <v>1</v>
      </c>
      <c r="U265" s="16">
        <f t="shared" si="32"/>
        <v>691584</v>
      </c>
      <c r="V265" s="16">
        <f t="shared" si="33"/>
        <v>24033.6</v>
      </c>
      <c r="W265" s="16">
        <f t="shared" si="34"/>
        <v>19672</v>
      </c>
      <c r="X265" s="16">
        <f>IFERROR(INDEX(参数!$B$5:$B$7,MATCH($N265,参数!$A$5:$A$7,0)),"")</f>
        <v>1.5</v>
      </c>
      <c r="Y265" s="16">
        <f>IFERROR(INDEX(参数!$C$5:$C$7,MATCH($N265,参数!$A$5:$A$7,0)),"")</f>
        <v>1</v>
      </c>
      <c r="Z265" s="16">
        <f>IFERROR(INDEX(参数!$D$5:$D$7,MATCH($N265,参数!$A$5:$A$7,0)),"")</f>
        <v>1.5</v>
      </c>
      <c r="AA265" s="16">
        <f>IFERROR(INDEX(楼层配置!$E$5:$E$104,MATCH($K265,楼层配置!$B$5:$B$104,0)),1)</f>
        <v>1.15736206117284</v>
      </c>
      <c r="AB265" s="16">
        <f>IFERROR(INDEX(楼层配置!$F$5:$F$104,MATCH($K265,楼层配置!$B$5:$B$104,0)),1)</f>
        <v>0.680269080212309</v>
      </c>
      <c r="AC265" s="16">
        <f>IFERROR(INDEX(楼层配置!$G$5:$G$104,MATCH($K265,楼层配置!$B$5:$B$104,0)),1)</f>
        <v>1</v>
      </c>
      <c r="AD265" s="18">
        <f t="shared" si="35"/>
        <v>-0.131636028042351</v>
      </c>
      <c r="AE265" s="18">
        <f t="shared" si="36"/>
        <v>-0.0661983093442997</v>
      </c>
      <c r="AF265" s="18">
        <f t="shared" si="37"/>
        <v>0.304278642149929</v>
      </c>
      <c r="AG265" s="16" t="str">
        <f t="shared" si="38"/>
        <v>有效</v>
      </c>
      <c r="AH265">
        <f t="shared" si="39"/>
        <v>2676782.29</v>
      </c>
    </row>
    <row r="266" ht="14.25" customHeight="1" spans="1:34">
      <c r="A266" s="16">
        <v>262</v>
      </c>
      <c r="B266" s="16">
        <v>1011</v>
      </c>
      <c r="C266" s="16">
        <v>36</v>
      </c>
      <c r="D266" s="17">
        <f>IFERROR(ROUND($U266*$X266*$AA266*参数!$B$13,0),"")</f>
        <v>1000516</v>
      </c>
      <c r="E266" s="17">
        <f>IFERROR(ROUND($V266*$Y266*$AB266*参数!$C$13,0),"")</f>
        <v>16349</v>
      </c>
      <c r="F266" s="17">
        <f>IFERROR(ROUND($W266*$Z266*$AC266*参数!$D$13,0),"")</f>
        <v>24590</v>
      </c>
      <c r="G266" s="16">
        <v>1152186</v>
      </c>
      <c r="H266" s="16">
        <v>17508</v>
      </c>
      <c r="I266" s="16">
        <v>18854</v>
      </c>
      <c r="J266" s="16">
        <v>53</v>
      </c>
      <c r="K266" s="16">
        <v>53</v>
      </c>
      <c r="L266" s="16">
        <f>IFERROR(INDEX(楼层配置!$D$5:$D$104,MATCH($K266,楼层配置!$B$5:$B$104,0)),"")</f>
        <v>203</v>
      </c>
      <c r="M266" s="16" t="str">
        <f>IFERROR(INDEX(_角色基线!$B$2:$B$100,MATCH($B266,_角色基线!$A$2:$A$100,0)),"")</f>
        <v>陈双双</v>
      </c>
      <c r="N266" s="16" t="str">
        <f>IFERROR(INDEX(_角色基线!$C$2:$C$100,MATCH($B266,_角色基线!$A$2:$A$100,0)),"")</f>
        <v>Support</v>
      </c>
      <c r="O266" s="16">
        <f>IFERROR(INDEX(_怪物基线!$B$2:$B$501,MATCH(INT($L266),_怪物基线!$A$2:$A$501,0)),"")</f>
        <v>172896</v>
      </c>
      <c r="P266" s="16">
        <f>IFERROR(INDEX(_怪物基线!$C$2:$C$501,MATCH(INT($L266),_怪物基线!$A$2:$A$501,0)),"")</f>
        <v>20028</v>
      </c>
      <c r="Q266" s="16">
        <f>IFERROR(INDEX(_怪物基线!$D$2:$D$501,MATCH(INT($L266),_怪物基线!$A$2:$A$501,0)),"")</f>
        <v>19672</v>
      </c>
      <c r="R266" s="16">
        <f>参数!$B$10</f>
        <v>4</v>
      </c>
      <c r="S266" s="16">
        <f>参数!$C$10</f>
        <v>1.2</v>
      </c>
      <c r="T266" s="16">
        <f>参数!$D$10</f>
        <v>1</v>
      </c>
      <c r="U266" s="16">
        <f t="shared" si="32"/>
        <v>691584</v>
      </c>
      <c r="V266" s="16">
        <f t="shared" si="33"/>
        <v>24033.6</v>
      </c>
      <c r="W266" s="16">
        <f t="shared" si="34"/>
        <v>19672</v>
      </c>
      <c r="X266" s="16">
        <f>IFERROR(INDEX(参数!$B$5:$B$7,MATCH($N266,参数!$A$5:$A$7,0)),"")</f>
        <v>1.25</v>
      </c>
      <c r="Y266" s="16">
        <f>IFERROR(INDEX(参数!$C$5:$C$7,MATCH($N266,参数!$A$5:$A$7,0)),"")</f>
        <v>1</v>
      </c>
      <c r="Z266" s="16">
        <f>IFERROR(INDEX(参数!$D$5:$D$7,MATCH($N266,参数!$A$5:$A$7,0)),"")</f>
        <v>1.25</v>
      </c>
      <c r="AA266" s="16">
        <f>IFERROR(INDEX(楼层配置!$E$5:$E$104,MATCH($K266,楼层配置!$B$5:$B$104,0)),1)</f>
        <v>1.15736206117284</v>
      </c>
      <c r="AB266" s="16">
        <f>IFERROR(INDEX(楼层配置!$F$5:$F$104,MATCH($K266,楼层配置!$B$5:$B$104,0)),1)</f>
        <v>0.680269080212309</v>
      </c>
      <c r="AC266" s="16">
        <f>IFERROR(INDEX(楼层配置!$G$5:$G$104,MATCH($K266,楼层配置!$B$5:$B$104,0)),1)</f>
        <v>1</v>
      </c>
      <c r="AD266" s="18">
        <f t="shared" si="35"/>
        <v>-0.131636732263714</v>
      </c>
      <c r="AE266" s="18">
        <f t="shared" si="36"/>
        <v>-0.0661983093442997</v>
      </c>
      <c r="AF266" s="18">
        <f t="shared" si="37"/>
        <v>0.304232523602419</v>
      </c>
      <c r="AG266" s="16" t="str">
        <f t="shared" si="38"/>
        <v>有效</v>
      </c>
      <c r="AH266">
        <f t="shared" si="39"/>
        <v>2025628.01833333</v>
      </c>
    </row>
    <row r="267" ht="14.25" customHeight="1" spans="1:34">
      <c r="A267" s="16">
        <v>263</v>
      </c>
      <c r="B267" s="16">
        <v>1012</v>
      </c>
      <c r="C267" s="16">
        <v>36</v>
      </c>
      <c r="D267" s="17">
        <f>IFERROR(ROUND($U267*$X267*$AA267*参数!$B$13,0),"")</f>
        <v>1000516</v>
      </c>
      <c r="E267" s="17">
        <f>IFERROR(ROUND($V267*$Y267*$AB267*参数!$C$13,0),"")</f>
        <v>16349</v>
      </c>
      <c r="F267" s="17">
        <f>IFERROR(ROUND($W267*$Z267*$AC267*参数!$D$13,0),"")</f>
        <v>24590</v>
      </c>
      <c r="G267" s="16">
        <v>1152186</v>
      </c>
      <c r="H267" s="16">
        <v>17508</v>
      </c>
      <c r="I267" s="16">
        <v>18854</v>
      </c>
      <c r="J267" s="16">
        <v>53</v>
      </c>
      <c r="K267" s="16">
        <v>53</v>
      </c>
      <c r="L267" s="16">
        <f>IFERROR(INDEX(楼层配置!$D$5:$D$104,MATCH($K267,楼层配置!$B$5:$B$104,0)),"")</f>
        <v>203</v>
      </c>
      <c r="M267" s="16" t="str">
        <f>IFERROR(INDEX(_角色基线!$B$2:$B$100,MATCH($B267,_角色基线!$A$2:$A$100,0)),"")</f>
        <v>艾德琳</v>
      </c>
      <c r="N267" s="16" t="str">
        <f>IFERROR(INDEX(_角色基线!$C$2:$C$100,MATCH($B267,_角色基线!$A$2:$A$100,0)),"")</f>
        <v>Support</v>
      </c>
      <c r="O267" s="16">
        <f>IFERROR(INDEX(_怪物基线!$B$2:$B$501,MATCH(INT($L267),_怪物基线!$A$2:$A$501,0)),"")</f>
        <v>172896</v>
      </c>
      <c r="P267" s="16">
        <f>IFERROR(INDEX(_怪物基线!$C$2:$C$501,MATCH(INT($L267),_怪物基线!$A$2:$A$501,0)),"")</f>
        <v>20028</v>
      </c>
      <c r="Q267" s="16">
        <f>IFERROR(INDEX(_怪物基线!$D$2:$D$501,MATCH(INT($L267),_怪物基线!$A$2:$A$501,0)),"")</f>
        <v>19672</v>
      </c>
      <c r="R267" s="16">
        <f>参数!$B$10</f>
        <v>4</v>
      </c>
      <c r="S267" s="16">
        <f>参数!$C$10</f>
        <v>1.2</v>
      </c>
      <c r="T267" s="16">
        <f>参数!$D$10</f>
        <v>1</v>
      </c>
      <c r="U267" s="16">
        <f t="shared" si="32"/>
        <v>691584</v>
      </c>
      <c r="V267" s="16">
        <f t="shared" si="33"/>
        <v>24033.6</v>
      </c>
      <c r="W267" s="16">
        <f t="shared" si="34"/>
        <v>19672</v>
      </c>
      <c r="X267" s="16">
        <f>IFERROR(INDEX(参数!$B$5:$B$7,MATCH($N267,参数!$A$5:$A$7,0)),"")</f>
        <v>1.25</v>
      </c>
      <c r="Y267" s="16">
        <f>IFERROR(INDEX(参数!$C$5:$C$7,MATCH($N267,参数!$A$5:$A$7,0)),"")</f>
        <v>1</v>
      </c>
      <c r="Z267" s="16">
        <f>IFERROR(INDEX(参数!$D$5:$D$7,MATCH($N267,参数!$A$5:$A$7,0)),"")</f>
        <v>1.25</v>
      </c>
      <c r="AA267" s="16">
        <f>IFERROR(INDEX(楼层配置!$E$5:$E$104,MATCH($K267,楼层配置!$B$5:$B$104,0)),1)</f>
        <v>1.15736206117284</v>
      </c>
      <c r="AB267" s="16">
        <f>IFERROR(INDEX(楼层配置!$F$5:$F$104,MATCH($K267,楼层配置!$B$5:$B$104,0)),1)</f>
        <v>0.680269080212309</v>
      </c>
      <c r="AC267" s="16">
        <f>IFERROR(INDEX(楼层配置!$G$5:$G$104,MATCH($K267,楼层配置!$B$5:$B$104,0)),1)</f>
        <v>1</v>
      </c>
      <c r="AD267" s="18">
        <f t="shared" si="35"/>
        <v>-0.131636732263714</v>
      </c>
      <c r="AE267" s="18">
        <f t="shared" si="36"/>
        <v>-0.0661983093442997</v>
      </c>
      <c r="AF267" s="18">
        <f t="shared" si="37"/>
        <v>0.304232523602419</v>
      </c>
      <c r="AG267" s="16" t="str">
        <f t="shared" si="38"/>
        <v>有效</v>
      </c>
      <c r="AH267">
        <f t="shared" si="39"/>
        <v>2025628.01833333</v>
      </c>
    </row>
    <row r="268" ht="14.25" customHeight="1" spans="1:34">
      <c r="A268" s="16">
        <v>264</v>
      </c>
      <c r="B268" s="16">
        <v>1006</v>
      </c>
      <c r="C268" s="16">
        <v>36</v>
      </c>
      <c r="D268" s="17">
        <f>IFERROR(ROUND($U268*$X268*$AA268*参数!$B$13,0),"")</f>
        <v>800413</v>
      </c>
      <c r="E268" s="17">
        <f>IFERROR(ROUND($V268*$Y268*$AB268*参数!$C$13,0),"")</f>
        <v>19619</v>
      </c>
      <c r="F268" s="17">
        <f>IFERROR(ROUND($W268*$Z268*$AC268*参数!$D$13,0),"")</f>
        <v>19672</v>
      </c>
      <c r="G268" s="16">
        <v>921748</v>
      </c>
      <c r="H268" s="16">
        <v>21009</v>
      </c>
      <c r="I268" s="16">
        <v>15083</v>
      </c>
      <c r="J268" s="16">
        <v>53</v>
      </c>
      <c r="K268" s="16">
        <v>53</v>
      </c>
      <c r="L268" s="16">
        <f>IFERROR(INDEX(楼层配置!$D$5:$D$104,MATCH($K268,楼层配置!$B$5:$B$104,0)),"")</f>
        <v>203</v>
      </c>
      <c r="M268" s="16" t="str">
        <f>IFERROR(INDEX(_角色基线!$B$2:$B$100,MATCH($B268,_角色基线!$A$2:$A$100,0)),"")</f>
        <v>莉莉娅</v>
      </c>
      <c r="N268" s="16" t="str">
        <f>IFERROR(INDEX(_角色基线!$C$2:$C$100,MATCH($B268,_角色基线!$A$2:$A$100,0)),"")</f>
        <v>DPS</v>
      </c>
      <c r="O268" s="16">
        <f>IFERROR(INDEX(_怪物基线!$B$2:$B$501,MATCH(INT($L268),_怪物基线!$A$2:$A$501,0)),"")</f>
        <v>172896</v>
      </c>
      <c r="P268" s="16">
        <f>IFERROR(INDEX(_怪物基线!$C$2:$C$501,MATCH(INT($L268),_怪物基线!$A$2:$A$501,0)),"")</f>
        <v>20028</v>
      </c>
      <c r="Q268" s="16">
        <f>IFERROR(INDEX(_怪物基线!$D$2:$D$501,MATCH(INT($L268),_怪物基线!$A$2:$A$501,0)),"")</f>
        <v>19672</v>
      </c>
      <c r="R268" s="16">
        <f>参数!$B$10</f>
        <v>4</v>
      </c>
      <c r="S268" s="16">
        <f>参数!$C$10</f>
        <v>1.2</v>
      </c>
      <c r="T268" s="16">
        <f>参数!$D$10</f>
        <v>1</v>
      </c>
      <c r="U268" s="16">
        <f t="shared" si="32"/>
        <v>691584</v>
      </c>
      <c r="V268" s="16">
        <f t="shared" si="33"/>
        <v>24033.6</v>
      </c>
      <c r="W268" s="16">
        <f t="shared" si="34"/>
        <v>19672</v>
      </c>
      <c r="X268" s="16">
        <f>IFERROR(INDEX(参数!$B$5:$B$7,MATCH($N268,参数!$A$5:$A$7,0)),"")</f>
        <v>1</v>
      </c>
      <c r="Y268" s="16">
        <f>IFERROR(INDEX(参数!$C$5:$C$7,MATCH($N268,参数!$A$5:$A$7,0)),"")</f>
        <v>1.2</v>
      </c>
      <c r="Z268" s="16">
        <f>IFERROR(INDEX(参数!$D$5:$D$7,MATCH($N268,参数!$A$5:$A$7,0)),"")</f>
        <v>1</v>
      </c>
      <c r="AA268" s="16">
        <f>IFERROR(INDEX(楼层配置!$E$5:$E$104,MATCH($K268,楼层配置!$B$5:$B$104,0)),1)</f>
        <v>1.15736206117284</v>
      </c>
      <c r="AB268" s="16">
        <f>IFERROR(INDEX(楼层配置!$F$5:$F$104,MATCH($K268,楼层配置!$B$5:$B$104,0)),1)</f>
        <v>0.680269080212309</v>
      </c>
      <c r="AC268" s="16">
        <f>IFERROR(INDEX(楼层配置!$G$5:$G$104,MATCH($K268,楼层配置!$B$5:$B$104,0)),1)</f>
        <v>1</v>
      </c>
      <c r="AD268" s="18">
        <f t="shared" si="35"/>
        <v>-0.131635761618143</v>
      </c>
      <c r="AE268" s="18">
        <f t="shared" si="36"/>
        <v>-0.0661621209957637</v>
      </c>
      <c r="AF268" s="18">
        <f t="shared" si="37"/>
        <v>0.304249817675529</v>
      </c>
      <c r="AG268" s="16" t="str">
        <f t="shared" si="38"/>
        <v>有效</v>
      </c>
      <c r="AH268">
        <f t="shared" si="39"/>
        <v>1456484.85566667</v>
      </c>
    </row>
    <row r="269" ht="14.25" customHeight="1" spans="1:34">
      <c r="A269" s="16">
        <v>265</v>
      </c>
      <c r="B269" s="16">
        <v>1005</v>
      </c>
      <c r="C269" s="16">
        <v>36</v>
      </c>
      <c r="D269" s="17">
        <f>IFERROR(ROUND($U269*$X269*$AA269*参数!$B$13,0),"")</f>
        <v>800413</v>
      </c>
      <c r="E269" s="17">
        <f>IFERROR(ROUND($V269*$Y269*$AB269*参数!$C$13,0),"")</f>
        <v>19619</v>
      </c>
      <c r="F269" s="17">
        <f>IFERROR(ROUND($W269*$Z269*$AC269*参数!$D$13,0),"")</f>
        <v>19672</v>
      </c>
      <c r="G269" s="16">
        <v>921748</v>
      </c>
      <c r="H269" s="16">
        <v>21009</v>
      </c>
      <c r="I269" s="16">
        <v>15083</v>
      </c>
      <c r="J269" s="16">
        <v>53</v>
      </c>
      <c r="K269" s="16">
        <v>53</v>
      </c>
      <c r="L269" s="16">
        <f>IFERROR(INDEX(楼层配置!$D$5:$D$104,MATCH($K269,楼层配置!$B$5:$B$104,0)),"")</f>
        <v>203</v>
      </c>
      <c r="M269" s="16" t="str">
        <f>IFERROR(INDEX(_角色基线!$B$2:$B$100,MATCH($B269,_角色基线!$A$2:$A$100,0)),"")</f>
        <v>陈单单</v>
      </c>
      <c r="N269" s="16" t="str">
        <f>IFERROR(INDEX(_角色基线!$C$2:$C$100,MATCH($B269,_角色基线!$A$2:$A$100,0)),"")</f>
        <v>DPS</v>
      </c>
      <c r="O269" s="16">
        <f>IFERROR(INDEX(_怪物基线!$B$2:$B$501,MATCH(INT($L269),_怪物基线!$A$2:$A$501,0)),"")</f>
        <v>172896</v>
      </c>
      <c r="P269" s="16">
        <f>IFERROR(INDEX(_怪物基线!$C$2:$C$501,MATCH(INT($L269),_怪物基线!$A$2:$A$501,0)),"")</f>
        <v>20028</v>
      </c>
      <c r="Q269" s="16">
        <f>IFERROR(INDEX(_怪物基线!$D$2:$D$501,MATCH(INT($L269),_怪物基线!$A$2:$A$501,0)),"")</f>
        <v>19672</v>
      </c>
      <c r="R269" s="16">
        <f>参数!$B$10</f>
        <v>4</v>
      </c>
      <c r="S269" s="16">
        <f>参数!$C$10</f>
        <v>1.2</v>
      </c>
      <c r="T269" s="16">
        <f>参数!$D$10</f>
        <v>1</v>
      </c>
      <c r="U269" s="16">
        <f t="shared" si="32"/>
        <v>691584</v>
      </c>
      <c r="V269" s="16">
        <f t="shared" si="33"/>
        <v>24033.6</v>
      </c>
      <c r="W269" s="16">
        <f t="shared" si="34"/>
        <v>19672</v>
      </c>
      <c r="X269" s="16">
        <f>IFERROR(INDEX(参数!$B$5:$B$7,MATCH($N269,参数!$A$5:$A$7,0)),"")</f>
        <v>1</v>
      </c>
      <c r="Y269" s="16">
        <f>IFERROR(INDEX(参数!$C$5:$C$7,MATCH($N269,参数!$A$5:$A$7,0)),"")</f>
        <v>1.2</v>
      </c>
      <c r="Z269" s="16">
        <f>IFERROR(INDEX(参数!$D$5:$D$7,MATCH($N269,参数!$A$5:$A$7,0)),"")</f>
        <v>1</v>
      </c>
      <c r="AA269" s="16">
        <f>IFERROR(INDEX(楼层配置!$E$5:$E$104,MATCH($K269,楼层配置!$B$5:$B$104,0)),1)</f>
        <v>1.15736206117284</v>
      </c>
      <c r="AB269" s="16">
        <f>IFERROR(INDEX(楼层配置!$F$5:$F$104,MATCH($K269,楼层配置!$B$5:$B$104,0)),1)</f>
        <v>0.680269080212309</v>
      </c>
      <c r="AC269" s="16">
        <f>IFERROR(INDEX(楼层配置!$G$5:$G$104,MATCH($K269,楼层配置!$B$5:$B$104,0)),1)</f>
        <v>1</v>
      </c>
      <c r="AD269" s="18">
        <f t="shared" si="35"/>
        <v>-0.131635761618143</v>
      </c>
      <c r="AE269" s="18">
        <f t="shared" si="36"/>
        <v>-0.0661621209957637</v>
      </c>
      <c r="AF269" s="18">
        <f t="shared" si="37"/>
        <v>0.304249817675529</v>
      </c>
      <c r="AG269" s="16" t="str">
        <f t="shared" si="38"/>
        <v>有效</v>
      </c>
      <c r="AH269">
        <f t="shared" si="39"/>
        <v>1456484.85566667</v>
      </c>
    </row>
    <row r="270" ht="14.25" customHeight="1" spans="1:34">
      <c r="A270" s="16">
        <v>266</v>
      </c>
      <c r="B270" s="16">
        <v>1002</v>
      </c>
      <c r="C270" s="16">
        <v>37</v>
      </c>
      <c r="D270" s="17">
        <f>IFERROR(ROUND($U270*$X270*$AA270*参数!$B$13,0),"")</f>
        <v>1229785</v>
      </c>
      <c r="E270" s="17">
        <f>IFERROR(ROUND($V270*$Y270*$AB270*参数!$C$13,0),"")</f>
        <v>16658</v>
      </c>
      <c r="F270" s="17">
        <f>IFERROR(ROUND($W270*$Z270*$AC270*参数!$D$13,0),"")</f>
        <v>29870</v>
      </c>
      <c r="G270" s="16">
        <v>1443556</v>
      </c>
      <c r="H270" s="16">
        <v>18030</v>
      </c>
      <c r="I270" s="16">
        <v>23146</v>
      </c>
      <c r="J270" s="16">
        <v>54</v>
      </c>
      <c r="K270" s="16">
        <v>54</v>
      </c>
      <c r="L270" s="16">
        <f>IFERROR(INDEX(楼层配置!$D$5:$D$104,MATCH($K270,楼层配置!$B$5:$B$104,0)),"")</f>
        <v>205</v>
      </c>
      <c r="M270" s="16" t="str">
        <f>IFERROR(INDEX(_角色基线!$B$2:$B$100,MATCH($B270,_角色基线!$A$2:$A$100,0)),"")</f>
        <v>大暑</v>
      </c>
      <c r="N270" s="16" t="str">
        <f>IFERROR(INDEX(_角色基线!$C$2:$C$100,MATCH($B270,_角色基线!$A$2:$A$100,0)),"")</f>
        <v>Tank</v>
      </c>
      <c r="O270" s="16">
        <f>IFERROR(INDEX(_怪物基线!$B$2:$B$501,MATCH(INT($L270),_怪物基线!$A$2:$A$501,0)),"")</f>
        <v>177096</v>
      </c>
      <c r="P270" s="16">
        <f>IFERROR(INDEX(_怪物基线!$C$2:$C$501,MATCH(INT($L270),_怪物基线!$A$2:$A$501,0)),"")</f>
        <v>20380</v>
      </c>
      <c r="Q270" s="16">
        <f>IFERROR(INDEX(_怪物基线!$D$2:$D$501,MATCH(INT($L270),_怪物基线!$A$2:$A$501,0)),"")</f>
        <v>19913</v>
      </c>
      <c r="R270" s="16">
        <f>参数!$B$10</f>
        <v>4</v>
      </c>
      <c r="S270" s="16">
        <f>参数!$C$10</f>
        <v>1.2</v>
      </c>
      <c r="T270" s="16">
        <f>参数!$D$10</f>
        <v>1</v>
      </c>
      <c r="U270" s="16">
        <f t="shared" si="32"/>
        <v>708384</v>
      </c>
      <c r="V270" s="16">
        <f t="shared" si="33"/>
        <v>24456</v>
      </c>
      <c r="W270" s="16">
        <f t="shared" si="34"/>
        <v>19913</v>
      </c>
      <c r="X270" s="16">
        <f>IFERROR(INDEX(参数!$B$5:$B$7,MATCH($N270,参数!$A$5:$A$7,0)),"")</f>
        <v>1.5</v>
      </c>
      <c r="Y270" s="16">
        <f>IFERROR(INDEX(参数!$C$5:$C$7,MATCH($N270,参数!$A$5:$A$7,0)),"")</f>
        <v>1</v>
      </c>
      <c r="Z270" s="16">
        <f>IFERROR(INDEX(参数!$D$5:$D$7,MATCH($N270,参数!$A$5:$A$7,0)),"")</f>
        <v>1.5</v>
      </c>
      <c r="AA270" s="16">
        <f>IFERROR(INDEX(楼层配置!$E$5:$E$104,MATCH($K270,楼层配置!$B$5:$B$104,0)),1)</f>
        <v>1.15736163280393</v>
      </c>
      <c r="AB270" s="16">
        <f>IFERROR(INDEX(楼层配置!$F$5:$F$104,MATCH($K270,楼层配置!$B$5:$B$104,0)),1)</f>
        <v>0.681130891349837</v>
      </c>
      <c r="AC270" s="16">
        <f>IFERROR(INDEX(楼层配置!$G$5:$G$104,MATCH($K270,楼层配置!$B$5:$B$104,0)),1)</f>
        <v>1</v>
      </c>
      <c r="AD270" s="18">
        <f t="shared" si="35"/>
        <v>-0.148086392214781</v>
      </c>
      <c r="AE270" s="18">
        <f t="shared" si="36"/>
        <v>-0.0760953965612867</v>
      </c>
      <c r="AF270" s="18">
        <f t="shared" si="37"/>
        <v>0.290503758748812</v>
      </c>
      <c r="AG270" s="16" t="str">
        <f t="shared" si="38"/>
        <v>有效</v>
      </c>
      <c r="AH270">
        <f t="shared" si="39"/>
        <v>2760354.91458333</v>
      </c>
    </row>
    <row r="271" ht="14.25" customHeight="1" spans="1:34">
      <c r="A271" s="16">
        <v>267</v>
      </c>
      <c r="B271" s="16">
        <v>1006</v>
      </c>
      <c r="C271" s="16">
        <v>37</v>
      </c>
      <c r="D271" s="17">
        <f>IFERROR(ROUND($U271*$X271*$AA271*参数!$B$13,0),"")</f>
        <v>819856</v>
      </c>
      <c r="E271" s="17">
        <f>IFERROR(ROUND($V271*$Y271*$AB271*参数!$C$13,0),"")</f>
        <v>19989</v>
      </c>
      <c r="F271" s="17">
        <f>IFERROR(ROUND($W271*$Z271*$AC271*参数!$D$13,0),"")</f>
        <v>19913</v>
      </c>
      <c r="G271" s="16">
        <v>962371</v>
      </c>
      <c r="H271" s="16">
        <v>21636</v>
      </c>
      <c r="I271" s="16">
        <v>15431</v>
      </c>
      <c r="J271" s="16">
        <v>54</v>
      </c>
      <c r="K271" s="16">
        <v>54</v>
      </c>
      <c r="L271" s="16">
        <f>IFERROR(INDEX(楼层配置!$D$5:$D$104,MATCH($K271,楼层配置!$B$5:$B$104,0)),"")</f>
        <v>205</v>
      </c>
      <c r="M271" s="16" t="str">
        <f>IFERROR(INDEX(_角色基线!$B$2:$B$100,MATCH($B271,_角色基线!$A$2:$A$100,0)),"")</f>
        <v>莉莉娅</v>
      </c>
      <c r="N271" s="16" t="str">
        <f>IFERROR(INDEX(_角色基线!$C$2:$C$100,MATCH($B271,_角色基线!$A$2:$A$100,0)),"")</f>
        <v>DPS</v>
      </c>
      <c r="O271" s="16">
        <f>IFERROR(INDEX(_怪物基线!$B$2:$B$501,MATCH(INT($L271),_怪物基线!$A$2:$A$501,0)),"")</f>
        <v>177096</v>
      </c>
      <c r="P271" s="16">
        <f>IFERROR(INDEX(_怪物基线!$C$2:$C$501,MATCH(INT($L271),_怪物基线!$A$2:$A$501,0)),"")</f>
        <v>20380</v>
      </c>
      <c r="Q271" s="16">
        <f>IFERROR(INDEX(_怪物基线!$D$2:$D$501,MATCH(INT($L271),_怪物基线!$A$2:$A$501,0)),"")</f>
        <v>19913</v>
      </c>
      <c r="R271" s="16">
        <f>参数!$B$10</f>
        <v>4</v>
      </c>
      <c r="S271" s="16">
        <f>参数!$C$10</f>
        <v>1.2</v>
      </c>
      <c r="T271" s="16">
        <f>参数!$D$10</f>
        <v>1</v>
      </c>
      <c r="U271" s="16">
        <f t="shared" si="32"/>
        <v>708384</v>
      </c>
      <c r="V271" s="16">
        <f t="shared" si="33"/>
        <v>24456</v>
      </c>
      <c r="W271" s="16">
        <f t="shared" si="34"/>
        <v>19913</v>
      </c>
      <c r="X271" s="16">
        <f>IFERROR(INDEX(参数!$B$5:$B$7,MATCH($N271,参数!$A$5:$A$7,0)),"")</f>
        <v>1</v>
      </c>
      <c r="Y271" s="16">
        <f>IFERROR(INDEX(参数!$C$5:$C$7,MATCH($N271,参数!$A$5:$A$7,0)),"")</f>
        <v>1.2</v>
      </c>
      <c r="Z271" s="16">
        <f>IFERROR(INDEX(参数!$D$5:$D$7,MATCH($N271,参数!$A$5:$A$7,0)),"")</f>
        <v>1</v>
      </c>
      <c r="AA271" s="16">
        <f>IFERROR(INDEX(楼层配置!$E$5:$E$104,MATCH($K271,楼层配置!$B$5:$B$104,0)),1)</f>
        <v>1.15736163280393</v>
      </c>
      <c r="AB271" s="16">
        <f>IFERROR(INDEX(楼层配置!$F$5:$F$104,MATCH($K271,楼层配置!$B$5:$B$104,0)),1)</f>
        <v>0.681130891349837</v>
      </c>
      <c r="AC271" s="16">
        <f>IFERROR(INDEX(楼层配置!$G$5:$G$104,MATCH($K271,楼层配置!$B$5:$B$104,0)),1)</f>
        <v>1</v>
      </c>
      <c r="AD271" s="18">
        <f t="shared" si="35"/>
        <v>-0.148087380022881</v>
      </c>
      <c r="AE271" s="18">
        <f t="shared" si="36"/>
        <v>-0.0761231281198004</v>
      </c>
      <c r="AF271" s="18">
        <f t="shared" si="37"/>
        <v>0.290454280344761</v>
      </c>
      <c r="AG271" s="16" t="str">
        <f t="shared" si="38"/>
        <v>有效</v>
      </c>
      <c r="AH271">
        <f t="shared" si="39"/>
        <v>1500097.35533333</v>
      </c>
    </row>
    <row r="272" ht="14.25" customHeight="1" spans="1:34">
      <c r="A272" s="16">
        <v>268</v>
      </c>
      <c r="B272" s="16">
        <v>1024</v>
      </c>
      <c r="C272" s="16">
        <v>37</v>
      </c>
      <c r="D272" s="17">
        <f>IFERROR(ROUND($U272*$X272*$AA272*参数!$B$13,0),"")</f>
        <v>819856</v>
      </c>
      <c r="E272" s="17">
        <f>IFERROR(ROUND($V272*$Y272*$AB272*参数!$C$13,0),"")</f>
        <v>19989</v>
      </c>
      <c r="F272" s="17">
        <f>IFERROR(ROUND($W272*$Z272*$AC272*参数!$D$13,0),"")</f>
        <v>19913</v>
      </c>
      <c r="G272" s="16">
        <v>962371</v>
      </c>
      <c r="H272" s="16">
        <v>21636</v>
      </c>
      <c r="I272" s="16">
        <v>15431</v>
      </c>
      <c r="J272" s="16">
        <v>54</v>
      </c>
      <c r="K272" s="16">
        <v>54</v>
      </c>
      <c r="L272" s="16">
        <f>IFERROR(INDEX(楼层配置!$D$5:$D$104,MATCH($K272,楼层配置!$B$5:$B$104,0)),"")</f>
        <v>205</v>
      </c>
      <c r="M272" s="16" t="str">
        <f>IFERROR(INDEX(_角色基线!$B$2:$B$100,MATCH($B272,_角色基线!$A$2:$A$100,0)),"")</f>
        <v>卡薇</v>
      </c>
      <c r="N272" s="16" t="str">
        <f>IFERROR(INDEX(_角色基线!$C$2:$C$100,MATCH($B272,_角色基线!$A$2:$A$100,0)),"")</f>
        <v>DPS</v>
      </c>
      <c r="O272" s="16">
        <f>IFERROR(INDEX(_怪物基线!$B$2:$B$501,MATCH(INT($L272),_怪物基线!$A$2:$A$501,0)),"")</f>
        <v>177096</v>
      </c>
      <c r="P272" s="16">
        <f>IFERROR(INDEX(_怪物基线!$C$2:$C$501,MATCH(INT($L272),_怪物基线!$A$2:$A$501,0)),"")</f>
        <v>20380</v>
      </c>
      <c r="Q272" s="16">
        <f>IFERROR(INDEX(_怪物基线!$D$2:$D$501,MATCH(INT($L272),_怪物基线!$A$2:$A$501,0)),"")</f>
        <v>19913</v>
      </c>
      <c r="R272" s="16">
        <f>参数!$B$10</f>
        <v>4</v>
      </c>
      <c r="S272" s="16">
        <f>参数!$C$10</f>
        <v>1.2</v>
      </c>
      <c r="T272" s="16">
        <f>参数!$D$10</f>
        <v>1</v>
      </c>
      <c r="U272" s="16">
        <f t="shared" si="32"/>
        <v>708384</v>
      </c>
      <c r="V272" s="16">
        <f t="shared" si="33"/>
        <v>24456</v>
      </c>
      <c r="W272" s="16">
        <f t="shared" si="34"/>
        <v>19913</v>
      </c>
      <c r="X272" s="16">
        <f>IFERROR(INDEX(参数!$B$5:$B$7,MATCH($N272,参数!$A$5:$A$7,0)),"")</f>
        <v>1</v>
      </c>
      <c r="Y272" s="16">
        <f>IFERROR(INDEX(参数!$C$5:$C$7,MATCH($N272,参数!$A$5:$A$7,0)),"")</f>
        <v>1.2</v>
      </c>
      <c r="Z272" s="16">
        <f>IFERROR(INDEX(参数!$D$5:$D$7,MATCH($N272,参数!$A$5:$A$7,0)),"")</f>
        <v>1</v>
      </c>
      <c r="AA272" s="16">
        <f>IFERROR(INDEX(楼层配置!$E$5:$E$104,MATCH($K272,楼层配置!$B$5:$B$104,0)),1)</f>
        <v>1.15736163280393</v>
      </c>
      <c r="AB272" s="16">
        <f>IFERROR(INDEX(楼层配置!$F$5:$F$104,MATCH($K272,楼层配置!$B$5:$B$104,0)),1)</f>
        <v>0.681130891349837</v>
      </c>
      <c r="AC272" s="16">
        <f>IFERROR(INDEX(楼层配置!$G$5:$G$104,MATCH($K272,楼层配置!$B$5:$B$104,0)),1)</f>
        <v>1</v>
      </c>
      <c r="AD272" s="18">
        <f t="shared" si="35"/>
        <v>-0.148087380022881</v>
      </c>
      <c r="AE272" s="18">
        <f t="shared" si="36"/>
        <v>-0.0761231281198004</v>
      </c>
      <c r="AF272" s="18">
        <f t="shared" si="37"/>
        <v>0.290454280344761</v>
      </c>
      <c r="AG272" s="16" t="str">
        <f t="shared" si="38"/>
        <v>有效</v>
      </c>
      <c r="AH272">
        <f t="shared" si="39"/>
        <v>1500097.35533333</v>
      </c>
    </row>
    <row r="273" ht="14.25" customHeight="1" spans="1:34">
      <c r="A273" s="16">
        <v>269</v>
      </c>
      <c r="B273" s="16">
        <v>1015</v>
      </c>
      <c r="C273" s="16">
        <v>37</v>
      </c>
      <c r="D273" s="17">
        <f>IFERROR(ROUND($U273*$X273*$AA273*参数!$B$13,0),"")</f>
        <v>1024821</v>
      </c>
      <c r="E273" s="17">
        <f>IFERROR(ROUND($V273*$Y273*$AB273*参数!$C$13,0),"")</f>
        <v>16658</v>
      </c>
      <c r="F273" s="17">
        <f>IFERROR(ROUND($W273*$Z273*$AC273*参数!$D$13,0),"")</f>
        <v>24891</v>
      </c>
      <c r="G273" s="16">
        <v>1202964</v>
      </c>
      <c r="H273" s="16">
        <v>18030</v>
      </c>
      <c r="I273" s="16">
        <v>19289</v>
      </c>
      <c r="J273" s="16">
        <v>54</v>
      </c>
      <c r="K273" s="16">
        <v>54</v>
      </c>
      <c r="L273" s="16">
        <f>IFERROR(INDEX(楼层配置!$D$5:$D$104,MATCH($K273,楼层配置!$B$5:$B$104,0)),"")</f>
        <v>205</v>
      </c>
      <c r="M273" s="16" t="str">
        <f>IFERROR(INDEX(_角色基线!$B$2:$B$100,MATCH($B273,_角色基线!$A$2:$A$100,0)),"")</f>
        <v>阿莱克西娅</v>
      </c>
      <c r="N273" s="16" t="str">
        <f>IFERROR(INDEX(_角色基线!$C$2:$C$100,MATCH($B273,_角色基线!$A$2:$A$100,0)),"")</f>
        <v>Support</v>
      </c>
      <c r="O273" s="16">
        <f>IFERROR(INDEX(_怪物基线!$B$2:$B$501,MATCH(INT($L273),_怪物基线!$A$2:$A$501,0)),"")</f>
        <v>177096</v>
      </c>
      <c r="P273" s="16">
        <f>IFERROR(INDEX(_怪物基线!$C$2:$C$501,MATCH(INT($L273),_怪物基线!$A$2:$A$501,0)),"")</f>
        <v>20380</v>
      </c>
      <c r="Q273" s="16">
        <f>IFERROR(INDEX(_怪物基线!$D$2:$D$501,MATCH(INT($L273),_怪物基线!$A$2:$A$501,0)),"")</f>
        <v>19913</v>
      </c>
      <c r="R273" s="16">
        <f>参数!$B$10</f>
        <v>4</v>
      </c>
      <c r="S273" s="16">
        <f>参数!$C$10</f>
        <v>1.2</v>
      </c>
      <c r="T273" s="16">
        <f>参数!$D$10</f>
        <v>1</v>
      </c>
      <c r="U273" s="16">
        <f t="shared" si="32"/>
        <v>708384</v>
      </c>
      <c r="V273" s="16">
        <f t="shared" si="33"/>
        <v>24456</v>
      </c>
      <c r="W273" s="16">
        <f t="shared" si="34"/>
        <v>19913</v>
      </c>
      <c r="X273" s="16">
        <f>IFERROR(INDEX(参数!$B$5:$B$7,MATCH($N273,参数!$A$5:$A$7,0)),"")</f>
        <v>1.25</v>
      </c>
      <c r="Y273" s="16">
        <f>IFERROR(INDEX(参数!$C$5:$C$7,MATCH($N273,参数!$A$5:$A$7,0)),"")</f>
        <v>1</v>
      </c>
      <c r="Z273" s="16">
        <f>IFERROR(INDEX(参数!$D$5:$D$7,MATCH($N273,参数!$A$5:$A$7,0)),"")</f>
        <v>1.25</v>
      </c>
      <c r="AA273" s="16">
        <f>IFERROR(INDEX(楼层配置!$E$5:$E$104,MATCH($K273,楼层配置!$B$5:$B$104,0)),1)</f>
        <v>1.15736163280393</v>
      </c>
      <c r="AB273" s="16">
        <f>IFERROR(INDEX(楼层配置!$F$5:$F$104,MATCH($K273,楼层配置!$B$5:$B$104,0)),1)</f>
        <v>0.681130891349837</v>
      </c>
      <c r="AC273" s="16">
        <f>IFERROR(INDEX(楼层配置!$G$5:$G$104,MATCH($K273,楼层配置!$B$5:$B$104,0)),1)</f>
        <v>1</v>
      </c>
      <c r="AD273" s="18">
        <f t="shared" si="35"/>
        <v>-0.148086725787305</v>
      </c>
      <c r="AE273" s="18">
        <f t="shared" si="36"/>
        <v>-0.0760953965612867</v>
      </c>
      <c r="AF273" s="18">
        <f t="shared" si="37"/>
        <v>0.290424594328374</v>
      </c>
      <c r="AG273" s="16" t="str">
        <f t="shared" si="38"/>
        <v>有效</v>
      </c>
      <c r="AH273">
        <f t="shared" si="39"/>
        <v>2087688.479625</v>
      </c>
    </row>
    <row r="274" ht="14.25" customHeight="1" spans="1:34">
      <c r="A274" s="16">
        <v>270</v>
      </c>
      <c r="B274" s="16">
        <v>1015</v>
      </c>
      <c r="C274" s="16">
        <v>37</v>
      </c>
      <c r="D274" s="17">
        <f>IFERROR(ROUND($U274*$X274*$AA274*参数!$B$13,0),"")</f>
        <v>1024821</v>
      </c>
      <c r="E274" s="17">
        <f>IFERROR(ROUND($V274*$Y274*$AB274*参数!$C$13,0),"")</f>
        <v>16658</v>
      </c>
      <c r="F274" s="17">
        <f>IFERROR(ROUND($W274*$Z274*$AC274*参数!$D$13,0),"")</f>
        <v>24891</v>
      </c>
      <c r="G274" s="16">
        <v>1202964</v>
      </c>
      <c r="H274" s="16">
        <v>18030</v>
      </c>
      <c r="I274" s="16">
        <v>19289</v>
      </c>
      <c r="J274" s="16">
        <v>54</v>
      </c>
      <c r="K274" s="16">
        <v>54</v>
      </c>
      <c r="L274" s="16">
        <f>IFERROR(INDEX(楼层配置!$D$5:$D$104,MATCH($K274,楼层配置!$B$5:$B$104,0)),"")</f>
        <v>205</v>
      </c>
      <c r="M274" s="16" t="str">
        <f>IFERROR(INDEX(_角色基线!$B$2:$B$100,MATCH($B274,_角色基线!$A$2:$A$100,0)),"")</f>
        <v>阿莱克西娅</v>
      </c>
      <c r="N274" s="16" t="str">
        <f>IFERROR(INDEX(_角色基线!$C$2:$C$100,MATCH($B274,_角色基线!$A$2:$A$100,0)),"")</f>
        <v>Support</v>
      </c>
      <c r="O274" s="16">
        <f>IFERROR(INDEX(_怪物基线!$B$2:$B$501,MATCH(INT($L274),_怪物基线!$A$2:$A$501,0)),"")</f>
        <v>177096</v>
      </c>
      <c r="P274" s="16">
        <f>IFERROR(INDEX(_怪物基线!$C$2:$C$501,MATCH(INT($L274),_怪物基线!$A$2:$A$501,0)),"")</f>
        <v>20380</v>
      </c>
      <c r="Q274" s="16">
        <f>IFERROR(INDEX(_怪物基线!$D$2:$D$501,MATCH(INT($L274),_怪物基线!$A$2:$A$501,0)),"")</f>
        <v>19913</v>
      </c>
      <c r="R274" s="16">
        <f>参数!$B$10</f>
        <v>4</v>
      </c>
      <c r="S274" s="16">
        <f>参数!$C$10</f>
        <v>1.2</v>
      </c>
      <c r="T274" s="16">
        <f>参数!$D$10</f>
        <v>1</v>
      </c>
      <c r="U274" s="16">
        <f t="shared" si="32"/>
        <v>708384</v>
      </c>
      <c r="V274" s="16">
        <f t="shared" si="33"/>
        <v>24456</v>
      </c>
      <c r="W274" s="16">
        <f t="shared" si="34"/>
        <v>19913</v>
      </c>
      <c r="X274" s="16">
        <f>IFERROR(INDEX(参数!$B$5:$B$7,MATCH($N274,参数!$A$5:$A$7,0)),"")</f>
        <v>1.25</v>
      </c>
      <c r="Y274" s="16">
        <f>IFERROR(INDEX(参数!$C$5:$C$7,MATCH($N274,参数!$A$5:$A$7,0)),"")</f>
        <v>1</v>
      </c>
      <c r="Z274" s="16">
        <f>IFERROR(INDEX(参数!$D$5:$D$7,MATCH($N274,参数!$A$5:$A$7,0)),"")</f>
        <v>1.25</v>
      </c>
      <c r="AA274" s="16">
        <f>IFERROR(INDEX(楼层配置!$E$5:$E$104,MATCH($K274,楼层配置!$B$5:$B$104,0)),1)</f>
        <v>1.15736163280393</v>
      </c>
      <c r="AB274" s="16">
        <f>IFERROR(INDEX(楼层配置!$F$5:$F$104,MATCH($K274,楼层配置!$B$5:$B$104,0)),1)</f>
        <v>0.681130891349837</v>
      </c>
      <c r="AC274" s="16">
        <f>IFERROR(INDEX(楼层配置!$G$5:$G$104,MATCH($K274,楼层配置!$B$5:$B$104,0)),1)</f>
        <v>1</v>
      </c>
      <c r="AD274" s="18">
        <f t="shared" si="35"/>
        <v>-0.148086725787305</v>
      </c>
      <c r="AE274" s="18">
        <f t="shared" si="36"/>
        <v>-0.0760953965612867</v>
      </c>
      <c r="AF274" s="18">
        <f t="shared" si="37"/>
        <v>0.290424594328374</v>
      </c>
      <c r="AG274" s="16" t="str">
        <f t="shared" si="38"/>
        <v>有效</v>
      </c>
      <c r="AH274">
        <f t="shared" si="39"/>
        <v>2087688.479625</v>
      </c>
    </row>
    <row r="275" ht="14.25" customHeight="1" spans="1:34">
      <c r="A275" s="16">
        <v>271</v>
      </c>
      <c r="B275" s="16">
        <v>1003</v>
      </c>
      <c r="C275" s="16">
        <v>37</v>
      </c>
      <c r="D275" s="17">
        <f>IFERROR(ROUND($U275*$X275*$AA275*参数!$B$13,0),"")</f>
        <v>1281554</v>
      </c>
      <c r="E275" s="17">
        <f>IFERROR(ROUND($V275*$Y275*$AB275*参数!$C$13,0),"")</f>
        <v>17172</v>
      </c>
      <c r="F275" s="17">
        <f>IFERROR(ROUND($W275*$Z275*$AC275*参数!$D$13,0),"")</f>
        <v>30413</v>
      </c>
      <c r="G275" s="16">
        <v>1506391</v>
      </c>
      <c r="H275" s="16">
        <v>18564</v>
      </c>
      <c r="I275" s="16">
        <v>23672</v>
      </c>
      <c r="J275" s="16">
        <v>55</v>
      </c>
      <c r="K275" s="16">
        <v>55</v>
      </c>
      <c r="L275" s="16">
        <f>IFERROR(INDEX(楼层配置!$D$5:$D$104,MATCH($K275,楼层配置!$B$5:$B$104,0)),"")</f>
        <v>208</v>
      </c>
      <c r="M275" s="16" t="str">
        <f>IFERROR(INDEX(_角色基线!$B$2:$B$100,MATCH($B275,_角色基线!$A$2:$A$100,0)),"")</f>
        <v>塔拉夏</v>
      </c>
      <c r="N275" s="16" t="str">
        <f>IFERROR(INDEX(_角色基线!$C$2:$C$100,MATCH($B275,_角色基线!$A$2:$A$100,0)),"")</f>
        <v>Tank</v>
      </c>
      <c r="O275" s="16">
        <f>IFERROR(INDEX(_怪物基线!$B$2:$B$501,MATCH(INT($L275),_怪物基线!$A$2:$A$501,0)),"")</f>
        <v>183537</v>
      </c>
      <c r="P275" s="16">
        <f>IFERROR(INDEX(_怪物基线!$C$2:$C$501,MATCH(INT($L275),_怪物基线!$A$2:$A$501,0)),"")</f>
        <v>20916</v>
      </c>
      <c r="Q275" s="16">
        <f>IFERROR(INDEX(_怪物基线!$D$2:$D$501,MATCH(INT($L275),_怪物基线!$A$2:$A$501,0)),"")</f>
        <v>20275</v>
      </c>
      <c r="R275" s="16">
        <f>参数!$B$10</f>
        <v>4</v>
      </c>
      <c r="S275" s="16">
        <f>参数!$C$10</f>
        <v>1.2</v>
      </c>
      <c r="T275" s="16">
        <f>参数!$D$10</f>
        <v>1</v>
      </c>
      <c r="U275" s="16">
        <f t="shared" si="32"/>
        <v>734148</v>
      </c>
      <c r="V275" s="16">
        <f t="shared" si="33"/>
        <v>25099.2</v>
      </c>
      <c r="W275" s="16">
        <f t="shared" si="34"/>
        <v>20275</v>
      </c>
      <c r="X275" s="16">
        <f>IFERROR(INDEX(参数!$B$5:$B$7,MATCH($N275,参数!$A$5:$A$7,0)),"")</f>
        <v>1.5</v>
      </c>
      <c r="Y275" s="16">
        <f>IFERROR(INDEX(参数!$C$5:$C$7,MATCH($N275,参数!$A$5:$A$7,0)),"")</f>
        <v>1</v>
      </c>
      <c r="Z275" s="16">
        <f>IFERROR(INDEX(参数!$D$5:$D$7,MATCH($N275,参数!$A$5:$A$7,0)),"")</f>
        <v>1.5</v>
      </c>
      <c r="AA275" s="16">
        <f>IFERROR(INDEX(楼层配置!$E$5:$E$104,MATCH($K275,楼层配置!$B$5:$B$104,0)),1)</f>
        <v>1.16375642788639</v>
      </c>
      <c r="AB275" s="16">
        <f>IFERROR(INDEX(楼层配置!$F$5:$F$104,MATCH($K275,楼层配置!$B$5:$B$104,0)),1)</f>
        <v>0.684169263070698</v>
      </c>
      <c r="AC275" s="16">
        <f>IFERROR(INDEX(楼层配置!$G$5:$G$104,MATCH($K275,楼层配置!$B$5:$B$104,0)),1)</f>
        <v>1</v>
      </c>
      <c r="AD275" s="18">
        <f t="shared" si="35"/>
        <v>-0.149255405801017</v>
      </c>
      <c r="AE275" s="18">
        <f t="shared" si="36"/>
        <v>-0.074983839689722</v>
      </c>
      <c r="AF275" s="18">
        <f t="shared" si="37"/>
        <v>0.284766813112538</v>
      </c>
      <c r="AG275" s="16" t="str">
        <f t="shared" si="38"/>
        <v>有效</v>
      </c>
      <c r="AH275">
        <f t="shared" si="39"/>
        <v>2905549.90841667</v>
      </c>
    </row>
    <row r="276" ht="14.25" customHeight="1" spans="1:34">
      <c r="A276" s="16">
        <v>272</v>
      </c>
      <c r="B276" s="16">
        <v>1006</v>
      </c>
      <c r="C276" s="16">
        <v>37</v>
      </c>
      <c r="D276" s="17">
        <f>IFERROR(ROUND($U276*$X276*$AA276*参数!$B$13,0),"")</f>
        <v>854369</v>
      </c>
      <c r="E276" s="17">
        <f>IFERROR(ROUND($V276*$Y276*$AB276*参数!$C$13,0),"")</f>
        <v>20607</v>
      </c>
      <c r="F276" s="17">
        <f>IFERROR(ROUND($W276*$Z276*$AC276*参数!$D$13,0),"")</f>
        <v>20275</v>
      </c>
      <c r="G276" s="16">
        <v>1004260</v>
      </c>
      <c r="H276" s="16">
        <v>22276</v>
      </c>
      <c r="I276" s="16">
        <v>15781</v>
      </c>
      <c r="J276" s="16">
        <v>55</v>
      </c>
      <c r="K276" s="16">
        <v>55</v>
      </c>
      <c r="L276" s="16">
        <f>IFERROR(INDEX(楼层配置!$D$5:$D$104,MATCH($K276,楼层配置!$B$5:$B$104,0)),"")</f>
        <v>208</v>
      </c>
      <c r="M276" s="16" t="str">
        <f>IFERROR(INDEX(_角色基线!$B$2:$B$100,MATCH($B276,_角色基线!$A$2:$A$100,0)),"")</f>
        <v>莉莉娅</v>
      </c>
      <c r="N276" s="16" t="str">
        <f>IFERROR(INDEX(_角色基线!$C$2:$C$100,MATCH($B276,_角色基线!$A$2:$A$100,0)),"")</f>
        <v>DPS</v>
      </c>
      <c r="O276" s="16">
        <f>IFERROR(INDEX(_怪物基线!$B$2:$B$501,MATCH(INT($L276),_怪物基线!$A$2:$A$501,0)),"")</f>
        <v>183537</v>
      </c>
      <c r="P276" s="16">
        <f>IFERROR(INDEX(_怪物基线!$C$2:$C$501,MATCH(INT($L276),_怪物基线!$A$2:$A$501,0)),"")</f>
        <v>20916</v>
      </c>
      <c r="Q276" s="16">
        <f>IFERROR(INDEX(_怪物基线!$D$2:$D$501,MATCH(INT($L276),_怪物基线!$A$2:$A$501,0)),"")</f>
        <v>20275</v>
      </c>
      <c r="R276" s="16">
        <f>参数!$B$10</f>
        <v>4</v>
      </c>
      <c r="S276" s="16">
        <f>参数!$C$10</f>
        <v>1.2</v>
      </c>
      <c r="T276" s="16">
        <f>参数!$D$10</f>
        <v>1</v>
      </c>
      <c r="U276" s="16">
        <f t="shared" si="32"/>
        <v>734148</v>
      </c>
      <c r="V276" s="16">
        <f t="shared" si="33"/>
        <v>25099.2</v>
      </c>
      <c r="W276" s="16">
        <f t="shared" si="34"/>
        <v>20275</v>
      </c>
      <c r="X276" s="16">
        <f>IFERROR(INDEX(参数!$B$5:$B$7,MATCH($N276,参数!$A$5:$A$7,0)),"")</f>
        <v>1</v>
      </c>
      <c r="Y276" s="16">
        <f>IFERROR(INDEX(参数!$C$5:$C$7,MATCH($N276,参数!$A$5:$A$7,0)),"")</f>
        <v>1.2</v>
      </c>
      <c r="Z276" s="16">
        <f>IFERROR(INDEX(参数!$D$5:$D$7,MATCH($N276,参数!$A$5:$A$7,0)),"")</f>
        <v>1</v>
      </c>
      <c r="AA276" s="16">
        <f>IFERROR(INDEX(楼层配置!$E$5:$E$104,MATCH($K276,楼层配置!$B$5:$B$104,0)),1)</f>
        <v>1.16375642788639</v>
      </c>
      <c r="AB276" s="16">
        <f>IFERROR(INDEX(楼层配置!$F$5:$F$104,MATCH($K276,楼层配置!$B$5:$B$104,0)),1)</f>
        <v>0.684169263070698</v>
      </c>
      <c r="AC276" s="16">
        <f>IFERROR(INDEX(楼层配置!$G$5:$G$104,MATCH($K276,楼层配置!$B$5:$B$104,0)),1)</f>
        <v>1</v>
      </c>
      <c r="AD276" s="18">
        <f t="shared" si="35"/>
        <v>-0.149255172963177</v>
      </c>
      <c r="AE276" s="18">
        <f t="shared" si="36"/>
        <v>-0.074923684683067</v>
      </c>
      <c r="AF276" s="18">
        <f t="shared" si="37"/>
        <v>0.284772828084405</v>
      </c>
      <c r="AG276" s="16" t="str">
        <f t="shared" si="38"/>
        <v>有效</v>
      </c>
      <c r="AH276">
        <f t="shared" si="39"/>
        <v>1576132.81145833</v>
      </c>
    </row>
    <row r="277" ht="14.25" customHeight="1" spans="1:34">
      <c r="A277" s="16">
        <v>273</v>
      </c>
      <c r="B277" s="16">
        <v>1029</v>
      </c>
      <c r="C277" s="16">
        <v>37</v>
      </c>
      <c r="D277" s="17">
        <f>IFERROR(ROUND($U277*$X277*$AA277*参数!$B$13,0),"")</f>
        <v>1067962</v>
      </c>
      <c r="E277" s="17">
        <f>IFERROR(ROUND($V277*$Y277*$AB277*参数!$C$13,0),"")</f>
        <v>17172</v>
      </c>
      <c r="F277" s="17">
        <f>IFERROR(ROUND($W277*$Z277*$AC277*参数!$D$13,0),"")</f>
        <v>25344</v>
      </c>
      <c r="G277" s="16">
        <v>1255326</v>
      </c>
      <c r="H277" s="16">
        <v>18564</v>
      </c>
      <c r="I277" s="16">
        <v>19727</v>
      </c>
      <c r="J277" s="16">
        <v>55</v>
      </c>
      <c r="K277" s="16">
        <v>55</v>
      </c>
      <c r="L277" s="16">
        <f>IFERROR(INDEX(楼层配置!$D$5:$D$104,MATCH($K277,楼层配置!$B$5:$B$104,0)),"")</f>
        <v>208</v>
      </c>
      <c r="M277" s="16" t="str">
        <f>IFERROR(INDEX(_角色基线!$B$2:$B$100,MATCH($B277,_角色基线!$A$2:$A$100,0)),"")</f>
        <v>凯兰</v>
      </c>
      <c r="N277" s="16" t="str">
        <f>IFERROR(INDEX(_角色基线!$C$2:$C$100,MATCH($B277,_角色基线!$A$2:$A$100,0)),"")</f>
        <v>Support</v>
      </c>
      <c r="O277" s="16">
        <f>IFERROR(INDEX(_怪物基线!$B$2:$B$501,MATCH(INT($L277),_怪物基线!$A$2:$A$501,0)),"")</f>
        <v>183537</v>
      </c>
      <c r="P277" s="16">
        <f>IFERROR(INDEX(_怪物基线!$C$2:$C$501,MATCH(INT($L277),_怪物基线!$A$2:$A$501,0)),"")</f>
        <v>20916</v>
      </c>
      <c r="Q277" s="16">
        <f>IFERROR(INDEX(_怪物基线!$D$2:$D$501,MATCH(INT($L277),_怪物基线!$A$2:$A$501,0)),"")</f>
        <v>20275</v>
      </c>
      <c r="R277" s="16">
        <f>参数!$B$10</f>
        <v>4</v>
      </c>
      <c r="S277" s="16">
        <f>参数!$C$10</f>
        <v>1.2</v>
      </c>
      <c r="T277" s="16">
        <f>参数!$D$10</f>
        <v>1</v>
      </c>
      <c r="U277" s="16">
        <f t="shared" si="32"/>
        <v>734148</v>
      </c>
      <c r="V277" s="16">
        <f t="shared" si="33"/>
        <v>25099.2</v>
      </c>
      <c r="W277" s="16">
        <f t="shared" si="34"/>
        <v>20275</v>
      </c>
      <c r="X277" s="16">
        <f>IFERROR(INDEX(参数!$B$5:$B$7,MATCH($N277,参数!$A$5:$A$7,0)),"")</f>
        <v>1.25</v>
      </c>
      <c r="Y277" s="16">
        <f>IFERROR(INDEX(参数!$C$5:$C$7,MATCH($N277,参数!$A$5:$A$7,0)),"")</f>
        <v>1</v>
      </c>
      <c r="Z277" s="16">
        <f>IFERROR(INDEX(参数!$D$5:$D$7,MATCH($N277,参数!$A$5:$A$7,0)),"")</f>
        <v>1.25</v>
      </c>
      <c r="AA277" s="16">
        <f>IFERROR(INDEX(楼层配置!$E$5:$E$104,MATCH($K277,楼层配置!$B$5:$B$104,0)),1)</f>
        <v>1.16375642788639</v>
      </c>
      <c r="AB277" s="16">
        <f>IFERROR(INDEX(楼层配置!$F$5:$F$104,MATCH($K277,楼层配置!$B$5:$B$104,0)),1)</f>
        <v>0.684169263070698</v>
      </c>
      <c r="AC277" s="16">
        <f>IFERROR(INDEX(楼层配置!$G$5:$G$104,MATCH($K277,楼层配置!$B$5:$B$104,0)),1)</f>
        <v>1</v>
      </c>
      <c r="AD277" s="18">
        <f t="shared" si="35"/>
        <v>-0.149255253217093</v>
      </c>
      <c r="AE277" s="18">
        <f t="shared" si="36"/>
        <v>-0.074983839689722</v>
      </c>
      <c r="AF277" s="18">
        <f t="shared" si="37"/>
        <v>0.284736655345466</v>
      </c>
      <c r="AG277" s="16" t="str">
        <f t="shared" si="38"/>
        <v>有效</v>
      </c>
      <c r="AH277">
        <f t="shared" si="39"/>
        <v>2195729.872</v>
      </c>
    </row>
    <row r="278" ht="14.25" customHeight="1" spans="1:34">
      <c r="A278" s="16">
        <v>274</v>
      </c>
      <c r="B278" s="16">
        <v>1020</v>
      </c>
      <c r="C278" s="16">
        <v>37</v>
      </c>
      <c r="D278" s="17">
        <f>IFERROR(ROUND($U278*$X278*$AA278*参数!$B$13,0),"")</f>
        <v>1067962</v>
      </c>
      <c r="E278" s="17">
        <f>IFERROR(ROUND($V278*$Y278*$AB278*参数!$C$13,0),"")</f>
        <v>17172</v>
      </c>
      <c r="F278" s="17">
        <f>IFERROR(ROUND($W278*$Z278*$AC278*参数!$D$13,0),"")</f>
        <v>25344</v>
      </c>
      <c r="G278" s="16">
        <v>1255326</v>
      </c>
      <c r="H278" s="16">
        <v>18564</v>
      </c>
      <c r="I278" s="16">
        <v>19727</v>
      </c>
      <c r="J278" s="16">
        <v>55</v>
      </c>
      <c r="K278" s="16">
        <v>55</v>
      </c>
      <c r="L278" s="16">
        <f>IFERROR(INDEX(楼层配置!$D$5:$D$104,MATCH($K278,楼层配置!$B$5:$B$104,0)),"")</f>
        <v>208</v>
      </c>
      <c r="M278" s="16" t="str">
        <f>IFERROR(INDEX(_角色基线!$B$2:$B$100,MATCH($B278,_角色基线!$A$2:$A$100,0)),"")</f>
        <v>卡斯帕</v>
      </c>
      <c r="N278" s="16" t="str">
        <f>IFERROR(INDEX(_角色基线!$C$2:$C$100,MATCH($B278,_角色基线!$A$2:$A$100,0)),"")</f>
        <v>Support</v>
      </c>
      <c r="O278" s="16">
        <f>IFERROR(INDEX(_怪物基线!$B$2:$B$501,MATCH(INT($L278),_怪物基线!$A$2:$A$501,0)),"")</f>
        <v>183537</v>
      </c>
      <c r="P278" s="16">
        <f>IFERROR(INDEX(_怪物基线!$C$2:$C$501,MATCH(INT($L278),_怪物基线!$A$2:$A$501,0)),"")</f>
        <v>20916</v>
      </c>
      <c r="Q278" s="16">
        <f>IFERROR(INDEX(_怪物基线!$D$2:$D$501,MATCH(INT($L278),_怪物基线!$A$2:$A$501,0)),"")</f>
        <v>20275</v>
      </c>
      <c r="R278" s="16">
        <f>参数!$B$10</f>
        <v>4</v>
      </c>
      <c r="S278" s="16">
        <f>参数!$C$10</f>
        <v>1.2</v>
      </c>
      <c r="T278" s="16">
        <f>参数!$D$10</f>
        <v>1</v>
      </c>
      <c r="U278" s="16">
        <f t="shared" si="32"/>
        <v>734148</v>
      </c>
      <c r="V278" s="16">
        <f t="shared" si="33"/>
        <v>25099.2</v>
      </c>
      <c r="W278" s="16">
        <f t="shared" si="34"/>
        <v>20275</v>
      </c>
      <c r="X278" s="16">
        <f>IFERROR(INDEX(参数!$B$5:$B$7,MATCH($N278,参数!$A$5:$A$7,0)),"")</f>
        <v>1.25</v>
      </c>
      <c r="Y278" s="16">
        <f>IFERROR(INDEX(参数!$C$5:$C$7,MATCH($N278,参数!$A$5:$A$7,0)),"")</f>
        <v>1</v>
      </c>
      <c r="Z278" s="16">
        <f>IFERROR(INDEX(参数!$D$5:$D$7,MATCH($N278,参数!$A$5:$A$7,0)),"")</f>
        <v>1.25</v>
      </c>
      <c r="AA278" s="16">
        <f>IFERROR(INDEX(楼层配置!$E$5:$E$104,MATCH($K278,楼层配置!$B$5:$B$104,0)),1)</f>
        <v>1.16375642788639</v>
      </c>
      <c r="AB278" s="16">
        <f>IFERROR(INDEX(楼层配置!$F$5:$F$104,MATCH($K278,楼层配置!$B$5:$B$104,0)),1)</f>
        <v>0.684169263070698</v>
      </c>
      <c r="AC278" s="16">
        <f>IFERROR(INDEX(楼层配置!$G$5:$G$104,MATCH($K278,楼层配置!$B$5:$B$104,0)),1)</f>
        <v>1</v>
      </c>
      <c r="AD278" s="18">
        <f t="shared" si="35"/>
        <v>-0.149255253217093</v>
      </c>
      <c r="AE278" s="18">
        <f t="shared" si="36"/>
        <v>-0.074983839689722</v>
      </c>
      <c r="AF278" s="18">
        <f t="shared" si="37"/>
        <v>0.284736655345466</v>
      </c>
      <c r="AG278" s="16" t="str">
        <f t="shared" si="38"/>
        <v>有效</v>
      </c>
      <c r="AH278">
        <f t="shared" si="39"/>
        <v>2195729.872</v>
      </c>
    </row>
    <row r="279" ht="14.25" customHeight="1" spans="1:34">
      <c r="A279" s="16">
        <v>275</v>
      </c>
      <c r="B279" s="16">
        <v>1018</v>
      </c>
      <c r="C279" s="16">
        <v>37</v>
      </c>
      <c r="D279" s="17">
        <f>IFERROR(ROUND($U279*$X279*$AA279*参数!$B$13,0),"")</f>
        <v>1067962</v>
      </c>
      <c r="E279" s="17">
        <f>IFERROR(ROUND($V279*$Y279*$AB279*参数!$C$13,0),"")</f>
        <v>17172</v>
      </c>
      <c r="F279" s="17">
        <f>IFERROR(ROUND($W279*$Z279*$AC279*参数!$D$13,0),"")</f>
        <v>25344</v>
      </c>
      <c r="G279" s="16">
        <v>1255326</v>
      </c>
      <c r="H279" s="16">
        <v>18564</v>
      </c>
      <c r="I279" s="16">
        <v>19727</v>
      </c>
      <c r="J279" s="16">
        <v>55</v>
      </c>
      <c r="K279" s="16">
        <v>55</v>
      </c>
      <c r="L279" s="16">
        <f>IFERROR(INDEX(楼层配置!$D$5:$D$104,MATCH($K279,楼层配置!$B$5:$B$104,0)),"")</f>
        <v>208</v>
      </c>
      <c r="M279" s="16" t="str">
        <f>IFERROR(INDEX(_角色基线!$B$2:$B$100,MATCH($B279,_角色基线!$A$2:$A$100,0)),"")</f>
        <v>埃莉诺</v>
      </c>
      <c r="N279" s="16" t="str">
        <f>IFERROR(INDEX(_角色基线!$C$2:$C$100,MATCH($B279,_角色基线!$A$2:$A$100,0)),"")</f>
        <v>Support</v>
      </c>
      <c r="O279" s="16">
        <f>IFERROR(INDEX(_怪物基线!$B$2:$B$501,MATCH(INT($L279),_怪物基线!$A$2:$A$501,0)),"")</f>
        <v>183537</v>
      </c>
      <c r="P279" s="16">
        <f>IFERROR(INDEX(_怪物基线!$C$2:$C$501,MATCH(INT($L279),_怪物基线!$A$2:$A$501,0)),"")</f>
        <v>20916</v>
      </c>
      <c r="Q279" s="16">
        <f>IFERROR(INDEX(_怪物基线!$D$2:$D$501,MATCH(INT($L279),_怪物基线!$A$2:$A$501,0)),"")</f>
        <v>20275</v>
      </c>
      <c r="R279" s="16">
        <f>参数!$B$10</f>
        <v>4</v>
      </c>
      <c r="S279" s="16">
        <f>参数!$C$10</f>
        <v>1.2</v>
      </c>
      <c r="T279" s="16">
        <f>参数!$D$10</f>
        <v>1</v>
      </c>
      <c r="U279" s="16">
        <f t="shared" si="32"/>
        <v>734148</v>
      </c>
      <c r="V279" s="16">
        <f t="shared" si="33"/>
        <v>25099.2</v>
      </c>
      <c r="W279" s="16">
        <f t="shared" si="34"/>
        <v>20275</v>
      </c>
      <c r="X279" s="16">
        <f>IFERROR(INDEX(参数!$B$5:$B$7,MATCH($N279,参数!$A$5:$A$7,0)),"")</f>
        <v>1.25</v>
      </c>
      <c r="Y279" s="16">
        <f>IFERROR(INDEX(参数!$C$5:$C$7,MATCH($N279,参数!$A$5:$A$7,0)),"")</f>
        <v>1</v>
      </c>
      <c r="Z279" s="16">
        <f>IFERROR(INDEX(参数!$D$5:$D$7,MATCH($N279,参数!$A$5:$A$7,0)),"")</f>
        <v>1.25</v>
      </c>
      <c r="AA279" s="16">
        <f>IFERROR(INDEX(楼层配置!$E$5:$E$104,MATCH($K279,楼层配置!$B$5:$B$104,0)),1)</f>
        <v>1.16375642788639</v>
      </c>
      <c r="AB279" s="16">
        <f>IFERROR(INDEX(楼层配置!$F$5:$F$104,MATCH($K279,楼层配置!$B$5:$B$104,0)),1)</f>
        <v>0.684169263070698</v>
      </c>
      <c r="AC279" s="16">
        <f>IFERROR(INDEX(楼层配置!$G$5:$G$104,MATCH($K279,楼层配置!$B$5:$B$104,0)),1)</f>
        <v>1</v>
      </c>
      <c r="AD279" s="18">
        <f t="shared" si="35"/>
        <v>-0.149255253217093</v>
      </c>
      <c r="AE279" s="18">
        <f t="shared" si="36"/>
        <v>-0.074983839689722</v>
      </c>
      <c r="AF279" s="18">
        <f t="shared" si="37"/>
        <v>0.284736655345466</v>
      </c>
      <c r="AG279" s="16" t="str">
        <f t="shared" si="38"/>
        <v>有效</v>
      </c>
      <c r="AH279">
        <f t="shared" si="39"/>
        <v>2195729.872</v>
      </c>
    </row>
    <row r="280" ht="14.25" customHeight="1" spans="1:34">
      <c r="A280" s="16">
        <v>276</v>
      </c>
      <c r="B280" s="16">
        <v>1003</v>
      </c>
      <c r="C280" s="16">
        <v>38</v>
      </c>
      <c r="D280" s="17">
        <f>IFERROR(ROUND($U280*$X280*$AA280*参数!$B$13,0),"")</f>
        <v>1299095</v>
      </c>
      <c r="E280" s="17">
        <f>IFERROR(ROUND($V280*$Y280*$AB280*参数!$C$13,0),"")</f>
        <v>17424</v>
      </c>
      <c r="F280" s="17">
        <f>IFERROR(ROUND($W280*$Z280*$AC280*参数!$D$13,0),"")</f>
        <v>30777</v>
      </c>
      <c r="G280" s="16">
        <v>1571169</v>
      </c>
      <c r="H280" s="16">
        <v>19109</v>
      </c>
      <c r="I280" s="16">
        <v>24201</v>
      </c>
      <c r="J280" s="16">
        <v>56</v>
      </c>
      <c r="K280" s="16">
        <v>56</v>
      </c>
      <c r="L280" s="16">
        <f>IFERROR(INDEX(楼层配置!$D$5:$D$104,MATCH($K280,楼层配置!$B$5:$B$104,0)),"")</f>
        <v>210</v>
      </c>
      <c r="M280" s="16" t="str">
        <f>IFERROR(INDEX(_角色基线!$B$2:$B$100,MATCH($B280,_角色基线!$A$2:$A$100,0)),"")</f>
        <v>塔拉夏</v>
      </c>
      <c r="N280" s="16" t="str">
        <f>IFERROR(INDEX(_角色基线!$C$2:$C$100,MATCH($B280,_角色基线!$A$2:$A$100,0)),"")</f>
        <v>Tank</v>
      </c>
      <c r="O280" s="16">
        <f>IFERROR(INDEX(_怪物基线!$B$2:$B$501,MATCH(INT($L280),_怪物基线!$A$2:$A$501,0)),"")</f>
        <v>187925</v>
      </c>
      <c r="P280" s="16">
        <f>IFERROR(INDEX(_怪物基线!$C$2:$C$501,MATCH(INT($L280),_怪物基线!$A$2:$A$501,0)),"")</f>
        <v>21279</v>
      </c>
      <c r="Q280" s="16">
        <f>IFERROR(INDEX(_怪物基线!$D$2:$D$501,MATCH(INT($L280),_怪物基线!$A$2:$A$501,0)),"")</f>
        <v>20518</v>
      </c>
      <c r="R280" s="16">
        <f>参数!$B$10</f>
        <v>4</v>
      </c>
      <c r="S280" s="16">
        <f>参数!$C$10</f>
        <v>1.2</v>
      </c>
      <c r="T280" s="16">
        <f>参数!$D$10</f>
        <v>1</v>
      </c>
      <c r="U280" s="16">
        <f t="shared" si="32"/>
        <v>751700</v>
      </c>
      <c r="V280" s="16">
        <f t="shared" si="33"/>
        <v>25534.8</v>
      </c>
      <c r="W280" s="16">
        <f t="shared" si="34"/>
        <v>20518</v>
      </c>
      <c r="X280" s="16">
        <f>IFERROR(INDEX(参数!$B$5:$B$7,MATCH($N280,参数!$A$5:$A$7,0)),"")</f>
        <v>1.5</v>
      </c>
      <c r="Y280" s="16">
        <f>IFERROR(INDEX(参数!$C$5:$C$7,MATCH($N280,参数!$A$5:$A$7,0)),"")</f>
        <v>1</v>
      </c>
      <c r="Z280" s="16">
        <f>IFERROR(INDEX(参数!$D$5:$D$7,MATCH($N280,参数!$A$5:$A$7,0)),"")</f>
        <v>1.5</v>
      </c>
      <c r="AA280" s="16">
        <f>IFERROR(INDEX(楼层配置!$E$5:$E$104,MATCH($K280,楼层配置!$B$5:$B$104,0)),1)</f>
        <v>1.15213985017309</v>
      </c>
      <c r="AB280" s="16">
        <f>IFERROR(INDEX(楼层配置!$F$5:$F$104,MATCH($K280,楼层配置!$B$5:$B$104,0)),1)</f>
        <v>0.682347851942813</v>
      </c>
      <c r="AC280" s="16">
        <f>IFERROR(INDEX(楼层配置!$G$5:$G$104,MATCH($K280,楼层配置!$B$5:$B$104,0)),1)</f>
        <v>1</v>
      </c>
      <c r="AD280" s="18">
        <f t="shared" si="35"/>
        <v>-0.173166603974493</v>
      </c>
      <c r="AE280" s="18">
        <f t="shared" si="36"/>
        <v>-0.0881783452823277</v>
      </c>
      <c r="AF280" s="18">
        <f t="shared" si="37"/>
        <v>0.271724308912855</v>
      </c>
      <c r="AG280" s="16" t="str">
        <f t="shared" si="38"/>
        <v>有效</v>
      </c>
      <c r="AH280">
        <f t="shared" si="39"/>
        <v>2965021.950625</v>
      </c>
    </row>
    <row r="281" ht="14.25" customHeight="1" spans="1:34">
      <c r="A281" s="16">
        <v>277</v>
      </c>
      <c r="B281" s="16">
        <v>1015</v>
      </c>
      <c r="C281" s="16">
        <v>38</v>
      </c>
      <c r="D281" s="17">
        <f>IFERROR(ROUND($U281*$X281*$AA281*参数!$B$13,0),"")</f>
        <v>1082579</v>
      </c>
      <c r="E281" s="17">
        <f>IFERROR(ROUND($V281*$Y281*$AB281*参数!$C$13,0),"")</f>
        <v>17424</v>
      </c>
      <c r="F281" s="17">
        <f>IFERROR(ROUND($W281*$Z281*$AC281*参数!$D$13,0),"")</f>
        <v>25648</v>
      </c>
      <c r="G281" s="16">
        <v>1309308</v>
      </c>
      <c r="H281" s="16">
        <v>19109</v>
      </c>
      <c r="I281" s="16">
        <v>20168</v>
      </c>
      <c r="J281" s="16">
        <v>56</v>
      </c>
      <c r="K281" s="16">
        <v>56</v>
      </c>
      <c r="L281" s="16">
        <f>IFERROR(INDEX(楼层配置!$D$5:$D$104,MATCH($K281,楼层配置!$B$5:$B$104,0)),"")</f>
        <v>210</v>
      </c>
      <c r="M281" s="16" t="str">
        <f>IFERROR(INDEX(_角色基线!$B$2:$B$100,MATCH($B281,_角色基线!$A$2:$A$100,0)),"")</f>
        <v>阿莱克西娅</v>
      </c>
      <c r="N281" s="16" t="str">
        <f>IFERROR(INDEX(_角色基线!$C$2:$C$100,MATCH($B281,_角色基线!$A$2:$A$100,0)),"")</f>
        <v>Support</v>
      </c>
      <c r="O281" s="16">
        <f>IFERROR(INDEX(_怪物基线!$B$2:$B$501,MATCH(INT($L281),_怪物基线!$A$2:$A$501,0)),"")</f>
        <v>187925</v>
      </c>
      <c r="P281" s="16">
        <f>IFERROR(INDEX(_怪物基线!$C$2:$C$501,MATCH(INT($L281),_怪物基线!$A$2:$A$501,0)),"")</f>
        <v>21279</v>
      </c>
      <c r="Q281" s="16">
        <f>IFERROR(INDEX(_怪物基线!$D$2:$D$501,MATCH(INT($L281),_怪物基线!$A$2:$A$501,0)),"")</f>
        <v>20518</v>
      </c>
      <c r="R281" s="16">
        <f>参数!$B$10</f>
        <v>4</v>
      </c>
      <c r="S281" s="16">
        <f>参数!$C$10</f>
        <v>1.2</v>
      </c>
      <c r="T281" s="16">
        <f>参数!$D$10</f>
        <v>1</v>
      </c>
      <c r="U281" s="16">
        <f t="shared" si="32"/>
        <v>751700</v>
      </c>
      <c r="V281" s="16">
        <f t="shared" si="33"/>
        <v>25534.8</v>
      </c>
      <c r="W281" s="16">
        <f t="shared" si="34"/>
        <v>20518</v>
      </c>
      <c r="X281" s="16">
        <f>IFERROR(INDEX(参数!$B$5:$B$7,MATCH($N281,参数!$A$5:$A$7,0)),"")</f>
        <v>1.25</v>
      </c>
      <c r="Y281" s="16">
        <f>IFERROR(INDEX(参数!$C$5:$C$7,MATCH($N281,参数!$A$5:$A$7,0)),"")</f>
        <v>1</v>
      </c>
      <c r="Z281" s="16">
        <f>IFERROR(INDEX(参数!$D$5:$D$7,MATCH($N281,参数!$A$5:$A$7,0)),"")</f>
        <v>1.25</v>
      </c>
      <c r="AA281" s="16">
        <f>IFERROR(INDEX(楼层配置!$E$5:$E$104,MATCH($K281,楼层配置!$B$5:$B$104,0)),1)</f>
        <v>1.15213985017309</v>
      </c>
      <c r="AB281" s="16">
        <f>IFERROR(INDEX(楼层配置!$F$5:$F$104,MATCH($K281,楼层配置!$B$5:$B$104,0)),1)</f>
        <v>0.682347851942813</v>
      </c>
      <c r="AC281" s="16">
        <f>IFERROR(INDEX(楼层配置!$G$5:$G$104,MATCH($K281,楼层配置!$B$5:$B$104,0)),1)</f>
        <v>1</v>
      </c>
      <c r="AD281" s="18">
        <f t="shared" si="35"/>
        <v>-0.173167047020258</v>
      </c>
      <c r="AE281" s="18">
        <f t="shared" si="36"/>
        <v>-0.0881783452823277</v>
      </c>
      <c r="AF281" s="18">
        <f t="shared" si="37"/>
        <v>0.271717572391908</v>
      </c>
      <c r="AG281" s="16" t="str">
        <f t="shared" si="38"/>
        <v>有效</v>
      </c>
      <c r="AH281">
        <f t="shared" si="39"/>
        <v>2239495.09133333</v>
      </c>
    </row>
    <row r="282" ht="14.25" customHeight="1" spans="1:34">
      <c r="A282" s="16">
        <v>278</v>
      </c>
      <c r="B282" s="16">
        <v>1012</v>
      </c>
      <c r="C282" s="16">
        <v>38</v>
      </c>
      <c r="D282" s="17">
        <f>IFERROR(ROUND($U282*$X282*$AA282*参数!$B$13,0),"")</f>
        <v>1082579</v>
      </c>
      <c r="E282" s="17">
        <f>IFERROR(ROUND($V282*$Y282*$AB282*参数!$C$13,0),"")</f>
        <v>17424</v>
      </c>
      <c r="F282" s="17">
        <f>IFERROR(ROUND($W282*$Z282*$AC282*参数!$D$13,0),"")</f>
        <v>25648</v>
      </c>
      <c r="G282" s="16">
        <v>1309308</v>
      </c>
      <c r="H282" s="16">
        <v>19109</v>
      </c>
      <c r="I282" s="16">
        <v>20168</v>
      </c>
      <c r="J282" s="16">
        <v>56</v>
      </c>
      <c r="K282" s="16">
        <v>56</v>
      </c>
      <c r="L282" s="16">
        <f>IFERROR(INDEX(楼层配置!$D$5:$D$104,MATCH($K282,楼层配置!$B$5:$B$104,0)),"")</f>
        <v>210</v>
      </c>
      <c r="M282" s="16" t="str">
        <f>IFERROR(INDEX(_角色基线!$B$2:$B$100,MATCH($B282,_角色基线!$A$2:$A$100,0)),"")</f>
        <v>艾德琳</v>
      </c>
      <c r="N282" s="16" t="str">
        <f>IFERROR(INDEX(_角色基线!$C$2:$C$100,MATCH($B282,_角色基线!$A$2:$A$100,0)),"")</f>
        <v>Support</v>
      </c>
      <c r="O282" s="16">
        <f>IFERROR(INDEX(_怪物基线!$B$2:$B$501,MATCH(INT($L282),_怪物基线!$A$2:$A$501,0)),"")</f>
        <v>187925</v>
      </c>
      <c r="P282" s="16">
        <f>IFERROR(INDEX(_怪物基线!$C$2:$C$501,MATCH(INT($L282),_怪物基线!$A$2:$A$501,0)),"")</f>
        <v>21279</v>
      </c>
      <c r="Q282" s="16">
        <f>IFERROR(INDEX(_怪物基线!$D$2:$D$501,MATCH(INT($L282),_怪物基线!$A$2:$A$501,0)),"")</f>
        <v>20518</v>
      </c>
      <c r="R282" s="16">
        <f>参数!$B$10</f>
        <v>4</v>
      </c>
      <c r="S282" s="16">
        <f>参数!$C$10</f>
        <v>1.2</v>
      </c>
      <c r="T282" s="16">
        <f>参数!$D$10</f>
        <v>1</v>
      </c>
      <c r="U282" s="16">
        <f t="shared" si="32"/>
        <v>751700</v>
      </c>
      <c r="V282" s="16">
        <f t="shared" si="33"/>
        <v>25534.8</v>
      </c>
      <c r="W282" s="16">
        <f t="shared" si="34"/>
        <v>20518</v>
      </c>
      <c r="X282" s="16">
        <f>IFERROR(INDEX(参数!$B$5:$B$7,MATCH($N282,参数!$A$5:$A$7,0)),"")</f>
        <v>1.25</v>
      </c>
      <c r="Y282" s="16">
        <f>IFERROR(INDEX(参数!$C$5:$C$7,MATCH($N282,参数!$A$5:$A$7,0)),"")</f>
        <v>1</v>
      </c>
      <c r="Z282" s="16">
        <f>IFERROR(INDEX(参数!$D$5:$D$7,MATCH($N282,参数!$A$5:$A$7,0)),"")</f>
        <v>1.25</v>
      </c>
      <c r="AA282" s="16">
        <f>IFERROR(INDEX(楼层配置!$E$5:$E$104,MATCH($K282,楼层配置!$B$5:$B$104,0)),1)</f>
        <v>1.15213985017309</v>
      </c>
      <c r="AB282" s="16">
        <f>IFERROR(INDEX(楼层配置!$F$5:$F$104,MATCH($K282,楼层配置!$B$5:$B$104,0)),1)</f>
        <v>0.682347851942813</v>
      </c>
      <c r="AC282" s="16">
        <f>IFERROR(INDEX(楼层配置!$G$5:$G$104,MATCH($K282,楼层配置!$B$5:$B$104,0)),1)</f>
        <v>1</v>
      </c>
      <c r="AD282" s="18">
        <f t="shared" si="35"/>
        <v>-0.173167047020258</v>
      </c>
      <c r="AE282" s="18">
        <f t="shared" si="36"/>
        <v>-0.0881783452823277</v>
      </c>
      <c r="AF282" s="18">
        <f t="shared" si="37"/>
        <v>0.271717572391908</v>
      </c>
      <c r="AG282" s="16" t="str">
        <f t="shared" si="38"/>
        <v>有效</v>
      </c>
      <c r="AH282">
        <f t="shared" si="39"/>
        <v>2239495.09133333</v>
      </c>
    </row>
    <row r="283" ht="14.25" customHeight="1" spans="1:34">
      <c r="A283" s="16">
        <v>279</v>
      </c>
      <c r="B283" s="16">
        <v>1006</v>
      </c>
      <c r="C283" s="16">
        <v>38</v>
      </c>
      <c r="D283" s="17">
        <f>IFERROR(ROUND($U283*$X283*$AA283*参数!$B$13,0),"")</f>
        <v>866064</v>
      </c>
      <c r="E283" s="17">
        <f>IFERROR(ROUND($V283*$Y283*$AB283*参数!$C$13,0),"")</f>
        <v>20908</v>
      </c>
      <c r="F283" s="17">
        <f>IFERROR(ROUND($W283*$Z283*$AC283*参数!$D$13,0),"")</f>
        <v>20518</v>
      </c>
      <c r="G283" s="16">
        <v>1047446</v>
      </c>
      <c r="H283" s="16">
        <v>22930</v>
      </c>
      <c r="I283" s="16">
        <v>16134</v>
      </c>
      <c r="J283" s="16">
        <v>56</v>
      </c>
      <c r="K283" s="16">
        <v>56</v>
      </c>
      <c r="L283" s="16">
        <f>IFERROR(INDEX(楼层配置!$D$5:$D$104,MATCH($K283,楼层配置!$B$5:$B$104,0)),"")</f>
        <v>210</v>
      </c>
      <c r="M283" s="16" t="str">
        <f>IFERROR(INDEX(_角色基线!$B$2:$B$100,MATCH($B283,_角色基线!$A$2:$A$100,0)),"")</f>
        <v>莉莉娅</v>
      </c>
      <c r="N283" s="16" t="str">
        <f>IFERROR(INDEX(_角色基线!$C$2:$C$100,MATCH($B283,_角色基线!$A$2:$A$100,0)),"")</f>
        <v>DPS</v>
      </c>
      <c r="O283" s="16">
        <f>IFERROR(INDEX(_怪物基线!$B$2:$B$501,MATCH(INT($L283),_怪物基线!$A$2:$A$501,0)),"")</f>
        <v>187925</v>
      </c>
      <c r="P283" s="16">
        <f>IFERROR(INDEX(_怪物基线!$C$2:$C$501,MATCH(INT($L283),_怪物基线!$A$2:$A$501,0)),"")</f>
        <v>21279</v>
      </c>
      <c r="Q283" s="16">
        <f>IFERROR(INDEX(_怪物基线!$D$2:$D$501,MATCH(INT($L283),_怪物基线!$A$2:$A$501,0)),"")</f>
        <v>20518</v>
      </c>
      <c r="R283" s="16">
        <f>参数!$B$10</f>
        <v>4</v>
      </c>
      <c r="S283" s="16">
        <f>参数!$C$10</f>
        <v>1.2</v>
      </c>
      <c r="T283" s="16">
        <f>参数!$D$10</f>
        <v>1</v>
      </c>
      <c r="U283" s="16">
        <f t="shared" si="32"/>
        <v>751700</v>
      </c>
      <c r="V283" s="16">
        <f t="shared" si="33"/>
        <v>25534.8</v>
      </c>
      <c r="W283" s="16">
        <f t="shared" si="34"/>
        <v>20518</v>
      </c>
      <c r="X283" s="16">
        <f>IFERROR(INDEX(参数!$B$5:$B$7,MATCH($N283,参数!$A$5:$A$7,0)),"")</f>
        <v>1</v>
      </c>
      <c r="Y283" s="16">
        <f>IFERROR(INDEX(参数!$C$5:$C$7,MATCH($N283,参数!$A$5:$A$7,0)),"")</f>
        <v>1.2</v>
      </c>
      <c r="Z283" s="16">
        <f>IFERROR(INDEX(参数!$D$5:$D$7,MATCH($N283,参数!$A$5:$A$7,0)),"")</f>
        <v>1</v>
      </c>
      <c r="AA283" s="16">
        <f>IFERROR(INDEX(楼层配置!$E$5:$E$104,MATCH($K283,楼层配置!$B$5:$B$104,0)),1)</f>
        <v>1.15213985017309</v>
      </c>
      <c r="AB283" s="16">
        <f>IFERROR(INDEX(楼层配置!$F$5:$F$104,MATCH($K283,楼层配置!$B$5:$B$104,0)),1)</f>
        <v>0.682347851942813</v>
      </c>
      <c r="AC283" s="16">
        <f>IFERROR(INDEX(楼层配置!$G$5:$G$104,MATCH($K283,楼层配置!$B$5:$B$104,0)),1)</f>
        <v>1</v>
      </c>
      <c r="AD283" s="18">
        <f t="shared" si="35"/>
        <v>-0.173165967505723</v>
      </c>
      <c r="AE283" s="18">
        <f t="shared" si="36"/>
        <v>-0.088181421718273</v>
      </c>
      <c r="AF283" s="18">
        <f t="shared" si="37"/>
        <v>0.271724308912855</v>
      </c>
      <c r="AG283" s="16" t="str">
        <f t="shared" si="38"/>
        <v>有效</v>
      </c>
      <c r="AH283">
        <f t="shared" si="39"/>
        <v>1606476.548</v>
      </c>
    </row>
    <row r="284" ht="14.25" customHeight="1" spans="1:34">
      <c r="A284" s="16">
        <v>280</v>
      </c>
      <c r="B284" s="16">
        <v>1001</v>
      </c>
      <c r="C284" s="16">
        <v>38</v>
      </c>
      <c r="D284" s="17">
        <f>IFERROR(ROUND($U284*$X284*$AA284*参数!$B$13,0),"")</f>
        <v>866064</v>
      </c>
      <c r="E284" s="17">
        <f>IFERROR(ROUND($V284*$Y284*$AB284*参数!$C$13,0),"")</f>
        <v>20908</v>
      </c>
      <c r="F284" s="17">
        <f>IFERROR(ROUND($W284*$Z284*$AC284*参数!$D$13,0),"")</f>
        <v>20518</v>
      </c>
      <c r="G284" s="16">
        <v>1047446</v>
      </c>
      <c r="H284" s="16">
        <v>22930</v>
      </c>
      <c r="I284" s="16">
        <v>16134</v>
      </c>
      <c r="J284" s="16">
        <v>56</v>
      </c>
      <c r="K284" s="16">
        <v>56</v>
      </c>
      <c r="L284" s="16">
        <f>IFERROR(INDEX(楼层配置!$D$5:$D$104,MATCH($K284,楼层配置!$B$5:$B$104,0)),"")</f>
        <v>210</v>
      </c>
      <c r="M284" s="16" t="str">
        <f>IFERROR(INDEX(_角色基线!$B$2:$B$100,MATCH($B284,_角色基线!$A$2:$A$100,0)),"")</f>
        <v>星海</v>
      </c>
      <c r="N284" s="16" t="str">
        <f>IFERROR(INDEX(_角色基线!$C$2:$C$100,MATCH($B284,_角色基线!$A$2:$A$100,0)),"")</f>
        <v>DPS</v>
      </c>
      <c r="O284" s="16">
        <f>IFERROR(INDEX(_怪物基线!$B$2:$B$501,MATCH(INT($L284),_怪物基线!$A$2:$A$501,0)),"")</f>
        <v>187925</v>
      </c>
      <c r="P284" s="16">
        <f>IFERROR(INDEX(_怪物基线!$C$2:$C$501,MATCH(INT($L284),_怪物基线!$A$2:$A$501,0)),"")</f>
        <v>21279</v>
      </c>
      <c r="Q284" s="16">
        <f>IFERROR(INDEX(_怪物基线!$D$2:$D$501,MATCH(INT($L284),_怪物基线!$A$2:$A$501,0)),"")</f>
        <v>20518</v>
      </c>
      <c r="R284" s="16">
        <f>参数!$B$10</f>
        <v>4</v>
      </c>
      <c r="S284" s="16">
        <f>参数!$C$10</f>
        <v>1.2</v>
      </c>
      <c r="T284" s="16">
        <f>参数!$D$10</f>
        <v>1</v>
      </c>
      <c r="U284" s="16">
        <f t="shared" si="32"/>
        <v>751700</v>
      </c>
      <c r="V284" s="16">
        <f t="shared" si="33"/>
        <v>25534.8</v>
      </c>
      <c r="W284" s="16">
        <f t="shared" si="34"/>
        <v>20518</v>
      </c>
      <c r="X284" s="16">
        <f>IFERROR(INDEX(参数!$B$5:$B$7,MATCH($N284,参数!$A$5:$A$7,0)),"")</f>
        <v>1</v>
      </c>
      <c r="Y284" s="16">
        <f>IFERROR(INDEX(参数!$C$5:$C$7,MATCH($N284,参数!$A$5:$A$7,0)),"")</f>
        <v>1.2</v>
      </c>
      <c r="Z284" s="16">
        <f>IFERROR(INDEX(参数!$D$5:$D$7,MATCH($N284,参数!$A$5:$A$7,0)),"")</f>
        <v>1</v>
      </c>
      <c r="AA284" s="16">
        <f>IFERROR(INDEX(楼层配置!$E$5:$E$104,MATCH($K284,楼层配置!$B$5:$B$104,0)),1)</f>
        <v>1.15213985017309</v>
      </c>
      <c r="AB284" s="16">
        <f>IFERROR(INDEX(楼层配置!$F$5:$F$104,MATCH($K284,楼层配置!$B$5:$B$104,0)),1)</f>
        <v>0.682347851942813</v>
      </c>
      <c r="AC284" s="16">
        <f>IFERROR(INDEX(楼层配置!$G$5:$G$104,MATCH($K284,楼层配置!$B$5:$B$104,0)),1)</f>
        <v>1</v>
      </c>
      <c r="AD284" s="18">
        <f t="shared" si="35"/>
        <v>-0.173165967505723</v>
      </c>
      <c r="AE284" s="18">
        <f t="shared" si="36"/>
        <v>-0.088181421718273</v>
      </c>
      <c r="AF284" s="18">
        <f t="shared" si="37"/>
        <v>0.271724308912855</v>
      </c>
      <c r="AG284" s="16" t="str">
        <f t="shared" si="38"/>
        <v>有效</v>
      </c>
      <c r="AH284">
        <f t="shared" si="39"/>
        <v>1606476.548</v>
      </c>
    </row>
    <row r="285" ht="14.25" customHeight="1" spans="1:34">
      <c r="A285" s="16">
        <v>281</v>
      </c>
      <c r="B285" s="16">
        <v>1002</v>
      </c>
      <c r="C285" s="16">
        <v>38</v>
      </c>
      <c r="D285" s="17">
        <f>IFERROR(ROUND($U285*$X285*$AA285*参数!$B$13,0),"")</f>
        <v>1331424</v>
      </c>
      <c r="E285" s="17">
        <f>IFERROR(ROUND($V285*$Y285*$AB285*参数!$C$13,0),"")</f>
        <v>17781</v>
      </c>
      <c r="F285" s="17">
        <f>IFERROR(ROUND($W285*$Z285*$AC285*参数!$D$13,0),"")</f>
        <v>31142</v>
      </c>
      <c r="G285" s="16">
        <v>1637935</v>
      </c>
      <c r="H285" s="16">
        <v>19667</v>
      </c>
      <c r="I285" s="16">
        <v>24736</v>
      </c>
      <c r="J285" s="16">
        <v>57</v>
      </c>
      <c r="K285" s="16">
        <v>57</v>
      </c>
      <c r="L285" s="16">
        <f>IFERROR(INDEX(楼层配置!$D$5:$D$104,MATCH($K285,楼层配置!$B$5:$B$104,0)),"")</f>
        <v>212</v>
      </c>
      <c r="M285" s="16" t="str">
        <f>IFERROR(INDEX(_角色基线!$B$2:$B$100,MATCH($B285,_角色基线!$A$2:$A$100,0)),"")</f>
        <v>大暑</v>
      </c>
      <c r="N285" s="16" t="str">
        <f>IFERROR(INDEX(_角色基线!$C$2:$C$100,MATCH($B285,_角色基线!$A$2:$A$100,0)),"")</f>
        <v>Tank</v>
      </c>
      <c r="O285" s="16">
        <f>IFERROR(INDEX(_怪物基线!$B$2:$B$501,MATCH(INT($L285),_怪物基线!$A$2:$A$501,0)),"")</f>
        <v>192391</v>
      </c>
      <c r="P285" s="16">
        <f>IFERROR(INDEX(_怪物基线!$C$2:$C$501,MATCH(INT($L285),_怪物基线!$A$2:$A$501,0)),"")</f>
        <v>21646</v>
      </c>
      <c r="Q285" s="16">
        <f>IFERROR(INDEX(_怪物基线!$D$2:$D$501,MATCH(INT($L285),_怪物基线!$A$2:$A$501,0)),"")</f>
        <v>20761</v>
      </c>
      <c r="R285" s="16">
        <f>参数!$B$10</f>
        <v>4</v>
      </c>
      <c r="S285" s="16">
        <f>参数!$C$10</f>
        <v>1.2</v>
      </c>
      <c r="T285" s="16">
        <f>参数!$D$10</f>
        <v>1</v>
      </c>
      <c r="U285" s="16">
        <f t="shared" si="32"/>
        <v>769564</v>
      </c>
      <c r="V285" s="16">
        <f t="shared" si="33"/>
        <v>25975.2</v>
      </c>
      <c r="W285" s="16">
        <f t="shared" si="34"/>
        <v>20761</v>
      </c>
      <c r="X285" s="16">
        <f>IFERROR(INDEX(参数!$B$5:$B$7,MATCH($N285,参数!$A$5:$A$7,0)),"")</f>
        <v>1.5</v>
      </c>
      <c r="Y285" s="16">
        <f>IFERROR(INDEX(参数!$C$5:$C$7,MATCH($N285,参数!$A$5:$A$7,0)),"")</f>
        <v>1</v>
      </c>
      <c r="Z285" s="16">
        <f>IFERROR(INDEX(参数!$D$5:$D$7,MATCH($N285,参数!$A$5:$A$7,0)),"")</f>
        <v>1.5</v>
      </c>
      <c r="AA285" s="16">
        <f>IFERROR(INDEX(楼层配置!$E$5:$E$104,MATCH($K285,楼层配置!$B$5:$B$104,0)),1)</f>
        <v>1.15340112107571</v>
      </c>
      <c r="AB285" s="16">
        <f>IFERROR(INDEX(楼层配置!$F$5:$F$104,MATCH($K285,楼层配置!$B$5:$B$104,0)),1)</f>
        <v>0.684535053944765</v>
      </c>
      <c r="AC285" s="16">
        <f>IFERROR(INDEX(楼层配置!$G$5:$G$104,MATCH($K285,楼层配置!$B$5:$B$104,0)),1)</f>
        <v>1</v>
      </c>
      <c r="AD285" s="18">
        <f t="shared" si="35"/>
        <v>-0.187132578521126</v>
      </c>
      <c r="AE285" s="18">
        <f t="shared" si="36"/>
        <v>-0.0958966797172929</v>
      </c>
      <c r="AF285" s="18">
        <f t="shared" si="37"/>
        <v>0.258974773609314</v>
      </c>
      <c r="AG285" s="16" t="str">
        <f t="shared" si="38"/>
        <v>有效</v>
      </c>
      <c r="AH285">
        <f t="shared" si="39"/>
        <v>3059057.592</v>
      </c>
    </row>
    <row r="286" ht="14.25" customHeight="1" spans="1:34">
      <c r="A286" s="16">
        <v>282</v>
      </c>
      <c r="B286" s="16">
        <v>1021</v>
      </c>
      <c r="C286" s="16">
        <v>38</v>
      </c>
      <c r="D286" s="17">
        <f>IFERROR(ROUND($U286*$X286*$AA286*参数!$B$13,0),"")</f>
        <v>887616</v>
      </c>
      <c r="E286" s="17">
        <f>IFERROR(ROUND($V286*$Y286*$AB286*参数!$C$13,0),"")</f>
        <v>21337</v>
      </c>
      <c r="F286" s="17">
        <f>IFERROR(ROUND($W286*$Z286*$AC286*参数!$D$13,0),"")</f>
        <v>20761</v>
      </c>
      <c r="G286" s="16">
        <v>1091956</v>
      </c>
      <c r="H286" s="16">
        <v>23600</v>
      </c>
      <c r="I286" s="16">
        <v>16491</v>
      </c>
      <c r="J286" s="16">
        <v>57</v>
      </c>
      <c r="K286" s="16">
        <v>57</v>
      </c>
      <c r="L286" s="16">
        <f>IFERROR(INDEX(楼层配置!$D$5:$D$104,MATCH($K286,楼层配置!$B$5:$B$104,0)),"")</f>
        <v>212</v>
      </c>
      <c r="M286" s="16" t="str">
        <f>IFERROR(INDEX(_角色基线!$B$2:$B$100,MATCH($B286,_角色基线!$A$2:$A$100,0)),"")</f>
        <v>梅梅</v>
      </c>
      <c r="N286" s="16" t="str">
        <f>IFERROR(INDEX(_角色基线!$C$2:$C$100,MATCH($B286,_角色基线!$A$2:$A$100,0)),"")</f>
        <v>DPS</v>
      </c>
      <c r="O286" s="16">
        <f>IFERROR(INDEX(_怪物基线!$B$2:$B$501,MATCH(INT($L286),_怪物基线!$A$2:$A$501,0)),"")</f>
        <v>192391</v>
      </c>
      <c r="P286" s="16">
        <f>IFERROR(INDEX(_怪物基线!$C$2:$C$501,MATCH(INT($L286),_怪物基线!$A$2:$A$501,0)),"")</f>
        <v>21646</v>
      </c>
      <c r="Q286" s="16">
        <f>IFERROR(INDEX(_怪物基线!$D$2:$D$501,MATCH(INT($L286),_怪物基线!$A$2:$A$501,0)),"")</f>
        <v>20761</v>
      </c>
      <c r="R286" s="16">
        <f>参数!$B$10</f>
        <v>4</v>
      </c>
      <c r="S286" s="16">
        <f>参数!$C$10</f>
        <v>1.2</v>
      </c>
      <c r="T286" s="16">
        <f>参数!$D$10</f>
        <v>1</v>
      </c>
      <c r="U286" s="16">
        <f t="shared" si="32"/>
        <v>769564</v>
      </c>
      <c r="V286" s="16">
        <f t="shared" si="33"/>
        <v>25975.2</v>
      </c>
      <c r="W286" s="16">
        <f t="shared" si="34"/>
        <v>20761</v>
      </c>
      <c r="X286" s="16">
        <f>IFERROR(INDEX(参数!$B$5:$B$7,MATCH($N286,参数!$A$5:$A$7,0)),"")</f>
        <v>1</v>
      </c>
      <c r="Y286" s="16">
        <f>IFERROR(INDEX(参数!$C$5:$C$7,MATCH($N286,参数!$A$5:$A$7,0)),"")</f>
        <v>1.2</v>
      </c>
      <c r="Z286" s="16">
        <f>IFERROR(INDEX(参数!$D$5:$D$7,MATCH($N286,参数!$A$5:$A$7,0)),"")</f>
        <v>1</v>
      </c>
      <c r="AA286" s="16">
        <f>IFERROR(INDEX(楼层配置!$E$5:$E$104,MATCH($K286,楼层配置!$B$5:$B$104,0)),1)</f>
        <v>1.15340112107571</v>
      </c>
      <c r="AB286" s="16">
        <f>IFERROR(INDEX(楼层配置!$F$5:$F$104,MATCH($K286,楼层配置!$B$5:$B$104,0)),1)</f>
        <v>0.684535053944765</v>
      </c>
      <c r="AC286" s="16">
        <f>IFERROR(INDEX(楼层配置!$G$5:$G$104,MATCH($K286,楼层配置!$B$5:$B$104,0)),1)</f>
        <v>1</v>
      </c>
      <c r="AD286" s="18">
        <f t="shared" si="35"/>
        <v>-0.187132082245072</v>
      </c>
      <c r="AE286" s="18">
        <f t="shared" si="36"/>
        <v>-0.0958898305084745</v>
      </c>
      <c r="AF286" s="18">
        <f t="shared" si="37"/>
        <v>0.258929112849433</v>
      </c>
      <c r="AG286" s="16" t="str">
        <f t="shared" si="38"/>
        <v>有效</v>
      </c>
      <c r="AH286">
        <f t="shared" si="39"/>
        <v>1655440.824</v>
      </c>
    </row>
    <row r="287" ht="14.25" customHeight="1" spans="1:34">
      <c r="A287" s="16">
        <v>283</v>
      </c>
      <c r="B287" s="16">
        <v>1001</v>
      </c>
      <c r="C287" s="16">
        <v>38</v>
      </c>
      <c r="D287" s="17">
        <f>IFERROR(ROUND($U287*$X287*$AA287*参数!$B$13,0),"")</f>
        <v>887616</v>
      </c>
      <c r="E287" s="17">
        <f>IFERROR(ROUND($V287*$Y287*$AB287*参数!$C$13,0),"")</f>
        <v>21337</v>
      </c>
      <c r="F287" s="17">
        <f>IFERROR(ROUND($W287*$Z287*$AC287*参数!$D$13,0),"")</f>
        <v>20761</v>
      </c>
      <c r="G287" s="16">
        <v>1091956</v>
      </c>
      <c r="H287" s="16">
        <v>23600</v>
      </c>
      <c r="I287" s="16">
        <v>16491</v>
      </c>
      <c r="J287" s="16">
        <v>57</v>
      </c>
      <c r="K287" s="16">
        <v>57</v>
      </c>
      <c r="L287" s="16">
        <f>IFERROR(INDEX(楼层配置!$D$5:$D$104,MATCH($K287,楼层配置!$B$5:$B$104,0)),"")</f>
        <v>212</v>
      </c>
      <c r="M287" s="16" t="str">
        <f>IFERROR(INDEX(_角色基线!$B$2:$B$100,MATCH($B287,_角色基线!$A$2:$A$100,0)),"")</f>
        <v>星海</v>
      </c>
      <c r="N287" s="16" t="str">
        <f>IFERROR(INDEX(_角色基线!$C$2:$C$100,MATCH($B287,_角色基线!$A$2:$A$100,0)),"")</f>
        <v>DPS</v>
      </c>
      <c r="O287" s="16">
        <f>IFERROR(INDEX(_怪物基线!$B$2:$B$501,MATCH(INT($L287),_怪物基线!$A$2:$A$501,0)),"")</f>
        <v>192391</v>
      </c>
      <c r="P287" s="16">
        <f>IFERROR(INDEX(_怪物基线!$C$2:$C$501,MATCH(INT($L287),_怪物基线!$A$2:$A$501,0)),"")</f>
        <v>21646</v>
      </c>
      <c r="Q287" s="16">
        <f>IFERROR(INDEX(_怪物基线!$D$2:$D$501,MATCH(INT($L287),_怪物基线!$A$2:$A$501,0)),"")</f>
        <v>20761</v>
      </c>
      <c r="R287" s="16">
        <f>参数!$B$10</f>
        <v>4</v>
      </c>
      <c r="S287" s="16">
        <f>参数!$C$10</f>
        <v>1.2</v>
      </c>
      <c r="T287" s="16">
        <f>参数!$D$10</f>
        <v>1</v>
      </c>
      <c r="U287" s="16">
        <f t="shared" si="32"/>
        <v>769564</v>
      </c>
      <c r="V287" s="16">
        <f t="shared" si="33"/>
        <v>25975.2</v>
      </c>
      <c r="W287" s="16">
        <f t="shared" si="34"/>
        <v>20761</v>
      </c>
      <c r="X287" s="16">
        <f>IFERROR(INDEX(参数!$B$5:$B$7,MATCH($N287,参数!$A$5:$A$7,0)),"")</f>
        <v>1</v>
      </c>
      <c r="Y287" s="16">
        <f>IFERROR(INDEX(参数!$C$5:$C$7,MATCH($N287,参数!$A$5:$A$7,0)),"")</f>
        <v>1.2</v>
      </c>
      <c r="Z287" s="16">
        <f>IFERROR(INDEX(参数!$D$5:$D$7,MATCH($N287,参数!$A$5:$A$7,0)),"")</f>
        <v>1</v>
      </c>
      <c r="AA287" s="16">
        <f>IFERROR(INDEX(楼层配置!$E$5:$E$104,MATCH($K287,楼层配置!$B$5:$B$104,0)),1)</f>
        <v>1.15340112107571</v>
      </c>
      <c r="AB287" s="16">
        <f>IFERROR(INDEX(楼层配置!$F$5:$F$104,MATCH($K287,楼层配置!$B$5:$B$104,0)),1)</f>
        <v>0.684535053944765</v>
      </c>
      <c r="AC287" s="16">
        <f>IFERROR(INDEX(楼层配置!$G$5:$G$104,MATCH($K287,楼层配置!$B$5:$B$104,0)),1)</f>
        <v>1</v>
      </c>
      <c r="AD287" s="18">
        <f t="shared" si="35"/>
        <v>-0.187132082245072</v>
      </c>
      <c r="AE287" s="18">
        <f t="shared" si="36"/>
        <v>-0.0958898305084745</v>
      </c>
      <c r="AF287" s="18">
        <f t="shared" si="37"/>
        <v>0.258929112849433</v>
      </c>
      <c r="AG287" s="16" t="str">
        <f t="shared" si="38"/>
        <v>有效</v>
      </c>
      <c r="AH287">
        <f t="shared" si="39"/>
        <v>1655440.824</v>
      </c>
    </row>
    <row r="288" ht="14.25" customHeight="1" spans="1:34">
      <c r="A288" s="16">
        <v>284</v>
      </c>
      <c r="B288" s="16">
        <v>1015</v>
      </c>
      <c r="C288" s="16">
        <v>38</v>
      </c>
      <c r="D288" s="17">
        <f>IFERROR(ROUND($U288*$X288*$AA288*参数!$B$13,0),"")</f>
        <v>1109520</v>
      </c>
      <c r="E288" s="17">
        <f>IFERROR(ROUND($V288*$Y288*$AB288*参数!$C$13,0),"")</f>
        <v>17781</v>
      </c>
      <c r="F288" s="17">
        <f>IFERROR(ROUND($W288*$Z288*$AC288*参数!$D$13,0),"")</f>
        <v>25951</v>
      </c>
      <c r="G288" s="16">
        <v>1364946</v>
      </c>
      <c r="H288" s="16">
        <v>19667</v>
      </c>
      <c r="I288" s="16">
        <v>20614</v>
      </c>
      <c r="J288" s="16">
        <v>57</v>
      </c>
      <c r="K288" s="16">
        <v>57</v>
      </c>
      <c r="L288" s="16">
        <f>IFERROR(INDEX(楼层配置!$D$5:$D$104,MATCH($K288,楼层配置!$B$5:$B$104,0)),"")</f>
        <v>212</v>
      </c>
      <c r="M288" s="16" t="str">
        <f>IFERROR(INDEX(_角色基线!$B$2:$B$100,MATCH($B288,_角色基线!$A$2:$A$100,0)),"")</f>
        <v>阿莱克西娅</v>
      </c>
      <c r="N288" s="16" t="str">
        <f>IFERROR(INDEX(_角色基线!$C$2:$C$100,MATCH($B288,_角色基线!$A$2:$A$100,0)),"")</f>
        <v>Support</v>
      </c>
      <c r="O288" s="16">
        <f>IFERROR(INDEX(_怪物基线!$B$2:$B$501,MATCH(INT($L288),_怪物基线!$A$2:$A$501,0)),"")</f>
        <v>192391</v>
      </c>
      <c r="P288" s="16">
        <f>IFERROR(INDEX(_怪物基线!$C$2:$C$501,MATCH(INT($L288),_怪物基线!$A$2:$A$501,0)),"")</f>
        <v>21646</v>
      </c>
      <c r="Q288" s="16">
        <f>IFERROR(INDEX(_怪物基线!$D$2:$D$501,MATCH(INT($L288),_怪物基线!$A$2:$A$501,0)),"")</f>
        <v>20761</v>
      </c>
      <c r="R288" s="16">
        <f>参数!$B$10</f>
        <v>4</v>
      </c>
      <c r="S288" s="16">
        <f>参数!$C$10</f>
        <v>1.2</v>
      </c>
      <c r="T288" s="16">
        <f>参数!$D$10</f>
        <v>1</v>
      </c>
      <c r="U288" s="16">
        <f t="shared" si="32"/>
        <v>769564</v>
      </c>
      <c r="V288" s="16">
        <f t="shared" si="33"/>
        <v>25975.2</v>
      </c>
      <c r="W288" s="16">
        <f t="shared" si="34"/>
        <v>20761</v>
      </c>
      <c r="X288" s="16">
        <f>IFERROR(INDEX(参数!$B$5:$B$7,MATCH($N288,参数!$A$5:$A$7,0)),"")</f>
        <v>1.25</v>
      </c>
      <c r="Y288" s="16">
        <f>IFERROR(INDEX(参数!$C$5:$C$7,MATCH($N288,参数!$A$5:$A$7,0)),"")</f>
        <v>1</v>
      </c>
      <c r="Z288" s="16">
        <f>IFERROR(INDEX(参数!$D$5:$D$7,MATCH($N288,参数!$A$5:$A$7,0)),"")</f>
        <v>1.25</v>
      </c>
      <c r="AA288" s="16">
        <f>IFERROR(INDEX(楼层配置!$E$5:$E$104,MATCH($K288,楼层配置!$B$5:$B$104,0)),1)</f>
        <v>1.15340112107571</v>
      </c>
      <c r="AB288" s="16">
        <f>IFERROR(INDEX(楼层配置!$F$5:$F$104,MATCH($K288,楼层配置!$B$5:$B$104,0)),1)</f>
        <v>0.684535053944765</v>
      </c>
      <c r="AC288" s="16">
        <f>IFERROR(INDEX(楼层配置!$G$5:$G$104,MATCH($K288,楼层配置!$B$5:$B$104,0)),1)</f>
        <v>1</v>
      </c>
      <c r="AD288" s="18">
        <f t="shared" si="35"/>
        <v>-0.187132677776264</v>
      </c>
      <c r="AE288" s="18">
        <f t="shared" si="36"/>
        <v>-0.0958966797172929</v>
      </c>
      <c r="AF288" s="18">
        <f t="shared" si="37"/>
        <v>0.258901717279519</v>
      </c>
      <c r="AG288" s="16" t="str">
        <f t="shared" si="38"/>
        <v>有效</v>
      </c>
      <c r="AH288">
        <f t="shared" si="39"/>
        <v>2309234.73</v>
      </c>
    </row>
    <row r="289" ht="14.25" customHeight="1" spans="1:34">
      <c r="A289" s="16">
        <v>285</v>
      </c>
      <c r="B289" s="16">
        <v>1024</v>
      </c>
      <c r="C289" s="16">
        <v>38</v>
      </c>
      <c r="D289" s="17">
        <f>IFERROR(ROUND($U289*$X289*$AA289*参数!$B$13,0),"")</f>
        <v>887616</v>
      </c>
      <c r="E289" s="17">
        <f>IFERROR(ROUND($V289*$Y289*$AB289*参数!$C$13,0),"")</f>
        <v>21337</v>
      </c>
      <c r="F289" s="17">
        <f>IFERROR(ROUND($W289*$Z289*$AC289*参数!$D$13,0),"")</f>
        <v>20761</v>
      </c>
      <c r="G289" s="16">
        <v>1091956</v>
      </c>
      <c r="H289" s="16">
        <v>23600</v>
      </c>
      <c r="I289" s="16">
        <v>16491</v>
      </c>
      <c r="J289" s="16">
        <v>57</v>
      </c>
      <c r="K289" s="16">
        <v>57</v>
      </c>
      <c r="L289" s="16">
        <f>IFERROR(INDEX(楼层配置!$D$5:$D$104,MATCH($K289,楼层配置!$B$5:$B$104,0)),"")</f>
        <v>212</v>
      </c>
      <c r="M289" s="16" t="str">
        <f>IFERROR(INDEX(_角色基线!$B$2:$B$100,MATCH($B289,_角色基线!$A$2:$A$100,0)),"")</f>
        <v>卡薇</v>
      </c>
      <c r="N289" s="16" t="str">
        <f>IFERROR(INDEX(_角色基线!$C$2:$C$100,MATCH($B289,_角色基线!$A$2:$A$100,0)),"")</f>
        <v>DPS</v>
      </c>
      <c r="O289" s="16">
        <f>IFERROR(INDEX(_怪物基线!$B$2:$B$501,MATCH(INT($L289),_怪物基线!$A$2:$A$501,0)),"")</f>
        <v>192391</v>
      </c>
      <c r="P289" s="16">
        <f>IFERROR(INDEX(_怪物基线!$C$2:$C$501,MATCH(INT($L289),_怪物基线!$A$2:$A$501,0)),"")</f>
        <v>21646</v>
      </c>
      <c r="Q289" s="16">
        <f>IFERROR(INDEX(_怪物基线!$D$2:$D$501,MATCH(INT($L289),_怪物基线!$A$2:$A$501,0)),"")</f>
        <v>20761</v>
      </c>
      <c r="R289" s="16">
        <f>参数!$B$10</f>
        <v>4</v>
      </c>
      <c r="S289" s="16">
        <f>参数!$C$10</f>
        <v>1.2</v>
      </c>
      <c r="T289" s="16">
        <f>参数!$D$10</f>
        <v>1</v>
      </c>
      <c r="U289" s="16">
        <f t="shared" si="32"/>
        <v>769564</v>
      </c>
      <c r="V289" s="16">
        <f t="shared" si="33"/>
        <v>25975.2</v>
      </c>
      <c r="W289" s="16">
        <f t="shared" si="34"/>
        <v>20761</v>
      </c>
      <c r="X289" s="16">
        <f>IFERROR(INDEX(参数!$B$5:$B$7,MATCH($N289,参数!$A$5:$A$7,0)),"")</f>
        <v>1</v>
      </c>
      <c r="Y289" s="16">
        <f>IFERROR(INDEX(参数!$C$5:$C$7,MATCH($N289,参数!$A$5:$A$7,0)),"")</f>
        <v>1.2</v>
      </c>
      <c r="Z289" s="16">
        <f>IFERROR(INDEX(参数!$D$5:$D$7,MATCH($N289,参数!$A$5:$A$7,0)),"")</f>
        <v>1</v>
      </c>
      <c r="AA289" s="16">
        <f>IFERROR(INDEX(楼层配置!$E$5:$E$104,MATCH($K289,楼层配置!$B$5:$B$104,0)),1)</f>
        <v>1.15340112107571</v>
      </c>
      <c r="AB289" s="16">
        <f>IFERROR(INDEX(楼层配置!$F$5:$F$104,MATCH($K289,楼层配置!$B$5:$B$104,0)),1)</f>
        <v>0.684535053944765</v>
      </c>
      <c r="AC289" s="16">
        <f>IFERROR(INDEX(楼层配置!$G$5:$G$104,MATCH($K289,楼层配置!$B$5:$B$104,0)),1)</f>
        <v>1</v>
      </c>
      <c r="AD289" s="18">
        <f t="shared" si="35"/>
        <v>-0.187132082245072</v>
      </c>
      <c r="AE289" s="18">
        <f t="shared" si="36"/>
        <v>-0.0958898305084745</v>
      </c>
      <c r="AF289" s="18">
        <f t="shared" si="37"/>
        <v>0.258929112849433</v>
      </c>
      <c r="AG289" s="16" t="str">
        <f t="shared" si="38"/>
        <v>有效</v>
      </c>
      <c r="AH289">
        <f t="shared" si="39"/>
        <v>1655440.824</v>
      </c>
    </row>
    <row r="290" ht="14.25" customHeight="1" spans="1:34">
      <c r="A290" s="16">
        <v>286</v>
      </c>
      <c r="B290" s="16">
        <v>1030</v>
      </c>
      <c r="C290" s="16">
        <v>39</v>
      </c>
      <c r="D290" s="17">
        <f>IFERROR(ROUND($U290*$X290*$AA290*参数!$B$13,0),"")</f>
        <v>1373510</v>
      </c>
      <c r="E290" s="17">
        <f>IFERROR(ROUND($V290*$Y290*$AB290*参数!$C$13,0),"")</f>
        <v>18212</v>
      </c>
      <c r="F290" s="17">
        <f>IFERROR(ROUND($W290*$Z290*$AC290*参数!$D$13,0),"")</f>
        <v>31509</v>
      </c>
      <c r="G290" s="16">
        <v>1706731</v>
      </c>
      <c r="H290" s="16">
        <v>20236</v>
      </c>
      <c r="I290" s="16">
        <v>25275</v>
      </c>
      <c r="J290" s="16">
        <v>58</v>
      </c>
      <c r="K290" s="16">
        <v>58</v>
      </c>
      <c r="L290" s="16">
        <f>IFERROR(INDEX(楼层配置!$D$5:$D$104,MATCH($K290,楼层配置!$B$5:$B$104,0)),"")</f>
        <v>214</v>
      </c>
      <c r="M290" s="16" t="str">
        <f>IFERROR(INDEX(_角色基线!$B$2:$B$100,MATCH($B290,_角色基线!$A$2:$A$100,0)),"")</f>
        <v>莫莉</v>
      </c>
      <c r="N290" s="16" t="str">
        <f>IFERROR(INDEX(_角色基线!$C$2:$C$100,MATCH($B290,_角色基线!$A$2:$A$100,0)),"")</f>
        <v>Tank</v>
      </c>
      <c r="O290" s="16">
        <f>IFERROR(INDEX(_怪物基线!$B$2:$B$501,MATCH(INT($L290),_怪物基线!$A$2:$A$501,0)),"")</f>
        <v>196934</v>
      </c>
      <c r="P290" s="16">
        <f>IFERROR(INDEX(_怪物基线!$C$2:$C$501,MATCH(INT($L290),_怪物基线!$A$2:$A$501,0)),"")</f>
        <v>22017</v>
      </c>
      <c r="Q290" s="16">
        <f>IFERROR(INDEX(_怪物基线!$D$2:$D$501,MATCH(INT($L290),_怪物基线!$A$2:$A$501,0)),"")</f>
        <v>21006</v>
      </c>
      <c r="R290" s="16">
        <f>参数!$B$10</f>
        <v>4</v>
      </c>
      <c r="S290" s="16">
        <f>参数!$C$10</f>
        <v>1.2</v>
      </c>
      <c r="T290" s="16">
        <f>参数!$D$10</f>
        <v>1</v>
      </c>
      <c r="U290" s="16">
        <f t="shared" si="32"/>
        <v>787736</v>
      </c>
      <c r="V290" s="16">
        <f t="shared" si="33"/>
        <v>26420.4</v>
      </c>
      <c r="W290" s="16">
        <f t="shared" si="34"/>
        <v>21006</v>
      </c>
      <c r="X290" s="16">
        <f>IFERROR(INDEX(参数!$B$5:$B$7,MATCH($N290,参数!$A$5:$A$7,0)),"")</f>
        <v>1.5</v>
      </c>
      <c r="Y290" s="16">
        <f>IFERROR(INDEX(参数!$C$5:$C$7,MATCH($N290,参数!$A$5:$A$7,0)),"")</f>
        <v>1</v>
      </c>
      <c r="Z290" s="16">
        <f>IFERROR(INDEX(参数!$D$5:$D$7,MATCH($N290,参数!$A$5:$A$7,0)),"")</f>
        <v>1.5</v>
      </c>
      <c r="AA290" s="16">
        <f>IFERROR(INDEX(楼层配置!$E$5:$E$104,MATCH($K290,楼层配置!$B$5:$B$104,0)),1)</f>
        <v>1.16241161436697</v>
      </c>
      <c r="AB290" s="16">
        <f>IFERROR(INDEX(楼层配置!$F$5:$F$104,MATCH($K290,楼层配置!$B$5:$B$104,0)),1)</f>
        <v>0.689312359503694</v>
      </c>
      <c r="AC290" s="16">
        <f>IFERROR(INDEX(楼层配置!$G$5:$G$104,MATCH($K290,楼层配置!$B$5:$B$104,0)),1)</f>
        <v>1</v>
      </c>
      <c r="AD290" s="18">
        <f t="shared" si="35"/>
        <v>-0.195239320080317</v>
      </c>
      <c r="AE290" s="18">
        <f t="shared" si="36"/>
        <v>-0.100019766752323</v>
      </c>
      <c r="AF290" s="18">
        <f t="shared" si="37"/>
        <v>0.246646884272997</v>
      </c>
      <c r="AG290" s="16" t="str">
        <f t="shared" si="38"/>
        <v>有效</v>
      </c>
      <c r="AH290">
        <f t="shared" si="39"/>
        <v>3176756.94125</v>
      </c>
    </row>
    <row r="291" ht="14.25" customHeight="1" spans="1:34">
      <c r="A291" s="16">
        <v>287</v>
      </c>
      <c r="B291" s="16">
        <v>1015</v>
      </c>
      <c r="C291" s="16">
        <v>39</v>
      </c>
      <c r="D291" s="17">
        <f>IFERROR(ROUND($U291*$X291*$AA291*参数!$B$13,0),"")</f>
        <v>1144592</v>
      </c>
      <c r="E291" s="17">
        <f>IFERROR(ROUND($V291*$Y291*$AB291*参数!$C$13,0),"")</f>
        <v>18212</v>
      </c>
      <c r="F291" s="17">
        <f>IFERROR(ROUND($W291*$Z291*$AC291*参数!$D$13,0),"")</f>
        <v>26258</v>
      </c>
      <c r="G291" s="16">
        <v>1422276</v>
      </c>
      <c r="H291" s="16">
        <v>20236</v>
      </c>
      <c r="I291" s="16">
        <v>21063</v>
      </c>
      <c r="J291" s="16">
        <v>58</v>
      </c>
      <c r="K291" s="16">
        <v>58</v>
      </c>
      <c r="L291" s="16">
        <f>IFERROR(INDEX(楼层配置!$D$5:$D$104,MATCH($K291,楼层配置!$B$5:$B$104,0)),"")</f>
        <v>214</v>
      </c>
      <c r="M291" s="16" t="str">
        <f>IFERROR(INDEX(_角色基线!$B$2:$B$100,MATCH($B291,_角色基线!$A$2:$A$100,0)),"")</f>
        <v>阿莱克西娅</v>
      </c>
      <c r="N291" s="16" t="str">
        <f>IFERROR(INDEX(_角色基线!$C$2:$C$100,MATCH($B291,_角色基线!$A$2:$A$100,0)),"")</f>
        <v>Support</v>
      </c>
      <c r="O291" s="16">
        <f>IFERROR(INDEX(_怪物基线!$B$2:$B$501,MATCH(INT($L291),_怪物基线!$A$2:$A$501,0)),"")</f>
        <v>196934</v>
      </c>
      <c r="P291" s="16">
        <f>IFERROR(INDEX(_怪物基线!$C$2:$C$501,MATCH(INT($L291),_怪物基线!$A$2:$A$501,0)),"")</f>
        <v>22017</v>
      </c>
      <c r="Q291" s="16">
        <f>IFERROR(INDEX(_怪物基线!$D$2:$D$501,MATCH(INT($L291),_怪物基线!$A$2:$A$501,0)),"")</f>
        <v>21006</v>
      </c>
      <c r="R291" s="16">
        <f>参数!$B$10</f>
        <v>4</v>
      </c>
      <c r="S291" s="16">
        <f>参数!$C$10</f>
        <v>1.2</v>
      </c>
      <c r="T291" s="16">
        <f>参数!$D$10</f>
        <v>1</v>
      </c>
      <c r="U291" s="16">
        <f t="shared" si="32"/>
        <v>787736</v>
      </c>
      <c r="V291" s="16">
        <f t="shared" si="33"/>
        <v>26420.4</v>
      </c>
      <c r="W291" s="16">
        <f t="shared" si="34"/>
        <v>21006</v>
      </c>
      <c r="X291" s="16">
        <f>IFERROR(INDEX(参数!$B$5:$B$7,MATCH($N291,参数!$A$5:$A$7,0)),"")</f>
        <v>1.25</v>
      </c>
      <c r="Y291" s="16">
        <f>IFERROR(INDEX(参数!$C$5:$C$7,MATCH($N291,参数!$A$5:$A$7,0)),"")</f>
        <v>1</v>
      </c>
      <c r="Z291" s="16">
        <f>IFERROR(INDEX(参数!$D$5:$D$7,MATCH($N291,参数!$A$5:$A$7,0)),"")</f>
        <v>1.25</v>
      </c>
      <c r="AA291" s="16">
        <f>IFERROR(INDEX(楼层配置!$E$5:$E$104,MATCH($K291,楼层配置!$B$5:$B$104,0)),1)</f>
        <v>1.16241161436697</v>
      </c>
      <c r="AB291" s="16">
        <f>IFERROR(INDEX(楼层配置!$F$5:$F$104,MATCH($K291,楼层配置!$B$5:$B$104,0)),1)</f>
        <v>0.689312359503694</v>
      </c>
      <c r="AC291" s="16">
        <f>IFERROR(INDEX(楼层配置!$G$5:$G$104,MATCH($K291,楼层配置!$B$5:$B$104,0)),1)</f>
        <v>1</v>
      </c>
      <c r="AD291" s="18">
        <f t="shared" si="35"/>
        <v>-0.195239180018506</v>
      </c>
      <c r="AE291" s="18">
        <f t="shared" si="36"/>
        <v>-0.100019766752323</v>
      </c>
      <c r="AF291" s="18">
        <f t="shared" si="37"/>
        <v>0.246641029293073</v>
      </c>
      <c r="AG291" s="16" t="str">
        <f t="shared" si="38"/>
        <v>有效</v>
      </c>
      <c r="AH291">
        <f t="shared" si="39"/>
        <v>2396871.03066667</v>
      </c>
    </row>
    <row r="292" ht="14.25" customHeight="1" spans="1:34">
      <c r="A292" s="16">
        <v>288</v>
      </c>
      <c r="B292" s="16">
        <v>1021</v>
      </c>
      <c r="C292" s="16">
        <v>39</v>
      </c>
      <c r="D292" s="17">
        <f>IFERROR(ROUND($U292*$X292*$AA292*参数!$B$13,0),"")</f>
        <v>915673</v>
      </c>
      <c r="E292" s="17">
        <f>IFERROR(ROUND($V292*$Y292*$AB292*参数!$C$13,0),"")</f>
        <v>21854</v>
      </c>
      <c r="F292" s="17">
        <f>IFERROR(ROUND($W292*$Z292*$AC292*参数!$D$13,0),"")</f>
        <v>21006</v>
      </c>
      <c r="G292" s="16">
        <v>1137820</v>
      </c>
      <c r="H292" s="16">
        <v>24283</v>
      </c>
      <c r="I292" s="16">
        <v>16850</v>
      </c>
      <c r="J292" s="16">
        <v>58</v>
      </c>
      <c r="K292" s="16">
        <v>58</v>
      </c>
      <c r="L292" s="16">
        <f>IFERROR(INDEX(楼层配置!$D$5:$D$104,MATCH($K292,楼层配置!$B$5:$B$104,0)),"")</f>
        <v>214</v>
      </c>
      <c r="M292" s="16" t="str">
        <f>IFERROR(INDEX(_角色基线!$B$2:$B$100,MATCH($B292,_角色基线!$A$2:$A$100,0)),"")</f>
        <v>梅梅</v>
      </c>
      <c r="N292" s="16" t="str">
        <f>IFERROR(INDEX(_角色基线!$C$2:$C$100,MATCH($B292,_角色基线!$A$2:$A$100,0)),"")</f>
        <v>DPS</v>
      </c>
      <c r="O292" s="16">
        <f>IFERROR(INDEX(_怪物基线!$B$2:$B$501,MATCH(INT($L292),_怪物基线!$A$2:$A$501,0)),"")</f>
        <v>196934</v>
      </c>
      <c r="P292" s="16">
        <f>IFERROR(INDEX(_怪物基线!$C$2:$C$501,MATCH(INT($L292),_怪物基线!$A$2:$A$501,0)),"")</f>
        <v>22017</v>
      </c>
      <c r="Q292" s="16">
        <f>IFERROR(INDEX(_怪物基线!$D$2:$D$501,MATCH(INT($L292),_怪物基线!$A$2:$A$501,0)),"")</f>
        <v>21006</v>
      </c>
      <c r="R292" s="16">
        <f>参数!$B$10</f>
        <v>4</v>
      </c>
      <c r="S292" s="16">
        <f>参数!$C$10</f>
        <v>1.2</v>
      </c>
      <c r="T292" s="16">
        <f>参数!$D$10</f>
        <v>1</v>
      </c>
      <c r="U292" s="16">
        <f t="shared" si="32"/>
        <v>787736</v>
      </c>
      <c r="V292" s="16">
        <f t="shared" si="33"/>
        <v>26420.4</v>
      </c>
      <c r="W292" s="16">
        <f t="shared" si="34"/>
        <v>21006</v>
      </c>
      <c r="X292" s="16">
        <f>IFERROR(INDEX(参数!$B$5:$B$7,MATCH($N292,参数!$A$5:$A$7,0)),"")</f>
        <v>1</v>
      </c>
      <c r="Y292" s="16">
        <f>IFERROR(INDEX(参数!$C$5:$C$7,MATCH($N292,参数!$A$5:$A$7,0)),"")</f>
        <v>1.2</v>
      </c>
      <c r="Z292" s="16">
        <f>IFERROR(INDEX(参数!$D$5:$D$7,MATCH($N292,参数!$A$5:$A$7,0)),"")</f>
        <v>1</v>
      </c>
      <c r="AA292" s="16">
        <f>IFERROR(INDEX(楼层配置!$E$5:$E$104,MATCH($K292,楼层配置!$B$5:$B$104,0)),1)</f>
        <v>1.16241161436697</v>
      </c>
      <c r="AB292" s="16">
        <f>IFERROR(INDEX(楼层配置!$F$5:$F$104,MATCH($K292,楼层配置!$B$5:$B$104,0)),1)</f>
        <v>0.689312359503694</v>
      </c>
      <c r="AC292" s="16">
        <f>IFERROR(INDEX(楼层配置!$G$5:$G$104,MATCH($K292,楼层配置!$B$5:$B$104,0)),1)</f>
        <v>1</v>
      </c>
      <c r="AD292" s="18">
        <f t="shared" si="35"/>
        <v>-0.195239141516233</v>
      </c>
      <c r="AE292" s="18">
        <f t="shared" si="36"/>
        <v>-0.100028826751225</v>
      </c>
      <c r="AF292" s="18">
        <f t="shared" si="37"/>
        <v>0.246646884272997</v>
      </c>
      <c r="AG292" s="16" t="str">
        <f t="shared" si="38"/>
        <v>有效</v>
      </c>
      <c r="AH292">
        <f t="shared" si="39"/>
        <v>1717115.79325</v>
      </c>
    </row>
    <row r="293" ht="14.25" customHeight="1" spans="1:34">
      <c r="A293" s="16">
        <v>289</v>
      </c>
      <c r="B293" s="16">
        <v>1021</v>
      </c>
      <c r="C293" s="16">
        <v>39</v>
      </c>
      <c r="D293" s="17">
        <f>IFERROR(ROUND($U293*$X293*$AA293*参数!$B$13,0),"")</f>
        <v>915673</v>
      </c>
      <c r="E293" s="17">
        <f>IFERROR(ROUND($V293*$Y293*$AB293*参数!$C$13,0),"")</f>
        <v>21854</v>
      </c>
      <c r="F293" s="17">
        <f>IFERROR(ROUND($W293*$Z293*$AC293*参数!$D$13,0),"")</f>
        <v>21006</v>
      </c>
      <c r="G293" s="16">
        <v>1137820</v>
      </c>
      <c r="H293" s="16">
        <v>24283</v>
      </c>
      <c r="I293" s="16">
        <v>16850</v>
      </c>
      <c r="J293" s="16">
        <v>58</v>
      </c>
      <c r="K293" s="16">
        <v>58</v>
      </c>
      <c r="L293" s="16">
        <f>IFERROR(INDEX(楼层配置!$D$5:$D$104,MATCH($K293,楼层配置!$B$5:$B$104,0)),"")</f>
        <v>214</v>
      </c>
      <c r="M293" s="16" t="str">
        <f>IFERROR(INDEX(_角色基线!$B$2:$B$100,MATCH($B293,_角色基线!$A$2:$A$100,0)),"")</f>
        <v>梅梅</v>
      </c>
      <c r="N293" s="16" t="str">
        <f>IFERROR(INDEX(_角色基线!$C$2:$C$100,MATCH($B293,_角色基线!$A$2:$A$100,0)),"")</f>
        <v>DPS</v>
      </c>
      <c r="O293" s="16">
        <f>IFERROR(INDEX(_怪物基线!$B$2:$B$501,MATCH(INT($L293),_怪物基线!$A$2:$A$501,0)),"")</f>
        <v>196934</v>
      </c>
      <c r="P293" s="16">
        <f>IFERROR(INDEX(_怪物基线!$C$2:$C$501,MATCH(INT($L293),_怪物基线!$A$2:$A$501,0)),"")</f>
        <v>22017</v>
      </c>
      <c r="Q293" s="16">
        <f>IFERROR(INDEX(_怪物基线!$D$2:$D$501,MATCH(INT($L293),_怪物基线!$A$2:$A$501,0)),"")</f>
        <v>21006</v>
      </c>
      <c r="R293" s="16">
        <f>参数!$B$10</f>
        <v>4</v>
      </c>
      <c r="S293" s="16">
        <f>参数!$C$10</f>
        <v>1.2</v>
      </c>
      <c r="T293" s="16">
        <f>参数!$D$10</f>
        <v>1</v>
      </c>
      <c r="U293" s="16">
        <f t="shared" si="32"/>
        <v>787736</v>
      </c>
      <c r="V293" s="16">
        <f t="shared" si="33"/>
        <v>26420.4</v>
      </c>
      <c r="W293" s="16">
        <f t="shared" si="34"/>
        <v>21006</v>
      </c>
      <c r="X293" s="16">
        <f>IFERROR(INDEX(参数!$B$5:$B$7,MATCH($N293,参数!$A$5:$A$7,0)),"")</f>
        <v>1</v>
      </c>
      <c r="Y293" s="16">
        <f>IFERROR(INDEX(参数!$C$5:$C$7,MATCH($N293,参数!$A$5:$A$7,0)),"")</f>
        <v>1.2</v>
      </c>
      <c r="Z293" s="16">
        <f>IFERROR(INDEX(参数!$D$5:$D$7,MATCH($N293,参数!$A$5:$A$7,0)),"")</f>
        <v>1</v>
      </c>
      <c r="AA293" s="16">
        <f>IFERROR(INDEX(楼层配置!$E$5:$E$104,MATCH($K293,楼层配置!$B$5:$B$104,0)),1)</f>
        <v>1.16241161436697</v>
      </c>
      <c r="AB293" s="16">
        <f>IFERROR(INDEX(楼层配置!$F$5:$F$104,MATCH($K293,楼层配置!$B$5:$B$104,0)),1)</f>
        <v>0.689312359503694</v>
      </c>
      <c r="AC293" s="16">
        <f>IFERROR(INDEX(楼层配置!$G$5:$G$104,MATCH($K293,楼层配置!$B$5:$B$104,0)),1)</f>
        <v>1</v>
      </c>
      <c r="AD293" s="18">
        <f t="shared" si="35"/>
        <v>-0.195239141516233</v>
      </c>
      <c r="AE293" s="18">
        <f t="shared" si="36"/>
        <v>-0.100028826751225</v>
      </c>
      <c r="AF293" s="18">
        <f t="shared" si="37"/>
        <v>0.246646884272997</v>
      </c>
      <c r="AG293" s="16" t="str">
        <f t="shared" si="38"/>
        <v>有效</v>
      </c>
      <c r="AH293">
        <f t="shared" si="39"/>
        <v>1717115.79325</v>
      </c>
    </row>
    <row r="294" ht="14.25" customHeight="1" spans="1:34">
      <c r="A294" s="16">
        <v>290</v>
      </c>
      <c r="B294" s="16">
        <v>1001</v>
      </c>
      <c r="C294" s="16">
        <v>39</v>
      </c>
      <c r="D294" s="17">
        <f>IFERROR(ROUND($U294*$X294*$AA294*参数!$B$13,0),"")</f>
        <v>915673</v>
      </c>
      <c r="E294" s="17">
        <f>IFERROR(ROUND($V294*$Y294*$AB294*参数!$C$13,0),"")</f>
        <v>21854</v>
      </c>
      <c r="F294" s="17">
        <f>IFERROR(ROUND($W294*$Z294*$AC294*参数!$D$13,0),"")</f>
        <v>21006</v>
      </c>
      <c r="G294" s="16">
        <v>1137820</v>
      </c>
      <c r="H294" s="16">
        <v>24283</v>
      </c>
      <c r="I294" s="16">
        <v>16850</v>
      </c>
      <c r="J294" s="16">
        <v>58</v>
      </c>
      <c r="K294" s="16">
        <v>58</v>
      </c>
      <c r="L294" s="16">
        <f>IFERROR(INDEX(楼层配置!$D$5:$D$104,MATCH($K294,楼层配置!$B$5:$B$104,0)),"")</f>
        <v>214</v>
      </c>
      <c r="M294" s="16" t="str">
        <f>IFERROR(INDEX(_角色基线!$B$2:$B$100,MATCH($B294,_角色基线!$A$2:$A$100,0)),"")</f>
        <v>星海</v>
      </c>
      <c r="N294" s="16" t="str">
        <f>IFERROR(INDEX(_角色基线!$C$2:$C$100,MATCH($B294,_角色基线!$A$2:$A$100,0)),"")</f>
        <v>DPS</v>
      </c>
      <c r="O294" s="16">
        <f>IFERROR(INDEX(_怪物基线!$B$2:$B$501,MATCH(INT($L294),_怪物基线!$A$2:$A$501,0)),"")</f>
        <v>196934</v>
      </c>
      <c r="P294" s="16">
        <f>IFERROR(INDEX(_怪物基线!$C$2:$C$501,MATCH(INT($L294),_怪物基线!$A$2:$A$501,0)),"")</f>
        <v>22017</v>
      </c>
      <c r="Q294" s="16">
        <f>IFERROR(INDEX(_怪物基线!$D$2:$D$501,MATCH(INT($L294),_怪物基线!$A$2:$A$501,0)),"")</f>
        <v>21006</v>
      </c>
      <c r="R294" s="16">
        <f>参数!$B$10</f>
        <v>4</v>
      </c>
      <c r="S294" s="16">
        <f>参数!$C$10</f>
        <v>1.2</v>
      </c>
      <c r="T294" s="16">
        <f>参数!$D$10</f>
        <v>1</v>
      </c>
      <c r="U294" s="16">
        <f t="shared" si="32"/>
        <v>787736</v>
      </c>
      <c r="V294" s="16">
        <f t="shared" si="33"/>
        <v>26420.4</v>
      </c>
      <c r="W294" s="16">
        <f t="shared" si="34"/>
        <v>21006</v>
      </c>
      <c r="X294" s="16">
        <f>IFERROR(INDEX(参数!$B$5:$B$7,MATCH($N294,参数!$A$5:$A$7,0)),"")</f>
        <v>1</v>
      </c>
      <c r="Y294" s="16">
        <f>IFERROR(INDEX(参数!$C$5:$C$7,MATCH($N294,参数!$A$5:$A$7,0)),"")</f>
        <v>1.2</v>
      </c>
      <c r="Z294" s="16">
        <f>IFERROR(INDEX(参数!$D$5:$D$7,MATCH($N294,参数!$A$5:$A$7,0)),"")</f>
        <v>1</v>
      </c>
      <c r="AA294" s="16">
        <f>IFERROR(INDEX(楼层配置!$E$5:$E$104,MATCH($K294,楼层配置!$B$5:$B$104,0)),1)</f>
        <v>1.16241161436697</v>
      </c>
      <c r="AB294" s="16">
        <f>IFERROR(INDEX(楼层配置!$F$5:$F$104,MATCH($K294,楼层配置!$B$5:$B$104,0)),1)</f>
        <v>0.689312359503694</v>
      </c>
      <c r="AC294" s="16">
        <f>IFERROR(INDEX(楼层配置!$G$5:$G$104,MATCH($K294,楼层配置!$B$5:$B$104,0)),1)</f>
        <v>1</v>
      </c>
      <c r="AD294" s="18">
        <f t="shared" si="35"/>
        <v>-0.195239141516233</v>
      </c>
      <c r="AE294" s="18">
        <f t="shared" si="36"/>
        <v>-0.100028826751225</v>
      </c>
      <c r="AF294" s="18">
        <f t="shared" si="37"/>
        <v>0.246646884272997</v>
      </c>
      <c r="AG294" s="16" t="str">
        <f t="shared" si="38"/>
        <v>有效</v>
      </c>
      <c r="AH294">
        <f t="shared" si="39"/>
        <v>1717115.79325</v>
      </c>
    </row>
    <row r="295" ht="14.25" customHeight="1" spans="1:34">
      <c r="A295" s="16">
        <v>291</v>
      </c>
      <c r="B295" s="16">
        <v>1030</v>
      </c>
      <c r="C295" s="16">
        <v>39</v>
      </c>
      <c r="D295" s="17">
        <f>IFERROR(ROUND($U295*$X295*$AA295*参数!$B$13,0),"")</f>
        <v>1411674</v>
      </c>
      <c r="E295" s="17">
        <f>IFERROR(ROUND($V295*$Y295*$AB295*参数!$C$13,0),"")</f>
        <v>18620</v>
      </c>
      <c r="F295" s="17">
        <f>IFERROR(ROUND($W295*$Z295*$AC295*参数!$D$13,0),"")</f>
        <v>32061</v>
      </c>
      <c r="G295" s="16">
        <v>1777586</v>
      </c>
      <c r="H295" s="16">
        <v>20816</v>
      </c>
      <c r="I295" s="16">
        <v>25818</v>
      </c>
      <c r="J295" s="16">
        <v>59</v>
      </c>
      <c r="K295" s="16">
        <v>59</v>
      </c>
      <c r="L295" s="16">
        <f>IFERROR(INDEX(楼层配置!$D$5:$D$104,MATCH($K295,楼层配置!$B$5:$B$104,0)),"")</f>
        <v>217</v>
      </c>
      <c r="M295" s="16" t="str">
        <f>IFERROR(INDEX(_角色基线!$B$2:$B$100,MATCH($B295,_角色基线!$A$2:$A$100,0)),"")</f>
        <v>莫莉</v>
      </c>
      <c r="N295" s="16" t="str">
        <f>IFERROR(INDEX(_角色基线!$C$2:$C$100,MATCH($B295,_角色基线!$A$2:$A$100,0)),"")</f>
        <v>Tank</v>
      </c>
      <c r="O295" s="16">
        <f>IFERROR(INDEX(_怪物基线!$B$2:$B$501,MATCH(INT($L295),_怪物基线!$A$2:$A$501,0)),"")</f>
        <v>203898</v>
      </c>
      <c r="P295" s="16">
        <f>IFERROR(INDEX(_怪物基线!$C$2:$C$501,MATCH(INT($L295),_怪物基线!$A$2:$A$501,0)),"")</f>
        <v>22582</v>
      </c>
      <c r="Q295" s="16">
        <f>IFERROR(INDEX(_怪物基线!$D$2:$D$501,MATCH(INT($L295),_怪物基线!$A$2:$A$501,0)),"")</f>
        <v>21374</v>
      </c>
      <c r="R295" s="16">
        <f>参数!$B$10</f>
        <v>4</v>
      </c>
      <c r="S295" s="16">
        <f>参数!$C$10</f>
        <v>1.2</v>
      </c>
      <c r="T295" s="16">
        <f>参数!$D$10</f>
        <v>1</v>
      </c>
      <c r="U295" s="16">
        <f t="shared" si="32"/>
        <v>815592</v>
      </c>
      <c r="V295" s="16">
        <f t="shared" si="33"/>
        <v>27098.4</v>
      </c>
      <c r="W295" s="16">
        <f t="shared" si="34"/>
        <v>21374</v>
      </c>
      <c r="X295" s="16">
        <f>IFERROR(INDEX(参数!$B$5:$B$7,MATCH($N295,参数!$A$5:$A$7,0)),"")</f>
        <v>1.5</v>
      </c>
      <c r="Y295" s="16">
        <f>IFERROR(INDEX(参数!$C$5:$C$7,MATCH($N295,参数!$A$5:$A$7,0)),"")</f>
        <v>1</v>
      </c>
      <c r="Z295" s="16">
        <f>IFERROR(INDEX(参数!$D$5:$D$7,MATCH($N295,参数!$A$5:$A$7,0)),"")</f>
        <v>1.5</v>
      </c>
      <c r="AA295" s="16">
        <f>IFERROR(INDEX(楼层配置!$E$5:$E$104,MATCH($K295,楼层配置!$B$5:$B$104,0)),1)</f>
        <v>1.15390500897312</v>
      </c>
      <c r="AB295" s="16">
        <f>IFERROR(INDEX(楼层配置!$F$5:$F$104,MATCH($K295,楼层配置!$B$5:$B$104,0)),1)</f>
        <v>0.687131245661127</v>
      </c>
      <c r="AC295" s="16">
        <f>IFERROR(INDEX(楼层配置!$G$5:$G$104,MATCH($K295,楼层配置!$B$5:$B$104,0)),1)</f>
        <v>1</v>
      </c>
      <c r="AD295" s="18">
        <f t="shared" si="35"/>
        <v>-0.205847705821265</v>
      </c>
      <c r="AE295" s="18">
        <f t="shared" si="36"/>
        <v>-0.105495772482706</v>
      </c>
      <c r="AF295" s="18">
        <f t="shared" si="37"/>
        <v>0.241808040901696</v>
      </c>
      <c r="AG295" s="16" t="str">
        <f t="shared" si="38"/>
        <v>有效</v>
      </c>
      <c r="AH295">
        <f t="shared" si="39"/>
        <v>3297494.00475</v>
      </c>
    </row>
    <row r="296" ht="14.25" customHeight="1" spans="1:34">
      <c r="A296" s="16">
        <v>292</v>
      </c>
      <c r="B296" s="16">
        <v>1005</v>
      </c>
      <c r="C296" s="16">
        <v>39</v>
      </c>
      <c r="D296" s="17">
        <f>IFERROR(ROUND($U296*$X296*$AA296*参数!$B$13,0),"")</f>
        <v>941116</v>
      </c>
      <c r="E296" s="17">
        <f>IFERROR(ROUND($V296*$Y296*$AB296*参数!$C$13,0),"")</f>
        <v>22344</v>
      </c>
      <c r="F296" s="17">
        <f>IFERROR(ROUND($W296*$Z296*$AC296*参数!$D$13,0),"")</f>
        <v>21374</v>
      </c>
      <c r="G296" s="16">
        <v>1185057</v>
      </c>
      <c r="H296" s="16">
        <v>24979</v>
      </c>
      <c r="I296" s="16">
        <v>17212</v>
      </c>
      <c r="J296" s="16">
        <v>59</v>
      </c>
      <c r="K296" s="16">
        <v>59</v>
      </c>
      <c r="L296" s="16">
        <f>IFERROR(INDEX(楼层配置!$D$5:$D$104,MATCH($K296,楼层配置!$B$5:$B$104,0)),"")</f>
        <v>217</v>
      </c>
      <c r="M296" s="16" t="str">
        <f>IFERROR(INDEX(_角色基线!$B$2:$B$100,MATCH($B296,_角色基线!$A$2:$A$100,0)),"")</f>
        <v>陈单单</v>
      </c>
      <c r="N296" s="16" t="str">
        <f>IFERROR(INDEX(_角色基线!$C$2:$C$100,MATCH($B296,_角色基线!$A$2:$A$100,0)),"")</f>
        <v>DPS</v>
      </c>
      <c r="O296" s="16">
        <f>IFERROR(INDEX(_怪物基线!$B$2:$B$501,MATCH(INT($L296),_怪物基线!$A$2:$A$501,0)),"")</f>
        <v>203898</v>
      </c>
      <c r="P296" s="16">
        <f>IFERROR(INDEX(_怪物基线!$C$2:$C$501,MATCH(INT($L296),_怪物基线!$A$2:$A$501,0)),"")</f>
        <v>22582</v>
      </c>
      <c r="Q296" s="16">
        <f>IFERROR(INDEX(_怪物基线!$D$2:$D$501,MATCH(INT($L296),_怪物基线!$A$2:$A$501,0)),"")</f>
        <v>21374</v>
      </c>
      <c r="R296" s="16">
        <f>参数!$B$10</f>
        <v>4</v>
      </c>
      <c r="S296" s="16">
        <f>参数!$C$10</f>
        <v>1.2</v>
      </c>
      <c r="T296" s="16">
        <f>参数!$D$10</f>
        <v>1</v>
      </c>
      <c r="U296" s="16">
        <f t="shared" si="32"/>
        <v>815592</v>
      </c>
      <c r="V296" s="16">
        <f t="shared" si="33"/>
        <v>27098.4</v>
      </c>
      <c r="W296" s="16">
        <f t="shared" si="34"/>
        <v>21374</v>
      </c>
      <c r="X296" s="16">
        <f>IFERROR(INDEX(参数!$B$5:$B$7,MATCH($N296,参数!$A$5:$A$7,0)),"")</f>
        <v>1</v>
      </c>
      <c r="Y296" s="16">
        <f>IFERROR(INDEX(参数!$C$5:$C$7,MATCH($N296,参数!$A$5:$A$7,0)),"")</f>
        <v>1.2</v>
      </c>
      <c r="Z296" s="16">
        <f>IFERROR(INDEX(参数!$D$5:$D$7,MATCH($N296,参数!$A$5:$A$7,0)),"")</f>
        <v>1</v>
      </c>
      <c r="AA296" s="16">
        <f>IFERROR(INDEX(楼层配置!$E$5:$E$104,MATCH($K296,楼层配置!$B$5:$B$104,0)),1)</f>
        <v>1.15390500897312</v>
      </c>
      <c r="AB296" s="16">
        <f>IFERROR(INDEX(楼层配置!$F$5:$F$104,MATCH($K296,楼层配置!$B$5:$B$104,0)),1)</f>
        <v>0.687131245661127</v>
      </c>
      <c r="AC296" s="16">
        <f>IFERROR(INDEX(楼层配置!$G$5:$G$104,MATCH($K296,楼层配置!$B$5:$B$104,0)),1)</f>
        <v>1</v>
      </c>
      <c r="AD296" s="18">
        <f t="shared" si="35"/>
        <v>-0.205847482441773</v>
      </c>
      <c r="AE296" s="18">
        <f t="shared" si="36"/>
        <v>-0.105488610432763</v>
      </c>
      <c r="AF296" s="18">
        <f t="shared" si="37"/>
        <v>0.241808040901696</v>
      </c>
      <c r="AG296" s="16" t="str">
        <f t="shared" si="38"/>
        <v>有效</v>
      </c>
      <c r="AH296">
        <f t="shared" si="39"/>
        <v>1779258.22433333</v>
      </c>
    </row>
    <row r="297" ht="14.25" customHeight="1" spans="1:34">
      <c r="A297" s="16">
        <v>293</v>
      </c>
      <c r="B297" s="16">
        <v>1005</v>
      </c>
      <c r="C297" s="16">
        <v>39</v>
      </c>
      <c r="D297" s="17">
        <f>IFERROR(ROUND($U297*$X297*$AA297*参数!$B$13,0),"")</f>
        <v>941116</v>
      </c>
      <c r="E297" s="17">
        <f>IFERROR(ROUND($V297*$Y297*$AB297*参数!$C$13,0),"")</f>
        <v>22344</v>
      </c>
      <c r="F297" s="17">
        <f>IFERROR(ROUND($W297*$Z297*$AC297*参数!$D$13,0),"")</f>
        <v>21374</v>
      </c>
      <c r="G297" s="16">
        <v>1185057</v>
      </c>
      <c r="H297" s="16">
        <v>24979</v>
      </c>
      <c r="I297" s="16">
        <v>17212</v>
      </c>
      <c r="J297" s="16">
        <v>59</v>
      </c>
      <c r="K297" s="16">
        <v>59</v>
      </c>
      <c r="L297" s="16">
        <f>IFERROR(INDEX(楼层配置!$D$5:$D$104,MATCH($K297,楼层配置!$B$5:$B$104,0)),"")</f>
        <v>217</v>
      </c>
      <c r="M297" s="16" t="str">
        <f>IFERROR(INDEX(_角色基线!$B$2:$B$100,MATCH($B297,_角色基线!$A$2:$A$100,0)),"")</f>
        <v>陈单单</v>
      </c>
      <c r="N297" s="16" t="str">
        <f>IFERROR(INDEX(_角色基线!$C$2:$C$100,MATCH($B297,_角色基线!$A$2:$A$100,0)),"")</f>
        <v>DPS</v>
      </c>
      <c r="O297" s="16">
        <f>IFERROR(INDEX(_怪物基线!$B$2:$B$501,MATCH(INT($L297),_怪物基线!$A$2:$A$501,0)),"")</f>
        <v>203898</v>
      </c>
      <c r="P297" s="16">
        <f>IFERROR(INDEX(_怪物基线!$C$2:$C$501,MATCH(INT($L297),_怪物基线!$A$2:$A$501,0)),"")</f>
        <v>22582</v>
      </c>
      <c r="Q297" s="16">
        <f>IFERROR(INDEX(_怪物基线!$D$2:$D$501,MATCH(INT($L297),_怪物基线!$A$2:$A$501,0)),"")</f>
        <v>21374</v>
      </c>
      <c r="R297" s="16">
        <f>参数!$B$10</f>
        <v>4</v>
      </c>
      <c r="S297" s="16">
        <f>参数!$C$10</f>
        <v>1.2</v>
      </c>
      <c r="T297" s="16">
        <f>参数!$D$10</f>
        <v>1</v>
      </c>
      <c r="U297" s="16">
        <f t="shared" si="32"/>
        <v>815592</v>
      </c>
      <c r="V297" s="16">
        <f t="shared" si="33"/>
        <v>27098.4</v>
      </c>
      <c r="W297" s="16">
        <f t="shared" si="34"/>
        <v>21374</v>
      </c>
      <c r="X297" s="16">
        <f>IFERROR(INDEX(参数!$B$5:$B$7,MATCH($N297,参数!$A$5:$A$7,0)),"")</f>
        <v>1</v>
      </c>
      <c r="Y297" s="16">
        <f>IFERROR(INDEX(参数!$C$5:$C$7,MATCH($N297,参数!$A$5:$A$7,0)),"")</f>
        <v>1.2</v>
      </c>
      <c r="Z297" s="16">
        <f>IFERROR(INDEX(参数!$D$5:$D$7,MATCH($N297,参数!$A$5:$A$7,0)),"")</f>
        <v>1</v>
      </c>
      <c r="AA297" s="16">
        <f>IFERROR(INDEX(楼层配置!$E$5:$E$104,MATCH($K297,楼层配置!$B$5:$B$104,0)),1)</f>
        <v>1.15390500897312</v>
      </c>
      <c r="AB297" s="16">
        <f>IFERROR(INDEX(楼层配置!$F$5:$F$104,MATCH($K297,楼层配置!$B$5:$B$104,0)),1)</f>
        <v>0.687131245661127</v>
      </c>
      <c r="AC297" s="16">
        <f>IFERROR(INDEX(楼层配置!$G$5:$G$104,MATCH($K297,楼层配置!$B$5:$B$104,0)),1)</f>
        <v>1</v>
      </c>
      <c r="AD297" s="18">
        <f t="shared" si="35"/>
        <v>-0.205847482441773</v>
      </c>
      <c r="AE297" s="18">
        <f t="shared" si="36"/>
        <v>-0.105488610432763</v>
      </c>
      <c r="AF297" s="18">
        <f t="shared" si="37"/>
        <v>0.241808040901696</v>
      </c>
      <c r="AG297" s="16" t="str">
        <f t="shared" si="38"/>
        <v>有效</v>
      </c>
      <c r="AH297">
        <f t="shared" si="39"/>
        <v>1779258.22433333</v>
      </c>
    </row>
    <row r="298" ht="14.25" customHeight="1" spans="1:34">
      <c r="A298" s="16">
        <v>294</v>
      </c>
      <c r="B298" s="16">
        <v>1018</v>
      </c>
      <c r="C298" s="16">
        <v>39</v>
      </c>
      <c r="D298" s="17">
        <f>IFERROR(ROUND($U298*$X298*$AA298*参数!$B$13,0),"")</f>
        <v>1176395</v>
      </c>
      <c r="E298" s="17">
        <f>IFERROR(ROUND($V298*$Y298*$AB298*参数!$C$13,0),"")</f>
        <v>18620</v>
      </c>
      <c r="F298" s="17">
        <f>IFERROR(ROUND($W298*$Z298*$AC298*参数!$D$13,0),"")</f>
        <v>26718</v>
      </c>
      <c r="G298" s="16">
        <v>1481322</v>
      </c>
      <c r="H298" s="16">
        <v>20816</v>
      </c>
      <c r="I298" s="16">
        <v>21515</v>
      </c>
      <c r="J298" s="16">
        <v>59</v>
      </c>
      <c r="K298" s="16">
        <v>59</v>
      </c>
      <c r="L298" s="16">
        <f>IFERROR(INDEX(楼层配置!$D$5:$D$104,MATCH($K298,楼层配置!$B$5:$B$104,0)),"")</f>
        <v>217</v>
      </c>
      <c r="M298" s="16" t="str">
        <f>IFERROR(INDEX(_角色基线!$B$2:$B$100,MATCH($B298,_角色基线!$A$2:$A$100,0)),"")</f>
        <v>埃莉诺</v>
      </c>
      <c r="N298" s="16" t="str">
        <f>IFERROR(INDEX(_角色基线!$C$2:$C$100,MATCH($B298,_角色基线!$A$2:$A$100,0)),"")</f>
        <v>Support</v>
      </c>
      <c r="O298" s="16">
        <f>IFERROR(INDEX(_怪物基线!$B$2:$B$501,MATCH(INT($L298),_怪物基线!$A$2:$A$501,0)),"")</f>
        <v>203898</v>
      </c>
      <c r="P298" s="16">
        <f>IFERROR(INDEX(_怪物基线!$C$2:$C$501,MATCH(INT($L298),_怪物基线!$A$2:$A$501,0)),"")</f>
        <v>22582</v>
      </c>
      <c r="Q298" s="16">
        <f>IFERROR(INDEX(_怪物基线!$D$2:$D$501,MATCH(INT($L298),_怪物基线!$A$2:$A$501,0)),"")</f>
        <v>21374</v>
      </c>
      <c r="R298" s="16">
        <f>参数!$B$10</f>
        <v>4</v>
      </c>
      <c r="S298" s="16">
        <f>参数!$C$10</f>
        <v>1.2</v>
      </c>
      <c r="T298" s="16">
        <f>参数!$D$10</f>
        <v>1</v>
      </c>
      <c r="U298" s="16">
        <f t="shared" si="32"/>
        <v>815592</v>
      </c>
      <c r="V298" s="16">
        <f t="shared" si="33"/>
        <v>27098.4</v>
      </c>
      <c r="W298" s="16">
        <f t="shared" si="34"/>
        <v>21374</v>
      </c>
      <c r="X298" s="16">
        <f>IFERROR(INDEX(参数!$B$5:$B$7,MATCH($N298,参数!$A$5:$A$7,0)),"")</f>
        <v>1.25</v>
      </c>
      <c r="Y298" s="16">
        <f>IFERROR(INDEX(参数!$C$5:$C$7,MATCH($N298,参数!$A$5:$A$7,0)),"")</f>
        <v>1</v>
      </c>
      <c r="Z298" s="16">
        <f>IFERROR(INDEX(参数!$D$5:$D$7,MATCH($N298,参数!$A$5:$A$7,0)),"")</f>
        <v>1.25</v>
      </c>
      <c r="AA298" s="16">
        <f>IFERROR(INDEX(楼层配置!$E$5:$E$104,MATCH($K298,楼层配置!$B$5:$B$104,0)),1)</f>
        <v>1.15390500897312</v>
      </c>
      <c r="AB298" s="16">
        <f>IFERROR(INDEX(楼层配置!$F$5:$F$104,MATCH($K298,楼层配置!$B$5:$B$104,0)),1)</f>
        <v>0.687131245661127</v>
      </c>
      <c r="AC298" s="16">
        <f>IFERROR(INDEX(楼层配置!$G$5:$G$104,MATCH($K298,楼层配置!$B$5:$B$104,0)),1)</f>
        <v>1</v>
      </c>
      <c r="AD298" s="18">
        <f t="shared" si="35"/>
        <v>-0.205847884524769</v>
      </c>
      <c r="AE298" s="18">
        <f t="shared" si="36"/>
        <v>-0.105495772482706</v>
      </c>
      <c r="AF298" s="18">
        <f t="shared" si="37"/>
        <v>0.241831280501975</v>
      </c>
      <c r="AG298" s="16" t="str">
        <f t="shared" si="38"/>
        <v>有效</v>
      </c>
      <c r="AH298">
        <f t="shared" si="39"/>
        <v>2486016.73375</v>
      </c>
    </row>
    <row r="299" ht="14.25" customHeight="1" spans="1:34">
      <c r="A299" s="16">
        <v>295</v>
      </c>
      <c r="B299" s="16">
        <v>1007</v>
      </c>
      <c r="C299" s="16">
        <v>39</v>
      </c>
      <c r="D299" s="17">
        <f>IFERROR(ROUND($U299*$X299*$AA299*参数!$B$13,0),"")</f>
        <v>1176395</v>
      </c>
      <c r="E299" s="17">
        <f>IFERROR(ROUND($V299*$Y299*$AB299*参数!$C$13,0),"")</f>
        <v>18620</v>
      </c>
      <c r="F299" s="17">
        <f>IFERROR(ROUND($W299*$Z299*$AC299*参数!$D$13,0),"")</f>
        <v>26718</v>
      </c>
      <c r="G299" s="16">
        <v>1481322</v>
      </c>
      <c r="H299" s="16">
        <v>20816</v>
      </c>
      <c r="I299" s="16">
        <v>21515</v>
      </c>
      <c r="J299" s="16">
        <v>59</v>
      </c>
      <c r="K299" s="16">
        <v>59</v>
      </c>
      <c r="L299" s="16">
        <f>IFERROR(INDEX(楼层配置!$D$5:$D$104,MATCH($K299,楼层配置!$B$5:$B$104,0)),"")</f>
        <v>217</v>
      </c>
      <c r="M299" s="16" t="str">
        <f>IFERROR(INDEX(_角色基线!$B$2:$B$100,MATCH($B299,_角色基线!$A$2:$A$100,0)),"")</f>
        <v>萨萨莉安</v>
      </c>
      <c r="N299" s="16" t="str">
        <f>IFERROR(INDEX(_角色基线!$C$2:$C$100,MATCH($B299,_角色基线!$A$2:$A$100,0)),"")</f>
        <v>Support</v>
      </c>
      <c r="O299" s="16">
        <f>IFERROR(INDEX(_怪物基线!$B$2:$B$501,MATCH(INT($L299),_怪物基线!$A$2:$A$501,0)),"")</f>
        <v>203898</v>
      </c>
      <c r="P299" s="16">
        <f>IFERROR(INDEX(_怪物基线!$C$2:$C$501,MATCH(INT($L299),_怪物基线!$A$2:$A$501,0)),"")</f>
        <v>22582</v>
      </c>
      <c r="Q299" s="16">
        <f>IFERROR(INDEX(_怪物基线!$D$2:$D$501,MATCH(INT($L299),_怪物基线!$A$2:$A$501,0)),"")</f>
        <v>21374</v>
      </c>
      <c r="R299" s="16">
        <f>参数!$B$10</f>
        <v>4</v>
      </c>
      <c r="S299" s="16">
        <f>参数!$C$10</f>
        <v>1.2</v>
      </c>
      <c r="T299" s="16">
        <f>参数!$D$10</f>
        <v>1</v>
      </c>
      <c r="U299" s="16">
        <f t="shared" si="32"/>
        <v>815592</v>
      </c>
      <c r="V299" s="16">
        <f t="shared" si="33"/>
        <v>27098.4</v>
      </c>
      <c r="W299" s="16">
        <f t="shared" si="34"/>
        <v>21374</v>
      </c>
      <c r="X299" s="16">
        <f>IFERROR(INDEX(参数!$B$5:$B$7,MATCH($N299,参数!$A$5:$A$7,0)),"")</f>
        <v>1.25</v>
      </c>
      <c r="Y299" s="16">
        <f>IFERROR(INDEX(参数!$C$5:$C$7,MATCH($N299,参数!$A$5:$A$7,0)),"")</f>
        <v>1</v>
      </c>
      <c r="Z299" s="16">
        <f>IFERROR(INDEX(参数!$D$5:$D$7,MATCH($N299,参数!$A$5:$A$7,0)),"")</f>
        <v>1.25</v>
      </c>
      <c r="AA299" s="16">
        <f>IFERROR(INDEX(楼层配置!$E$5:$E$104,MATCH($K299,楼层配置!$B$5:$B$104,0)),1)</f>
        <v>1.15390500897312</v>
      </c>
      <c r="AB299" s="16">
        <f>IFERROR(INDEX(楼层配置!$F$5:$F$104,MATCH($K299,楼层配置!$B$5:$B$104,0)),1)</f>
        <v>0.687131245661127</v>
      </c>
      <c r="AC299" s="16">
        <f>IFERROR(INDEX(楼层配置!$G$5:$G$104,MATCH($K299,楼层配置!$B$5:$B$104,0)),1)</f>
        <v>1</v>
      </c>
      <c r="AD299" s="18">
        <f t="shared" si="35"/>
        <v>-0.205847884524769</v>
      </c>
      <c r="AE299" s="18">
        <f t="shared" si="36"/>
        <v>-0.105495772482706</v>
      </c>
      <c r="AF299" s="18">
        <f t="shared" si="37"/>
        <v>0.241831280501975</v>
      </c>
      <c r="AG299" s="16" t="str">
        <f t="shared" si="38"/>
        <v>有效</v>
      </c>
      <c r="AH299">
        <f t="shared" si="39"/>
        <v>2486016.73375</v>
      </c>
    </row>
    <row r="300" ht="14.25" customHeight="1" spans="1:34">
      <c r="A300" s="16">
        <v>296</v>
      </c>
      <c r="B300" s="16">
        <v>1003</v>
      </c>
      <c r="C300" s="16">
        <v>40</v>
      </c>
      <c r="D300" s="17">
        <f>IFERROR(ROUND($U300*$X300*$AA300*参数!$B$13,0),"")</f>
        <v>1450473</v>
      </c>
      <c r="E300" s="17">
        <f>IFERROR(ROUND($V300*$Y300*$AB300*参数!$C$13,0),"")</f>
        <v>19005</v>
      </c>
      <c r="F300" s="17">
        <f>IFERROR(ROUND($W300*$Z300*$AC300*参数!$D$13,0),"")</f>
        <v>32432</v>
      </c>
      <c r="G300" s="16">
        <v>1850544</v>
      </c>
      <c r="H300" s="16">
        <v>21412</v>
      </c>
      <c r="I300" s="16">
        <v>26365</v>
      </c>
      <c r="J300" s="16">
        <v>60</v>
      </c>
      <c r="K300" s="16">
        <v>60</v>
      </c>
      <c r="L300" s="16">
        <f>IFERROR(INDEX(楼层配置!$D$5:$D$104,MATCH($K300,楼层配置!$B$5:$B$104,0)),"")</f>
        <v>219</v>
      </c>
      <c r="M300" s="16" t="str">
        <f>IFERROR(INDEX(_角色基线!$B$2:$B$100,MATCH($B300,_角色基线!$A$2:$A$100,0)),"")</f>
        <v>塔拉夏</v>
      </c>
      <c r="N300" s="16" t="str">
        <f>IFERROR(INDEX(_角色基线!$C$2:$C$100,MATCH($B300,_角色基线!$A$2:$A$100,0)),"")</f>
        <v>Tank</v>
      </c>
      <c r="O300" s="16">
        <f>IFERROR(INDEX(_怪物基线!$B$2:$B$501,MATCH(INT($L300),_怪物基线!$A$2:$A$501,0)),"")</f>
        <v>208640</v>
      </c>
      <c r="P300" s="16">
        <f>IFERROR(INDEX(_怪物基线!$C$2:$C$501,MATCH(INT($L300),_怪物基线!$A$2:$A$501,0)),"")</f>
        <v>22963</v>
      </c>
      <c r="Q300" s="16">
        <f>IFERROR(INDEX(_怪物基线!$D$2:$D$501,MATCH(INT($L300),_怪物基线!$A$2:$A$501,0)),"")</f>
        <v>21621</v>
      </c>
      <c r="R300" s="16">
        <f>参数!$B$10</f>
        <v>4</v>
      </c>
      <c r="S300" s="16">
        <f>参数!$C$10</f>
        <v>1.2</v>
      </c>
      <c r="T300" s="16">
        <f>参数!$D$10</f>
        <v>1</v>
      </c>
      <c r="U300" s="16">
        <f t="shared" si="32"/>
        <v>834560</v>
      </c>
      <c r="V300" s="16">
        <f t="shared" si="33"/>
        <v>27555.6</v>
      </c>
      <c r="W300" s="16">
        <f t="shared" si="34"/>
        <v>21621</v>
      </c>
      <c r="X300" s="16">
        <f>IFERROR(INDEX(参数!$B$5:$B$7,MATCH($N300,参数!$A$5:$A$7,0)),"")</f>
        <v>1.5</v>
      </c>
      <c r="Y300" s="16">
        <f>IFERROR(INDEX(参数!$C$5:$C$7,MATCH($N300,参数!$A$5:$A$7,0)),"")</f>
        <v>1</v>
      </c>
      <c r="Z300" s="16">
        <f>IFERROR(INDEX(参数!$D$5:$D$7,MATCH($N300,参数!$A$5:$A$7,0)),"")</f>
        <v>1.5</v>
      </c>
      <c r="AA300" s="16">
        <f>IFERROR(INDEX(楼层配置!$E$5:$E$104,MATCH($K300,楼层配置!$B$5:$B$104,0)),1)</f>
        <v>1.15867282412656</v>
      </c>
      <c r="AB300" s="16">
        <f>IFERROR(INDEX(楼层配置!$F$5:$F$104,MATCH($K300,楼层配置!$B$5:$B$104,0)),1)</f>
        <v>0.689694524790995</v>
      </c>
      <c r="AC300" s="16">
        <f>IFERROR(INDEX(楼层配置!$G$5:$G$104,MATCH($K300,楼层配置!$B$5:$B$104,0)),1)</f>
        <v>1</v>
      </c>
      <c r="AD300" s="18">
        <f t="shared" si="35"/>
        <v>-0.216191022747905</v>
      </c>
      <c r="AE300" s="18">
        <f t="shared" si="36"/>
        <v>-0.112413599850551</v>
      </c>
      <c r="AF300" s="18">
        <f t="shared" si="37"/>
        <v>0.230115683671534</v>
      </c>
      <c r="AG300" s="16" t="str">
        <f t="shared" si="38"/>
        <v>有效</v>
      </c>
      <c r="AH300">
        <f t="shared" si="39"/>
        <v>3410545.514</v>
      </c>
    </row>
    <row r="301" ht="14.25" customHeight="1" spans="1:34">
      <c r="A301" s="16">
        <v>297</v>
      </c>
      <c r="B301" s="16">
        <v>1005</v>
      </c>
      <c r="C301" s="16">
        <v>40</v>
      </c>
      <c r="D301" s="17">
        <f>IFERROR(ROUND($U301*$X301*$AA301*参数!$B$13,0),"")</f>
        <v>966982</v>
      </c>
      <c r="E301" s="17">
        <f>IFERROR(ROUND($V301*$Y301*$AB301*参数!$C$13,0),"")</f>
        <v>22806</v>
      </c>
      <c r="F301" s="17">
        <f>IFERROR(ROUND($W301*$Z301*$AC301*参数!$D$13,0),"")</f>
        <v>21621</v>
      </c>
      <c r="G301" s="16">
        <v>1233696</v>
      </c>
      <c r="H301" s="16">
        <v>25694</v>
      </c>
      <c r="I301" s="16">
        <v>17576</v>
      </c>
      <c r="J301" s="16">
        <v>60</v>
      </c>
      <c r="K301" s="16">
        <v>60</v>
      </c>
      <c r="L301" s="16">
        <f>IFERROR(INDEX(楼层配置!$D$5:$D$104,MATCH($K301,楼层配置!$B$5:$B$104,0)),"")</f>
        <v>219</v>
      </c>
      <c r="M301" s="16" t="str">
        <f>IFERROR(INDEX(_角色基线!$B$2:$B$100,MATCH($B301,_角色基线!$A$2:$A$100,0)),"")</f>
        <v>陈单单</v>
      </c>
      <c r="N301" s="16" t="str">
        <f>IFERROR(INDEX(_角色基线!$C$2:$C$100,MATCH($B301,_角色基线!$A$2:$A$100,0)),"")</f>
        <v>DPS</v>
      </c>
      <c r="O301" s="16">
        <f>IFERROR(INDEX(_怪物基线!$B$2:$B$501,MATCH(INT($L301),_怪物基线!$A$2:$A$501,0)),"")</f>
        <v>208640</v>
      </c>
      <c r="P301" s="16">
        <f>IFERROR(INDEX(_怪物基线!$C$2:$C$501,MATCH(INT($L301),_怪物基线!$A$2:$A$501,0)),"")</f>
        <v>22963</v>
      </c>
      <c r="Q301" s="16">
        <f>IFERROR(INDEX(_怪物基线!$D$2:$D$501,MATCH(INT($L301),_怪物基线!$A$2:$A$501,0)),"")</f>
        <v>21621</v>
      </c>
      <c r="R301" s="16">
        <f>参数!$B$10</f>
        <v>4</v>
      </c>
      <c r="S301" s="16">
        <f>参数!$C$10</f>
        <v>1.2</v>
      </c>
      <c r="T301" s="16">
        <f>参数!$D$10</f>
        <v>1</v>
      </c>
      <c r="U301" s="16">
        <f t="shared" si="32"/>
        <v>834560</v>
      </c>
      <c r="V301" s="16">
        <f t="shared" si="33"/>
        <v>27555.6</v>
      </c>
      <c r="W301" s="16">
        <f t="shared" si="34"/>
        <v>21621</v>
      </c>
      <c r="X301" s="16">
        <f>IFERROR(INDEX(参数!$B$5:$B$7,MATCH($N301,参数!$A$5:$A$7,0)),"")</f>
        <v>1</v>
      </c>
      <c r="Y301" s="16">
        <f>IFERROR(INDEX(参数!$C$5:$C$7,MATCH($N301,参数!$A$5:$A$7,0)),"")</f>
        <v>1.2</v>
      </c>
      <c r="Z301" s="16">
        <f>IFERROR(INDEX(参数!$D$5:$D$7,MATCH($N301,参数!$A$5:$A$7,0)),"")</f>
        <v>1</v>
      </c>
      <c r="AA301" s="16">
        <f>IFERROR(INDEX(楼层配置!$E$5:$E$104,MATCH($K301,楼层配置!$B$5:$B$104,0)),1)</f>
        <v>1.15867282412656</v>
      </c>
      <c r="AB301" s="16">
        <f>IFERROR(INDEX(楼层配置!$F$5:$F$104,MATCH($K301,楼层配置!$B$5:$B$104,0)),1)</f>
        <v>0.689694524790995</v>
      </c>
      <c r="AC301" s="16">
        <f>IFERROR(INDEX(楼层配置!$G$5:$G$104,MATCH($K301,楼层配置!$B$5:$B$104,0)),1)</f>
        <v>1</v>
      </c>
      <c r="AD301" s="18">
        <f t="shared" si="35"/>
        <v>-0.216191022747905</v>
      </c>
      <c r="AE301" s="18">
        <f t="shared" si="36"/>
        <v>-0.112399782050284</v>
      </c>
      <c r="AF301" s="18">
        <f t="shared" si="37"/>
        <v>0.230143377332726</v>
      </c>
      <c r="AG301" s="16" t="str">
        <f t="shared" si="38"/>
        <v>有效</v>
      </c>
      <c r="AH301">
        <f t="shared" si="39"/>
        <v>1838111.90925</v>
      </c>
    </row>
    <row r="302" ht="14.25" customHeight="1" spans="1:34">
      <c r="A302" s="16">
        <v>298</v>
      </c>
      <c r="B302" s="16">
        <v>1029</v>
      </c>
      <c r="C302" s="16">
        <v>40</v>
      </c>
      <c r="D302" s="17">
        <f>IFERROR(ROUND($U302*$X302*$AA302*参数!$B$13,0),"")</f>
        <v>1208727</v>
      </c>
      <c r="E302" s="17">
        <f>IFERROR(ROUND($V302*$Y302*$AB302*参数!$C$13,0),"")</f>
        <v>19005</v>
      </c>
      <c r="F302" s="17">
        <f>IFERROR(ROUND($W302*$Z302*$AC302*参数!$D$13,0),"")</f>
        <v>27026</v>
      </c>
      <c r="G302" s="16">
        <v>1542120</v>
      </c>
      <c r="H302" s="16">
        <v>21412</v>
      </c>
      <c r="I302" s="16">
        <v>21971</v>
      </c>
      <c r="J302" s="16">
        <v>60</v>
      </c>
      <c r="K302" s="16">
        <v>60</v>
      </c>
      <c r="L302" s="16">
        <f>IFERROR(INDEX(楼层配置!$D$5:$D$104,MATCH($K302,楼层配置!$B$5:$B$104,0)),"")</f>
        <v>219</v>
      </c>
      <c r="M302" s="16" t="str">
        <f>IFERROR(INDEX(_角色基线!$B$2:$B$100,MATCH($B302,_角色基线!$A$2:$A$100,0)),"")</f>
        <v>凯兰</v>
      </c>
      <c r="N302" s="16" t="str">
        <f>IFERROR(INDEX(_角色基线!$C$2:$C$100,MATCH($B302,_角色基线!$A$2:$A$100,0)),"")</f>
        <v>Support</v>
      </c>
      <c r="O302" s="16">
        <f>IFERROR(INDEX(_怪物基线!$B$2:$B$501,MATCH(INT($L302),_怪物基线!$A$2:$A$501,0)),"")</f>
        <v>208640</v>
      </c>
      <c r="P302" s="16">
        <f>IFERROR(INDEX(_怪物基线!$C$2:$C$501,MATCH(INT($L302),_怪物基线!$A$2:$A$501,0)),"")</f>
        <v>22963</v>
      </c>
      <c r="Q302" s="16">
        <f>IFERROR(INDEX(_怪物基线!$D$2:$D$501,MATCH(INT($L302),_怪物基线!$A$2:$A$501,0)),"")</f>
        <v>21621</v>
      </c>
      <c r="R302" s="16">
        <f>参数!$B$10</f>
        <v>4</v>
      </c>
      <c r="S302" s="16">
        <f>参数!$C$10</f>
        <v>1.2</v>
      </c>
      <c r="T302" s="16">
        <f>参数!$D$10</f>
        <v>1</v>
      </c>
      <c r="U302" s="16">
        <f t="shared" si="32"/>
        <v>834560</v>
      </c>
      <c r="V302" s="16">
        <f t="shared" si="33"/>
        <v>27555.6</v>
      </c>
      <c r="W302" s="16">
        <f t="shared" si="34"/>
        <v>21621</v>
      </c>
      <c r="X302" s="16">
        <f>IFERROR(INDEX(参数!$B$5:$B$7,MATCH($N302,参数!$A$5:$A$7,0)),"")</f>
        <v>1.25</v>
      </c>
      <c r="Y302" s="16">
        <f>IFERROR(INDEX(参数!$C$5:$C$7,MATCH($N302,参数!$A$5:$A$7,0)),"")</f>
        <v>1</v>
      </c>
      <c r="Z302" s="16">
        <f>IFERROR(INDEX(参数!$D$5:$D$7,MATCH($N302,参数!$A$5:$A$7,0)),"")</f>
        <v>1.25</v>
      </c>
      <c r="AA302" s="16">
        <f>IFERROR(INDEX(楼层配置!$E$5:$E$104,MATCH($K302,楼层配置!$B$5:$B$104,0)),1)</f>
        <v>1.15867282412656</v>
      </c>
      <c r="AB302" s="16">
        <f>IFERROR(INDEX(楼层配置!$F$5:$F$104,MATCH($K302,楼层配置!$B$5:$B$104,0)),1)</f>
        <v>0.689694524790995</v>
      </c>
      <c r="AC302" s="16">
        <f>IFERROR(INDEX(楼层配置!$G$5:$G$104,MATCH($K302,楼层配置!$B$5:$B$104,0)),1)</f>
        <v>1</v>
      </c>
      <c r="AD302" s="18">
        <f t="shared" si="35"/>
        <v>-0.216191346976889</v>
      </c>
      <c r="AE302" s="18">
        <f t="shared" si="36"/>
        <v>-0.112413599850551</v>
      </c>
      <c r="AF302" s="18">
        <f t="shared" si="37"/>
        <v>0.230076009284967</v>
      </c>
      <c r="AG302" s="16" t="str">
        <f t="shared" si="38"/>
        <v>有效</v>
      </c>
      <c r="AH302">
        <f t="shared" si="39"/>
        <v>2569854.32925</v>
      </c>
    </row>
    <row r="303" ht="14.25" customHeight="1" spans="1:34">
      <c r="A303" s="16">
        <v>299</v>
      </c>
      <c r="B303" s="16">
        <v>1007</v>
      </c>
      <c r="C303" s="16">
        <v>40</v>
      </c>
      <c r="D303" s="17">
        <f>IFERROR(ROUND($U303*$X303*$AA303*参数!$B$13,0),"")</f>
        <v>1208727</v>
      </c>
      <c r="E303" s="17">
        <f>IFERROR(ROUND($V303*$Y303*$AB303*参数!$C$13,0),"")</f>
        <v>19005</v>
      </c>
      <c r="F303" s="17">
        <f>IFERROR(ROUND($W303*$Z303*$AC303*参数!$D$13,0),"")</f>
        <v>27026</v>
      </c>
      <c r="G303" s="16">
        <v>1542120</v>
      </c>
      <c r="H303" s="16">
        <v>21412</v>
      </c>
      <c r="I303" s="16">
        <v>21971</v>
      </c>
      <c r="J303" s="16">
        <v>60</v>
      </c>
      <c r="K303" s="16">
        <v>60</v>
      </c>
      <c r="L303" s="16">
        <f>IFERROR(INDEX(楼层配置!$D$5:$D$104,MATCH($K303,楼层配置!$B$5:$B$104,0)),"")</f>
        <v>219</v>
      </c>
      <c r="M303" s="16" t="str">
        <f>IFERROR(INDEX(_角色基线!$B$2:$B$100,MATCH($B303,_角色基线!$A$2:$A$100,0)),"")</f>
        <v>萨萨莉安</v>
      </c>
      <c r="N303" s="16" t="str">
        <f>IFERROR(INDEX(_角色基线!$C$2:$C$100,MATCH($B303,_角色基线!$A$2:$A$100,0)),"")</f>
        <v>Support</v>
      </c>
      <c r="O303" s="16">
        <f>IFERROR(INDEX(_怪物基线!$B$2:$B$501,MATCH(INT($L303),_怪物基线!$A$2:$A$501,0)),"")</f>
        <v>208640</v>
      </c>
      <c r="P303" s="16">
        <f>IFERROR(INDEX(_怪物基线!$C$2:$C$501,MATCH(INT($L303),_怪物基线!$A$2:$A$501,0)),"")</f>
        <v>22963</v>
      </c>
      <c r="Q303" s="16">
        <f>IFERROR(INDEX(_怪物基线!$D$2:$D$501,MATCH(INT($L303),_怪物基线!$A$2:$A$501,0)),"")</f>
        <v>21621</v>
      </c>
      <c r="R303" s="16">
        <f>参数!$B$10</f>
        <v>4</v>
      </c>
      <c r="S303" s="16">
        <f>参数!$C$10</f>
        <v>1.2</v>
      </c>
      <c r="T303" s="16">
        <f>参数!$D$10</f>
        <v>1</v>
      </c>
      <c r="U303" s="16">
        <f t="shared" si="32"/>
        <v>834560</v>
      </c>
      <c r="V303" s="16">
        <f t="shared" si="33"/>
        <v>27555.6</v>
      </c>
      <c r="W303" s="16">
        <f t="shared" si="34"/>
        <v>21621</v>
      </c>
      <c r="X303" s="16">
        <f>IFERROR(INDEX(参数!$B$5:$B$7,MATCH($N303,参数!$A$5:$A$7,0)),"")</f>
        <v>1.25</v>
      </c>
      <c r="Y303" s="16">
        <f>IFERROR(INDEX(参数!$C$5:$C$7,MATCH($N303,参数!$A$5:$A$7,0)),"")</f>
        <v>1</v>
      </c>
      <c r="Z303" s="16">
        <f>IFERROR(INDEX(参数!$D$5:$D$7,MATCH($N303,参数!$A$5:$A$7,0)),"")</f>
        <v>1.25</v>
      </c>
      <c r="AA303" s="16">
        <f>IFERROR(INDEX(楼层配置!$E$5:$E$104,MATCH($K303,楼层配置!$B$5:$B$104,0)),1)</f>
        <v>1.15867282412656</v>
      </c>
      <c r="AB303" s="16">
        <f>IFERROR(INDEX(楼层配置!$F$5:$F$104,MATCH($K303,楼层配置!$B$5:$B$104,0)),1)</f>
        <v>0.689694524790995</v>
      </c>
      <c r="AC303" s="16">
        <f>IFERROR(INDEX(楼层配置!$G$5:$G$104,MATCH($K303,楼层配置!$B$5:$B$104,0)),1)</f>
        <v>1</v>
      </c>
      <c r="AD303" s="18">
        <f t="shared" si="35"/>
        <v>-0.216191346976889</v>
      </c>
      <c r="AE303" s="18">
        <f t="shared" si="36"/>
        <v>-0.112413599850551</v>
      </c>
      <c r="AF303" s="18">
        <f t="shared" si="37"/>
        <v>0.230076009284967</v>
      </c>
      <c r="AG303" s="16" t="str">
        <f t="shared" si="38"/>
        <v>有效</v>
      </c>
      <c r="AH303">
        <f t="shared" si="39"/>
        <v>2569854.32925</v>
      </c>
    </row>
    <row r="304" ht="14.25" customHeight="1" spans="1:34">
      <c r="A304" s="16">
        <v>300</v>
      </c>
      <c r="B304" s="16">
        <v>1018</v>
      </c>
      <c r="C304" s="16">
        <v>40</v>
      </c>
      <c r="D304" s="17">
        <f>IFERROR(ROUND($U304*$X304*$AA304*参数!$B$13,0),"")</f>
        <v>1208727</v>
      </c>
      <c r="E304" s="17">
        <f>IFERROR(ROUND($V304*$Y304*$AB304*参数!$C$13,0),"")</f>
        <v>19005</v>
      </c>
      <c r="F304" s="17">
        <f>IFERROR(ROUND($W304*$Z304*$AC304*参数!$D$13,0),"")</f>
        <v>27026</v>
      </c>
      <c r="G304" s="16">
        <v>1542120</v>
      </c>
      <c r="H304" s="16">
        <v>21412</v>
      </c>
      <c r="I304" s="16">
        <v>21971</v>
      </c>
      <c r="J304" s="16">
        <v>60</v>
      </c>
      <c r="K304" s="16">
        <v>60</v>
      </c>
      <c r="L304" s="16">
        <f>IFERROR(INDEX(楼层配置!$D$5:$D$104,MATCH($K304,楼层配置!$B$5:$B$104,0)),"")</f>
        <v>219</v>
      </c>
      <c r="M304" s="16" t="str">
        <f>IFERROR(INDEX(_角色基线!$B$2:$B$100,MATCH($B304,_角色基线!$A$2:$A$100,0)),"")</f>
        <v>埃莉诺</v>
      </c>
      <c r="N304" s="16" t="str">
        <f>IFERROR(INDEX(_角色基线!$C$2:$C$100,MATCH($B304,_角色基线!$A$2:$A$100,0)),"")</f>
        <v>Support</v>
      </c>
      <c r="O304" s="16">
        <f>IFERROR(INDEX(_怪物基线!$B$2:$B$501,MATCH(INT($L304),_怪物基线!$A$2:$A$501,0)),"")</f>
        <v>208640</v>
      </c>
      <c r="P304" s="16">
        <f>IFERROR(INDEX(_怪物基线!$C$2:$C$501,MATCH(INT($L304),_怪物基线!$A$2:$A$501,0)),"")</f>
        <v>22963</v>
      </c>
      <c r="Q304" s="16">
        <f>IFERROR(INDEX(_怪物基线!$D$2:$D$501,MATCH(INT($L304),_怪物基线!$A$2:$A$501,0)),"")</f>
        <v>21621</v>
      </c>
      <c r="R304" s="16">
        <f>参数!$B$10</f>
        <v>4</v>
      </c>
      <c r="S304" s="16">
        <f>参数!$C$10</f>
        <v>1.2</v>
      </c>
      <c r="T304" s="16">
        <f>参数!$D$10</f>
        <v>1</v>
      </c>
      <c r="U304" s="16">
        <f t="shared" si="32"/>
        <v>834560</v>
      </c>
      <c r="V304" s="16">
        <f t="shared" si="33"/>
        <v>27555.6</v>
      </c>
      <c r="W304" s="16">
        <f t="shared" si="34"/>
        <v>21621</v>
      </c>
      <c r="X304" s="16">
        <f>IFERROR(INDEX(参数!$B$5:$B$7,MATCH($N304,参数!$A$5:$A$7,0)),"")</f>
        <v>1.25</v>
      </c>
      <c r="Y304" s="16">
        <f>IFERROR(INDEX(参数!$C$5:$C$7,MATCH($N304,参数!$A$5:$A$7,0)),"")</f>
        <v>1</v>
      </c>
      <c r="Z304" s="16">
        <f>IFERROR(INDEX(参数!$D$5:$D$7,MATCH($N304,参数!$A$5:$A$7,0)),"")</f>
        <v>1.25</v>
      </c>
      <c r="AA304" s="16">
        <f>IFERROR(INDEX(楼层配置!$E$5:$E$104,MATCH($K304,楼层配置!$B$5:$B$104,0)),1)</f>
        <v>1.15867282412656</v>
      </c>
      <c r="AB304" s="16">
        <f>IFERROR(INDEX(楼层配置!$F$5:$F$104,MATCH($K304,楼层配置!$B$5:$B$104,0)),1)</f>
        <v>0.689694524790995</v>
      </c>
      <c r="AC304" s="16">
        <f>IFERROR(INDEX(楼层配置!$G$5:$G$104,MATCH($K304,楼层配置!$B$5:$B$104,0)),1)</f>
        <v>1</v>
      </c>
      <c r="AD304" s="18">
        <f t="shared" si="35"/>
        <v>-0.216191346976889</v>
      </c>
      <c r="AE304" s="18">
        <f t="shared" si="36"/>
        <v>-0.112413599850551</v>
      </c>
      <c r="AF304" s="18">
        <f t="shared" si="37"/>
        <v>0.230076009284967</v>
      </c>
      <c r="AG304" s="16" t="str">
        <f t="shared" si="38"/>
        <v>有效</v>
      </c>
      <c r="AH304">
        <f t="shared" si="39"/>
        <v>2569854.32925</v>
      </c>
    </row>
    <row r="305" ht="14.25" customHeight="1" spans="1:34">
      <c r="A305" s="16">
        <v>301</v>
      </c>
      <c r="B305" s="16">
        <v>1003</v>
      </c>
      <c r="C305" s="16">
        <v>40</v>
      </c>
      <c r="D305" s="17">
        <f>IFERROR(ROUND($U305*$X305*$AA305*参数!$B$13,0),"")</f>
        <v>1486904</v>
      </c>
      <c r="E305" s="17">
        <f>IFERROR(ROUND($V305*$Y305*$AB305*参数!$C$13,0),"")</f>
        <v>19407</v>
      </c>
      <c r="F305" s="17">
        <f>IFERROR(ROUND($W305*$Z305*$AC305*参数!$D$13,0),"")</f>
        <v>32804</v>
      </c>
      <c r="G305" s="16">
        <v>1925647</v>
      </c>
      <c r="H305" s="16">
        <v>22019</v>
      </c>
      <c r="I305" s="16">
        <v>26917</v>
      </c>
      <c r="J305" s="16">
        <v>61</v>
      </c>
      <c r="K305" s="16">
        <v>61</v>
      </c>
      <c r="L305" s="16">
        <f>IFERROR(INDEX(楼层配置!$D$5:$D$104,MATCH($K305,楼层配置!$B$5:$B$104,0)),"")</f>
        <v>221</v>
      </c>
      <c r="M305" s="16" t="str">
        <f>IFERROR(INDEX(_角色基线!$B$2:$B$100,MATCH($B305,_角色基线!$A$2:$A$100,0)),"")</f>
        <v>塔拉夏</v>
      </c>
      <c r="N305" s="16" t="str">
        <f>IFERROR(INDEX(_角色基线!$C$2:$C$100,MATCH($B305,_角色基线!$A$2:$A$100,0)),"")</f>
        <v>Tank</v>
      </c>
      <c r="O305" s="16">
        <f>IFERROR(INDEX(_怪物基线!$B$2:$B$501,MATCH(INT($L305),_怪物基线!$A$2:$A$501,0)),"")</f>
        <v>213464</v>
      </c>
      <c r="P305" s="16">
        <f>IFERROR(INDEX(_怪物基线!$C$2:$C$501,MATCH(INT($L305),_怪物基线!$A$2:$A$501,0)),"")</f>
        <v>23350</v>
      </c>
      <c r="Q305" s="16">
        <f>IFERROR(INDEX(_怪物基线!$D$2:$D$501,MATCH(INT($L305),_怪物基线!$A$2:$A$501,0)),"")</f>
        <v>21869</v>
      </c>
      <c r="R305" s="16">
        <f>参数!$B$10</f>
        <v>4</v>
      </c>
      <c r="S305" s="16">
        <f>参数!$C$10</f>
        <v>1.2</v>
      </c>
      <c r="T305" s="16">
        <f>参数!$D$10</f>
        <v>1</v>
      </c>
      <c r="U305" s="16">
        <f t="shared" si="32"/>
        <v>853856</v>
      </c>
      <c r="V305" s="16">
        <f t="shared" si="33"/>
        <v>28020</v>
      </c>
      <c r="W305" s="16">
        <f t="shared" si="34"/>
        <v>21869</v>
      </c>
      <c r="X305" s="16">
        <f>IFERROR(INDEX(参数!$B$5:$B$7,MATCH($N305,参数!$A$5:$A$7,0)),"")</f>
        <v>1.5</v>
      </c>
      <c r="Y305" s="16">
        <f>IFERROR(INDEX(参数!$C$5:$C$7,MATCH($N305,参数!$A$5:$A$7,0)),"")</f>
        <v>1</v>
      </c>
      <c r="Z305" s="16">
        <f>IFERROR(INDEX(参数!$D$5:$D$7,MATCH($N305,参数!$A$5:$A$7,0)),"")</f>
        <v>1.5</v>
      </c>
      <c r="AA305" s="16">
        <f>IFERROR(INDEX(楼层配置!$E$5:$E$104,MATCH($K305,楼层配置!$B$5:$B$104,0)),1)</f>
        <v>1.1609327383741</v>
      </c>
      <c r="AB305" s="16">
        <f>IFERROR(INDEX(楼层配置!$F$5:$F$104,MATCH($K305,楼层配置!$B$5:$B$104,0)),1)</f>
        <v>0.692628557170834</v>
      </c>
      <c r="AC305" s="16">
        <f>IFERROR(INDEX(楼层配置!$G$5:$G$104,MATCH($K305,楼层配置!$B$5:$B$104,0)),1)</f>
        <v>1</v>
      </c>
      <c r="AD305" s="18">
        <f t="shared" si="35"/>
        <v>-0.227841863020585</v>
      </c>
      <c r="AE305" s="18">
        <f t="shared" si="36"/>
        <v>-0.118624824015623</v>
      </c>
      <c r="AF305" s="18">
        <f t="shared" si="37"/>
        <v>0.218709365828287</v>
      </c>
      <c r="AG305" s="16" t="str">
        <f t="shared" si="38"/>
        <v>有效</v>
      </c>
      <c r="AH305">
        <f t="shared" si="39"/>
        <v>3519253.95066667</v>
      </c>
    </row>
    <row r="306" ht="14.25" customHeight="1" spans="1:34">
      <c r="A306" s="16">
        <v>302</v>
      </c>
      <c r="B306" s="16">
        <v>1001</v>
      </c>
      <c r="C306" s="16">
        <v>40</v>
      </c>
      <c r="D306" s="17">
        <f>IFERROR(ROUND($U306*$X306*$AA306*参数!$B$13,0),"")</f>
        <v>991269</v>
      </c>
      <c r="E306" s="17">
        <f>IFERROR(ROUND($V306*$Y306*$AB306*参数!$C$13,0),"")</f>
        <v>23289</v>
      </c>
      <c r="F306" s="17">
        <f>IFERROR(ROUND($W306*$Z306*$AC306*参数!$D$13,0),"")</f>
        <v>21869</v>
      </c>
      <c r="G306" s="16">
        <v>1283764</v>
      </c>
      <c r="H306" s="16">
        <v>26422</v>
      </c>
      <c r="I306" s="16">
        <v>17944</v>
      </c>
      <c r="J306" s="16">
        <v>61</v>
      </c>
      <c r="K306" s="16">
        <v>61</v>
      </c>
      <c r="L306" s="16">
        <f>IFERROR(INDEX(楼层配置!$D$5:$D$104,MATCH($K306,楼层配置!$B$5:$B$104,0)),"")</f>
        <v>221</v>
      </c>
      <c r="M306" s="16" t="str">
        <f>IFERROR(INDEX(_角色基线!$B$2:$B$100,MATCH($B306,_角色基线!$A$2:$A$100,0)),"")</f>
        <v>星海</v>
      </c>
      <c r="N306" s="16" t="str">
        <f>IFERROR(INDEX(_角色基线!$C$2:$C$100,MATCH($B306,_角色基线!$A$2:$A$100,0)),"")</f>
        <v>DPS</v>
      </c>
      <c r="O306" s="16">
        <f>IFERROR(INDEX(_怪物基线!$B$2:$B$501,MATCH(INT($L306),_怪物基线!$A$2:$A$501,0)),"")</f>
        <v>213464</v>
      </c>
      <c r="P306" s="16">
        <f>IFERROR(INDEX(_怪物基线!$C$2:$C$501,MATCH(INT($L306),_怪物基线!$A$2:$A$501,0)),"")</f>
        <v>23350</v>
      </c>
      <c r="Q306" s="16">
        <f>IFERROR(INDEX(_怪物基线!$D$2:$D$501,MATCH(INT($L306),_怪物基线!$A$2:$A$501,0)),"")</f>
        <v>21869</v>
      </c>
      <c r="R306" s="16">
        <f>参数!$B$10</f>
        <v>4</v>
      </c>
      <c r="S306" s="16">
        <f>参数!$C$10</f>
        <v>1.2</v>
      </c>
      <c r="T306" s="16">
        <f>参数!$D$10</f>
        <v>1</v>
      </c>
      <c r="U306" s="16">
        <f t="shared" si="32"/>
        <v>853856</v>
      </c>
      <c r="V306" s="16">
        <f t="shared" si="33"/>
        <v>28020</v>
      </c>
      <c r="W306" s="16">
        <f t="shared" si="34"/>
        <v>21869</v>
      </c>
      <c r="X306" s="16">
        <f>IFERROR(INDEX(参数!$B$5:$B$7,MATCH($N306,参数!$A$5:$A$7,0)),"")</f>
        <v>1</v>
      </c>
      <c r="Y306" s="16">
        <f>IFERROR(INDEX(参数!$C$5:$C$7,MATCH($N306,参数!$A$5:$A$7,0)),"")</f>
        <v>1.2</v>
      </c>
      <c r="Z306" s="16">
        <f>IFERROR(INDEX(参数!$D$5:$D$7,MATCH($N306,参数!$A$5:$A$7,0)),"")</f>
        <v>1</v>
      </c>
      <c r="AA306" s="16">
        <f>IFERROR(INDEX(楼层配置!$E$5:$E$104,MATCH($K306,楼层配置!$B$5:$B$104,0)),1)</f>
        <v>1.1609327383741</v>
      </c>
      <c r="AB306" s="16">
        <f>IFERROR(INDEX(楼层配置!$F$5:$F$104,MATCH($K306,楼层配置!$B$5:$B$104,0)),1)</f>
        <v>0.692628557170834</v>
      </c>
      <c r="AC306" s="16">
        <f>IFERROR(INDEX(楼层配置!$G$5:$G$104,MATCH($K306,楼层配置!$B$5:$B$104,0)),1)</f>
        <v>1</v>
      </c>
      <c r="AD306" s="18">
        <f t="shared" si="35"/>
        <v>-0.227841721687164</v>
      </c>
      <c r="AE306" s="18">
        <f t="shared" si="36"/>
        <v>-0.118575429566271</v>
      </c>
      <c r="AF306" s="18">
        <f t="shared" si="37"/>
        <v>0.218736067766384</v>
      </c>
      <c r="AG306" s="16" t="str">
        <f t="shared" si="38"/>
        <v>有效</v>
      </c>
      <c r="AH306">
        <f t="shared" si="39"/>
        <v>1894521.573375</v>
      </c>
    </row>
    <row r="307" ht="14.25" customHeight="1" spans="1:34">
      <c r="A307" s="16">
        <v>303</v>
      </c>
      <c r="B307" s="16">
        <v>1012</v>
      </c>
      <c r="C307" s="16">
        <v>40</v>
      </c>
      <c r="D307" s="17">
        <f>IFERROR(ROUND($U307*$X307*$AA307*参数!$B$13,0),"")</f>
        <v>1239087</v>
      </c>
      <c r="E307" s="17">
        <f>IFERROR(ROUND($V307*$Y307*$AB307*参数!$C$13,0),"")</f>
        <v>19407</v>
      </c>
      <c r="F307" s="17">
        <f>IFERROR(ROUND($W307*$Z307*$AC307*参数!$D$13,0),"")</f>
        <v>27336</v>
      </c>
      <c r="G307" s="16">
        <v>1604706</v>
      </c>
      <c r="H307" s="16">
        <v>22019</v>
      </c>
      <c r="I307" s="16">
        <v>22431</v>
      </c>
      <c r="J307" s="16">
        <v>61</v>
      </c>
      <c r="K307" s="16">
        <v>61</v>
      </c>
      <c r="L307" s="16">
        <f>IFERROR(INDEX(楼层配置!$D$5:$D$104,MATCH($K307,楼层配置!$B$5:$B$104,0)),"")</f>
        <v>221</v>
      </c>
      <c r="M307" s="16" t="str">
        <f>IFERROR(INDEX(_角色基线!$B$2:$B$100,MATCH($B307,_角色基线!$A$2:$A$100,0)),"")</f>
        <v>艾德琳</v>
      </c>
      <c r="N307" s="16" t="str">
        <f>IFERROR(INDEX(_角色基线!$C$2:$C$100,MATCH($B307,_角色基线!$A$2:$A$100,0)),"")</f>
        <v>Support</v>
      </c>
      <c r="O307" s="16">
        <f>IFERROR(INDEX(_怪物基线!$B$2:$B$501,MATCH(INT($L307),_怪物基线!$A$2:$A$501,0)),"")</f>
        <v>213464</v>
      </c>
      <c r="P307" s="16">
        <f>IFERROR(INDEX(_怪物基线!$C$2:$C$501,MATCH(INT($L307),_怪物基线!$A$2:$A$501,0)),"")</f>
        <v>23350</v>
      </c>
      <c r="Q307" s="16">
        <f>IFERROR(INDEX(_怪物基线!$D$2:$D$501,MATCH(INT($L307),_怪物基线!$A$2:$A$501,0)),"")</f>
        <v>21869</v>
      </c>
      <c r="R307" s="16">
        <f>参数!$B$10</f>
        <v>4</v>
      </c>
      <c r="S307" s="16">
        <f>参数!$C$10</f>
        <v>1.2</v>
      </c>
      <c r="T307" s="16">
        <f>参数!$D$10</f>
        <v>1</v>
      </c>
      <c r="U307" s="16">
        <f t="shared" si="32"/>
        <v>853856</v>
      </c>
      <c r="V307" s="16">
        <f t="shared" si="33"/>
        <v>28020</v>
      </c>
      <c r="W307" s="16">
        <f t="shared" si="34"/>
        <v>21869</v>
      </c>
      <c r="X307" s="16">
        <f>IFERROR(INDEX(参数!$B$5:$B$7,MATCH($N307,参数!$A$5:$A$7,0)),"")</f>
        <v>1.25</v>
      </c>
      <c r="Y307" s="16">
        <f>IFERROR(INDEX(参数!$C$5:$C$7,MATCH($N307,参数!$A$5:$A$7,0)),"")</f>
        <v>1</v>
      </c>
      <c r="Z307" s="16">
        <f>IFERROR(INDEX(参数!$D$5:$D$7,MATCH($N307,参数!$A$5:$A$7,0)),"")</f>
        <v>1.25</v>
      </c>
      <c r="AA307" s="16">
        <f>IFERROR(INDEX(楼层配置!$E$5:$E$104,MATCH($K307,楼层配置!$B$5:$B$104,0)),1)</f>
        <v>1.1609327383741</v>
      </c>
      <c r="AB307" s="16">
        <f>IFERROR(INDEX(楼层配置!$F$5:$F$104,MATCH($K307,楼层配置!$B$5:$B$104,0)),1)</f>
        <v>0.692628557170834</v>
      </c>
      <c r="AC307" s="16">
        <f>IFERROR(INDEX(楼层配置!$G$5:$G$104,MATCH($K307,楼层配置!$B$5:$B$104,0)),1)</f>
        <v>1</v>
      </c>
      <c r="AD307" s="18">
        <f t="shared" si="35"/>
        <v>-0.227841735495474</v>
      </c>
      <c r="AE307" s="18">
        <f t="shared" si="36"/>
        <v>-0.118624824015623</v>
      </c>
      <c r="AF307" s="18">
        <f t="shared" si="37"/>
        <v>0.218670589808747</v>
      </c>
      <c r="AG307" s="16" t="str">
        <f t="shared" si="38"/>
        <v>有效</v>
      </c>
      <c r="AH307">
        <f t="shared" si="39"/>
        <v>2650407.093</v>
      </c>
    </row>
    <row r="308" ht="14.25" customHeight="1" spans="1:34">
      <c r="A308" s="16">
        <v>304</v>
      </c>
      <c r="B308" s="16">
        <v>1021</v>
      </c>
      <c r="C308" s="16">
        <v>40</v>
      </c>
      <c r="D308" s="17">
        <f>IFERROR(ROUND($U308*$X308*$AA308*参数!$B$13,0),"")</f>
        <v>991269</v>
      </c>
      <c r="E308" s="17">
        <f>IFERROR(ROUND($V308*$Y308*$AB308*参数!$C$13,0),"")</f>
        <v>23289</v>
      </c>
      <c r="F308" s="17">
        <f>IFERROR(ROUND($W308*$Z308*$AC308*参数!$D$13,0),"")</f>
        <v>21869</v>
      </c>
      <c r="G308" s="16">
        <v>1283764</v>
      </c>
      <c r="H308" s="16">
        <v>26422</v>
      </c>
      <c r="I308" s="16">
        <v>17944</v>
      </c>
      <c r="J308" s="16">
        <v>61</v>
      </c>
      <c r="K308" s="16">
        <v>61</v>
      </c>
      <c r="L308" s="16">
        <f>IFERROR(INDEX(楼层配置!$D$5:$D$104,MATCH($K308,楼层配置!$B$5:$B$104,0)),"")</f>
        <v>221</v>
      </c>
      <c r="M308" s="16" t="str">
        <f>IFERROR(INDEX(_角色基线!$B$2:$B$100,MATCH($B308,_角色基线!$A$2:$A$100,0)),"")</f>
        <v>梅梅</v>
      </c>
      <c r="N308" s="16" t="str">
        <f>IFERROR(INDEX(_角色基线!$C$2:$C$100,MATCH($B308,_角色基线!$A$2:$A$100,0)),"")</f>
        <v>DPS</v>
      </c>
      <c r="O308" s="16">
        <f>IFERROR(INDEX(_怪物基线!$B$2:$B$501,MATCH(INT($L308),_怪物基线!$A$2:$A$501,0)),"")</f>
        <v>213464</v>
      </c>
      <c r="P308" s="16">
        <f>IFERROR(INDEX(_怪物基线!$C$2:$C$501,MATCH(INT($L308),_怪物基线!$A$2:$A$501,0)),"")</f>
        <v>23350</v>
      </c>
      <c r="Q308" s="16">
        <f>IFERROR(INDEX(_怪物基线!$D$2:$D$501,MATCH(INT($L308),_怪物基线!$A$2:$A$501,0)),"")</f>
        <v>21869</v>
      </c>
      <c r="R308" s="16">
        <f>参数!$B$10</f>
        <v>4</v>
      </c>
      <c r="S308" s="16">
        <f>参数!$C$10</f>
        <v>1.2</v>
      </c>
      <c r="T308" s="16">
        <f>参数!$D$10</f>
        <v>1</v>
      </c>
      <c r="U308" s="16">
        <f t="shared" si="32"/>
        <v>853856</v>
      </c>
      <c r="V308" s="16">
        <f t="shared" si="33"/>
        <v>28020</v>
      </c>
      <c r="W308" s="16">
        <f t="shared" si="34"/>
        <v>21869</v>
      </c>
      <c r="X308" s="16">
        <f>IFERROR(INDEX(参数!$B$5:$B$7,MATCH($N308,参数!$A$5:$A$7,0)),"")</f>
        <v>1</v>
      </c>
      <c r="Y308" s="16">
        <f>IFERROR(INDEX(参数!$C$5:$C$7,MATCH($N308,参数!$A$5:$A$7,0)),"")</f>
        <v>1.2</v>
      </c>
      <c r="Z308" s="16">
        <f>IFERROR(INDEX(参数!$D$5:$D$7,MATCH($N308,参数!$A$5:$A$7,0)),"")</f>
        <v>1</v>
      </c>
      <c r="AA308" s="16">
        <f>IFERROR(INDEX(楼层配置!$E$5:$E$104,MATCH($K308,楼层配置!$B$5:$B$104,0)),1)</f>
        <v>1.1609327383741</v>
      </c>
      <c r="AB308" s="16">
        <f>IFERROR(INDEX(楼层配置!$F$5:$F$104,MATCH($K308,楼层配置!$B$5:$B$104,0)),1)</f>
        <v>0.692628557170834</v>
      </c>
      <c r="AC308" s="16">
        <f>IFERROR(INDEX(楼层配置!$G$5:$G$104,MATCH($K308,楼层配置!$B$5:$B$104,0)),1)</f>
        <v>1</v>
      </c>
      <c r="AD308" s="18">
        <f t="shared" si="35"/>
        <v>-0.227841721687164</v>
      </c>
      <c r="AE308" s="18">
        <f t="shared" si="36"/>
        <v>-0.118575429566271</v>
      </c>
      <c r="AF308" s="18">
        <f t="shared" si="37"/>
        <v>0.218736067766384</v>
      </c>
      <c r="AG308" s="16" t="str">
        <f t="shared" si="38"/>
        <v>有效</v>
      </c>
      <c r="AH308">
        <f t="shared" si="39"/>
        <v>1894521.573375</v>
      </c>
    </row>
    <row r="309" ht="14.25" customHeight="1" spans="1:34">
      <c r="A309" s="16">
        <v>305</v>
      </c>
      <c r="B309" s="16">
        <v>1005</v>
      </c>
      <c r="C309" s="16">
        <v>40</v>
      </c>
      <c r="D309" s="17">
        <f>IFERROR(ROUND($U309*$X309*$AA309*参数!$B$13,0),"")</f>
        <v>991269</v>
      </c>
      <c r="E309" s="17">
        <f>IFERROR(ROUND($V309*$Y309*$AB309*参数!$C$13,0),"")</f>
        <v>23289</v>
      </c>
      <c r="F309" s="17">
        <f>IFERROR(ROUND($W309*$Z309*$AC309*参数!$D$13,0),"")</f>
        <v>21869</v>
      </c>
      <c r="G309" s="16">
        <v>1283764</v>
      </c>
      <c r="H309" s="16">
        <v>26422</v>
      </c>
      <c r="I309" s="16">
        <v>17944</v>
      </c>
      <c r="J309" s="16">
        <v>61</v>
      </c>
      <c r="K309" s="16">
        <v>61</v>
      </c>
      <c r="L309" s="16">
        <f>IFERROR(INDEX(楼层配置!$D$5:$D$104,MATCH($K309,楼层配置!$B$5:$B$104,0)),"")</f>
        <v>221</v>
      </c>
      <c r="M309" s="16" t="str">
        <f>IFERROR(INDEX(_角色基线!$B$2:$B$100,MATCH($B309,_角色基线!$A$2:$A$100,0)),"")</f>
        <v>陈单单</v>
      </c>
      <c r="N309" s="16" t="str">
        <f>IFERROR(INDEX(_角色基线!$C$2:$C$100,MATCH($B309,_角色基线!$A$2:$A$100,0)),"")</f>
        <v>DPS</v>
      </c>
      <c r="O309" s="16">
        <f>IFERROR(INDEX(_怪物基线!$B$2:$B$501,MATCH(INT($L309),_怪物基线!$A$2:$A$501,0)),"")</f>
        <v>213464</v>
      </c>
      <c r="P309" s="16">
        <f>IFERROR(INDEX(_怪物基线!$C$2:$C$501,MATCH(INT($L309),_怪物基线!$A$2:$A$501,0)),"")</f>
        <v>23350</v>
      </c>
      <c r="Q309" s="16">
        <f>IFERROR(INDEX(_怪物基线!$D$2:$D$501,MATCH(INT($L309),_怪物基线!$A$2:$A$501,0)),"")</f>
        <v>21869</v>
      </c>
      <c r="R309" s="16">
        <f>参数!$B$10</f>
        <v>4</v>
      </c>
      <c r="S309" s="16">
        <f>参数!$C$10</f>
        <v>1.2</v>
      </c>
      <c r="T309" s="16">
        <f>参数!$D$10</f>
        <v>1</v>
      </c>
      <c r="U309" s="16">
        <f t="shared" si="32"/>
        <v>853856</v>
      </c>
      <c r="V309" s="16">
        <f t="shared" si="33"/>
        <v>28020</v>
      </c>
      <c r="W309" s="16">
        <f t="shared" si="34"/>
        <v>21869</v>
      </c>
      <c r="X309" s="16">
        <f>IFERROR(INDEX(参数!$B$5:$B$7,MATCH($N309,参数!$A$5:$A$7,0)),"")</f>
        <v>1</v>
      </c>
      <c r="Y309" s="16">
        <f>IFERROR(INDEX(参数!$C$5:$C$7,MATCH($N309,参数!$A$5:$A$7,0)),"")</f>
        <v>1.2</v>
      </c>
      <c r="Z309" s="16">
        <f>IFERROR(INDEX(参数!$D$5:$D$7,MATCH($N309,参数!$A$5:$A$7,0)),"")</f>
        <v>1</v>
      </c>
      <c r="AA309" s="16">
        <f>IFERROR(INDEX(楼层配置!$E$5:$E$104,MATCH($K309,楼层配置!$B$5:$B$104,0)),1)</f>
        <v>1.1609327383741</v>
      </c>
      <c r="AB309" s="16">
        <f>IFERROR(INDEX(楼层配置!$F$5:$F$104,MATCH($K309,楼层配置!$B$5:$B$104,0)),1)</f>
        <v>0.692628557170834</v>
      </c>
      <c r="AC309" s="16">
        <f>IFERROR(INDEX(楼层配置!$G$5:$G$104,MATCH($K309,楼层配置!$B$5:$B$104,0)),1)</f>
        <v>1</v>
      </c>
      <c r="AD309" s="18">
        <f t="shared" si="35"/>
        <v>-0.227841721687164</v>
      </c>
      <c r="AE309" s="18">
        <f t="shared" si="36"/>
        <v>-0.118575429566271</v>
      </c>
      <c r="AF309" s="18">
        <f t="shared" si="37"/>
        <v>0.218736067766384</v>
      </c>
      <c r="AG309" s="16" t="str">
        <f t="shared" si="38"/>
        <v>有效</v>
      </c>
      <c r="AH309">
        <f t="shared" si="39"/>
        <v>1894521.573375</v>
      </c>
    </row>
    <row r="310" ht="14.25" customHeight="1" spans="1:34">
      <c r="A310" s="16">
        <v>306</v>
      </c>
      <c r="B310" s="16">
        <v>1004</v>
      </c>
      <c r="C310" s="16">
        <v>41</v>
      </c>
      <c r="D310" s="17">
        <f>IFERROR(ROUND($U310*$X310*$AA310*参数!$B$13,0),"")</f>
        <v>1511309</v>
      </c>
      <c r="E310" s="17">
        <f>IFERROR(ROUND($V310*$Y310*$AB310*参数!$C$13,0),"")</f>
        <v>19701</v>
      </c>
      <c r="F310" s="17">
        <f>IFERROR(ROUND($W310*$Z310*$AC310*参数!$D$13,0),"")</f>
        <v>33177</v>
      </c>
      <c r="G310" s="16">
        <v>2002946</v>
      </c>
      <c r="H310" s="16">
        <v>22639</v>
      </c>
      <c r="I310" s="16">
        <v>27474</v>
      </c>
      <c r="J310" s="16">
        <v>62</v>
      </c>
      <c r="K310" s="16">
        <v>62</v>
      </c>
      <c r="L310" s="16">
        <f>IFERROR(INDEX(楼层配置!$D$5:$D$104,MATCH($K310,楼层配置!$B$5:$B$104,0)),"")</f>
        <v>223</v>
      </c>
      <c r="M310" s="16" t="str">
        <f>IFERROR(INDEX(_角色基线!$B$2:$B$100,MATCH($B310,_角色基线!$A$2:$A$100,0)),"")</f>
        <v>阿芭</v>
      </c>
      <c r="N310" s="16" t="str">
        <f>IFERROR(INDEX(_角色基线!$C$2:$C$100,MATCH($B310,_角色基线!$A$2:$A$100,0)),"")</f>
        <v>Tank</v>
      </c>
      <c r="O310" s="16">
        <f>IFERROR(INDEX(_怪物基线!$B$2:$B$501,MATCH(INT($L310),_怪物基线!$A$2:$A$501,0)),"")</f>
        <v>218370</v>
      </c>
      <c r="P310" s="16">
        <f>IFERROR(INDEX(_怪物基线!$C$2:$C$501,MATCH(INT($L310),_怪物基线!$A$2:$A$501,0)),"")</f>
        <v>23740</v>
      </c>
      <c r="Q310" s="16">
        <f>IFERROR(INDEX(_怪物基线!$D$2:$D$501,MATCH(INT($L310),_怪物基线!$A$2:$A$501,0)),"")</f>
        <v>22118</v>
      </c>
      <c r="R310" s="16">
        <f>参数!$B$10</f>
        <v>4</v>
      </c>
      <c r="S310" s="16">
        <f>参数!$C$10</f>
        <v>1.2</v>
      </c>
      <c r="T310" s="16">
        <f>参数!$D$10</f>
        <v>1</v>
      </c>
      <c r="U310" s="16">
        <f t="shared" si="32"/>
        <v>873480</v>
      </c>
      <c r="V310" s="16">
        <f t="shared" si="33"/>
        <v>28488</v>
      </c>
      <c r="W310" s="16">
        <f t="shared" si="34"/>
        <v>22118</v>
      </c>
      <c r="X310" s="16">
        <f>IFERROR(INDEX(参数!$B$5:$B$7,MATCH($N310,参数!$A$5:$A$7,0)),"")</f>
        <v>1.5</v>
      </c>
      <c r="Y310" s="16">
        <f>IFERROR(INDEX(参数!$C$5:$C$7,MATCH($N310,参数!$A$5:$A$7,0)),"")</f>
        <v>1</v>
      </c>
      <c r="Z310" s="16">
        <f>IFERROR(INDEX(参数!$D$5:$D$7,MATCH($N310,参数!$A$5:$A$7,0)),"")</f>
        <v>1.5</v>
      </c>
      <c r="AA310" s="16">
        <f>IFERROR(INDEX(楼层配置!$E$5:$E$104,MATCH($K310,楼层配置!$B$5:$B$104,0)),1)</f>
        <v>1.15347728205966</v>
      </c>
      <c r="AB310" s="16">
        <f>IFERROR(INDEX(楼层配置!$F$5:$F$104,MATCH($K310,楼层配置!$B$5:$B$104,0)),1)</f>
        <v>0.691563676322275</v>
      </c>
      <c r="AC310" s="16">
        <f>IFERROR(INDEX(楼层配置!$G$5:$G$104,MATCH($K310,楼层配置!$B$5:$B$104,0)),1)</f>
        <v>1</v>
      </c>
      <c r="AD310" s="18">
        <f t="shared" si="35"/>
        <v>-0.245456941924545</v>
      </c>
      <c r="AE310" s="18">
        <f t="shared" si="36"/>
        <v>-0.129776050178895</v>
      </c>
      <c r="AF310" s="18">
        <f t="shared" si="37"/>
        <v>0.207578073815244</v>
      </c>
      <c r="AG310" s="16" t="str">
        <f t="shared" si="38"/>
        <v>有效</v>
      </c>
      <c r="AH310">
        <f t="shared" si="39"/>
        <v>3600504.778875</v>
      </c>
    </row>
    <row r="311" ht="14.25" customHeight="1" spans="1:34">
      <c r="A311" s="16">
        <v>307</v>
      </c>
      <c r="B311" s="16">
        <v>1011</v>
      </c>
      <c r="C311" s="16">
        <v>41</v>
      </c>
      <c r="D311" s="17">
        <f>IFERROR(ROUND($U311*$X311*$AA311*参数!$B$13,0),"")</f>
        <v>1259424</v>
      </c>
      <c r="E311" s="17">
        <f>IFERROR(ROUND($V311*$Y311*$AB311*参数!$C$13,0),"")</f>
        <v>19701</v>
      </c>
      <c r="F311" s="17">
        <f>IFERROR(ROUND($W311*$Z311*$AC311*参数!$D$13,0),"")</f>
        <v>27648</v>
      </c>
      <c r="G311" s="16">
        <v>1669122</v>
      </c>
      <c r="H311" s="16">
        <v>22639</v>
      </c>
      <c r="I311" s="16">
        <v>22895</v>
      </c>
      <c r="J311" s="16">
        <v>62</v>
      </c>
      <c r="K311" s="16">
        <v>62</v>
      </c>
      <c r="L311" s="16">
        <f>IFERROR(INDEX(楼层配置!$D$5:$D$104,MATCH($K311,楼层配置!$B$5:$B$104,0)),"")</f>
        <v>223</v>
      </c>
      <c r="M311" s="16" t="str">
        <f>IFERROR(INDEX(_角色基线!$B$2:$B$100,MATCH($B311,_角色基线!$A$2:$A$100,0)),"")</f>
        <v>陈双双</v>
      </c>
      <c r="N311" s="16" t="str">
        <f>IFERROR(INDEX(_角色基线!$C$2:$C$100,MATCH($B311,_角色基线!$A$2:$A$100,0)),"")</f>
        <v>Support</v>
      </c>
      <c r="O311" s="16">
        <f>IFERROR(INDEX(_怪物基线!$B$2:$B$501,MATCH(INT($L311),_怪物基线!$A$2:$A$501,0)),"")</f>
        <v>218370</v>
      </c>
      <c r="P311" s="16">
        <f>IFERROR(INDEX(_怪物基线!$C$2:$C$501,MATCH(INT($L311),_怪物基线!$A$2:$A$501,0)),"")</f>
        <v>23740</v>
      </c>
      <c r="Q311" s="16">
        <f>IFERROR(INDEX(_怪物基线!$D$2:$D$501,MATCH(INT($L311),_怪物基线!$A$2:$A$501,0)),"")</f>
        <v>22118</v>
      </c>
      <c r="R311" s="16">
        <f>参数!$B$10</f>
        <v>4</v>
      </c>
      <c r="S311" s="16">
        <f>参数!$C$10</f>
        <v>1.2</v>
      </c>
      <c r="T311" s="16">
        <f>参数!$D$10</f>
        <v>1</v>
      </c>
      <c r="U311" s="16">
        <f t="shared" si="32"/>
        <v>873480</v>
      </c>
      <c r="V311" s="16">
        <f t="shared" si="33"/>
        <v>28488</v>
      </c>
      <c r="W311" s="16">
        <f t="shared" si="34"/>
        <v>22118</v>
      </c>
      <c r="X311" s="16">
        <f>IFERROR(INDEX(参数!$B$5:$B$7,MATCH($N311,参数!$A$5:$A$7,0)),"")</f>
        <v>1.25</v>
      </c>
      <c r="Y311" s="16">
        <f>IFERROR(INDEX(参数!$C$5:$C$7,MATCH($N311,参数!$A$5:$A$7,0)),"")</f>
        <v>1</v>
      </c>
      <c r="Z311" s="16">
        <f>IFERROR(INDEX(参数!$D$5:$D$7,MATCH($N311,参数!$A$5:$A$7,0)),"")</f>
        <v>1.25</v>
      </c>
      <c r="AA311" s="16">
        <f>IFERROR(INDEX(楼层配置!$E$5:$E$104,MATCH($K311,楼层配置!$B$5:$B$104,0)),1)</f>
        <v>1.15347728205966</v>
      </c>
      <c r="AB311" s="16">
        <f>IFERROR(INDEX(楼层配置!$F$5:$F$104,MATCH($K311,楼层配置!$B$5:$B$104,0)),1)</f>
        <v>0.691563676322275</v>
      </c>
      <c r="AC311" s="16">
        <f>IFERROR(INDEX(楼层配置!$G$5:$G$104,MATCH($K311,楼层配置!$B$5:$B$104,0)),1)</f>
        <v>1</v>
      </c>
      <c r="AD311" s="18">
        <f t="shared" si="35"/>
        <v>-0.245457192464062</v>
      </c>
      <c r="AE311" s="18">
        <f t="shared" si="36"/>
        <v>-0.129776050178895</v>
      </c>
      <c r="AF311" s="18">
        <f t="shared" si="37"/>
        <v>0.207599912644682</v>
      </c>
      <c r="AG311" s="16" t="str">
        <f t="shared" si="38"/>
        <v>有效</v>
      </c>
      <c r="AH311">
        <f t="shared" si="39"/>
        <v>2710280.448</v>
      </c>
    </row>
    <row r="312" ht="14.25" customHeight="1" spans="1:34">
      <c r="A312" s="16">
        <v>308</v>
      </c>
      <c r="B312" s="16">
        <v>1014</v>
      </c>
      <c r="C312" s="16">
        <v>41</v>
      </c>
      <c r="D312" s="17">
        <f>IFERROR(ROUND($U312*$X312*$AA312*参数!$B$13,0),"")</f>
        <v>1007539</v>
      </c>
      <c r="E312" s="17">
        <f>IFERROR(ROUND($V312*$Y312*$AB312*参数!$C$13,0),"")</f>
        <v>23642</v>
      </c>
      <c r="F312" s="17">
        <f>IFERROR(ROUND($W312*$Z312*$AC312*参数!$D$13,0),"")</f>
        <v>22118</v>
      </c>
      <c r="G312" s="16">
        <v>1335297</v>
      </c>
      <c r="H312" s="16">
        <v>27166</v>
      </c>
      <c r="I312" s="16">
        <v>18316</v>
      </c>
      <c r="J312" s="16">
        <v>62</v>
      </c>
      <c r="K312" s="16">
        <v>62</v>
      </c>
      <c r="L312" s="16">
        <f>IFERROR(INDEX(楼层配置!$D$5:$D$104,MATCH($K312,楼层配置!$B$5:$B$104,0)),"")</f>
        <v>223</v>
      </c>
      <c r="M312" s="16" t="str">
        <f>IFERROR(INDEX(_角色基线!$B$2:$B$100,MATCH($B312,_角色基线!$A$2:$A$100,0)),"")</f>
        <v>克莉丝汀</v>
      </c>
      <c r="N312" s="16" t="str">
        <f>IFERROR(INDEX(_角色基线!$C$2:$C$100,MATCH($B312,_角色基线!$A$2:$A$100,0)),"")</f>
        <v>DPS</v>
      </c>
      <c r="O312" s="16">
        <f>IFERROR(INDEX(_怪物基线!$B$2:$B$501,MATCH(INT($L312),_怪物基线!$A$2:$A$501,0)),"")</f>
        <v>218370</v>
      </c>
      <c r="P312" s="16">
        <f>IFERROR(INDEX(_怪物基线!$C$2:$C$501,MATCH(INT($L312),_怪物基线!$A$2:$A$501,0)),"")</f>
        <v>23740</v>
      </c>
      <c r="Q312" s="16">
        <f>IFERROR(INDEX(_怪物基线!$D$2:$D$501,MATCH(INT($L312),_怪物基线!$A$2:$A$501,0)),"")</f>
        <v>22118</v>
      </c>
      <c r="R312" s="16">
        <f>参数!$B$10</f>
        <v>4</v>
      </c>
      <c r="S312" s="16">
        <f>参数!$C$10</f>
        <v>1.2</v>
      </c>
      <c r="T312" s="16">
        <f>参数!$D$10</f>
        <v>1</v>
      </c>
      <c r="U312" s="16">
        <f t="shared" si="32"/>
        <v>873480</v>
      </c>
      <c r="V312" s="16">
        <f t="shared" si="33"/>
        <v>28488</v>
      </c>
      <c r="W312" s="16">
        <f t="shared" si="34"/>
        <v>22118</v>
      </c>
      <c r="X312" s="16">
        <f>IFERROR(INDEX(参数!$B$5:$B$7,MATCH($N312,参数!$A$5:$A$7,0)),"")</f>
        <v>1</v>
      </c>
      <c r="Y312" s="16">
        <f>IFERROR(INDEX(参数!$C$5:$C$7,MATCH($N312,参数!$A$5:$A$7,0)),"")</f>
        <v>1.2</v>
      </c>
      <c r="Z312" s="16">
        <f>IFERROR(INDEX(参数!$D$5:$D$7,MATCH($N312,参数!$A$5:$A$7,0)),"")</f>
        <v>1</v>
      </c>
      <c r="AA312" s="16">
        <f>IFERROR(INDEX(楼层配置!$E$5:$E$104,MATCH($K312,楼层配置!$B$5:$B$104,0)),1)</f>
        <v>1.15347728205966</v>
      </c>
      <c r="AB312" s="16">
        <f>IFERROR(INDEX(楼层配置!$F$5:$F$104,MATCH($K312,楼层配置!$B$5:$B$104,0)),1)</f>
        <v>0.691563676322275</v>
      </c>
      <c r="AC312" s="16">
        <f>IFERROR(INDEX(楼层配置!$G$5:$G$104,MATCH($K312,楼层配置!$B$5:$B$104,0)),1)</f>
        <v>1</v>
      </c>
      <c r="AD312" s="18">
        <f t="shared" si="35"/>
        <v>-0.245457003198539</v>
      </c>
      <c r="AE312" s="18">
        <f t="shared" si="36"/>
        <v>-0.129720974747847</v>
      </c>
      <c r="AF312" s="18">
        <f t="shared" si="37"/>
        <v>0.207578073815244</v>
      </c>
      <c r="AG312" s="16" t="str">
        <f t="shared" si="38"/>
        <v>有效</v>
      </c>
      <c r="AH312">
        <f t="shared" si="39"/>
        <v>1936070.15008333</v>
      </c>
    </row>
    <row r="313" ht="14.25" customHeight="1" spans="1:34">
      <c r="A313" s="16">
        <v>309</v>
      </c>
      <c r="B313" s="16">
        <v>1021</v>
      </c>
      <c r="C313" s="16">
        <v>41</v>
      </c>
      <c r="D313" s="17">
        <f>IFERROR(ROUND($U313*$X313*$AA313*参数!$B$13,0),"")</f>
        <v>1007539</v>
      </c>
      <c r="E313" s="17">
        <f>IFERROR(ROUND($V313*$Y313*$AB313*参数!$C$13,0),"")</f>
        <v>23642</v>
      </c>
      <c r="F313" s="17">
        <f>IFERROR(ROUND($W313*$Z313*$AC313*参数!$D$13,0),"")</f>
        <v>22118</v>
      </c>
      <c r="G313" s="16">
        <v>1335297</v>
      </c>
      <c r="H313" s="16">
        <v>27166</v>
      </c>
      <c r="I313" s="16">
        <v>18316</v>
      </c>
      <c r="J313" s="16">
        <v>62</v>
      </c>
      <c r="K313" s="16">
        <v>62</v>
      </c>
      <c r="L313" s="16">
        <f>IFERROR(INDEX(楼层配置!$D$5:$D$104,MATCH($K313,楼层配置!$B$5:$B$104,0)),"")</f>
        <v>223</v>
      </c>
      <c r="M313" s="16" t="str">
        <f>IFERROR(INDEX(_角色基线!$B$2:$B$100,MATCH($B313,_角色基线!$A$2:$A$100,0)),"")</f>
        <v>梅梅</v>
      </c>
      <c r="N313" s="16" t="str">
        <f>IFERROR(INDEX(_角色基线!$C$2:$C$100,MATCH($B313,_角色基线!$A$2:$A$100,0)),"")</f>
        <v>DPS</v>
      </c>
      <c r="O313" s="16">
        <f>IFERROR(INDEX(_怪物基线!$B$2:$B$501,MATCH(INT($L313),_怪物基线!$A$2:$A$501,0)),"")</f>
        <v>218370</v>
      </c>
      <c r="P313" s="16">
        <f>IFERROR(INDEX(_怪物基线!$C$2:$C$501,MATCH(INT($L313),_怪物基线!$A$2:$A$501,0)),"")</f>
        <v>23740</v>
      </c>
      <c r="Q313" s="16">
        <f>IFERROR(INDEX(_怪物基线!$D$2:$D$501,MATCH(INT($L313),_怪物基线!$A$2:$A$501,0)),"")</f>
        <v>22118</v>
      </c>
      <c r="R313" s="16">
        <f>参数!$B$10</f>
        <v>4</v>
      </c>
      <c r="S313" s="16">
        <f>参数!$C$10</f>
        <v>1.2</v>
      </c>
      <c r="T313" s="16">
        <f>参数!$D$10</f>
        <v>1</v>
      </c>
      <c r="U313" s="16">
        <f t="shared" si="32"/>
        <v>873480</v>
      </c>
      <c r="V313" s="16">
        <f t="shared" si="33"/>
        <v>28488</v>
      </c>
      <c r="W313" s="16">
        <f t="shared" si="34"/>
        <v>22118</v>
      </c>
      <c r="X313" s="16">
        <f>IFERROR(INDEX(参数!$B$5:$B$7,MATCH($N313,参数!$A$5:$A$7,0)),"")</f>
        <v>1</v>
      </c>
      <c r="Y313" s="16">
        <f>IFERROR(INDEX(参数!$C$5:$C$7,MATCH($N313,参数!$A$5:$A$7,0)),"")</f>
        <v>1.2</v>
      </c>
      <c r="Z313" s="16">
        <f>IFERROR(INDEX(参数!$D$5:$D$7,MATCH($N313,参数!$A$5:$A$7,0)),"")</f>
        <v>1</v>
      </c>
      <c r="AA313" s="16">
        <f>IFERROR(INDEX(楼层配置!$E$5:$E$104,MATCH($K313,楼层配置!$B$5:$B$104,0)),1)</f>
        <v>1.15347728205966</v>
      </c>
      <c r="AB313" s="16">
        <f>IFERROR(INDEX(楼层配置!$F$5:$F$104,MATCH($K313,楼层配置!$B$5:$B$104,0)),1)</f>
        <v>0.691563676322275</v>
      </c>
      <c r="AC313" s="16">
        <f>IFERROR(INDEX(楼层配置!$G$5:$G$104,MATCH($K313,楼层配置!$B$5:$B$104,0)),1)</f>
        <v>1</v>
      </c>
      <c r="AD313" s="18">
        <f t="shared" si="35"/>
        <v>-0.245457003198539</v>
      </c>
      <c r="AE313" s="18">
        <f t="shared" si="36"/>
        <v>-0.129720974747847</v>
      </c>
      <c r="AF313" s="18">
        <f t="shared" si="37"/>
        <v>0.207578073815244</v>
      </c>
      <c r="AG313" s="16" t="str">
        <f t="shared" si="38"/>
        <v>有效</v>
      </c>
      <c r="AH313">
        <f t="shared" si="39"/>
        <v>1936070.15008333</v>
      </c>
    </row>
    <row r="314" ht="14.25" customHeight="1" spans="1:34">
      <c r="A314" s="16">
        <v>310</v>
      </c>
      <c r="B314" s="16">
        <v>1006</v>
      </c>
      <c r="C314" s="16">
        <v>41</v>
      </c>
      <c r="D314" s="17">
        <f>IFERROR(ROUND($U314*$X314*$AA314*参数!$B$13,0),"")</f>
        <v>1007539</v>
      </c>
      <c r="E314" s="17">
        <f>IFERROR(ROUND($V314*$Y314*$AB314*参数!$C$13,0),"")</f>
        <v>23642</v>
      </c>
      <c r="F314" s="17">
        <f>IFERROR(ROUND($W314*$Z314*$AC314*参数!$D$13,0),"")</f>
        <v>22118</v>
      </c>
      <c r="G314" s="16">
        <v>1335297</v>
      </c>
      <c r="H314" s="16">
        <v>27166</v>
      </c>
      <c r="I314" s="16">
        <v>18316</v>
      </c>
      <c r="J314" s="16">
        <v>62</v>
      </c>
      <c r="K314" s="16">
        <v>62</v>
      </c>
      <c r="L314" s="16">
        <f>IFERROR(INDEX(楼层配置!$D$5:$D$104,MATCH($K314,楼层配置!$B$5:$B$104,0)),"")</f>
        <v>223</v>
      </c>
      <c r="M314" s="16" t="str">
        <f>IFERROR(INDEX(_角色基线!$B$2:$B$100,MATCH($B314,_角色基线!$A$2:$A$100,0)),"")</f>
        <v>莉莉娅</v>
      </c>
      <c r="N314" s="16" t="str">
        <f>IFERROR(INDEX(_角色基线!$C$2:$C$100,MATCH($B314,_角色基线!$A$2:$A$100,0)),"")</f>
        <v>DPS</v>
      </c>
      <c r="O314" s="16">
        <f>IFERROR(INDEX(_怪物基线!$B$2:$B$501,MATCH(INT($L314),_怪物基线!$A$2:$A$501,0)),"")</f>
        <v>218370</v>
      </c>
      <c r="P314" s="16">
        <f>IFERROR(INDEX(_怪物基线!$C$2:$C$501,MATCH(INT($L314),_怪物基线!$A$2:$A$501,0)),"")</f>
        <v>23740</v>
      </c>
      <c r="Q314" s="16">
        <f>IFERROR(INDEX(_怪物基线!$D$2:$D$501,MATCH(INT($L314),_怪物基线!$A$2:$A$501,0)),"")</f>
        <v>22118</v>
      </c>
      <c r="R314" s="16">
        <f>参数!$B$10</f>
        <v>4</v>
      </c>
      <c r="S314" s="16">
        <f>参数!$C$10</f>
        <v>1.2</v>
      </c>
      <c r="T314" s="16">
        <f>参数!$D$10</f>
        <v>1</v>
      </c>
      <c r="U314" s="16">
        <f t="shared" si="32"/>
        <v>873480</v>
      </c>
      <c r="V314" s="16">
        <f t="shared" si="33"/>
        <v>28488</v>
      </c>
      <c r="W314" s="16">
        <f t="shared" si="34"/>
        <v>22118</v>
      </c>
      <c r="X314" s="16">
        <f>IFERROR(INDEX(参数!$B$5:$B$7,MATCH($N314,参数!$A$5:$A$7,0)),"")</f>
        <v>1</v>
      </c>
      <c r="Y314" s="16">
        <f>IFERROR(INDEX(参数!$C$5:$C$7,MATCH($N314,参数!$A$5:$A$7,0)),"")</f>
        <v>1.2</v>
      </c>
      <c r="Z314" s="16">
        <f>IFERROR(INDEX(参数!$D$5:$D$7,MATCH($N314,参数!$A$5:$A$7,0)),"")</f>
        <v>1</v>
      </c>
      <c r="AA314" s="16">
        <f>IFERROR(INDEX(楼层配置!$E$5:$E$104,MATCH($K314,楼层配置!$B$5:$B$104,0)),1)</f>
        <v>1.15347728205966</v>
      </c>
      <c r="AB314" s="16">
        <f>IFERROR(INDEX(楼层配置!$F$5:$F$104,MATCH($K314,楼层配置!$B$5:$B$104,0)),1)</f>
        <v>0.691563676322275</v>
      </c>
      <c r="AC314" s="16">
        <f>IFERROR(INDEX(楼层配置!$G$5:$G$104,MATCH($K314,楼层配置!$B$5:$B$104,0)),1)</f>
        <v>1</v>
      </c>
      <c r="AD314" s="18">
        <f t="shared" si="35"/>
        <v>-0.245457003198539</v>
      </c>
      <c r="AE314" s="18">
        <f t="shared" si="36"/>
        <v>-0.129720974747847</v>
      </c>
      <c r="AF314" s="18">
        <f t="shared" si="37"/>
        <v>0.207578073815244</v>
      </c>
      <c r="AG314" s="16" t="str">
        <f t="shared" si="38"/>
        <v>有效</v>
      </c>
      <c r="AH314">
        <f t="shared" si="39"/>
        <v>1936070.15008333</v>
      </c>
    </row>
    <row r="315" ht="14.25" customHeight="1" spans="1:34">
      <c r="A315" s="16">
        <v>311</v>
      </c>
      <c r="B315" s="16">
        <v>1002</v>
      </c>
      <c r="C315" s="16">
        <v>41</v>
      </c>
      <c r="D315" s="17">
        <f>IFERROR(ROUND($U315*$X315*$AA315*参数!$B$13,0),"")</f>
        <v>1539843</v>
      </c>
      <c r="E315" s="17">
        <f>IFERROR(ROUND($V315*$Y315*$AB315*参数!$C$13,0),"")</f>
        <v>20015</v>
      </c>
      <c r="F315" s="17">
        <f>IFERROR(ROUND($W315*$Z315*$AC315*参数!$D$13,0),"")</f>
        <v>33551</v>
      </c>
      <c r="G315" s="16">
        <v>2082470</v>
      </c>
      <c r="H315" s="16">
        <v>23274</v>
      </c>
      <c r="I315" s="16">
        <v>28034</v>
      </c>
      <c r="J315" s="16">
        <v>63</v>
      </c>
      <c r="K315" s="16">
        <v>63</v>
      </c>
      <c r="L315" s="16">
        <f>IFERROR(INDEX(楼层配置!$D$5:$D$104,MATCH($K315,楼层配置!$B$5:$B$104,0)),"")</f>
        <v>225</v>
      </c>
      <c r="M315" s="16" t="str">
        <f>IFERROR(INDEX(_角色基线!$B$2:$B$100,MATCH($B315,_角色基线!$A$2:$A$100,0)),"")</f>
        <v>大暑</v>
      </c>
      <c r="N315" s="16" t="str">
        <f>IFERROR(INDEX(_角色基线!$C$2:$C$100,MATCH($B315,_角色基线!$A$2:$A$100,0)),"")</f>
        <v>Tank</v>
      </c>
      <c r="O315" s="16">
        <f>IFERROR(INDEX(_怪物基线!$B$2:$B$501,MATCH(INT($L315),_怪物基线!$A$2:$A$501,0)),"")</f>
        <v>223359</v>
      </c>
      <c r="P315" s="16">
        <f>IFERROR(INDEX(_怪物基线!$C$2:$C$501,MATCH(INT($L315),_怪物基线!$A$2:$A$501,0)),"")</f>
        <v>24136</v>
      </c>
      <c r="Q315" s="16">
        <f>IFERROR(INDEX(_怪物基线!$D$2:$D$501,MATCH(INT($L315),_怪物基线!$A$2:$A$501,0)),"")</f>
        <v>22367</v>
      </c>
      <c r="R315" s="16">
        <f>参数!$B$10</f>
        <v>4</v>
      </c>
      <c r="S315" s="16">
        <f>参数!$C$10</f>
        <v>1.2</v>
      </c>
      <c r="T315" s="16">
        <f>参数!$D$10</f>
        <v>1</v>
      </c>
      <c r="U315" s="16">
        <f t="shared" si="32"/>
        <v>893436</v>
      </c>
      <c r="V315" s="16">
        <f t="shared" si="33"/>
        <v>28963.2</v>
      </c>
      <c r="W315" s="16">
        <f t="shared" si="34"/>
        <v>22367</v>
      </c>
      <c r="X315" s="16">
        <f>IFERROR(INDEX(参数!$B$5:$B$7,MATCH($N315,参数!$A$5:$A$7,0)),"")</f>
        <v>1.5</v>
      </c>
      <c r="Y315" s="16">
        <f>IFERROR(INDEX(参数!$C$5:$C$7,MATCH($N315,参数!$A$5:$A$7,0)),"")</f>
        <v>1</v>
      </c>
      <c r="Z315" s="16">
        <f>IFERROR(INDEX(参数!$D$5:$D$7,MATCH($N315,参数!$A$5:$A$7,0)),"")</f>
        <v>1.5</v>
      </c>
      <c r="AA315" s="16">
        <f>IFERROR(INDEX(楼层配置!$E$5:$E$104,MATCH($K315,楼层配置!$B$5:$B$104,0)),1)</f>
        <v>1.14900462820668</v>
      </c>
      <c r="AB315" s="16">
        <f>IFERROR(INDEX(楼层配置!$F$5:$F$104,MATCH($K315,楼层配置!$B$5:$B$104,0)),1)</f>
        <v>0.691032777546049</v>
      </c>
      <c r="AC315" s="16">
        <f>IFERROR(INDEX(楼层配置!$G$5:$G$104,MATCH($K315,楼层配置!$B$5:$B$104,0)),1)</f>
        <v>1</v>
      </c>
      <c r="AD315" s="18">
        <f t="shared" si="35"/>
        <v>-0.26056893976864</v>
      </c>
      <c r="AE315" s="18">
        <f t="shared" si="36"/>
        <v>-0.140027498496176</v>
      </c>
      <c r="AF315" s="18">
        <f t="shared" si="37"/>
        <v>0.196796746807448</v>
      </c>
      <c r="AG315" s="16" t="str">
        <f t="shared" si="38"/>
        <v>有效</v>
      </c>
      <c r="AH315">
        <f t="shared" si="39"/>
        <v>3692479.353875</v>
      </c>
    </row>
    <row r="316" ht="14.25" customHeight="1" spans="1:34">
      <c r="A316" s="16">
        <v>312</v>
      </c>
      <c r="B316" s="16">
        <v>1008</v>
      </c>
      <c r="C316" s="16">
        <v>41</v>
      </c>
      <c r="D316" s="17">
        <f>IFERROR(ROUND($U316*$X316*$AA316*参数!$B$13,0),"")</f>
        <v>1026562</v>
      </c>
      <c r="E316" s="17">
        <f>IFERROR(ROUND($V316*$Y316*$AB316*参数!$C$13,0),"")</f>
        <v>24017</v>
      </c>
      <c r="F316" s="17">
        <f>IFERROR(ROUND($W316*$Z316*$AC316*参数!$D$13,0),"")</f>
        <v>22367</v>
      </c>
      <c r="G316" s="16">
        <v>1388313</v>
      </c>
      <c r="H316" s="16">
        <v>27928</v>
      </c>
      <c r="I316" s="16">
        <v>18689</v>
      </c>
      <c r="J316" s="16">
        <v>63</v>
      </c>
      <c r="K316" s="16">
        <v>63</v>
      </c>
      <c r="L316" s="16">
        <f>IFERROR(INDEX(楼层配置!$D$5:$D$104,MATCH($K316,楼层配置!$B$5:$B$104,0)),"")</f>
        <v>225</v>
      </c>
      <c r="M316" s="16" t="str">
        <f>IFERROR(INDEX(_角色基线!$B$2:$B$100,MATCH($B316,_角色基线!$A$2:$A$100,0)),"")</f>
        <v>薇</v>
      </c>
      <c r="N316" s="16" t="str">
        <f>IFERROR(INDEX(_角色基线!$C$2:$C$100,MATCH($B316,_角色基线!$A$2:$A$100,0)),"")</f>
        <v>DPS</v>
      </c>
      <c r="O316" s="16">
        <f>IFERROR(INDEX(_怪物基线!$B$2:$B$501,MATCH(INT($L316),_怪物基线!$A$2:$A$501,0)),"")</f>
        <v>223359</v>
      </c>
      <c r="P316" s="16">
        <f>IFERROR(INDEX(_怪物基线!$C$2:$C$501,MATCH(INT($L316),_怪物基线!$A$2:$A$501,0)),"")</f>
        <v>24136</v>
      </c>
      <c r="Q316" s="16">
        <f>IFERROR(INDEX(_怪物基线!$D$2:$D$501,MATCH(INT($L316),_怪物基线!$A$2:$A$501,0)),"")</f>
        <v>22367</v>
      </c>
      <c r="R316" s="16">
        <f>参数!$B$10</f>
        <v>4</v>
      </c>
      <c r="S316" s="16">
        <f>参数!$C$10</f>
        <v>1.2</v>
      </c>
      <c r="T316" s="16">
        <f>参数!$D$10</f>
        <v>1</v>
      </c>
      <c r="U316" s="16">
        <f t="shared" si="32"/>
        <v>893436</v>
      </c>
      <c r="V316" s="16">
        <f t="shared" si="33"/>
        <v>28963.2</v>
      </c>
      <c r="W316" s="16">
        <f t="shared" si="34"/>
        <v>22367</v>
      </c>
      <c r="X316" s="16">
        <f>IFERROR(INDEX(参数!$B$5:$B$7,MATCH($N316,参数!$A$5:$A$7,0)),"")</f>
        <v>1</v>
      </c>
      <c r="Y316" s="16">
        <f>IFERROR(INDEX(参数!$C$5:$C$7,MATCH($N316,参数!$A$5:$A$7,0)),"")</f>
        <v>1.2</v>
      </c>
      <c r="Z316" s="16">
        <f>IFERROR(INDEX(参数!$D$5:$D$7,MATCH($N316,参数!$A$5:$A$7,0)),"")</f>
        <v>1</v>
      </c>
      <c r="AA316" s="16">
        <f>IFERROR(INDEX(楼层配置!$E$5:$E$104,MATCH($K316,楼层配置!$B$5:$B$104,0)),1)</f>
        <v>1.14900462820668</v>
      </c>
      <c r="AB316" s="16">
        <f>IFERROR(INDEX(楼层配置!$F$5:$F$104,MATCH($K316,楼层配置!$B$5:$B$104,0)),1)</f>
        <v>0.691032777546049</v>
      </c>
      <c r="AC316" s="16">
        <f>IFERROR(INDEX(楼层配置!$G$5:$G$104,MATCH($K316,楼层配置!$B$5:$B$104,0)),1)</f>
        <v>1</v>
      </c>
      <c r="AD316" s="18">
        <f t="shared" si="35"/>
        <v>-0.260568762231572</v>
      </c>
      <c r="AE316" s="18">
        <f t="shared" si="36"/>
        <v>-0.140038670867946</v>
      </c>
      <c r="AF316" s="18">
        <f t="shared" si="37"/>
        <v>0.196800256835572</v>
      </c>
      <c r="AG316" s="16" t="str">
        <f t="shared" si="38"/>
        <v>有效</v>
      </c>
      <c r="AH316">
        <f t="shared" si="39"/>
        <v>1983275.01058333</v>
      </c>
    </row>
    <row r="317" ht="14.25" customHeight="1" spans="1:34">
      <c r="A317" s="16">
        <v>313</v>
      </c>
      <c r="B317" s="16">
        <v>1006</v>
      </c>
      <c r="C317" s="16">
        <v>41</v>
      </c>
      <c r="D317" s="17">
        <f>IFERROR(ROUND($U317*$X317*$AA317*参数!$B$13,0),"")</f>
        <v>1026562</v>
      </c>
      <c r="E317" s="17">
        <f>IFERROR(ROUND($V317*$Y317*$AB317*参数!$C$13,0),"")</f>
        <v>24017</v>
      </c>
      <c r="F317" s="17">
        <f>IFERROR(ROUND($W317*$Z317*$AC317*参数!$D$13,0),"")</f>
        <v>22367</v>
      </c>
      <c r="G317" s="16">
        <v>1388313</v>
      </c>
      <c r="H317" s="16">
        <v>27928</v>
      </c>
      <c r="I317" s="16">
        <v>18689</v>
      </c>
      <c r="J317" s="16">
        <v>63</v>
      </c>
      <c r="K317" s="16">
        <v>63</v>
      </c>
      <c r="L317" s="16">
        <f>IFERROR(INDEX(楼层配置!$D$5:$D$104,MATCH($K317,楼层配置!$B$5:$B$104,0)),"")</f>
        <v>225</v>
      </c>
      <c r="M317" s="16" t="str">
        <f>IFERROR(INDEX(_角色基线!$B$2:$B$100,MATCH($B317,_角色基线!$A$2:$A$100,0)),"")</f>
        <v>莉莉娅</v>
      </c>
      <c r="N317" s="16" t="str">
        <f>IFERROR(INDEX(_角色基线!$C$2:$C$100,MATCH($B317,_角色基线!$A$2:$A$100,0)),"")</f>
        <v>DPS</v>
      </c>
      <c r="O317" s="16">
        <f>IFERROR(INDEX(_怪物基线!$B$2:$B$501,MATCH(INT($L317),_怪物基线!$A$2:$A$501,0)),"")</f>
        <v>223359</v>
      </c>
      <c r="P317" s="16">
        <f>IFERROR(INDEX(_怪物基线!$C$2:$C$501,MATCH(INT($L317),_怪物基线!$A$2:$A$501,0)),"")</f>
        <v>24136</v>
      </c>
      <c r="Q317" s="16">
        <f>IFERROR(INDEX(_怪物基线!$D$2:$D$501,MATCH(INT($L317),_怪物基线!$A$2:$A$501,0)),"")</f>
        <v>22367</v>
      </c>
      <c r="R317" s="16">
        <f>参数!$B$10</f>
        <v>4</v>
      </c>
      <c r="S317" s="16">
        <f>参数!$C$10</f>
        <v>1.2</v>
      </c>
      <c r="T317" s="16">
        <f>参数!$D$10</f>
        <v>1</v>
      </c>
      <c r="U317" s="16">
        <f t="shared" si="32"/>
        <v>893436</v>
      </c>
      <c r="V317" s="16">
        <f t="shared" si="33"/>
        <v>28963.2</v>
      </c>
      <c r="W317" s="16">
        <f t="shared" si="34"/>
        <v>22367</v>
      </c>
      <c r="X317" s="16">
        <f>IFERROR(INDEX(参数!$B$5:$B$7,MATCH($N317,参数!$A$5:$A$7,0)),"")</f>
        <v>1</v>
      </c>
      <c r="Y317" s="16">
        <f>IFERROR(INDEX(参数!$C$5:$C$7,MATCH($N317,参数!$A$5:$A$7,0)),"")</f>
        <v>1.2</v>
      </c>
      <c r="Z317" s="16">
        <f>IFERROR(INDEX(参数!$D$5:$D$7,MATCH($N317,参数!$A$5:$A$7,0)),"")</f>
        <v>1</v>
      </c>
      <c r="AA317" s="16">
        <f>IFERROR(INDEX(楼层配置!$E$5:$E$104,MATCH($K317,楼层配置!$B$5:$B$104,0)),1)</f>
        <v>1.14900462820668</v>
      </c>
      <c r="AB317" s="16">
        <f>IFERROR(INDEX(楼层配置!$F$5:$F$104,MATCH($K317,楼层配置!$B$5:$B$104,0)),1)</f>
        <v>0.691032777546049</v>
      </c>
      <c r="AC317" s="16">
        <f>IFERROR(INDEX(楼层配置!$G$5:$G$104,MATCH($K317,楼层配置!$B$5:$B$104,0)),1)</f>
        <v>1</v>
      </c>
      <c r="AD317" s="18">
        <f t="shared" si="35"/>
        <v>-0.260568762231572</v>
      </c>
      <c r="AE317" s="18">
        <f t="shared" si="36"/>
        <v>-0.140038670867946</v>
      </c>
      <c r="AF317" s="18">
        <f t="shared" si="37"/>
        <v>0.196800256835572</v>
      </c>
      <c r="AG317" s="16" t="str">
        <f t="shared" si="38"/>
        <v>有效</v>
      </c>
      <c r="AH317">
        <f t="shared" si="39"/>
        <v>1983275.01058333</v>
      </c>
    </row>
    <row r="318" ht="14.25" customHeight="1" spans="1:34">
      <c r="A318" s="16">
        <v>314</v>
      </c>
      <c r="B318" s="16">
        <v>1007</v>
      </c>
      <c r="C318" s="16">
        <v>41</v>
      </c>
      <c r="D318" s="17">
        <f>IFERROR(ROUND($U318*$X318*$AA318*参数!$B$13,0),"")</f>
        <v>1283203</v>
      </c>
      <c r="E318" s="17">
        <f>IFERROR(ROUND($V318*$Y318*$AB318*参数!$C$13,0),"")</f>
        <v>20015</v>
      </c>
      <c r="F318" s="17">
        <f>IFERROR(ROUND($W318*$Z318*$AC318*参数!$D$13,0),"")</f>
        <v>27959</v>
      </c>
      <c r="G318" s="16">
        <v>1735392</v>
      </c>
      <c r="H318" s="16">
        <v>23274</v>
      </c>
      <c r="I318" s="16">
        <v>23362</v>
      </c>
      <c r="J318" s="16">
        <v>63</v>
      </c>
      <c r="K318" s="16">
        <v>63</v>
      </c>
      <c r="L318" s="16">
        <f>IFERROR(INDEX(楼层配置!$D$5:$D$104,MATCH($K318,楼层配置!$B$5:$B$104,0)),"")</f>
        <v>225</v>
      </c>
      <c r="M318" s="16" t="str">
        <f>IFERROR(INDEX(_角色基线!$B$2:$B$100,MATCH($B318,_角色基线!$A$2:$A$100,0)),"")</f>
        <v>萨萨莉安</v>
      </c>
      <c r="N318" s="16" t="str">
        <f>IFERROR(INDEX(_角色基线!$C$2:$C$100,MATCH($B318,_角色基线!$A$2:$A$100,0)),"")</f>
        <v>Support</v>
      </c>
      <c r="O318" s="16">
        <f>IFERROR(INDEX(_怪物基线!$B$2:$B$501,MATCH(INT($L318),_怪物基线!$A$2:$A$501,0)),"")</f>
        <v>223359</v>
      </c>
      <c r="P318" s="16">
        <f>IFERROR(INDEX(_怪物基线!$C$2:$C$501,MATCH(INT($L318),_怪物基线!$A$2:$A$501,0)),"")</f>
        <v>24136</v>
      </c>
      <c r="Q318" s="16">
        <f>IFERROR(INDEX(_怪物基线!$D$2:$D$501,MATCH(INT($L318),_怪物基线!$A$2:$A$501,0)),"")</f>
        <v>22367</v>
      </c>
      <c r="R318" s="16">
        <f>参数!$B$10</f>
        <v>4</v>
      </c>
      <c r="S318" s="16">
        <f>参数!$C$10</f>
        <v>1.2</v>
      </c>
      <c r="T318" s="16">
        <f>参数!$D$10</f>
        <v>1</v>
      </c>
      <c r="U318" s="16">
        <f t="shared" si="32"/>
        <v>893436</v>
      </c>
      <c r="V318" s="16">
        <f t="shared" si="33"/>
        <v>28963.2</v>
      </c>
      <c r="W318" s="16">
        <f t="shared" si="34"/>
        <v>22367</v>
      </c>
      <c r="X318" s="16">
        <f>IFERROR(INDEX(参数!$B$5:$B$7,MATCH($N318,参数!$A$5:$A$7,0)),"")</f>
        <v>1.25</v>
      </c>
      <c r="Y318" s="16">
        <f>IFERROR(INDEX(参数!$C$5:$C$7,MATCH($N318,参数!$A$5:$A$7,0)),"")</f>
        <v>1</v>
      </c>
      <c r="Z318" s="16">
        <f>IFERROR(INDEX(参数!$D$5:$D$7,MATCH($N318,参数!$A$5:$A$7,0)),"")</f>
        <v>1.25</v>
      </c>
      <c r="AA318" s="16">
        <f>IFERROR(INDEX(楼层配置!$E$5:$E$104,MATCH($K318,楼层配置!$B$5:$B$104,0)),1)</f>
        <v>1.14900462820668</v>
      </c>
      <c r="AB318" s="16">
        <f>IFERROR(INDEX(楼层配置!$F$5:$F$104,MATCH($K318,楼层配置!$B$5:$B$104,0)),1)</f>
        <v>0.691032777546049</v>
      </c>
      <c r="AC318" s="16">
        <f>IFERROR(INDEX(楼层配置!$G$5:$G$104,MATCH($K318,楼层配置!$B$5:$B$104,0)),1)</f>
        <v>1</v>
      </c>
      <c r="AD318" s="18">
        <f t="shared" si="35"/>
        <v>-0.260568793678892</v>
      </c>
      <c r="AE318" s="18">
        <f t="shared" si="36"/>
        <v>-0.140027498496176</v>
      </c>
      <c r="AF318" s="18">
        <f t="shared" si="37"/>
        <v>0.196772536597894</v>
      </c>
      <c r="AG318" s="16" t="str">
        <f t="shared" si="38"/>
        <v>有效</v>
      </c>
      <c r="AH318">
        <f t="shared" si="39"/>
        <v>2778081.02820833</v>
      </c>
    </row>
    <row r="319" ht="14.25" customHeight="1" spans="1:34">
      <c r="A319" s="16">
        <v>315</v>
      </c>
      <c r="B319" s="16">
        <v>1007</v>
      </c>
      <c r="C319" s="16">
        <v>41</v>
      </c>
      <c r="D319" s="17">
        <f>IFERROR(ROUND($U319*$X319*$AA319*参数!$B$13,0),"")</f>
        <v>1283203</v>
      </c>
      <c r="E319" s="17">
        <f>IFERROR(ROUND($V319*$Y319*$AB319*参数!$C$13,0),"")</f>
        <v>20015</v>
      </c>
      <c r="F319" s="17">
        <f>IFERROR(ROUND($W319*$Z319*$AC319*参数!$D$13,0),"")</f>
        <v>27959</v>
      </c>
      <c r="G319" s="16">
        <v>1735392</v>
      </c>
      <c r="H319" s="16">
        <v>23274</v>
      </c>
      <c r="I319" s="16">
        <v>23362</v>
      </c>
      <c r="J319" s="16">
        <v>63</v>
      </c>
      <c r="K319" s="16">
        <v>63</v>
      </c>
      <c r="L319" s="16">
        <f>IFERROR(INDEX(楼层配置!$D$5:$D$104,MATCH($K319,楼层配置!$B$5:$B$104,0)),"")</f>
        <v>225</v>
      </c>
      <c r="M319" s="16" t="str">
        <f>IFERROR(INDEX(_角色基线!$B$2:$B$100,MATCH($B319,_角色基线!$A$2:$A$100,0)),"")</f>
        <v>萨萨莉安</v>
      </c>
      <c r="N319" s="16" t="str">
        <f>IFERROR(INDEX(_角色基线!$C$2:$C$100,MATCH($B319,_角色基线!$A$2:$A$100,0)),"")</f>
        <v>Support</v>
      </c>
      <c r="O319" s="16">
        <f>IFERROR(INDEX(_怪物基线!$B$2:$B$501,MATCH(INT($L319),_怪物基线!$A$2:$A$501,0)),"")</f>
        <v>223359</v>
      </c>
      <c r="P319" s="16">
        <f>IFERROR(INDEX(_怪物基线!$C$2:$C$501,MATCH(INT($L319),_怪物基线!$A$2:$A$501,0)),"")</f>
        <v>24136</v>
      </c>
      <c r="Q319" s="16">
        <f>IFERROR(INDEX(_怪物基线!$D$2:$D$501,MATCH(INT($L319),_怪物基线!$A$2:$A$501,0)),"")</f>
        <v>22367</v>
      </c>
      <c r="R319" s="16">
        <f>参数!$B$10</f>
        <v>4</v>
      </c>
      <c r="S319" s="16">
        <f>参数!$C$10</f>
        <v>1.2</v>
      </c>
      <c r="T319" s="16">
        <f>参数!$D$10</f>
        <v>1</v>
      </c>
      <c r="U319" s="16">
        <f t="shared" si="32"/>
        <v>893436</v>
      </c>
      <c r="V319" s="16">
        <f t="shared" si="33"/>
        <v>28963.2</v>
      </c>
      <c r="W319" s="16">
        <f t="shared" si="34"/>
        <v>22367</v>
      </c>
      <c r="X319" s="16">
        <f>IFERROR(INDEX(参数!$B$5:$B$7,MATCH($N319,参数!$A$5:$A$7,0)),"")</f>
        <v>1.25</v>
      </c>
      <c r="Y319" s="16">
        <f>IFERROR(INDEX(参数!$C$5:$C$7,MATCH($N319,参数!$A$5:$A$7,0)),"")</f>
        <v>1</v>
      </c>
      <c r="Z319" s="16">
        <f>IFERROR(INDEX(参数!$D$5:$D$7,MATCH($N319,参数!$A$5:$A$7,0)),"")</f>
        <v>1.25</v>
      </c>
      <c r="AA319" s="16">
        <f>IFERROR(INDEX(楼层配置!$E$5:$E$104,MATCH($K319,楼层配置!$B$5:$B$104,0)),1)</f>
        <v>1.14900462820668</v>
      </c>
      <c r="AB319" s="16">
        <f>IFERROR(INDEX(楼层配置!$F$5:$F$104,MATCH($K319,楼层配置!$B$5:$B$104,0)),1)</f>
        <v>0.691032777546049</v>
      </c>
      <c r="AC319" s="16">
        <f>IFERROR(INDEX(楼层配置!$G$5:$G$104,MATCH($K319,楼层配置!$B$5:$B$104,0)),1)</f>
        <v>1</v>
      </c>
      <c r="AD319" s="18">
        <f t="shared" si="35"/>
        <v>-0.260568793678892</v>
      </c>
      <c r="AE319" s="18">
        <f t="shared" si="36"/>
        <v>-0.140027498496176</v>
      </c>
      <c r="AF319" s="18">
        <f t="shared" si="37"/>
        <v>0.196772536597894</v>
      </c>
      <c r="AG319" s="16" t="str">
        <f t="shared" si="38"/>
        <v>有效</v>
      </c>
      <c r="AH319">
        <f t="shared" si="39"/>
        <v>2778081.02820833</v>
      </c>
    </row>
    <row r="320" ht="14.25" customHeight="1" spans="1:34">
      <c r="A320" s="16">
        <v>316</v>
      </c>
      <c r="B320" s="16">
        <v>1004</v>
      </c>
      <c r="C320" s="16">
        <v>42</v>
      </c>
      <c r="D320" s="17">
        <f>IFERROR(ROUND($U320*$X320*$AA320*参数!$B$13,0),"")</f>
        <v>1583702</v>
      </c>
      <c r="E320" s="17">
        <f>IFERROR(ROUND($V320*$Y320*$AB320*参数!$C$13,0),"")</f>
        <v>20473</v>
      </c>
      <c r="F320" s="17">
        <f>IFERROR(ROUND($W320*$Z320*$AC320*参数!$D$13,0),"")</f>
        <v>33927</v>
      </c>
      <c r="G320" s="16">
        <v>2164269</v>
      </c>
      <c r="H320" s="16">
        <v>23922</v>
      </c>
      <c r="I320" s="16">
        <v>28599</v>
      </c>
      <c r="J320" s="16">
        <v>64</v>
      </c>
      <c r="K320" s="16">
        <v>64</v>
      </c>
      <c r="L320" s="16">
        <f>IFERROR(INDEX(楼层配置!$D$5:$D$104,MATCH($K320,楼层配置!$B$5:$B$104,0)),"")</f>
        <v>227</v>
      </c>
      <c r="M320" s="16" t="str">
        <f>IFERROR(INDEX(_角色基线!$B$2:$B$100,MATCH($B320,_角色基线!$A$2:$A$100,0)),"")</f>
        <v>阿芭</v>
      </c>
      <c r="N320" s="16" t="str">
        <f>IFERROR(INDEX(_角色基线!$C$2:$C$100,MATCH($B320,_角色基线!$A$2:$A$100,0)),"")</f>
        <v>Tank</v>
      </c>
      <c r="O320" s="16">
        <f>IFERROR(INDEX(_怪物基线!$B$2:$B$501,MATCH(INT($L320),_怪物基线!$A$2:$A$501,0)),"")</f>
        <v>228432</v>
      </c>
      <c r="P320" s="16">
        <f>IFERROR(INDEX(_怪物基线!$C$2:$C$501,MATCH(INT($L320),_怪物基线!$A$2:$A$501,0)),"")</f>
        <v>24535</v>
      </c>
      <c r="Q320" s="16">
        <f>IFERROR(INDEX(_怪物基线!$D$2:$D$501,MATCH(INT($L320),_怪物基线!$A$2:$A$501,0)),"")</f>
        <v>22618</v>
      </c>
      <c r="R320" s="16">
        <f>参数!$B$10</f>
        <v>4</v>
      </c>
      <c r="S320" s="16">
        <f>参数!$C$10</f>
        <v>1.2</v>
      </c>
      <c r="T320" s="16">
        <f>参数!$D$10</f>
        <v>1</v>
      </c>
      <c r="U320" s="16">
        <f t="shared" si="32"/>
        <v>913728</v>
      </c>
      <c r="V320" s="16">
        <f t="shared" si="33"/>
        <v>29442</v>
      </c>
      <c r="W320" s="16">
        <f t="shared" si="34"/>
        <v>22618</v>
      </c>
      <c r="X320" s="16">
        <f>IFERROR(INDEX(参数!$B$5:$B$7,MATCH($N320,参数!$A$5:$A$7,0)),"")</f>
        <v>1.5</v>
      </c>
      <c r="Y320" s="16">
        <f>IFERROR(INDEX(参数!$C$5:$C$7,MATCH($N320,参数!$A$5:$A$7,0)),"")</f>
        <v>1</v>
      </c>
      <c r="Z320" s="16">
        <f>IFERROR(INDEX(参数!$D$5:$D$7,MATCH($N320,参数!$A$5:$A$7,0)),"")</f>
        <v>1.5</v>
      </c>
      <c r="AA320" s="16">
        <f>IFERROR(INDEX(楼层配置!$E$5:$E$104,MATCH($K320,楼层配置!$B$5:$B$104,0)),1)</f>
        <v>1.15548735913503</v>
      </c>
      <c r="AB320" s="16">
        <f>IFERROR(INDEX(楼层配置!$F$5:$F$104,MATCH($K320,楼层配置!$B$5:$B$104,0)),1)</f>
        <v>0.695378181108376</v>
      </c>
      <c r="AC320" s="16">
        <f>IFERROR(INDEX(楼层配置!$G$5:$G$104,MATCH($K320,楼层配置!$B$5:$B$104,0)),1)</f>
        <v>1</v>
      </c>
      <c r="AD320" s="18">
        <f t="shared" si="35"/>
        <v>-0.268250850518119</v>
      </c>
      <c r="AE320" s="18">
        <f t="shared" si="36"/>
        <v>-0.14417690828526</v>
      </c>
      <c r="AF320" s="18">
        <f t="shared" si="37"/>
        <v>0.186300220287423</v>
      </c>
      <c r="AG320" s="16" t="str">
        <f t="shared" si="38"/>
        <v>有效</v>
      </c>
      <c r="AH320">
        <f t="shared" si="39"/>
        <v>3822462.73975</v>
      </c>
    </row>
    <row r="321" ht="14.25" customHeight="1" spans="1:34">
      <c r="A321" s="16">
        <v>317</v>
      </c>
      <c r="B321" s="16">
        <v>1021</v>
      </c>
      <c r="C321" s="16">
        <v>42</v>
      </c>
      <c r="D321" s="17">
        <f>IFERROR(ROUND($U321*$X321*$AA321*参数!$B$13,0),"")</f>
        <v>1055801</v>
      </c>
      <c r="E321" s="17">
        <f>IFERROR(ROUND($V321*$Y321*$AB321*参数!$C$13,0),"")</f>
        <v>24568</v>
      </c>
      <c r="F321" s="17">
        <f>IFERROR(ROUND($W321*$Z321*$AC321*参数!$D$13,0),"")</f>
        <v>22618</v>
      </c>
      <c r="G321" s="16">
        <v>1442846</v>
      </c>
      <c r="H321" s="16">
        <v>28706</v>
      </c>
      <c r="I321" s="16">
        <v>19066</v>
      </c>
      <c r="J321" s="16">
        <v>64</v>
      </c>
      <c r="K321" s="16">
        <v>64</v>
      </c>
      <c r="L321" s="16">
        <f>IFERROR(INDEX(楼层配置!$D$5:$D$104,MATCH($K321,楼层配置!$B$5:$B$104,0)),"")</f>
        <v>227</v>
      </c>
      <c r="M321" s="16" t="str">
        <f>IFERROR(INDEX(_角色基线!$B$2:$B$100,MATCH($B321,_角色基线!$A$2:$A$100,0)),"")</f>
        <v>梅梅</v>
      </c>
      <c r="N321" s="16" t="str">
        <f>IFERROR(INDEX(_角色基线!$C$2:$C$100,MATCH($B321,_角色基线!$A$2:$A$100,0)),"")</f>
        <v>DPS</v>
      </c>
      <c r="O321" s="16">
        <f>IFERROR(INDEX(_怪物基线!$B$2:$B$501,MATCH(INT($L321),_怪物基线!$A$2:$A$501,0)),"")</f>
        <v>228432</v>
      </c>
      <c r="P321" s="16">
        <f>IFERROR(INDEX(_怪物基线!$C$2:$C$501,MATCH(INT($L321),_怪物基线!$A$2:$A$501,0)),"")</f>
        <v>24535</v>
      </c>
      <c r="Q321" s="16">
        <f>IFERROR(INDEX(_怪物基线!$D$2:$D$501,MATCH(INT($L321),_怪物基线!$A$2:$A$501,0)),"")</f>
        <v>22618</v>
      </c>
      <c r="R321" s="16">
        <f>参数!$B$10</f>
        <v>4</v>
      </c>
      <c r="S321" s="16">
        <f>参数!$C$10</f>
        <v>1.2</v>
      </c>
      <c r="T321" s="16">
        <f>参数!$D$10</f>
        <v>1</v>
      </c>
      <c r="U321" s="16">
        <f t="shared" si="32"/>
        <v>913728</v>
      </c>
      <c r="V321" s="16">
        <f t="shared" si="33"/>
        <v>29442</v>
      </c>
      <c r="W321" s="16">
        <f t="shared" si="34"/>
        <v>22618</v>
      </c>
      <c r="X321" s="16">
        <f>IFERROR(INDEX(参数!$B$5:$B$7,MATCH($N321,参数!$A$5:$A$7,0)),"")</f>
        <v>1</v>
      </c>
      <c r="Y321" s="16">
        <f>IFERROR(INDEX(参数!$C$5:$C$7,MATCH($N321,参数!$A$5:$A$7,0)),"")</f>
        <v>1.2</v>
      </c>
      <c r="Z321" s="16">
        <f>IFERROR(INDEX(参数!$D$5:$D$7,MATCH($N321,参数!$A$5:$A$7,0)),"")</f>
        <v>1</v>
      </c>
      <c r="AA321" s="16">
        <f>IFERROR(INDEX(楼层配置!$E$5:$E$104,MATCH($K321,楼层配置!$B$5:$B$104,0)),1)</f>
        <v>1.15548735913503</v>
      </c>
      <c r="AB321" s="16">
        <f>IFERROR(INDEX(楼层配置!$F$5:$F$104,MATCH($K321,楼层配置!$B$5:$B$104,0)),1)</f>
        <v>0.695378181108376</v>
      </c>
      <c r="AC321" s="16">
        <f>IFERROR(INDEX(楼层配置!$G$5:$G$104,MATCH($K321,楼层配置!$B$5:$B$104,0)),1)</f>
        <v>1</v>
      </c>
      <c r="AD321" s="18">
        <f t="shared" si="35"/>
        <v>-0.268251081543006</v>
      </c>
      <c r="AE321" s="18">
        <f t="shared" si="36"/>
        <v>-0.144151048561276</v>
      </c>
      <c r="AF321" s="18">
        <f t="shared" si="37"/>
        <v>0.186300220287423</v>
      </c>
      <c r="AG321" s="16" t="str">
        <f t="shared" si="38"/>
        <v>有效</v>
      </c>
      <c r="AH321">
        <f t="shared" si="39"/>
        <v>2050805.45908333</v>
      </c>
    </row>
    <row r="322" ht="14.25" customHeight="1" spans="1:34">
      <c r="A322" s="16">
        <v>318</v>
      </c>
      <c r="B322" s="16">
        <v>1006</v>
      </c>
      <c r="C322" s="16">
        <v>42</v>
      </c>
      <c r="D322" s="17">
        <f>IFERROR(ROUND($U322*$X322*$AA322*参数!$B$13,0),"")</f>
        <v>1055801</v>
      </c>
      <c r="E322" s="17">
        <f>IFERROR(ROUND($V322*$Y322*$AB322*参数!$C$13,0),"")</f>
        <v>24568</v>
      </c>
      <c r="F322" s="17">
        <f>IFERROR(ROUND($W322*$Z322*$AC322*参数!$D$13,0),"")</f>
        <v>22618</v>
      </c>
      <c r="G322" s="16">
        <v>1442846</v>
      </c>
      <c r="H322" s="16">
        <v>28706</v>
      </c>
      <c r="I322" s="16">
        <v>19066</v>
      </c>
      <c r="J322" s="16">
        <v>64</v>
      </c>
      <c r="K322" s="16">
        <v>64</v>
      </c>
      <c r="L322" s="16">
        <f>IFERROR(INDEX(楼层配置!$D$5:$D$104,MATCH($K322,楼层配置!$B$5:$B$104,0)),"")</f>
        <v>227</v>
      </c>
      <c r="M322" s="16" t="str">
        <f>IFERROR(INDEX(_角色基线!$B$2:$B$100,MATCH($B322,_角色基线!$A$2:$A$100,0)),"")</f>
        <v>莉莉娅</v>
      </c>
      <c r="N322" s="16" t="str">
        <f>IFERROR(INDEX(_角色基线!$C$2:$C$100,MATCH($B322,_角色基线!$A$2:$A$100,0)),"")</f>
        <v>DPS</v>
      </c>
      <c r="O322" s="16">
        <f>IFERROR(INDEX(_怪物基线!$B$2:$B$501,MATCH(INT($L322),_怪物基线!$A$2:$A$501,0)),"")</f>
        <v>228432</v>
      </c>
      <c r="P322" s="16">
        <f>IFERROR(INDEX(_怪物基线!$C$2:$C$501,MATCH(INT($L322),_怪物基线!$A$2:$A$501,0)),"")</f>
        <v>24535</v>
      </c>
      <c r="Q322" s="16">
        <f>IFERROR(INDEX(_怪物基线!$D$2:$D$501,MATCH(INT($L322),_怪物基线!$A$2:$A$501,0)),"")</f>
        <v>22618</v>
      </c>
      <c r="R322" s="16">
        <f>参数!$B$10</f>
        <v>4</v>
      </c>
      <c r="S322" s="16">
        <f>参数!$C$10</f>
        <v>1.2</v>
      </c>
      <c r="T322" s="16">
        <f>参数!$D$10</f>
        <v>1</v>
      </c>
      <c r="U322" s="16">
        <f t="shared" si="32"/>
        <v>913728</v>
      </c>
      <c r="V322" s="16">
        <f t="shared" si="33"/>
        <v>29442</v>
      </c>
      <c r="W322" s="16">
        <f t="shared" si="34"/>
        <v>22618</v>
      </c>
      <c r="X322" s="16">
        <f>IFERROR(INDEX(参数!$B$5:$B$7,MATCH($N322,参数!$A$5:$A$7,0)),"")</f>
        <v>1</v>
      </c>
      <c r="Y322" s="16">
        <f>IFERROR(INDEX(参数!$C$5:$C$7,MATCH($N322,参数!$A$5:$A$7,0)),"")</f>
        <v>1.2</v>
      </c>
      <c r="Z322" s="16">
        <f>IFERROR(INDEX(参数!$D$5:$D$7,MATCH($N322,参数!$A$5:$A$7,0)),"")</f>
        <v>1</v>
      </c>
      <c r="AA322" s="16">
        <f>IFERROR(INDEX(楼层配置!$E$5:$E$104,MATCH($K322,楼层配置!$B$5:$B$104,0)),1)</f>
        <v>1.15548735913503</v>
      </c>
      <c r="AB322" s="16">
        <f>IFERROR(INDEX(楼层配置!$F$5:$F$104,MATCH($K322,楼层配置!$B$5:$B$104,0)),1)</f>
        <v>0.695378181108376</v>
      </c>
      <c r="AC322" s="16">
        <f>IFERROR(INDEX(楼层配置!$G$5:$G$104,MATCH($K322,楼层配置!$B$5:$B$104,0)),1)</f>
        <v>1</v>
      </c>
      <c r="AD322" s="18">
        <f t="shared" si="35"/>
        <v>-0.268251081543006</v>
      </c>
      <c r="AE322" s="18">
        <f t="shared" si="36"/>
        <v>-0.144151048561276</v>
      </c>
      <c r="AF322" s="18">
        <f t="shared" si="37"/>
        <v>0.186300220287423</v>
      </c>
      <c r="AG322" s="16" t="str">
        <f t="shared" si="38"/>
        <v>有效</v>
      </c>
      <c r="AH322">
        <f t="shared" si="39"/>
        <v>2050805.45908333</v>
      </c>
    </row>
    <row r="323" ht="14.25" customHeight="1" spans="1:34">
      <c r="A323" s="16">
        <v>319</v>
      </c>
      <c r="B323" s="16">
        <v>1012</v>
      </c>
      <c r="C323" s="16">
        <v>42</v>
      </c>
      <c r="D323" s="17">
        <f>IFERROR(ROUND($U323*$X323*$AA323*参数!$B$13,0),"")</f>
        <v>1319751</v>
      </c>
      <c r="E323" s="17">
        <f>IFERROR(ROUND($V323*$Y323*$AB323*参数!$C$13,0),"")</f>
        <v>20473</v>
      </c>
      <c r="F323" s="17">
        <f>IFERROR(ROUND($W323*$Z323*$AC323*参数!$D$13,0),"")</f>
        <v>28273</v>
      </c>
      <c r="G323" s="16">
        <v>1803558</v>
      </c>
      <c r="H323" s="16">
        <v>23922</v>
      </c>
      <c r="I323" s="16">
        <v>23833</v>
      </c>
      <c r="J323" s="16">
        <v>64</v>
      </c>
      <c r="K323" s="16">
        <v>64</v>
      </c>
      <c r="L323" s="16">
        <f>IFERROR(INDEX(楼层配置!$D$5:$D$104,MATCH($K323,楼层配置!$B$5:$B$104,0)),"")</f>
        <v>227</v>
      </c>
      <c r="M323" s="16" t="str">
        <f>IFERROR(INDEX(_角色基线!$B$2:$B$100,MATCH($B323,_角色基线!$A$2:$A$100,0)),"")</f>
        <v>艾德琳</v>
      </c>
      <c r="N323" s="16" t="str">
        <f>IFERROR(INDEX(_角色基线!$C$2:$C$100,MATCH($B323,_角色基线!$A$2:$A$100,0)),"")</f>
        <v>Support</v>
      </c>
      <c r="O323" s="16">
        <f>IFERROR(INDEX(_怪物基线!$B$2:$B$501,MATCH(INT($L323),_怪物基线!$A$2:$A$501,0)),"")</f>
        <v>228432</v>
      </c>
      <c r="P323" s="16">
        <f>IFERROR(INDEX(_怪物基线!$C$2:$C$501,MATCH(INT($L323),_怪物基线!$A$2:$A$501,0)),"")</f>
        <v>24535</v>
      </c>
      <c r="Q323" s="16">
        <f>IFERROR(INDEX(_怪物基线!$D$2:$D$501,MATCH(INT($L323),_怪物基线!$A$2:$A$501,0)),"")</f>
        <v>22618</v>
      </c>
      <c r="R323" s="16">
        <f>参数!$B$10</f>
        <v>4</v>
      </c>
      <c r="S323" s="16">
        <f>参数!$C$10</f>
        <v>1.2</v>
      </c>
      <c r="T323" s="16">
        <f>参数!$D$10</f>
        <v>1</v>
      </c>
      <c r="U323" s="16">
        <f t="shared" si="32"/>
        <v>913728</v>
      </c>
      <c r="V323" s="16">
        <f t="shared" si="33"/>
        <v>29442</v>
      </c>
      <c r="W323" s="16">
        <f t="shared" si="34"/>
        <v>22618</v>
      </c>
      <c r="X323" s="16">
        <f>IFERROR(INDEX(参数!$B$5:$B$7,MATCH($N323,参数!$A$5:$A$7,0)),"")</f>
        <v>1.25</v>
      </c>
      <c r="Y323" s="16">
        <f>IFERROR(INDEX(参数!$C$5:$C$7,MATCH($N323,参数!$A$5:$A$7,0)),"")</f>
        <v>1</v>
      </c>
      <c r="Z323" s="16">
        <f>IFERROR(INDEX(参数!$D$5:$D$7,MATCH($N323,参数!$A$5:$A$7,0)),"")</f>
        <v>1.25</v>
      </c>
      <c r="AA323" s="16">
        <f>IFERROR(INDEX(楼层配置!$E$5:$E$104,MATCH($K323,楼层配置!$B$5:$B$104,0)),1)</f>
        <v>1.15548735913503</v>
      </c>
      <c r="AB323" s="16">
        <f>IFERROR(INDEX(楼层配置!$F$5:$F$104,MATCH($K323,楼层配置!$B$5:$B$104,0)),1)</f>
        <v>0.695378181108376</v>
      </c>
      <c r="AC323" s="16">
        <f>IFERROR(INDEX(楼层配置!$G$5:$G$104,MATCH($K323,楼层配置!$B$5:$B$104,0)),1)</f>
        <v>1</v>
      </c>
      <c r="AD323" s="18">
        <f t="shared" si="35"/>
        <v>-0.268251423020496</v>
      </c>
      <c r="AE323" s="18">
        <f t="shared" si="36"/>
        <v>-0.14417690828526</v>
      </c>
      <c r="AF323" s="18">
        <f t="shared" si="37"/>
        <v>0.186296311836529</v>
      </c>
      <c r="AG323" s="16" t="str">
        <f t="shared" si="38"/>
        <v>有效</v>
      </c>
      <c r="AH323">
        <f t="shared" si="39"/>
        <v>2874472.667625</v>
      </c>
    </row>
    <row r="324" ht="14.25" customHeight="1" spans="1:34">
      <c r="A324" s="16">
        <v>320</v>
      </c>
      <c r="B324" s="16">
        <v>1014</v>
      </c>
      <c r="C324" s="16">
        <v>42</v>
      </c>
      <c r="D324" s="17">
        <f>IFERROR(ROUND($U324*$X324*$AA324*参数!$B$13,0),"")</f>
        <v>1055801</v>
      </c>
      <c r="E324" s="17">
        <f>IFERROR(ROUND($V324*$Y324*$AB324*参数!$C$13,0),"")</f>
        <v>24568</v>
      </c>
      <c r="F324" s="17">
        <f>IFERROR(ROUND($W324*$Z324*$AC324*参数!$D$13,0),"")</f>
        <v>22618</v>
      </c>
      <c r="G324" s="16">
        <v>1442846</v>
      </c>
      <c r="H324" s="16">
        <v>28706</v>
      </c>
      <c r="I324" s="16">
        <v>19066</v>
      </c>
      <c r="J324" s="16">
        <v>64</v>
      </c>
      <c r="K324" s="16">
        <v>64</v>
      </c>
      <c r="L324" s="16">
        <f>IFERROR(INDEX(楼层配置!$D$5:$D$104,MATCH($K324,楼层配置!$B$5:$B$104,0)),"")</f>
        <v>227</v>
      </c>
      <c r="M324" s="16" t="str">
        <f>IFERROR(INDEX(_角色基线!$B$2:$B$100,MATCH($B324,_角色基线!$A$2:$A$100,0)),"")</f>
        <v>克莉丝汀</v>
      </c>
      <c r="N324" s="16" t="str">
        <f>IFERROR(INDEX(_角色基线!$C$2:$C$100,MATCH($B324,_角色基线!$A$2:$A$100,0)),"")</f>
        <v>DPS</v>
      </c>
      <c r="O324" s="16">
        <f>IFERROR(INDEX(_怪物基线!$B$2:$B$501,MATCH(INT($L324),_怪物基线!$A$2:$A$501,0)),"")</f>
        <v>228432</v>
      </c>
      <c r="P324" s="16">
        <f>IFERROR(INDEX(_怪物基线!$C$2:$C$501,MATCH(INT($L324),_怪物基线!$A$2:$A$501,0)),"")</f>
        <v>24535</v>
      </c>
      <c r="Q324" s="16">
        <f>IFERROR(INDEX(_怪物基线!$D$2:$D$501,MATCH(INT($L324),_怪物基线!$A$2:$A$501,0)),"")</f>
        <v>22618</v>
      </c>
      <c r="R324" s="16">
        <f>参数!$B$10</f>
        <v>4</v>
      </c>
      <c r="S324" s="16">
        <f>参数!$C$10</f>
        <v>1.2</v>
      </c>
      <c r="T324" s="16">
        <f>参数!$D$10</f>
        <v>1</v>
      </c>
      <c r="U324" s="16">
        <f t="shared" si="32"/>
        <v>913728</v>
      </c>
      <c r="V324" s="16">
        <f t="shared" si="33"/>
        <v>29442</v>
      </c>
      <c r="W324" s="16">
        <f t="shared" si="34"/>
        <v>22618</v>
      </c>
      <c r="X324" s="16">
        <f>IFERROR(INDEX(参数!$B$5:$B$7,MATCH($N324,参数!$A$5:$A$7,0)),"")</f>
        <v>1</v>
      </c>
      <c r="Y324" s="16">
        <f>IFERROR(INDEX(参数!$C$5:$C$7,MATCH($N324,参数!$A$5:$A$7,0)),"")</f>
        <v>1.2</v>
      </c>
      <c r="Z324" s="16">
        <f>IFERROR(INDEX(参数!$D$5:$D$7,MATCH($N324,参数!$A$5:$A$7,0)),"")</f>
        <v>1</v>
      </c>
      <c r="AA324" s="16">
        <f>IFERROR(INDEX(楼层配置!$E$5:$E$104,MATCH($K324,楼层配置!$B$5:$B$104,0)),1)</f>
        <v>1.15548735913503</v>
      </c>
      <c r="AB324" s="16">
        <f>IFERROR(INDEX(楼层配置!$F$5:$F$104,MATCH($K324,楼层配置!$B$5:$B$104,0)),1)</f>
        <v>0.695378181108376</v>
      </c>
      <c r="AC324" s="16">
        <f>IFERROR(INDEX(楼层配置!$G$5:$G$104,MATCH($K324,楼层配置!$B$5:$B$104,0)),1)</f>
        <v>1</v>
      </c>
      <c r="AD324" s="18">
        <f t="shared" si="35"/>
        <v>-0.268251081543006</v>
      </c>
      <c r="AE324" s="18">
        <f t="shared" si="36"/>
        <v>-0.144151048561276</v>
      </c>
      <c r="AF324" s="18">
        <f t="shared" si="37"/>
        <v>0.186300220287423</v>
      </c>
      <c r="AG324" s="16" t="str">
        <f t="shared" si="38"/>
        <v>有效</v>
      </c>
      <c r="AH324">
        <f t="shared" si="39"/>
        <v>2050805.45908333</v>
      </c>
    </row>
    <row r="325" ht="14.25" customHeight="1" spans="1:34">
      <c r="A325" s="16">
        <v>321</v>
      </c>
      <c r="B325" s="16">
        <v>1003</v>
      </c>
      <c r="C325" s="16">
        <v>42</v>
      </c>
      <c r="D325" s="17">
        <f>IFERROR(ROUND($U325*$X325*$AA325*参数!$B$13,0),"")</f>
        <v>1609892</v>
      </c>
      <c r="E325" s="17">
        <f>IFERROR(ROUND($V325*$Y325*$AB325*参数!$C$13,0),"")</f>
        <v>20736</v>
      </c>
      <c r="F325" s="17">
        <f>IFERROR(ROUND($W325*$Z325*$AC325*参数!$D$13,0),"")</f>
        <v>34304</v>
      </c>
      <c r="G325" s="16">
        <v>2248387</v>
      </c>
      <c r="H325" s="16">
        <v>24586</v>
      </c>
      <c r="I325" s="16">
        <v>29168</v>
      </c>
      <c r="J325" s="16">
        <v>65</v>
      </c>
      <c r="K325" s="16">
        <v>65</v>
      </c>
      <c r="L325" s="16">
        <f>IFERROR(INDEX(楼层配置!$D$5:$D$104,MATCH($K325,楼层配置!$B$5:$B$104,0)),"")</f>
        <v>229</v>
      </c>
      <c r="M325" s="16" t="str">
        <f>IFERROR(INDEX(_角色基线!$B$2:$B$100,MATCH($B325,_角色基线!$A$2:$A$100,0)),"")</f>
        <v>塔拉夏</v>
      </c>
      <c r="N325" s="16" t="str">
        <f>IFERROR(INDEX(_角色基线!$C$2:$C$100,MATCH($B325,_角色基线!$A$2:$A$100,0)),"")</f>
        <v>Tank</v>
      </c>
      <c r="O325" s="16">
        <f>IFERROR(INDEX(_怪物基线!$B$2:$B$501,MATCH(INT($L325),_怪物基线!$A$2:$A$501,0)),"")</f>
        <v>233591</v>
      </c>
      <c r="P325" s="16">
        <f>IFERROR(INDEX(_怪物基线!$C$2:$C$501,MATCH(INT($L325),_怪物基线!$A$2:$A$501,0)),"")</f>
        <v>24940</v>
      </c>
      <c r="Q325" s="16">
        <f>IFERROR(INDEX(_怪物基线!$D$2:$D$501,MATCH(INT($L325),_怪物基线!$A$2:$A$501,0)),"")</f>
        <v>22869</v>
      </c>
      <c r="R325" s="16">
        <f>参数!$B$10</f>
        <v>4</v>
      </c>
      <c r="S325" s="16">
        <f>参数!$C$10</f>
        <v>1.2</v>
      </c>
      <c r="T325" s="16">
        <f>参数!$D$10</f>
        <v>1</v>
      </c>
      <c r="U325" s="16">
        <f t="shared" ref="U325:U388" si="40">IF($O325="","",$O325*$R325)</f>
        <v>934364</v>
      </c>
      <c r="V325" s="16">
        <f t="shared" ref="V325:V388" si="41">IF($P325="","",$P325*$S325)</f>
        <v>29928</v>
      </c>
      <c r="W325" s="16">
        <f t="shared" ref="W325:W388" si="42">IF($Q325="","",$Q325*$T325)</f>
        <v>22869</v>
      </c>
      <c r="X325" s="16">
        <f>IFERROR(INDEX(参数!$B$5:$B$7,MATCH($N325,参数!$A$5:$A$7,0)),"")</f>
        <v>1.5</v>
      </c>
      <c r="Y325" s="16">
        <f>IFERROR(INDEX(参数!$C$5:$C$7,MATCH($N325,参数!$A$5:$A$7,0)),"")</f>
        <v>1</v>
      </c>
      <c r="Z325" s="16">
        <f>IFERROR(INDEX(参数!$D$5:$D$7,MATCH($N325,参数!$A$5:$A$7,0)),"")</f>
        <v>1.5</v>
      </c>
      <c r="AA325" s="16">
        <f>IFERROR(INDEX(楼层配置!$E$5:$E$104,MATCH($K325,楼层配置!$B$5:$B$104,0)),1)</f>
        <v>1.14865451907588</v>
      </c>
      <c r="AB325" s="16">
        <f>IFERROR(INDEX(楼层配置!$F$5:$F$104,MATCH($K325,楼层配置!$B$5:$B$104,0)),1)</f>
        <v>0.692854524567452</v>
      </c>
      <c r="AC325" s="16">
        <f>IFERROR(INDEX(楼层配置!$G$5:$G$104,MATCH($K325,楼层配置!$B$5:$B$104,0)),1)</f>
        <v>1</v>
      </c>
      <c r="AD325" s="18">
        <f t="shared" ref="AD325:AD388" si="43">IFERROR($D325/$G325-1,"")</f>
        <v>-0.283979137043578</v>
      </c>
      <c r="AE325" s="18">
        <f t="shared" ref="AE325:AE388" si="44">IFERROR($E325/$H325-1,"")</f>
        <v>-0.15659318311234</v>
      </c>
      <c r="AF325" s="18">
        <f t="shared" ref="AF325:AF388" si="45">IFERROR($F325/$I325-1,"")</f>
        <v>0.176083379045529</v>
      </c>
      <c r="AG325" s="16" t="str">
        <f t="shared" ref="AG325:AG388" si="46">IF(AND($A325&gt;=1,$L325&gt;=1,$L325&lt;=500,OR($N325="Tank",$N325="DPS",$N325="Support"),ISNUMBER($D325),ISNUMBER($E325),ISNUMBER($F325)),"有效","异常")</f>
        <v>有效</v>
      </c>
      <c r="AH325">
        <f t="shared" ref="AH325:AH388" si="47">D325/(1-MIN(0.75,F325/(24000+F325)))</f>
        <v>3910964.29866667</v>
      </c>
    </row>
    <row r="326" ht="14.25" customHeight="1" spans="1:34">
      <c r="A326" s="16">
        <v>322</v>
      </c>
      <c r="B326" s="16">
        <v>1008</v>
      </c>
      <c r="C326" s="16">
        <v>42</v>
      </c>
      <c r="D326" s="17">
        <f>IFERROR(ROUND($U326*$X326*$AA326*参数!$B$13,0),"")</f>
        <v>1073261</v>
      </c>
      <c r="E326" s="17">
        <f>IFERROR(ROUND($V326*$Y326*$AB326*参数!$C$13,0),"")</f>
        <v>24883</v>
      </c>
      <c r="F326" s="17">
        <f>IFERROR(ROUND($W326*$Z326*$AC326*参数!$D$13,0),"")</f>
        <v>22869</v>
      </c>
      <c r="G326" s="16">
        <v>1498924</v>
      </c>
      <c r="H326" s="16">
        <v>29503</v>
      </c>
      <c r="I326" s="16">
        <v>19445</v>
      </c>
      <c r="J326" s="16">
        <v>65</v>
      </c>
      <c r="K326" s="16">
        <v>65</v>
      </c>
      <c r="L326" s="16">
        <f>IFERROR(INDEX(楼层配置!$D$5:$D$104,MATCH($K326,楼层配置!$B$5:$B$104,0)),"")</f>
        <v>229</v>
      </c>
      <c r="M326" s="16" t="str">
        <f>IFERROR(INDEX(_角色基线!$B$2:$B$100,MATCH($B326,_角色基线!$A$2:$A$100,0)),"")</f>
        <v>薇</v>
      </c>
      <c r="N326" s="16" t="str">
        <f>IFERROR(INDEX(_角色基线!$C$2:$C$100,MATCH($B326,_角色基线!$A$2:$A$100,0)),"")</f>
        <v>DPS</v>
      </c>
      <c r="O326" s="16">
        <f>IFERROR(INDEX(_怪物基线!$B$2:$B$501,MATCH(INT($L326),_怪物基线!$A$2:$A$501,0)),"")</f>
        <v>233591</v>
      </c>
      <c r="P326" s="16">
        <f>IFERROR(INDEX(_怪物基线!$C$2:$C$501,MATCH(INT($L326),_怪物基线!$A$2:$A$501,0)),"")</f>
        <v>24940</v>
      </c>
      <c r="Q326" s="16">
        <f>IFERROR(INDEX(_怪物基线!$D$2:$D$501,MATCH(INT($L326),_怪物基线!$A$2:$A$501,0)),"")</f>
        <v>22869</v>
      </c>
      <c r="R326" s="16">
        <f>参数!$B$10</f>
        <v>4</v>
      </c>
      <c r="S326" s="16">
        <f>参数!$C$10</f>
        <v>1.2</v>
      </c>
      <c r="T326" s="16">
        <f>参数!$D$10</f>
        <v>1</v>
      </c>
      <c r="U326" s="16">
        <f t="shared" si="40"/>
        <v>934364</v>
      </c>
      <c r="V326" s="16">
        <f t="shared" si="41"/>
        <v>29928</v>
      </c>
      <c r="W326" s="16">
        <f t="shared" si="42"/>
        <v>22869</v>
      </c>
      <c r="X326" s="16">
        <f>IFERROR(INDEX(参数!$B$5:$B$7,MATCH($N326,参数!$A$5:$A$7,0)),"")</f>
        <v>1</v>
      </c>
      <c r="Y326" s="16">
        <f>IFERROR(INDEX(参数!$C$5:$C$7,MATCH($N326,参数!$A$5:$A$7,0)),"")</f>
        <v>1.2</v>
      </c>
      <c r="Z326" s="16">
        <f>IFERROR(INDEX(参数!$D$5:$D$7,MATCH($N326,参数!$A$5:$A$7,0)),"")</f>
        <v>1</v>
      </c>
      <c r="AA326" s="16">
        <f>IFERROR(INDEX(楼层配置!$E$5:$E$104,MATCH($K326,楼层配置!$B$5:$B$104,0)),1)</f>
        <v>1.14865451907588</v>
      </c>
      <c r="AB326" s="16">
        <f>IFERROR(INDEX(楼层配置!$F$5:$F$104,MATCH($K326,楼层配置!$B$5:$B$104,0)),1)</f>
        <v>0.692854524567452</v>
      </c>
      <c r="AC326" s="16">
        <f>IFERROR(INDEX(楼层配置!$G$5:$G$104,MATCH($K326,楼层配置!$B$5:$B$104,0)),1)</f>
        <v>1</v>
      </c>
      <c r="AD326" s="18">
        <f t="shared" si="43"/>
        <v>-0.283979040965386</v>
      </c>
      <c r="AE326" s="18">
        <f t="shared" si="44"/>
        <v>-0.156594244653086</v>
      </c>
      <c r="AF326" s="18">
        <f t="shared" si="45"/>
        <v>0.176086397531499</v>
      </c>
      <c r="AG326" s="16" t="str">
        <f t="shared" si="46"/>
        <v>有效</v>
      </c>
      <c r="AH326">
        <f t="shared" si="47"/>
        <v>2095944.575375</v>
      </c>
    </row>
    <row r="327" ht="14.25" customHeight="1" spans="1:34">
      <c r="A327" s="16">
        <v>323</v>
      </c>
      <c r="B327" s="16">
        <v>1007</v>
      </c>
      <c r="C327" s="16">
        <v>42</v>
      </c>
      <c r="D327" s="17">
        <f>IFERROR(ROUND($U327*$X327*$AA327*参数!$B$13,0),"")</f>
        <v>1341577</v>
      </c>
      <c r="E327" s="17">
        <f>IFERROR(ROUND($V327*$Y327*$AB327*参数!$C$13,0),"")</f>
        <v>20736</v>
      </c>
      <c r="F327" s="17">
        <f>IFERROR(ROUND($W327*$Z327*$AC327*参数!$D$13,0),"")</f>
        <v>28586</v>
      </c>
      <c r="G327" s="16">
        <v>1873656</v>
      </c>
      <c r="H327" s="16">
        <v>24586</v>
      </c>
      <c r="I327" s="16">
        <v>24307</v>
      </c>
      <c r="J327" s="16">
        <v>65</v>
      </c>
      <c r="K327" s="16">
        <v>65</v>
      </c>
      <c r="L327" s="16">
        <f>IFERROR(INDEX(楼层配置!$D$5:$D$104,MATCH($K327,楼层配置!$B$5:$B$104,0)),"")</f>
        <v>229</v>
      </c>
      <c r="M327" s="16" t="str">
        <f>IFERROR(INDEX(_角色基线!$B$2:$B$100,MATCH($B327,_角色基线!$A$2:$A$100,0)),"")</f>
        <v>萨萨莉安</v>
      </c>
      <c r="N327" s="16" t="str">
        <f>IFERROR(INDEX(_角色基线!$C$2:$C$100,MATCH($B327,_角色基线!$A$2:$A$100,0)),"")</f>
        <v>Support</v>
      </c>
      <c r="O327" s="16">
        <f>IFERROR(INDEX(_怪物基线!$B$2:$B$501,MATCH(INT($L327),_怪物基线!$A$2:$A$501,0)),"")</f>
        <v>233591</v>
      </c>
      <c r="P327" s="16">
        <f>IFERROR(INDEX(_怪物基线!$C$2:$C$501,MATCH(INT($L327),_怪物基线!$A$2:$A$501,0)),"")</f>
        <v>24940</v>
      </c>
      <c r="Q327" s="16">
        <f>IFERROR(INDEX(_怪物基线!$D$2:$D$501,MATCH(INT($L327),_怪物基线!$A$2:$A$501,0)),"")</f>
        <v>22869</v>
      </c>
      <c r="R327" s="16">
        <f>参数!$B$10</f>
        <v>4</v>
      </c>
      <c r="S327" s="16">
        <f>参数!$C$10</f>
        <v>1.2</v>
      </c>
      <c r="T327" s="16">
        <f>参数!$D$10</f>
        <v>1</v>
      </c>
      <c r="U327" s="16">
        <f t="shared" si="40"/>
        <v>934364</v>
      </c>
      <c r="V327" s="16">
        <f t="shared" si="41"/>
        <v>29928</v>
      </c>
      <c r="W327" s="16">
        <f t="shared" si="42"/>
        <v>22869</v>
      </c>
      <c r="X327" s="16">
        <f>IFERROR(INDEX(参数!$B$5:$B$7,MATCH($N327,参数!$A$5:$A$7,0)),"")</f>
        <v>1.25</v>
      </c>
      <c r="Y327" s="16">
        <f>IFERROR(INDEX(参数!$C$5:$C$7,MATCH($N327,参数!$A$5:$A$7,0)),"")</f>
        <v>1</v>
      </c>
      <c r="Z327" s="16">
        <f>IFERROR(INDEX(参数!$D$5:$D$7,MATCH($N327,参数!$A$5:$A$7,0)),"")</f>
        <v>1.25</v>
      </c>
      <c r="AA327" s="16">
        <f>IFERROR(INDEX(楼层配置!$E$5:$E$104,MATCH($K327,楼层配置!$B$5:$B$104,0)),1)</f>
        <v>1.14865451907588</v>
      </c>
      <c r="AB327" s="16">
        <f>IFERROR(INDEX(楼层配置!$F$5:$F$104,MATCH($K327,楼层配置!$B$5:$B$104,0)),1)</f>
        <v>0.692854524567452</v>
      </c>
      <c r="AC327" s="16">
        <f>IFERROR(INDEX(楼层配置!$G$5:$G$104,MATCH($K327,楼层配置!$B$5:$B$104,0)),1)</f>
        <v>1</v>
      </c>
      <c r="AD327" s="18">
        <f t="shared" si="43"/>
        <v>-0.283979022830231</v>
      </c>
      <c r="AE327" s="18">
        <f t="shared" si="44"/>
        <v>-0.15659318311234</v>
      </c>
      <c r="AF327" s="18">
        <f t="shared" si="45"/>
        <v>0.176039823919036</v>
      </c>
      <c r="AG327" s="16" t="str">
        <f t="shared" si="46"/>
        <v>有效</v>
      </c>
      <c r="AH327">
        <f t="shared" si="47"/>
        <v>2939507.00508333</v>
      </c>
    </row>
    <row r="328" ht="14.25" customHeight="1" spans="1:34">
      <c r="A328" s="16">
        <v>324</v>
      </c>
      <c r="B328" s="16">
        <v>1011</v>
      </c>
      <c r="C328" s="16">
        <v>42</v>
      </c>
      <c r="D328" s="17">
        <f>IFERROR(ROUND($U328*$X328*$AA328*参数!$B$13,0),"")</f>
        <v>1341577</v>
      </c>
      <c r="E328" s="17">
        <f>IFERROR(ROUND($V328*$Y328*$AB328*参数!$C$13,0),"")</f>
        <v>20736</v>
      </c>
      <c r="F328" s="17">
        <f>IFERROR(ROUND($W328*$Z328*$AC328*参数!$D$13,0),"")</f>
        <v>28586</v>
      </c>
      <c r="G328" s="16">
        <v>1873656</v>
      </c>
      <c r="H328" s="16">
        <v>24586</v>
      </c>
      <c r="I328" s="16">
        <v>24307</v>
      </c>
      <c r="J328" s="16">
        <v>65</v>
      </c>
      <c r="K328" s="16">
        <v>65</v>
      </c>
      <c r="L328" s="16">
        <f>IFERROR(INDEX(楼层配置!$D$5:$D$104,MATCH($K328,楼层配置!$B$5:$B$104,0)),"")</f>
        <v>229</v>
      </c>
      <c r="M328" s="16" t="str">
        <f>IFERROR(INDEX(_角色基线!$B$2:$B$100,MATCH($B328,_角色基线!$A$2:$A$100,0)),"")</f>
        <v>陈双双</v>
      </c>
      <c r="N328" s="16" t="str">
        <f>IFERROR(INDEX(_角色基线!$C$2:$C$100,MATCH($B328,_角色基线!$A$2:$A$100,0)),"")</f>
        <v>Support</v>
      </c>
      <c r="O328" s="16">
        <f>IFERROR(INDEX(_怪物基线!$B$2:$B$501,MATCH(INT($L328),_怪物基线!$A$2:$A$501,0)),"")</f>
        <v>233591</v>
      </c>
      <c r="P328" s="16">
        <f>IFERROR(INDEX(_怪物基线!$C$2:$C$501,MATCH(INT($L328),_怪物基线!$A$2:$A$501,0)),"")</f>
        <v>24940</v>
      </c>
      <c r="Q328" s="16">
        <f>IFERROR(INDEX(_怪物基线!$D$2:$D$501,MATCH(INT($L328),_怪物基线!$A$2:$A$501,0)),"")</f>
        <v>22869</v>
      </c>
      <c r="R328" s="16">
        <f>参数!$B$10</f>
        <v>4</v>
      </c>
      <c r="S328" s="16">
        <f>参数!$C$10</f>
        <v>1.2</v>
      </c>
      <c r="T328" s="16">
        <f>参数!$D$10</f>
        <v>1</v>
      </c>
      <c r="U328" s="16">
        <f t="shared" si="40"/>
        <v>934364</v>
      </c>
      <c r="V328" s="16">
        <f t="shared" si="41"/>
        <v>29928</v>
      </c>
      <c r="W328" s="16">
        <f t="shared" si="42"/>
        <v>22869</v>
      </c>
      <c r="X328" s="16">
        <f>IFERROR(INDEX(参数!$B$5:$B$7,MATCH($N328,参数!$A$5:$A$7,0)),"")</f>
        <v>1.25</v>
      </c>
      <c r="Y328" s="16">
        <f>IFERROR(INDEX(参数!$C$5:$C$7,MATCH($N328,参数!$A$5:$A$7,0)),"")</f>
        <v>1</v>
      </c>
      <c r="Z328" s="16">
        <f>IFERROR(INDEX(参数!$D$5:$D$7,MATCH($N328,参数!$A$5:$A$7,0)),"")</f>
        <v>1.25</v>
      </c>
      <c r="AA328" s="16">
        <f>IFERROR(INDEX(楼层配置!$E$5:$E$104,MATCH($K328,楼层配置!$B$5:$B$104,0)),1)</f>
        <v>1.14865451907588</v>
      </c>
      <c r="AB328" s="16">
        <f>IFERROR(INDEX(楼层配置!$F$5:$F$104,MATCH($K328,楼层配置!$B$5:$B$104,0)),1)</f>
        <v>0.692854524567452</v>
      </c>
      <c r="AC328" s="16">
        <f>IFERROR(INDEX(楼层配置!$G$5:$G$104,MATCH($K328,楼层配置!$B$5:$B$104,0)),1)</f>
        <v>1</v>
      </c>
      <c r="AD328" s="18">
        <f t="shared" si="43"/>
        <v>-0.283979022830231</v>
      </c>
      <c r="AE328" s="18">
        <f t="shared" si="44"/>
        <v>-0.15659318311234</v>
      </c>
      <c r="AF328" s="18">
        <f t="shared" si="45"/>
        <v>0.176039823919036</v>
      </c>
      <c r="AG328" s="16" t="str">
        <f t="shared" si="46"/>
        <v>有效</v>
      </c>
      <c r="AH328">
        <f t="shared" si="47"/>
        <v>2939507.00508333</v>
      </c>
    </row>
    <row r="329" ht="14.25" customHeight="1" spans="1:34">
      <c r="A329" s="16">
        <v>325</v>
      </c>
      <c r="B329" s="16">
        <v>1020</v>
      </c>
      <c r="C329" s="16">
        <v>42</v>
      </c>
      <c r="D329" s="17">
        <f>IFERROR(ROUND($U329*$X329*$AA329*参数!$B$13,0),"")</f>
        <v>1341577</v>
      </c>
      <c r="E329" s="17">
        <f>IFERROR(ROUND($V329*$Y329*$AB329*参数!$C$13,0),"")</f>
        <v>20736</v>
      </c>
      <c r="F329" s="17">
        <f>IFERROR(ROUND($W329*$Z329*$AC329*参数!$D$13,0),"")</f>
        <v>28586</v>
      </c>
      <c r="G329" s="16">
        <v>1873656</v>
      </c>
      <c r="H329" s="16">
        <v>24586</v>
      </c>
      <c r="I329" s="16">
        <v>24307</v>
      </c>
      <c r="J329" s="16">
        <v>65</v>
      </c>
      <c r="K329" s="16">
        <v>65</v>
      </c>
      <c r="L329" s="16">
        <f>IFERROR(INDEX(楼层配置!$D$5:$D$104,MATCH($K329,楼层配置!$B$5:$B$104,0)),"")</f>
        <v>229</v>
      </c>
      <c r="M329" s="16" t="str">
        <f>IFERROR(INDEX(_角色基线!$B$2:$B$100,MATCH($B329,_角色基线!$A$2:$A$100,0)),"")</f>
        <v>卡斯帕</v>
      </c>
      <c r="N329" s="16" t="str">
        <f>IFERROR(INDEX(_角色基线!$C$2:$C$100,MATCH($B329,_角色基线!$A$2:$A$100,0)),"")</f>
        <v>Support</v>
      </c>
      <c r="O329" s="16">
        <f>IFERROR(INDEX(_怪物基线!$B$2:$B$501,MATCH(INT($L329),_怪物基线!$A$2:$A$501,0)),"")</f>
        <v>233591</v>
      </c>
      <c r="P329" s="16">
        <f>IFERROR(INDEX(_怪物基线!$C$2:$C$501,MATCH(INT($L329),_怪物基线!$A$2:$A$501,0)),"")</f>
        <v>24940</v>
      </c>
      <c r="Q329" s="16">
        <f>IFERROR(INDEX(_怪物基线!$D$2:$D$501,MATCH(INT($L329),_怪物基线!$A$2:$A$501,0)),"")</f>
        <v>22869</v>
      </c>
      <c r="R329" s="16">
        <f>参数!$B$10</f>
        <v>4</v>
      </c>
      <c r="S329" s="16">
        <f>参数!$C$10</f>
        <v>1.2</v>
      </c>
      <c r="T329" s="16">
        <f>参数!$D$10</f>
        <v>1</v>
      </c>
      <c r="U329" s="16">
        <f t="shared" si="40"/>
        <v>934364</v>
      </c>
      <c r="V329" s="16">
        <f t="shared" si="41"/>
        <v>29928</v>
      </c>
      <c r="W329" s="16">
        <f t="shared" si="42"/>
        <v>22869</v>
      </c>
      <c r="X329" s="16">
        <f>IFERROR(INDEX(参数!$B$5:$B$7,MATCH($N329,参数!$A$5:$A$7,0)),"")</f>
        <v>1.25</v>
      </c>
      <c r="Y329" s="16">
        <f>IFERROR(INDEX(参数!$C$5:$C$7,MATCH($N329,参数!$A$5:$A$7,0)),"")</f>
        <v>1</v>
      </c>
      <c r="Z329" s="16">
        <f>IFERROR(INDEX(参数!$D$5:$D$7,MATCH($N329,参数!$A$5:$A$7,0)),"")</f>
        <v>1.25</v>
      </c>
      <c r="AA329" s="16">
        <f>IFERROR(INDEX(楼层配置!$E$5:$E$104,MATCH($K329,楼层配置!$B$5:$B$104,0)),1)</f>
        <v>1.14865451907588</v>
      </c>
      <c r="AB329" s="16">
        <f>IFERROR(INDEX(楼层配置!$F$5:$F$104,MATCH($K329,楼层配置!$B$5:$B$104,0)),1)</f>
        <v>0.692854524567452</v>
      </c>
      <c r="AC329" s="16">
        <f>IFERROR(INDEX(楼层配置!$G$5:$G$104,MATCH($K329,楼层配置!$B$5:$B$104,0)),1)</f>
        <v>1</v>
      </c>
      <c r="AD329" s="18">
        <f t="shared" si="43"/>
        <v>-0.283979022830231</v>
      </c>
      <c r="AE329" s="18">
        <f t="shared" si="44"/>
        <v>-0.15659318311234</v>
      </c>
      <c r="AF329" s="18">
        <f t="shared" si="45"/>
        <v>0.176039823919036</v>
      </c>
      <c r="AG329" s="16" t="str">
        <f t="shared" si="46"/>
        <v>有效</v>
      </c>
      <c r="AH329">
        <f t="shared" si="47"/>
        <v>2939507.00508333</v>
      </c>
    </row>
    <row r="330" ht="14.25" customHeight="1" spans="1:34">
      <c r="A330" s="16">
        <v>326</v>
      </c>
      <c r="B330" s="16">
        <v>1004</v>
      </c>
      <c r="C330" s="16">
        <v>43</v>
      </c>
      <c r="D330" s="17">
        <f>IFERROR(ROUND($U330*$X330*$AA330*参数!$B$13,0),"")</f>
        <v>1638242</v>
      </c>
      <c r="E330" s="17">
        <f>IFERROR(ROUND($V330*$Y330*$AB330*参数!$C$13,0),"")</f>
        <v>21057</v>
      </c>
      <c r="F330" s="17">
        <f>IFERROR(ROUND($W330*$Z330*$AC330*参数!$D$13,0),"")</f>
        <v>34493</v>
      </c>
      <c r="G330" s="16">
        <v>2334866</v>
      </c>
      <c r="H330" s="16">
        <v>25264</v>
      </c>
      <c r="I330" s="16">
        <v>29742</v>
      </c>
      <c r="J330" s="16">
        <v>66</v>
      </c>
      <c r="K330" s="16">
        <v>66</v>
      </c>
      <c r="L330" s="16">
        <f>IFERROR(INDEX(楼层配置!$D$5:$D$104,MATCH($K330,楼层配置!$B$5:$B$104,0)),"")</f>
        <v>230</v>
      </c>
      <c r="M330" s="16" t="str">
        <f>IFERROR(INDEX(_角色基线!$B$2:$B$100,MATCH($B330,_角色基线!$A$2:$A$100,0)),"")</f>
        <v>阿芭</v>
      </c>
      <c r="N330" s="16" t="str">
        <f>IFERROR(INDEX(_角色基线!$C$2:$C$100,MATCH($B330,_角色基线!$A$2:$A$100,0)),"")</f>
        <v>Tank</v>
      </c>
      <c r="O330" s="16">
        <f>IFERROR(INDEX(_怪物基线!$B$2:$B$501,MATCH(INT($L330),_怪物基线!$A$2:$A$501,0)),"")</f>
        <v>236203</v>
      </c>
      <c r="P330" s="16">
        <f>IFERROR(INDEX(_怪物基线!$C$2:$C$501,MATCH(INT($L330),_怪物基线!$A$2:$A$501,0)),"")</f>
        <v>25145</v>
      </c>
      <c r="Q330" s="16">
        <f>IFERROR(INDEX(_怪物基线!$D$2:$D$501,MATCH(INT($L330),_怪物基线!$A$2:$A$501,0)),"")</f>
        <v>22995</v>
      </c>
      <c r="R330" s="16">
        <f>参数!$B$10</f>
        <v>4</v>
      </c>
      <c r="S330" s="16">
        <f>参数!$C$10</f>
        <v>1.2</v>
      </c>
      <c r="T330" s="16">
        <f>参数!$D$10</f>
        <v>1</v>
      </c>
      <c r="U330" s="16">
        <f t="shared" si="40"/>
        <v>944812</v>
      </c>
      <c r="V330" s="16">
        <f t="shared" si="41"/>
        <v>30174</v>
      </c>
      <c r="W330" s="16">
        <f t="shared" si="42"/>
        <v>22995</v>
      </c>
      <c r="X330" s="16">
        <f>IFERROR(INDEX(参数!$B$5:$B$7,MATCH($N330,参数!$A$5:$A$7,0)),"")</f>
        <v>1.5</v>
      </c>
      <c r="Y330" s="16">
        <f>IFERROR(INDEX(参数!$C$5:$C$7,MATCH($N330,参数!$A$5:$A$7,0)),"")</f>
        <v>1</v>
      </c>
      <c r="Z330" s="16">
        <f>IFERROR(INDEX(参数!$D$5:$D$7,MATCH($N330,参数!$A$5:$A$7,0)),"")</f>
        <v>1.5</v>
      </c>
      <c r="AA330" s="16">
        <f>IFERROR(INDEX(楼层配置!$E$5:$E$104,MATCH($K330,楼层配置!$B$5:$B$104,0)),1)</f>
        <v>1.15595647386983</v>
      </c>
      <c r="AB330" s="16">
        <f>IFERROR(INDEX(楼层配置!$F$5:$F$104,MATCH($K330,楼层配置!$B$5:$B$104,0)),1)</f>
        <v>0.697843258119827</v>
      </c>
      <c r="AC330" s="16">
        <f>IFERROR(INDEX(楼层配置!$G$5:$G$104,MATCH($K330,楼层配置!$B$5:$B$104,0)),1)</f>
        <v>1</v>
      </c>
      <c r="AD330" s="18">
        <f t="shared" si="43"/>
        <v>-0.298357164822307</v>
      </c>
      <c r="AE330" s="18">
        <f t="shared" si="44"/>
        <v>-0.166521532615579</v>
      </c>
      <c r="AF330" s="18">
        <f t="shared" si="45"/>
        <v>0.159740434402528</v>
      </c>
      <c r="AG330" s="16" t="str">
        <f t="shared" si="46"/>
        <v>有效</v>
      </c>
      <c r="AH330">
        <f t="shared" si="47"/>
        <v>3992737.05441667</v>
      </c>
    </row>
    <row r="331" ht="14.25" customHeight="1" spans="1:34">
      <c r="A331" s="16">
        <v>327</v>
      </c>
      <c r="B331" s="16">
        <v>1021</v>
      </c>
      <c r="C331" s="16">
        <v>43</v>
      </c>
      <c r="D331" s="17">
        <f>IFERROR(ROUND($U331*$X331*$AA331*参数!$B$13,0),"")</f>
        <v>1092162</v>
      </c>
      <c r="E331" s="17">
        <f>IFERROR(ROUND($V331*$Y331*$AB331*参数!$C$13,0),"")</f>
        <v>25268</v>
      </c>
      <c r="F331" s="17">
        <f>IFERROR(ROUND($W331*$Z331*$AC331*参数!$D$13,0),"")</f>
        <v>22995</v>
      </c>
      <c r="G331" s="16">
        <v>1556577</v>
      </c>
      <c r="H331" s="16">
        <v>30316</v>
      </c>
      <c r="I331" s="16">
        <v>19828</v>
      </c>
      <c r="J331" s="16">
        <v>66</v>
      </c>
      <c r="K331" s="16">
        <v>66</v>
      </c>
      <c r="L331" s="16">
        <f>IFERROR(INDEX(楼层配置!$D$5:$D$104,MATCH($K331,楼层配置!$B$5:$B$104,0)),"")</f>
        <v>230</v>
      </c>
      <c r="M331" s="16" t="str">
        <f>IFERROR(INDEX(_角色基线!$B$2:$B$100,MATCH($B331,_角色基线!$A$2:$A$100,0)),"")</f>
        <v>梅梅</v>
      </c>
      <c r="N331" s="16" t="str">
        <f>IFERROR(INDEX(_角色基线!$C$2:$C$100,MATCH($B331,_角色基线!$A$2:$A$100,0)),"")</f>
        <v>DPS</v>
      </c>
      <c r="O331" s="16">
        <f>IFERROR(INDEX(_怪物基线!$B$2:$B$501,MATCH(INT($L331),_怪物基线!$A$2:$A$501,0)),"")</f>
        <v>236203</v>
      </c>
      <c r="P331" s="16">
        <f>IFERROR(INDEX(_怪物基线!$C$2:$C$501,MATCH(INT($L331),_怪物基线!$A$2:$A$501,0)),"")</f>
        <v>25145</v>
      </c>
      <c r="Q331" s="16">
        <f>IFERROR(INDEX(_怪物基线!$D$2:$D$501,MATCH(INT($L331),_怪物基线!$A$2:$A$501,0)),"")</f>
        <v>22995</v>
      </c>
      <c r="R331" s="16">
        <f>参数!$B$10</f>
        <v>4</v>
      </c>
      <c r="S331" s="16">
        <f>参数!$C$10</f>
        <v>1.2</v>
      </c>
      <c r="T331" s="16">
        <f>参数!$D$10</f>
        <v>1</v>
      </c>
      <c r="U331" s="16">
        <f t="shared" si="40"/>
        <v>944812</v>
      </c>
      <c r="V331" s="16">
        <f t="shared" si="41"/>
        <v>30174</v>
      </c>
      <c r="W331" s="16">
        <f t="shared" si="42"/>
        <v>22995</v>
      </c>
      <c r="X331" s="16">
        <f>IFERROR(INDEX(参数!$B$5:$B$7,MATCH($N331,参数!$A$5:$A$7,0)),"")</f>
        <v>1</v>
      </c>
      <c r="Y331" s="16">
        <f>IFERROR(INDEX(参数!$C$5:$C$7,MATCH($N331,参数!$A$5:$A$7,0)),"")</f>
        <v>1.2</v>
      </c>
      <c r="Z331" s="16">
        <f>IFERROR(INDEX(参数!$D$5:$D$7,MATCH($N331,参数!$A$5:$A$7,0)),"")</f>
        <v>1</v>
      </c>
      <c r="AA331" s="16">
        <f>IFERROR(INDEX(楼层配置!$E$5:$E$104,MATCH($K331,楼层配置!$B$5:$B$104,0)),1)</f>
        <v>1.15595647386983</v>
      </c>
      <c r="AB331" s="16">
        <f>IFERROR(INDEX(楼层配置!$F$5:$F$104,MATCH($K331,楼层配置!$B$5:$B$104,0)),1)</f>
        <v>0.697843258119827</v>
      </c>
      <c r="AC331" s="16">
        <f>IFERROR(INDEX(楼层配置!$G$5:$G$104,MATCH($K331,楼层配置!$B$5:$B$104,0)),1)</f>
        <v>1</v>
      </c>
      <c r="AD331" s="18">
        <f t="shared" si="43"/>
        <v>-0.298356586278739</v>
      </c>
      <c r="AE331" s="18">
        <f t="shared" si="44"/>
        <v>-0.166512732550468</v>
      </c>
      <c r="AF331" s="18">
        <f t="shared" si="45"/>
        <v>0.159723623159169</v>
      </c>
      <c r="AG331" s="16" t="str">
        <f t="shared" si="46"/>
        <v>有效</v>
      </c>
      <c r="AH331">
        <f t="shared" si="47"/>
        <v>2138589.71625</v>
      </c>
    </row>
    <row r="332" ht="14.25" customHeight="1" spans="1:34">
      <c r="A332" s="16">
        <v>328</v>
      </c>
      <c r="B332" s="16">
        <v>1006</v>
      </c>
      <c r="C332" s="16">
        <v>43</v>
      </c>
      <c r="D332" s="17">
        <f>IFERROR(ROUND($U332*$X332*$AA332*参数!$B$13,0),"")</f>
        <v>1092162</v>
      </c>
      <c r="E332" s="17">
        <f>IFERROR(ROUND($V332*$Y332*$AB332*参数!$C$13,0),"")</f>
        <v>25268</v>
      </c>
      <c r="F332" s="17">
        <f>IFERROR(ROUND($W332*$Z332*$AC332*参数!$D$13,0),"")</f>
        <v>22995</v>
      </c>
      <c r="G332" s="16">
        <v>1556577</v>
      </c>
      <c r="H332" s="16">
        <v>30316</v>
      </c>
      <c r="I332" s="16">
        <v>19828</v>
      </c>
      <c r="J332" s="16">
        <v>66</v>
      </c>
      <c r="K332" s="16">
        <v>66</v>
      </c>
      <c r="L332" s="16">
        <f>IFERROR(INDEX(楼层配置!$D$5:$D$104,MATCH($K332,楼层配置!$B$5:$B$104,0)),"")</f>
        <v>230</v>
      </c>
      <c r="M332" s="16" t="str">
        <f>IFERROR(INDEX(_角色基线!$B$2:$B$100,MATCH($B332,_角色基线!$A$2:$A$100,0)),"")</f>
        <v>莉莉娅</v>
      </c>
      <c r="N332" s="16" t="str">
        <f>IFERROR(INDEX(_角色基线!$C$2:$C$100,MATCH($B332,_角色基线!$A$2:$A$100,0)),"")</f>
        <v>DPS</v>
      </c>
      <c r="O332" s="16">
        <f>IFERROR(INDEX(_怪物基线!$B$2:$B$501,MATCH(INT($L332),_怪物基线!$A$2:$A$501,0)),"")</f>
        <v>236203</v>
      </c>
      <c r="P332" s="16">
        <f>IFERROR(INDEX(_怪物基线!$C$2:$C$501,MATCH(INT($L332),_怪物基线!$A$2:$A$501,0)),"")</f>
        <v>25145</v>
      </c>
      <c r="Q332" s="16">
        <f>IFERROR(INDEX(_怪物基线!$D$2:$D$501,MATCH(INT($L332),_怪物基线!$A$2:$A$501,0)),"")</f>
        <v>22995</v>
      </c>
      <c r="R332" s="16">
        <f>参数!$B$10</f>
        <v>4</v>
      </c>
      <c r="S332" s="16">
        <f>参数!$C$10</f>
        <v>1.2</v>
      </c>
      <c r="T332" s="16">
        <f>参数!$D$10</f>
        <v>1</v>
      </c>
      <c r="U332" s="16">
        <f t="shared" si="40"/>
        <v>944812</v>
      </c>
      <c r="V332" s="16">
        <f t="shared" si="41"/>
        <v>30174</v>
      </c>
      <c r="W332" s="16">
        <f t="shared" si="42"/>
        <v>22995</v>
      </c>
      <c r="X332" s="16">
        <f>IFERROR(INDEX(参数!$B$5:$B$7,MATCH($N332,参数!$A$5:$A$7,0)),"")</f>
        <v>1</v>
      </c>
      <c r="Y332" s="16">
        <f>IFERROR(INDEX(参数!$C$5:$C$7,MATCH($N332,参数!$A$5:$A$7,0)),"")</f>
        <v>1.2</v>
      </c>
      <c r="Z332" s="16">
        <f>IFERROR(INDEX(参数!$D$5:$D$7,MATCH($N332,参数!$A$5:$A$7,0)),"")</f>
        <v>1</v>
      </c>
      <c r="AA332" s="16">
        <f>IFERROR(INDEX(楼层配置!$E$5:$E$104,MATCH($K332,楼层配置!$B$5:$B$104,0)),1)</f>
        <v>1.15595647386983</v>
      </c>
      <c r="AB332" s="16">
        <f>IFERROR(INDEX(楼层配置!$F$5:$F$104,MATCH($K332,楼层配置!$B$5:$B$104,0)),1)</f>
        <v>0.697843258119827</v>
      </c>
      <c r="AC332" s="16">
        <f>IFERROR(INDEX(楼层配置!$G$5:$G$104,MATCH($K332,楼层配置!$B$5:$B$104,0)),1)</f>
        <v>1</v>
      </c>
      <c r="AD332" s="18">
        <f t="shared" si="43"/>
        <v>-0.298356586278739</v>
      </c>
      <c r="AE332" s="18">
        <f t="shared" si="44"/>
        <v>-0.166512732550468</v>
      </c>
      <c r="AF332" s="18">
        <f t="shared" si="45"/>
        <v>0.159723623159169</v>
      </c>
      <c r="AG332" s="16" t="str">
        <f t="shared" si="46"/>
        <v>有效</v>
      </c>
      <c r="AH332">
        <f t="shared" si="47"/>
        <v>2138589.71625</v>
      </c>
    </row>
    <row r="333" ht="14.25" customHeight="1" spans="1:34">
      <c r="A333" s="16">
        <v>329</v>
      </c>
      <c r="B333" s="16">
        <v>1021</v>
      </c>
      <c r="C333" s="16">
        <v>43</v>
      </c>
      <c r="D333" s="17">
        <f>IFERROR(ROUND($U333*$X333*$AA333*参数!$B$13,0),"")</f>
        <v>1092162</v>
      </c>
      <c r="E333" s="17">
        <f>IFERROR(ROUND($V333*$Y333*$AB333*参数!$C$13,0),"")</f>
        <v>25268</v>
      </c>
      <c r="F333" s="17">
        <f>IFERROR(ROUND($W333*$Z333*$AC333*参数!$D$13,0),"")</f>
        <v>22995</v>
      </c>
      <c r="G333" s="16">
        <v>1556577</v>
      </c>
      <c r="H333" s="16">
        <v>30316</v>
      </c>
      <c r="I333" s="16">
        <v>19828</v>
      </c>
      <c r="J333" s="16">
        <v>66</v>
      </c>
      <c r="K333" s="16">
        <v>66</v>
      </c>
      <c r="L333" s="16">
        <f>IFERROR(INDEX(楼层配置!$D$5:$D$104,MATCH($K333,楼层配置!$B$5:$B$104,0)),"")</f>
        <v>230</v>
      </c>
      <c r="M333" s="16" t="str">
        <f>IFERROR(INDEX(_角色基线!$B$2:$B$100,MATCH($B333,_角色基线!$A$2:$A$100,0)),"")</f>
        <v>梅梅</v>
      </c>
      <c r="N333" s="16" t="str">
        <f>IFERROR(INDEX(_角色基线!$C$2:$C$100,MATCH($B333,_角色基线!$A$2:$A$100,0)),"")</f>
        <v>DPS</v>
      </c>
      <c r="O333" s="16">
        <f>IFERROR(INDEX(_怪物基线!$B$2:$B$501,MATCH(INT($L333),_怪物基线!$A$2:$A$501,0)),"")</f>
        <v>236203</v>
      </c>
      <c r="P333" s="16">
        <f>IFERROR(INDEX(_怪物基线!$C$2:$C$501,MATCH(INT($L333),_怪物基线!$A$2:$A$501,0)),"")</f>
        <v>25145</v>
      </c>
      <c r="Q333" s="16">
        <f>IFERROR(INDEX(_怪物基线!$D$2:$D$501,MATCH(INT($L333),_怪物基线!$A$2:$A$501,0)),"")</f>
        <v>22995</v>
      </c>
      <c r="R333" s="16">
        <f>参数!$B$10</f>
        <v>4</v>
      </c>
      <c r="S333" s="16">
        <f>参数!$C$10</f>
        <v>1.2</v>
      </c>
      <c r="T333" s="16">
        <f>参数!$D$10</f>
        <v>1</v>
      </c>
      <c r="U333" s="16">
        <f t="shared" si="40"/>
        <v>944812</v>
      </c>
      <c r="V333" s="16">
        <f t="shared" si="41"/>
        <v>30174</v>
      </c>
      <c r="W333" s="16">
        <f t="shared" si="42"/>
        <v>22995</v>
      </c>
      <c r="X333" s="16">
        <f>IFERROR(INDEX(参数!$B$5:$B$7,MATCH($N333,参数!$A$5:$A$7,0)),"")</f>
        <v>1</v>
      </c>
      <c r="Y333" s="16">
        <f>IFERROR(INDEX(参数!$C$5:$C$7,MATCH($N333,参数!$A$5:$A$7,0)),"")</f>
        <v>1.2</v>
      </c>
      <c r="Z333" s="16">
        <f>IFERROR(INDEX(参数!$D$5:$D$7,MATCH($N333,参数!$A$5:$A$7,0)),"")</f>
        <v>1</v>
      </c>
      <c r="AA333" s="16">
        <f>IFERROR(INDEX(楼层配置!$E$5:$E$104,MATCH($K333,楼层配置!$B$5:$B$104,0)),1)</f>
        <v>1.15595647386983</v>
      </c>
      <c r="AB333" s="16">
        <f>IFERROR(INDEX(楼层配置!$F$5:$F$104,MATCH($K333,楼层配置!$B$5:$B$104,0)),1)</f>
        <v>0.697843258119827</v>
      </c>
      <c r="AC333" s="16">
        <f>IFERROR(INDEX(楼层配置!$G$5:$G$104,MATCH($K333,楼层配置!$B$5:$B$104,0)),1)</f>
        <v>1</v>
      </c>
      <c r="AD333" s="18">
        <f t="shared" si="43"/>
        <v>-0.298356586278739</v>
      </c>
      <c r="AE333" s="18">
        <f t="shared" si="44"/>
        <v>-0.166512732550468</v>
      </c>
      <c r="AF333" s="18">
        <f t="shared" si="45"/>
        <v>0.159723623159169</v>
      </c>
      <c r="AG333" s="16" t="str">
        <f t="shared" si="46"/>
        <v>有效</v>
      </c>
      <c r="AH333">
        <f t="shared" si="47"/>
        <v>2138589.71625</v>
      </c>
    </row>
    <row r="334" ht="14.25" customHeight="1" spans="1:34">
      <c r="A334" s="16">
        <v>330</v>
      </c>
      <c r="B334" s="16">
        <v>1012</v>
      </c>
      <c r="C334" s="16">
        <v>43</v>
      </c>
      <c r="D334" s="17">
        <f>IFERROR(ROUND($U334*$X334*$AA334*参数!$B$13,0),"")</f>
        <v>1365202</v>
      </c>
      <c r="E334" s="17">
        <f>IFERROR(ROUND($V334*$Y334*$AB334*参数!$C$13,0),"")</f>
        <v>21057</v>
      </c>
      <c r="F334" s="17">
        <f>IFERROR(ROUND($W334*$Z334*$AC334*参数!$D$13,0),"")</f>
        <v>28744</v>
      </c>
      <c r="G334" s="16">
        <v>1945722</v>
      </c>
      <c r="H334" s="16">
        <v>25264</v>
      </c>
      <c r="I334" s="16">
        <v>24785</v>
      </c>
      <c r="J334" s="16">
        <v>66</v>
      </c>
      <c r="K334" s="16">
        <v>66</v>
      </c>
      <c r="L334" s="16">
        <f>IFERROR(INDEX(楼层配置!$D$5:$D$104,MATCH($K334,楼层配置!$B$5:$B$104,0)),"")</f>
        <v>230</v>
      </c>
      <c r="M334" s="16" t="str">
        <f>IFERROR(INDEX(_角色基线!$B$2:$B$100,MATCH($B334,_角色基线!$A$2:$A$100,0)),"")</f>
        <v>艾德琳</v>
      </c>
      <c r="N334" s="16" t="str">
        <f>IFERROR(INDEX(_角色基线!$C$2:$C$100,MATCH($B334,_角色基线!$A$2:$A$100,0)),"")</f>
        <v>Support</v>
      </c>
      <c r="O334" s="16">
        <f>IFERROR(INDEX(_怪物基线!$B$2:$B$501,MATCH(INT($L334),_怪物基线!$A$2:$A$501,0)),"")</f>
        <v>236203</v>
      </c>
      <c r="P334" s="16">
        <f>IFERROR(INDEX(_怪物基线!$C$2:$C$501,MATCH(INT($L334),_怪物基线!$A$2:$A$501,0)),"")</f>
        <v>25145</v>
      </c>
      <c r="Q334" s="16">
        <f>IFERROR(INDEX(_怪物基线!$D$2:$D$501,MATCH(INT($L334),_怪物基线!$A$2:$A$501,0)),"")</f>
        <v>22995</v>
      </c>
      <c r="R334" s="16">
        <f>参数!$B$10</f>
        <v>4</v>
      </c>
      <c r="S334" s="16">
        <f>参数!$C$10</f>
        <v>1.2</v>
      </c>
      <c r="T334" s="16">
        <f>参数!$D$10</f>
        <v>1</v>
      </c>
      <c r="U334" s="16">
        <f t="shared" si="40"/>
        <v>944812</v>
      </c>
      <c r="V334" s="16">
        <f t="shared" si="41"/>
        <v>30174</v>
      </c>
      <c r="W334" s="16">
        <f t="shared" si="42"/>
        <v>22995</v>
      </c>
      <c r="X334" s="16">
        <f>IFERROR(INDEX(参数!$B$5:$B$7,MATCH($N334,参数!$A$5:$A$7,0)),"")</f>
        <v>1.25</v>
      </c>
      <c r="Y334" s="16">
        <f>IFERROR(INDEX(参数!$C$5:$C$7,MATCH($N334,参数!$A$5:$A$7,0)),"")</f>
        <v>1</v>
      </c>
      <c r="Z334" s="16">
        <f>IFERROR(INDEX(参数!$D$5:$D$7,MATCH($N334,参数!$A$5:$A$7,0)),"")</f>
        <v>1.25</v>
      </c>
      <c r="AA334" s="16">
        <f>IFERROR(INDEX(楼层配置!$E$5:$E$104,MATCH($K334,楼层配置!$B$5:$B$104,0)),1)</f>
        <v>1.15595647386983</v>
      </c>
      <c r="AB334" s="16">
        <f>IFERROR(INDEX(楼层配置!$F$5:$F$104,MATCH($K334,楼层配置!$B$5:$B$104,0)),1)</f>
        <v>0.697843258119827</v>
      </c>
      <c r="AC334" s="16">
        <f>IFERROR(INDEX(楼层配置!$G$5:$G$104,MATCH($K334,楼层配置!$B$5:$B$104,0)),1)</f>
        <v>1</v>
      </c>
      <c r="AD334" s="18">
        <f t="shared" si="43"/>
        <v>-0.298357113708947</v>
      </c>
      <c r="AE334" s="18">
        <f t="shared" si="44"/>
        <v>-0.166521532615579</v>
      </c>
      <c r="AF334" s="18">
        <f t="shared" si="45"/>
        <v>0.159733709905185</v>
      </c>
      <c r="AG334" s="16" t="str">
        <f t="shared" si="46"/>
        <v>有效</v>
      </c>
      <c r="AH334">
        <f t="shared" si="47"/>
        <v>3000258.92866667</v>
      </c>
    </row>
    <row r="335" ht="14.25" customHeight="1" spans="1:34">
      <c r="A335" s="16">
        <v>331</v>
      </c>
      <c r="B335" s="16">
        <v>1004</v>
      </c>
      <c r="C335" s="16">
        <v>43</v>
      </c>
      <c r="D335" s="17">
        <f>IFERROR(ROUND($U335*$X335*$AA335*参数!$B$13,0),"")</f>
        <v>1665556</v>
      </c>
      <c r="E335" s="17">
        <f>IFERROR(ROUND($V335*$Y335*$AB335*参数!$C$13,0),"")</f>
        <v>21376</v>
      </c>
      <c r="F335" s="17">
        <f>IFERROR(ROUND($W335*$Z335*$AC335*参数!$D$13,0),"")</f>
        <v>34872</v>
      </c>
      <c r="G335" s="16">
        <v>2423750</v>
      </c>
      <c r="H335" s="16">
        <v>25956</v>
      </c>
      <c r="I335" s="16">
        <v>30320</v>
      </c>
      <c r="J335" s="16">
        <v>67</v>
      </c>
      <c r="K335" s="16">
        <v>67</v>
      </c>
      <c r="L335" s="16">
        <f>IFERROR(INDEX(楼层配置!$D$5:$D$104,MATCH($K335,楼层配置!$B$5:$B$104,0)),"")</f>
        <v>232</v>
      </c>
      <c r="M335" s="16" t="str">
        <f>IFERROR(INDEX(_角色基线!$B$2:$B$100,MATCH($B335,_角色基线!$A$2:$A$100,0)),"")</f>
        <v>阿芭</v>
      </c>
      <c r="N335" s="16" t="str">
        <f>IFERROR(INDEX(_角色基线!$C$2:$C$100,MATCH($B335,_角色基线!$A$2:$A$100,0)),"")</f>
        <v>Tank</v>
      </c>
      <c r="O335" s="16">
        <f>IFERROR(INDEX(_怪物基线!$B$2:$B$501,MATCH(INT($L335),_怪物基线!$A$2:$A$501,0)),"")</f>
        <v>241491</v>
      </c>
      <c r="P335" s="16">
        <f>IFERROR(INDEX(_怪物基线!$C$2:$C$501,MATCH(INT($L335),_怪物基线!$A$2:$A$501,0)),"")</f>
        <v>25555</v>
      </c>
      <c r="Q335" s="16">
        <f>IFERROR(INDEX(_怪物基线!$D$2:$D$501,MATCH(INT($L335),_怪物基线!$A$2:$A$501,0)),"")</f>
        <v>23248</v>
      </c>
      <c r="R335" s="16">
        <f>参数!$B$10</f>
        <v>4</v>
      </c>
      <c r="S335" s="16">
        <f>参数!$C$10</f>
        <v>1.2</v>
      </c>
      <c r="T335" s="16">
        <f>参数!$D$10</f>
        <v>1</v>
      </c>
      <c r="U335" s="16">
        <f t="shared" si="40"/>
        <v>965964</v>
      </c>
      <c r="V335" s="16">
        <f t="shared" si="41"/>
        <v>30666</v>
      </c>
      <c r="W335" s="16">
        <f t="shared" si="42"/>
        <v>23248</v>
      </c>
      <c r="X335" s="16">
        <f>IFERROR(INDEX(参数!$B$5:$B$7,MATCH($N335,参数!$A$5:$A$7,0)),"")</f>
        <v>1.5</v>
      </c>
      <c r="Y335" s="16">
        <f>IFERROR(INDEX(参数!$C$5:$C$7,MATCH($N335,参数!$A$5:$A$7,0)),"")</f>
        <v>1</v>
      </c>
      <c r="Z335" s="16">
        <f>IFERROR(INDEX(参数!$D$5:$D$7,MATCH($N335,参数!$A$5:$A$7,0)),"")</f>
        <v>1.5</v>
      </c>
      <c r="AA335" s="16">
        <f>IFERROR(INDEX(楼层配置!$E$5:$E$104,MATCH($K335,楼层配置!$B$5:$B$104,0)),1)</f>
        <v>1.14949497330677</v>
      </c>
      <c r="AB335" s="16">
        <f>IFERROR(INDEX(楼层配置!$F$5:$F$104,MATCH($K335,楼层配置!$B$5:$B$104,0)),1)</f>
        <v>0.69706434169526</v>
      </c>
      <c r="AC335" s="16">
        <f>IFERROR(INDEX(楼层配置!$G$5:$G$104,MATCH($K335,楼层配置!$B$5:$B$104,0)),1)</f>
        <v>1</v>
      </c>
      <c r="AD335" s="18">
        <f t="shared" si="43"/>
        <v>-0.312818566271274</v>
      </c>
      <c r="AE335" s="18">
        <f t="shared" si="44"/>
        <v>-0.176452458005856</v>
      </c>
      <c r="AF335" s="18">
        <f t="shared" si="45"/>
        <v>0.150131926121372</v>
      </c>
      <c r="AG335" s="16" t="str">
        <f t="shared" si="46"/>
        <v>有效</v>
      </c>
      <c r="AH335">
        <f t="shared" si="47"/>
        <v>4085608.868</v>
      </c>
    </row>
    <row r="336" ht="14.25" customHeight="1" spans="1:34">
      <c r="A336" s="16">
        <v>332</v>
      </c>
      <c r="B336" s="16">
        <v>1015</v>
      </c>
      <c r="C336" s="16">
        <v>43</v>
      </c>
      <c r="D336" s="17">
        <f>IFERROR(ROUND($U336*$X336*$AA336*参数!$B$13,0),"")</f>
        <v>1387963</v>
      </c>
      <c r="E336" s="17">
        <f>IFERROR(ROUND($V336*$Y336*$AB336*参数!$C$13,0),"")</f>
        <v>21376</v>
      </c>
      <c r="F336" s="17">
        <f>IFERROR(ROUND($W336*$Z336*$AC336*参数!$D$13,0),"")</f>
        <v>29060</v>
      </c>
      <c r="G336" s="16">
        <v>2019792</v>
      </c>
      <c r="H336" s="16">
        <v>25956</v>
      </c>
      <c r="I336" s="16">
        <v>25267</v>
      </c>
      <c r="J336" s="16">
        <v>67</v>
      </c>
      <c r="K336" s="16">
        <v>67</v>
      </c>
      <c r="L336" s="16">
        <f>IFERROR(INDEX(楼层配置!$D$5:$D$104,MATCH($K336,楼层配置!$B$5:$B$104,0)),"")</f>
        <v>232</v>
      </c>
      <c r="M336" s="16" t="str">
        <f>IFERROR(INDEX(_角色基线!$B$2:$B$100,MATCH($B336,_角色基线!$A$2:$A$100,0)),"")</f>
        <v>阿莱克西娅</v>
      </c>
      <c r="N336" s="16" t="str">
        <f>IFERROR(INDEX(_角色基线!$C$2:$C$100,MATCH($B336,_角色基线!$A$2:$A$100,0)),"")</f>
        <v>Support</v>
      </c>
      <c r="O336" s="16">
        <f>IFERROR(INDEX(_怪物基线!$B$2:$B$501,MATCH(INT($L336),_怪物基线!$A$2:$A$501,0)),"")</f>
        <v>241491</v>
      </c>
      <c r="P336" s="16">
        <f>IFERROR(INDEX(_怪物基线!$C$2:$C$501,MATCH(INT($L336),_怪物基线!$A$2:$A$501,0)),"")</f>
        <v>25555</v>
      </c>
      <c r="Q336" s="16">
        <f>IFERROR(INDEX(_怪物基线!$D$2:$D$501,MATCH(INT($L336),_怪物基线!$A$2:$A$501,0)),"")</f>
        <v>23248</v>
      </c>
      <c r="R336" s="16">
        <f>参数!$B$10</f>
        <v>4</v>
      </c>
      <c r="S336" s="16">
        <f>参数!$C$10</f>
        <v>1.2</v>
      </c>
      <c r="T336" s="16">
        <f>参数!$D$10</f>
        <v>1</v>
      </c>
      <c r="U336" s="16">
        <f t="shared" si="40"/>
        <v>965964</v>
      </c>
      <c r="V336" s="16">
        <f t="shared" si="41"/>
        <v>30666</v>
      </c>
      <c r="W336" s="16">
        <f t="shared" si="42"/>
        <v>23248</v>
      </c>
      <c r="X336" s="16">
        <f>IFERROR(INDEX(参数!$B$5:$B$7,MATCH($N336,参数!$A$5:$A$7,0)),"")</f>
        <v>1.25</v>
      </c>
      <c r="Y336" s="16">
        <f>IFERROR(INDEX(参数!$C$5:$C$7,MATCH($N336,参数!$A$5:$A$7,0)),"")</f>
        <v>1</v>
      </c>
      <c r="Z336" s="16">
        <f>IFERROR(INDEX(参数!$D$5:$D$7,MATCH($N336,参数!$A$5:$A$7,0)),"")</f>
        <v>1.25</v>
      </c>
      <c r="AA336" s="16">
        <f>IFERROR(INDEX(楼层配置!$E$5:$E$104,MATCH($K336,楼层配置!$B$5:$B$104,0)),1)</f>
        <v>1.14949497330677</v>
      </c>
      <c r="AB336" s="16">
        <f>IFERROR(INDEX(楼层配置!$F$5:$F$104,MATCH($K336,楼层配置!$B$5:$B$104,0)),1)</f>
        <v>0.69706434169526</v>
      </c>
      <c r="AC336" s="16">
        <f>IFERROR(INDEX(楼层配置!$G$5:$G$104,MATCH($K336,楼层配置!$B$5:$B$104,0)),1)</f>
        <v>1</v>
      </c>
      <c r="AD336" s="18">
        <f t="shared" si="43"/>
        <v>-0.312818844712723</v>
      </c>
      <c r="AE336" s="18">
        <f t="shared" si="44"/>
        <v>-0.176452458005856</v>
      </c>
      <c r="AF336" s="18">
        <f t="shared" si="45"/>
        <v>0.150116753077136</v>
      </c>
      <c r="AG336" s="16" t="str">
        <f t="shared" si="46"/>
        <v>有效</v>
      </c>
      <c r="AH336">
        <f t="shared" si="47"/>
        <v>3068554.86583333</v>
      </c>
    </row>
    <row r="337" ht="14.25" customHeight="1" spans="1:34">
      <c r="A337" s="16">
        <v>333</v>
      </c>
      <c r="B337" s="16">
        <v>1005</v>
      </c>
      <c r="C337" s="16">
        <v>43</v>
      </c>
      <c r="D337" s="17">
        <f>IFERROR(ROUND($U337*$X337*$AA337*参数!$B$13,0),"")</f>
        <v>1110371</v>
      </c>
      <c r="E337" s="17">
        <f>IFERROR(ROUND($V337*$Y337*$AB337*参数!$C$13,0),"")</f>
        <v>25651</v>
      </c>
      <c r="F337" s="17">
        <f>IFERROR(ROUND($W337*$Z337*$AC337*参数!$D$13,0),"")</f>
        <v>23248</v>
      </c>
      <c r="G337" s="16">
        <v>1615833</v>
      </c>
      <c r="H337" s="16">
        <v>31147</v>
      </c>
      <c r="I337" s="16">
        <v>20213</v>
      </c>
      <c r="J337" s="16">
        <v>67</v>
      </c>
      <c r="K337" s="16">
        <v>67</v>
      </c>
      <c r="L337" s="16">
        <f>IFERROR(INDEX(楼层配置!$D$5:$D$104,MATCH($K337,楼层配置!$B$5:$B$104,0)),"")</f>
        <v>232</v>
      </c>
      <c r="M337" s="16" t="str">
        <f>IFERROR(INDEX(_角色基线!$B$2:$B$100,MATCH($B337,_角色基线!$A$2:$A$100,0)),"")</f>
        <v>陈单单</v>
      </c>
      <c r="N337" s="16" t="str">
        <f>IFERROR(INDEX(_角色基线!$C$2:$C$100,MATCH($B337,_角色基线!$A$2:$A$100,0)),"")</f>
        <v>DPS</v>
      </c>
      <c r="O337" s="16">
        <f>IFERROR(INDEX(_怪物基线!$B$2:$B$501,MATCH(INT($L337),_怪物基线!$A$2:$A$501,0)),"")</f>
        <v>241491</v>
      </c>
      <c r="P337" s="16">
        <f>IFERROR(INDEX(_怪物基线!$C$2:$C$501,MATCH(INT($L337),_怪物基线!$A$2:$A$501,0)),"")</f>
        <v>25555</v>
      </c>
      <c r="Q337" s="16">
        <f>IFERROR(INDEX(_怪物基线!$D$2:$D$501,MATCH(INT($L337),_怪物基线!$A$2:$A$501,0)),"")</f>
        <v>23248</v>
      </c>
      <c r="R337" s="16">
        <f>参数!$B$10</f>
        <v>4</v>
      </c>
      <c r="S337" s="16">
        <f>参数!$C$10</f>
        <v>1.2</v>
      </c>
      <c r="T337" s="16">
        <f>参数!$D$10</f>
        <v>1</v>
      </c>
      <c r="U337" s="16">
        <f t="shared" si="40"/>
        <v>965964</v>
      </c>
      <c r="V337" s="16">
        <f t="shared" si="41"/>
        <v>30666</v>
      </c>
      <c r="W337" s="16">
        <f t="shared" si="42"/>
        <v>23248</v>
      </c>
      <c r="X337" s="16">
        <f>IFERROR(INDEX(参数!$B$5:$B$7,MATCH($N337,参数!$A$5:$A$7,0)),"")</f>
        <v>1</v>
      </c>
      <c r="Y337" s="16">
        <f>IFERROR(INDEX(参数!$C$5:$C$7,MATCH($N337,参数!$A$5:$A$7,0)),"")</f>
        <v>1.2</v>
      </c>
      <c r="Z337" s="16">
        <f>IFERROR(INDEX(参数!$D$5:$D$7,MATCH($N337,参数!$A$5:$A$7,0)),"")</f>
        <v>1</v>
      </c>
      <c r="AA337" s="16">
        <f>IFERROR(INDEX(楼层配置!$E$5:$E$104,MATCH($K337,楼层配置!$B$5:$B$104,0)),1)</f>
        <v>1.14949497330677</v>
      </c>
      <c r="AB337" s="16">
        <f>IFERROR(INDEX(楼层配置!$F$5:$F$104,MATCH($K337,楼层配置!$B$5:$B$104,0)),1)</f>
        <v>0.69706434169526</v>
      </c>
      <c r="AC337" s="16">
        <f>IFERROR(INDEX(楼层配置!$G$5:$G$104,MATCH($K337,楼层配置!$B$5:$B$104,0)),1)</f>
        <v>1</v>
      </c>
      <c r="AD337" s="18">
        <f t="shared" si="43"/>
        <v>-0.312818218219333</v>
      </c>
      <c r="AE337" s="18">
        <f t="shared" si="44"/>
        <v>-0.176453591036055</v>
      </c>
      <c r="AF337" s="18">
        <f t="shared" si="45"/>
        <v>0.15015089298966</v>
      </c>
      <c r="AG337" s="16" t="str">
        <f t="shared" si="46"/>
        <v>有效</v>
      </c>
      <c r="AH337">
        <f t="shared" si="47"/>
        <v>2185950.37533333</v>
      </c>
    </row>
    <row r="338" ht="14.25" customHeight="1" spans="1:34">
      <c r="A338" s="16">
        <v>334</v>
      </c>
      <c r="B338" s="16">
        <v>1005</v>
      </c>
      <c r="C338" s="16">
        <v>43</v>
      </c>
      <c r="D338" s="17">
        <f>IFERROR(ROUND($U338*$X338*$AA338*参数!$B$13,0),"")</f>
        <v>1110371</v>
      </c>
      <c r="E338" s="17">
        <f>IFERROR(ROUND($V338*$Y338*$AB338*参数!$C$13,0),"")</f>
        <v>25651</v>
      </c>
      <c r="F338" s="17">
        <f>IFERROR(ROUND($W338*$Z338*$AC338*参数!$D$13,0),"")</f>
        <v>23248</v>
      </c>
      <c r="G338" s="16">
        <v>1615833</v>
      </c>
      <c r="H338" s="16">
        <v>31147</v>
      </c>
      <c r="I338" s="16">
        <v>20213</v>
      </c>
      <c r="J338" s="16">
        <v>67</v>
      </c>
      <c r="K338" s="16">
        <v>67</v>
      </c>
      <c r="L338" s="16">
        <f>IFERROR(INDEX(楼层配置!$D$5:$D$104,MATCH($K338,楼层配置!$B$5:$B$104,0)),"")</f>
        <v>232</v>
      </c>
      <c r="M338" s="16" t="str">
        <f>IFERROR(INDEX(_角色基线!$B$2:$B$100,MATCH($B338,_角色基线!$A$2:$A$100,0)),"")</f>
        <v>陈单单</v>
      </c>
      <c r="N338" s="16" t="str">
        <f>IFERROR(INDEX(_角色基线!$C$2:$C$100,MATCH($B338,_角色基线!$A$2:$A$100,0)),"")</f>
        <v>DPS</v>
      </c>
      <c r="O338" s="16">
        <f>IFERROR(INDEX(_怪物基线!$B$2:$B$501,MATCH(INT($L338),_怪物基线!$A$2:$A$501,0)),"")</f>
        <v>241491</v>
      </c>
      <c r="P338" s="16">
        <f>IFERROR(INDEX(_怪物基线!$C$2:$C$501,MATCH(INT($L338),_怪物基线!$A$2:$A$501,0)),"")</f>
        <v>25555</v>
      </c>
      <c r="Q338" s="16">
        <f>IFERROR(INDEX(_怪物基线!$D$2:$D$501,MATCH(INT($L338),_怪物基线!$A$2:$A$501,0)),"")</f>
        <v>23248</v>
      </c>
      <c r="R338" s="16">
        <f>参数!$B$10</f>
        <v>4</v>
      </c>
      <c r="S338" s="16">
        <f>参数!$C$10</f>
        <v>1.2</v>
      </c>
      <c r="T338" s="16">
        <f>参数!$D$10</f>
        <v>1</v>
      </c>
      <c r="U338" s="16">
        <f t="shared" si="40"/>
        <v>965964</v>
      </c>
      <c r="V338" s="16">
        <f t="shared" si="41"/>
        <v>30666</v>
      </c>
      <c r="W338" s="16">
        <f t="shared" si="42"/>
        <v>23248</v>
      </c>
      <c r="X338" s="16">
        <f>IFERROR(INDEX(参数!$B$5:$B$7,MATCH($N338,参数!$A$5:$A$7,0)),"")</f>
        <v>1</v>
      </c>
      <c r="Y338" s="16">
        <f>IFERROR(INDEX(参数!$C$5:$C$7,MATCH($N338,参数!$A$5:$A$7,0)),"")</f>
        <v>1.2</v>
      </c>
      <c r="Z338" s="16">
        <f>IFERROR(INDEX(参数!$D$5:$D$7,MATCH($N338,参数!$A$5:$A$7,0)),"")</f>
        <v>1</v>
      </c>
      <c r="AA338" s="16">
        <f>IFERROR(INDEX(楼层配置!$E$5:$E$104,MATCH($K338,楼层配置!$B$5:$B$104,0)),1)</f>
        <v>1.14949497330677</v>
      </c>
      <c r="AB338" s="16">
        <f>IFERROR(INDEX(楼层配置!$F$5:$F$104,MATCH($K338,楼层配置!$B$5:$B$104,0)),1)</f>
        <v>0.69706434169526</v>
      </c>
      <c r="AC338" s="16">
        <f>IFERROR(INDEX(楼层配置!$G$5:$G$104,MATCH($K338,楼层配置!$B$5:$B$104,0)),1)</f>
        <v>1</v>
      </c>
      <c r="AD338" s="18">
        <f t="shared" si="43"/>
        <v>-0.312818218219333</v>
      </c>
      <c r="AE338" s="18">
        <f t="shared" si="44"/>
        <v>-0.176453591036055</v>
      </c>
      <c r="AF338" s="18">
        <f t="shared" si="45"/>
        <v>0.15015089298966</v>
      </c>
      <c r="AG338" s="16" t="str">
        <f t="shared" si="46"/>
        <v>有效</v>
      </c>
      <c r="AH338">
        <f t="shared" si="47"/>
        <v>2185950.37533333</v>
      </c>
    </row>
    <row r="339" ht="14.25" customHeight="1" spans="1:34">
      <c r="A339" s="16">
        <v>335</v>
      </c>
      <c r="B339" s="16">
        <v>1008</v>
      </c>
      <c r="C339" s="16">
        <v>43</v>
      </c>
      <c r="D339" s="17">
        <f>IFERROR(ROUND($U339*$X339*$AA339*参数!$B$13,0),"")</f>
        <v>1110371</v>
      </c>
      <c r="E339" s="17">
        <f>IFERROR(ROUND($V339*$Y339*$AB339*参数!$C$13,0),"")</f>
        <v>25651</v>
      </c>
      <c r="F339" s="17">
        <f>IFERROR(ROUND($W339*$Z339*$AC339*参数!$D$13,0),"")</f>
        <v>23248</v>
      </c>
      <c r="G339" s="16">
        <v>1615833</v>
      </c>
      <c r="H339" s="16">
        <v>31147</v>
      </c>
      <c r="I339" s="16">
        <v>20213</v>
      </c>
      <c r="J339" s="16">
        <v>67</v>
      </c>
      <c r="K339" s="16">
        <v>67</v>
      </c>
      <c r="L339" s="16">
        <f>IFERROR(INDEX(楼层配置!$D$5:$D$104,MATCH($K339,楼层配置!$B$5:$B$104,0)),"")</f>
        <v>232</v>
      </c>
      <c r="M339" s="16" t="str">
        <f>IFERROR(INDEX(_角色基线!$B$2:$B$100,MATCH($B339,_角色基线!$A$2:$A$100,0)),"")</f>
        <v>薇</v>
      </c>
      <c r="N339" s="16" t="str">
        <f>IFERROR(INDEX(_角色基线!$C$2:$C$100,MATCH($B339,_角色基线!$A$2:$A$100,0)),"")</f>
        <v>DPS</v>
      </c>
      <c r="O339" s="16">
        <f>IFERROR(INDEX(_怪物基线!$B$2:$B$501,MATCH(INT($L339),_怪物基线!$A$2:$A$501,0)),"")</f>
        <v>241491</v>
      </c>
      <c r="P339" s="16">
        <f>IFERROR(INDEX(_怪物基线!$C$2:$C$501,MATCH(INT($L339),_怪物基线!$A$2:$A$501,0)),"")</f>
        <v>25555</v>
      </c>
      <c r="Q339" s="16">
        <f>IFERROR(INDEX(_怪物基线!$D$2:$D$501,MATCH(INT($L339),_怪物基线!$A$2:$A$501,0)),"")</f>
        <v>23248</v>
      </c>
      <c r="R339" s="16">
        <f>参数!$B$10</f>
        <v>4</v>
      </c>
      <c r="S339" s="16">
        <f>参数!$C$10</f>
        <v>1.2</v>
      </c>
      <c r="T339" s="16">
        <f>参数!$D$10</f>
        <v>1</v>
      </c>
      <c r="U339" s="16">
        <f t="shared" si="40"/>
        <v>965964</v>
      </c>
      <c r="V339" s="16">
        <f t="shared" si="41"/>
        <v>30666</v>
      </c>
      <c r="W339" s="16">
        <f t="shared" si="42"/>
        <v>23248</v>
      </c>
      <c r="X339" s="16">
        <f>IFERROR(INDEX(参数!$B$5:$B$7,MATCH($N339,参数!$A$5:$A$7,0)),"")</f>
        <v>1</v>
      </c>
      <c r="Y339" s="16">
        <f>IFERROR(INDEX(参数!$C$5:$C$7,MATCH($N339,参数!$A$5:$A$7,0)),"")</f>
        <v>1.2</v>
      </c>
      <c r="Z339" s="16">
        <f>IFERROR(INDEX(参数!$D$5:$D$7,MATCH($N339,参数!$A$5:$A$7,0)),"")</f>
        <v>1</v>
      </c>
      <c r="AA339" s="16">
        <f>IFERROR(INDEX(楼层配置!$E$5:$E$104,MATCH($K339,楼层配置!$B$5:$B$104,0)),1)</f>
        <v>1.14949497330677</v>
      </c>
      <c r="AB339" s="16">
        <f>IFERROR(INDEX(楼层配置!$F$5:$F$104,MATCH($K339,楼层配置!$B$5:$B$104,0)),1)</f>
        <v>0.69706434169526</v>
      </c>
      <c r="AC339" s="16">
        <f>IFERROR(INDEX(楼层配置!$G$5:$G$104,MATCH($K339,楼层配置!$B$5:$B$104,0)),1)</f>
        <v>1</v>
      </c>
      <c r="AD339" s="18">
        <f t="shared" si="43"/>
        <v>-0.312818218219333</v>
      </c>
      <c r="AE339" s="18">
        <f t="shared" si="44"/>
        <v>-0.176453591036055</v>
      </c>
      <c r="AF339" s="18">
        <f t="shared" si="45"/>
        <v>0.15015089298966</v>
      </c>
      <c r="AG339" s="16" t="str">
        <f t="shared" si="46"/>
        <v>有效</v>
      </c>
      <c r="AH339">
        <f t="shared" si="47"/>
        <v>2185950.37533333</v>
      </c>
    </row>
    <row r="340" ht="14.25" customHeight="1" spans="1:34">
      <c r="A340" s="16">
        <v>336</v>
      </c>
      <c r="B340" s="16">
        <v>1002</v>
      </c>
      <c r="C340" s="16">
        <v>44</v>
      </c>
      <c r="D340" s="17">
        <f>IFERROR(ROUND($U340*$X340*$AA340*参数!$B$13,0),"")</f>
        <v>1700239</v>
      </c>
      <c r="E340" s="17">
        <f>IFERROR(ROUND($V340*$Y340*$AB340*参数!$C$13,0),"")</f>
        <v>21738</v>
      </c>
      <c r="F340" s="17">
        <f>IFERROR(ROUND($W340*$Z340*$AC340*参数!$D$13,0),"")</f>
        <v>35252</v>
      </c>
      <c r="G340" s="16">
        <v>2515089</v>
      </c>
      <c r="H340" s="16">
        <v>26665</v>
      </c>
      <c r="I340" s="16">
        <v>30902</v>
      </c>
      <c r="J340" s="16">
        <v>68</v>
      </c>
      <c r="K340" s="16">
        <v>68</v>
      </c>
      <c r="L340" s="16">
        <f>IFERROR(INDEX(楼层配置!$D$5:$D$104,MATCH($K340,楼层配置!$B$5:$B$104,0)),"")</f>
        <v>234</v>
      </c>
      <c r="M340" s="16" t="str">
        <f>IFERROR(INDEX(_角色基线!$B$2:$B$100,MATCH($B340,_角色基线!$A$2:$A$100,0)),"")</f>
        <v>大暑</v>
      </c>
      <c r="N340" s="16" t="str">
        <f>IFERROR(INDEX(_角色基线!$C$2:$C$100,MATCH($B340,_角色基线!$A$2:$A$100,0)),"")</f>
        <v>Tank</v>
      </c>
      <c r="O340" s="16">
        <f>IFERROR(INDEX(_怪物基线!$B$2:$B$501,MATCH(INT($L340),_怪物基线!$A$2:$A$501,0)),"")</f>
        <v>246867</v>
      </c>
      <c r="P340" s="16">
        <f>IFERROR(INDEX(_怪物基线!$C$2:$C$501,MATCH(INT($L340),_怪物基线!$A$2:$A$501,0)),"")</f>
        <v>25972</v>
      </c>
      <c r="Q340" s="16">
        <f>IFERROR(INDEX(_怪物基线!$D$2:$D$501,MATCH(INT($L340),_怪物基线!$A$2:$A$501,0)),"")</f>
        <v>23501</v>
      </c>
      <c r="R340" s="16">
        <f>参数!$B$10</f>
        <v>4</v>
      </c>
      <c r="S340" s="16">
        <f>参数!$C$10</f>
        <v>1.2</v>
      </c>
      <c r="T340" s="16">
        <f>参数!$D$10</f>
        <v>1</v>
      </c>
      <c r="U340" s="16">
        <f t="shared" si="40"/>
        <v>987468</v>
      </c>
      <c r="V340" s="16">
        <f t="shared" si="41"/>
        <v>31166.4</v>
      </c>
      <c r="W340" s="16">
        <f t="shared" si="42"/>
        <v>23501</v>
      </c>
      <c r="X340" s="16">
        <f>IFERROR(INDEX(参数!$B$5:$B$7,MATCH($N340,参数!$A$5:$A$7,0)),"")</f>
        <v>1.5</v>
      </c>
      <c r="Y340" s="16">
        <f>IFERROR(INDEX(参数!$C$5:$C$7,MATCH($N340,参数!$A$5:$A$7,0)),"")</f>
        <v>1</v>
      </c>
      <c r="Z340" s="16">
        <f>IFERROR(INDEX(参数!$D$5:$D$7,MATCH($N340,参数!$A$5:$A$7,0)),"")</f>
        <v>1.5</v>
      </c>
      <c r="AA340" s="16">
        <f>IFERROR(INDEX(楼层配置!$E$5:$E$104,MATCH($K340,楼层配置!$B$5:$B$104,0)),1)</f>
        <v>1.14787796748917</v>
      </c>
      <c r="AB340" s="16">
        <f>IFERROR(INDEX(楼层配置!$F$5:$F$104,MATCH($K340,楼层配置!$B$5:$B$104,0)),1)</f>
        <v>0.697471382218971</v>
      </c>
      <c r="AC340" s="16">
        <f>IFERROR(INDEX(楼层配置!$G$5:$G$104,MATCH($K340,楼层配置!$B$5:$B$104,0)),1)</f>
        <v>1</v>
      </c>
      <c r="AD340" s="18">
        <f t="shared" si="43"/>
        <v>-0.323984558796925</v>
      </c>
      <c r="AE340" s="18">
        <f t="shared" si="44"/>
        <v>-0.184774048378024</v>
      </c>
      <c r="AF340" s="18">
        <f t="shared" si="45"/>
        <v>0.140767587858391</v>
      </c>
      <c r="AG340" s="16" t="str">
        <f t="shared" si="46"/>
        <v>有效</v>
      </c>
      <c r="AH340">
        <f t="shared" si="47"/>
        <v>4197606.71783333</v>
      </c>
    </row>
    <row r="341" ht="14.25" customHeight="1" spans="1:34">
      <c r="A341" s="16">
        <v>337</v>
      </c>
      <c r="B341" s="16">
        <v>1001</v>
      </c>
      <c r="C341" s="16">
        <v>44</v>
      </c>
      <c r="D341" s="17">
        <f>IFERROR(ROUND($U341*$X341*$AA341*参数!$B$13,0),"")</f>
        <v>1133493</v>
      </c>
      <c r="E341" s="17">
        <f>IFERROR(ROUND($V341*$Y341*$AB341*参数!$C$13,0),"")</f>
        <v>26085</v>
      </c>
      <c r="F341" s="17">
        <f>IFERROR(ROUND($W341*$Z341*$AC341*参数!$D$13,0),"")</f>
        <v>23501</v>
      </c>
      <c r="G341" s="16">
        <v>1676726</v>
      </c>
      <c r="H341" s="16">
        <v>31998</v>
      </c>
      <c r="I341" s="16">
        <v>20601</v>
      </c>
      <c r="J341" s="16">
        <v>68</v>
      </c>
      <c r="K341" s="16">
        <v>68</v>
      </c>
      <c r="L341" s="16">
        <f>IFERROR(INDEX(楼层配置!$D$5:$D$104,MATCH($K341,楼层配置!$B$5:$B$104,0)),"")</f>
        <v>234</v>
      </c>
      <c r="M341" s="16" t="str">
        <f>IFERROR(INDEX(_角色基线!$B$2:$B$100,MATCH($B341,_角色基线!$A$2:$A$100,0)),"")</f>
        <v>星海</v>
      </c>
      <c r="N341" s="16" t="str">
        <f>IFERROR(INDEX(_角色基线!$C$2:$C$100,MATCH($B341,_角色基线!$A$2:$A$100,0)),"")</f>
        <v>DPS</v>
      </c>
      <c r="O341" s="16">
        <f>IFERROR(INDEX(_怪物基线!$B$2:$B$501,MATCH(INT($L341),_怪物基线!$A$2:$A$501,0)),"")</f>
        <v>246867</v>
      </c>
      <c r="P341" s="16">
        <f>IFERROR(INDEX(_怪物基线!$C$2:$C$501,MATCH(INT($L341),_怪物基线!$A$2:$A$501,0)),"")</f>
        <v>25972</v>
      </c>
      <c r="Q341" s="16">
        <f>IFERROR(INDEX(_怪物基线!$D$2:$D$501,MATCH(INT($L341),_怪物基线!$A$2:$A$501,0)),"")</f>
        <v>23501</v>
      </c>
      <c r="R341" s="16">
        <f>参数!$B$10</f>
        <v>4</v>
      </c>
      <c r="S341" s="16">
        <f>参数!$C$10</f>
        <v>1.2</v>
      </c>
      <c r="T341" s="16">
        <f>参数!$D$10</f>
        <v>1</v>
      </c>
      <c r="U341" s="16">
        <f t="shared" si="40"/>
        <v>987468</v>
      </c>
      <c r="V341" s="16">
        <f t="shared" si="41"/>
        <v>31166.4</v>
      </c>
      <c r="W341" s="16">
        <f t="shared" si="42"/>
        <v>23501</v>
      </c>
      <c r="X341" s="16">
        <f>IFERROR(INDEX(参数!$B$5:$B$7,MATCH($N341,参数!$A$5:$A$7,0)),"")</f>
        <v>1</v>
      </c>
      <c r="Y341" s="16">
        <f>IFERROR(INDEX(参数!$C$5:$C$7,MATCH($N341,参数!$A$5:$A$7,0)),"")</f>
        <v>1.2</v>
      </c>
      <c r="Z341" s="16">
        <f>IFERROR(INDEX(参数!$D$5:$D$7,MATCH($N341,参数!$A$5:$A$7,0)),"")</f>
        <v>1</v>
      </c>
      <c r="AA341" s="16">
        <f>IFERROR(INDEX(楼层配置!$E$5:$E$104,MATCH($K341,楼层配置!$B$5:$B$104,0)),1)</f>
        <v>1.14787796748917</v>
      </c>
      <c r="AB341" s="16">
        <f>IFERROR(INDEX(楼层配置!$F$5:$F$104,MATCH($K341,楼层配置!$B$5:$B$104,0)),1)</f>
        <v>0.697471382218971</v>
      </c>
      <c r="AC341" s="16">
        <f>IFERROR(INDEX(楼层配置!$G$5:$G$104,MATCH($K341,楼层配置!$B$5:$B$104,0)),1)</f>
        <v>1</v>
      </c>
      <c r="AD341" s="18">
        <f t="shared" si="43"/>
        <v>-0.323984359996803</v>
      </c>
      <c r="AE341" s="18">
        <f t="shared" si="44"/>
        <v>-0.184792799549972</v>
      </c>
      <c r="AF341" s="18">
        <f t="shared" si="45"/>
        <v>0.140769865540508</v>
      </c>
      <c r="AG341" s="16" t="str">
        <f t="shared" si="46"/>
        <v>有效</v>
      </c>
      <c r="AH341">
        <f t="shared" si="47"/>
        <v>2243418.791375</v>
      </c>
    </row>
    <row r="342" ht="14.25" customHeight="1" spans="1:34">
      <c r="A342" s="16">
        <v>338</v>
      </c>
      <c r="B342" s="16">
        <v>1001</v>
      </c>
      <c r="C342" s="16">
        <v>44</v>
      </c>
      <c r="D342" s="17">
        <f>IFERROR(ROUND($U342*$X342*$AA342*参数!$B$13,0),"")</f>
        <v>1133493</v>
      </c>
      <c r="E342" s="17">
        <f>IFERROR(ROUND($V342*$Y342*$AB342*参数!$C$13,0),"")</f>
        <v>26085</v>
      </c>
      <c r="F342" s="17">
        <f>IFERROR(ROUND($W342*$Z342*$AC342*参数!$D$13,0),"")</f>
        <v>23501</v>
      </c>
      <c r="G342" s="16">
        <v>1676726</v>
      </c>
      <c r="H342" s="16">
        <v>31998</v>
      </c>
      <c r="I342" s="16">
        <v>20601</v>
      </c>
      <c r="J342" s="16">
        <v>68</v>
      </c>
      <c r="K342" s="16">
        <v>68</v>
      </c>
      <c r="L342" s="16">
        <f>IFERROR(INDEX(楼层配置!$D$5:$D$104,MATCH($K342,楼层配置!$B$5:$B$104,0)),"")</f>
        <v>234</v>
      </c>
      <c r="M342" s="16" t="str">
        <f>IFERROR(INDEX(_角色基线!$B$2:$B$100,MATCH($B342,_角色基线!$A$2:$A$100,0)),"")</f>
        <v>星海</v>
      </c>
      <c r="N342" s="16" t="str">
        <f>IFERROR(INDEX(_角色基线!$C$2:$C$100,MATCH($B342,_角色基线!$A$2:$A$100,0)),"")</f>
        <v>DPS</v>
      </c>
      <c r="O342" s="16">
        <f>IFERROR(INDEX(_怪物基线!$B$2:$B$501,MATCH(INT($L342),_怪物基线!$A$2:$A$501,0)),"")</f>
        <v>246867</v>
      </c>
      <c r="P342" s="16">
        <f>IFERROR(INDEX(_怪物基线!$C$2:$C$501,MATCH(INT($L342),_怪物基线!$A$2:$A$501,0)),"")</f>
        <v>25972</v>
      </c>
      <c r="Q342" s="16">
        <f>IFERROR(INDEX(_怪物基线!$D$2:$D$501,MATCH(INT($L342),_怪物基线!$A$2:$A$501,0)),"")</f>
        <v>23501</v>
      </c>
      <c r="R342" s="16">
        <f>参数!$B$10</f>
        <v>4</v>
      </c>
      <c r="S342" s="16">
        <f>参数!$C$10</f>
        <v>1.2</v>
      </c>
      <c r="T342" s="16">
        <f>参数!$D$10</f>
        <v>1</v>
      </c>
      <c r="U342" s="16">
        <f t="shared" si="40"/>
        <v>987468</v>
      </c>
      <c r="V342" s="16">
        <f t="shared" si="41"/>
        <v>31166.4</v>
      </c>
      <c r="W342" s="16">
        <f t="shared" si="42"/>
        <v>23501</v>
      </c>
      <c r="X342" s="16">
        <f>IFERROR(INDEX(参数!$B$5:$B$7,MATCH($N342,参数!$A$5:$A$7,0)),"")</f>
        <v>1</v>
      </c>
      <c r="Y342" s="16">
        <f>IFERROR(INDEX(参数!$C$5:$C$7,MATCH($N342,参数!$A$5:$A$7,0)),"")</f>
        <v>1.2</v>
      </c>
      <c r="Z342" s="16">
        <f>IFERROR(INDEX(参数!$D$5:$D$7,MATCH($N342,参数!$A$5:$A$7,0)),"")</f>
        <v>1</v>
      </c>
      <c r="AA342" s="16">
        <f>IFERROR(INDEX(楼层配置!$E$5:$E$104,MATCH($K342,楼层配置!$B$5:$B$104,0)),1)</f>
        <v>1.14787796748917</v>
      </c>
      <c r="AB342" s="16">
        <f>IFERROR(INDEX(楼层配置!$F$5:$F$104,MATCH($K342,楼层配置!$B$5:$B$104,0)),1)</f>
        <v>0.697471382218971</v>
      </c>
      <c r="AC342" s="16">
        <f>IFERROR(INDEX(楼层配置!$G$5:$G$104,MATCH($K342,楼层配置!$B$5:$B$104,0)),1)</f>
        <v>1</v>
      </c>
      <c r="AD342" s="18">
        <f t="shared" si="43"/>
        <v>-0.323984359996803</v>
      </c>
      <c r="AE342" s="18">
        <f t="shared" si="44"/>
        <v>-0.184792799549972</v>
      </c>
      <c r="AF342" s="18">
        <f t="shared" si="45"/>
        <v>0.140769865540508</v>
      </c>
      <c r="AG342" s="16" t="str">
        <f t="shared" si="46"/>
        <v>有效</v>
      </c>
      <c r="AH342">
        <f t="shared" si="47"/>
        <v>2243418.791375</v>
      </c>
    </row>
    <row r="343" ht="14.25" customHeight="1" spans="1:34">
      <c r="A343" s="16">
        <v>339</v>
      </c>
      <c r="B343" s="16">
        <v>1012</v>
      </c>
      <c r="C343" s="16">
        <v>44</v>
      </c>
      <c r="D343" s="17">
        <f>IFERROR(ROUND($U343*$X343*$AA343*参数!$B$13,0),"")</f>
        <v>1416866</v>
      </c>
      <c r="E343" s="17">
        <f>IFERROR(ROUND($V343*$Y343*$AB343*参数!$C$13,0),"")</f>
        <v>21738</v>
      </c>
      <c r="F343" s="17">
        <f>IFERROR(ROUND($W343*$Z343*$AC343*参数!$D$13,0),"")</f>
        <v>29376</v>
      </c>
      <c r="G343" s="16">
        <v>2095908</v>
      </c>
      <c r="H343" s="16">
        <v>26665</v>
      </c>
      <c r="I343" s="16">
        <v>25752</v>
      </c>
      <c r="J343" s="16">
        <v>68</v>
      </c>
      <c r="K343" s="16">
        <v>68</v>
      </c>
      <c r="L343" s="16">
        <f>IFERROR(INDEX(楼层配置!$D$5:$D$104,MATCH($K343,楼层配置!$B$5:$B$104,0)),"")</f>
        <v>234</v>
      </c>
      <c r="M343" s="16" t="str">
        <f>IFERROR(INDEX(_角色基线!$B$2:$B$100,MATCH($B343,_角色基线!$A$2:$A$100,0)),"")</f>
        <v>艾德琳</v>
      </c>
      <c r="N343" s="16" t="str">
        <f>IFERROR(INDEX(_角色基线!$C$2:$C$100,MATCH($B343,_角色基线!$A$2:$A$100,0)),"")</f>
        <v>Support</v>
      </c>
      <c r="O343" s="16">
        <f>IFERROR(INDEX(_怪物基线!$B$2:$B$501,MATCH(INT($L343),_怪物基线!$A$2:$A$501,0)),"")</f>
        <v>246867</v>
      </c>
      <c r="P343" s="16">
        <f>IFERROR(INDEX(_怪物基线!$C$2:$C$501,MATCH(INT($L343),_怪物基线!$A$2:$A$501,0)),"")</f>
        <v>25972</v>
      </c>
      <c r="Q343" s="16">
        <f>IFERROR(INDEX(_怪物基线!$D$2:$D$501,MATCH(INT($L343),_怪物基线!$A$2:$A$501,0)),"")</f>
        <v>23501</v>
      </c>
      <c r="R343" s="16">
        <f>参数!$B$10</f>
        <v>4</v>
      </c>
      <c r="S343" s="16">
        <f>参数!$C$10</f>
        <v>1.2</v>
      </c>
      <c r="T343" s="16">
        <f>参数!$D$10</f>
        <v>1</v>
      </c>
      <c r="U343" s="16">
        <f t="shared" si="40"/>
        <v>987468</v>
      </c>
      <c r="V343" s="16">
        <f t="shared" si="41"/>
        <v>31166.4</v>
      </c>
      <c r="W343" s="16">
        <f t="shared" si="42"/>
        <v>23501</v>
      </c>
      <c r="X343" s="16">
        <f>IFERROR(INDEX(参数!$B$5:$B$7,MATCH($N343,参数!$A$5:$A$7,0)),"")</f>
        <v>1.25</v>
      </c>
      <c r="Y343" s="16">
        <f>IFERROR(INDEX(参数!$C$5:$C$7,MATCH($N343,参数!$A$5:$A$7,0)),"")</f>
        <v>1</v>
      </c>
      <c r="Z343" s="16">
        <f>IFERROR(INDEX(参数!$D$5:$D$7,MATCH($N343,参数!$A$5:$A$7,0)),"")</f>
        <v>1.25</v>
      </c>
      <c r="AA343" s="16">
        <f>IFERROR(INDEX(楼层配置!$E$5:$E$104,MATCH($K343,楼层配置!$B$5:$B$104,0)),1)</f>
        <v>1.14787796748917</v>
      </c>
      <c r="AB343" s="16">
        <f>IFERROR(INDEX(楼层配置!$F$5:$F$104,MATCH($K343,楼层配置!$B$5:$B$104,0)),1)</f>
        <v>0.697471382218971</v>
      </c>
      <c r="AC343" s="16">
        <f>IFERROR(INDEX(楼层配置!$G$5:$G$104,MATCH($K343,楼层配置!$B$5:$B$104,0)),1)</f>
        <v>1</v>
      </c>
      <c r="AD343" s="18">
        <f t="shared" si="43"/>
        <v>-0.3239846405472</v>
      </c>
      <c r="AE343" s="18">
        <f t="shared" si="44"/>
        <v>-0.184774048378024</v>
      </c>
      <c r="AF343" s="18">
        <f t="shared" si="45"/>
        <v>0.140726933830382</v>
      </c>
      <c r="AG343" s="16" t="str">
        <f t="shared" si="46"/>
        <v>有效</v>
      </c>
      <c r="AH343">
        <f t="shared" si="47"/>
        <v>3151109.984</v>
      </c>
    </row>
    <row r="344" ht="14.25" customHeight="1" spans="1:34">
      <c r="A344" s="16">
        <v>340</v>
      </c>
      <c r="B344" s="16">
        <v>1012</v>
      </c>
      <c r="C344" s="16">
        <v>44</v>
      </c>
      <c r="D344" s="17">
        <f>IFERROR(ROUND($U344*$X344*$AA344*参数!$B$13,0),"")</f>
        <v>1416866</v>
      </c>
      <c r="E344" s="17">
        <f>IFERROR(ROUND($V344*$Y344*$AB344*参数!$C$13,0),"")</f>
        <v>21738</v>
      </c>
      <c r="F344" s="17">
        <f>IFERROR(ROUND($W344*$Z344*$AC344*参数!$D$13,0),"")</f>
        <v>29376</v>
      </c>
      <c r="G344" s="16">
        <v>2095908</v>
      </c>
      <c r="H344" s="16">
        <v>26665</v>
      </c>
      <c r="I344" s="16">
        <v>25752</v>
      </c>
      <c r="J344" s="16">
        <v>68</v>
      </c>
      <c r="K344" s="16">
        <v>68</v>
      </c>
      <c r="L344" s="16">
        <f>IFERROR(INDEX(楼层配置!$D$5:$D$104,MATCH($K344,楼层配置!$B$5:$B$104,0)),"")</f>
        <v>234</v>
      </c>
      <c r="M344" s="16" t="str">
        <f>IFERROR(INDEX(_角色基线!$B$2:$B$100,MATCH($B344,_角色基线!$A$2:$A$100,0)),"")</f>
        <v>艾德琳</v>
      </c>
      <c r="N344" s="16" t="str">
        <f>IFERROR(INDEX(_角色基线!$C$2:$C$100,MATCH($B344,_角色基线!$A$2:$A$100,0)),"")</f>
        <v>Support</v>
      </c>
      <c r="O344" s="16">
        <f>IFERROR(INDEX(_怪物基线!$B$2:$B$501,MATCH(INT($L344),_怪物基线!$A$2:$A$501,0)),"")</f>
        <v>246867</v>
      </c>
      <c r="P344" s="16">
        <f>IFERROR(INDEX(_怪物基线!$C$2:$C$501,MATCH(INT($L344),_怪物基线!$A$2:$A$501,0)),"")</f>
        <v>25972</v>
      </c>
      <c r="Q344" s="16">
        <f>IFERROR(INDEX(_怪物基线!$D$2:$D$501,MATCH(INT($L344),_怪物基线!$A$2:$A$501,0)),"")</f>
        <v>23501</v>
      </c>
      <c r="R344" s="16">
        <f>参数!$B$10</f>
        <v>4</v>
      </c>
      <c r="S344" s="16">
        <f>参数!$C$10</f>
        <v>1.2</v>
      </c>
      <c r="T344" s="16">
        <f>参数!$D$10</f>
        <v>1</v>
      </c>
      <c r="U344" s="16">
        <f t="shared" si="40"/>
        <v>987468</v>
      </c>
      <c r="V344" s="16">
        <f t="shared" si="41"/>
        <v>31166.4</v>
      </c>
      <c r="W344" s="16">
        <f t="shared" si="42"/>
        <v>23501</v>
      </c>
      <c r="X344" s="16">
        <f>IFERROR(INDEX(参数!$B$5:$B$7,MATCH($N344,参数!$A$5:$A$7,0)),"")</f>
        <v>1.25</v>
      </c>
      <c r="Y344" s="16">
        <f>IFERROR(INDEX(参数!$C$5:$C$7,MATCH($N344,参数!$A$5:$A$7,0)),"")</f>
        <v>1</v>
      </c>
      <c r="Z344" s="16">
        <f>IFERROR(INDEX(参数!$D$5:$D$7,MATCH($N344,参数!$A$5:$A$7,0)),"")</f>
        <v>1.25</v>
      </c>
      <c r="AA344" s="16">
        <f>IFERROR(INDEX(楼层配置!$E$5:$E$104,MATCH($K344,楼层配置!$B$5:$B$104,0)),1)</f>
        <v>1.14787796748917</v>
      </c>
      <c r="AB344" s="16">
        <f>IFERROR(INDEX(楼层配置!$F$5:$F$104,MATCH($K344,楼层配置!$B$5:$B$104,0)),1)</f>
        <v>0.697471382218971</v>
      </c>
      <c r="AC344" s="16">
        <f>IFERROR(INDEX(楼层配置!$G$5:$G$104,MATCH($K344,楼层配置!$B$5:$B$104,0)),1)</f>
        <v>1</v>
      </c>
      <c r="AD344" s="18">
        <f t="shared" si="43"/>
        <v>-0.3239846405472</v>
      </c>
      <c r="AE344" s="18">
        <f t="shared" si="44"/>
        <v>-0.184774048378024</v>
      </c>
      <c r="AF344" s="18">
        <f t="shared" si="45"/>
        <v>0.140726933830382</v>
      </c>
      <c r="AG344" s="16" t="str">
        <f t="shared" si="46"/>
        <v>有效</v>
      </c>
      <c r="AH344">
        <f t="shared" si="47"/>
        <v>3151109.984</v>
      </c>
    </row>
    <row r="345" ht="14.25" customHeight="1" spans="1:34">
      <c r="A345" s="16">
        <v>341</v>
      </c>
      <c r="B345" s="16">
        <v>1004</v>
      </c>
      <c r="C345" s="16">
        <v>44</v>
      </c>
      <c r="D345" s="17">
        <f>IFERROR(ROUND($U345*$X345*$AA345*参数!$B$13,0),"")</f>
        <v>1729993</v>
      </c>
      <c r="E345" s="17">
        <f>IFERROR(ROUND($V345*$Y345*$AB345*参数!$C$13,0),"")</f>
        <v>22081</v>
      </c>
      <c r="F345" s="17">
        <f>IFERROR(ROUND($W345*$Z345*$AC345*参数!$D$13,0),"")</f>
        <v>35634</v>
      </c>
      <c r="G345" s="16">
        <v>2608920</v>
      </c>
      <c r="H345" s="16">
        <v>27390</v>
      </c>
      <c r="I345" s="16">
        <v>31489</v>
      </c>
      <c r="J345" s="16">
        <v>69</v>
      </c>
      <c r="K345" s="16">
        <v>69</v>
      </c>
      <c r="L345" s="16">
        <f>IFERROR(INDEX(楼层配置!$D$5:$D$104,MATCH($K345,楼层配置!$B$5:$B$104,0)),"")</f>
        <v>236</v>
      </c>
      <c r="M345" s="16" t="str">
        <f>IFERROR(INDEX(_角色基线!$B$2:$B$100,MATCH($B345,_角色基线!$A$2:$A$100,0)),"")</f>
        <v>阿芭</v>
      </c>
      <c r="N345" s="16" t="str">
        <f>IFERROR(INDEX(_角色基线!$C$2:$C$100,MATCH($B345,_角色基线!$A$2:$A$100,0)),"")</f>
        <v>Tank</v>
      </c>
      <c r="O345" s="16">
        <f>IFERROR(INDEX(_怪物基线!$B$2:$B$501,MATCH(INT($L345),_怪物基线!$A$2:$A$501,0)),"")</f>
        <v>252332</v>
      </c>
      <c r="P345" s="16">
        <f>IFERROR(INDEX(_怪物基线!$C$2:$C$501,MATCH(INT($L345),_怪物基线!$A$2:$A$501,0)),"")</f>
        <v>26393</v>
      </c>
      <c r="Q345" s="16">
        <f>IFERROR(INDEX(_怪物基线!$D$2:$D$501,MATCH(INT($L345),_怪物基线!$A$2:$A$501,0)),"")</f>
        <v>23756</v>
      </c>
      <c r="R345" s="16">
        <f>参数!$B$10</f>
        <v>4</v>
      </c>
      <c r="S345" s="16">
        <f>参数!$C$10</f>
        <v>1.2</v>
      </c>
      <c r="T345" s="16">
        <f>参数!$D$10</f>
        <v>1</v>
      </c>
      <c r="U345" s="16">
        <f t="shared" si="40"/>
        <v>1009328</v>
      </c>
      <c r="V345" s="16">
        <f t="shared" si="41"/>
        <v>31671.6</v>
      </c>
      <c r="W345" s="16">
        <f t="shared" si="42"/>
        <v>23756</v>
      </c>
      <c r="X345" s="16">
        <f>IFERROR(INDEX(参数!$B$5:$B$7,MATCH($N345,参数!$A$5:$A$7,0)),"")</f>
        <v>1.5</v>
      </c>
      <c r="Y345" s="16">
        <f>IFERROR(INDEX(参数!$C$5:$C$7,MATCH($N345,参数!$A$5:$A$7,0)),"")</f>
        <v>1</v>
      </c>
      <c r="Z345" s="16">
        <f>IFERROR(INDEX(参数!$D$5:$D$7,MATCH($N345,参数!$A$5:$A$7,0)),"")</f>
        <v>1.5</v>
      </c>
      <c r="AA345" s="16">
        <f>IFERROR(INDEX(楼层配置!$E$5:$E$104,MATCH($K345,楼层配置!$B$5:$B$104,0)),1)</f>
        <v>1.14266975016477</v>
      </c>
      <c r="AB345" s="16">
        <f>IFERROR(INDEX(楼层配置!$F$5:$F$104,MATCH($K345,楼层配置!$B$5:$B$104,0)),1)</f>
        <v>0.697193122902009</v>
      </c>
      <c r="AC345" s="16">
        <f>IFERROR(INDEX(楼层配置!$G$5:$G$104,MATCH($K345,楼层配置!$B$5:$B$104,0)),1)</f>
        <v>1</v>
      </c>
      <c r="AD345" s="18">
        <f t="shared" si="43"/>
        <v>-0.336893043864894</v>
      </c>
      <c r="AE345" s="18">
        <f t="shared" si="44"/>
        <v>-0.193829864914202</v>
      </c>
      <c r="AF345" s="18">
        <f t="shared" si="45"/>
        <v>0.13163326876052</v>
      </c>
      <c r="AG345" s="16" t="str">
        <f t="shared" si="46"/>
        <v>有效</v>
      </c>
      <c r="AH345">
        <f t="shared" si="47"/>
        <v>4298600.10675</v>
      </c>
    </row>
    <row r="346" ht="14.25" customHeight="1" spans="1:34">
      <c r="A346" s="16">
        <v>342</v>
      </c>
      <c r="B346" s="16">
        <v>1007</v>
      </c>
      <c r="C346" s="16">
        <v>44</v>
      </c>
      <c r="D346" s="17">
        <f>IFERROR(ROUND($U346*$X346*$AA346*参数!$B$13,0),"")</f>
        <v>1441661</v>
      </c>
      <c r="E346" s="17">
        <f>IFERROR(ROUND($V346*$Y346*$AB346*参数!$C$13,0),"")</f>
        <v>22081</v>
      </c>
      <c r="F346" s="17">
        <f>IFERROR(ROUND($W346*$Z346*$AC346*参数!$D$13,0),"")</f>
        <v>29695</v>
      </c>
      <c r="G346" s="16">
        <v>2174100</v>
      </c>
      <c r="H346" s="16">
        <v>27390</v>
      </c>
      <c r="I346" s="16">
        <v>26241</v>
      </c>
      <c r="J346" s="16">
        <v>69</v>
      </c>
      <c r="K346" s="16">
        <v>69</v>
      </c>
      <c r="L346" s="16">
        <f>IFERROR(INDEX(楼层配置!$D$5:$D$104,MATCH($K346,楼层配置!$B$5:$B$104,0)),"")</f>
        <v>236</v>
      </c>
      <c r="M346" s="16" t="str">
        <f>IFERROR(INDEX(_角色基线!$B$2:$B$100,MATCH($B346,_角色基线!$A$2:$A$100,0)),"")</f>
        <v>萨萨莉安</v>
      </c>
      <c r="N346" s="16" t="str">
        <f>IFERROR(INDEX(_角色基线!$C$2:$C$100,MATCH($B346,_角色基线!$A$2:$A$100,0)),"")</f>
        <v>Support</v>
      </c>
      <c r="O346" s="16">
        <f>IFERROR(INDEX(_怪物基线!$B$2:$B$501,MATCH(INT($L346),_怪物基线!$A$2:$A$501,0)),"")</f>
        <v>252332</v>
      </c>
      <c r="P346" s="16">
        <f>IFERROR(INDEX(_怪物基线!$C$2:$C$501,MATCH(INT($L346),_怪物基线!$A$2:$A$501,0)),"")</f>
        <v>26393</v>
      </c>
      <c r="Q346" s="16">
        <f>IFERROR(INDEX(_怪物基线!$D$2:$D$501,MATCH(INT($L346),_怪物基线!$A$2:$A$501,0)),"")</f>
        <v>23756</v>
      </c>
      <c r="R346" s="16">
        <f>参数!$B$10</f>
        <v>4</v>
      </c>
      <c r="S346" s="16">
        <f>参数!$C$10</f>
        <v>1.2</v>
      </c>
      <c r="T346" s="16">
        <f>参数!$D$10</f>
        <v>1</v>
      </c>
      <c r="U346" s="16">
        <f t="shared" si="40"/>
        <v>1009328</v>
      </c>
      <c r="V346" s="16">
        <f t="shared" si="41"/>
        <v>31671.6</v>
      </c>
      <c r="W346" s="16">
        <f t="shared" si="42"/>
        <v>23756</v>
      </c>
      <c r="X346" s="16">
        <f>IFERROR(INDEX(参数!$B$5:$B$7,MATCH($N346,参数!$A$5:$A$7,0)),"")</f>
        <v>1.25</v>
      </c>
      <c r="Y346" s="16">
        <f>IFERROR(INDEX(参数!$C$5:$C$7,MATCH($N346,参数!$A$5:$A$7,0)),"")</f>
        <v>1</v>
      </c>
      <c r="Z346" s="16">
        <f>IFERROR(INDEX(参数!$D$5:$D$7,MATCH($N346,参数!$A$5:$A$7,0)),"")</f>
        <v>1.25</v>
      </c>
      <c r="AA346" s="16">
        <f>IFERROR(INDEX(楼层配置!$E$5:$E$104,MATCH($K346,楼层配置!$B$5:$B$104,0)),1)</f>
        <v>1.14266975016477</v>
      </c>
      <c r="AB346" s="16">
        <f>IFERROR(INDEX(楼层配置!$F$5:$F$104,MATCH($K346,楼层配置!$B$5:$B$104,0)),1)</f>
        <v>0.697193122902009</v>
      </c>
      <c r="AC346" s="16">
        <f>IFERROR(INDEX(楼层配置!$G$5:$G$104,MATCH($K346,楼层配置!$B$5:$B$104,0)),1)</f>
        <v>1</v>
      </c>
      <c r="AD346" s="18">
        <f t="shared" si="43"/>
        <v>-0.33689296720482</v>
      </c>
      <c r="AE346" s="18">
        <f t="shared" si="44"/>
        <v>-0.193829864914202</v>
      </c>
      <c r="AF346" s="18">
        <f t="shared" si="45"/>
        <v>0.13162608132312</v>
      </c>
      <c r="AG346" s="16" t="str">
        <f t="shared" si="46"/>
        <v>有效</v>
      </c>
      <c r="AH346">
        <f t="shared" si="47"/>
        <v>3225416.14145833</v>
      </c>
    </row>
    <row r="347" ht="14.25" customHeight="1" spans="1:34">
      <c r="A347" s="16">
        <v>343</v>
      </c>
      <c r="B347" s="16">
        <v>1007</v>
      </c>
      <c r="C347" s="16">
        <v>44</v>
      </c>
      <c r="D347" s="17">
        <f>IFERROR(ROUND($U347*$X347*$AA347*参数!$B$13,0),"")</f>
        <v>1441661</v>
      </c>
      <c r="E347" s="17">
        <f>IFERROR(ROUND($V347*$Y347*$AB347*参数!$C$13,0),"")</f>
        <v>22081</v>
      </c>
      <c r="F347" s="17">
        <f>IFERROR(ROUND($W347*$Z347*$AC347*参数!$D$13,0),"")</f>
        <v>29695</v>
      </c>
      <c r="G347" s="16">
        <v>2174100</v>
      </c>
      <c r="H347" s="16">
        <v>27390</v>
      </c>
      <c r="I347" s="16">
        <v>26241</v>
      </c>
      <c r="J347" s="16">
        <v>69</v>
      </c>
      <c r="K347" s="16">
        <v>69</v>
      </c>
      <c r="L347" s="16">
        <f>IFERROR(INDEX(楼层配置!$D$5:$D$104,MATCH($K347,楼层配置!$B$5:$B$104,0)),"")</f>
        <v>236</v>
      </c>
      <c r="M347" s="16" t="str">
        <f>IFERROR(INDEX(_角色基线!$B$2:$B$100,MATCH($B347,_角色基线!$A$2:$A$100,0)),"")</f>
        <v>萨萨莉安</v>
      </c>
      <c r="N347" s="16" t="str">
        <f>IFERROR(INDEX(_角色基线!$C$2:$C$100,MATCH($B347,_角色基线!$A$2:$A$100,0)),"")</f>
        <v>Support</v>
      </c>
      <c r="O347" s="16">
        <f>IFERROR(INDEX(_怪物基线!$B$2:$B$501,MATCH(INT($L347),_怪物基线!$A$2:$A$501,0)),"")</f>
        <v>252332</v>
      </c>
      <c r="P347" s="16">
        <f>IFERROR(INDEX(_怪物基线!$C$2:$C$501,MATCH(INT($L347),_怪物基线!$A$2:$A$501,0)),"")</f>
        <v>26393</v>
      </c>
      <c r="Q347" s="16">
        <f>IFERROR(INDEX(_怪物基线!$D$2:$D$501,MATCH(INT($L347),_怪物基线!$A$2:$A$501,0)),"")</f>
        <v>23756</v>
      </c>
      <c r="R347" s="16">
        <f>参数!$B$10</f>
        <v>4</v>
      </c>
      <c r="S347" s="16">
        <f>参数!$C$10</f>
        <v>1.2</v>
      </c>
      <c r="T347" s="16">
        <f>参数!$D$10</f>
        <v>1</v>
      </c>
      <c r="U347" s="16">
        <f t="shared" si="40"/>
        <v>1009328</v>
      </c>
      <c r="V347" s="16">
        <f t="shared" si="41"/>
        <v>31671.6</v>
      </c>
      <c r="W347" s="16">
        <f t="shared" si="42"/>
        <v>23756</v>
      </c>
      <c r="X347" s="16">
        <f>IFERROR(INDEX(参数!$B$5:$B$7,MATCH($N347,参数!$A$5:$A$7,0)),"")</f>
        <v>1.25</v>
      </c>
      <c r="Y347" s="16">
        <f>IFERROR(INDEX(参数!$C$5:$C$7,MATCH($N347,参数!$A$5:$A$7,0)),"")</f>
        <v>1</v>
      </c>
      <c r="Z347" s="16">
        <f>IFERROR(INDEX(参数!$D$5:$D$7,MATCH($N347,参数!$A$5:$A$7,0)),"")</f>
        <v>1.25</v>
      </c>
      <c r="AA347" s="16">
        <f>IFERROR(INDEX(楼层配置!$E$5:$E$104,MATCH($K347,楼层配置!$B$5:$B$104,0)),1)</f>
        <v>1.14266975016477</v>
      </c>
      <c r="AB347" s="16">
        <f>IFERROR(INDEX(楼层配置!$F$5:$F$104,MATCH($K347,楼层配置!$B$5:$B$104,0)),1)</f>
        <v>0.697193122902009</v>
      </c>
      <c r="AC347" s="16">
        <f>IFERROR(INDEX(楼层配置!$G$5:$G$104,MATCH($K347,楼层配置!$B$5:$B$104,0)),1)</f>
        <v>1</v>
      </c>
      <c r="AD347" s="18">
        <f t="shared" si="43"/>
        <v>-0.33689296720482</v>
      </c>
      <c r="AE347" s="18">
        <f t="shared" si="44"/>
        <v>-0.193829864914202</v>
      </c>
      <c r="AF347" s="18">
        <f t="shared" si="45"/>
        <v>0.13162608132312</v>
      </c>
      <c r="AG347" s="16" t="str">
        <f t="shared" si="46"/>
        <v>有效</v>
      </c>
      <c r="AH347">
        <f t="shared" si="47"/>
        <v>3225416.14145833</v>
      </c>
    </row>
    <row r="348" ht="14.25" customHeight="1" spans="1:34">
      <c r="A348" s="16">
        <v>344</v>
      </c>
      <c r="B348" s="16">
        <v>1008</v>
      </c>
      <c r="C348" s="16">
        <v>44</v>
      </c>
      <c r="D348" s="17">
        <f>IFERROR(ROUND($U348*$X348*$AA348*参数!$B$13,0),"")</f>
        <v>1153329</v>
      </c>
      <c r="E348" s="17">
        <f>IFERROR(ROUND($V348*$Y348*$AB348*参数!$C$13,0),"")</f>
        <v>26497</v>
      </c>
      <c r="F348" s="17">
        <f>IFERROR(ROUND($W348*$Z348*$AC348*参数!$D$13,0),"")</f>
        <v>23756</v>
      </c>
      <c r="G348" s="16">
        <v>1739280</v>
      </c>
      <c r="H348" s="16">
        <v>32868</v>
      </c>
      <c r="I348" s="16">
        <v>20992</v>
      </c>
      <c r="J348" s="16">
        <v>69</v>
      </c>
      <c r="K348" s="16">
        <v>69</v>
      </c>
      <c r="L348" s="16">
        <f>IFERROR(INDEX(楼层配置!$D$5:$D$104,MATCH($K348,楼层配置!$B$5:$B$104,0)),"")</f>
        <v>236</v>
      </c>
      <c r="M348" s="16" t="str">
        <f>IFERROR(INDEX(_角色基线!$B$2:$B$100,MATCH($B348,_角色基线!$A$2:$A$100,0)),"")</f>
        <v>薇</v>
      </c>
      <c r="N348" s="16" t="str">
        <f>IFERROR(INDEX(_角色基线!$C$2:$C$100,MATCH($B348,_角色基线!$A$2:$A$100,0)),"")</f>
        <v>DPS</v>
      </c>
      <c r="O348" s="16">
        <f>IFERROR(INDEX(_怪物基线!$B$2:$B$501,MATCH(INT($L348),_怪物基线!$A$2:$A$501,0)),"")</f>
        <v>252332</v>
      </c>
      <c r="P348" s="16">
        <f>IFERROR(INDEX(_怪物基线!$C$2:$C$501,MATCH(INT($L348),_怪物基线!$A$2:$A$501,0)),"")</f>
        <v>26393</v>
      </c>
      <c r="Q348" s="16">
        <f>IFERROR(INDEX(_怪物基线!$D$2:$D$501,MATCH(INT($L348),_怪物基线!$A$2:$A$501,0)),"")</f>
        <v>23756</v>
      </c>
      <c r="R348" s="16">
        <f>参数!$B$10</f>
        <v>4</v>
      </c>
      <c r="S348" s="16">
        <f>参数!$C$10</f>
        <v>1.2</v>
      </c>
      <c r="T348" s="16">
        <f>参数!$D$10</f>
        <v>1</v>
      </c>
      <c r="U348" s="16">
        <f t="shared" si="40"/>
        <v>1009328</v>
      </c>
      <c r="V348" s="16">
        <f t="shared" si="41"/>
        <v>31671.6</v>
      </c>
      <c r="W348" s="16">
        <f t="shared" si="42"/>
        <v>23756</v>
      </c>
      <c r="X348" s="16">
        <f>IFERROR(INDEX(参数!$B$5:$B$7,MATCH($N348,参数!$A$5:$A$7,0)),"")</f>
        <v>1</v>
      </c>
      <c r="Y348" s="16">
        <f>IFERROR(INDEX(参数!$C$5:$C$7,MATCH($N348,参数!$A$5:$A$7,0)),"")</f>
        <v>1.2</v>
      </c>
      <c r="Z348" s="16">
        <f>IFERROR(INDEX(参数!$D$5:$D$7,MATCH($N348,参数!$A$5:$A$7,0)),"")</f>
        <v>1</v>
      </c>
      <c r="AA348" s="16">
        <f>IFERROR(INDEX(楼层配置!$E$5:$E$104,MATCH($K348,楼层配置!$B$5:$B$104,0)),1)</f>
        <v>1.14266975016477</v>
      </c>
      <c r="AB348" s="16">
        <f>IFERROR(INDEX(楼层配置!$F$5:$F$104,MATCH($K348,楼层配置!$B$5:$B$104,0)),1)</f>
        <v>0.697193122902009</v>
      </c>
      <c r="AC348" s="16">
        <f>IFERROR(INDEX(楼层配置!$G$5:$G$104,MATCH($K348,楼层配置!$B$5:$B$104,0)),1)</f>
        <v>1</v>
      </c>
      <c r="AD348" s="18">
        <f t="shared" si="43"/>
        <v>-0.33689285221471</v>
      </c>
      <c r="AE348" s="18">
        <f t="shared" si="44"/>
        <v>-0.193835949860046</v>
      </c>
      <c r="AF348" s="18">
        <f t="shared" si="45"/>
        <v>0.131669207317073</v>
      </c>
      <c r="AG348" s="16" t="str">
        <f t="shared" si="46"/>
        <v>有效</v>
      </c>
      <c r="AH348">
        <f t="shared" si="47"/>
        <v>2294932.4885</v>
      </c>
    </row>
    <row r="349" ht="14.25" customHeight="1" spans="1:34">
      <c r="A349" s="16">
        <v>345</v>
      </c>
      <c r="B349" s="16">
        <v>1021</v>
      </c>
      <c r="C349" s="16">
        <v>44</v>
      </c>
      <c r="D349" s="17">
        <f>IFERROR(ROUND($U349*$X349*$AA349*参数!$B$13,0),"")</f>
        <v>1153329</v>
      </c>
      <c r="E349" s="17">
        <f>IFERROR(ROUND($V349*$Y349*$AB349*参数!$C$13,0),"")</f>
        <v>26497</v>
      </c>
      <c r="F349" s="17">
        <f>IFERROR(ROUND($W349*$Z349*$AC349*参数!$D$13,0),"")</f>
        <v>23756</v>
      </c>
      <c r="G349" s="16">
        <v>1739280</v>
      </c>
      <c r="H349" s="16">
        <v>32868</v>
      </c>
      <c r="I349" s="16">
        <v>20992</v>
      </c>
      <c r="J349" s="16">
        <v>69</v>
      </c>
      <c r="K349" s="16">
        <v>69</v>
      </c>
      <c r="L349" s="16">
        <f>IFERROR(INDEX(楼层配置!$D$5:$D$104,MATCH($K349,楼层配置!$B$5:$B$104,0)),"")</f>
        <v>236</v>
      </c>
      <c r="M349" s="16" t="str">
        <f>IFERROR(INDEX(_角色基线!$B$2:$B$100,MATCH($B349,_角色基线!$A$2:$A$100,0)),"")</f>
        <v>梅梅</v>
      </c>
      <c r="N349" s="16" t="str">
        <f>IFERROR(INDEX(_角色基线!$C$2:$C$100,MATCH($B349,_角色基线!$A$2:$A$100,0)),"")</f>
        <v>DPS</v>
      </c>
      <c r="O349" s="16">
        <f>IFERROR(INDEX(_怪物基线!$B$2:$B$501,MATCH(INT($L349),_怪物基线!$A$2:$A$501,0)),"")</f>
        <v>252332</v>
      </c>
      <c r="P349" s="16">
        <f>IFERROR(INDEX(_怪物基线!$C$2:$C$501,MATCH(INT($L349),_怪物基线!$A$2:$A$501,0)),"")</f>
        <v>26393</v>
      </c>
      <c r="Q349" s="16">
        <f>IFERROR(INDEX(_怪物基线!$D$2:$D$501,MATCH(INT($L349),_怪物基线!$A$2:$A$501,0)),"")</f>
        <v>23756</v>
      </c>
      <c r="R349" s="16">
        <f>参数!$B$10</f>
        <v>4</v>
      </c>
      <c r="S349" s="16">
        <f>参数!$C$10</f>
        <v>1.2</v>
      </c>
      <c r="T349" s="16">
        <f>参数!$D$10</f>
        <v>1</v>
      </c>
      <c r="U349" s="16">
        <f t="shared" si="40"/>
        <v>1009328</v>
      </c>
      <c r="V349" s="16">
        <f t="shared" si="41"/>
        <v>31671.6</v>
      </c>
      <c r="W349" s="16">
        <f t="shared" si="42"/>
        <v>23756</v>
      </c>
      <c r="X349" s="16">
        <f>IFERROR(INDEX(参数!$B$5:$B$7,MATCH($N349,参数!$A$5:$A$7,0)),"")</f>
        <v>1</v>
      </c>
      <c r="Y349" s="16">
        <f>IFERROR(INDEX(参数!$C$5:$C$7,MATCH($N349,参数!$A$5:$A$7,0)),"")</f>
        <v>1.2</v>
      </c>
      <c r="Z349" s="16">
        <f>IFERROR(INDEX(参数!$D$5:$D$7,MATCH($N349,参数!$A$5:$A$7,0)),"")</f>
        <v>1</v>
      </c>
      <c r="AA349" s="16">
        <f>IFERROR(INDEX(楼层配置!$E$5:$E$104,MATCH($K349,楼层配置!$B$5:$B$104,0)),1)</f>
        <v>1.14266975016477</v>
      </c>
      <c r="AB349" s="16">
        <f>IFERROR(INDEX(楼层配置!$F$5:$F$104,MATCH($K349,楼层配置!$B$5:$B$104,0)),1)</f>
        <v>0.697193122902009</v>
      </c>
      <c r="AC349" s="16">
        <f>IFERROR(INDEX(楼层配置!$G$5:$G$104,MATCH($K349,楼层配置!$B$5:$B$104,0)),1)</f>
        <v>1</v>
      </c>
      <c r="AD349" s="18">
        <f t="shared" si="43"/>
        <v>-0.33689285221471</v>
      </c>
      <c r="AE349" s="18">
        <f t="shared" si="44"/>
        <v>-0.193835949860046</v>
      </c>
      <c r="AF349" s="18">
        <f t="shared" si="45"/>
        <v>0.131669207317073</v>
      </c>
      <c r="AG349" s="16" t="str">
        <f t="shared" si="46"/>
        <v>有效</v>
      </c>
      <c r="AH349">
        <f t="shared" si="47"/>
        <v>2294932.4885</v>
      </c>
    </row>
    <row r="350" ht="14.25" customHeight="1" spans="1:34">
      <c r="A350" s="16">
        <v>346</v>
      </c>
      <c r="B350" s="16">
        <v>1003</v>
      </c>
      <c r="C350" s="16">
        <v>45</v>
      </c>
      <c r="D350" s="17">
        <f>IFERROR(ROUND($U350*$X350*$AA350*参数!$B$13,0),"")</f>
        <v>1773614</v>
      </c>
      <c r="E350" s="17">
        <f>IFERROR(ROUND($V350*$Y350*$AB350*参数!$C$13,0),"")</f>
        <v>22512</v>
      </c>
      <c r="F350" s="17">
        <f>IFERROR(ROUND($W350*$Z350*$AC350*参数!$D$13,0),"")</f>
        <v>36017</v>
      </c>
      <c r="G350" s="16">
        <v>2705299</v>
      </c>
      <c r="H350" s="16">
        <v>28132</v>
      </c>
      <c r="I350" s="16">
        <v>32079</v>
      </c>
      <c r="J350" s="16">
        <v>70</v>
      </c>
      <c r="K350" s="16">
        <v>70</v>
      </c>
      <c r="L350" s="16">
        <f>IFERROR(INDEX(楼层配置!$D$5:$D$104,MATCH($K350,楼层配置!$B$5:$B$104,0)),"")</f>
        <v>238</v>
      </c>
      <c r="M350" s="16" t="str">
        <f>IFERROR(INDEX(_角色基线!$B$2:$B$100,MATCH($B350,_角色基线!$A$2:$A$100,0)),"")</f>
        <v>塔拉夏</v>
      </c>
      <c r="N350" s="16" t="str">
        <f>IFERROR(INDEX(_角色基线!$C$2:$C$100,MATCH($B350,_角色基线!$A$2:$A$100,0)),"")</f>
        <v>Tank</v>
      </c>
      <c r="O350" s="16">
        <f>IFERROR(INDEX(_怪物基线!$B$2:$B$501,MATCH(INT($L350),_怪物基线!$A$2:$A$501,0)),"")</f>
        <v>257887</v>
      </c>
      <c r="P350" s="16">
        <f>IFERROR(INDEX(_怪物基线!$C$2:$C$501,MATCH(INT($L350),_怪物基线!$A$2:$A$501,0)),"")</f>
        <v>26819</v>
      </c>
      <c r="Q350" s="16">
        <f>IFERROR(INDEX(_怪物基线!$D$2:$D$501,MATCH(INT($L350),_怪物基线!$A$2:$A$501,0)),"")</f>
        <v>24011</v>
      </c>
      <c r="R350" s="16">
        <f>参数!$B$10</f>
        <v>4</v>
      </c>
      <c r="S350" s="16">
        <f>参数!$C$10</f>
        <v>1.2</v>
      </c>
      <c r="T350" s="16">
        <f>参数!$D$10</f>
        <v>1</v>
      </c>
      <c r="U350" s="16">
        <f t="shared" si="40"/>
        <v>1031548</v>
      </c>
      <c r="V350" s="16">
        <f t="shared" si="41"/>
        <v>32182.8</v>
      </c>
      <c r="W350" s="16">
        <f t="shared" si="42"/>
        <v>24011</v>
      </c>
      <c r="X350" s="16">
        <f>IFERROR(INDEX(参数!$B$5:$B$7,MATCH($N350,参数!$A$5:$A$7,0)),"")</f>
        <v>1.5</v>
      </c>
      <c r="Y350" s="16">
        <f>IFERROR(INDEX(参数!$C$5:$C$7,MATCH($N350,参数!$A$5:$A$7,0)),"")</f>
        <v>1</v>
      </c>
      <c r="Z350" s="16">
        <f>IFERROR(INDEX(参数!$D$5:$D$7,MATCH($N350,参数!$A$5:$A$7,0)),"")</f>
        <v>1.5</v>
      </c>
      <c r="AA350" s="16">
        <f>IFERROR(INDEX(楼层配置!$E$5:$E$104,MATCH($K350,楼层配置!$B$5:$B$104,0)),1)</f>
        <v>1.1462474158732</v>
      </c>
      <c r="AB350" s="16">
        <f>IFERROR(INDEX(楼层配置!$F$5:$F$104,MATCH($K350,楼层配置!$B$5:$B$104,0)),1)</f>
        <v>0.699492820149818</v>
      </c>
      <c r="AC350" s="16">
        <f>IFERROR(INDEX(楼层配置!$G$5:$G$104,MATCH($K350,楼层配置!$B$5:$B$104,0)),1)</f>
        <v>1</v>
      </c>
      <c r="AD350" s="18">
        <f t="shared" si="43"/>
        <v>-0.344392616121176</v>
      </c>
      <c r="AE350" s="18">
        <f t="shared" si="44"/>
        <v>-0.199772501066401</v>
      </c>
      <c r="AF350" s="18">
        <f t="shared" si="45"/>
        <v>0.12275943763833</v>
      </c>
      <c r="AG350" s="16" t="str">
        <f t="shared" si="46"/>
        <v>有效</v>
      </c>
      <c r="AH350">
        <f t="shared" si="47"/>
        <v>4435291.30991667</v>
      </c>
    </row>
    <row r="351" ht="14.25" customHeight="1" spans="1:34">
      <c r="A351" s="16">
        <v>347</v>
      </c>
      <c r="B351" s="16">
        <v>1017</v>
      </c>
      <c r="C351" s="16">
        <v>45</v>
      </c>
      <c r="D351" s="17">
        <f>IFERROR(ROUND($U351*$X351*$AA351*参数!$B$13,0),"")</f>
        <v>1182409</v>
      </c>
      <c r="E351" s="17">
        <f>IFERROR(ROUND($V351*$Y351*$AB351*参数!$C$13,0),"")</f>
        <v>27014</v>
      </c>
      <c r="F351" s="17">
        <f>IFERROR(ROUND($W351*$Z351*$AC351*参数!$D$13,0),"")</f>
        <v>24011</v>
      </c>
      <c r="G351" s="16">
        <v>1803532</v>
      </c>
      <c r="H351" s="16">
        <v>33758</v>
      </c>
      <c r="I351" s="16">
        <v>21386</v>
      </c>
      <c r="J351" s="16">
        <v>70</v>
      </c>
      <c r="K351" s="16">
        <v>70</v>
      </c>
      <c r="L351" s="16">
        <f>IFERROR(INDEX(楼层配置!$D$5:$D$104,MATCH($K351,楼层配置!$B$5:$B$104,0)),"")</f>
        <v>238</v>
      </c>
      <c r="M351" s="16" t="str">
        <f>IFERROR(INDEX(_角色基线!$B$2:$B$100,MATCH($B351,_角色基线!$A$2:$A$100,0)),"")</f>
        <v>伊戈尔</v>
      </c>
      <c r="N351" s="16" t="str">
        <f>IFERROR(INDEX(_角色基线!$C$2:$C$100,MATCH($B351,_角色基线!$A$2:$A$100,0)),"")</f>
        <v>DPS</v>
      </c>
      <c r="O351" s="16">
        <f>IFERROR(INDEX(_怪物基线!$B$2:$B$501,MATCH(INT($L351),_怪物基线!$A$2:$A$501,0)),"")</f>
        <v>257887</v>
      </c>
      <c r="P351" s="16">
        <f>IFERROR(INDEX(_怪物基线!$C$2:$C$501,MATCH(INT($L351),_怪物基线!$A$2:$A$501,0)),"")</f>
        <v>26819</v>
      </c>
      <c r="Q351" s="16">
        <f>IFERROR(INDEX(_怪物基线!$D$2:$D$501,MATCH(INT($L351),_怪物基线!$A$2:$A$501,0)),"")</f>
        <v>24011</v>
      </c>
      <c r="R351" s="16">
        <f>参数!$B$10</f>
        <v>4</v>
      </c>
      <c r="S351" s="16">
        <f>参数!$C$10</f>
        <v>1.2</v>
      </c>
      <c r="T351" s="16">
        <f>参数!$D$10</f>
        <v>1</v>
      </c>
      <c r="U351" s="16">
        <f t="shared" si="40"/>
        <v>1031548</v>
      </c>
      <c r="V351" s="16">
        <f t="shared" si="41"/>
        <v>32182.8</v>
      </c>
      <c r="W351" s="16">
        <f t="shared" si="42"/>
        <v>24011</v>
      </c>
      <c r="X351" s="16">
        <f>IFERROR(INDEX(参数!$B$5:$B$7,MATCH($N351,参数!$A$5:$A$7,0)),"")</f>
        <v>1</v>
      </c>
      <c r="Y351" s="16">
        <f>IFERROR(INDEX(参数!$C$5:$C$7,MATCH($N351,参数!$A$5:$A$7,0)),"")</f>
        <v>1.2</v>
      </c>
      <c r="Z351" s="16">
        <f>IFERROR(INDEX(参数!$D$5:$D$7,MATCH($N351,参数!$A$5:$A$7,0)),"")</f>
        <v>1</v>
      </c>
      <c r="AA351" s="16">
        <f>IFERROR(INDEX(楼层配置!$E$5:$E$104,MATCH($K351,楼层配置!$B$5:$B$104,0)),1)</f>
        <v>1.1462474158732</v>
      </c>
      <c r="AB351" s="16">
        <f>IFERROR(INDEX(楼层配置!$F$5:$F$104,MATCH($K351,楼层配置!$B$5:$B$104,0)),1)</f>
        <v>0.699492820149818</v>
      </c>
      <c r="AC351" s="16">
        <f>IFERROR(INDEX(楼层配置!$G$5:$G$104,MATCH($K351,楼层配置!$B$5:$B$104,0)),1)</f>
        <v>1</v>
      </c>
      <c r="AD351" s="18">
        <f t="shared" si="43"/>
        <v>-0.344392558601677</v>
      </c>
      <c r="AE351" s="18">
        <f t="shared" si="44"/>
        <v>-0.199774868179394</v>
      </c>
      <c r="AF351" s="18">
        <f t="shared" si="45"/>
        <v>0.122743851117554</v>
      </c>
      <c r="AG351" s="16" t="str">
        <f t="shared" si="46"/>
        <v>有效</v>
      </c>
      <c r="AH351">
        <f t="shared" si="47"/>
        <v>2365359.93745833</v>
      </c>
    </row>
    <row r="352" ht="14.25" customHeight="1" spans="1:34">
      <c r="A352" s="16">
        <v>348</v>
      </c>
      <c r="B352" s="16">
        <v>1015</v>
      </c>
      <c r="C352" s="16">
        <v>45</v>
      </c>
      <c r="D352" s="17">
        <f>IFERROR(ROUND($U352*$X352*$AA352*参数!$B$13,0),"")</f>
        <v>1478012</v>
      </c>
      <c r="E352" s="17">
        <f>IFERROR(ROUND($V352*$Y352*$AB352*参数!$C$13,0),"")</f>
        <v>22512</v>
      </c>
      <c r="F352" s="17">
        <f>IFERROR(ROUND($W352*$Z352*$AC352*参数!$D$13,0),"")</f>
        <v>30014</v>
      </c>
      <c r="G352" s="16">
        <v>2254416</v>
      </c>
      <c r="H352" s="16">
        <v>28132</v>
      </c>
      <c r="I352" s="16">
        <v>26733</v>
      </c>
      <c r="J352" s="16">
        <v>70</v>
      </c>
      <c r="K352" s="16">
        <v>70</v>
      </c>
      <c r="L352" s="16">
        <f>IFERROR(INDEX(楼层配置!$D$5:$D$104,MATCH($K352,楼层配置!$B$5:$B$104,0)),"")</f>
        <v>238</v>
      </c>
      <c r="M352" s="16" t="str">
        <f>IFERROR(INDEX(_角色基线!$B$2:$B$100,MATCH($B352,_角色基线!$A$2:$A$100,0)),"")</f>
        <v>阿莱克西娅</v>
      </c>
      <c r="N352" s="16" t="str">
        <f>IFERROR(INDEX(_角色基线!$C$2:$C$100,MATCH($B352,_角色基线!$A$2:$A$100,0)),"")</f>
        <v>Support</v>
      </c>
      <c r="O352" s="16">
        <f>IFERROR(INDEX(_怪物基线!$B$2:$B$501,MATCH(INT($L352),_怪物基线!$A$2:$A$501,0)),"")</f>
        <v>257887</v>
      </c>
      <c r="P352" s="16">
        <f>IFERROR(INDEX(_怪物基线!$C$2:$C$501,MATCH(INT($L352),_怪物基线!$A$2:$A$501,0)),"")</f>
        <v>26819</v>
      </c>
      <c r="Q352" s="16">
        <f>IFERROR(INDEX(_怪物基线!$D$2:$D$501,MATCH(INT($L352),_怪物基线!$A$2:$A$501,0)),"")</f>
        <v>24011</v>
      </c>
      <c r="R352" s="16">
        <f>参数!$B$10</f>
        <v>4</v>
      </c>
      <c r="S352" s="16">
        <f>参数!$C$10</f>
        <v>1.2</v>
      </c>
      <c r="T352" s="16">
        <f>参数!$D$10</f>
        <v>1</v>
      </c>
      <c r="U352" s="16">
        <f t="shared" si="40"/>
        <v>1031548</v>
      </c>
      <c r="V352" s="16">
        <f t="shared" si="41"/>
        <v>32182.8</v>
      </c>
      <c r="W352" s="16">
        <f t="shared" si="42"/>
        <v>24011</v>
      </c>
      <c r="X352" s="16">
        <f>IFERROR(INDEX(参数!$B$5:$B$7,MATCH($N352,参数!$A$5:$A$7,0)),"")</f>
        <v>1.25</v>
      </c>
      <c r="Y352" s="16">
        <f>IFERROR(INDEX(参数!$C$5:$C$7,MATCH($N352,参数!$A$5:$A$7,0)),"")</f>
        <v>1</v>
      </c>
      <c r="Z352" s="16">
        <f>IFERROR(INDEX(参数!$D$5:$D$7,MATCH($N352,参数!$A$5:$A$7,0)),"")</f>
        <v>1.25</v>
      </c>
      <c r="AA352" s="16">
        <f>IFERROR(INDEX(楼层配置!$E$5:$E$104,MATCH($K352,楼层配置!$B$5:$B$104,0)),1)</f>
        <v>1.1462474158732</v>
      </c>
      <c r="AB352" s="16">
        <f>IFERROR(INDEX(楼层配置!$F$5:$F$104,MATCH($K352,楼层配置!$B$5:$B$104,0)),1)</f>
        <v>0.699492820149818</v>
      </c>
      <c r="AC352" s="16">
        <f>IFERROR(INDEX(楼层配置!$G$5:$G$104,MATCH($K352,楼层配置!$B$5:$B$104,0)),1)</f>
        <v>1</v>
      </c>
      <c r="AD352" s="18">
        <f t="shared" si="43"/>
        <v>-0.344392516731606</v>
      </c>
      <c r="AE352" s="18">
        <f t="shared" si="44"/>
        <v>-0.199772501066401</v>
      </c>
      <c r="AF352" s="18">
        <f t="shared" si="45"/>
        <v>0.122732203643437</v>
      </c>
      <c r="AG352" s="16" t="str">
        <f t="shared" si="46"/>
        <v>有效</v>
      </c>
      <c r="AH352">
        <f t="shared" si="47"/>
        <v>3326389.17366667</v>
      </c>
    </row>
    <row r="353" ht="14.25" customHeight="1" spans="1:34">
      <c r="A353" s="16">
        <v>349</v>
      </c>
      <c r="B353" s="16">
        <v>1026</v>
      </c>
      <c r="C353" s="16">
        <v>45</v>
      </c>
      <c r="D353" s="17">
        <f>IFERROR(ROUND($U353*$X353*$AA353*参数!$B$13,0),"")</f>
        <v>1182409</v>
      </c>
      <c r="E353" s="17">
        <f>IFERROR(ROUND($V353*$Y353*$AB353*参数!$C$13,0),"")</f>
        <v>27014</v>
      </c>
      <c r="F353" s="17">
        <f>IFERROR(ROUND($W353*$Z353*$AC353*参数!$D$13,0),"")</f>
        <v>24011</v>
      </c>
      <c r="G353" s="16">
        <v>1803532</v>
      </c>
      <c r="H353" s="16">
        <v>33758</v>
      </c>
      <c r="I353" s="16">
        <v>21386</v>
      </c>
      <c r="J353" s="16">
        <v>70</v>
      </c>
      <c r="K353" s="16">
        <v>70</v>
      </c>
      <c r="L353" s="16">
        <f>IFERROR(INDEX(楼层配置!$D$5:$D$104,MATCH($K353,楼层配置!$B$5:$B$104,0)),"")</f>
        <v>238</v>
      </c>
      <c r="M353" s="16" t="str">
        <f>IFERROR(INDEX(_角色基线!$B$2:$B$100,MATCH($B353,_角色基线!$A$2:$A$100,0)),"")</f>
        <v>乔一</v>
      </c>
      <c r="N353" s="16" t="str">
        <f>IFERROR(INDEX(_角色基线!$C$2:$C$100,MATCH($B353,_角色基线!$A$2:$A$100,0)),"")</f>
        <v>DPS</v>
      </c>
      <c r="O353" s="16">
        <f>IFERROR(INDEX(_怪物基线!$B$2:$B$501,MATCH(INT($L353),_怪物基线!$A$2:$A$501,0)),"")</f>
        <v>257887</v>
      </c>
      <c r="P353" s="16">
        <f>IFERROR(INDEX(_怪物基线!$C$2:$C$501,MATCH(INT($L353),_怪物基线!$A$2:$A$501,0)),"")</f>
        <v>26819</v>
      </c>
      <c r="Q353" s="16">
        <f>IFERROR(INDEX(_怪物基线!$D$2:$D$501,MATCH(INT($L353),_怪物基线!$A$2:$A$501,0)),"")</f>
        <v>24011</v>
      </c>
      <c r="R353" s="16">
        <f>参数!$B$10</f>
        <v>4</v>
      </c>
      <c r="S353" s="16">
        <f>参数!$C$10</f>
        <v>1.2</v>
      </c>
      <c r="T353" s="16">
        <f>参数!$D$10</f>
        <v>1</v>
      </c>
      <c r="U353" s="16">
        <f t="shared" si="40"/>
        <v>1031548</v>
      </c>
      <c r="V353" s="16">
        <f t="shared" si="41"/>
        <v>32182.8</v>
      </c>
      <c r="W353" s="16">
        <f t="shared" si="42"/>
        <v>24011</v>
      </c>
      <c r="X353" s="16">
        <f>IFERROR(INDEX(参数!$B$5:$B$7,MATCH($N353,参数!$A$5:$A$7,0)),"")</f>
        <v>1</v>
      </c>
      <c r="Y353" s="16">
        <f>IFERROR(INDEX(参数!$C$5:$C$7,MATCH($N353,参数!$A$5:$A$7,0)),"")</f>
        <v>1.2</v>
      </c>
      <c r="Z353" s="16">
        <f>IFERROR(INDEX(参数!$D$5:$D$7,MATCH($N353,参数!$A$5:$A$7,0)),"")</f>
        <v>1</v>
      </c>
      <c r="AA353" s="16">
        <f>IFERROR(INDEX(楼层配置!$E$5:$E$104,MATCH($K353,楼层配置!$B$5:$B$104,0)),1)</f>
        <v>1.1462474158732</v>
      </c>
      <c r="AB353" s="16">
        <f>IFERROR(INDEX(楼层配置!$F$5:$F$104,MATCH($K353,楼层配置!$B$5:$B$104,0)),1)</f>
        <v>0.699492820149818</v>
      </c>
      <c r="AC353" s="16">
        <f>IFERROR(INDEX(楼层配置!$G$5:$G$104,MATCH($K353,楼层配置!$B$5:$B$104,0)),1)</f>
        <v>1</v>
      </c>
      <c r="AD353" s="18">
        <f t="shared" si="43"/>
        <v>-0.344392558601677</v>
      </c>
      <c r="AE353" s="18">
        <f t="shared" si="44"/>
        <v>-0.199774868179394</v>
      </c>
      <c r="AF353" s="18">
        <f t="shared" si="45"/>
        <v>0.122743851117554</v>
      </c>
      <c r="AG353" s="16" t="str">
        <f t="shared" si="46"/>
        <v>有效</v>
      </c>
      <c r="AH353">
        <f t="shared" si="47"/>
        <v>2365359.93745833</v>
      </c>
    </row>
    <row r="354" ht="14.25" customHeight="1" spans="1:34">
      <c r="A354" s="16">
        <v>350</v>
      </c>
      <c r="B354" s="16">
        <v>1007</v>
      </c>
      <c r="C354" s="16">
        <v>45</v>
      </c>
      <c r="D354" s="17">
        <f>IFERROR(ROUND($U354*$X354*$AA354*参数!$B$13,0),"")</f>
        <v>1478012</v>
      </c>
      <c r="E354" s="17">
        <f>IFERROR(ROUND($V354*$Y354*$AB354*参数!$C$13,0),"")</f>
        <v>22512</v>
      </c>
      <c r="F354" s="17">
        <f>IFERROR(ROUND($W354*$Z354*$AC354*参数!$D$13,0),"")</f>
        <v>30014</v>
      </c>
      <c r="G354" s="16">
        <v>2254416</v>
      </c>
      <c r="H354" s="16">
        <v>28132</v>
      </c>
      <c r="I354" s="16">
        <v>26733</v>
      </c>
      <c r="J354" s="16">
        <v>70</v>
      </c>
      <c r="K354" s="16">
        <v>70</v>
      </c>
      <c r="L354" s="16">
        <f>IFERROR(INDEX(楼层配置!$D$5:$D$104,MATCH($K354,楼层配置!$B$5:$B$104,0)),"")</f>
        <v>238</v>
      </c>
      <c r="M354" s="16" t="str">
        <f>IFERROR(INDEX(_角色基线!$B$2:$B$100,MATCH($B354,_角色基线!$A$2:$A$100,0)),"")</f>
        <v>萨萨莉安</v>
      </c>
      <c r="N354" s="16" t="str">
        <f>IFERROR(INDEX(_角色基线!$C$2:$C$100,MATCH($B354,_角色基线!$A$2:$A$100,0)),"")</f>
        <v>Support</v>
      </c>
      <c r="O354" s="16">
        <f>IFERROR(INDEX(_怪物基线!$B$2:$B$501,MATCH(INT($L354),_怪物基线!$A$2:$A$501,0)),"")</f>
        <v>257887</v>
      </c>
      <c r="P354" s="16">
        <f>IFERROR(INDEX(_怪物基线!$C$2:$C$501,MATCH(INT($L354),_怪物基线!$A$2:$A$501,0)),"")</f>
        <v>26819</v>
      </c>
      <c r="Q354" s="16">
        <f>IFERROR(INDEX(_怪物基线!$D$2:$D$501,MATCH(INT($L354),_怪物基线!$A$2:$A$501,0)),"")</f>
        <v>24011</v>
      </c>
      <c r="R354" s="16">
        <f>参数!$B$10</f>
        <v>4</v>
      </c>
      <c r="S354" s="16">
        <f>参数!$C$10</f>
        <v>1.2</v>
      </c>
      <c r="T354" s="16">
        <f>参数!$D$10</f>
        <v>1</v>
      </c>
      <c r="U354" s="16">
        <f t="shared" si="40"/>
        <v>1031548</v>
      </c>
      <c r="V354" s="16">
        <f t="shared" si="41"/>
        <v>32182.8</v>
      </c>
      <c r="W354" s="16">
        <f t="shared" si="42"/>
        <v>24011</v>
      </c>
      <c r="X354" s="16">
        <f>IFERROR(INDEX(参数!$B$5:$B$7,MATCH($N354,参数!$A$5:$A$7,0)),"")</f>
        <v>1.25</v>
      </c>
      <c r="Y354" s="16">
        <f>IFERROR(INDEX(参数!$C$5:$C$7,MATCH($N354,参数!$A$5:$A$7,0)),"")</f>
        <v>1</v>
      </c>
      <c r="Z354" s="16">
        <f>IFERROR(INDEX(参数!$D$5:$D$7,MATCH($N354,参数!$A$5:$A$7,0)),"")</f>
        <v>1.25</v>
      </c>
      <c r="AA354" s="16">
        <f>IFERROR(INDEX(楼层配置!$E$5:$E$104,MATCH($K354,楼层配置!$B$5:$B$104,0)),1)</f>
        <v>1.1462474158732</v>
      </c>
      <c r="AB354" s="16">
        <f>IFERROR(INDEX(楼层配置!$F$5:$F$104,MATCH($K354,楼层配置!$B$5:$B$104,0)),1)</f>
        <v>0.699492820149818</v>
      </c>
      <c r="AC354" s="16">
        <f>IFERROR(INDEX(楼层配置!$G$5:$G$104,MATCH($K354,楼层配置!$B$5:$B$104,0)),1)</f>
        <v>1</v>
      </c>
      <c r="AD354" s="18">
        <f t="shared" si="43"/>
        <v>-0.344392516731606</v>
      </c>
      <c r="AE354" s="18">
        <f t="shared" si="44"/>
        <v>-0.199772501066401</v>
      </c>
      <c r="AF354" s="18">
        <f t="shared" si="45"/>
        <v>0.122732203643437</v>
      </c>
      <c r="AG354" s="16" t="str">
        <f t="shared" si="46"/>
        <v>有效</v>
      </c>
      <c r="AH354">
        <f t="shared" si="47"/>
        <v>3326389.17366667</v>
      </c>
    </row>
    <row r="355" ht="14.25" customHeight="1" spans="1:34">
      <c r="A355" s="16">
        <v>351</v>
      </c>
      <c r="B355" s="16">
        <v>1003</v>
      </c>
      <c r="C355" s="16">
        <v>45</v>
      </c>
      <c r="D355" s="17">
        <f>IFERROR(ROUND($U355*$X355*$AA355*参数!$B$13,0),"")</f>
        <v>1807700</v>
      </c>
      <c r="E355" s="17">
        <f>IFERROR(ROUND($V355*$Y355*$AB355*参数!$C$13,0),"")</f>
        <v>22894</v>
      </c>
      <c r="F355" s="17">
        <f>IFERROR(ROUND($W355*$Z355*$AC355*参数!$D$13,0),"")</f>
        <v>36402</v>
      </c>
      <c r="G355" s="16">
        <v>2804270</v>
      </c>
      <c r="H355" s="16">
        <v>28889</v>
      </c>
      <c r="I355" s="16">
        <v>32676</v>
      </c>
      <c r="J355" s="16">
        <v>71</v>
      </c>
      <c r="K355" s="16">
        <v>71</v>
      </c>
      <c r="L355" s="16">
        <f>IFERROR(INDEX(楼层配置!$D$5:$D$104,MATCH($K355,楼层配置!$B$5:$B$104,0)),"")</f>
        <v>240</v>
      </c>
      <c r="M355" s="16" t="str">
        <f>IFERROR(INDEX(_角色基线!$B$2:$B$100,MATCH($B355,_角色基线!$A$2:$A$100,0)),"")</f>
        <v>塔拉夏</v>
      </c>
      <c r="N355" s="16" t="str">
        <f>IFERROR(INDEX(_角色基线!$C$2:$C$100,MATCH($B355,_角色基线!$A$2:$A$100,0)),"")</f>
        <v>Tank</v>
      </c>
      <c r="O355" s="16">
        <f>IFERROR(INDEX(_怪物基线!$B$2:$B$501,MATCH(INT($L355),_怪物基线!$A$2:$A$501,0)),"")</f>
        <v>263533</v>
      </c>
      <c r="P355" s="16">
        <f>IFERROR(INDEX(_怪物基线!$C$2:$C$501,MATCH(INT($L355),_怪物基线!$A$2:$A$501,0)),"")</f>
        <v>27250</v>
      </c>
      <c r="Q355" s="16">
        <f>IFERROR(INDEX(_怪物基线!$D$2:$D$501,MATCH(INT($L355),_怪物基线!$A$2:$A$501,0)),"")</f>
        <v>24268</v>
      </c>
      <c r="R355" s="16">
        <f>参数!$B$10</f>
        <v>4</v>
      </c>
      <c r="S355" s="16">
        <f>参数!$C$10</f>
        <v>1.2</v>
      </c>
      <c r="T355" s="16">
        <f>参数!$D$10</f>
        <v>1</v>
      </c>
      <c r="U355" s="16">
        <f t="shared" si="40"/>
        <v>1054132</v>
      </c>
      <c r="V355" s="16">
        <f t="shared" si="41"/>
        <v>32700</v>
      </c>
      <c r="W355" s="16">
        <f t="shared" si="42"/>
        <v>24268</v>
      </c>
      <c r="X355" s="16">
        <f>IFERROR(INDEX(参数!$B$5:$B$7,MATCH($N355,参数!$A$5:$A$7,0)),"")</f>
        <v>1.5</v>
      </c>
      <c r="Y355" s="16">
        <f>IFERROR(INDEX(参数!$C$5:$C$7,MATCH($N355,参数!$A$5:$A$7,0)),"")</f>
        <v>1</v>
      </c>
      <c r="Z355" s="16">
        <f>IFERROR(INDEX(参数!$D$5:$D$7,MATCH($N355,参数!$A$5:$A$7,0)),"")</f>
        <v>1.5</v>
      </c>
      <c r="AA355" s="16">
        <f>IFERROR(INDEX(楼层配置!$E$5:$E$104,MATCH($K355,楼层配置!$B$5:$B$104,0)),1)</f>
        <v>1.14324732140584</v>
      </c>
      <c r="AB355" s="16">
        <f>IFERROR(INDEX(楼层配置!$F$5:$F$104,MATCH($K355,楼层配置!$B$5:$B$104,0)),1)</f>
        <v>0.70012828879628</v>
      </c>
      <c r="AC355" s="16">
        <f>IFERROR(INDEX(楼层配置!$G$5:$G$104,MATCH($K355,楼层配置!$B$5:$B$104,0)),1)</f>
        <v>1</v>
      </c>
      <c r="AD355" s="18">
        <f t="shared" si="43"/>
        <v>-0.355375908881812</v>
      </c>
      <c r="AE355" s="18">
        <f t="shared" si="44"/>
        <v>-0.207518432621413</v>
      </c>
      <c r="AF355" s="18">
        <f t="shared" si="45"/>
        <v>0.114028644876974</v>
      </c>
      <c r="AG355" s="16" t="str">
        <f t="shared" si="46"/>
        <v>有效</v>
      </c>
      <c r="AH355">
        <f t="shared" si="47"/>
        <v>4549528.975</v>
      </c>
    </row>
    <row r="356" ht="14.25" customHeight="1" spans="1:34">
      <c r="A356" s="16">
        <v>352</v>
      </c>
      <c r="B356" s="16">
        <v>1006</v>
      </c>
      <c r="C356" s="16">
        <v>45</v>
      </c>
      <c r="D356" s="17">
        <f>IFERROR(ROUND($U356*$X356*$AA356*参数!$B$13,0),"")</f>
        <v>1205134</v>
      </c>
      <c r="E356" s="17">
        <f>IFERROR(ROUND($V356*$Y356*$AB356*参数!$C$13,0),"")</f>
        <v>27473</v>
      </c>
      <c r="F356" s="17">
        <f>IFERROR(ROUND($W356*$Z356*$AC356*参数!$D$13,0),"")</f>
        <v>24268</v>
      </c>
      <c r="G356" s="16">
        <v>1869513</v>
      </c>
      <c r="H356" s="16">
        <v>34666</v>
      </c>
      <c r="I356" s="16">
        <v>21784</v>
      </c>
      <c r="J356" s="16">
        <v>71</v>
      </c>
      <c r="K356" s="16">
        <v>71</v>
      </c>
      <c r="L356" s="16">
        <f>IFERROR(INDEX(楼层配置!$D$5:$D$104,MATCH($K356,楼层配置!$B$5:$B$104,0)),"")</f>
        <v>240</v>
      </c>
      <c r="M356" s="16" t="str">
        <f>IFERROR(INDEX(_角色基线!$B$2:$B$100,MATCH($B356,_角色基线!$A$2:$A$100,0)),"")</f>
        <v>莉莉娅</v>
      </c>
      <c r="N356" s="16" t="str">
        <f>IFERROR(INDEX(_角色基线!$C$2:$C$100,MATCH($B356,_角色基线!$A$2:$A$100,0)),"")</f>
        <v>DPS</v>
      </c>
      <c r="O356" s="16">
        <f>IFERROR(INDEX(_怪物基线!$B$2:$B$501,MATCH(INT($L356),_怪物基线!$A$2:$A$501,0)),"")</f>
        <v>263533</v>
      </c>
      <c r="P356" s="16">
        <f>IFERROR(INDEX(_怪物基线!$C$2:$C$501,MATCH(INT($L356),_怪物基线!$A$2:$A$501,0)),"")</f>
        <v>27250</v>
      </c>
      <c r="Q356" s="16">
        <f>IFERROR(INDEX(_怪物基线!$D$2:$D$501,MATCH(INT($L356),_怪物基线!$A$2:$A$501,0)),"")</f>
        <v>24268</v>
      </c>
      <c r="R356" s="16">
        <f>参数!$B$10</f>
        <v>4</v>
      </c>
      <c r="S356" s="16">
        <f>参数!$C$10</f>
        <v>1.2</v>
      </c>
      <c r="T356" s="16">
        <f>参数!$D$10</f>
        <v>1</v>
      </c>
      <c r="U356" s="16">
        <f t="shared" si="40"/>
        <v>1054132</v>
      </c>
      <c r="V356" s="16">
        <f t="shared" si="41"/>
        <v>32700</v>
      </c>
      <c r="W356" s="16">
        <f t="shared" si="42"/>
        <v>24268</v>
      </c>
      <c r="X356" s="16">
        <f>IFERROR(INDEX(参数!$B$5:$B$7,MATCH($N356,参数!$A$5:$A$7,0)),"")</f>
        <v>1</v>
      </c>
      <c r="Y356" s="16">
        <f>IFERROR(INDEX(参数!$C$5:$C$7,MATCH($N356,参数!$A$5:$A$7,0)),"")</f>
        <v>1.2</v>
      </c>
      <c r="Z356" s="16">
        <f>IFERROR(INDEX(参数!$D$5:$D$7,MATCH($N356,参数!$A$5:$A$7,0)),"")</f>
        <v>1</v>
      </c>
      <c r="AA356" s="16">
        <f>IFERROR(INDEX(楼层配置!$E$5:$E$104,MATCH($K356,楼层配置!$B$5:$B$104,0)),1)</f>
        <v>1.14324732140584</v>
      </c>
      <c r="AB356" s="16">
        <f>IFERROR(INDEX(楼层配置!$F$5:$F$104,MATCH($K356,楼层配置!$B$5:$B$104,0)),1)</f>
        <v>0.70012828879628</v>
      </c>
      <c r="AC356" s="16">
        <f>IFERROR(INDEX(楼层配置!$G$5:$G$104,MATCH($K356,楼层配置!$B$5:$B$104,0)),1)</f>
        <v>1</v>
      </c>
      <c r="AD356" s="18">
        <f t="shared" si="43"/>
        <v>-0.355375437346518</v>
      </c>
      <c r="AE356" s="18">
        <f t="shared" si="44"/>
        <v>-0.207494374891825</v>
      </c>
      <c r="AF356" s="18">
        <f t="shared" si="45"/>
        <v>0.114028644876974</v>
      </c>
      <c r="AG356" s="16" t="str">
        <f t="shared" si="46"/>
        <v>有效</v>
      </c>
      <c r="AH356">
        <f t="shared" si="47"/>
        <v>2423725.32966667</v>
      </c>
    </row>
    <row r="357" ht="14.25" customHeight="1" spans="1:34">
      <c r="A357" s="16">
        <v>353</v>
      </c>
      <c r="B357" s="16">
        <v>1007</v>
      </c>
      <c r="C357" s="16">
        <v>45</v>
      </c>
      <c r="D357" s="17">
        <f>IFERROR(ROUND($U357*$X357*$AA357*参数!$B$13,0),"")</f>
        <v>1506417</v>
      </c>
      <c r="E357" s="17">
        <f>IFERROR(ROUND($V357*$Y357*$AB357*参数!$C$13,0),"")</f>
        <v>22894</v>
      </c>
      <c r="F357" s="17">
        <f>IFERROR(ROUND($W357*$Z357*$AC357*参数!$D$13,0),"")</f>
        <v>30335</v>
      </c>
      <c r="G357" s="16">
        <v>2336892</v>
      </c>
      <c r="H357" s="16">
        <v>28889</v>
      </c>
      <c r="I357" s="16">
        <v>27230</v>
      </c>
      <c r="J357" s="16">
        <v>71</v>
      </c>
      <c r="K357" s="16">
        <v>71</v>
      </c>
      <c r="L357" s="16">
        <f>IFERROR(INDEX(楼层配置!$D$5:$D$104,MATCH($K357,楼层配置!$B$5:$B$104,0)),"")</f>
        <v>240</v>
      </c>
      <c r="M357" s="16" t="str">
        <f>IFERROR(INDEX(_角色基线!$B$2:$B$100,MATCH($B357,_角色基线!$A$2:$A$100,0)),"")</f>
        <v>萨萨莉安</v>
      </c>
      <c r="N357" s="16" t="str">
        <f>IFERROR(INDEX(_角色基线!$C$2:$C$100,MATCH($B357,_角色基线!$A$2:$A$100,0)),"")</f>
        <v>Support</v>
      </c>
      <c r="O357" s="16">
        <f>IFERROR(INDEX(_怪物基线!$B$2:$B$501,MATCH(INT($L357),_怪物基线!$A$2:$A$501,0)),"")</f>
        <v>263533</v>
      </c>
      <c r="P357" s="16">
        <f>IFERROR(INDEX(_怪物基线!$C$2:$C$501,MATCH(INT($L357),_怪物基线!$A$2:$A$501,0)),"")</f>
        <v>27250</v>
      </c>
      <c r="Q357" s="16">
        <f>IFERROR(INDEX(_怪物基线!$D$2:$D$501,MATCH(INT($L357),_怪物基线!$A$2:$A$501,0)),"")</f>
        <v>24268</v>
      </c>
      <c r="R357" s="16">
        <f>参数!$B$10</f>
        <v>4</v>
      </c>
      <c r="S357" s="16">
        <f>参数!$C$10</f>
        <v>1.2</v>
      </c>
      <c r="T357" s="16">
        <f>参数!$D$10</f>
        <v>1</v>
      </c>
      <c r="U357" s="16">
        <f t="shared" si="40"/>
        <v>1054132</v>
      </c>
      <c r="V357" s="16">
        <f t="shared" si="41"/>
        <v>32700</v>
      </c>
      <c r="W357" s="16">
        <f t="shared" si="42"/>
        <v>24268</v>
      </c>
      <c r="X357" s="16">
        <f>IFERROR(INDEX(参数!$B$5:$B$7,MATCH($N357,参数!$A$5:$A$7,0)),"")</f>
        <v>1.25</v>
      </c>
      <c r="Y357" s="16">
        <f>IFERROR(INDEX(参数!$C$5:$C$7,MATCH($N357,参数!$A$5:$A$7,0)),"")</f>
        <v>1</v>
      </c>
      <c r="Z357" s="16">
        <f>IFERROR(INDEX(参数!$D$5:$D$7,MATCH($N357,参数!$A$5:$A$7,0)),"")</f>
        <v>1.25</v>
      </c>
      <c r="AA357" s="16">
        <f>IFERROR(INDEX(楼层配置!$E$5:$E$104,MATCH($K357,楼层配置!$B$5:$B$104,0)),1)</f>
        <v>1.14324732140584</v>
      </c>
      <c r="AB357" s="16">
        <f>IFERROR(INDEX(楼层配置!$F$5:$F$104,MATCH($K357,楼层配置!$B$5:$B$104,0)),1)</f>
        <v>0.70012828879628</v>
      </c>
      <c r="AC357" s="16">
        <f>IFERROR(INDEX(楼层配置!$G$5:$G$104,MATCH($K357,楼层配置!$B$5:$B$104,0)),1)</f>
        <v>1</v>
      </c>
      <c r="AD357" s="18">
        <f t="shared" si="43"/>
        <v>-0.355375858191136</v>
      </c>
      <c r="AE357" s="18">
        <f t="shared" si="44"/>
        <v>-0.207518432621413</v>
      </c>
      <c r="AF357" s="18">
        <f t="shared" si="45"/>
        <v>0.114028644876974</v>
      </c>
      <c r="AG357" s="16" t="str">
        <f t="shared" si="46"/>
        <v>有效</v>
      </c>
      <c r="AH357">
        <f t="shared" si="47"/>
        <v>3410465.320625</v>
      </c>
    </row>
    <row r="358" ht="14.25" customHeight="1" spans="1:34">
      <c r="A358" s="16">
        <v>354</v>
      </c>
      <c r="B358" s="16">
        <v>1006</v>
      </c>
      <c r="C358" s="16">
        <v>45</v>
      </c>
      <c r="D358" s="17">
        <f>IFERROR(ROUND($U358*$X358*$AA358*参数!$B$13,0),"")</f>
        <v>1205134</v>
      </c>
      <c r="E358" s="17">
        <f>IFERROR(ROUND($V358*$Y358*$AB358*参数!$C$13,0),"")</f>
        <v>27473</v>
      </c>
      <c r="F358" s="17">
        <f>IFERROR(ROUND($W358*$Z358*$AC358*参数!$D$13,0),"")</f>
        <v>24268</v>
      </c>
      <c r="G358" s="16">
        <v>1869513</v>
      </c>
      <c r="H358" s="16">
        <v>34666</v>
      </c>
      <c r="I358" s="16">
        <v>21784</v>
      </c>
      <c r="J358" s="16">
        <v>71</v>
      </c>
      <c r="K358" s="16">
        <v>71</v>
      </c>
      <c r="L358" s="16">
        <f>IFERROR(INDEX(楼层配置!$D$5:$D$104,MATCH($K358,楼层配置!$B$5:$B$104,0)),"")</f>
        <v>240</v>
      </c>
      <c r="M358" s="16" t="str">
        <f>IFERROR(INDEX(_角色基线!$B$2:$B$100,MATCH($B358,_角色基线!$A$2:$A$100,0)),"")</f>
        <v>莉莉娅</v>
      </c>
      <c r="N358" s="16" t="str">
        <f>IFERROR(INDEX(_角色基线!$C$2:$C$100,MATCH($B358,_角色基线!$A$2:$A$100,0)),"")</f>
        <v>DPS</v>
      </c>
      <c r="O358" s="16">
        <f>IFERROR(INDEX(_怪物基线!$B$2:$B$501,MATCH(INT($L358),_怪物基线!$A$2:$A$501,0)),"")</f>
        <v>263533</v>
      </c>
      <c r="P358" s="16">
        <f>IFERROR(INDEX(_怪物基线!$C$2:$C$501,MATCH(INT($L358),_怪物基线!$A$2:$A$501,0)),"")</f>
        <v>27250</v>
      </c>
      <c r="Q358" s="16">
        <f>IFERROR(INDEX(_怪物基线!$D$2:$D$501,MATCH(INT($L358),_怪物基线!$A$2:$A$501,0)),"")</f>
        <v>24268</v>
      </c>
      <c r="R358" s="16">
        <f>参数!$B$10</f>
        <v>4</v>
      </c>
      <c r="S358" s="16">
        <f>参数!$C$10</f>
        <v>1.2</v>
      </c>
      <c r="T358" s="16">
        <f>参数!$D$10</f>
        <v>1</v>
      </c>
      <c r="U358" s="16">
        <f t="shared" si="40"/>
        <v>1054132</v>
      </c>
      <c r="V358" s="16">
        <f t="shared" si="41"/>
        <v>32700</v>
      </c>
      <c r="W358" s="16">
        <f t="shared" si="42"/>
        <v>24268</v>
      </c>
      <c r="X358" s="16">
        <f>IFERROR(INDEX(参数!$B$5:$B$7,MATCH($N358,参数!$A$5:$A$7,0)),"")</f>
        <v>1</v>
      </c>
      <c r="Y358" s="16">
        <f>IFERROR(INDEX(参数!$C$5:$C$7,MATCH($N358,参数!$A$5:$A$7,0)),"")</f>
        <v>1.2</v>
      </c>
      <c r="Z358" s="16">
        <f>IFERROR(INDEX(参数!$D$5:$D$7,MATCH($N358,参数!$A$5:$A$7,0)),"")</f>
        <v>1</v>
      </c>
      <c r="AA358" s="16">
        <f>IFERROR(INDEX(楼层配置!$E$5:$E$104,MATCH($K358,楼层配置!$B$5:$B$104,0)),1)</f>
        <v>1.14324732140584</v>
      </c>
      <c r="AB358" s="16">
        <f>IFERROR(INDEX(楼层配置!$F$5:$F$104,MATCH($K358,楼层配置!$B$5:$B$104,0)),1)</f>
        <v>0.70012828879628</v>
      </c>
      <c r="AC358" s="16">
        <f>IFERROR(INDEX(楼层配置!$G$5:$G$104,MATCH($K358,楼层配置!$B$5:$B$104,0)),1)</f>
        <v>1</v>
      </c>
      <c r="AD358" s="18">
        <f t="shared" si="43"/>
        <v>-0.355375437346518</v>
      </c>
      <c r="AE358" s="18">
        <f t="shared" si="44"/>
        <v>-0.207494374891825</v>
      </c>
      <c r="AF358" s="18">
        <f t="shared" si="45"/>
        <v>0.114028644876974</v>
      </c>
      <c r="AG358" s="16" t="str">
        <f t="shared" si="46"/>
        <v>有效</v>
      </c>
      <c r="AH358">
        <f t="shared" si="47"/>
        <v>2423725.32966667</v>
      </c>
    </row>
    <row r="359" ht="14.25" customHeight="1" spans="1:34">
      <c r="A359" s="16">
        <v>355</v>
      </c>
      <c r="B359" s="16">
        <v>1001</v>
      </c>
      <c r="C359" s="16">
        <v>45</v>
      </c>
      <c r="D359" s="17">
        <f>IFERROR(ROUND($U359*$X359*$AA359*参数!$B$13,0),"")</f>
        <v>1205134</v>
      </c>
      <c r="E359" s="17">
        <f>IFERROR(ROUND($V359*$Y359*$AB359*参数!$C$13,0),"")</f>
        <v>27473</v>
      </c>
      <c r="F359" s="17">
        <f>IFERROR(ROUND($W359*$Z359*$AC359*参数!$D$13,0),"")</f>
        <v>24268</v>
      </c>
      <c r="G359" s="16">
        <v>1869513</v>
      </c>
      <c r="H359" s="16">
        <v>34666</v>
      </c>
      <c r="I359" s="16">
        <v>21784</v>
      </c>
      <c r="J359" s="16">
        <v>71</v>
      </c>
      <c r="K359" s="16">
        <v>71</v>
      </c>
      <c r="L359" s="16">
        <f>IFERROR(INDEX(楼层配置!$D$5:$D$104,MATCH($K359,楼层配置!$B$5:$B$104,0)),"")</f>
        <v>240</v>
      </c>
      <c r="M359" s="16" t="str">
        <f>IFERROR(INDEX(_角色基线!$B$2:$B$100,MATCH($B359,_角色基线!$A$2:$A$100,0)),"")</f>
        <v>星海</v>
      </c>
      <c r="N359" s="16" t="str">
        <f>IFERROR(INDEX(_角色基线!$C$2:$C$100,MATCH($B359,_角色基线!$A$2:$A$100,0)),"")</f>
        <v>DPS</v>
      </c>
      <c r="O359" s="16">
        <f>IFERROR(INDEX(_怪物基线!$B$2:$B$501,MATCH(INT($L359),_怪物基线!$A$2:$A$501,0)),"")</f>
        <v>263533</v>
      </c>
      <c r="P359" s="16">
        <f>IFERROR(INDEX(_怪物基线!$C$2:$C$501,MATCH(INT($L359),_怪物基线!$A$2:$A$501,0)),"")</f>
        <v>27250</v>
      </c>
      <c r="Q359" s="16">
        <f>IFERROR(INDEX(_怪物基线!$D$2:$D$501,MATCH(INT($L359),_怪物基线!$A$2:$A$501,0)),"")</f>
        <v>24268</v>
      </c>
      <c r="R359" s="16">
        <f>参数!$B$10</f>
        <v>4</v>
      </c>
      <c r="S359" s="16">
        <f>参数!$C$10</f>
        <v>1.2</v>
      </c>
      <c r="T359" s="16">
        <f>参数!$D$10</f>
        <v>1</v>
      </c>
      <c r="U359" s="16">
        <f t="shared" si="40"/>
        <v>1054132</v>
      </c>
      <c r="V359" s="16">
        <f t="shared" si="41"/>
        <v>32700</v>
      </c>
      <c r="W359" s="16">
        <f t="shared" si="42"/>
        <v>24268</v>
      </c>
      <c r="X359" s="16">
        <f>IFERROR(INDEX(参数!$B$5:$B$7,MATCH($N359,参数!$A$5:$A$7,0)),"")</f>
        <v>1</v>
      </c>
      <c r="Y359" s="16">
        <f>IFERROR(INDEX(参数!$C$5:$C$7,MATCH($N359,参数!$A$5:$A$7,0)),"")</f>
        <v>1.2</v>
      </c>
      <c r="Z359" s="16">
        <f>IFERROR(INDEX(参数!$D$5:$D$7,MATCH($N359,参数!$A$5:$A$7,0)),"")</f>
        <v>1</v>
      </c>
      <c r="AA359" s="16">
        <f>IFERROR(INDEX(楼层配置!$E$5:$E$104,MATCH($K359,楼层配置!$B$5:$B$104,0)),1)</f>
        <v>1.14324732140584</v>
      </c>
      <c r="AB359" s="16">
        <f>IFERROR(INDEX(楼层配置!$F$5:$F$104,MATCH($K359,楼层配置!$B$5:$B$104,0)),1)</f>
        <v>0.70012828879628</v>
      </c>
      <c r="AC359" s="16">
        <f>IFERROR(INDEX(楼层配置!$G$5:$G$104,MATCH($K359,楼层配置!$B$5:$B$104,0)),1)</f>
        <v>1</v>
      </c>
      <c r="AD359" s="18">
        <f t="shared" si="43"/>
        <v>-0.355375437346518</v>
      </c>
      <c r="AE359" s="18">
        <f t="shared" si="44"/>
        <v>-0.207494374891825</v>
      </c>
      <c r="AF359" s="18">
        <f t="shared" si="45"/>
        <v>0.114028644876974</v>
      </c>
      <c r="AG359" s="16" t="str">
        <f t="shared" si="46"/>
        <v>有效</v>
      </c>
      <c r="AH359">
        <f t="shared" si="47"/>
        <v>2423725.32966667</v>
      </c>
    </row>
    <row r="360" ht="14.25" customHeight="1" spans="1:34">
      <c r="A360" s="16">
        <v>356</v>
      </c>
      <c r="B360" s="16">
        <v>1004</v>
      </c>
      <c r="C360" s="16">
        <v>46</v>
      </c>
      <c r="D360" s="17">
        <f>IFERROR(ROUND($U360*$X360*$AA360*参数!$B$13,0),"")</f>
        <v>1822008</v>
      </c>
      <c r="E360" s="17">
        <f>IFERROR(ROUND($V360*$Y360*$AB360*参数!$C$13,0),"")</f>
        <v>23082</v>
      </c>
      <c r="F360" s="17">
        <f>IFERROR(ROUND($W360*$Z360*$AC360*参数!$D$13,0),"")</f>
        <v>36594</v>
      </c>
      <c r="G360" s="16">
        <v>2905884</v>
      </c>
      <c r="H360" s="16">
        <v>29665</v>
      </c>
      <c r="I360" s="16">
        <v>33276</v>
      </c>
      <c r="J360" s="16">
        <v>72</v>
      </c>
      <c r="K360" s="16">
        <v>72</v>
      </c>
      <c r="L360" s="16">
        <f>IFERROR(INDEX(楼层配置!$D$5:$D$104,MATCH($K360,楼层配置!$B$5:$B$104,0)),"")</f>
        <v>241</v>
      </c>
      <c r="M360" s="16" t="str">
        <f>IFERROR(INDEX(_角色基线!$B$2:$B$100,MATCH($B360,_角色基线!$A$2:$A$100,0)),"")</f>
        <v>阿芭</v>
      </c>
      <c r="N360" s="16" t="str">
        <f>IFERROR(INDEX(_角色基线!$C$2:$C$100,MATCH($B360,_角色基线!$A$2:$A$100,0)),"")</f>
        <v>Tank</v>
      </c>
      <c r="O360" s="16">
        <f>IFERROR(INDEX(_怪物基线!$B$2:$B$501,MATCH(INT($L360),_怪物基线!$A$2:$A$501,0)),"")</f>
        <v>266390</v>
      </c>
      <c r="P360" s="16">
        <f>IFERROR(INDEX(_怪物基线!$C$2:$C$501,MATCH(INT($L360),_怪物基线!$A$2:$A$501,0)),"")</f>
        <v>27467</v>
      </c>
      <c r="Q360" s="16">
        <f>IFERROR(INDEX(_怪物基线!$D$2:$D$501,MATCH(INT($L360),_怪物基线!$A$2:$A$501,0)),"")</f>
        <v>24396</v>
      </c>
      <c r="R360" s="16">
        <f>参数!$B$10</f>
        <v>4</v>
      </c>
      <c r="S360" s="16">
        <f>参数!$C$10</f>
        <v>1.2</v>
      </c>
      <c r="T360" s="16">
        <f>参数!$D$10</f>
        <v>1</v>
      </c>
      <c r="U360" s="16">
        <f t="shared" si="40"/>
        <v>1065560</v>
      </c>
      <c r="V360" s="16">
        <f t="shared" si="41"/>
        <v>32960.4</v>
      </c>
      <c r="W360" s="16">
        <f t="shared" si="42"/>
        <v>24396</v>
      </c>
      <c r="X360" s="16">
        <f>IFERROR(INDEX(参数!$B$5:$B$7,MATCH($N360,参数!$A$5:$A$7,0)),"")</f>
        <v>1.5</v>
      </c>
      <c r="Y360" s="16">
        <f>IFERROR(INDEX(参数!$C$5:$C$7,MATCH($N360,参数!$A$5:$A$7,0)),"")</f>
        <v>1</v>
      </c>
      <c r="Z360" s="16">
        <f>IFERROR(INDEX(参数!$D$5:$D$7,MATCH($N360,参数!$A$5:$A$7,0)),"")</f>
        <v>1.5</v>
      </c>
      <c r="AA360" s="16">
        <f>IFERROR(INDEX(楼层配置!$E$5:$E$104,MATCH($K360,楼层配置!$B$5:$B$104,0)),1)</f>
        <v>1.13993752989515</v>
      </c>
      <c r="AB360" s="16">
        <f>IFERROR(INDEX(楼层配置!$F$5:$F$104,MATCH($K360,楼层配置!$B$5:$B$104,0)),1)</f>
        <v>0.700309463287124</v>
      </c>
      <c r="AC360" s="16">
        <f>IFERROR(INDEX(楼层配置!$G$5:$G$104,MATCH($K360,楼层配置!$B$5:$B$104,0)),1)</f>
        <v>1</v>
      </c>
      <c r="AD360" s="18">
        <f t="shared" si="43"/>
        <v>-0.372993553768836</v>
      </c>
      <c r="AE360" s="18">
        <f t="shared" si="44"/>
        <v>-0.221911343333895</v>
      </c>
      <c r="AF360" s="18">
        <f t="shared" si="45"/>
        <v>0.0997115037865128</v>
      </c>
      <c r="AG360" s="16" t="str">
        <f t="shared" si="46"/>
        <v>有效</v>
      </c>
      <c r="AH360">
        <f t="shared" si="47"/>
        <v>4600114.698</v>
      </c>
    </row>
    <row r="361" ht="14.25" customHeight="1" spans="1:34">
      <c r="A361" s="16">
        <v>357</v>
      </c>
      <c r="B361" s="16">
        <v>1013</v>
      </c>
      <c r="C361" s="16">
        <v>46</v>
      </c>
      <c r="D361" s="17">
        <f>IFERROR(ROUND($U361*$X361*$AA361*参数!$B$13,0),"")</f>
        <v>1214672</v>
      </c>
      <c r="E361" s="17">
        <f>IFERROR(ROUND($V361*$Y361*$AB361*参数!$C$13,0),"")</f>
        <v>27699</v>
      </c>
      <c r="F361" s="17">
        <f>IFERROR(ROUND($W361*$Z361*$AC361*参数!$D$13,0),"")</f>
        <v>24396</v>
      </c>
      <c r="G361" s="16">
        <v>1937256</v>
      </c>
      <c r="H361" s="16">
        <v>35598</v>
      </c>
      <c r="I361" s="16">
        <v>22184</v>
      </c>
      <c r="J361" s="16">
        <v>72</v>
      </c>
      <c r="K361" s="16">
        <v>72</v>
      </c>
      <c r="L361" s="16">
        <f>IFERROR(INDEX(楼层配置!$D$5:$D$104,MATCH($K361,楼层配置!$B$5:$B$104,0)),"")</f>
        <v>241</v>
      </c>
      <c r="M361" s="16" t="str">
        <f>IFERROR(INDEX(_角色基线!$B$2:$B$100,MATCH($B361,_角色基线!$A$2:$A$100,0)),"")</f>
        <v>夏缇拉</v>
      </c>
      <c r="N361" s="16" t="str">
        <f>IFERROR(INDEX(_角色基线!$C$2:$C$100,MATCH($B361,_角色基线!$A$2:$A$100,0)),"")</f>
        <v>DPS</v>
      </c>
      <c r="O361" s="16">
        <f>IFERROR(INDEX(_怪物基线!$B$2:$B$501,MATCH(INT($L361),_怪物基线!$A$2:$A$501,0)),"")</f>
        <v>266390</v>
      </c>
      <c r="P361" s="16">
        <f>IFERROR(INDEX(_怪物基线!$C$2:$C$501,MATCH(INT($L361),_怪物基线!$A$2:$A$501,0)),"")</f>
        <v>27467</v>
      </c>
      <c r="Q361" s="16">
        <f>IFERROR(INDEX(_怪物基线!$D$2:$D$501,MATCH(INT($L361),_怪物基线!$A$2:$A$501,0)),"")</f>
        <v>24396</v>
      </c>
      <c r="R361" s="16">
        <f>参数!$B$10</f>
        <v>4</v>
      </c>
      <c r="S361" s="16">
        <f>参数!$C$10</f>
        <v>1.2</v>
      </c>
      <c r="T361" s="16">
        <f>参数!$D$10</f>
        <v>1</v>
      </c>
      <c r="U361" s="16">
        <f t="shared" si="40"/>
        <v>1065560</v>
      </c>
      <c r="V361" s="16">
        <f t="shared" si="41"/>
        <v>32960.4</v>
      </c>
      <c r="W361" s="16">
        <f t="shared" si="42"/>
        <v>24396</v>
      </c>
      <c r="X361" s="16">
        <f>IFERROR(INDEX(参数!$B$5:$B$7,MATCH($N361,参数!$A$5:$A$7,0)),"")</f>
        <v>1</v>
      </c>
      <c r="Y361" s="16">
        <f>IFERROR(INDEX(参数!$C$5:$C$7,MATCH($N361,参数!$A$5:$A$7,0)),"")</f>
        <v>1.2</v>
      </c>
      <c r="Z361" s="16">
        <f>IFERROR(INDEX(参数!$D$5:$D$7,MATCH($N361,参数!$A$5:$A$7,0)),"")</f>
        <v>1</v>
      </c>
      <c r="AA361" s="16">
        <f>IFERROR(INDEX(楼层配置!$E$5:$E$104,MATCH($K361,楼层配置!$B$5:$B$104,0)),1)</f>
        <v>1.13993752989515</v>
      </c>
      <c r="AB361" s="16">
        <f>IFERROR(INDEX(楼层配置!$F$5:$F$104,MATCH($K361,楼层配置!$B$5:$B$104,0)),1)</f>
        <v>0.700309463287124</v>
      </c>
      <c r="AC361" s="16">
        <f>IFERROR(INDEX(楼层配置!$G$5:$G$104,MATCH($K361,楼层配置!$B$5:$B$104,0)),1)</f>
        <v>1</v>
      </c>
      <c r="AD361" s="18">
        <f t="shared" si="43"/>
        <v>-0.372993553768836</v>
      </c>
      <c r="AE361" s="18">
        <f t="shared" si="44"/>
        <v>-0.221894488454408</v>
      </c>
      <c r="AF361" s="18">
        <f t="shared" si="45"/>
        <v>0.0997115037865128</v>
      </c>
      <c r="AG361" s="16" t="str">
        <f t="shared" si="46"/>
        <v>有效</v>
      </c>
      <c r="AH361">
        <f t="shared" si="47"/>
        <v>2449386.088</v>
      </c>
    </row>
    <row r="362" ht="14.25" customHeight="1" spans="1:34">
      <c r="A362" s="16">
        <v>358</v>
      </c>
      <c r="B362" s="16">
        <v>1017</v>
      </c>
      <c r="C362" s="16">
        <v>46</v>
      </c>
      <c r="D362" s="17">
        <f>IFERROR(ROUND($U362*$X362*$AA362*参数!$B$13,0),"")</f>
        <v>1214672</v>
      </c>
      <c r="E362" s="17">
        <f>IFERROR(ROUND($V362*$Y362*$AB362*参数!$C$13,0),"")</f>
        <v>27699</v>
      </c>
      <c r="F362" s="17">
        <f>IFERROR(ROUND($W362*$Z362*$AC362*参数!$D$13,0),"")</f>
        <v>24396</v>
      </c>
      <c r="G362" s="16">
        <v>1937256</v>
      </c>
      <c r="H362" s="16">
        <v>35598</v>
      </c>
      <c r="I362" s="16">
        <v>22184</v>
      </c>
      <c r="J362" s="16">
        <v>72</v>
      </c>
      <c r="K362" s="16">
        <v>72</v>
      </c>
      <c r="L362" s="16">
        <f>IFERROR(INDEX(楼层配置!$D$5:$D$104,MATCH($K362,楼层配置!$B$5:$B$104,0)),"")</f>
        <v>241</v>
      </c>
      <c r="M362" s="16" t="str">
        <f>IFERROR(INDEX(_角色基线!$B$2:$B$100,MATCH($B362,_角色基线!$A$2:$A$100,0)),"")</f>
        <v>伊戈尔</v>
      </c>
      <c r="N362" s="16" t="str">
        <f>IFERROR(INDEX(_角色基线!$C$2:$C$100,MATCH($B362,_角色基线!$A$2:$A$100,0)),"")</f>
        <v>DPS</v>
      </c>
      <c r="O362" s="16">
        <f>IFERROR(INDEX(_怪物基线!$B$2:$B$501,MATCH(INT($L362),_怪物基线!$A$2:$A$501,0)),"")</f>
        <v>266390</v>
      </c>
      <c r="P362" s="16">
        <f>IFERROR(INDEX(_怪物基线!$C$2:$C$501,MATCH(INT($L362),_怪物基线!$A$2:$A$501,0)),"")</f>
        <v>27467</v>
      </c>
      <c r="Q362" s="16">
        <f>IFERROR(INDEX(_怪物基线!$D$2:$D$501,MATCH(INT($L362),_怪物基线!$A$2:$A$501,0)),"")</f>
        <v>24396</v>
      </c>
      <c r="R362" s="16">
        <f>参数!$B$10</f>
        <v>4</v>
      </c>
      <c r="S362" s="16">
        <f>参数!$C$10</f>
        <v>1.2</v>
      </c>
      <c r="T362" s="16">
        <f>参数!$D$10</f>
        <v>1</v>
      </c>
      <c r="U362" s="16">
        <f t="shared" si="40"/>
        <v>1065560</v>
      </c>
      <c r="V362" s="16">
        <f t="shared" si="41"/>
        <v>32960.4</v>
      </c>
      <c r="W362" s="16">
        <f t="shared" si="42"/>
        <v>24396</v>
      </c>
      <c r="X362" s="16">
        <f>IFERROR(INDEX(参数!$B$5:$B$7,MATCH($N362,参数!$A$5:$A$7,0)),"")</f>
        <v>1</v>
      </c>
      <c r="Y362" s="16">
        <f>IFERROR(INDEX(参数!$C$5:$C$7,MATCH($N362,参数!$A$5:$A$7,0)),"")</f>
        <v>1.2</v>
      </c>
      <c r="Z362" s="16">
        <f>IFERROR(INDEX(参数!$D$5:$D$7,MATCH($N362,参数!$A$5:$A$7,0)),"")</f>
        <v>1</v>
      </c>
      <c r="AA362" s="16">
        <f>IFERROR(INDEX(楼层配置!$E$5:$E$104,MATCH($K362,楼层配置!$B$5:$B$104,0)),1)</f>
        <v>1.13993752989515</v>
      </c>
      <c r="AB362" s="16">
        <f>IFERROR(INDEX(楼层配置!$F$5:$F$104,MATCH($K362,楼层配置!$B$5:$B$104,0)),1)</f>
        <v>0.700309463287124</v>
      </c>
      <c r="AC362" s="16">
        <f>IFERROR(INDEX(楼层配置!$G$5:$G$104,MATCH($K362,楼层配置!$B$5:$B$104,0)),1)</f>
        <v>1</v>
      </c>
      <c r="AD362" s="18">
        <f t="shared" si="43"/>
        <v>-0.372993553768836</v>
      </c>
      <c r="AE362" s="18">
        <f t="shared" si="44"/>
        <v>-0.221894488454408</v>
      </c>
      <c r="AF362" s="18">
        <f t="shared" si="45"/>
        <v>0.0997115037865128</v>
      </c>
      <c r="AG362" s="16" t="str">
        <f t="shared" si="46"/>
        <v>有效</v>
      </c>
      <c r="AH362">
        <f t="shared" si="47"/>
        <v>2449386.088</v>
      </c>
    </row>
    <row r="363" ht="14.25" customHeight="1" spans="1:34">
      <c r="A363" s="16">
        <v>359</v>
      </c>
      <c r="B363" s="16">
        <v>1005</v>
      </c>
      <c r="C363" s="16">
        <v>46</v>
      </c>
      <c r="D363" s="17">
        <f>IFERROR(ROUND($U363*$X363*$AA363*参数!$B$13,0),"")</f>
        <v>1214672</v>
      </c>
      <c r="E363" s="17">
        <f>IFERROR(ROUND($V363*$Y363*$AB363*参数!$C$13,0),"")</f>
        <v>27699</v>
      </c>
      <c r="F363" s="17">
        <f>IFERROR(ROUND($W363*$Z363*$AC363*参数!$D$13,0),"")</f>
        <v>24396</v>
      </c>
      <c r="G363" s="16">
        <v>1937256</v>
      </c>
      <c r="H363" s="16">
        <v>35598</v>
      </c>
      <c r="I363" s="16">
        <v>22184</v>
      </c>
      <c r="J363" s="16">
        <v>72</v>
      </c>
      <c r="K363" s="16">
        <v>72</v>
      </c>
      <c r="L363" s="16">
        <f>IFERROR(INDEX(楼层配置!$D$5:$D$104,MATCH($K363,楼层配置!$B$5:$B$104,0)),"")</f>
        <v>241</v>
      </c>
      <c r="M363" s="16" t="str">
        <f>IFERROR(INDEX(_角色基线!$B$2:$B$100,MATCH($B363,_角色基线!$A$2:$A$100,0)),"")</f>
        <v>陈单单</v>
      </c>
      <c r="N363" s="16" t="str">
        <f>IFERROR(INDEX(_角色基线!$C$2:$C$100,MATCH($B363,_角色基线!$A$2:$A$100,0)),"")</f>
        <v>DPS</v>
      </c>
      <c r="O363" s="16">
        <f>IFERROR(INDEX(_怪物基线!$B$2:$B$501,MATCH(INT($L363),_怪物基线!$A$2:$A$501,0)),"")</f>
        <v>266390</v>
      </c>
      <c r="P363" s="16">
        <f>IFERROR(INDEX(_怪物基线!$C$2:$C$501,MATCH(INT($L363),_怪物基线!$A$2:$A$501,0)),"")</f>
        <v>27467</v>
      </c>
      <c r="Q363" s="16">
        <f>IFERROR(INDEX(_怪物基线!$D$2:$D$501,MATCH(INT($L363),_怪物基线!$A$2:$A$501,0)),"")</f>
        <v>24396</v>
      </c>
      <c r="R363" s="16">
        <f>参数!$B$10</f>
        <v>4</v>
      </c>
      <c r="S363" s="16">
        <f>参数!$C$10</f>
        <v>1.2</v>
      </c>
      <c r="T363" s="16">
        <f>参数!$D$10</f>
        <v>1</v>
      </c>
      <c r="U363" s="16">
        <f t="shared" si="40"/>
        <v>1065560</v>
      </c>
      <c r="V363" s="16">
        <f t="shared" si="41"/>
        <v>32960.4</v>
      </c>
      <c r="W363" s="16">
        <f t="shared" si="42"/>
        <v>24396</v>
      </c>
      <c r="X363" s="16">
        <f>IFERROR(INDEX(参数!$B$5:$B$7,MATCH($N363,参数!$A$5:$A$7,0)),"")</f>
        <v>1</v>
      </c>
      <c r="Y363" s="16">
        <f>IFERROR(INDEX(参数!$C$5:$C$7,MATCH($N363,参数!$A$5:$A$7,0)),"")</f>
        <v>1.2</v>
      </c>
      <c r="Z363" s="16">
        <f>IFERROR(INDEX(参数!$D$5:$D$7,MATCH($N363,参数!$A$5:$A$7,0)),"")</f>
        <v>1</v>
      </c>
      <c r="AA363" s="16">
        <f>IFERROR(INDEX(楼层配置!$E$5:$E$104,MATCH($K363,楼层配置!$B$5:$B$104,0)),1)</f>
        <v>1.13993752989515</v>
      </c>
      <c r="AB363" s="16">
        <f>IFERROR(INDEX(楼层配置!$F$5:$F$104,MATCH($K363,楼层配置!$B$5:$B$104,0)),1)</f>
        <v>0.700309463287124</v>
      </c>
      <c r="AC363" s="16">
        <f>IFERROR(INDEX(楼层配置!$G$5:$G$104,MATCH($K363,楼层配置!$B$5:$B$104,0)),1)</f>
        <v>1</v>
      </c>
      <c r="AD363" s="18">
        <f t="shared" si="43"/>
        <v>-0.372993553768836</v>
      </c>
      <c r="AE363" s="18">
        <f t="shared" si="44"/>
        <v>-0.221894488454408</v>
      </c>
      <c r="AF363" s="18">
        <f t="shared" si="45"/>
        <v>0.0997115037865128</v>
      </c>
      <c r="AG363" s="16" t="str">
        <f t="shared" si="46"/>
        <v>有效</v>
      </c>
      <c r="AH363">
        <f t="shared" si="47"/>
        <v>2449386.088</v>
      </c>
    </row>
    <row r="364" ht="14.25" customHeight="1" spans="1:34">
      <c r="A364" s="16">
        <v>360</v>
      </c>
      <c r="B364" s="16">
        <v>1007</v>
      </c>
      <c r="C364" s="16">
        <v>46</v>
      </c>
      <c r="D364" s="17">
        <f>IFERROR(ROUND($U364*$X364*$AA364*参数!$B$13,0),"")</f>
        <v>1518340</v>
      </c>
      <c r="E364" s="17">
        <f>IFERROR(ROUND($V364*$Y364*$AB364*参数!$C$13,0),"")</f>
        <v>23082</v>
      </c>
      <c r="F364" s="17">
        <f>IFERROR(ROUND($W364*$Z364*$AC364*参数!$D$13,0),"")</f>
        <v>30495</v>
      </c>
      <c r="G364" s="16">
        <v>2421570</v>
      </c>
      <c r="H364" s="16">
        <v>29665</v>
      </c>
      <c r="I364" s="16">
        <v>27730</v>
      </c>
      <c r="J364" s="16">
        <v>72</v>
      </c>
      <c r="K364" s="16">
        <v>72</v>
      </c>
      <c r="L364" s="16">
        <f>IFERROR(INDEX(楼层配置!$D$5:$D$104,MATCH($K364,楼层配置!$B$5:$B$104,0)),"")</f>
        <v>241</v>
      </c>
      <c r="M364" s="16" t="str">
        <f>IFERROR(INDEX(_角色基线!$B$2:$B$100,MATCH($B364,_角色基线!$A$2:$A$100,0)),"")</f>
        <v>萨萨莉安</v>
      </c>
      <c r="N364" s="16" t="str">
        <f>IFERROR(INDEX(_角色基线!$C$2:$C$100,MATCH($B364,_角色基线!$A$2:$A$100,0)),"")</f>
        <v>Support</v>
      </c>
      <c r="O364" s="16">
        <f>IFERROR(INDEX(_怪物基线!$B$2:$B$501,MATCH(INT($L364),_怪物基线!$A$2:$A$501,0)),"")</f>
        <v>266390</v>
      </c>
      <c r="P364" s="16">
        <f>IFERROR(INDEX(_怪物基线!$C$2:$C$501,MATCH(INT($L364),_怪物基线!$A$2:$A$501,0)),"")</f>
        <v>27467</v>
      </c>
      <c r="Q364" s="16">
        <f>IFERROR(INDEX(_怪物基线!$D$2:$D$501,MATCH(INT($L364),_怪物基线!$A$2:$A$501,0)),"")</f>
        <v>24396</v>
      </c>
      <c r="R364" s="16">
        <f>参数!$B$10</f>
        <v>4</v>
      </c>
      <c r="S364" s="16">
        <f>参数!$C$10</f>
        <v>1.2</v>
      </c>
      <c r="T364" s="16">
        <f>参数!$D$10</f>
        <v>1</v>
      </c>
      <c r="U364" s="16">
        <f t="shared" si="40"/>
        <v>1065560</v>
      </c>
      <c r="V364" s="16">
        <f t="shared" si="41"/>
        <v>32960.4</v>
      </c>
      <c r="W364" s="16">
        <f t="shared" si="42"/>
        <v>24396</v>
      </c>
      <c r="X364" s="16">
        <f>IFERROR(INDEX(参数!$B$5:$B$7,MATCH($N364,参数!$A$5:$A$7,0)),"")</f>
        <v>1.25</v>
      </c>
      <c r="Y364" s="16">
        <f>IFERROR(INDEX(参数!$C$5:$C$7,MATCH($N364,参数!$A$5:$A$7,0)),"")</f>
        <v>1</v>
      </c>
      <c r="Z364" s="16">
        <f>IFERROR(INDEX(参数!$D$5:$D$7,MATCH($N364,参数!$A$5:$A$7,0)),"")</f>
        <v>1.25</v>
      </c>
      <c r="AA364" s="16">
        <f>IFERROR(INDEX(楼层配置!$E$5:$E$104,MATCH($K364,楼层配置!$B$5:$B$104,0)),1)</f>
        <v>1.13993752989515</v>
      </c>
      <c r="AB364" s="16">
        <f>IFERROR(INDEX(楼层配置!$F$5:$F$104,MATCH($K364,楼层配置!$B$5:$B$104,0)),1)</f>
        <v>0.700309463287124</v>
      </c>
      <c r="AC364" s="16">
        <f>IFERROR(INDEX(楼层配置!$G$5:$G$104,MATCH($K364,楼层配置!$B$5:$B$104,0)),1)</f>
        <v>1</v>
      </c>
      <c r="AD364" s="18">
        <f t="shared" si="43"/>
        <v>-0.372993553768836</v>
      </c>
      <c r="AE364" s="18">
        <f t="shared" si="44"/>
        <v>-0.221911343333895</v>
      </c>
      <c r="AF364" s="18">
        <f t="shared" si="45"/>
        <v>0.0997115037865128</v>
      </c>
      <c r="AG364" s="16" t="str">
        <f t="shared" si="46"/>
        <v>有效</v>
      </c>
      <c r="AH364">
        <f t="shared" si="47"/>
        <v>3447580.7625</v>
      </c>
    </row>
    <row r="365" ht="14.25" customHeight="1" spans="1:34">
      <c r="A365" s="16">
        <v>361</v>
      </c>
      <c r="B365" s="16">
        <v>1004</v>
      </c>
      <c r="C365" s="16">
        <v>46</v>
      </c>
      <c r="D365" s="17">
        <f>IFERROR(ROUND($U365*$X365*$AA365*参数!$B$13,0),"")</f>
        <v>1877422</v>
      </c>
      <c r="E365" s="17">
        <f>IFERROR(ROUND($V365*$Y365*$AB365*参数!$C$13,0),"")</f>
        <v>23617</v>
      </c>
      <c r="F365" s="17">
        <f>IFERROR(ROUND($W365*$Z365*$AC365*参数!$D$13,0),"")</f>
        <v>36981</v>
      </c>
      <c r="G365" s="16">
        <v>3010183</v>
      </c>
      <c r="H365" s="16">
        <v>30458</v>
      </c>
      <c r="I365" s="16">
        <v>33879</v>
      </c>
      <c r="J365" s="16">
        <v>73</v>
      </c>
      <c r="K365" s="16">
        <v>73</v>
      </c>
      <c r="L365" s="16">
        <f>IFERROR(INDEX(楼层配置!$D$5:$D$104,MATCH($K365,楼层配置!$B$5:$B$104,0)),"")</f>
        <v>243</v>
      </c>
      <c r="M365" s="16" t="str">
        <f>IFERROR(INDEX(_角色基线!$B$2:$B$100,MATCH($B365,_角色基线!$A$2:$A$100,0)),"")</f>
        <v>阿芭</v>
      </c>
      <c r="N365" s="16" t="str">
        <f>IFERROR(INDEX(_角色基线!$C$2:$C$100,MATCH($B365,_角色基线!$A$2:$A$100,0)),"")</f>
        <v>Tank</v>
      </c>
      <c r="O365" s="16">
        <f>IFERROR(INDEX(_怪物基线!$B$2:$B$501,MATCH(INT($L365),_怪物基线!$A$2:$A$501,0)),"")</f>
        <v>272174</v>
      </c>
      <c r="P365" s="16">
        <f>IFERROR(INDEX(_怪物基线!$C$2:$C$501,MATCH(INT($L365),_怪物基线!$A$2:$A$501,0)),"")</f>
        <v>27905</v>
      </c>
      <c r="Q365" s="16">
        <f>IFERROR(INDEX(_怪物基线!$D$2:$D$501,MATCH(INT($L365),_怪物基线!$A$2:$A$501,0)),"")</f>
        <v>24654</v>
      </c>
      <c r="R365" s="16">
        <f>参数!$B$10</f>
        <v>4</v>
      </c>
      <c r="S365" s="16">
        <f>参数!$C$10</f>
        <v>1.2</v>
      </c>
      <c r="T365" s="16">
        <f>参数!$D$10</f>
        <v>1</v>
      </c>
      <c r="U365" s="16">
        <f t="shared" si="40"/>
        <v>1088696</v>
      </c>
      <c r="V365" s="16">
        <f t="shared" si="41"/>
        <v>33486</v>
      </c>
      <c r="W365" s="16">
        <f t="shared" si="42"/>
        <v>24654</v>
      </c>
      <c r="X365" s="16">
        <f>IFERROR(INDEX(参数!$B$5:$B$7,MATCH($N365,参数!$A$5:$A$7,0)),"")</f>
        <v>1.5</v>
      </c>
      <c r="Y365" s="16">
        <f>IFERROR(INDEX(参数!$C$5:$C$7,MATCH($N365,参数!$A$5:$A$7,0)),"")</f>
        <v>1</v>
      </c>
      <c r="Z365" s="16">
        <f>IFERROR(INDEX(参数!$D$5:$D$7,MATCH($N365,参数!$A$5:$A$7,0)),"")</f>
        <v>1.5</v>
      </c>
      <c r="AA365" s="16">
        <f>IFERROR(INDEX(楼层配置!$E$5:$E$104,MATCH($K365,楼层配置!$B$5:$B$104,0)),1)</f>
        <v>1.14964544677452</v>
      </c>
      <c r="AB365" s="16">
        <f>IFERROR(INDEX(楼层配置!$F$5:$F$104,MATCH($K365,楼层配置!$B$5:$B$104,0)),1)</f>
        <v>0.705293928317151</v>
      </c>
      <c r="AC365" s="16">
        <f>IFERROR(INDEX(楼层配置!$G$5:$G$104,MATCH($K365,楼层配置!$B$5:$B$104,0)),1)</f>
        <v>1</v>
      </c>
      <c r="AD365" s="18">
        <f t="shared" si="43"/>
        <v>-0.376309679511179</v>
      </c>
      <c r="AE365" s="18">
        <f t="shared" si="44"/>
        <v>-0.224604373235275</v>
      </c>
      <c r="AF365" s="18">
        <f t="shared" si="45"/>
        <v>0.0915611440715487</v>
      </c>
      <c r="AG365" s="16" t="str">
        <f t="shared" si="46"/>
        <v>有效</v>
      </c>
      <c r="AH365">
        <f t="shared" si="47"/>
        <v>4770294.62425</v>
      </c>
    </row>
    <row r="366" ht="14.25" customHeight="1" spans="1:34">
      <c r="A366" s="16">
        <v>362</v>
      </c>
      <c r="B366" s="16">
        <v>1017</v>
      </c>
      <c r="C366" s="16">
        <v>46</v>
      </c>
      <c r="D366" s="17">
        <f>IFERROR(ROUND($U366*$X366*$AA366*参数!$B$13,0),"")</f>
        <v>1251614</v>
      </c>
      <c r="E366" s="17">
        <f>IFERROR(ROUND($V366*$Y366*$AB366*参数!$C$13,0),"")</f>
        <v>28341</v>
      </c>
      <c r="F366" s="17">
        <f>IFERROR(ROUND($W366*$Z366*$AC366*参数!$D$13,0),"")</f>
        <v>24654</v>
      </c>
      <c r="G366" s="16">
        <v>2006788</v>
      </c>
      <c r="H366" s="16">
        <v>36549</v>
      </c>
      <c r="I366" s="16">
        <v>22586</v>
      </c>
      <c r="J366" s="16">
        <v>73</v>
      </c>
      <c r="K366" s="16">
        <v>73</v>
      </c>
      <c r="L366" s="16">
        <f>IFERROR(INDEX(楼层配置!$D$5:$D$104,MATCH($K366,楼层配置!$B$5:$B$104,0)),"")</f>
        <v>243</v>
      </c>
      <c r="M366" s="16" t="str">
        <f>IFERROR(INDEX(_角色基线!$B$2:$B$100,MATCH($B366,_角色基线!$A$2:$A$100,0)),"")</f>
        <v>伊戈尔</v>
      </c>
      <c r="N366" s="16" t="str">
        <f>IFERROR(INDEX(_角色基线!$C$2:$C$100,MATCH($B366,_角色基线!$A$2:$A$100,0)),"")</f>
        <v>DPS</v>
      </c>
      <c r="O366" s="16">
        <f>IFERROR(INDEX(_怪物基线!$B$2:$B$501,MATCH(INT($L366),_怪物基线!$A$2:$A$501,0)),"")</f>
        <v>272174</v>
      </c>
      <c r="P366" s="16">
        <f>IFERROR(INDEX(_怪物基线!$C$2:$C$501,MATCH(INT($L366),_怪物基线!$A$2:$A$501,0)),"")</f>
        <v>27905</v>
      </c>
      <c r="Q366" s="16">
        <f>IFERROR(INDEX(_怪物基线!$D$2:$D$501,MATCH(INT($L366),_怪物基线!$A$2:$A$501,0)),"")</f>
        <v>24654</v>
      </c>
      <c r="R366" s="16">
        <f>参数!$B$10</f>
        <v>4</v>
      </c>
      <c r="S366" s="16">
        <f>参数!$C$10</f>
        <v>1.2</v>
      </c>
      <c r="T366" s="16">
        <f>参数!$D$10</f>
        <v>1</v>
      </c>
      <c r="U366" s="16">
        <f t="shared" si="40"/>
        <v>1088696</v>
      </c>
      <c r="V366" s="16">
        <f t="shared" si="41"/>
        <v>33486</v>
      </c>
      <c r="W366" s="16">
        <f t="shared" si="42"/>
        <v>24654</v>
      </c>
      <c r="X366" s="16">
        <f>IFERROR(INDEX(参数!$B$5:$B$7,MATCH($N366,参数!$A$5:$A$7,0)),"")</f>
        <v>1</v>
      </c>
      <c r="Y366" s="16">
        <f>IFERROR(INDEX(参数!$C$5:$C$7,MATCH($N366,参数!$A$5:$A$7,0)),"")</f>
        <v>1.2</v>
      </c>
      <c r="Z366" s="16">
        <f>IFERROR(INDEX(参数!$D$5:$D$7,MATCH($N366,参数!$A$5:$A$7,0)),"")</f>
        <v>1</v>
      </c>
      <c r="AA366" s="16">
        <f>IFERROR(INDEX(楼层配置!$E$5:$E$104,MATCH($K366,楼层配置!$B$5:$B$104,0)),1)</f>
        <v>1.14964544677452</v>
      </c>
      <c r="AB366" s="16">
        <f>IFERROR(INDEX(楼层配置!$F$5:$F$104,MATCH($K366,楼层配置!$B$5:$B$104,0)),1)</f>
        <v>0.705293928317151</v>
      </c>
      <c r="AC366" s="16">
        <f>IFERROR(INDEX(楼层配置!$G$5:$G$104,MATCH($K366,楼层配置!$B$5:$B$104,0)),1)</f>
        <v>1</v>
      </c>
      <c r="AD366" s="18">
        <f t="shared" si="43"/>
        <v>-0.376309804523447</v>
      </c>
      <c r="AE366" s="18">
        <f t="shared" si="44"/>
        <v>-0.22457522777641</v>
      </c>
      <c r="AF366" s="18">
        <f t="shared" si="45"/>
        <v>0.0915611440715487</v>
      </c>
      <c r="AG366" s="16" t="str">
        <f t="shared" si="46"/>
        <v>有效</v>
      </c>
      <c r="AH366">
        <f t="shared" si="47"/>
        <v>2537334.4815</v>
      </c>
    </row>
    <row r="367" ht="14.25" customHeight="1" spans="1:34">
      <c r="A367" s="16">
        <v>363</v>
      </c>
      <c r="B367" s="16">
        <v>1006</v>
      </c>
      <c r="C367" s="16">
        <v>46</v>
      </c>
      <c r="D367" s="17">
        <f>IFERROR(ROUND($U367*$X367*$AA367*参数!$B$13,0),"")</f>
        <v>1251614</v>
      </c>
      <c r="E367" s="17">
        <f>IFERROR(ROUND($V367*$Y367*$AB367*参数!$C$13,0),"")</f>
        <v>28341</v>
      </c>
      <c r="F367" s="17">
        <f>IFERROR(ROUND($W367*$Z367*$AC367*参数!$D$13,0),"")</f>
        <v>24654</v>
      </c>
      <c r="G367" s="16">
        <v>2006788</v>
      </c>
      <c r="H367" s="16">
        <v>36549</v>
      </c>
      <c r="I367" s="16">
        <v>22586</v>
      </c>
      <c r="J367" s="16">
        <v>73</v>
      </c>
      <c r="K367" s="16">
        <v>73</v>
      </c>
      <c r="L367" s="16">
        <f>IFERROR(INDEX(楼层配置!$D$5:$D$104,MATCH($K367,楼层配置!$B$5:$B$104,0)),"")</f>
        <v>243</v>
      </c>
      <c r="M367" s="16" t="str">
        <f>IFERROR(INDEX(_角色基线!$B$2:$B$100,MATCH($B367,_角色基线!$A$2:$A$100,0)),"")</f>
        <v>莉莉娅</v>
      </c>
      <c r="N367" s="16" t="str">
        <f>IFERROR(INDEX(_角色基线!$C$2:$C$100,MATCH($B367,_角色基线!$A$2:$A$100,0)),"")</f>
        <v>DPS</v>
      </c>
      <c r="O367" s="16">
        <f>IFERROR(INDEX(_怪物基线!$B$2:$B$501,MATCH(INT($L367),_怪物基线!$A$2:$A$501,0)),"")</f>
        <v>272174</v>
      </c>
      <c r="P367" s="16">
        <f>IFERROR(INDEX(_怪物基线!$C$2:$C$501,MATCH(INT($L367),_怪物基线!$A$2:$A$501,0)),"")</f>
        <v>27905</v>
      </c>
      <c r="Q367" s="16">
        <f>IFERROR(INDEX(_怪物基线!$D$2:$D$501,MATCH(INT($L367),_怪物基线!$A$2:$A$501,0)),"")</f>
        <v>24654</v>
      </c>
      <c r="R367" s="16">
        <f>参数!$B$10</f>
        <v>4</v>
      </c>
      <c r="S367" s="16">
        <f>参数!$C$10</f>
        <v>1.2</v>
      </c>
      <c r="T367" s="16">
        <f>参数!$D$10</f>
        <v>1</v>
      </c>
      <c r="U367" s="16">
        <f t="shared" si="40"/>
        <v>1088696</v>
      </c>
      <c r="V367" s="16">
        <f t="shared" si="41"/>
        <v>33486</v>
      </c>
      <c r="W367" s="16">
        <f t="shared" si="42"/>
        <v>24654</v>
      </c>
      <c r="X367" s="16">
        <f>IFERROR(INDEX(参数!$B$5:$B$7,MATCH($N367,参数!$A$5:$A$7,0)),"")</f>
        <v>1</v>
      </c>
      <c r="Y367" s="16">
        <f>IFERROR(INDEX(参数!$C$5:$C$7,MATCH($N367,参数!$A$5:$A$7,0)),"")</f>
        <v>1.2</v>
      </c>
      <c r="Z367" s="16">
        <f>IFERROR(INDEX(参数!$D$5:$D$7,MATCH($N367,参数!$A$5:$A$7,0)),"")</f>
        <v>1</v>
      </c>
      <c r="AA367" s="16">
        <f>IFERROR(INDEX(楼层配置!$E$5:$E$104,MATCH($K367,楼层配置!$B$5:$B$104,0)),1)</f>
        <v>1.14964544677452</v>
      </c>
      <c r="AB367" s="16">
        <f>IFERROR(INDEX(楼层配置!$F$5:$F$104,MATCH($K367,楼层配置!$B$5:$B$104,0)),1)</f>
        <v>0.705293928317151</v>
      </c>
      <c r="AC367" s="16">
        <f>IFERROR(INDEX(楼层配置!$G$5:$G$104,MATCH($K367,楼层配置!$B$5:$B$104,0)),1)</f>
        <v>1</v>
      </c>
      <c r="AD367" s="18">
        <f t="shared" si="43"/>
        <v>-0.376309804523447</v>
      </c>
      <c r="AE367" s="18">
        <f t="shared" si="44"/>
        <v>-0.22457522777641</v>
      </c>
      <c r="AF367" s="18">
        <f t="shared" si="45"/>
        <v>0.0915611440715487</v>
      </c>
      <c r="AG367" s="16" t="str">
        <f t="shared" si="46"/>
        <v>有效</v>
      </c>
      <c r="AH367">
        <f t="shared" si="47"/>
        <v>2537334.4815</v>
      </c>
    </row>
    <row r="368" ht="14.25" customHeight="1" spans="1:34">
      <c r="A368" s="16">
        <v>364</v>
      </c>
      <c r="B368" s="16">
        <v>1014</v>
      </c>
      <c r="C368" s="16">
        <v>46</v>
      </c>
      <c r="D368" s="17">
        <f>IFERROR(ROUND($U368*$X368*$AA368*参数!$B$13,0),"")</f>
        <v>1251614</v>
      </c>
      <c r="E368" s="17">
        <f>IFERROR(ROUND($V368*$Y368*$AB368*参数!$C$13,0),"")</f>
        <v>28341</v>
      </c>
      <c r="F368" s="17">
        <f>IFERROR(ROUND($W368*$Z368*$AC368*参数!$D$13,0),"")</f>
        <v>24654</v>
      </c>
      <c r="G368" s="16">
        <v>2006788</v>
      </c>
      <c r="H368" s="16">
        <v>36549</v>
      </c>
      <c r="I368" s="16">
        <v>22586</v>
      </c>
      <c r="J368" s="16">
        <v>73</v>
      </c>
      <c r="K368" s="16">
        <v>73</v>
      </c>
      <c r="L368" s="16">
        <f>IFERROR(INDEX(楼层配置!$D$5:$D$104,MATCH($K368,楼层配置!$B$5:$B$104,0)),"")</f>
        <v>243</v>
      </c>
      <c r="M368" s="16" t="str">
        <f>IFERROR(INDEX(_角色基线!$B$2:$B$100,MATCH($B368,_角色基线!$A$2:$A$100,0)),"")</f>
        <v>克莉丝汀</v>
      </c>
      <c r="N368" s="16" t="str">
        <f>IFERROR(INDEX(_角色基线!$C$2:$C$100,MATCH($B368,_角色基线!$A$2:$A$100,0)),"")</f>
        <v>DPS</v>
      </c>
      <c r="O368" s="16">
        <f>IFERROR(INDEX(_怪物基线!$B$2:$B$501,MATCH(INT($L368),_怪物基线!$A$2:$A$501,0)),"")</f>
        <v>272174</v>
      </c>
      <c r="P368" s="16">
        <f>IFERROR(INDEX(_怪物基线!$C$2:$C$501,MATCH(INT($L368),_怪物基线!$A$2:$A$501,0)),"")</f>
        <v>27905</v>
      </c>
      <c r="Q368" s="16">
        <f>IFERROR(INDEX(_怪物基线!$D$2:$D$501,MATCH(INT($L368),_怪物基线!$A$2:$A$501,0)),"")</f>
        <v>24654</v>
      </c>
      <c r="R368" s="16">
        <f>参数!$B$10</f>
        <v>4</v>
      </c>
      <c r="S368" s="16">
        <f>参数!$C$10</f>
        <v>1.2</v>
      </c>
      <c r="T368" s="16">
        <f>参数!$D$10</f>
        <v>1</v>
      </c>
      <c r="U368" s="16">
        <f t="shared" si="40"/>
        <v>1088696</v>
      </c>
      <c r="V368" s="16">
        <f t="shared" si="41"/>
        <v>33486</v>
      </c>
      <c r="W368" s="16">
        <f t="shared" si="42"/>
        <v>24654</v>
      </c>
      <c r="X368" s="16">
        <f>IFERROR(INDEX(参数!$B$5:$B$7,MATCH($N368,参数!$A$5:$A$7,0)),"")</f>
        <v>1</v>
      </c>
      <c r="Y368" s="16">
        <f>IFERROR(INDEX(参数!$C$5:$C$7,MATCH($N368,参数!$A$5:$A$7,0)),"")</f>
        <v>1.2</v>
      </c>
      <c r="Z368" s="16">
        <f>IFERROR(INDEX(参数!$D$5:$D$7,MATCH($N368,参数!$A$5:$A$7,0)),"")</f>
        <v>1</v>
      </c>
      <c r="AA368" s="16">
        <f>IFERROR(INDEX(楼层配置!$E$5:$E$104,MATCH($K368,楼层配置!$B$5:$B$104,0)),1)</f>
        <v>1.14964544677452</v>
      </c>
      <c r="AB368" s="16">
        <f>IFERROR(INDEX(楼层配置!$F$5:$F$104,MATCH($K368,楼层配置!$B$5:$B$104,0)),1)</f>
        <v>0.705293928317151</v>
      </c>
      <c r="AC368" s="16">
        <f>IFERROR(INDEX(楼层配置!$G$5:$G$104,MATCH($K368,楼层配置!$B$5:$B$104,0)),1)</f>
        <v>1</v>
      </c>
      <c r="AD368" s="18">
        <f t="shared" si="43"/>
        <v>-0.376309804523447</v>
      </c>
      <c r="AE368" s="18">
        <f t="shared" si="44"/>
        <v>-0.22457522777641</v>
      </c>
      <c r="AF368" s="18">
        <f t="shared" si="45"/>
        <v>0.0915611440715487</v>
      </c>
      <c r="AG368" s="16" t="str">
        <f t="shared" si="46"/>
        <v>有效</v>
      </c>
      <c r="AH368">
        <f t="shared" si="47"/>
        <v>2537334.4815</v>
      </c>
    </row>
    <row r="369" ht="14.25" customHeight="1" spans="1:34">
      <c r="A369" s="16">
        <v>365</v>
      </c>
      <c r="B369" s="16">
        <v>1011</v>
      </c>
      <c r="C369" s="16">
        <v>46</v>
      </c>
      <c r="D369" s="17">
        <f>IFERROR(ROUND($U369*$X369*$AA369*参数!$B$13,0),"")</f>
        <v>1564518</v>
      </c>
      <c r="E369" s="17">
        <f>IFERROR(ROUND($V369*$Y369*$AB369*参数!$C$13,0),"")</f>
        <v>23617</v>
      </c>
      <c r="F369" s="17">
        <f>IFERROR(ROUND($W369*$Z369*$AC369*参数!$D$13,0),"")</f>
        <v>30818</v>
      </c>
      <c r="G369" s="16">
        <v>2508486</v>
      </c>
      <c r="H369" s="16">
        <v>30458</v>
      </c>
      <c r="I369" s="16">
        <v>28233</v>
      </c>
      <c r="J369" s="16">
        <v>73</v>
      </c>
      <c r="K369" s="16">
        <v>73</v>
      </c>
      <c r="L369" s="16">
        <f>IFERROR(INDEX(楼层配置!$D$5:$D$104,MATCH($K369,楼层配置!$B$5:$B$104,0)),"")</f>
        <v>243</v>
      </c>
      <c r="M369" s="16" t="str">
        <f>IFERROR(INDEX(_角色基线!$B$2:$B$100,MATCH($B369,_角色基线!$A$2:$A$100,0)),"")</f>
        <v>陈双双</v>
      </c>
      <c r="N369" s="16" t="str">
        <f>IFERROR(INDEX(_角色基线!$C$2:$C$100,MATCH($B369,_角色基线!$A$2:$A$100,0)),"")</f>
        <v>Support</v>
      </c>
      <c r="O369" s="16">
        <f>IFERROR(INDEX(_怪物基线!$B$2:$B$501,MATCH(INT($L369),_怪物基线!$A$2:$A$501,0)),"")</f>
        <v>272174</v>
      </c>
      <c r="P369" s="16">
        <f>IFERROR(INDEX(_怪物基线!$C$2:$C$501,MATCH(INT($L369),_怪物基线!$A$2:$A$501,0)),"")</f>
        <v>27905</v>
      </c>
      <c r="Q369" s="16">
        <f>IFERROR(INDEX(_怪物基线!$D$2:$D$501,MATCH(INT($L369),_怪物基线!$A$2:$A$501,0)),"")</f>
        <v>24654</v>
      </c>
      <c r="R369" s="16">
        <f>参数!$B$10</f>
        <v>4</v>
      </c>
      <c r="S369" s="16">
        <f>参数!$C$10</f>
        <v>1.2</v>
      </c>
      <c r="T369" s="16">
        <f>参数!$D$10</f>
        <v>1</v>
      </c>
      <c r="U369" s="16">
        <f t="shared" si="40"/>
        <v>1088696</v>
      </c>
      <c r="V369" s="16">
        <f t="shared" si="41"/>
        <v>33486</v>
      </c>
      <c r="W369" s="16">
        <f t="shared" si="42"/>
        <v>24654</v>
      </c>
      <c r="X369" s="16">
        <f>IFERROR(INDEX(参数!$B$5:$B$7,MATCH($N369,参数!$A$5:$A$7,0)),"")</f>
        <v>1.25</v>
      </c>
      <c r="Y369" s="16">
        <f>IFERROR(INDEX(参数!$C$5:$C$7,MATCH($N369,参数!$A$5:$A$7,0)),"")</f>
        <v>1</v>
      </c>
      <c r="Z369" s="16">
        <f>IFERROR(INDEX(参数!$D$5:$D$7,MATCH($N369,参数!$A$5:$A$7,0)),"")</f>
        <v>1.25</v>
      </c>
      <c r="AA369" s="16">
        <f>IFERROR(INDEX(楼层配置!$E$5:$E$104,MATCH($K369,楼层配置!$B$5:$B$104,0)),1)</f>
        <v>1.14964544677452</v>
      </c>
      <c r="AB369" s="16">
        <f>IFERROR(INDEX(楼层配置!$F$5:$F$104,MATCH($K369,楼层配置!$B$5:$B$104,0)),1)</f>
        <v>0.705293928317151</v>
      </c>
      <c r="AC369" s="16">
        <f>IFERROR(INDEX(楼层配置!$G$5:$G$104,MATCH($K369,楼层配置!$B$5:$B$104,0)),1)</f>
        <v>1</v>
      </c>
      <c r="AD369" s="18">
        <f t="shared" si="43"/>
        <v>-0.376309853832152</v>
      </c>
      <c r="AE369" s="18">
        <f t="shared" si="44"/>
        <v>-0.224604373235275</v>
      </c>
      <c r="AF369" s="18">
        <f t="shared" si="45"/>
        <v>0.09155952254454</v>
      </c>
      <c r="AG369" s="16" t="str">
        <f t="shared" si="46"/>
        <v>有效</v>
      </c>
      <c r="AH369">
        <f t="shared" si="47"/>
        <v>3573489.4885</v>
      </c>
    </row>
    <row r="370" ht="14.25" customHeight="1" spans="1:34">
      <c r="A370" s="16">
        <v>366</v>
      </c>
      <c r="B370" s="16">
        <v>1003</v>
      </c>
      <c r="C370" s="16">
        <v>47</v>
      </c>
      <c r="D370" s="17">
        <f>IFERROR(ROUND($U370*$X370*$AA370*参数!$B$13,0),"")</f>
        <v>1914617</v>
      </c>
      <c r="E370" s="17">
        <f>IFERROR(ROUND($V370*$Y370*$AB370*参数!$C$13,0),"")</f>
        <v>24017</v>
      </c>
      <c r="F370" s="17">
        <f>IFERROR(ROUND($W370*$Z370*$AC370*参数!$D$13,0),"")</f>
        <v>37370</v>
      </c>
      <c r="G370" s="16">
        <v>3117218</v>
      </c>
      <c r="H370" s="16">
        <v>31270</v>
      </c>
      <c r="I370" s="16">
        <v>34488</v>
      </c>
      <c r="J370" s="16">
        <v>74</v>
      </c>
      <c r="K370" s="16">
        <v>74</v>
      </c>
      <c r="L370" s="16">
        <f>IFERROR(INDEX(楼层配置!$D$5:$D$104,MATCH($K370,楼层配置!$B$5:$B$104,0)),"")</f>
        <v>245</v>
      </c>
      <c r="M370" s="16" t="str">
        <f>IFERROR(INDEX(_角色基线!$B$2:$B$100,MATCH($B370,_角色基线!$A$2:$A$100,0)),"")</f>
        <v>塔拉夏</v>
      </c>
      <c r="N370" s="16" t="str">
        <f>IFERROR(INDEX(_角色基线!$C$2:$C$100,MATCH($B370,_角色基线!$A$2:$A$100,0)),"")</f>
        <v>Tank</v>
      </c>
      <c r="O370" s="16">
        <f>IFERROR(INDEX(_怪物基线!$B$2:$B$501,MATCH(INT($L370),_怪物基线!$A$2:$A$501,0)),"")</f>
        <v>278051</v>
      </c>
      <c r="P370" s="16">
        <f>IFERROR(INDEX(_怪物基线!$C$2:$C$501,MATCH(INT($L370),_怪物基线!$A$2:$A$501,0)),"")</f>
        <v>28347</v>
      </c>
      <c r="Q370" s="16">
        <f>IFERROR(INDEX(_怪物基线!$D$2:$D$501,MATCH(INT($L370),_怪物基线!$A$2:$A$501,0)),"")</f>
        <v>24913</v>
      </c>
      <c r="R370" s="16">
        <f>参数!$B$10</f>
        <v>4</v>
      </c>
      <c r="S370" s="16">
        <f>参数!$C$10</f>
        <v>1.2</v>
      </c>
      <c r="T370" s="16">
        <f>参数!$D$10</f>
        <v>1</v>
      </c>
      <c r="U370" s="16">
        <f t="shared" si="40"/>
        <v>1112204</v>
      </c>
      <c r="V370" s="16">
        <f t="shared" si="41"/>
        <v>34016.4</v>
      </c>
      <c r="W370" s="16">
        <f t="shared" si="42"/>
        <v>24913</v>
      </c>
      <c r="X370" s="16">
        <f>IFERROR(INDEX(参数!$B$5:$B$7,MATCH($N370,参数!$A$5:$A$7,0)),"")</f>
        <v>1.5</v>
      </c>
      <c r="Y370" s="16">
        <f>IFERROR(INDEX(参数!$C$5:$C$7,MATCH($N370,参数!$A$5:$A$7,0)),"")</f>
        <v>1</v>
      </c>
      <c r="Z370" s="16">
        <f>IFERROR(INDEX(参数!$D$5:$D$7,MATCH($N370,参数!$A$5:$A$7,0)),"")</f>
        <v>1.5</v>
      </c>
      <c r="AA370" s="16">
        <f>IFERROR(INDEX(楼层配置!$E$5:$E$104,MATCH($K370,楼层配置!$B$5:$B$104,0)),1)</f>
        <v>1.14764130074927</v>
      </c>
      <c r="AB370" s="16">
        <f>IFERROR(INDEX(楼层配置!$F$5:$F$104,MATCH($K370,楼层配置!$B$5:$B$104,0)),1)</f>
        <v>0.706038369536886</v>
      </c>
      <c r="AC370" s="16">
        <f>IFERROR(INDEX(楼层配置!$G$5:$G$104,MATCH($K370,楼层配置!$B$5:$B$104,0)),1)</f>
        <v>1</v>
      </c>
      <c r="AD370" s="18">
        <f t="shared" si="43"/>
        <v>-0.385793037253089</v>
      </c>
      <c r="AE370" s="18">
        <f t="shared" si="44"/>
        <v>-0.231947553565718</v>
      </c>
      <c r="AF370" s="18">
        <f t="shared" si="45"/>
        <v>0.0835652980746926</v>
      </c>
      <c r="AG370" s="16" t="str">
        <f t="shared" si="46"/>
        <v>有效</v>
      </c>
      <c r="AH370">
        <f t="shared" si="47"/>
        <v>4895835.22041667</v>
      </c>
    </row>
    <row r="371" ht="14.25" customHeight="1" spans="1:34">
      <c r="A371" s="16">
        <v>367</v>
      </c>
      <c r="B371" s="16">
        <v>1005</v>
      </c>
      <c r="C371" s="16">
        <v>47</v>
      </c>
      <c r="D371" s="17">
        <f>IFERROR(ROUND($U371*$X371*$AA371*参数!$B$13,0),"")</f>
        <v>1276411</v>
      </c>
      <c r="E371" s="17">
        <f>IFERROR(ROUND($V371*$Y371*$AB371*参数!$C$13,0),"")</f>
        <v>28820</v>
      </c>
      <c r="F371" s="17">
        <f>IFERROR(ROUND($W371*$Z371*$AC371*参数!$D$13,0),"")</f>
        <v>24913</v>
      </c>
      <c r="G371" s="16">
        <v>2078145</v>
      </c>
      <c r="H371" s="16">
        <v>37524</v>
      </c>
      <c r="I371" s="16">
        <v>22992</v>
      </c>
      <c r="J371" s="16">
        <v>74</v>
      </c>
      <c r="K371" s="16">
        <v>74</v>
      </c>
      <c r="L371" s="16">
        <f>IFERROR(INDEX(楼层配置!$D$5:$D$104,MATCH($K371,楼层配置!$B$5:$B$104,0)),"")</f>
        <v>245</v>
      </c>
      <c r="M371" s="16" t="str">
        <f>IFERROR(INDEX(_角色基线!$B$2:$B$100,MATCH($B371,_角色基线!$A$2:$A$100,0)),"")</f>
        <v>陈单单</v>
      </c>
      <c r="N371" s="16" t="str">
        <f>IFERROR(INDEX(_角色基线!$C$2:$C$100,MATCH($B371,_角色基线!$A$2:$A$100,0)),"")</f>
        <v>DPS</v>
      </c>
      <c r="O371" s="16">
        <f>IFERROR(INDEX(_怪物基线!$B$2:$B$501,MATCH(INT($L371),_怪物基线!$A$2:$A$501,0)),"")</f>
        <v>278051</v>
      </c>
      <c r="P371" s="16">
        <f>IFERROR(INDEX(_怪物基线!$C$2:$C$501,MATCH(INT($L371),_怪物基线!$A$2:$A$501,0)),"")</f>
        <v>28347</v>
      </c>
      <c r="Q371" s="16">
        <f>IFERROR(INDEX(_怪物基线!$D$2:$D$501,MATCH(INT($L371),_怪物基线!$A$2:$A$501,0)),"")</f>
        <v>24913</v>
      </c>
      <c r="R371" s="16">
        <f>参数!$B$10</f>
        <v>4</v>
      </c>
      <c r="S371" s="16">
        <f>参数!$C$10</f>
        <v>1.2</v>
      </c>
      <c r="T371" s="16">
        <f>参数!$D$10</f>
        <v>1</v>
      </c>
      <c r="U371" s="16">
        <f t="shared" si="40"/>
        <v>1112204</v>
      </c>
      <c r="V371" s="16">
        <f t="shared" si="41"/>
        <v>34016.4</v>
      </c>
      <c r="W371" s="16">
        <f t="shared" si="42"/>
        <v>24913</v>
      </c>
      <c r="X371" s="16">
        <f>IFERROR(INDEX(参数!$B$5:$B$7,MATCH($N371,参数!$A$5:$A$7,0)),"")</f>
        <v>1</v>
      </c>
      <c r="Y371" s="16">
        <f>IFERROR(INDEX(参数!$C$5:$C$7,MATCH($N371,参数!$A$5:$A$7,0)),"")</f>
        <v>1.2</v>
      </c>
      <c r="Z371" s="16">
        <f>IFERROR(INDEX(参数!$D$5:$D$7,MATCH($N371,参数!$A$5:$A$7,0)),"")</f>
        <v>1</v>
      </c>
      <c r="AA371" s="16">
        <f>IFERROR(INDEX(楼层配置!$E$5:$E$104,MATCH($K371,楼层配置!$B$5:$B$104,0)),1)</f>
        <v>1.14764130074927</v>
      </c>
      <c r="AB371" s="16">
        <f>IFERROR(INDEX(楼层配置!$F$5:$F$104,MATCH($K371,楼层配置!$B$5:$B$104,0)),1)</f>
        <v>0.706038369536886</v>
      </c>
      <c r="AC371" s="16">
        <f>IFERROR(INDEX(楼层配置!$G$5:$G$104,MATCH($K371,楼层配置!$B$5:$B$104,0)),1)</f>
        <v>1</v>
      </c>
      <c r="AD371" s="18">
        <f t="shared" si="43"/>
        <v>-0.385793099134084</v>
      </c>
      <c r="AE371" s="18">
        <f t="shared" si="44"/>
        <v>-0.231958213410084</v>
      </c>
      <c r="AF371" s="18">
        <f t="shared" si="45"/>
        <v>0.0835508002783576</v>
      </c>
      <c r="AG371" s="16" t="str">
        <f t="shared" si="46"/>
        <v>有效</v>
      </c>
      <c r="AH371">
        <f t="shared" si="47"/>
        <v>2601378.80179167</v>
      </c>
    </row>
    <row r="372" ht="14.25" customHeight="1" spans="1:34">
      <c r="A372" s="16">
        <v>368</v>
      </c>
      <c r="B372" s="16">
        <v>1014</v>
      </c>
      <c r="C372" s="16">
        <v>47</v>
      </c>
      <c r="D372" s="17">
        <f>IFERROR(ROUND($U372*$X372*$AA372*参数!$B$13,0),"")</f>
        <v>1276411</v>
      </c>
      <c r="E372" s="17">
        <f>IFERROR(ROUND($V372*$Y372*$AB372*参数!$C$13,0),"")</f>
        <v>28820</v>
      </c>
      <c r="F372" s="17">
        <f>IFERROR(ROUND($W372*$Z372*$AC372*参数!$D$13,0),"")</f>
        <v>24913</v>
      </c>
      <c r="G372" s="16">
        <v>2078145</v>
      </c>
      <c r="H372" s="16">
        <v>37524</v>
      </c>
      <c r="I372" s="16">
        <v>22992</v>
      </c>
      <c r="J372" s="16">
        <v>74</v>
      </c>
      <c r="K372" s="16">
        <v>74</v>
      </c>
      <c r="L372" s="16">
        <f>IFERROR(INDEX(楼层配置!$D$5:$D$104,MATCH($K372,楼层配置!$B$5:$B$104,0)),"")</f>
        <v>245</v>
      </c>
      <c r="M372" s="16" t="str">
        <f>IFERROR(INDEX(_角色基线!$B$2:$B$100,MATCH($B372,_角色基线!$A$2:$A$100,0)),"")</f>
        <v>克莉丝汀</v>
      </c>
      <c r="N372" s="16" t="str">
        <f>IFERROR(INDEX(_角色基线!$C$2:$C$100,MATCH($B372,_角色基线!$A$2:$A$100,0)),"")</f>
        <v>DPS</v>
      </c>
      <c r="O372" s="16">
        <f>IFERROR(INDEX(_怪物基线!$B$2:$B$501,MATCH(INT($L372),_怪物基线!$A$2:$A$501,0)),"")</f>
        <v>278051</v>
      </c>
      <c r="P372" s="16">
        <f>IFERROR(INDEX(_怪物基线!$C$2:$C$501,MATCH(INT($L372),_怪物基线!$A$2:$A$501,0)),"")</f>
        <v>28347</v>
      </c>
      <c r="Q372" s="16">
        <f>IFERROR(INDEX(_怪物基线!$D$2:$D$501,MATCH(INT($L372),_怪物基线!$A$2:$A$501,0)),"")</f>
        <v>24913</v>
      </c>
      <c r="R372" s="16">
        <f>参数!$B$10</f>
        <v>4</v>
      </c>
      <c r="S372" s="16">
        <f>参数!$C$10</f>
        <v>1.2</v>
      </c>
      <c r="T372" s="16">
        <f>参数!$D$10</f>
        <v>1</v>
      </c>
      <c r="U372" s="16">
        <f t="shared" si="40"/>
        <v>1112204</v>
      </c>
      <c r="V372" s="16">
        <f t="shared" si="41"/>
        <v>34016.4</v>
      </c>
      <c r="W372" s="16">
        <f t="shared" si="42"/>
        <v>24913</v>
      </c>
      <c r="X372" s="16">
        <f>IFERROR(INDEX(参数!$B$5:$B$7,MATCH($N372,参数!$A$5:$A$7,0)),"")</f>
        <v>1</v>
      </c>
      <c r="Y372" s="16">
        <f>IFERROR(INDEX(参数!$C$5:$C$7,MATCH($N372,参数!$A$5:$A$7,0)),"")</f>
        <v>1.2</v>
      </c>
      <c r="Z372" s="16">
        <f>IFERROR(INDEX(参数!$D$5:$D$7,MATCH($N372,参数!$A$5:$A$7,0)),"")</f>
        <v>1</v>
      </c>
      <c r="AA372" s="16">
        <f>IFERROR(INDEX(楼层配置!$E$5:$E$104,MATCH($K372,楼层配置!$B$5:$B$104,0)),1)</f>
        <v>1.14764130074927</v>
      </c>
      <c r="AB372" s="16">
        <f>IFERROR(INDEX(楼层配置!$F$5:$F$104,MATCH($K372,楼层配置!$B$5:$B$104,0)),1)</f>
        <v>0.706038369536886</v>
      </c>
      <c r="AC372" s="16">
        <f>IFERROR(INDEX(楼层配置!$G$5:$G$104,MATCH($K372,楼层配置!$B$5:$B$104,0)),1)</f>
        <v>1</v>
      </c>
      <c r="AD372" s="18">
        <f t="shared" si="43"/>
        <v>-0.385793099134084</v>
      </c>
      <c r="AE372" s="18">
        <f t="shared" si="44"/>
        <v>-0.231958213410084</v>
      </c>
      <c r="AF372" s="18">
        <f t="shared" si="45"/>
        <v>0.0835508002783576</v>
      </c>
      <c r="AG372" s="16" t="str">
        <f t="shared" si="46"/>
        <v>有效</v>
      </c>
      <c r="AH372">
        <f t="shared" si="47"/>
        <v>2601378.80179167</v>
      </c>
    </row>
    <row r="373" ht="14.25" customHeight="1" spans="1:34">
      <c r="A373" s="16">
        <v>369</v>
      </c>
      <c r="B373" s="16">
        <v>1012</v>
      </c>
      <c r="C373" s="16">
        <v>47</v>
      </c>
      <c r="D373" s="17">
        <f>IFERROR(ROUND($U373*$X373*$AA373*参数!$B$13,0),"")</f>
        <v>1595514</v>
      </c>
      <c r="E373" s="17">
        <f>IFERROR(ROUND($V373*$Y373*$AB373*参数!$C$13,0),"")</f>
        <v>24017</v>
      </c>
      <c r="F373" s="17">
        <f>IFERROR(ROUND($W373*$Z373*$AC373*参数!$D$13,0),"")</f>
        <v>31141</v>
      </c>
      <c r="G373" s="16">
        <v>2597682</v>
      </c>
      <c r="H373" s="16">
        <v>31270</v>
      </c>
      <c r="I373" s="16">
        <v>28740</v>
      </c>
      <c r="J373" s="16">
        <v>74</v>
      </c>
      <c r="K373" s="16">
        <v>74</v>
      </c>
      <c r="L373" s="16">
        <f>IFERROR(INDEX(楼层配置!$D$5:$D$104,MATCH($K373,楼层配置!$B$5:$B$104,0)),"")</f>
        <v>245</v>
      </c>
      <c r="M373" s="16" t="str">
        <f>IFERROR(INDEX(_角色基线!$B$2:$B$100,MATCH($B373,_角色基线!$A$2:$A$100,0)),"")</f>
        <v>艾德琳</v>
      </c>
      <c r="N373" s="16" t="str">
        <f>IFERROR(INDEX(_角色基线!$C$2:$C$100,MATCH($B373,_角色基线!$A$2:$A$100,0)),"")</f>
        <v>Support</v>
      </c>
      <c r="O373" s="16">
        <f>IFERROR(INDEX(_怪物基线!$B$2:$B$501,MATCH(INT($L373),_怪物基线!$A$2:$A$501,0)),"")</f>
        <v>278051</v>
      </c>
      <c r="P373" s="16">
        <f>IFERROR(INDEX(_怪物基线!$C$2:$C$501,MATCH(INT($L373),_怪物基线!$A$2:$A$501,0)),"")</f>
        <v>28347</v>
      </c>
      <c r="Q373" s="16">
        <f>IFERROR(INDEX(_怪物基线!$D$2:$D$501,MATCH(INT($L373),_怪物基线!$A$2:$A$501,0)),"")</f>
        <v>24913</v>
      </c>
      <c r="R373" s="16">
        <f>参数!$B$10</f>
        <v>4</v>
      </c>
      <c r="S373" s="16">
        <f>参数!$C$10</f>
        <v>1.2</v>
      </c>
      <c r="T373" s="16">
        <f>参数!$D$10</f>
        <v>1</v>
      </c>
      <c r="U373" s="16">
        <f t="shared" si="40"/>
        <v>1112204</v>
      </c>
      <c r="V373" s="16">
        <f t="shared" si="41"/>
        <v>34016.4</v>
      </c>
      <c r="W373" s="16">
        <f t="shared" si="42"/>
        <v>24913</v>
      </c>
      <c r="X373" s="16">
        <f>IFERROR(INDEX(参数!$B$5:$B$7,MATCH($N373,参数!$A$5:$A$7,0)),"")</f>
        <v>1.25</v>
      </c>
      <c r="Y373" s="16">
        <f>IFERROR(INDEX(参数!$C$5:$C$7,MATCH($N373,参数!$A$5:$A$7,0)),"")</f>
        <v>1</v>
      </c>
      <c r="Z373" s="16">
        <f>IFERROR(INDEX(参数!$D$5:$D$7,MATCH($N373,参数!$A$5:$A$7,0)),"")</f>
        <v>1.25</v>
      </c>
      <c r="AA373" s="16">
        <f>IFERROR(INDEX(楼层配置!$E$5:$E$104,MATCH($K373,楼层配置!$B$5:$B$104,0)),1)</f>
        <v>1.14764130074927</v>
      </c>
      <c r="AB373" s="16">
        <f>IFERROR(INDEX(楼层配置!$F$5:$F$104,MATCH($K373,楼层配置!$B$5:$B$104,0)),1)</f>
        <v>0.706038369536886</v>
      </c>
      <c r="AC373" s="16">
        <f>IFERROR(INDEX(楼层配置!$G$5:$G$104,MATCH($K373,楼层配置!$B$5:$B$104,0)),1)</f>
        <v>1</v>
      </c>
      <c r="AD373" s="18">
        <f t="shared" si="43"/>
        <v>-0.385793180227603</v>
      </c>
      <c r="AE373" s="18">
        <f t="shared" si="44"/>
        <v>-0.231947553565718</v>
      </c>
      <c r="AF373" s="18">
        <f t="shared" si="45"/>
        <v>0.0835421016005566</v>
      </c>
      <c r="AG373" s="16" t="str">
        <f t="shared" si="46"/>
        <v>有效</v>
      </c>
      <c r="AH373">
        <f t="shared" si="47"/>
        <v>3665759.89475</v>
      </c>
    </row>
    <row r="374" ht="14.25" customHeight="1" spans="1:34">
      <c r="A374" s="16">
        <v>370</v>
      </c>
      <c r="B374" s="16">
        <v>1008</v>
      </c>
      <c r="C374" s="16">
        <v>47</v>
      </c>
      <c r="D374" s="17">
        <f>IFERROR(ROUND($U374*$X374*$AA374*参数!$B$13,0),"")</f>
        <v>1276411</v>
      </c>
      <c r="E374" s="17">
        <f>IFERROR(ROUND($V374*$Y374*$AB374*参数!$C$13,0),"")</f>
        <v>28820</v>
      </c>
      <c r="F374" s="17">
        <f>IFERROR(ROUND($W374*$Z374*$AC374*参数!$D$13,0),"")</f>
        <v>24913</v>
      </c>
      <c r="G374" s="16">
        <v>2078145</v>
      </c>
      <c r="H374" s="16">
        <v>37524</v>
      </c>
      <c r="I374" s="16">
        <v>22992</v>
      </c>
      <c r="J374" s="16">
        <v>74</v>
      </c>
      <c r="K374" s="16">
        <v>74</v>
      </c>
      <c r="L374" s="16">
        <f>IFERROR(INDEX(楼层配置!$D$5:$D$104,MATCH($K374,楼层配置!$B$5:$B$104,0)),"")</f>
        <v>245</v>
      </c>
      <c r="M374" s="16" t="str">
        <f>IFERROR(INDEX(_角色基线!$B$2:$B$100,MATCH($B374,_角色基线!$A$2:$A$100,0)),"")</f>
        <v>薇</v>
      </c>
      <c r="N374" s="16" t="str">
        <f>IFERROR(INDEX(_角色基线!$C$2:$C$100,MATCH($B374,_角色基线!$A$2:$A$100,0)),"")</f>
        <v>DPS</v>
      </c>
      <c r="O374" s="16">
        <f>IFERROR(INDEX(_怪物基线!$B$2:$B$501,MATCH(INT($L374),_怪物基线!$A$2:$A$501,0)),"")</f>
        <v>278051</v>
      </c>
      <c r="P374" s="16">
        <f>IFERROR(INDEX(_怪物基线!$C$2:$C$501,MATCH(INT($L374),_怪物基线!$A$2:$A$501,0)),"")</f>
        <v>28347</v>
      </c>
      <c r="Q374" s="16">
        <f>IFERROR(INDEX(_怪物基线!$D$2:$D$501,MATCH(INT($L374),_怪物基线!$A$2:$A$501,0)),"")</f>
        <v>24913</v>
      </c>
      <c r="R374" s="16">
        <f>参数!$B$10</f>
        <v>4</v>
      </c>
      <c r="S374" s="16">
        <f>参数!$C$10</f>
        <v>1.2</v>
      </c>
      <c r="T374" s="16">
        <f>参数!$D$10</f>
        <v>1</v>
      </c>
      <c r="U374" s="16">
        <f t="shared" si="40"/>
        <v>1112204</v>
      </c>
      <c r="V374" s="16">
        <f t="shared" si="41"/>
        <v>34016.4</v>
      </c>
      <c r="W374" s="16">
        <f t="shared" si="42"/>
        <v>24913</v>
      </c>
      <c r="X374" s="16">
        <f>IFERROR(INDEX(参数!$B$5:$B$7,MATCH($N374,参数!$A$5:$A$7,0)),"")</f>
        <v>1</v>
      </c>
      <c r="Y374" s="16">
        <f>IFERROR(INDEX(参数!$C$5:$C$7,MATCH($N374,参数!$A$5:$A$7,0)),"")</f>
        <v>1.2</v>
      </c>
      <c r="Z374" s="16">
        <f>IFERROR(INDEX(参数!$D$5:$D$7,MATCH($N374,参数!$A$5:$A$7,0)),"")</f>
        <v>1</v>
      </c>
      <c r="AA374" s="16">
        <f>IFERROR(INDEX(楼层配置!$E$5:$E$104,MATCH($K374,楼层配置!$B$5:$B$104,0)),1)</f>
        <v>1.14764130074927</v>
      </c>
      <c r="AB374" s="16">
        <f>IFERROR(INDEX(楼层配置!$F$5:$F$104,MATCH($K374,楼层配置!$B$5:$B$104,0)),1)</f>
        <v>0.706038369536886</v>
      </c>
      <c r="AC374" s="16">
        <f>IFERROR(INDEX(楼层配置!$G$5:$G$104,MATCH($K374,楼层配置!$B$5:$B$104,0)),1)</f>
        <v>1</v>
      </c>
      <c r="AD374" s="18">
        <f t="shared" si="43"/>
        <v>-0.385793099134084</v>
      </c>
      <c r="AE374" s="18">
        <f t="shared" si="44"/>
        <v>-0.231958213410084</v>
      </c>
      <c r="AF374" s="18">
        <f t="shared" si="45"/>
        <v>0.0835508002783576</v>
      </c>
      <c r="AG374" s="16" t="str">
        <f t="shared" si="46"/>
        <v>有效</v>
      </c>
      <c r="AH374">
        <f t="shared" si="47"/>
        <v>2601378.80179167</v>
      </c>
    </row>
    <row r="375" ht="14.25" customHeight="1" spans="1:34">
      <c r="A375" s="16">
        <v>371</v>
      </c>
      <c r="B375" s="16">
        <v>1003</v>
      </c>
      <c r="C375" s="16">
        <v>47</v>
      </c>
      <c r="D375" s="17">
        <f>IFERROR(ROUND($U375*$X375*$AA375*参数!$B$13,0),"")</f>
        <v>1944388</v>
      </c>
      <c r="E375" s="17">
        <f>IFERROR(ROUND($V375*$Y375*$AB375*参数!$C$13,0),"")</f>
        <v>24331</v>
      </c>
      <c r="F375" s="17">
        <f>IFERROR(ROUND($W375*$Z375*$AC375*参数!$D$13,0),"")</f>
        <v>37758</v>
      </c>
      <c r="G375" s="16">
        <v>3227047</v>
      </c>
      <c r="H375" s="16">
        <v>32100</v>
      </c>
      <c r="I375" s="16">
        <v>35101</v>
      </c>
      <c r="J375" s="16">
        <v>75</v>
      </c>
      <c r="K375" s="16">
        <v>75</v>
      </c>
      <c r="L375" s="16">
        <f>IFERROR(INDEX(楼层配置!$D$5:$D$104,MATCH($K375,楼层配置!$B$5:$B$104,0)),"")</f>
        <v>247</v>
      </c>
      <c r="M375" s="16" t="str">
        <f>IFERROR(INDEX(_角色基线!$B$2:$B$100,MATCH($B375,_角色基线!$A$2:$A$100,0)),"")</f>
        <v>塔拉夏</v>
      </c>
      <c r="N375" s="16" t="str">
        <f>IFERROR(INDEX(_角色基线!$C$2:$C$100,MATCH($B375,_角色基线!$A$2:$A$100,0)),"")</f>
        <v>Tank</v>
      </c>
      <c r="O375" s="16">
        <f>IFERROR(INDEX(_怪物基线!$B$2:$B$501,MATCH(INT($L375),_怪物基线!$A$2:$A$501,0)),"")</f>
        <v>284024</v>
      </c>
      <c r="P375" s="16">
        <f>IFERROR(INDEX(_怪物基线!$C$2:$C$501,MATCH(INT($L375),_怪物基线!$A$2:$A$501,0)),"")</f>
        <v>28795</v>
      </c>
      <c r="Q375" s="16">
        <f>IFERROR(INDEX(_怪物基线!$D$2:$D$501,MATCH(INT($L375),_怪物基线!$A$2:$A$501,0)),"")</f>
        <v>25172</v>
      </c>
      <c r="R375" s="16">
        <f>参数!$B$10</f>
        <v>4</v>
      </c>
      <c r="S375" s="16">
        <f>参数!$C$10</f>
        <v>1.2</v>
      </c>
      <c r="T375" s="16">
        <f>参数!$D$10</f>
        <v>1</v>
      </c>
      <c r="U375" s="16">
        <f t="shared" si="40"/>
        <v>1136096</v>
      </c>
      <c r="V375" s="16">
        <f t="shared" si="41"/>
        <v>34554</v>
      </c>
      <c r="W375" s="16">
        <f t="shared" si="42"/>
        <v>25172</v>
      </c>
      <c r="X375" s="16">
        <f>IFERROR(INDEX(参数!$B$5:$B$7,MATCH($N375,参数!$A$5:$A$7,0)),"")</f>
        <v>1.5</v>
      </c>
      <c r="Y375" s="16">
        <f>IFERROR(INDEX(参数!$C$5:$C$7,MATCH($N375,参数!$A$5:$A$7,0)),"")</f>
        <v>1</v>
      </c>
      <c r="Z375" s="16">
        <f>IFERROR(INDEX(参数!$D$5:$D$7,MATCH($N375,参数!$A$5:$A$7,0)),"")</f>
        <v>1.5</v>
      </c>
      <c r="AA375" s="16">
        <f>IFERROR(INDEX(楼层配置!$E$5:$E$104,MATCH($K375,楼层配置!$B$5:$B$104,0)),1)</f>
        <v>1.14097617353198</v>
      </c>
      <c r="AB375" s="16">
        <f>IFERROR(INDEX(楼层配置!$F$5:$F$104,MATCH($K375,楼层配置!$B$5:$B$104,0)),1)</f>
        <v>0.704144894316975</v>
      </c>
      <c r="AC375" s="16">
        <f>IFERROR(INDEX(楼层配置!$G$5:$G$104,MATCH($K375,楼层配置!$B$5:$B$104,0)),1)</f>
        <v>1</v>
      </c>
      <c r="AD375" s="18">
        <f t="shared" si="43"/>
        <v>-0.397471434410469</v>
      </c>
      <c r="AE375" s="18">
        <f t="shared" si="44"/>
        <v>-0.24202492211838</v>
      </c>
      <c r="AF375" s="18">
        <f t="shared" si="45"/>
        <v>0.0756958491211077</v>
      </c>
      <c r="AG375" s="16" t="str">
        <f t="shared" si="46"/>
        <v>有效</v>
      </c>
      <c r="AH375">
        <f t="shared" si="47"/>
        <v>5003396.421</v>
      </c>
    </row>
    <row r="376" ht="14.25" customHeight="1" spans="1:34">
      <c r="A376" s="16">
        <v>372</v>
      </c>
      <c r="B376" s="16">
        <v>1017</v>
      </c>
      <c r="C376" s="16">
        <v>47</v>
      </c>
      <c r="D376" s="17">
        <f>IFERROR(ROUND($U376*$X376*$AA376*参数!$B$13,0),"")</f>
        <v>1296258</v>
      </c>
      <c r="E376" s="17">
        <f>IFERROR(ROUND($V376*$Y376*$AB376*参数!$C$13,0),"")</f>
        <v>29197</v>
      </c>
      <c r="F376" s="17">
        <f>IFERROR(ROUND($W376*$Z376*$AC376*参数!$D$13,0),"")</f>
        <v>25172</v>
      </c>
      <c r="G376" s="16">
        <v>2151364</v>
      </c>
      <c r="H376" s="16">
        <v>38520</v>
      </c>
      <c r="I376" s="16">
        <v>23400</v>
      </c>
      <c r="J376" s="16">
        <v>75</v>
      </c>
      <c r="K376" s="16">
        <v>75</v>
      </c>
      <c r="L376" s="16">
        <f>IFERROR(INDEX(楼层配置!$D$5:$D$104,MATCH($K376,楼层配置!$B$5:$B$104,0)),"")</f>
        <v>247</v>
      </c>
      <c r="M376" s="16" t="str">
        <f>IFERROR(INDEX(_角色基线!$B$2:$B$100,MATCH($B376,_角色基线!$A$2:$A$100,0)),"")</f>
        <v>伊戈尔</v>
      </c>
      <c r="N376" s="16" t="str">
        <f>IFERROR(INDEX(_角色基线!$C$2:$C$100,MATCH($B376,_角色基线!$A$2:$A$100,0)),"")</f>
        <v>DPS</v>
      </c>
      <c r="O376" s="16">
        <f>IFERROR(INDEX(_怪物基线!$B$2:$B$501,MATCH(INT($L376),_怪物基线!$A$2:$A$501,0)),"")</f>
        <v>284024</v>
      </c>
      <c r="P376" s="16">
        <f>IFERROR(INDEX(_怪物基线!$C$2:$C$501,MATCH(INT($L376),_怪物基线!$A$2:$A$501,0)),"")</f>
        <v>28795</v>
      </c>
      <c r="Q376" s="16">
        <f>IFERROR(INDEX(_怪物基线!$D$2:$D$501,MATCH(INT($L376),_怪物基线!$A$2:$A$501,0)),"")</f>
        <v>25172</v>
      </c>
      <c r="R376" s="16">
        <f>参数!$B$10</f>
        <v>4</v>
      </c>
      <c r="S376" s="16">
        <f>参数!$C$10</f>
        <v>1.2</v>
      </c>
      <c r="T376" s="16">
        <f>参数!$D$10</f>
        <v>1</v>
      </c>
      <c r="U376" s="16">
        <f t="shared" si="40"/>
        <v>1136096</v>
      </c>
      <c r="V376" s="16">
        <f t="shared" si="41"/>
        <v>34554</v>
      </c>
      <c r="W376" s="16">
        <f t="shared" si="42"/>
        <v>25172</v>
      </c>
      <c r="X376" s="16">
        <f>IFERROR(INDEX(参数!$B$5:$B$7,MATCH($N376,参数!$A$5:$A$7,0)),"")</f>
        <v>1</v>
      </c>
      <c r="Y376" s="16">
        <f>IFERROR(INDEX(参数!$C$5:$C$7,MATCH($N376,参数!$A$5:$A$7,0)),"")</f>
        <v>1.2</v>
      </c>
      <c r="Z376" s="16">
        <f>IFERROR(INDEX(参数!$D$5:$D$7,MATCH($N376,参数!$A$5:$A$7,0)),"")</f>
        <v>1</v>
      </c>
      <c r="AA376" s="16">
        <f>IFERROR(INDEX(楼层配置!$E$5:$E$104,MATCH($K376,楼层配置!$B$5:$B$104,0)),1)</f>
        <v>1.14097617353198</v>
      </c>
      <c r="AB376" s="16">
        <f>IFERROR(INDEX(楼层配置!$F$5:$F$104,MATCH($K376,楼层配置!$B$5:$B$104,0)),1)</f>
        <v>0.704144894316975</v>
      </c>
      <c r="AC376" s="16">
        <f>IFERROR(INDEX(楼层配置!$G$5:$G$104,MATCH($K376,楼层配置!$B$5:$B$104,0)),1)</f>
        <v>1</v>
      </c>
      <c r="AD376" s="18">
        <f t="shared" si="43"/>
        <v>-0.397471557579285</v>
      </c>
      <c r="AE376" s="18">
        <f t="shared" si="44"/>
        <v>-0.242030114226376</v>
      </c>
      <c r="AF376" s="18">
        <f t="shared" si="45"/>
        <v>0.0757264957264958</v>
      </c>
      <c r="AG376" s="16" t="str">
        <f t="shared" si="46"/>
        <v>有效</v>
      </c>
      <c r="AH376">
        <f t="shared" si="47"/>
        <v>2655816.599</v>
      </c>
    </row>
    <row r="377" ht="14.25" customHeight="1" spans="1:34">
      <c r="A377" s="16">
        <v>373</v>
      </c>
      <c r="B377" s="16">
        <v>1017</v>
      </c>
      <c r="C377" s="16">
        <v>47</v>
      </c>
      <c r="D377" s="17">
        <f>IFERROR(ROUND($U377*$X377*$AA377*参数!$B$13,0),"")</f>
        <v>1296258</v>
      </c>
      <c r="E377" s="17">
        <f>IFERROR(ROUND($V377*$Y377*$AB377*参数!$C$13,0),"")</f>
        <v>29197</v>
      </c>
      <c r="F377" s="17">
        <f>IFERROR(ROUND($W377*$Z377*$AC377*参数!$D$13,0),"")</f>
        <v>25172</v>
      </c>
      <c r="G377" s="16">
        <v>2151364</v>
      </c>
      <c r="H377" s="16">
        <v>38520</v>
      </c>
      <c r="I377" s="16">
        <v>23400</v>
      </c>
      <c r="J377" s="16">
        <v>75</v>
      </c>
      <c r="K377" s="16">
        <v>75</v>
      </c>
      <c r="L377" s="16">
        <f>IFERROR(INDEX(楼层配置!$D$5:$D$104,MATCH($K377,楼层配置!$B$5:$B$104,0)),"")</f>
        <v>247</v>
      </c>
      <c r="M377" s="16" t="str">
        <f>IFERROR(INDEX(_角色基线!$B$2:$B$100,MATCH($B377,_角色基线!$A$2:$A$100,0)),"")</f>
        <v>伊戈尔</v>
      </c>
      <c r="N377" s="16" t="str">
        <f>IFERROR(INDEX(_角色基线!$C$2:$C$100,MATCH($B377,_角色基线!$A$2:$A$100,0)),"")</f>
        <v>DPS</v>
      </c>
      <c r="O377" s="16">
        <f>IFERROR(INDEX(_怪物基线!$B$2:$B$501,MATCH(INT($L377),_怪物基线!$A$2:$A$501,0)),"")</f>
        <v>284024</v>
      </c>
      <c r="P377" s="16">
        <f>IFERROR(INDEX(_怪物基线!$C$2:$C$501,MATCH(INT($L377),_怪物基线!$A$2:$A$501,0)),"")</f>
        <v>28795</v>
      </c>
      <c r="Q377" s="16">
        <f>IFERROR(INDEX(_怪物基线!$D$2:$D$501,MATCH(INT($L377),_怪物基线!$A$2:$A$501,0)),"")</f>
        <v>25172</v>
      </c>
      <c r="R377" s="16">
        <f>参数!$B$10</f>
        <v>4</v>
      </c>
      <c r="S377" s="16">
        <f>参数!$C$10</f>
        <v>1.2</v>
      </c>
      <c r="T377" s="16">
        <f>参数!$D$10</f>
        <v>1</v>
      </c>
      <c r="U377" s="16">
        <f t="shared" si="40"/>
        <v>1136096</v>
      </c>
      <c r="V377" s="16">
        <f t="shared" si="41"/>
        <v>34554</v>
      </c>
      <c r="W377" s="16">
        <f t="shared" si="42"/>
        <v>25172</v>
      </c>
      <c r="X377" s="16">
        <f>IFERROR(INDEX(参数!$B$5:$B$7,MATCH($N377,参数!$A$5:$A$7,0)),"")</f>
        <v>1</v>
      </c>
      <c r="Y377" s="16">
        <f>IFERROR(INDEX(参数!$C$5:$C$7,MATCH($N377,参数!$A$5:$A$7,0)),"")</f>
        <v>1.2</v>
      </c>
      <c r="Z377" s="16">
        <f>IFERROR(INDEX(参数!$D$5:$D$7,MATCH($N377,参数!$A$5:$A$7,0)),"")</f>
        <v>1</v>
      </c>
      <c r="AA377" s="16">
        <f>IFERROR(INDEX(楼层配置!$E$5:$E$104,MATCH($K377,楼层配置!$B$5:$B$104,0)),1)</f>
        <v>1.14097617353198</v>
      </c>
      <c r="AB377" s="16">
        <f>IFERROR(INDEX(楼层配置!$F$5:$F$104,MATCH($K377,楼层配置!$B$5:$B$104,0)),1)</f>
        <v>0.704144894316975</v>
      </c>
      <c r="AC377" s="16">
        <f>IFERROR(INDEX(楼层配置!$G$5:$G$104,MATCH($K377,楼层配置!$B$5:$B$104,0)),1)</f>
        <v>1</v>
      </c>
      <c r="AD377" s="18">
        <f t="shared" si="43"/>
        <v>-0.397471557579285</v>
      </c>
      <c r="AE377" s="18">
        <f t="shared" si="44"/>
        <v>-0.242030114226376</v>
      </c>
      <c r="AF377" s="18">
        <f t="shared" si="45"/>
        <v>0.0757264957264958</v>
      </c>
      <c r="AG377" s="16" t="str">
        <f t="shared" si="46"/>
        <v>有效</v>
      </c>
      <c r="AH377">
        <f t="shared" si="47"/>
        <v>2655816.599</v>
      </c>
    </row>
    <row r="378" ht="14.25" customHeight="1" spans="1:34">
      <c r="A378" s="16">
        <v>374</v>
      </c>
      <c r="B378" s="16">
        <v>1007</v>
      </c>
      <c r="C378" s="16">
        <v>47</v>
      </c>
      <c r="D378" s="17">
        <f>IFERROR(ROUND($U378*$X378*$AA378*参数!$B$13,0),"")</f>
        <v>1620323</v>
      </c>
      <c r="E378" s="17">
        <f>IFERROR(ROUND($V378*$Y378*$AB378*参数!$C$13,0),"")</f>
        <v>24331</v>
      </c>
      <c r="F378" s="17">
        <f>IFERROR(ROUND($W378*$Z378*$AC378*参数!$D$13,0),"")</f>
        <v>31465</v>
      </c>
      <c r="G378" s="16">
        <v>2689206</v>
      </c>
      <c r="H378" s="16">
        <v>32100</v>
      </c>
      <c r="I378" s="16">
        <v>29251</v>
      </c>
      <c r="J378" s="16">
        <v>75</v>
      </c>
      <c r="K378" s="16">
        <v>75</v>
      </c>
      <c r="L378" s="16">
        <f>IFERROR(INDEX(楼层配置!$D$5:$D$104,MATCH($K378,楼层配置!$B$5:$B$104,0)),"")</f>
        <v>247</v>
      </c>
      <c r="M378" s="16" t="str">
        <f>IFERROR(INDEX(_角色基线!$B$2:$B$100,MATCH($B378,_角色基线!$A$2:$A$100,0)),"")</f>
        <v>萨萨莉安</v>
      </c>
      <c r="N378" s="16" t="str">
        <f>IFERROR(INDEX(_角色基线!$C$2:$C$100,MATCH($B378,_角色基线!$A$2:$A$100,0)),"")</f>
        <v>Support</v>
      </c>
      <c r="O378" s="16">
        <f>IFERROR(INDEX(_怪物基线!$B$2:$B$501,MATCH(INT($L378),_怪物基线!$A$2:$A$501,0)),"")</f>
        <v>284024</v>
      </c>
      <c r="P378" s="16">
        <f>IFERROR(INDEX(_怪物基线!$C$2:$C$501,MATCH(INT($L378),_怪物基线!$A$2:$A$501,0)),"")</f>
        <v>28795</v>
      </c>
      <c r="Q378" s="16">
        <f>IFERROR(INDEX(_怪物基线!$D$2:$D$501,MATCH(INT($L378),_怪物基线!$A$2:$A$501,0)),"")</f>
        <v>25172</v>
      </c>
      <c r="R378" s="16">
        <f>参数!$B$10</f>
        <v>4</v>
      </c>
      <c r="S378" s="16">
        <f>参数!$C$10</f>
        <v>1.2</v>
      </c>
      <c r="T378" s="16">
        <f>参数!$D$10</f>
        <v>1</v>
      </c>
      <c r="U378" s="16">
        <f t="shared" si="40"/>
        <v>1136096</v>
      </c>
      <c r="V378" s="16">
        <f t="shared" si="41"/>
        <v>34554</v>
      </c>
      <c r="W378" s="16">
        <f t="shared" si="42"/>
        <v>25172</v>
      </c>
      <c r="X378" s="16">
        <f>IFERROR(INDEX(参数!$B$5:$B$7,MATCH($N378,参数!$A$5:$A$7,0)),"")</f>
        <v>1.25</v>
      </c>
      <c r="Y378" s="16">
        <f>IFERROR(INDEX(参数!$C$5:$C$7,MATCH($N378,参数!$A$5:$A$7,0)),"")</f>
        <v>1</v>
      </c>
      <c r="Z378" s="16">
        <f>IFERROR(INDEX(参数!$D$5:$D$7,MATCH($N378,参数!$A$5:$A$7,0)),"")</f>
        <v>1.25</v>
      </c>
      <c r="AA378" s="16">
        <f>IFERROR(INDEX(楼层配置!$E$5:$E$104,MATCH($K378,楼层配置!$B$5:$B$104,0)),1)</f>
        <v>1.14097617353198</v>
      </c>
      <c r="AB378" s="16">
        <f>IFERROR(INDEX(楼层配置!$F$5:$F$104,MATCH($K378,楼层配置!$B$5:$B$104,0)),1)</f>
        <v>0.704144894316975</v>
      </c>
      <c r="AC378" s="16">
        <f>IFERROR(INDEX(楼层配置!$G$5:$G$104,MATCH($K378,楼层配置!$B$5:$B$104,0)),1)</f>
        <v>1</v>
      </c>
      <c r="AD378" s="18">
        <f t="shared" si="43"/>
        <v>-0.397471595705201</v>
      </c>
      <c r="AE378" s="18">
        <f t="shared" si="44"/>
        <v>-0.24202492211838</v>
      </c>
      <c r="AF378" s="18">
        <f t="shared" si="45"/>
        <v>0.0756897200095723</v>
      </c>
      <c r="AG378" s="16" t="str">
        <f t="shared" si="46"/>
        <v>有效</v>
      </c>
      <c r="AH378">
        <f t="shared" si="47"/>
        <v>3744633.96645833</v>
      </c>
    </row>
    <row r="379" ht="14.25" customHeight="1" spans="1:34">
      <c r="A379" s="16">
        <v>375</v>
      </c>
      <c r="B379" s="16">
        <v>1015</v>
      </c>
      <c r="C379" s="16">
        <v>47</v>
      </c>
      <c r="D379" s="17">
        <f>IFERROR(ROUND($U379*$X379*$AA379*参数!$B$13,0),"")</f>
        <v>1620323</v>
      </c>
      <c r="E379" s="17">
        <f>IFERROR(ROUND($V379*$Y379*$AB379*参数!$C$13,0),"")</f>
        <v>24331</v>
      </c>
      <c r="F379" s="17">
        <f>IFERROR(ROUND($W379*$Z379*$AC379*参数!$D$13,0),"")</f>
        <v>31465</v>
      </c>
      <c r="G379" s="16">
        <v>2689206</v>
      </c>
      <c r="H379" s="16">
        <v>32100</v>
      </c>
      <c r="I379" s="16">
        <v>29251</v>
      </c>
      <c r="J379" s="16">
        <v>75</v>
      </c>
      <c r="K379" s="16">
        <v>75</v>
      </c>
      <c r="L379" s="16">
        <f>IFERROR(INDEX(楼层配置!$D$5:$D$104,MATCH($K379,楼层配置!$B$5:$B$104,0)),"")</f>
        <v>247</v>
      </c>
      <c r="M379" s="16" t="str">
        <f>IFERROR(INDEX(_角色基线!$B$2:$B$100,MATCH($B379,_角色基线!$A$2:$A$100,0)),"")</f>
        <v>阿莱克西娅</v>
      </c>
      <c r="N379" s="16" t="str">
        <f>IFERROR(INDEX(_角色基线!$C$2:$C$100,MATCH($B379,_角色基线!$A$2:$A$100,0)),"")</f>
        <v>Support</v>
      </c>
      <c r="O379" s="16">
        <f>IFERROR(INDEX(_怪物基线!$B$2:$B$501,MATCH(INT($L379),_怪物基线!$A$2:$A$501,0)),"")</f>
        <v>284024</v>
      </c>
      <c r="P379" s="16">
        <f>IFERROR(INDEX(_怪物基线!$C$2:$C$501,MATCH(INT($L379),_怪物基线!$A$2:$A$501,0)),"")</f>
        <v>28795</v>
      </c>
      <c r="Q379" s="16">
        <f>IFERROR(INDEX(_怪物基线!$D$2:$D$501,MATCH(INT($L379),_怪物基线!$A$2:$A$501,0)),"")</f>
        <v>25172</v>
      </c>
      <c r="R379" s="16">
        <f>参数!$B$10</f>
        <v>4</v>
      </c>
      <c r="S379" s="16">
        <f>参数!$C$10</f>
        <v>1.2</v>
      </c>
      <c r="T379" s="16">
        <f>参数!$D$10</f>
        <v>1</v>
      </c>
      <c r="U379" s="16">
        <f t="shared" si="40"/>
        <v>1136096</v>
      </c>
      <c r="V379" s="16">
        <f t="shared" si="41"/>
        <v>34554</v>
      </c>
      <c r="W379" s="16">
        <f t="shared" si="42"/>
        <v>25172</v>
      </c>
      <c r="X379" s="16">
        <f>IFERROR(INDEX(参数!$B$5:$B$7,MATCH($N379,参数!$A$5:$A$7,0)),"")</f>
        <v>1.25</v>
      </c>
      <c r="Y379" s="16">
        <f>IFERROR(INDEX(参数!$C$5:$C$7,MATCH($N379,参数!$A$5:$A$7,0)),"")</f>
        <v>1</v>
      </c>
      <c r="Z379" s="16">
        <f>IFERROR(INDEX(参数!$D$5:$D$7,MATCH($N379,参数!$A$5:$A$7,0)),"")</f>
        <v>1.25</v>
      </c>
      <c r="AA379" s="16">
        <f>IFERROR(INDEX(楼层配置!$E$5:$E$104,MATCH($K379,楼层配置!$B$5:$B$104,0)),1)</f>
        <v>1.14097617353198</v>
      </c>
      <c r="AB379" s="16">
        <f>IFERROR(INDEX(楼层配置!$F$5:$F$104,MATCH($K379,楼层配置!$B$5:$B$104,0)),1)</f>
        <v>0.704144894316975</v>
      </c>
      <c r="AC379" s="16">
        <f>IFERROR(INDEX(楼层配置!$G$5:$G$104,MATCH($K379,楼层配置!$B$5:$B$104,0)),1)</f>
        <v>1</v>
      </c>
      <c r="AD379" s="18">
        <f t="shared" si="43"/>
        <v>-0.397471595705201</v>
      </c>
      <c r="AE379" s="18">
        <f t="shared" si="44"/>
        <v>-0.24202492211838</v>
      </c>
      <c r="AF379" s="18">
        <f t="shared" si="45"/>
        <v>0.0756897200095723</v>
      </c>
      <c r="AG379" s="16" t="str">
        <f t="shared" si="46"/>
        <v>有效</v>
      </c>
      <c r="AH379">
        <f t="shared" si="47"/>
        <v>3744633.96645833</v>
      </c>
    </row>
    <row r="380" ht="14.25" customHeight="1" spans="1:34">
      <c r="A380" s="16">
        <v>376</v>
      </c>
      <c r="B380" s="16">
        <v>1003</v>
      </c>
      <c r="C380" s="16">
        <v>48</v>
      </c>
      <c r="D380" s="17">
        <f>IFERROR(ROUND($U380*$X380*$AA380*参数!$B$13,0),"")</f>
        <v>1982263</v>
      </c>
      <c r="E380" s="17">
        <f>IFERROR(ROUND($V380*$Y380*$AB380*参数!$C$13,0),"")</f>
        <v>24707</v>
      </c>
      <c r="F380" s="17">
        <f>IFERROR(ROUND($W380*$Z380*$AC380*参数!$D$13,0),"")</f>
        <v>37953</v>
      </c>
      <c r="G380" s="16">
        <v>3368325</v>
      </c>
      <c r="H380" s="16">
        <v>33164</v>
      </c>
      <c r="I380" s="16">
        <v>35874</v>
      </c>
      <c r="J380" s="16">
        <v>76</v>
      </c>
      <c r="K380" s="16">
        <v>76</v>
      </c>
      <c r="L380" s="16">
        <f>IFERROR(INDEX(楼层配置!$D$5:$D$104,MATCH($K380,楼层配置!$B$5:$B$104,0)),"")</f>
        <v>248</v>
      </c>
      <c r="M380" s="16" t="str">
        <f>IFERROR(INDEX(_角色基线!$B$2:$B$100,MATCH($B380,_角色基线!$A$2:$A$100,0)),"")</f>
        <v>塔拉夏</v>
      </c>
      <c r="N380" s="16" t="str">
        <f>IFERROR(INDEX(_角色基线!$C$2:$C$100,MATCH($B380,_角色基线!$A$2:$A$100,0)),"")</f>
        <v>Tank</v>
      </c>
      <c r="O380" s="16">
        <f>IFERROR(INDEX(_怪物基线!$B$2:$B$501,MATCH(INT($L380),_怪物基线!$A$2:$A$501,0)),"")</f>
        <v>287046</v>
      </c>
      <c r="P380" s="16">
        <f>IFERROR(INDEX(_怪物基线!$C$2:$C$501,MATCH(INT($L380),_怪物基线!$A$2:$A$501,0)),"")</f>
        <v>29021</v>
      </c>
      <c r="Q380" s="16">
        <f>IFERROR(INDEX(_怪物基线!$D$2:$D$501,MATCH(INT($L380),_怪物基线!$A$2:$A$501,0)),"")</f>
        <v>25302</v>
      </c>
      <c r="R380" s="16">
        <f>参数!$B$10</f>
        <v>4</v>
      </c>
      <c r="S380" s="16">
        <f>参数!$C$10</f>
        <v>1.2</v>
      </c>
      <c r="T380" s="16">
        <f>参数!$D$10</f>
        <v>1</v>
      </c>
      <c r="U380" s="16">
        <f t="shared" si="40"/>
        <v>1148184</v>
      </c>
      <c r="V380" s="16">
        <f t="shared" si="41"/>
        <v>34825.2</v>
      </c>
      <c r="W380" s="16">
        <f t="shared" si="42"/>
        <v>25302</v>
      </c>
      <c r="X380" s="16">
        <f>IFERROR(INDEX(参数!$B$5:$B$7,MATCH($N380,参数!$A$5:$A$7,0)),"")</f>
        <v>1.5</v>
      </c>
      <c r="Y380" s="16">
        <f>IFERROR(INDEX(参数!$C$5:$C$7,MATCH($N380,参数!$A$5:$A$7,0)),"")</f>
        <v>1</v>
      </c>
      <c r="Z380" s="16">
        <f>IFERROR(INDEX(参数!$D$5:$D$7,MATCH($N380,参数!$A$5:$A$7,0)),"")</f>
        <v>1.5</v>
      </c>
      <c r="AA380" s="16">
        <f>IFERROR(INDEX(楼层配置!$E$5:$E$104,MATCH($K380,楼层配置!$B$5:$B$104,0)),1)</f>
        <v>1.15095555929854</v>
      </c>
      <c r="AB380" s="16">
        <f>IFERROR(INDEX(楼层配置!$F$5:$F$104,MATCH($K380,楼层配置!$B$5:$B$104,0)),1)</f>
        <v>0.709458960168145</v>
      </c>
      <c r="AC380" s="16">
        <f>IFERROR(INDEX(楼层配置!$G$5:$G$104,MATCH($K380,楼层配置!$B$5:$B$104,0)),1)</f>
        <v>1</v>
      </c>
      <c r="AD380" s="18">
        <f t="shared" si="43"/>
        <v>-0.411498890398047</v>
      </c>
      <c r="AE380" s="18">
        <f t="shared" si="44"/>
        <v>-0.255005427572066</v>
      </c>
      <c r="AF380" s="18">
        <f t="shared" si="45"/>
        <v>0.0579528349222278</v>
      </c>
      <c r="AG380" s="16" t="str">
        <f t="shared" si="46"/>
        <v>有效</v>
      </c>
      <c r="AH380">
        <f t="shared" si="47"/>
        <v>5116964.151625</v>
      </c>
    </row>
    <row r="381" ht="14.25" customHeight="1" spans="1:34">
      <c r="A381" s="16">
        <v>377</v>
      </c>
      <c r="B381" s="16">
        <v>1007</v>
      </c>
      <c r="C381" s="16">
        <v>48</v>
      </c>
      <c r="D381" s="17">
        <f>IFERROR(ROUND($U381*$X381*$AA381*参数!$B$13,0),"")</f>
        <v>1651886</v>
      </c>
      <c r="E381" s="17">
        <f>IFERROR(ROUND($V381*$Y381*$AB381*参数!$C$13,0),"")</f>
        <v>24707</v>
      </c>
      <c r="F381" s="17">
        <f>IFERROR(ROUND($W381*$Z381*$AC381*参数!$D$13,0),"")</f>
        <v>31628</v>
      </c>
      <c r="G381" s="16">
        <v>2806938</v>
      </c>
      <c r="H381" s="16">
        <v>33164</v>
      </c>
      <c r="I381" s="16">
        <v>29895</v>
      </c>
      <c r="J381" s="16">
        <v>76</v>
      </c>
      <c r="K381" s="16">
        <v>76</v>
      </c>
      <c r="L381" s="16">
        <f>IFERROR(INDEX(楼层配置!$D$5:$D$104,MATCH($K381,楼层配置!$B$5:$B$104,0)),"")</f>
        <v>248</v>
      </c>
      <c r="M381" s="16" t="str">
        <f>IFERROR(INDEX(_角色基线!$B$2:$B$100,MATCH($B381,_角色基线!$A$2:$A$100,0)),"")</f>
        <v>萨萨莉安</v>
      </c>
      <c r="N381" s="16" t="str">
        <f>IFERROR(INDEX(_角色基线!$C$2:$C$100,MATCH($B381,_角色基线!$A$2:$A$100,0)),"")</f>
        <v>Support</v>
      </c>
      <c r="O381" s="16">
        <f>IFERROR(INDEX(_怪物基线!$B$2:$B$501,MATCH(INT($L381),_怪物基线!$A$2:$A$501,0)),"")</f>
        <v>287046</v>
      </c>
      <c r="P381" s="16">
        <f>IFERROR(INDEX(_怪物基线!$C$2:$C$501,MATCH(INT($L381),_怪物基线!$A$2:$A$501,0)),"")</f>
        <v>29021</v>
      </c>
      <c r="Q381" s="16">
        <f>IFERROR(INDEX(_怪物基线!$D$2:$D$501,MATCH(INT($L381),_怪物基线!$A$2:$A$501,0)),"")</f>
        <v>25302</v>
      </c>
      <c r="R381" s="16">
        <f>参数!$B$10</f>
        <v>4</v>
      </c>
      <c r="S381" s="16">
        <f>参数!$C$10</f>
        <v>1.2</v>
      </c>
      <c r="T381" s="16">
        <f>参数!$D$10</f>
        <v>1</v>
      </c>
      <c r="U381" s="16">
        <f t="shared" si="40"/>
        <v>1148184</v>
      </c>
      <c r="V381" s="16">
        <f t="shared" si="41"/>
        <v>34825.2</v>
      </c>
      <c r="W381" s="16">
        <f t="shared" si="42"/>
        <v>25302</v>
      </c>
      <c r="X381" s="16">
        <f>IFERROR(INDEX(参数!$B$5:$B$7,MATCH($N381,参数!$A$5:$A$7,0)),"")</f>
        <v>1.25</v>
      </c>
      <c r="Y381" s="16">
        <f>IFERROR(INDEX(参数!$C$5:$C$7,MATCH($N381,参数!$A$5:$A$7,0)),"")</f>
        <v>1</v>
      </c>
      <c r="Z381" s="16">
        <f>IFERROR(INDEX(参数!$D$5:$D$7,MATCH($N381,参数!$A$5:$A$7,0)),"")</f>
        <v>1.25</v>
      </c>
      <c r="AA381" s="16">
        <f>IFERROR(INDEX(楼层配置!$E$5:$E$104,MATCH($K381,楼层配置!$B$5:$B$104,0)),1)</f>
        <v>1.15095555929854</v>
      </c>
      <c r="AB381" s="16">
        <f>IFERROR(INDEX(楼层配置!$F$5:$F$104,MATCH($K381,楼层配置!$B$5:$B$104,0)),1)</f>
        <v>0.709458960168145</v>
      </c>
      <c r="AC381" s="16">
        <f>IFERROR(INDEX(楼层配置!$G$5:$G$104,MATCH($K381,楼层配置!$B$5:$B$104,0)),1)</f>
        <v>1</v>
      </c>
      <c r="AD381" s="18">
        <f t="shared" si="43"/>
        <v>-0.411498935851095</v>
      </c>
      <c r="AE381" s="18">
        <f t="shared" si="44"/>
        <v>-0.255005427572066</v>
      </c>
      <c r="AF381" s="18">
        <f t="shared" si="45"/>
        <v>0.0579695601271115</v>
      </c>
      <c r="AG381" s="16" t="str">
        <f t="shared" si="46"/>
        <v>有效</v>
      </c>
      <c r="AH381">
        <f t="shared" si="47"/>
        <v>3828796.43366667</v>
      </c>
    </row>
    <row r="382" ht="14.25" customHeight="1" spans="1:34">
      <c r="A382" s="16">
        <v>378</v>
      </c>
      <c r="B382" s="16">
        <v>1006</v>
      </c>
      <c r="C382" s="16">
        <v>48</v>
      </c>
      <c r="D382" s="17">
        <f>IFERROR(ROUND($U382*$X382*$AA382*参数!$B$13,0),"")</f>
        <v>1321509</v>
      </c>
      <c r="E382" s="17">
        <f>IFERROR(ROUND($V382*$Y382*$AB382*参数!$C$13,0),"")</f>
        <v>29648</v>
      </c>
      <c r="F382" s="17">
        <f>IFERROR(ROUND($W382*$Z382*$AC382*参数!$D$13,0),"")</f>
        <v>25302</v>
      </c>
      <c r="G382" s="16">
        <v>2245550</v>
      </c>
      <c r="H382" s="16">
        <v>39796</v>
      </c>
      <c r="I382" s="16">
        <v>23916</v>
      </c>
      <c r="J382" s="16">
        <v>76</v>
      </c>
      <c r="K382" s="16">
        <v>76</v>
      </c>
      <c r="L382" s="16">
        <f>IFERROR(INDEX(楼层配置!$D$5:$D$104,MATCH($K382,楼层配置!$B$5:$B$104,0)),"")</f>
        <v>248</v>
      </c>
      <c r="M382" s="16" t="str">
        <f>IFERROR(INDEX(_角色基线!$B$2:$B$100,MATCH($B382,_角色基线!$A$2:$A$100,0)),"")</f>
        <v>莉莉娅</v>
      </c>
      <c r="N382" s="16" t="str">
        <f>IFERROR(INDEX(_角色基线!$C$2:$C$100,MATCH($B382,_角色基线!$A$2:$A$100,0)),"")</f>
        <v>DPS</v>
      </c>
      <c r="O382" s="16">
        <f>IFERROR(INDEX(_怪物基线!$B$2:$B$501,MATCH(INT($L382),_怪物基线!$A$2:$A$501,0)),"")</f>
        <v>287046</v>
      </c>
      <c r="P382" s="16">
        <f>IFERROR(INDEX(_怪物基线!$C$2:$C$501,MATCH(INT($L382),_怪物基线!$A$2:$A$501,0)),"")</f>
        <v>29021</v>
      </c>
      <c r="Q382" s="16">
        <f>IFERROR(INDEX(_怪物基线!$D$2:$D$501,MATCH(INT($L382),_怪物基线!$A$2:$A$501,0)),"")</f>
        <v>25302</v>
      </c>
      <c r="R382" s="16">
        <f>参数!$B$10</f>
        <v>4</v>
      </c>
      <c r="S382" s="16">
        <f>参数!$C$10</f>
        <v>1.2</v>
      </c>
      <c r="T382" s="16">
        <f>参数!$D$10</f>
        <v>1</v>
      </c>
      <c r="U382" s="16">
        <f t="shared" si="40"/>
        <v>1148184</v>
      </c>
      <c r="V382" s="16">
        <f t="shared" si="41"/>
        <v>34825.2</v>
      </c>
      <c r="W382" s="16">
        <f t="shared" si="42"/>
        <v>25302</v>
      </c>
      <c r="X382" s="16">
        <f>IFERROR(INDEX(参数!$B$5:$B$7,MATCH($N382,参数!$A$5:$A$7,0)),"")</f>
        <v>1</v>
      </c>
      <c r="Y382" s="16">
        <f>IFERROR(INDEX(参数!$C$5:$C$7,MATCH($N382,参数!$A$5:$A$7,0)),"")</f>
        <v>1.2</v>
      </c>
      <c r="Z382" s="16">
        <f>IFERROR(INDEX(参数!$D$5:$D$7,MATCH($N382,参数!$A$5:$A$7,0)),"")</f>
        <v>1</v>
      </c>
      <c r="AA382" s="16">
        <f>IFERROR(INDEX(楼层配置!$E$5:$E$104,MATCH($K382,楼层配置!$B$5:$B$104,0)),1)</f>
        <v>1.15095555929854</v>
      </c>
      <c r="AB382" s="16">
        <f>IFERROR(INDEX(楼层配置!$F$5:$F$104,MATCH($K382,楼层配置!$B$5:$B$104,0)),1)</f>
        <v>0.709458960168145</v>
      </c>
      <c r="AC382" s="16">
        <f>IFERROR(INDEX(楼层配置!$G$5:$G$104,MATCH($K382,楼层配置!$B$5:$B$104,0)),1)</f>
        <v>1</v>
      </c>
      <c r="AD382" s="18">
        <f t="shared" si="43"/>
        <v>-0.411498741956314</v>
      </c>
      <c r="AE382" s="18">
        <f t="shared" si="44"/>
        <v>-0.255000502563072</v>
      </c>
      <c r="AF382" s="18">
        <f t="shared" si="45"/>
        <v>0.0579528349222278</v>
      </c>
      <c r="AG382" s="16" t="str">
        <f t="shared" si="46"/>
        <v>有效</v>
      </c>
      <c r="AH382">
        <f t="shared" si="47"/>
        <v>2714709.86325</v>
      </c>
    </row>
    <row r="383" ht="14.25" customHeight="1" spans="1:34">
      <c r="A383" s="16">
        <v>379</v>
      </c>
      <c r="B383" s="16">
        <v>1008</v>
      </c>
      <c r="C383" s="16">
        <v>48</v>
      </c>
      <c r="D383" s="17">
        <f>IFERROR(ROUND($U383*$X383*$AA383*参数!$B$13,0),"")</f>
        <v>1321509</v>
      </c>
      <c r="E383" s="17">
        <f>IFERROR(ROUND($V383*$Y383*$AB383*参数!$C$13,0),"")</f>
        <v>29648</v>
      </c>
      <c r="F383" s="17">
        <f>IFERROR(ROUND($W383*$Z383*$AC383*参数!$D$13,0),"")</f>
        <v>25302</v>
      </c>
      <c r="G383" s="16">
        <v>2245550</v>
      </c>
      <c r="H383" s="16">
        <v>39796</v>
      </c>
      <c r="I383" s="16">
        <v>23916</v>
      </c>
      <c r="J383" s="16">
        <v>76</v>
      </c>
      <c r="K383" s="16">
        <v>76</v>
      </c>
      <c r="L383" s="16">
        <f>IFERROR(INDEX(楼层配置!$D$5:$D$104,MATCH($K383,楼层配置!$B$5:$B$104,0)),"")</f>
        <v>248</v>
      </c>
      <c r="M383" s="16" t="str">
        <f>IFERROR(INDEX(_角色基线!$B$2:$B$100,MATCH($B383,_角色基线!$A$2:$A$100,0)),"")</f>
        <v>薇</v>
      </c>
      <c r="N383" s="16" t="str">
        <f>IFERROR(INDEX(_角色基线!$C$2:$C$100,MATCH($B383,_角色基线!$A$2:$A$100,0)),"")</f>
        <v>DPS</v>
      </c>
      <c r="O383" s="16">
        <f>IFERROR(INDEX(_怪物基线!$B$2:$B$501,MATCH(INT($L383),_怪物基线!$A$2:$A$501,0)),"")</f>
        <v>287046</v>
      </c>
      <c r="P383" s="16">
        <f>IFERROR(INDEX(_怪物基线!$C$2:$C$501,MATCH(INT($L383),_怪物基线!$A$2:$A$501,0)),"")</f>
        <v>29021</v>
      </c>
      <c r="Q383" s="16">
        <f>IFERROR(INDEX(_怪物基线!$D$2:$D$501,MATCH(INT($L383),_怪物基线!$A$2:$A$501,0)),"")</f>
        <v>25302</v>
      </c>
      <c r="R383" s="16">
        <f>参数!$B$10</f>
        <v>4</v>
      </c>
      <c r="S383" s="16">
        <f>参数!$C$10</f>
        <v>1.2</v>
      </c>
      <c r="T383" s="16">
        <f>参数!$D$10</f>
        <v>1</v>
      </c>
      <c r="U383" s="16">
        <f t="shared" si="40"/>
        <v>1148184</v>
      </c>
      <c r="V383" s="16">
        <f t="shared" si="41"/>
        <v>34825.2</v>
      </c>
      <c r="W383" s="16">
        <f t="shared" si="42"/>
        <v>25302</v>
      </c>
      <c r="X383" s="16">
        <f>IFERROR(INDEX(参数!$B$5:$B$7,MATCH($N383,参数!$A$5:$A$7,0)),"")</f>
        <v>1</v>
      </c>
      <c r="Y383" s="16">
        <f>IFERROR(INDEX(参数!$C$5:$C$7,MATCH($N383,参数!$A$5:$A$7,0)),"")</f>
        <v>1.2</v>
      </c>
      <c r="Z383" s="16">
        <f>IFERROR(INDEX(参数!$D$5:$D$7,MATCH($N383,参数!$A$5:$A$7,0)),"")</f>
        <v>1</v>
      </c>
      <c r="AA383" s="16">
        <f>IFERROR(INDEX(楼层配置!$E$5:$E$104,MATCH($K383,楼层配置!$B$5:$B$104,0)),1)</f>
        <v>1.15095555929854</v>
      </c>
      <c r="AB383" s="16">
        <f>IFERROR(INDEX(楼层配置!$F$5:$F$104,MATCH($K383,楼层配置!$B$5:$B$104,0)),1)</f>
        <v>0.709458960168145</v>
      </c>
      <c r="AC383" s="16">
        <f>IFERROR(INDEX(楼层配置!$G$5:$G$104,MATCH($K383,楼层配置!$B$5:$B$104,0)),1)</f>
        <v>1</v>
      </c>
      <c r="AD383" s="18">
        <f t="shared" si="43"/>
        <v>-0.411498741956314</v>
      </c>
      <c r="AE383" s="18">
        <f t="shared" si="44"/>
        <v>-0.255000502563072</v>
      </c>
      <c r="AF383" s="18">
        <f t="shared" si="45"/>
        <v>0.0579528349222278</v>
      </c>
      <c r="AG383" s="16" t="str">
        <f t="shared" si="46"/>
        <v>有效</v>
      </c>
      <c r="AH383">
        <f t="shared" si="47"/>
        <v>2714709.86325</v>
      </c>
    </row>
    <row r="384" ht="14.25" customHeight="1" spans="1:34">
      <c r="A384" s="16">
        <v>380</v>
      </c>
      <c r="B384" s="16">
        <v>1017</v>
      </c>
      <c r="C384" s="16">
        <v>48</v>
      </c>
      <c r="D384" s="17">
        <f>IFERROR(ROUND($U384*$X384*$AA384*参数!$B$13,0),"")</f>
        <v>1321509</v>
      </c>
      <c r="E384" s="17">
        <f>IFERROR(ROUND($V384*$Y384*$AB384*参数!$C$13,0),"")</f>
        <v>29648</v>
      </c>
      <c r="F384" s="17">
        <f>IFERROR(ROUND($W384*$Z384*$AC384*参数!$D$13,0),"")</f>
        <v>25302</v>
      </c>
      <c r="G384" s="16">
        <v>2245550</v>
      </c>
      <c r="H384" s="16">
        <v>39796</v>
      </c>
      <c r="I384" s="16">
        <v>23916</v>
      </c>
      <c r="J384" s="16">
        <v>76</v>
      </c>
      <c r="K384" s="16">
        <v>76</v>
      </c>
      <c r="L384" s="16">
        <f>IFERROR(INDEX(楼层配置!$D$5:$D$104,MATCH($K384,楼层配置!$B$5:$B$104,0)),"")</f>
        <v>248</v>
      </c>
      <c r="M384" s="16" t="str">
        <f>IFERROR(INDEX(_角色基线!$B$2:$B$100,MATCH($B384,_角色基线!$A$2:$A$100,0)),"")</f>
        <v>伊戈尔</v>
      </c>
      <c r="N384" s="16" t="str">
        <f>IFERROR(INDEX(_角色基线!$C$2:$C$100,MATCH($B384,_角色基线!$A$2:$A$100,0)),"")</f>
        <v>DPS</v>
      </c>
      <c r="O384" s="16">
        <f>IFERROR(INDEX(_怪物基线!$B$2:$B$501,MATCH(INT($L384),_怪物基线!$A$2:$A$501,0)),"")</f>
        <v>287046</v>
      </c>
      <c r="P384" s="16">
        <f>IFERROR(INDEX(_怪物基线!$C$2:$C$501,MATCH(INT($L384),_怪物基线!$A$2:$A$501,0)),"")</f>
        <v>29021</v>
      </c>
      <c r="Q384" s="16">
        <f>IFERROR(INDEX(_怪物基线!$D$2:$D$501,MATCH(INT($L384),_怪物基线!$A$2:$A$501,0)),"")</f>
        <v>25302</v>
      </c>
      <c r="R384" s="16">
        <f>参数!$B$10</f>
        <v>4</v>
      </c>
      <c r="S384" s="16">
        <f>参数!$C$10</f>
        <v>1.2</v>
      </c>
      <c r="T384" s="16">
        <f>参数!$D$10</f>
        <v>1</v>
      </c>
      <c r="U384" s="16">
        <f t="shared" si="40"/>
        <v>1148184</v>
      </c>
      <c r="V384" s="16">
        <f t="shared" si="41"/>
        <v>34825.2</v>
      </c>
      <c r="W384" s="16">
        <f t="shared" si="42"/>
        <v>25302</v>
      </c>
      <c r="X384" s="16">
        <f>IFERROR(INDEX(参数!$B$5:$B$7,MATCH($N384,参数!$A$5:$A$7,0)),"")</f>
        <v>1</v>
      </c>
      <c r="Y384" s="16">
        <f>IFERROR(INDEX(参数!$C$5:$C$7,MATCH($N384,参数!$A$5:$A$7,0)),"")</f>
        <v>1.2</v>
      </c>
      <c r="Z384" s="16">
        <f>IFERROR(INDEX(参数!$D$5:$D$7,MATCH($N384,参数!$A$5:$A$7,0)),"")</f>
        <v>1</v>
      </c>
      <c r="AA384" s="16">
        <f>IFERROR(INDEX(楼层配置!$E$5:$E$104,MATCH($K384,楼层配置!$B$5:$B$104,0)),1)</f>
        <v>1.15095555929854</v>
      </c>
      <c r="AB384" s="16">
        <f>IFERROR(INDEX(楼层配置!$F$5:$F$104,MATCH($K384,楼层配置!$B$5:$B$104,0)),1)</f>
        <v>0.709458960168145</v>
      </c>
      <c r="AC384" s="16">
        <f>IFERROR(INDEX(楼层配置!$G$5:$G$104,MATCH($K384,楼层配置!$B$5:$B$104,0)),1)</f>
        <v>1</v>
      </c>
      <c r="AD384" s="18">
        <f t="shared" si="43"/>
        <v>-0.411498741956314</v>
      </c>
      <c r="AE384" s="18">
        <f t="shared" si="44"/>
        <v>-0.255000502563072</v>
      </c>
      <c r="AF384" s="18">
        <f t="shared" si="45"/>
        <v>0.0579528349222278</v>
      </c>
      <c r="AG384" s="16" t="str">
        <f t="shared" si="46"/>
        <v>有效</v>
      </c>
      <c r="AH384">
        <f t="shared" si="47"/>
        <v>2714709.86325</v>
      </c>
    </row>
    <row r="385" ht="14.25" customHeight="1" spans="1:34">
      <c r="A385" s="16">
        <v>381</v>
      </c>
      <c r="B385" s="16">
        <v>1004</v>
      </c>
      <c r="C385" s="16">
        <v>48</v>
      </c>
      <c r="D385" s="17">
        <f>IFERROR(ROUND($U385*$X385*$AA385*参数!$B$13,0),"")</f>
        <v>2015757</v>
      </c>
      <c r="E385" s="17">
        <f>IFERROR(ROUND($V385*$Y385*$AB385*参数!$C$13,0),"")</f>
        <v>25083</v>
      </c>
      <c r="F385" s="17">
        <f>IFERROR(ROUND($W385*$Z385*$AC385*参数!$D$13,0),"")</f>
        <v>38345</v>
      </c>
      <c r="G385" s="16">
        <v>3484605</v>
      </c>
      <c r="H385" s="16">
        <v>34039</v>
      </c>
      <c r="I385" s="16">
        <v>36495</v>
      </c>
      <c r="J385" s="16">
        <v>77</v>
      </c>
      <c r="K385" s="16">
        <v>77</v>
      </c>
      <c r="L385" s="16">
        <f>IFERROR(INDEX(楼层配置!$D$5:$D$104,MATCH($K385,楼层配置!$B$5:$B$104,0)),"")</f>
        <v>250</v>
      </c>
      <c r="M385" s="16" t="str">
        <f>IFERROR(INDEX(_角色基线!$B$2:$B$100,MATCH($B385,_角色基线!$A$2:$A$100,0)),"")</f>
        <v>阿芭</v>
      </c>
      <c r="N385" s="16" t="str">
        <f>IFERROR(INDEX(_角色基线!$C$2:$C$100,MATCH($B385,_角色基线!$A$2:$A$100,0)),"")</f>
        <v>Tank</v>
      </c>
      <c r="O385" s="16">
        <f>IFERROR(INDEX(_怪物基线!$B$2:$B$501,MATCH(INT($L385),_怪物基线!$A$2:$A$501,0)),"")</f>
        <v>293162</v>
      </c>
      <c r="P385" s="16">
        <f>IFERROR(INDEX(_怪物基线!$C$2:$C$501,MATCH(INT($L385),_怪物基线!$A$2:$A$501,0)),"")</f>
        <v>29477</v>
      </c>
      <c r="Q385" s="16">
        <f>IFERROR(INDEX(_怪物基线!$D$2:$D$501,MATCH(INT($L385),_怪物基线!$A$2:$A$501,0)),"")</f>
        <v>25563</v>
      </c>
      <c r="R385" s="16">
        <f>参数!$B$10</f>
        <v>4</v>
      </c>
      <c r="S385" s="16">
        <f>参数!$C$10</f>
        <v>1.2</v>
      </c>
      <c r="T385" s="16">
        <f>参数!$D$10</f>
        <v>1</v>
      </c>
      <c r="U385" s="16">
        <f t="shared" si="40"/>
        <v>1172648</v>
      </c>
      <c r="V385" s="16">
        <f t="shared" si="41"/>
        <v>35372.4</v>
      </c>
      <c r="W385" s="16">
        <f t="shared" si="42"/>
        <v>25563</v>
      </c>
      <c r="X385" s="16">
        <f>IFERROR(INDEX(参数!$B$5:$B$7,MATCH($N385,参数!$A$5:$A$7,0)),"")</f>
        <v>1.5</v>
      </c>
      <c r="Y385" s="16">
        <f>IFERROR(INDEX(参数!$C$5:$C$7,MATCH($N385,参数!$A$5:$A$7,0)),"")</f>
        <v>1</v>
      </c>
      <c r="Z385" s="16">
        <f>IFERROR(INDEX(参数!$D$5:$D$7,MATCH($N385,参数!$A$5:$A$7,0)),"")</f>
        <v>1.5</v>
      </c>
      <c r="AA385" s="16">
        <f>IFERROR(INDEX(楼层配置!$E$5:$E$104,MATCH($K385,楼层配置!$B$5:$B$104,0)),1)</f>
        <v>1.14598555798442</v>
      </c>
      <c r="AB385" s="16">
        <f>IFERROR(INDEX(楼层配置!$F$5:$F$104,MATCH($K385,楼层配置!$B$5:$B$104,0)),1)</f>
        <v>0.709106209627691</v>
      </c>
      <c r="AC385" s="16">
        <f>IFERROR(INDEX(楼层配置!$G$5:$G$104,MATCH($K385,楼层配置!$B$5:$B$104,0)),1)</f>
        <v>1</v>
      </c>
      <c r="AD385" s="18">
        <f t="shared" si="43"/>
        <v>-0.421524964809498</v>
      </c>
      <c r="AE385" s="18">
        <f t="shared" si="44"/>
        <v>-0.263109962102294</v>
      </c>
      <c r="AF385" s="18">
        <f t="shared" si="45"/>
        <v>0.0506918755993973</v>
      </c>
      <c r="AG385" s="16" t="str">
        <f t="shared" si="46"/>
        <v>有效</v>
      </c>
      <c r="AH385">
        <f t="shared" si="47"/>
        <v>5236348.756875</v>
      </c>
    </row>
    <row r="386" ht="14.25" customHeight="1" spans="1:34">
      <c r="A386" s="16">
        <v>382</v>
      </c>
      <c r="B386" s="16">
        <v>1012</v>
      </c>
      <c r="C386" s="16">
        <v>48</v>
      </c>
      <c r="D386" s="17">
        <f>IFERROR(ROUND($U386*$X386*$AA386*参数!$B$13,0),"")</f>
        <v>1679797</v>
      </c>
      <c r="E386" s="17">
        <f>IFERROR(ROUND($V386*$Y386*$AB386*参数!$C$13,0),"")</f>
        <v>25083</v>
      </c>
      <c r="F386" s="17">
        <f>IFERROR(ROUND($W386*$Z386*$AC386*参数!$D$13,0),"")</f>
        <v>31954</v>
      </c>
      <c r="G386" s="16">
        <v>2903838</v>
      </c>
      <c r="H386" s="16">
        <v>34039</v>
      </c>
      <c r="I386" s="16">
        <v>30413</v>
      </c>
      <c r="J386" s="16">
        <v>77</v>
      </c>
      <c r="K386" s="16">
        <v>77</v>
      </c>
      <c r="L386" s="16">
        <f>IFERROR(INDEX(楼层配置!$D$5:$D$104,MATCH($K386,楼层配置!$B$5:$B$104,0)),"")</f>
        <v>250</v>
      </c>
      <c r="M386" s="16" t="str">
        <f>IFERROR(INDEX(_角色基线!$B$2:$B$100,MATCH($B386,_角色基线!$A$2:$A$100,0)),"")</f>
        <v>艾德琳</v>
      </c>
      <c r="N386" s="16" t="str">
        <f>IFERROR(INDEX(_角色基线!$C$2:$C$100,MATCH($B386,_角色基线!$A$2:$A$100,0)),"")</f>
        <v>Support</v>
      </c>
      <c r="O386" s="16">
        <f>IFERROR(INDEX(_怪物基线!$B$2:$B$501,MATCH(INT($L386),_怪物基线!$A$2:$A$501,0)),"")</f>
        <v>293162</v>
      </c>
      <c r="P386" s="16">
        <f>IFERROR(INDEX(_怪物基线!$C$2:$C$501,MATCH(INT($L386),_怪物基线!$A$2:$A$501,0)),"")</f>
        <v>29477</v>
      </c>
      <c r="Q386" s="16">
        <f>IFERROR(INDEX(_怪物基线!$D$2:$D$501,MATCH(INT($L386),_怪物基线!$A$2:$A$501,0)),"")</f>
        <v>25563</v>
      </c>
      <c r="R386" s="16">
        <f>参数!$B$10</f>
        <v>4</v>
      </c>
      <c r="S386" s="16">
        <f>参数!$C$10</f>
        <v>1.2</v>
      </c>
      <c r="T386" s="16">
        <f>参数!$D$10</f>
        <v>1</v>
      </c>
      <c r="U386" s="16">
        <f t="shared" si="40"/>
        <v>1172648</v>
      </c>
      <c r="V386" s="16">
        <f t="shared" si="41"/>
        <v>35372.4</v>
      </c>
      <c r="W386" s="16">
        <f t="shared" si="42"/>
        <v>25563</v>
      </c>
      <c r="X386" s="16">
        <f>IFERROR(INDEX(参数!$B$5:$B$7,MATCH($N386,参数!$A$5:$A$7,0)),"")</f>
        <v>1.25</v>
      </c>
      <c r="Y386" s="16">
        <f>IFERROR(INDEX(参数!$C$5:$C$7,MATCH($N386,参数!$A$5:$A$7,0)),"")</f>
        <v>1</v>
      </c>
      <c r="Z386" s="16">
        <f>IFERROR(INDEX(参数!$D$5:$D$7,MATCH($N386,参数!$A$5:$A$7,0)),"")</f>
        <v>1.25</v>
      </c>
      <c r="AA386" s="16">
        <f>IFERROR(INDEX(楼层配置!$E$5:$E$104,MATCH($K386,楼层配置!$B$5:$B$104,0)),1)</f>
        <v>1.14598555798442</v>
      </c>
      <c r="AB386" s="16">
        <f>IFERROR(INDEX(楼层配置!$F$5:$F$104,MATCH($K386,楼层配置!$B$5:$B$104,0)),1)</f>
        <v>0.709106209627691</v>
      </c>
      <c r="AC386" s="16">
        <f>IFERROR(INDEX(楼层配置!$G$5:$G$104,MATCH($K386,楼层配置!$B$5:$B$104,0)),1)</f>
        <v>1</v>
      </c>
      <c r="AD386" s="18">
        <f t="shared" si="43"/>
        <v>-0.421525236600664</v>
      </c>
      <c r="AE386" s="18">
        <f t="shared" si="44"/>
        <v>-0.263109962102294</v>
      </c>
      <c r="AF386" s="18">
        <f t="shared" si="45"/>
        <v>0.0506691217571433</v>
      </c>
      <c r="AG386" s="16" t="str">
        <f t="shared" si="46"/>
        <v>有效</v>
      </c>
      <c r="AH386">
        <f t="shared" si="47"/>
        <v>3916306.72241667</v>
      </c>
    </row>
    <row r="387" ht="14.25" customHeight="1" spans="1:34">
      <c r="A387" s="16">
        <v>383</v>
      </c>
      <c r="B387" s="16">
        <v>1014</v>
      </c>
      <c r="C387" s="16">
        <v>48</v>
      </c>
      <c r="D387" s="17">
        <f>IFERROR(ROUND($U387*$X387*$AA387*参数!$B$13,0),"")</f>
        <v>1343838</v>
      </c>
      <c r="E387" s="17">
        <f>IFERROR(ROUND($V387*$Y387*$AB387*参数!$C$13,0),"")</f>
        <v>30099</v>
      </c>
      <c r="F387" s="17">
        <f>IFERROR(ROUND($W387*$Z387*$AC387*参数!$D$13,0),"")</f>
        <v>25563</v>
      </c>
      <c r="G387" s="16">
        <v>2323070</v>
      </c>
      <c r="H387" s="16">
        <v>40846</v>
      </c>
      <c r="I387" s="16">
        <v>24330</v>
      </c>
      <c r="J387" s="16">
        <v>77</v>
      </c>
      <c r="K387" s="16">
        <v>77</v>
      </c>
      <c r="L387" s="16">
        <f>IFERROR(INDEX(楼层配置!$D$5:$D$104,MATCH($K387,楼层配置!$B$5:$B$104,0)),"")</f>
        <v>250</v>
      </c>
      <c r="M387" s="16" t="str">
        <f>IFERROR(INDEX(_角色基线!$B$2:$B$100,MATCH($B387,_角色基线!$A$2:$A$100,0)),"")</f>
        <v>克莉丝汀</v>
      </c>
      <c r="N387" s="16" t="str">
        <f>IFERROR(INDEX(_角色基线!$C$2:$C$100,MATCH($B387,_角色基线!$A$2:$A$100,0)),"")</f>
        <v>DPS</v>
      </c>
      <c r="O387" s="16">
        <f>IFERROR(INDEX(_怪物基线!$B$2:$B$501,MATCH(INT($L387),_怪物基线!$A$2:$A$501,0)),"")</f>
        <v>293162</v>
      </c>
      <c r="P387" s="16">
        <f>IFERROR(INDEX(_怪物基线!$C$2:$C$501,MATCH(INT($L387),_怪物基线!$A$2:$A$501,0)),"")</f>
        <v>29477</v>
      </c>
      <c r="Q387" s="16">
        <f>IFERROR(INDEX(_怪物基线!$D$2:$D$501,MATCH(INT($L387),_怪物基线!$A$2:$A$501,0)),"")</f>
        <v>25563</v>
      </c>
      <c r="R387" s="16">
        <f>参数!$B$10</f>
        <v>4</v>
      </c>
      <c r="S387" s="16">
        <f>参数!$C$10</f>
        <v>1.2</v>
      </c>
      <c r="T387" s="16">
        <f>参数!$D$10</f>
        <v>1</v>
      </c>
      <c r="U387" s="16">
        <f t="shared" si="40"/>
        <v>1172648</v>
      </c>
      <c r="V387" s="16">
        <f t="shared" si="41"/>
        <v>35372.4</v>
      </c>
      <c r="W387" s="16">
        <f t="shared" si="42"/>
        <v>25563</v>
      </c>
      <c r="X387" s="16">
        <f>IFERROR(INDEX(参数!$B$5:$B$7,MATCH($N387,参数!$A$5:$A$7,0)),"")</f>
        <v>1</v>
      </c>
      <c r="Y387" s="16">
        <f>IFERROR(INDEX(参数!$C$5:$C$7,MATCH($N387,参数!$A$5:$A$7,0)),"")</f>
        <v>1.2</v>
      </c>
      <c r="Z387" s="16">
        <f>IFERROR(INDEX(参数!$D$5:$D$7,MATCH($N387,参数!$A$5:$A$7,0)),"")</f>
        <v>1</v>
      </c>
      <c r="AA387" s="16">
        <f>IFERROR(INDEX(楼层配置!$E$5:$E$104,MATCH($K387,楼层配置!$B$5:$B$104,0)),1)</f>
        <v>1.14598555798442</v>
      </c>
      <c r="AB387" s="16">
        <f>IFERROR(INDEX(楼层配置!$F$5:$F$104,MATCH($K387,楼层配置!$B$5:$B$104,0)),1)</f>
        <v>0.709106209627691</v>
      </c>
      <c r="AC387" s="16">
        <f>IFERROR(INDEX(楼层配置!$G$5:$G$104,MATCH($K387,楼层配置!$B$5:$B$104,0)),1)</f>
        <v>1</v>
      </c>
      <c r="AD387" s="18">
        <f t="shared" si="43"/>
        <v>-0.421524964809498</v>
      </c>
      <c r="AE387" s="18">
        <f t="shared" si="44"/>
        <v>-0.263110218870881</v>
      </c>
      <c r="AF387" s="18">
        <f t="shared" si="45"/>
        <v>0.0506781750924785</v>
      </c>
      <c r="AG387" s="16" t="str">
        <f t="shared" si="46"/>
        <v>有效</v>
      </c>
      <c r="AH387">
        <f t="shared" si="47"/>
        <v>2775193.44975</v>
      </c>
    </row>
    <row r="388" ht="14.25" customHeight="1" spans="1:34">
      <c r="A388" s="16">
        <v>384</v>
      </c>
      <c r="B388" s="16">
        <v>1006</v>
      </c>
      <c r="C388" s="16">
        <v>48</v>
      </c>
      <c r="D388" s="17">
        <f>IFERROR(ROUND($U388*$X388*$AA388*参数!$B$13,0),"")</f>
        <v>1343838</v>
      </c>
      <c r="E388" s="17">
        <f>IFERROR(ROUND($V388*$Y388*$AB388*参数!$C$13,0),"")</f>
        <v>30099</v>
      </c>
      <c r="F388" s="17">
        <f>IFERROR(ROUND($W388*$Z388*$AC388*参数!$D$13,0),"")</f>
        <v>25563</v>
      </c>
      <c r="G388" s="16">
        <v>2323070</v>
      </c>
      <c r="H388" s="16">
        <v>40846</v>
      </c>
      <c r="I388" s="16">
        <v>24330</v>
      </c>
      <c r="J388" s="16">
        <v>77</v>
      </c>
      <c r="K388" s="16">
        <v>77</v>
      </c>
      <c r="L388" s="16">
        <f>IFERROR(INDEX(楼层配置!$D$5:$D$104,MATCH($K388,楼层配置!$B$5:$B$104,0)),"")</f>
        <v>250</v>
      </c>
      <c r="M388" s="16" t="str">
        <f>IFERROR(INDEX(_角色基线!$B$2:$B$100,MATCH($B388,_角色基线!$A$2:$A$100,0)),"")</f>
        <v>莉莉娅</v>
      </c>
      <c r="N388" s="16" t="str">
        <f>IFERROR(INDEX(_角色基线!$C$2:$C$100,MATCH($B388,_角色基线!$A$2:$A$100,0)),"")</f>
        <v>DPS</v>
      </c>
      <c r="O388" s="16">
        <f>IFERROR(INDEX(_怪物基线!$B$2:$B$501,MATCH(INT($L388),_怪物基线!$A$2:$A$501,0)),"")</f>
        <v>293162</v>
      </c>
      <c r="P388" s="16">
        <f>IFERROR(INDEX(_怪物基线!$C$2:$C$501,MATCH(INT($L388),_怪物基线!$A$2:$A$501,0)),"")</f>
        <v>29477</v>
      </c>
      <c r="Q388" s="16">
        <f>IFERROR(INDEX(_怪物基线!$D$2:$D$501,MATCH(INT($L388),_怪物基线!$A$2:$A$501,0)),"")</f>
        <v>25563</v>
      </c>
      <c r="R388" s="16">
        <f>参数!$B$10</f>
        <v>4</v>
      </c>
      <c r="S388" s="16">
        <f>参数!$C$10</f>
        <v>1.2</v>
      </c>
      <c r="T388" s="16">
        <f>参数!$D$10</f>
        <v>1</v>
      </c>
      <c r="U388" s="16">
        <f t="shared" si="40"/>
        <v>1172648</v>
      </c>
      <c r="V388" s="16">
        <f t="shared" si="41"/>
        <v>35372.4</v>
      </c>
      <c r="W388" s="16">
        <f t="shared" si="42"/>
        <v>25563</v>
      </c>
      <c r="X388" s="16">
        <f>IFERROR(INDEX(参数!$B$5:$B$7,MATCH($N388,参数!$A$5:$A$7,0)),"")</f>
        <v>1</v>
      </c>
      <c r="Y388" s="16">
        <f>IFERROR(INDEX(参数!$C$5:$C$7,MATCH($N388,参数!$A$5:$A$7,0)),"")</f>
        <v>1.2</v>
      </c>
      <c r="Z388" s="16">
        <f>IFERROR(INDEX(参数!$D$5:$D$7,MATCH($N388,参数!$A$5:$A$7,0)),"")</f>
        <v>1</v>
      </c>
      <c r="AA388" s="16">
        <f>IFERROR(INDEX(楼层配置!$E$5:$E$104,MATCH($K388,楼层配置!$B$5:$B$104,0)),1)</f>
        <v>1.14598555798442</v>
      </c>
      <c r="AB388" s="16">
        <f>IFERROR(INDEX(楼层配置!$F$5:$F$104,MATCH($K388,楼层配置!$B$5:$B$104,0)),1)</f>
        <v>0.709106209627691</v>
      </c>
      <c r="AC388" s="16">
        <f>IFERROR(INDEX(楼层配置!$G$5:$G$104,MATCH($K388,楼层配置!$B$5:$B$104,0)),1)</f>
        <v>1</v>
      </c>
      <c r="AD388" s="18">
        <f t="shared" si="43"/>
        <v>-0.421524964809498</v>
      </c>
      <c r="AE388" s="18">
        <f t="shared" si="44"/>
        <v>-0.263110218870881</v>
      </c>
      <c r="AF388" s="18">
        <f t="shared" si="45"/>
        <v>0.0506781750924785</v>
      </c>
      <c r="AG388" s="16" t="str">
        <f t="shared" si="46"/>
        <v>有效</v>
      </c>
      <c r="AH388">
        <f t="shared" si="47"/>
        <v>2775193.44975</v>
      </c>
    </row>
    <row r="389" ht="14.25" customHeight="1" spans="1:34">
      <c r="A389" s="16">
        <v>385</v>
      </c>
      <c r="B389" s="16">
        <v>1017</v>
      </c>
      <c r="C389" s="16">
        <v>48</v>
      </c>
      <c r="D389" s="17">
        <f>IFERROR(ROUND($U389*$X389*$AA389*参数!$B$13,0),"")</f>
        <v>1343838</v>
      </c>
      <c r="E389" s="17">
        <f>IFERROR(ROUND($V389*$Y389*$AB389*参数!$C$13,0),"")</f>
        <v>30099</v>
      </c>
      <c r="F389" s="17">
        <f>IFERROR(ROUND($W389*$Z389*$AC389*参数!$D$13,0),"")</f>
        <v>25563</v>
      </c>
      <c r="G389" s="16">
        <v>2323070</v>
      </c>
      <c r="H389" s="16">
        <v>40846</v>
      </c>
      <c r="I389" s="16">
        <v>24330</v>
      </c>
      <c r="J389" s="16">
        <v>77</v>
      </c>
      <c r="K389" s="16">
        <v>77</v>
      </c>
      <c r="L389" s="16">
        <f>IFERROR(INDEX(楼层配置!$D$5:$D$104,MATCH($K389,楼层配置!$B$5:$B$104,0)),"")</f>
        <v>250</v>
      </c>
      <c r="M389" s="16" t="str">
        <f>IFERROR(INDEX(_角色基线!$B$2:$B$100,MATCH($B389,_角色基线!$A$2:$A$100,0)),"")</f>
        <v>伊戈尔</v>
      </c>
      <c r="N389" s="16" t="str">
        <f>IFERROR(INDEX(_角色基线!$C$2:$C$100,MATCH($B389,_角色基线!$A$2:$A$100,0)),"")</f>
        <v>DPS</v>
      </c>
      <c r="O389" s="16">
        <f>IFERROR(INDEX(_怪物基线!$B$2:$B$501,MATCH(INT($L389),_怪物基线!$A$2:$A$501,0)),"")</f>
        <v>293162</v>
      </c>
      <c r="P389" s="16">
        <f>IFERROR(INDEX(_怪物基线!$C$2:$C$501,MATCH(INT($L389),_怪物基线!$A$2:$A$501,0)),"")</f>
        <v>29477</v>
      </c>
      <c r="Q389" s="16">
        <f>IFERROR(INDEX(_怪物基线!$D$2:$D$501,MATCH(INT($L389),_怪物基线!$A$2:$A$501,0)),"")</f>
        <v>25563</v>
      </c>
      <c r="R389" s="16">
        <f>参数!$B$10</f>
        <v>4</v>
      </c>
      <c r="S389" s="16">
        <f>参数!$C$10</f>
        <v>1.2</v>
      </c>
      <c r="T389" s="16">
        <f>参数!$D$10</f>
        <v>1</v>
      </c>
      <c r="U389" s="16">
        <f t="shared" ref="U389:U452" si="48">IF($O389="","",$O389*$R389)</f>
        <v>1172648</v>
      </c>
      <c r="V389" s="16">
        <f t="shared" ref="V389:V452" si="49">IF($P389="","",$P389*$S389)</f>
        <v>35372.4</v>
      </c>
      <c r="W389" s="16">
        <f t="shared" ref="W389:W452" si="50">IF($Q389="","",$Q389*$T389)</f>
        <v>25563</v>
      </c>
      <c r="X389" s="16">
        <f>IFERROR(INDEX(参数!$B$5:$B$7,MATCH($N389,参数!$A$5:$A$7,0)),"")</f>
        <v>1</v>
      </c>
      <c r="Y389" s="16">
        <f>IFERROR(INDEX(参数!$C$5:$C$7,MATCH($N389,参数!$A$5:$A$7,0)),"")</f>
        <v>1.2</v>
      </c>
      <c r="Z389" s="16">
        <f>IFERROR(INDEX(参数!$D$5:$D$7,MATCH($N389,参数!$A$5:$A$7,0)),"")</f>
        <v>1</v>
      </c>
      <c r="AA389" s="16">
        <f>IFERROR(INDEX(楼层配置!$E$5:$E$104,MATCH($K389,楼层配置!$B$5:$B$104,0)),1)</f>
        <v>1.14598555798442</v>
      </c>
      <c r="AB389" s="16">
        <f>IFERROR(INDEX(楼层配置!$F$5:$F$104,MATCH($K389,楼层配置!$B$5:$B$104,0)),1)</f>
        <v>0.709106209627691</v>
      </c>
      <c r="AC389" s="16">
        <f>IFERROR(INDEX(楼层配置!$G$5:$G$104,MATCH($K389,楼层配置!$B$5:$B$104,0)),1)</f>
        <v>1</v>
      </c>
      <c r="AD389" s="18">
        <f t="shared" ref="AD389:AD452" si="51">IFERROR($D389/$G389-1,"")</f>
        <v>-0.421524964809498</v>
      </c>
      <c r="AE389" s="18">
        <f t="shared" ref="AE389:AE452" si="52">IFERROR($E389/$H389-1,"")</f>
        <v>-0.263110218870881</v>
      </c>
      <c r="AF389" s="18">
        <f t="shared" ref="AF389:AF452" si="53">IFERROR($F389/$I389-1,"")</f>
        <v>0.0506781750924785</v>
      </c>
      <c r="AG389" s="16" t="str">
        <f t="shared" ref="AG389:AG452" si="54">IF(AND($A389&gt;=1,$L389&gt;=1,$L389&lt;=500,OR($N389="Tank",$N389="DPS",$N389="Support"),ISNUMBER($D389),ISNUMBER($E389),ISNUMBER($F389)),"有效","异常")</f>
        <v>有效</v>
      </c>
      <c r="AH389">
        <f t="shared" ref="AH389:AH452" si="55">D389/(1-MIN(0.75,F389/(24000+F389)))</f>
        <v>2775193.44975</v>
      </c>
    </row>
    <row r="390" ht="14.25" customHeight="1" spans="1:34">
      <c r="A390" s="16">
        <v>386</v>
      </c>
      <c r="B390" s="16">
        <v>1004</v>
      </c>
      <c r="C390" s="16">
        <v>49</v>
      </c>
      <c r="D390" s="17">
        <f>IFERROR(ROUND($U390*$X390*$AA390*参数!$B$13,0),"")</f>
        <v>2054410</v>
      </c>
      <c r="E390" s="17">
        <f>IFERROR(ROUND($V390*$Y390*$AB390*参数!$C$13,0),"")</f>
        <v>25495</v>
      </c>
      <c r="F390" s="17">
        <f>IFERROR(ROUND($W390*$Z390*$AC390*参数!$D$13,0),"")</f>
        <v>38738</v>
      </c>
      <c r="G390" s="16">
        <v>3603844</v>
      </c>
      <c r="H390" s="16">
        <v>34933</v>
      </c>
      <c r="I390" s="16">
        <v>37123</v>
      </c>
      <c r="J390" s="16">
        <v>78</v>
      </c>
      <c r="K390" s="16">
        <v>78</v>
      </c>
      <c r="L390" s="16">
        <f>IFERROR(INDEX(楼层配置!$D$5:$D$104,MATCH($K390,楼层配置!$B$5:$B$104,0)),"")</f>
        <v>252</v>
      </c>
      <c r="M390" s="16" t="str">
        <f>IFERROR(INDEX(_角色基线!$B$2:$B$100,MATCH($B390,_角色基线!$A$2:$A$100,0)),"")</f>
        <v>阿芭</v>
      </c>
      <c r="N390" s="16" t="str">
        <f>IFERROR(INDEX(_角色基线!$C$2:$C$100,MATCH($B390,_角色基线!$A$2:$A$100,0)),"")</f>
        <v>Tank</v>
      </c>
      <c r="O390" s="16">
        <f>IFERROR(INDEX(_怪物基线!$B$2:$B$501,MATCH(INT($L390),_怪物基线!$A$2:$A$501,0)),"")</f>
        <v>299375</v>
      </c>
      <c r="P390" s="16">
        <f>IFERROR(INDEX(_怪物基线!$C$2:$C$501,MATCH(INT($L390),_怪物基线!$A$2:$A$501,0)),"")</f>
        <v>29938</v>
      </c>
      <c r="Q390" s="16">
        <f>IFERROR(INDEX(_怪物基线!$D$2:$D$501,MATCH(INT($L390),_怪物基线!$A$2:$A$501,0)),"")</f>
        <v>25825</v>
      </c>
      <c r="R390" s="16">
        <f>参数!$B$10</f>
        <v>4</v>
      </c>
      <c r="S390" s="16">
        <f>参数!$C$10</f>
        <v>1.2</v>
      </c>
      <c r="T390" s="16">
        <f>参数!$D$10</f>
        <v>1</v>
      </c>
      <c r="U390" s="16">
        <f t="shared" si="48"/>
        <v>1197500</v>
      </c>
      <c r="V390" s="16">
        <f t="shared" si="49"/>
        <v>35925.6</v>
      </c>
      <c r="W390" s="16">
        <f t="shared" si="50"/>
        <v>25825</v>
      </c>
      <c r="X390" s="16">
        <f>IFERROR(INDEX(参数!$B$5:$B$7,MATCH($N390,参数!$A$5:$A$7,0)),"")</f>
        <v>1.5</v>
      </c>
      <c r="Y390" s="16">
        <f>IFERROR(INDEX(参数!$C$5:$C$7,MATCH($N390,参数!$A$5:$A$7,0)),"")</f>
        <v>1</v>
      </c>
      <c r="Z390" s="16">
        <f>IFERROR(INDEX(参数!$D$5:$D$7,MATCH($N390,参数!$A$5:$A$7,0)),"")</f>
        <v>1.5</v>
      </c>
      <c r="AA390" s="16">
        <f>IFERROR(INDEX(楼层配置!$E$5:$E$104,MATCH($K390,楼层配置!$B$5:$B$104,0)),1)</f>
        <v>1.1437216795143</v>
      </c>
      <c r="AB390" s="16">
        <f>IFERROR(INDEX(楼层配置!$F$5:$F$104,MATCH($K390,楼层配置!$B$5:$B$104,0)),1)</f>
        <v>0.709659582620248</v>
      </c>
      <c r="AC390" s="16">
        <f>IFERROR(INDEX(楼层配置!$G$5:$G$104,MATCH($K390,楼层配置!$B$5:$B$104,0)),1)</f>
        <v>1</v>
      </c>
      <c r="AD390" s="18">
        <f t="shared" si="51"/>
        <v>-0.429939253752382</v>
      </c>
      <c r="AE390" s="18">
        <f t="shared" si="52"/>
        <v>-0.270174333724558</v>
      </c>
      <c r="AF390" s="18">
        <f t="shared" si="53"/>
        <v>0.0435040271529779</v>
      </c>
      <c r="AG390" s="16" t="str">
        <f t="shared" si="54"/>
        <v>有效</v>
      </c>
      <c r="AH390">
        <f t="shared" si="55"/>
        <v>5370398.94083333</v>
      </c>
    </row>
    <row r="391" ht="14.25" customHeight="1" spans="1:34">
      <c r="A391" s="16">
        <v>387</v>
      </c>
      <c r="B391" s="16">
        <v>1013</v>
      </c>
      <c r="C391" s="16">
        <v>49</v>
      </c>
      <c r="D391" s="17">
        <f>IFERROR(ROUND($U391*$X391*$AA391*参数!$B$13,0),"")</f>
        <v>1369607</v>
      </c>
      <c r="E391" s="17">
        <f>IFERROR(ROUND($V391*$Y391*$AB391*参数!$C$13,0),"")</f>
        <v>30594</v>
      </c>
      <c r="F391" s="17">
        <f>IFERROR(ROUND($W391*$Z391*$AC391*参数!$D$13,0),"")</f>
        <v>25825</v>
      </c>
      <c r="G391" s="16">
        <v>2402563</v>
      </c>
      <c r="H391" s="16">
        <v>41919</v>
      </c>
      <c r="I391" s="16">
        <v>24748</v>
      </c>
      <c r="J391" s="16">
        <v>78</v>
      </c>
      <c r="K391" s="16">
        <v>78</v>
      </c>
      <c r="L391" s="16">
        <f>IFERROR(INDEX(楼层配置!$D$5:$D$104,MATCH($K391,楼层配置!$B$5:$B$104,0)),"")</f>
        <v>252</v>
      </c>
      <c r="M391" s="16" t="str">
        <f>IFERROR(INDEX(_角色基线!$B$2:$B$100,MATCH($B391,_角色基线!$A$2:$A$100,0)),"")</f>
        <v>夏缇拉</v>
      </c>
      <c r="N391" s="16" t="str">
        <f>IFERROR(INDEX(_角色基线!$C$2:$C$100,MATCH($B391,_角色基线!$A$2:$A$100,0)),"")</f>
        <v>DPS</v>
      </c>
      <c r="O391" s="16">
        <f>IFERROR(INDEX(_怪物基线!$B$2:$B$501,MATCH(INT($L391),_怪物基线!$A$2:$A$501,0)),"")</f>
        <v>299375</v>
      </c>
      <c r="P391" s="16">
        <f>IFERROR(INDEX(_怪物基线!$C$2:$C$501,MATCH(INT($L391),_怪物基线!$A$2:$A$501,0)),"")</f>
        <v>29938</v>
      </c>
      <c r="Q391" s="16">
        <f>IFERROR(INDEX(_怪物基线!$D$2:$D$501,MATCH(INT($L391),_怪物基线!$A$2:$A$501,0)),"")</f>
        <v>25825</v>
      </c>
      <c r="R391" s="16">
        <f>参数!$B$10</f>
        <v>4</v>
      </c>
      <c r="S391" s="16">
        <f>参数!$C$10</f>
        <v>1.2</v>
      </c>
      <c r="T391" s="16">
        <f>参数!$D$10</f>
        <v>1</v>
      </c>
      <c r="U391" s="16">
        <f t="shared" si="48"/>
        <v>1197500</v>
      </c>
      <c r="V391" s="16">
        <f t="shared" si="49"/>
        <v>35925.6</v>
      </c>
      <c r="W391" s="16">
        <f t="shared" si="50"/>
        <v>25825</v>
      </c>
      <c r="X391" s="16">
        <f>IFERROR(INDEX(参数!$B$5:$B$7,MATCH($N391,参数!$A$5:$A$7,0)),"")</f>
        <v>1</v>
      </c>
      <c r="Y391" s="16">
        <f>IFERROR(INDEX(参数!$C$5:$C$7,MATCH($N391,参数!$A$5:$A$7,0)),"")</f>
        <v>1.2</v>
      </c>
      <c r="Z391" s="16">
        <f>IFERROR(INDEX(参数!$D$5:$D$7,MATCH($N391,参数!$A$5:$A$7,0)),"")</f>
        <v>1</v>
      </c>
      <c r="AA391" s="16">
        <f>IFERROR(INDEX(楼层配置!$E$5:$E$104,MATCH($K391,楼层配置!$B$5:$B$104,0)),1)</f>
        <v>1.1437216795143</v>
      </c>
      <c r="AB391" s="16">
        <f>IFERROR(INDEX(楼层配置!$F$5:$F$104,MATCH($K391,楼层配置!$B$5:$B$104,0)),1)</f>
        <v>0.709659582620248</v>
      </c>
      <c r="AC391" s="16">
        <f>IFERROR(INDEX(楼层配置!$G$5:$G$104,MATCH($K391,楼层配置!$B$5:$B$104,0)),1)</f>
        <v>1</v>
      </c>
      <c r="AD391" s="18">
        <f t="shared" si="51"/>
        <v>-0.429939194102298</v>
      </c>
      <c r="AE391" s="18">
        <f t="shared" si="52"/>
        <v>-0.270163887497316</v>
      </c>
      <c r="AF391" s="18">
        <f t="shared" si="53"/>
        <v>0.043518668175206</v>
      </c>
      <c r="AG391" s="16" t="str">
        <f t="shared" si="54"/>
        <v>有效</v>
      </c>
      <c r="AH391">
        <f t="shared" si="55"/>
        <v>2843361.19895833</v>
      </c>
    </row>
    <row r="392" ht="14.25" customHeight="1" spans="1:34">
      <c r="A392" s="16">
        <v>388</v>
      </c>
      <c r="B392" s="16">
        <v>1006</v>
      </c>
      <c r="C392" s="16">
        <v>49</v>
      </c>
      <c r="D392" s="17">
        <f>IFERROR(ROUND($U392*$X392*$AA392*参数!$B$13,0),"")</f>
        <v>1369607</v>
      </c>
      <c r="E392" s="17">
        <f>IFERROR(ROUND($V392*$Y392*$AB392*参数!$C$13,0),"")</f>
        <v>30594</v>
      </c>
      <c r="F392" s="17">
        <f>IFERROR(ROUND($W392*$Z392*$AC392*参数!$D$13,0),"")</f>
        <v>25825</v>
      </c>
      <c r="G392" s="16">
        <v>2402563</v>
      </c>
      <c r="H392" s="16">
        <v>41919</v>
      </c>
      <c r="I392" s="16">
        <v>24748</v>
      </c>
      <c r="J392" s="16">
        <v>78</v>
      </c>
      <c r="K392" s="16">
        <v>78</v>
      </c>
      <c r="L392" s="16">
        <f>IFERROR(INDEX(楼层配置!$D$5:$D$104,MATCH($K392,楼层配置!$B$5:$B$104,0)),"")</f>
        <v>252</v>
      </c>
      <c r="M392" s="16" t="str">
        <f>IFERROR(INDEX(_角色基线!$B$2:$B$100,MATCH($B392,_角色基线!$A$2:$A$100,0)),"")</f>
        <v>莉莉娅</v>
      </c>
      <c r="N392" s="16" t="str">
        <f>IFERROR(INDEX(_角色基线!$C$2:$C$100,MATCH($B392,_角色基线!$A$2:$A$100,0)),"")</f>
        <v>DPS</v>
      </c>
      <c r="O392" s="16">
        <f>IFERROR(INDEX(_怪物基线!$B$2:$B$501,MATCH(INT($L392),_怪物基线!$A$2:$A$501,0)),"")</f>
        <v>299375</v>
      </c>
      <c r="P392" s="16">
        <f>IFERROR(INDEX(_怪物基线!$C$2:$C$501,MATCH(INT($L392),_怪物基线!$A$2:$A$501,0)),"")</f>
        <v>29938</v>
      </c>
      <c r="Q392" s="16">
        <f>IFERROR(INDEX(_怪物基线!$D$2:$D$501,MATCH(INT($L392),_怪物基线!$A$2:$A$501,0)),"")</f>
        <v>25825</v>
      </c>
      <c r="R392" s="16">
        <f>参数!$B$10</f>
        <v>4</v>
      </c>
      <c r="S392" s="16">
        <f>参数!$C$10</f>
        <v>1.2</v>
      </c>
      <c r="T392" s="16">
        <f>参数!$D$10</f>
        <v>1</v>
      </c>
      <c r="U392" s="16">
        <f t="shared" si="48"/>
        <v>1197500</v>
      </c>
      <c r="V392" s="16">
        <f t="shared" si="49"/>
        <v>35925.6</v>
      </c>
      <c r="W392" s="16">
        <f t="shared" si="50"/>
        <v>25825</v>
      </c>
      <c r="X392" s="16">
        <f>IFERROR(INDEX(参数!$B$5:$B$7,MATCH($N392,参数!$A$5:$A$7,0)),"")</f>
        <v>1</v>
      </c>
      <c r="Y392" s="16">
        <f>IFERROR(INDEX(参数!$C$5:$C$7,MATCH($N392,参数!$A$5:$A$7,0)),"")</f>
        <v>1.2</v>
      </c>
      <c r="Z392" s="16">
        <f>IFERROR(INDEX(参数!$D$5:$D$7,MATCH($N392,参数!$A$5:$A$7,0)),"")</f>
        <v>1</v>
      </c>
      <c r="AA392" s="16">
        <f>IFERROR(INDEX(楼层配置!$E$5:$E$104,MATCH($K392,楼层配置!$B$5:$B$104,0)),1)</f>
        <v>1.1437216795143</v>
      </c>
      <c r="AB392" s="16">
        <f>IFERROR(INDEX(楼层配置!$F$5:$F$104,MATCH($K392,楼层配置!$B$5:$B$104,0)),1)</f>
        <v>0.709659582620248</v>
      </c>
      <c r="AC392" s="16">
        <f>IFERROR(INDEX(楼层配置!$G$5:$G$104,MATCH($K392,楼层配置!$B$5:$B$104,0)),1)</f>
        <v>1</v>
      </c>
      <c r="AD392" s="18">
        <f t="shared" si="51"/>
        <v>-0.429939194102298</v>
      </c>
      <c r="AE392" s="18">
        <f t="shared" si="52"/>
        <v>-0.270163887497316</v>
      </c>
      <c r="AF392" s="18">
        <f t="shared" si="53"/>
        <v>0.043518668175206</v>
      </c>
      <c r="AG392" s="16" t="str">
        <f t="shared" si="54"/>
        <v>有效</v>
      </c>
      <c r="AH392">
        <f t="shared" si="55"/>
        <v>2843361.19895833</v>
      </c>
    </row>
    <row r="393" ht="14.25" customHeight="1" spans="1:34">
      <c r="A393" s="16">
        <v>389</v>
      </c>
      <c r="B393" s="16">
        <v>1006</v>
      </c>
      <c r="C393" s="16">
        <v>49</v>
      </c>
      <c r="D393" s="17">
        <f>IFERROR(ROUND($U393*$X393*$AA393*参数!$B$13,0),"")</f>
        <v>1369607</v>
      </c>
      <c r="E393" s="17">
        <f>IFERROR(ROUND($V393*$Y393*$AB393*参数!$C$13,0),"")</f>
        <v>30594</v>
      </c>
      <c r="F393" s="17">
        <f>IFERROR(ROUND($W393*$Z393*$AC393*参数!$D$13,0),"")</f>
        <v>25825</v>
      </c>
      <c r="G393" s="16">
        <v>2402563</v>
      </c>
      <c r="H393" s="16">
        <v>41919</v>
      </c>
      <c r="I393" s="16">
        <v>24748</v>
      </c>
      <c r="J393" s="16">
        <v>78</v>
      </c>
      <c r="K393" s="16">
        <v>78</v>
      </c>
      <c r="L393" s="16">
        <f>IFERROR(INDEX(楼层配置!$D$5:$D$104,MATCH($K393,楼层配置!$B$5:$B$104,0)),"")</f>
        <v>252</v>
      </c>
      <c r="M393" s="16" t="str">
        <f>IFERROR(INDEX(_角色基线!$B$2:$B$100,MATCH($B393,_角色基线!$A$2:$A$100,0)),"")</f>
        <v>莉莉娅</v>
      </c>
      <c r="N393" s="16" t="str">
        <f>IFERROR(INDEX(_角色基线!$C$2:$C$100,MATCH($B393,_角色基线!$A$2:$A$100,0)),"")</f>
        <v>DPS</v>
      </c>
      <c r="O393" s="16">
        <f>IFERROR(INDEX(_怪物基线!$B$2:$B$501,MATCH(INT($L393),_怪物基线!$A$2:$A$501,0)),"")</f>
        <v>299375</v>
      </c>
      <c r="P393" s="16">
        <f>IFERROR(INDEX(_怪物基线!$C$2:$C$501,MATCH(INT($L393),_怪物基线!$A$2:$A$501,0)),"")</f>
        <v>29938</v>
      </c>
      <c r="Q393" s="16">
        <f>IFERROR(INDEX(_怪物基线!$D$2:$D$501,MATCH(INT($L393),_怪物基线!$A$2:$A$501,0)),"")</f>
        <v>25825</v>
      </c>
      <c r="R393" s="16">
        <f>参数!$B$10</f>
        <v>4</v>
      </c>
      <c r="S393" s="16">
        <f>参数!$C$10</f>
        <v>1.2</v>
      </c>
      <c r="T393" s="16">
        <f>参数!$D$10</f>
        <v>1</v>
      </c>
      <c r="U393" s="16">
        <f t="shared" si="48"/>
        <v>1197500</v>
      </c>
      <c r="V393" s="16">
        <f t="shared" si="49"/>
        <v>35925.6</v>
      </c>
      <c r="W393" s="16">
        <f t="shared" si="50"/>
        <v>25825</v>
      </c>
      <c r="X393" s="16">
        <f>IFERROR(INDEX(参数!$B$5:$B$7,MATCH($N393,参数!$A$5:$A$7,0)),"")</f>
        <v>1</v>
      </c>
      <c r="Y393" s="16">
        <f>IFERROR(INDEX(参数!$C$5:$C$7,MATCH($N393,参数!$A$5:$A$7,0)),"")</f>
        <v>1.2</v>
      </c>
      <c r="Z393" s="16">
        <f>IFERROR(INDEX(参数!$D$5:$D$7,MATCH($N393,参数!$A$5:$A$7,0)),"")</f>
        <v>1</v>
      </c>
      <c r="AA393" s="16">
        <f>IFERROR(INDEX(楼层配置!$E$5:$E$104,MATCH($K393,楼层配置!$B$5:$B$104,0)),1)</f>
        <v>1.1437216795143</v>
      </c>
      <c r="AB393" s="16">
        <f>IFERROR(INDEX(楼层配置!$F$5:$F$104,MATCH($K393,楼层配置!$B$5:$B$104,0)),1)</f>
        <v>0.709659582620248</v>
      </c>
      <c r="AC393" s="16">
        <f>IFERROR(INDEX(楼层配置!$G$5:$G$104,MATCH($K393,楼层配置!$B$5:$B$104,0)),1)</f>
        <v>1</v>
      </c>
      <c r="AD393" s="18">
        <f t="shared" si="51"/>
        <v>-0.429939194102298</v>
      </c>
      <c r="AE393" s="18">
        <f t="shared" si="52"/>
        <v>-0.270163887497316</v>
      </c>
      <c r="AF393" s="18">
        <f t="shared" si="53"/>
        <v>0.043518668175206</v>
      </c>
      <c r="AG393" s="16" t="str">
        <f t="shared" si="54"/>
        <v>有效</v>
      </c>
      <c r="AH393">
        <f t="shared" si="55"/>
        <v>2843361.19895833</v>
      </c>
    </row>
    <row r="394" ht="14.25" customHeight="1" spans="1:34">
      <c r="A394" s="16">
        <v>390</v>
      </c>
      <c r="B394" s="16">
        <v>1011</v>
      </c>
      <c r="C394" s="16">
        <v>49</v>
      </c>
      <c r="D394" s="17">
        <f>IFERROR(ROUND($U394*$X394*$AA394*参数!$B$13,0),"")</f>
        <v>1712008</v>
      </c>
      <c r="E394" s="17">
        <f>IFERROR(ROUND($V394*$Y394*$AB394*参数!$C$13,0),"")</f>
        <v>25495</v>
      </c>
      <c r="F394" s="17">
        <f>IFERROR(ROUND($W394*$Z394*$AC394*参数!$D$13,0),"")</f>
        <v>32281</v>
      </c>
      <c r="G394" s="16">
        <v>3003204</v>
      </c>
      <c r="H394" s="16">
        <v>34933</v>
      </c>
      <c r="I394" s="16">
        <v>30936</v>
      </c>
      <c r="J394" s="16">
        <v>78</v>
      </c>
      <c r="K394" s="16">
        <v>78</v>
      </c>
      <c r="L394" s="16">
        <f>IFERROR(INDEX(楼层配置!$D$5:$D$104,MATCH($K394,楼层配置!$B$5:$B$104,0)),"")</f>
        <v>252</v>
      </c>
      <c r="M394" s="16" t="str">
        <f>IFERROR(INDEX(_角色基线!$B$2:$B$100,MATCH($B394,_角色基线!$A$2:$A$100,0)),"")</f>
        <v>陈双双</v>
      </c>
      <c r="N394" s="16" t="str">
        <f>IFERROR(INDEX(_角色基线!$C$2:$C$100,MATCH($B394,_角色基线!$A$2:$A$100,0)),"")</f>
        <v>Support</v>
      </c>
      <c r="O394" s="16">
        <f>IFERROR(INDEX(_怪物基线!$B$2:$B$501,MATCH(INT($L394),_怪物基线!$A$2:$A$501,0)),"")</f>
        <v>299375</v>
      </c>
      <c r="P394" s="16">
        <f>IFERROR(INDEX(_怪物基线!$C$2:$C$501,MATCH(INT($L394),_怪物基线!$A$2:$A$501,0)),"")</f>
        <v>29938</v>
      </c>
      <c r="Q394" s="16">
        <f>IFERROR(INDEX(_怪物基线!$D$2:$D$501,MATCH(INT($L394),_怪物基线!$A$2:$A$501,0)),"")</f>
        <v>25825</v>
      </c>
      <c r="R394" s="16">
        <f>参数!$B$10</f>
        <v>4</v>
      </c>
      <c r="S394" s="16">
        <f>参数!$C$10</f>
        <v>1.2</v>
      </c>
      <c r="T394" s="16">
        <f>参数!$D$10</f>
        <v>1</v>
      </c>
      <c r="U394" s="16">
        <f t="shared" si="48"/>
        <v>1197500</v>
      </c>
      <c r="V394" s="16">
        <f t="shared" si="49"/>
        <v>35925.6</v>
      </c>
      <c r="W394" s="16">
        <f t="shared" si="50"/>
        <v>25825</v>
      </c>
      <c r="X394" s="16">
        <f>IFERROR(INDEX(参数!$B$5:$B$7,MATCH($N394,参数!$A$5:$A$7,0)),"")</f>
        <v>1.25</v>
      </c>
      <c r="Y394" s="16">
        <f>IFERROR(INDEX(参数!$C$5:$C$7,MATCH($N394,参数!$A$5:$A$7,0)),"")</f>
        <v>1</v>
      </c>
      <c r="Z394" s="16">
        <f>IFERROR(INDEX(参数!$D$5:$D$7,MATCH($N394,参数!$A$5:$A$7,0)),"")</f>
        <v>1.25</v>
      </c>
      <c r="AA394" s="16">
        <f>IFERROR(INDEX(楼层配置!$E$5:$E$104,MATCH($K394,楼层配置!$B$5:$B$104,0)),1)</f>
        <v>1.1437216795143</v>
      </c>
      <c r="AB394" s="16">
        <f>IFERROR(INDEX(楼层配置!$F$5:$F$104,MATCH($K394,楼层配置!$B$5:$B$104,0)),1)</f>
        <v>0.709659582620248</v>
      </c>
      <c r="AC394" s="16">
        <f>IFERROR(INDEX(楼层配置!$G$5:$G$104,MATCH($K394,楼层配置!$B$5:$B$104,0)),1)</f>
        <v>1</v>
      </c>
      <c r="AD394" s="18">
        <f t="shared" si="51"/>
        <v>-0.429939491289969</v>
      </c>
      <c r="AE394" s="18">
        <f t="shared" si="52"/>
        <v>-0.270174333724558</v>
      </c>
      <c r="AF394" s="18">
        <f t="shared" si="53"/>
        <v>0.0434768554434963</v>
      </c>
      <c r="AG394" s="16" t="str">
        <f t="shared" si="54"/>
        <v>有效</v>
      </c>
      <c r="AH394">
        <f t="shared" si="55"/>
        <v>4014730.09366667</v>
      </c>
    </row>
    <row r="395" ht="14.25" customHeight="1" spans="1:34">
      <c r="A395" s="16">
        <v>391</v>
      </c>
      <c r="B395" s="16">
        <v>1003</v>
      </c>
      <c r="C395" s="16">
        <v>49</v>
      </c>
      <c r="D395" s="17">
        <f>IFERROR(ROUND($U395*$X395*$AA395*参数!$B$13,0),"")</f>
        <v>2072787</v>
      </c>
      <c r="E395" s="17">
        <f>IFERROR(ROUND($V395*$Y395*$AB395*参数!$C$13,0),"")</f>
        <v>25720</v>
      </c>
      <c r="F395" s="17">
        <f>IFERROR(ROUND($W395*$Z395*$AC395*参数!$D$13,0),"")</f>
        <v>38934</v>
      </c>
      <c r="G395" s="16">
        <v>3726093</v>
      </c>
      <c r="H395" s="16">
        <v>35849</v>
      </c>
      <c r="I395" s="16">
        <v>37754</v>
      </c>
      <c r="J395" s="16">
        <v>79</v>
      </c>
      <c r="K395" s="16">
        <v>79</v>
      </c>
      <c r="L395" s="16">
        <f>IFERROR(INDEX(楼层配置!$D$5:$D$104,MATCH($K395,楼层配置!$B$5:$B$104,0)),"")</f>
        <v>253</v>
      </c>
      <c r="M395" s="16" t="str">
        <f>IFERROR(INDEX(_角色基线!$B$2:$B$100,MATCH($B395,_角色基线!$A$2:$A$100,0)),"")</f>
        <v>塔拉夏</v>
      </c>
      <c r="N395" s="16" t="str">
        <f>IFERROR(INDEX(_角色基线!$C$2:$C$100,MATCH($B395,_角色基线!$A$2:$A$100,0)),"")</f>
        <v>Tank</v>
      </c>
      <c r="O395" s="16">
        <f>IFERROR(INDEX(_怪物基线!$B$2:$B$501,MATCH(INT($L395),_怪物基线!$A$2:$A$501,0)),"")</f>
        <v>302519</v>
      </c>
      <c r="P395" s="16">
        <f>IFERROR(INDEX(_怪物基线!$C$2:$C$501,MATCH(INT($L395),_怪物基线!$A$2:$A$501,0)),"")</f>
        <v>30170</v>
      </c>
      <c r="Q395" s="16">
        <f>IFERROR(INDEX(_怪物基线!$D$2:$D$501,MATCH(INT($L395),_怪物基线!$A$2:$A$501,0)),"")</f>
        <v>25956</v>
      </c>
      <c r="R395" s="16">
        <f>参数!$B$10</f>
        <v>4</v>
      </c>
      <c r="S395" s="16">
        <f>参数!$C$10</f>
        <v>1.2</v>
      </c>
      <c r="T395" s="16">
        <f>参数!$D$10</f>
        <v>1</v>
      </c>
      <c r="U395" s="16">
        <f t="shared" si="48"/>
        <v>1210076</v>
      </c>
      <c r="V395" s="16">
        <f t="shared" si="49"/>
        <v>36204</v>
      </c>
      <c r="W395" s="16">
        <f t="shared" si="50"/>
        <v>25956</v>
      </c>
      <c r="X395" s="16">
        <f>IFERROR(INDEX(参数!$B$5:$B$7,MATCH($N395,参数!$A$5:$A$7,0)),"")</f>
        <v>1.5</v>
      </c>
      <c r="Y395" s="16">
        <f>IFERROR(INDEX(参数!$C$5:$C$7,MATCH($N395,参数!$A$5:$A$7,0)),"")</f>
        <v>1</v>
      </c>
      <c r="Z395" s="16">
        <f>IFERROR(INDEX(参数!$D$5:$D$7,MATCH($N395,参数!$A$5:$A$7,0)),"")</f>
        <v>1.5</v>
      </c>
      <c r="AA395" s="16">
        <f>IFERROR(INDEX(楼层配置!$E$5:$E$104,MATCH($K395,楼层配置!$B$5:$B$104,0)),1)</f>
        <v>1.14195974820678</v>
      </c>
      <c r="AB395" s="16">
        <f>IFERROR(INDEX(楼层配置!$F$5:$F$104,MATCH($K395,楼层配置!$B$5:$B$104,0)),1)</f>
        <v>0.710411255433773</v>
      </c>
      <c r="AC395" s="16">
        <f>IFERROR(INDEX(楼层配置!$G$5:$G$104,MATCH($K395,楼层配置!$B$5:$B$104,0)),1)</f>
        <v>1</v>
      </c>
      <c r="AD395" s="18">
        <f t="shared" si="51"/>
        <v>-0.443710342173424</v>
      </c>
      <c r="AE395" s="18">
        <f t="shared" si="52"/>
        <v>-0.282546235599319</v>
      </c>
      <c r="AF395" s="18">
        <f t="shared" si="53"/>
        <v>0.0312549663611803</v>
      </c>
      <c r="AG395" s="16" t="str">
        <f t="shared" si="54"/>
        <v>有效</v>
      </c>
      <c r="AH395">
        <f t="shared" si="55"/>
        <v>5435365.71075</v>
      </c>
    </row>
    <row r="396" ht="14.25" customHeight="1" spans="1:34">
      <c r="A396" s="16">
        <v>392</v>
      </c>
      <c r="B396" s="16">
        <v>1011</v>
      </c>
      <c r="C396" s="16">
        <v>49</v>
      </c>
      <c r="D396" s="17">
        <f>IFERROR(ROUND($U396*$X396*$AA396*参数!$B$13,0),"")</f>
        <v>1727323</v>
      </c>
      <c r="E396" s="17">
        <f>IFERROR(ROUND($V396*$Y396*$AB396*参数!$C$13,0),"")</f>
        <v>25720</v>
      </c>
      <c r="F396" s="17">
        <f>IFERROR(ROUND($W396*$Z396*$AC396*参数!$D$13,0),"")</f>
        <v>32445</v>
      </c>
      <c r="G396" s="16">
        <v>3105078</v>
      </c>
      <c r="H396" s="16">
        <v>35849</v>
      </c>
      <c r="I396" s="16">
        <v>31462</v>
      </c>
      <c r="J396" s="16">
        <v>79</v>
      </c>
      <c r="K396" s="16">
        <v>79</v>
      </c>
      <c r="L396" s="16">
        <f>IFERROR(INDEX(楼层配置!$D$5:$D$104,MATCH($K396,楼层配置!$B$5:$B$104,0)),"")</f>
        <v>253</v>
      </c>
      <c r="M396" s="16" t="str">
        <f>IFERROR(INDEX(_角色基线!$B$2:$B$100,MATCH($B396,_角色基线!$A$2:$A$100,0)),"")</f>
        <v>陈双双</v>
      </c>
      <c r="N396" s="16" t="str">
        <f>IFERROR(INDEX(_角色基线!$C$2:$C$100,MATCH($B396,_角色基线!$A$2:$A$100,0)),"")</f>
        <v>Support</v>
      </c>
      <c r="O396" s="16">
        <f>IFERROR(INDEX(_怪物基线!$B$2:$B$501,MATCH(INT($L396),_怪物基线!$A$2:$A$501,0)),"")</f>
        <v>302519</v>
      </c>
      <c r="P396" s="16">
        <f>IFERROR(INDEX(_怪物基线!$C$2:$C$501,MATCH(INT($L396),_怪物基线!$A$2:$A$501,0)),"")</f>
        <v>30170</v>
      </c>
      <c r="Q396" s="16">
        <f>IFERROR(INDEX(_怪物基线!$D$2:$D$501,MATCH(INT($L396),_怪物基线!$A$2:$A$501,0)),"")</f>
        <v>25956</v>
      </c>
      <c r="R396" s="16">
        <f>参数!$B$10</f>
        <v>4</v>
      </c>
      <c r="S396" s="16">
        <f>参数!$C$10</f>
        <v>1.2</v>
      </c>
      <c r="T396" s="16">
        <f>参数!$D$10</f>
        <v>1</v>
      </c>
      <c r="U396" s="16">
        <f t="shared" si="48"/>
        <v>1210076</v>
      </c>
      <c r="V396" s="16">
        <f t="shared" si="49"/>
        <v>36204</v>
      </c>
      <c r="W396" s="16">
        <f t="shared" si="50"/>
        <v>25956</v>
      </c>
      <c r="X396" s="16">
        <f>IFERROR(INDEX(参数!$B$5:$B$7,MATCH($N396,参数!$A$5:$A$7,0)),"")</f>
        <v>1.25</v>
      </c>
      <c r="Y396" s="16">
        <f>IFERROR(INDEX(参数!$C$5:$C$7,MATCH($N396,参数!$A$5:$A$7,0)),"")</f>
        <v>1</v>
      </c>
      <c r="Z396" s="16">
        <f>IFERROR(INDEX(参数!$D$5:$D$7,MATCH($N396,参数!$A$5:$A$7,0)),"")</f>
        <v>1.25</v>
      </c>
      <c r="AA396" s="16">
        <f>IFERROR(INDEX(楼层配置!$E$5:$E$104,MATCH($K396,楼层配置!$B$5:$B$104,0)),1)</f>
        <v>1.14195974820678</v>
      </c>
      <c r="AB396" s="16">
        <f>IFERROR(INDEX(楼层配置!$F$5:$F$104,MATCH($K396,楼层配置!$B$5:$B$104,0)),1)</f>
        <v>0.710411255433773</v>
      </c>
      <c r="AC396" s="16">
        <f>IFERROR(INDEX(楼层配置!$G$5:$G$104,MATCH($K396,楼层配置!$B$5:$B$104,0)),1)</f>
        <v>1</v>
      </c>
      <c r="AD396" s="18">
        <f t="shared" si="51"/>
        <v>-0.443710270724278</v>
      </c>
      <c r="AE396" s="18">
        <f t="shared" si="52"/>
        <v>-0.282546235599319</v>
      </c>
      <c r="AF396" s="18">
        <f t="shared" si="53"/>
        <v>0.0312440404297247</v>
      </c>
      <c r="AG396" s="16" t="str">
        <f t="shared" si="54"/>
        <v>有效</v>
      </c>
      <c r="AH396">
        <f t="shared" si="55"/>
        <v>4062447.780625</v>
      </c>
    </row>
    <row r="397" ht="14.25" customHeight="1" spans="1:34">
      <c r="A397" s="16">
        <v>393</v>
      </c>
      <c r="B397" s="16">
        <v>1013</v>
      </c>
      <c r="C397" s="16">
        <v>49</v>
      </c>
      <c r="D397" s="17">
        <f>IFERROR(ROUND($U397*$X397*$AA397*参数!$B$13,0),"")</f>
        <v>1381858</v>
      </c>
      <c r="E397" s="17">
        <f>IFERROR(ROUND($V397*$Y397*$AB397*参数!$C$13,0),"")</f>
        <v>30864</v>
      </c>
      <c r="F397" s="17">
        <f>IFERROR(ROUND($W397*$Z397*$AC397*参数!$D$13,0),"")</f>
        <v>25956</v>
      </c>
      <c r="G397" s="16">
        <v>2484062</v>
      </c>
      <c r="H397" s="16">
        <v>43018</v>
      </c>
      <c r="I397" s="16">
        <v>25169</v>
      </c>
      <c r="J397" s="16">
        <v>79</v>
      </c>
      <c r="K397" s="16">
        <v>79</v>
      </c>
      <c r="L397" s="16">
        <f>IFERROR(INDEX(楼层配置!$D$5:$D$104,MATCH($K397,楼层配置!$B$5:$B$104,0)),"")</f>
        <v>253</v>
      </c>
      <c r="M397" s="16" t="str">
        <f>IFERROR(INDEX(_角色基线!$B$2:$B$100,MATCH($B397,_角色基线!$A$2:$A$100,0)),"")</f>
        <v>夏缇拉</v>
      </c>
      <c r="N397" s="16" t="str">
        <f>IFERROR(INDEX(_角色基线!$C$2:$C$100,MATCH($B397,_角色基线!$A$2:$A$100,0)),"")</f>
        <v>DPS</v>
      </c>
      <c r="O397" s="16">
        <f>IFERROR(INDEX(_怪物基线!$B$2:$B$501,MATCH(INT($L397),_怪物基线!$A$2:$A$501,0)),"")</f>
        <v>302519</v>
      </c>
      <c r="P397" s="16">
        <f>IFERROR(INDEX(_怪物基线!$C$2:$C$501,MATCH(INT($L397),_怪物基线!$A$2:$A$501,0)),"")</f>
        <v>30170</v>
      </c>
      <c r="Q397" s="16">
        <f>IFERROR(INDEX(_怪物基线!$D$2:$D$501,MATCH(INT($L397),_怪物基线!$A$2:$A$501,0)),"")</f>
        <v>25956</v>
      </c>
      <c r="R397" s="16">
        <f>参数!$B$10</f>
        <v>4</v>
      </c>
      <c r="S397" s="16">
        <f>参数!$C$10</f>
        <v>1.2</v>
      </c>
      <c r="T397" s="16">
        <f>参数!$D$10</f>
        <v>1</v>
      </c>
      <c r="U397" s="16">
        <f t="shared" si="48"/>
        <v>1210076</v>
      </c>
      <c r="V397" s="16">
        <f t="shared" si="49"/>
        <v>36204</v>
      </c>
      <c r="W397" s="16">
        <f t="shared" si="50"/>
        <v>25956</v>
      </c>
      <c r="X397" s="16">
        <f>IFERROR(INDEX(参数!$B$5:$B$7,MATCH($N397,参数!$A$5:$A$7,0)),"")</f>
        <v>1</v>
      </c>
      <c r="Y397" s="16">
        <f>IFERROR(INDEX(参数!$C$5:$C$7,MATCH($N397,参数!$A$5:$A$7,0)),"")</f>
        <v>1.2</v>
      </c>
      <c r="Z397" s="16">
        <f>IFERROR(INDEX(参数!$D$5:$D$7,MATCH($N397,参数!$A$5:$A$7,0)),"")</f>
        <v>1</v>
      </c>
      <c r="AA397" s="16">
        <f>IFERROR(INDEX(楼层配置!$E$5:$E$104,MATCH($K397,楼层配置!$B$5:$B$104,0)),1)</f>
        <v>1.14195974820678</v>
      </c>
      <c r="AB397" s="16">
        <f>IFERROR(INDEX(楼层配置!$F$5:$F$104,MATCH($K397,楼层配置!$B$5:$B$104,0)),1)</f>
        <v>0.710411255433773</v>
      </c>
      <c r="AC397" s="16">
        <f>IFERROR(INDEX(楼层配置!$G$5:$G$104,MATCH($K397,楼层配置!$B$5:$B$104,0)),1)</f>
        <v>1</v>
      </c>
      <c r="AD397" s="18">
        <f t="shared" si="51"/>
        <v>-0.443710342173424</v>
      </c>
      <c r="AE397" s="18">
        <f t="shared" si="52"/>
        <v>-0.282532893207495</v>
      </c>
      <c r="AF397" s="18">
        <f t="shared" si="53"/>
        <v>0.0312686241010767</v>
      </c>
      <c r="AG397" s="16" t="str">
        <f t="shared" si="54"/>
        <v>有效</v>
      </c>
      <c r="AH397">
        <f t="shared" si="55"/>
        <v>2876337.427</v>
      </c>
    </row>
    <row r="398" ht="14.25" customHeight="1" spans="1:34">
      <c r="A398" s="16">
        <v>394</v>
      </c>
      <c r="B398" s="16">
        <v>1001</v>
      </c>
      <c r="C398" s="16">
        <v>49</v>
      </c>
      <c r="D398" s="17">
        <f>IFERROR(ROUND($U398*$X398*$AA398*参数!$B$13,0),"")</f>
        <v>1381858</v>
      </c>
      <c r="E398" s="17">
        <f>IFERROR(ROUND($V398*$Y398*$AB398*参数!$C$13,0),"")</f>
        <v>30864</v>
      </c>
      <c r="F398" s="17">
        <f>IFERROR(ROUND($W398*$Z398*$AC398*参数!$D$13,0),"")</f>
        <v>25956</v>
      </c>
      <c r="G398" s="16">
        <v>2484062</v>
      </c>
      <c r="H398" s="16">
        <v>43018</v>
      </c>
      <c r="I398" s="16">
        <v>25169</v>
      </c>
      <c r="J398" s="16">
        <v>79</v>
      </c>
      <c r="K398" s="16">
        <v>79</v>
      </c>
      <c r="L398" s="16">
        <f>IFERROR(INDEX(楼层配置!$D$5:$D$104,MATCH($K398,楼层配置!$B$5:$B$104,0)),"")</f>
        <v>253</v>
      </c>
      <c r="M398" s="16" t="str">
        <f>IFERROR(INDEX(_角色基线!$B$2:$B$100,MATCH($B398,_角色基线!$A$2:$A$100,0)),"")</f>
        <v>星海</v>
      </c>
      <c r="N398" s="16" t="str">
        <f>IFERROR(INDEX(_角色基线!$C$2:$C$100,MATCH($B398,_角色基线!$A$2:$A$100,0)),"")</f>
        <v>DPS</v>
      </c>
      <c r="O398" s="16">
        <f>IFERROR(INDEX(_怪物基线!$B$2:$B$501,MATCH(INT($L398),_怪物基线!$A$2:$A$501,0)),"")</f>
        <v>302519</v>
      </c>
      <c r="P398" s="16">
        <f>IFERROR(INDEX(_怪物基线!$C$2:$C$501,MATCH(INT($L398),_怪物基线!$A$2:$A$501,0)),"")</f>
        <v>30170</v>
      </c>
      <c r="Q398" s="16">
        <f>IFERROR(INDEX(_怪物基线!$D$2:$D$501,MATCH(INT($L398),_怪物基线!$A$2:$A$501,0)),"")</f>
        <v>25956</v>
      </c>
      <c r="R398" s="16">
        <f>参数!$B$10</f>
        <v>4</v>
      </c>
      <c r="S398" s="16">
        <f>参数!$C$10</f>
        <v>1.2</v>
      </c>
      <c r="T398" s="16">
        <f>参数!$D$10</f>
        <v>1</v>
      </c>
      <c r="U398" s="16">
        <f t="shared" si="48"/>
        <v>1210076</v>
      </c>
      <c r="V398" s="16">
        <f t="shared" si="49"/>
        <v>36204</v>
      </c>
      <c r="W398" s="16">
        <f t="shared" si="50"/>
        <v>25956</v>
      </c>
      <c r="X398" s="16">
        <f>IFERROR(INDEX(参数!$B$5:$B$7,MATCH($N398,参数!$A$5:$A$7,0)),"")</f>
        <v>1</v>
      </c>
      <c r="Y398" s="16">
        <f>IFERROR(INDEX(参数!$C$5:$C$7,MATCH($N398,参数!$A$5:$A$7,0)),"")</f>
        <v>1.2</v>
      </c>
      <c r="Z398" s="16">
        <f>IFERROR(INDEX(参数!$D$5:$D$7,MATCH($N398,参数!$A$5:$A$7,0)),"")</f>
        <v>1</v>
      </c>
      <c r="AA398" s="16">
        <f>IFERROR(INDEX(楼层配置!$E$5:$E$104,MATCH($K398,楼层配置!$B$5:$B$104,0)),1)</f>
        <v>1.14195974820678</v>
      </c>
      <c r="AB398" s="16">
        <f>IFERROR(INDEX(楼层配置!$F$5:$F$104,MATCH($K398,楼层配置!$B$5:$B$104,0)),1)</f>
        <v>0.710411255433773</v>
      </c>
      <c r="AC398" s="16">
        <f>IFERROR(INDEX(楼层配置!$G$5:$G$104,MATCH($K398,楼层配置!$B$5:$B$104,0)),1)</f>
        <v>1</v>
      </c>
      <c r="AD398" s="18">
        <f t="shared" si="51"/>
        <v>-0.443710342173424</v>
      </c>
      <c r="AE398" s="18">
        <f t="shared" si="52"/>
        <v>-0.282532893207495</v>
      </c>
      <c r="AF398" s="18">
        <f t="shared" si="53"/>
        <v>0.0312686241010767</v>
      </c>
      <c r="AG398" s="16" t="str">
        <f t="shared" si="54"/>
        <v>有效</v>
      </c>
      <c r="AH398">
        <f t="shared" si="55"/>
        <v>2876337.427</v>
      </c>
    </row>
    <row r="399" ht="14.25" customHeight="1" spans="1:34">
      <c r="A399" s="16">
        <v>395</v>
      </c>
      <c r="B399" s="16">
        <v>1001</v>
      </c>
      <c r="C399" s="16">
        <v>49</v>
      </c>
      <c r="D399" s="17">
        <f>IFERROR(ROUND($U399*$X399*$AA399*参数!$B$13,0),"")</f>
        <v>1381858</v>
      </c>
      <c r="E399" s="17">
        <f>IFERROR(ROUND($V399*$Y399*$AB399*参数!$C$13,0),"")</f>
        <v>30864</v>
      </c>
      <c r="F399" s="17">
        <f>IFERROR(ROUND($W399*$Z399*$AC399*参数!$D$13,0),"")</f>
        <v>25956</v>
      </c>
      <c r="G399" s="16">
        <v>2484062</v>
      </c>
      <c r="H399" s="16">
        <v>43018</v>
      </c>
      <c r="I399" s="16">
        <v>25169</v>
      </c>
      <c r="J399" s="16">
        <v>79</v>
      </c>
      <c r="K399" s="16">
        <v>79</v>
      </c>
      <c r="L399" s="16">
        <f>IFERROR(INDEX(楼层配置!$D$5:$D$104,MATCH($K399,楼层配置!$B$5:$B$104,0)),"")</f>
        <v>253</v>
      </c>
      <c r="M399" s="16" t="str">
        <f>IFERROR(INDEX(_角色基线!$B$2:$B$100,MATCH($B399,_角色基线!$A$2:$A$100,0)),"")</f>
        <v>星海</v>
      </c>
      <c r="N399" s="16" t="str">
        <f>IFERROR(INDEX(_角色基线!$C$2:$C$100,MATCH($B399,_角色基线!$A$2:$A$100,0)),"")</f>
        <v>DPS</v>
      </c>
      <c r="O399" s="16">
        <f>IFERROR(INDEX(_怪物基线!$B$2:$B$501,MATCH(INT($L399),_怪物基线!$A$2:$A$501,0)),"")</f>
        <v>302519</v>
      </c>
      <c r="P399" s="16">
        <f>IFERROR(INDEX(_怪物基线!$C$2:$C$501,MATCH(INT($L399),_怪物基线!$A$2:$A$501,0)),"")</f>
        <v>30170</v>
      </c>
      <c r="Q399" s="16">
        <f>IFERROR(INDEX(_怪物基线!$D$2:$D$501,MATCH(INT($L399),_怪物基线!$A$2:$A$501,0)),"")</f>
        <v>25956</v>
      </c>
      <c r="R399" s="16">
        <f>参数!$B$10</f>
        <v>4</v>
      </c>
      <c r="S399" s="16">
        <f>参数!$C$10</f>
        <v>1.2</v>
      </c>
      <c r="T399" s="16">
        <f>参数!$D$10</f>
        <v>1</v>
      </c>
      <c r="U399" s="16">
        <f t="shared" si="48"/>
        <v>1210076</v>
      </c>
      <c r="V399" s="16">
        <f t="shared" si="49"/>
        <v>36204</v>
      </c>
      <c r="W399" s="16">
        <f t="shared" si="50"/>
        <v>25956</v>
      </c>
      <c r="X399" s="16">
        <f>IFERROR(INDEX(参数!$B$5:$B$7,MATCH($N399,参数!$A$5:$A$7,0)),"")</f>
        <v>1</v>
      </c>
      <c r="Y399" s="16">
        <f>IFERROR(INDEX(参数!$C$5:$C$7,MATCH($N399,参数!$A$5:$A$7,0)),"")</f>
        <v>1.2</v>
      </c>
      <c r="Z399" s="16">
        <f>IFERROR(INDEX(参数!$D$5:$D$7,MATCH($N399,参数!$A$5:$A$7,0)),"")</f>
        <v>1</v>
      </c>
      <c r="AA399" s="16">
        <f>IFERROR(INDEX(楼层配置!$E$5:$E$104,MATCH($K399,楼层配置!$B$5:$B$104,0)),1)</f>
        <v>1.14195974820678</v>
      </c>
      <c r="AB399" s="16">
        <f>IFERROR(INDEX(楼层配置!$F$5:$F$104,MATCH($K399,楼层配置!$B$5:$B$104,0)),1)</f>
        <v>0.710411255433773</v>
      </c>
      <c r="AC399" s="16">
        <f>IFERROR(INDEX(楼层配置!$G$5:$G$104,MATCH($K399,楼层配置!$B$5:$B$104,0)),1)</f>
        <v>1</v>
      </c>
      <c r="AD399" s="18">
        <f t="shared" si="51"/>
        <v>-0.443710342173424</v>
      </c>
      <c r="AE399" s="18">
        <f t="shared" si="52"/>
        <v>-0.282532893207495</v>
      </c>
      <c r="AF399" s="18">
        <f t="shared" si="53"/>
        <v>0.0312686241010767</v>
      </c>
      <c r="AG399" s="16" t="str">
        <f t="shared" si="54"/>
        <v>有效</v>
      </c>
      <c r="AH399">
        <f t="shared" si="55"/>
        <v>2876337.427</v>
      </c>
    </row>
    <row r="400" ht="14.25" customHeight="1" spans="1:34">
      <c r="A400" s="16">
        <v>396</v>
      </c>
      <c r="B400" s="16">
        <v>1003</v>
      </c>
      <c r="C400" s="16">
        <v>50</v>
      </c>
      <c r="D400" s="17">
        <f>IFERROR(ROUND($U400*$X400*$AA400*参数!$B$13,0),"")</f>
        <v>2111589</v>
      </c>
      <c r="E400" s="17">
        <f>IFERROR(ROUND($V400*$Y400*$AB400*参数!$C$13,0),"")</f>
        <v>26117</v>
      </c>
      <c r="F400" s="17">
        <f>IFERROR(ROUND($W400*$Z400*$AC400*参数!$D$13,0),"")</f>
        <v>39329</v>
      </c>
      <c r="G400" s="16">
        <v>3851402</v>
      </c>
      <c r="H400" s="16">
        <v>36786</v>
      </c>
      <c r="I400" s="16">
        <v>38390</v>
      </c>
      <c r="J400" s="16">
        <v>80</v>
      </c>
      <c r="K400" s="16">
        <v>80</v>
      </c>
      <c r="L400" s="16">
        <f>IFERROR(INDEX(楼层配置!$D$5:$D$104,MATCH($K400,楼层配置!$B$5:$B$104,0)),"")</f>
        <v>255</v>
      </c>
      <c r="M400" s="16" t="str">
        <f>IFERROR(INDEX(_角色基线!$B$2:$B$100,MATCH($B400,_角色基线!$A$2:$A$100,0)),"")</f>
        <v>塔拉夏</v>
      </c>
      <c r="N400" s="16" t="str">
        <f>IFERROR(INDEX(_角色基线!$C$2:$C$100,MATCH($B400,_角色基线!$A$2:$A$100,0)),"")</f>
        <v>Tank</v>
      </c>
      <c r="O400" s="16">
        <f>IFERROR(INDEX(_怪物基线!$B$2:$B$501,MATCH(INT($L400),_怪物基线!$A$2:$A$501,0)),"")</f>
        <v>308881</v>
      </c>
      <c r="P400" s="16">
        <f>IFERROR(INDEX(_怪物基线!$C$2:$C$501,MATCH(INT($L400),_怪物基线!$A$2:$A$501,0)),"")</f>
        <v>30639</v>
      </c>
      <c r="Q400" s="16">
        <f>IFERROR(INDEX(_怪物基线!$D$2:$D$501,MATCH(INT($L400),_怪物基线!$A$2:$A$501,0)),"")</f>
        <v>26219</v>
      </c>
      <c r="R400" s="16">
        <f>参数!$B$10</f>
        <v>4</v>
      </c>
      <c r="S400" s="16">
        <f>参数!$C$10</f>
        <v>1.2</v>
      </c>
      <c r="T400" s="16">
        <f>参数!$D$10</f>
        <v>1</v>
      </c>
      <c r="U400" s="16">
        <f t="shared" si="48"/>
        <v>1235524</v>
      </c>
      <c r="V400" s="16">
        <f t="shared" si="49"/>
        <v>36766.8</v>
      </c>
      <c r="W400" s="16">
        <f t="shared" si="50"/>
        <v>26219</v>
      </c>
      <c r="X400" s="16">
        <f>IFERROR(INDEX(参数!$B$5:$B$7,MATCH($N400,参数!$A$5:$A$7,0)),"")</f>
        <v>1.5</v>
      </c>
      <c r="Y400" s="16">
        <f>IFERROR(INDEX(参数!$C$5:$C$7,MATCH($N400,参数!$A$5:$A$7,0)),"")</f>
        <v>1</v>
      </c>
      <c r="Z400" s="16">
        <f>IFERROR(INDEX(参数!$D$5:$D$7,MATCH($N400,参数!$A$5:$A$7,0)),"")</f>
        <v>1.5</v>
      </c>
      <c r="AA400" s="16">
        <f>IFERROR(INDEX(楼层配置!$E$5:$E$104,MATCH($K400,楼层配置!$B$5:$B$104,0)),1)</f>
        <v>1.13937586492705</v>
      </c>
      <c r="AB400" s="16">
        <f>IFERROR(INDEX(楼层配置!$F$5:$F$104,MATCH($K400,楼层配置!$B$5:$B$104,0)),1)</f>
        <v>0.71033240309006</v>
      </c>
      <c r="AC400" s="16">
        <f>IFERROR(INDEX(楼层配置!$G$5:$G$104,MATCH($K400,楼层配置!$B$5:$B$104,0)),1)</f>
        <v>1</v>
      </c>
      <c r="AD400" s="18">
        <f t="shared" si="51"/>
        <v>-0.451734978587018</v>
      </c>
      <c r="AE400" s="18">
        <f t="shared" si="52"/>
        <v>-0.290028815310172</v>
      </c>
      <c r="AF400" s="18">
        <f t="shared" si="53"/>
        <v>0.0244594946600678</v>
      </c>
      <c r="AG400" s="16" t="str">
        <f t="shared" si="54"/>
        <v>有效</v>
      </c>
      <c r="AH400">
        <f t="shared" si="55"/>
        <v>5571867.490875</v>
      </c>
    </row>
    <row r="401" ht="14.25" customHeight="1" spans="1:34">
      <c r="A401" s="16">
        <v>397</v>
      </c>
      <c r="B401" s="16">
        <v>1013</v>
      </c>
      <c r="C401" s="16">
        <v>50</v>
      </c>
      <c r="D401" s="17">
        <f>IFERROR(ROUND($U401*$X401*$AA401*参数!$B$13,0),"")</f>
        <v>1407726</v>
      </c>
      <c r="E401" s="17">
        <f>IFERROR(ROUND($V401*$Y401*$AB401*参数!$C$13,0),"")</f>
        <v>31340</v>
      </c>
      <c r="F401" s="17">
        <f>IFERROR(ROUND($W401*$Z401*$AC401*参数!$D$13,0),"")</f>
        <v>26219</v>
      </c>
      <c r="G401" s="16">
        <v>2567601</v>
      </c>
      <c r="H401" s="16">
        <v>44143</v>
      </c>
      <c r="I401" s="16">
        <v>25593</v>
      </c>
      <c r="J401" s="16">
        <v>80</v>
      </c>
      <c r="K401" s="16">
        <v>80</v>
      </c>
      <c r="L401" s="16">
        <f>IFERROR(INDEX(楼层配置!$D$5:$D$104,MATCH($K401,楼层配置!$B$5:$B$104,0)),"")</f>
        <v>255</v>
      </c>
      <c r="M401" s="16" t="str">
        <f>IFERROR(INDEX(_角色基线!$B$2:$B$100,MATCH($B401,_角色基线!$A$2:$A$100,0)),"")</f>
        <v>夏缇拉</v>
      </c>
      <c r="N401" s="16" t="str">
        <f>IFERROR(INDEX(_角色基线!$C$2:$C$100,MATCH($B401,_角色基线!$A$2:$A$100,0)),"")</f>
        <v>DPS</v>
      </c>
      <c r="O401" s="16">
        <f>IFERROR(INDEX(_怪物基线!$B$2:$B$501,MATCH(INT($L401),_怪物基线!$A$2:$A$501,0)),"")</f>
        <v>308881</v>
      </c>
      <c r="P401" s="16">
        <f>IFERROR(INDEX(_怪物基线!$C$2:$C$501,MATCH(INT($L401),_怪物基线!$A$2:$A$501,0)),"")</f>
        <v>30639</v>
      </c>
      <c r="Q401" s="16">
        <f>IFERROR(INDEX(_怪物基线!$D$2:$D$501,MATCH(INT($L401),_怪物基线!$A$2:$A$501,0)),"")</f>
        <v>26219</v>
      </c>
      <c r="R401" s="16">
        <f>参数!$B$10</f>
        <v>4</v>
      </c>
      <c r="S401" s="16">
        <f>参数!$C$10</f>
        <v>1.2</v>
      </c>
      <c r="T401" s="16">
        <f>参数!$D$10</f>
        <v>1</v>
      </c>
      <c r="U401" s="16">
        <f t="shared" si="48"/>
        <v>1235524</v>
      </c>
      <c r="V401" s="16">
        <f t="shared" si="49"/>
        <v>36766.8</v>
      </c>
      <c r="W401" s="16">
        <f t="shared" si="50"/>
        <v>26219</v>
      </c>
      <c r="X401" s="16">
        <f>IFERROR(INDEX(参数!$B$5:$B$7,MATCH($N401,参数!$A$5:$A$7,0)),"")</f>
        <v>1</v>
      </c>
      <c r="Y401" s="16">
        <f>IFERROR(INDEX(参数!$C$5:$C$7,MATCH($N401,参数!$A$5:$A$7,0)),"")</f>
        <v>1.2</v>
      </c>
      <c r="Z401" s="16">
        <f>IFERROR(INDEX(参数!$D$5:$D$7,MATCH($N401,参数!$A$5:$A$7,0)),"")</f>
        <v>1</v>
      </c>
      <c r="AA401" s="16">
        <f>IFERROR(INDEX(楼层配置!$E$5:$E$104,MATCH($K401,楼层配置!$B$5:$B$104,0)),1)</f>
        <v>1.13937586492705</v>
      </c>
      <c r="AB401" s="16">
        <f>IFERROR(INDEX(楼层配置!$F$5:$F$104,MATCH($K401,楼层配置!$B$5:$B$104,0)),1)</f>
        <v>0.71033240309006</v>
      </c>
      <c r="AC401" s="16">
        <f>IFERROR(INDEX(楼层配置!$G$5:$G$104,MATCH($K401,楼层配置!$B$5:$B$104,0)),1)</f>
        <v>1</v>
      </c>
      <c r="AD401" s="18">
        <f t="shared" si="51"/>
        <v>-0.451734907409679</v>
      </c>
      <c r="AE401" s="18">
        <f t="shared" si="52"/>
        <v>-0.290034660082006</v>
      </c>
      <c r="AF401" s="18">
        <f t="shared" si="53"/>
        <v>0.0244598132301801</v>
      </c>
      <c r="AG401" s="16" t="str">
        <f t="shared" si="54"/>
        <v>有效</v>
      </c>
      <c r="AH401">
        <f t="shared" si="55"/>
        <v>2945607.99975</v>
      </c>
    </row>
    <row r="402" ht="14.25" customHeight="1" spans="1:34">
      <c r="A402" s="16">
        <v>398</v>
      </c>
      <c r="B402" s="16">
        <v>1020</v>
      </c>
      <c r="C402" s="16">
        <v>50</v>
      </c>
      <c r="D402" s="17">
        <f>IFERROR(ROUND($U402*$X402*$AA402*参数!$B$13,0),"")</f>
        <v>1759658</v>
      </c>
      <c r="E402" s="17">
        <f>IFERROR(ROUND($V402*$Y402*$AB402*参数!$C$13,0),"")</f>
        <v>26117</v>
      </c>
      <c r="F402" s="17">
        <f>IFERROR(ROUND($W402*$Z402*$AC402*参数!$D$13,0),"")</f>
        <v>32774</v>
      </c>
      <c r="G402" s="16">
        <v>3209502</v>
      </c>
      <c r="H402" s="16">
        <v>36786</v>
      </c>
      <c r="I402" s="16">
        <v>31992</v>
      </c>
      <c r="J402" s="16">
        <v>80</v>
      </c>
      <c r="K402" s="16">
        <v>80</v>
      </c>
      <c r="L402" s="16">
        <f>IFERROR(INDEX(楼层配置!$D$5:$D$104,MATCH($K402,楼层配置!$B$5:$B$104,0)),"")</f>
        <v>255</v>
      </c>
      <c r="M402" s="16" t="str">
        <f>IFERROR(INDEX(_角色基线!$B$2:$B$100,MATCH($B402,_角色基线!$A$2:$A$100,0)),"")</f>
        <v>卡斯帕</v>
      </c>
      <c r="N402" s="16" t="str">
        <f>IFERROR(INDEX(_角色基线!$C$2:$C$100,MATCH($B402,_角色基线!$A$2:$A$100,0)),"")</f>
        <v>Support</v>
      </c>
      <c r="O402" s="16">
        <f>IFERROR(INDEX(_怪物基线!$B$2:$B$501,MATCH(INT($L402),_怪物基线!$A$2:$A$501,0)),"")</f>
        <v>308881</v>
      </c>
      <c r="P402" s="16">
        <f>IFERROR(INDEX(_怪物基线!$C$2:$C$501,MATCH(INT($L402),_怪物基线!$A$2:$A$501,0)),"")</f>
        <v>30639</v>
      </c>
      <c r="Q402" s="16">
        <f>IFERROR(INDEX(_怪物基线!$D$2:$D$501,MATCH(INT($L402),_怪物基线!$A$2:$A$501,0)),"")</f>
        <v>26219</v>
      </c>
      <c r="R402" s="16">
        <f>参数!$B$10</f>
        <v>4</v>
      </c>
      <c r="S402" s="16">
        <f>参数!$C$10</f>
        <v>1.2</v>
      </c>
      <c r="T402" s="16">
        <f>参数!$D$10</f>
        <v>1</v>
      </c>
      <c r="U402" s="16">
        <f t="shared" si="48"/>
        <v>1235524</v>
      </c>
      <c r="V402" s="16">
        <f t="shared" si="49"/>
        <v>36766.8</v>
      </c>
      <c r="W402" s="16">
        <f t="shared" si="50"/>
        <v>26219</v>
      </c>
      <c r="X402" s="16">
        <f>IFERROR(INDEX(参数!$B$5:$B$7,MATCH($N402,参数!$A$5:$A$7,0)),"")</f>
        <v>1.25</v>
      </c>
      <c r="Y402" s="16">
        <f>IFERROR(INDEX(参数!$C$5:$C$7,MATCH($N402,参数!$A$5:$A$7,0)),"")</f>
        <v>1</v>
      </c>
      <c r="Z402" s="16">
        <f>IFERROR(INDEX(参数!$D$5:$D$7,MATCH($N402,参数!$A$5:$A$7,0)),"")</f>
        <v>1.25</v>
      </c>
      <c r="AA402" s="16">
        <f>IFERROR(INDEX(楼层配置!$E$5:$E$104,MATCH($K402,楼层配置!$B$5:$B$104,0)),1)</f>
        <v>1.13937586492705</v>
      </c>
      <c r="AB402" s="16">
        <f>IFERROR(INDEX(楼层配置!$F$5:$F$104,MATCH($K402,楼层配置!$B$5:$B$104,0)),1)</f>
        <v>0.71033240309006</v>
      </c>
      <c r="AC402" s="16">
        <f>IFERROR(INDEX(楼层配置!$G$5:$G$104,MATCH($K402,楼层配置!$B$5:$B$104,0)),1)</f>
        <v>1</v>
      </c>
      <c r="AD402" s="18">
        <f t="shared" si="51"/>
        <v>-0.451734879741468</v>
      </c>
      <c r="AE402" s="18">
        <f t="shared" si="52"/>
        <v>-0.290028815310172</v>
      </c>
      <c r="AF402" s="18">
        <f t="shared" si="53"/>
        <v>0.0244436109027257</v>
      </c>
      <c r="AG402" s="16" t="str">
        <f t="shared" si="54"/>
        <v>有效</v>
      </c>
      <c r="AH402">
        <f t="shared" si="55"/>
        <v>4162617.63716667</v>
      </c>
    </row>
    <row r="403" ht="14.25" customHeight="1" spans="1:34">
      <c r="A403" s="16">
        <v>399</v>
      </c>
      <c r="B403" s="16">
        <v>1012</v>
      </c>
      <c r="C403" s="16">
        <v>50</v>
      </c>
      <c r="D403" s="17">
        <f>IFERROR(ROUND($U403*$X403*$AA403*参数!$B$13,0),"")</f>
        <v>1759658</v>
      </c>
      <c r="E403" s="17">
        <f>IFERROR(ROUND($V403*$Y403*$AB403*参数!$C$13,0),"")</f>
        <v>26117</v>
      </c>
      <c r="F403" s="17">
        <f>IFERROR(ROUND($W403*$Z403*$AC403*参数!$D$13,0),"")</f>
        <v>32774</v>
      </c>
      <c r="G403" s="16">
        <v>3209502</v>
      </c>
      <c r="H403" s="16">
        <v>36786</v>
      </c>
      <c r="I403" s="16">
        <v>31992</v>
      </c>
      <c r="J403" s="16">
        <v>80</v>
      </c>
      <c r="K403" s="16">
        <v>80</v>
      </c>
      <c r="L403" s="16">
        <f>IFERROR(INDEX(楼层配置!$D$5:$D$104,MATCH($K403,楼层配置!$B$5:$B$104,0)),"")</f>
        <v>255</v>
      </c>
      <c r="M403" s="16" t="str">
        <f>IFERROR(INDEX(_角色基线!$B$2:$B$100,MATCH($B403,_角色基线!$A$2:$A$100,0)),"")</f>
        <v>艾德琳</v>
      </c>
      <c r="N403" s="16" t="str">
        <f>IFERROR(INDEX(_角色基线!$C$2:$C$100,MATCH($B403,_角色基线!$A$2:$A$100,0)),"")</f>
        <v>Support</v>
      </c>
      <c r="O403" s="16">
        <f>IFERROR(INDEX(_怪物基线!$B$2:$B$501,MATCH(INT($L403),_怪物基线!$A$2:$A$501,0)),"")</f>
        <v>308881</v>
      </c>
      <c r="P403" s="16">
        <f>IFERROR(INDEX(_怪物基线!$C$2:$C$501,MATCH(INT($L403),_怪物基线!$A$2:$A$501,0)),"")</f>
        <v>30639</v>
      </c>
      <c r="Q403" s="16">
        <f>IFERROR(INDEX(_怪物基线!$D$2:$D$501,MATCH(INT($L403),_怪物基线!$A$2:$A$501,0)),"")</f>
        <v>26219</v>
      </c>
      <c r="R403" s="16">
        <f>参数!$B$10</f>
        <v>4</v>
      </c>
      <c r="S403" s="16">
        <f>参数!$C$10</f>
        <v>1.2</v>
      </c>
      <c r="T403" s="16">
        <f>参数!$D$10</f>
        <v>1</v>
      </c>
      <c r="U403" s="16">
        <f t="shared" si="48"/>
        <v>1235524</v>
      </c>
      <c r="V403" s="16">
        <f t="shared" si="49"/>
        <v>36766.8</v>
      </c>
      <c r="W403" s="16">
        <f t="shared" si="50"/>
        <v>26219</v>
      </c>
      <c r="X403" s="16">
        <f>IFERROR(INDEX(参数!$B$5:$B$7,MATCH($N403,参数!$A$5:$A$7,0)),"")</f>
        <v>1.25</v>
      </c>
      <c r="Y403" s="16">
        <f>IFERROR(INDEX(参数!$C$5:$C$7,MATCH($N403,参数!$A$5:$A$7,0)),"")</f>
        <v>1</v>
      </c>
      <c r="Z403" s="16">
        <f>IFERROR(INDEX(参数!$D$5:$D$7,MATCH($N403,参数!$A$5:$A$7,0)),"")</f>
        <v>1.25</v>
      </c>
      <c r="AA403" s="16">
        <f>IFERROR(INDEX(楼层配置!$E$5:$E$104,MATCH($K403,楼层配置!$B$5:$B$104,0)),1)</f>
        <v>1.13937586492705</v>
      </c>
      <c r="AB403" s="16">
        <f>IFERROR(INDEX(楼层配置!$F$5:$F$104,MATCH($K403,楼层配置!$B$5:$B$104,0)),1)</f>
        <v>0.71033240309006</v>
      </c>
      <c r="AC403" s="16">
        <f>IFERROR(INDEX(楼层配置!$G$5:$G$104,MATCH($K403,楼层配置!$B$5:$B$104,0)),1)</f>
        <v>1</v>
      </c>
      <c r="AD403" s="18">
        <f t="shared" si="51"/>
        <v>-0.451734879741468</v>
      </c>
      <c r="AE403" s="18">
        <f t="shared" si="52"/>
        <v>-0.290028815310172</v>
      </c>
      <c r="AF403" s="18">
        <f t="shared" si="53"/>
        <v>0.0244436109027257</v>
      </c>
      <c r="AG403" s="16" t="str">
        <f t="shared" si="54"/>
        <v>有效</v>
      </c>
      <c r="AH403">
        <f t="shared" si="55"/>
        <v>4162617.63716667</v>
      </c>
    </row>
    <row r="404" ht="14.25" customHeight="1" spans="1:34">
      <c r="A404" s="16">
        <v>400</v>
      </c>
      <c r="B404" s="16">
        <v>1018</v>
      </c>
      <c r="C404" s="16">
        <v>50</v>
      </c>
      <c r="D404" s="17">
        <f>IFERROR(ROUND($U404*$X404*$AA404*参数!$B$13,0),"")</f>
        <v>1759658</v>
      </c>
      <c r="E404" s="17">
        <f>IFERROR(ROUND($V404*$Y404*$AB404*参数!$C$13,0),"")</f>
        <v>26117</v>
      </c>
      <c r="F404" s="17">
        <f>IFERROR(ROUND($W404*$Z404*$AC404*参数!$D$13,0),"")</f>
        <v>32774</v>
      </c>
      <c r="G404" s="16">
        <v>3209502</v>
      </c>
      <c r="H404" s="16">
        <v>36786</v>
      </c>
      <c r="I404" s="16">
        <v>31992</v>
      </c>
      <c r="J404" s="16">
        <v>80</v>
      </c>
      <c r="K404" s="16">
        <v>80</v>
      </c>
      <c r="L404" s="16">
        <f>IFERROR(INDEX(楼层配置!$D$5:$D$104,MATCH($K404,楼层配置!$B$5:$B$104,0)),"")</f>
        <v>255</v>
      </c>
      <c r="M404" s="16" t="str">
        <f>IFERROR(INDEX(_角色基线!$B$2:$B$100,MATCH($B404,_角色基线!$A$2:$A$100,0)),"")</f>
        <v>埃莉诺</v>
      </c>
      <c r="N404" s="16" t="str">
        <f>IFERROR(INDEX(_角色基线!$C$2:$C$100,MATCH($B404,_角色基线!$A$2:$A$100,0)),"")</f>
        <v>Support</v>
      </c>
      <c r="O404" s="16">
        <f>IFERROR(INDEX(_怪物基线!$B$2:$B$501,MATCH(INT($L404),_怪物基线!$A$2:$A$501,0)),"")</f>
        <v>308881</v>
      </c>
      <c r="P404" s="16">
        <f>IFERROR(INDEX(_怪物基线!$C$2:$C$501,MATCH(INT($L404),_怪物基线!$A$2:$A$501,0)),"")</f>
        <v>30639</v>
      </c>
      <c r="Q404" s="16">
        <f>IFERROR(INDEX(_怪物基线!$D$2:$D$501,MATCH(INT($L404),_怪物基线!$A$2:$A$501,0)),"")</f>
        <v>26219</v>
      </c>
      <c r="R404" s="16">
        <f>参数!$B$10</f>
        <v>4</v>
      </c>
      <c r="S404" s="16">
        <f>参数!$C$10</f>
        <v>1.2</v>
      </c>
      <c r="T404" s="16">
        <f>参数!$D$10</f>
        <v>1</v>
      </c>
      <c r="U404" s="16">
        <f t="shared" si="48"/>
        <v>1235524</v>
      </c>
      <c r="V404" s="16">
        <f t="shared" si="49"/>
        <v>36766.8</v>
      </c>
      <c r="W404" s="16">
        <f t="shared" si="50"/>
        <v>26219</v>
      </c>
      <c r="X404" s="16">
        <f>IFERROR(INDEX(参数!$B$5:$B$7,MATCH($N404,参数!$A$5:$A$7,0)),"")</f>
        <v>1.25</v>
      </c>
      <c r="Y404" s="16">
        <f>IFERROR(INDEX(参数!$C$5:$C$7,MATCH($N404,参数!$A$5:$A$7,0)),"")</f>
        <v>1</v>
      </c>
      <c r="Z404" s="16">
        <f>IFERROR(INDEX(参数!$D$5:$D$7,MATCH($N404,参数!$A$5:$A$7,0)),"")</f>
        <v>1.25</v>
      </c>
      <c r="AA404" s="16">
        <f>IFERROR(INDEX(楼层配置!$E$5:$E$104,MATCH($K404,楼层配置!$B$5:$B$104,0)),1)</f>
        <v>1.13937586492705</v>
      </c>
      <c r="AB404" s="16">
        <f>IFERROR(INDEX(楼层配置!$F$5:$F$104,MATCH($K404,楼层配置!$B$5:$B$104,0)),1)</f>
        <v>0.71033240309006</v>
      </c>
      <c r="AC404" s="16">
        <f>IFERROR(INDEX(楼层配置!$G$5:$G$104,MATCH($K404,楼层配置!$B$5:$B$104,0)),1)</f>
        <v>1</v>
      </c>
      <c r="AD404" s="18">
        <f t="shared" si="51"/>
        <v>-0.451734879741468</v>
      </c>
      <c r="AE404" s="18">
        <f t="shared" si="52"/>
        <v>-0.290028815310172</v>
      </c>
      <c r="AF404" s="18">
        <f t="shared" si="53"/>
        <v>0.0244436109027257</v>
      </c>
      <c r="AG404" s="16" t="str">
        <f t="shared" si="54"/>
        <v>有效</v>
      </c>
      <c r="AH404">
        <f t="shared" si="55"/>
        <v>4162617.63716667</v>
      </c>
    </row>
    <row r="405" ht="14.25" customHeight="1" spans="1:34">
      <c r="A405" s="16">
        <v>401</v>
      </c>
      <c r="B405" s="16">
        <v>1004</v>
      </c>
      <c r="C405" s="16">
        <v>50</v>
      </c>
      <c r="D405" s="17">
        <f>IFERROR(ROUND($U405*$X405*$AA405*参数!$B$13,0),"")</f>
        <v>2125711</v>
      </c>
      <c r="E405" s="17">
        <f>IFERROR(ROUND($V405*$Y405*$AB405*参数!$C$13,0),"")</f>
        <v>26332</v>
      </c>
      <c r="F405" s="17">
        <f>IFERROR(ROUND($W405*$Z405*$AC405*参数!$D$13,0),"")</f>
        <v>39527</v>
      </c>
      <c r="G405" s="16">
        <v>3979828</v>
      </c>
      <c r="H405" s="16">
        <v>37746</v>
      </c>
      <c r="I405" s="16">
        <v>39031</v>
      </c>
      <c r="J405" s="16">
        <v>81</v>
      </c>
      <c r="K405" s="16">
        <v>81</v>
      </c>
      <c r="L405" s="16">
        <f>IFERROR(INDEX(楼层配置!$D$5:$D$104,MATCH($K405,楼层配置!$B$5:$B$104,0)),"")</f>
        <v>256</v>
      </c>
      <c r="M405" s="16" t="str">
        <f>IFERROR(INDEX(_角色基线!$B$2:$B$100,MATCH($B405,_角色基线!$A$2:$A$100,0)),"")</f>
        <v>阿芭</v>
      </c>
      <c r="N405" s="16" t="str">
        <f>IFERROR(INDEX(_角色基线!$C$2:$C$100,MATCH($B405,_角色基线!$A$2:$A$100,0)),"")</f>
        <v>Tank</v>
      </c>
      <c r="O405" s="16">
        <f>IFERROR(INDEX(_怪物基线!$B$2:$B$501,MATCH(INT($L405),_怪物基线!$A$2:$A$501,0)),"")</f>
        <v>312099</v>
      </c>
      <c r="P405" s="16">
        <f>IFERROR(INDEX(_怪物基线!$C$2:$C$501,MATCH(INT($L405),_怪物基线!$A$2:$A$501,0)),"")</f>
        <v>30876</v>
      </c>
      <c r="Q405" s="16">
        <f>IFERROR(INDEX(_怪物基线!$D$2:$D$501,MATCH(INT($L405),_怪物基线!$A$2:$A$501,0)),"")</f>
        <v>26351</v>
      </c>
      <c r="R405" s="16">
        <f>参数!$B$10</f>
        <v>4</v>
      </c>
      <c r="S405" s="16">
        <f>参数!$C$10</f>
        <v>1.2</v>
      </c>
      <c r="T405" s="16">
        <f>参数!$D$10</f>
        <v>1</v>
      </c>
      <c r="U405" s="16">
        <f t="shared" si="48"/>
        <v>1248396</v>
      </c>
      <c r="V405" s="16">
        <f t="shared" si="49"/>
        <v>37051.2</v>
      </c>
      <c r="W405" s="16">
        <f t="shared" si="50"/>
        <v>26351</v>
      </c>
      <c r="X405" s="16">
        <f>IFERROR(INDEX(参数!$B$5:$B$7,MATCH($N405,参数!$A$5:$A$7,0)),"")</f>
        <v>1.5</v>
      </c>
      <c r="Y405" s="16">
        <f>IFERROR(INDEX(参数!$C$5:$C$7,MATCH($N405,参数!$A$5:$A$7,0)),"")</f>
        <v>1</v>
      </c>
      <c r="Z405" s="16">
        <f>IFERROR(INDEX(参数!$D$5:$D$7,MATCH($N405,参数!$A$5:$A$7,0)),"")</f>
        <v>1.5</v>
      </c>
      <c r="AA405" s="16">
        <f>IFERROR(INDEX(楼层配置!$E$5:$E$104,MATCH($K405,楼层配置!$B$5:$B$104,0)),1)</f>
        <v>1.13516903460059</v>
      </c>
      <c r="AB405" s="16">
        <f>IFERROR(INDEX(楼层配置!$F$5:$F$104,MATCH($K405,楼层配置!$B$5:$B$104,0)),1)</f>
        <v>0.71068884462461</v>
      </c>
      <c r="AC405" s="16">
        <f>IFERROR(INDEX(楼层配置!$G$5:$G$104,MATCH($K405,楼层配置!$B$5:$B$104,0)),1)</f>
        <v>1</v>
      </c>
      <c r="AD405" s="18">
        <f t="shared" si="51"/>
        <v>-0.465878676163895</v>
      </c>
      <c r="AE405" s="18">
        <f t="shared" si="52"/>
        <v>-0.302389657182218</v>
      </c>
      <c r="AF405" s="18">
        <f t="shared" si="53"/>
        <v>0.0127078476083113</v>
      </c>
      <c r="AG405" s="16" t="str">
        <f t="shared" si="54"/>
        <v>有效</v>
      </c>
      <c r="AH405">
        <f t="shared" si="55"/>
        <v>5626668.44570833</v>
      </c>
    </row>
    <row r="406" ht="14.25" customHeight="1" spans="1:34">
      <c r="A406" s="16">
        <v>402</v>
      </c>
      <c r="B406" s="16">
        <v>1017</v>
      </c>
      <c r="C406" s="16">
        <v>50</v>
      </c>
      <c r="D406" s="17">
        <f>IFERROR(ROUND($U406*$X406*$AA406*参数!$B$13,0),"")</f>
        <v>1417140</v>
      </c>
      <c r="E406" s="17">
        <f>IFERROR(ROUND($V406*$Y406*$AB406*参数!$C$13,0),"")</f>
        <v>31598</v>
      </c>
      <c r="F406" s="17">
        <f>IFERROR(ROUND($W406*$Z406*$AC406*参数!$D$13,0),"")</f>
        <v>26351</v>
      </c>
      <c r="G406" s="16">
        <v>2653219</v>
      </c>
      <c r="H406" s="16">
        <v>45295</v>
      </c>
      <c r="I406" s="16">
        <v>26020</v>
      </c>
      <c r="J406" s="16">
        <v>81</v>
      </c>
      <c r="K406" s="16">
        <v>81</v>
      </c>
      <c r="L406" s="16">
        <f>IFERROR(INDEX(楼层配置!$D$5:$D$104,MATCH($K406,楼层配置!$B$5:$B$104,0)),"")</f>
        <v>256</v>
      </c>
      <c r="M406" s="16" t="str">
        <f>IFERROR(INDEX(_角色基线!$B$2:$B$100,MATCH($B406,_角色基线!$A$2:$A$100,0)),"")</f>
        <v>伊戈尔</v>
      </c>
      <c r="N406" s="16" t="str">
        <f>IFERROR(INDEX(_角色基线!$C$2:$C$100,MATCH($B406,_角色基线!$A$2:$A$100,0)),"")</f>
        <v>DPS</v>
      </c>
      <c r="O406" s="16">
        <f>IFERROR(INDEX(_怪物基线!$B$2:$B$501,MATCH(INT($L406),_怪物基线!$A$2:$A$501,0)),"")</f>
        <v>312099</v>
      </c>
      <c r="P406" s="16">
        <f>IFERROR(INDEX(_怪物基线!$C$2:$C$501,MATCH(INT($L406),_怪物基线!$A$2:$A$501,0)),"")</f>
        <v>30876</v>
      </c>
      <c r="Q406" s="16">
        <f>IFERROR(INDEX(_怪物基线!$D$2:$D$501,MATCH(INT($L406),_怪物基线!$A$2:$A$501,0)),"")</f>
        <v>26351</v>
      </c>
      <c r="R406" s="16">
        <f>参数!$B$10</f>
        <v>4</v>
      </c>
      <c r="S406" s="16">
        <f>参数!$C$10</f>
        <v>1.2</v>
      </c>
      <c r="T406" s="16">
        <f>参数!$D$10</f>
        <v>1</v>
      </c>
      <c r="U406" s="16">
        <f t="shared" si="48"/>
        <v>1248396</v>
      </c>
      <c r="V406" s="16">
        <f t="shared" si="49"/>
        <v>37051.2</v>
      </c>
      <c r="W406" s="16">
        <f t="shared" si="50"/>
        <v>26351</v>
      </c>
      <c r="X406" s="16">
        <f>IFERROR(INDEX(参数!$B$5:$B$7,MATCH($N406,参数!$A$5:$A$7,0)),"")</f>
        <v>1</v>
      </c>
      <c r="Y406" s="16">
        <f>IFERROR(INDEX(参数!$C$5:$C$7,MATCH($N406,参数!$A$5:$A$7,0)),"")</f>
        <v>1.2</v>
      </c>
      <c r="Z406" s="16">
        <f>IFERROR(INDEX(参数!$D$5:$D$7,MATCH($N406,参数!$A$5:$A$7,0)),"")</f>
        <v>1</v>
      </c>
      <c r="AA406" s="16">
        <f>IFERROR(INDEX(楼层配置!$E$5:$E$104,MATCH($K406,楼层配置!$B$5:$B$104,0)),1)</f>
        <v>1.13516903460059</v>
      </c>
      <c r="AB406" s="16">
        <f>IFERROR(INDEX(楼层配置!$F$5:$F$104,MATCH($K406,楼层配置!$B$5:$B$104,0)),1)</f>
        <v>0.71068884462461</v>
      </c>
      <c r="AC406" s="16">
        <f>IFERROR(INDEX(楼层配置!$G$5:$G$104,MATCH($K406,楼层配置!$B$5:$B$104,0)),1)</f>
        <v>1</v>
      </c>
      <c r="AD406" s="18">
        <f t="shared" si="51"/>
        <v>-0.465878994534563</v>
      </c>
      <c r="AE406" s="18">
        <f t="shared" si="52"/>
        <v>-0.302395407881665</v>
      </c>
      <c r="AF406" s="18">
        <f t="shared" si="53"/>
        <v>0.0127209838585702</v>
      </c>
      <c r="AG406" s="16" t="str">
        <f t="shared" si="54"/>
        <v>有效</v>
      </c>
      <c r="AH406">
        <f t="shared" si="55"/>
        <v>2973100.6725</v>
      </c>
    </row>
    <row r="407" ht="14.25" customHeight="1" spans="1:34">
      <c r="A407" s="16">
        <v>403</v>
      </c>
      <c r="B407" s="16">
        <v>1013</v>
      </c>
      <c r="C407" s="16">
        <v>50</v>
      </c>
      <c r="D407" s="17">
        <f>IFERROR(ROUND($U407*$X407*$AA407*参数!$B$13,0),"")</f>
        <v>1417140</v>
      </c>
      <c r="E407" s="17">
        <f>IFERROR(ROUND($V407*$Y407*$AB407*参数!$C$13,0),"")</f>
        <v>31598</v>
      </c>
      <c r="F407" s="17">
        <f>IFERROR(ROUND($W407*$Z407*$AC407*参数!$D$13,0),"")</f>
        <v>26351</v>
      </c>
      <c r="G407" s="16">
        <v>2653219</v>
      </c>
      <c r="H407" s="16">
        <v>45295</v>
      </c>
      <c r="I407" s="16">
        <v>26020</v>
      </c>
      <c r="J407" s="16">
        <v>81</v>
      </c>
      <c r="K407" s="16">
        <v>81</v>
      </c>
      <c r="L407" s="16">
        <f>IFERROR(INDEX(楼层配置!$D$5:$D$104,MATCH($K407,楼层配置!$B$5:$B$104,0)),"")</f>
        <v>256</v>
      </c>
      <c r="M407" s="16" t="str">
        <f>IFERROR(INDEX(_角色基线!$B$2:$B$100,MATCH($B407,_角色基线!$A$2:$A$100,0)),"")</f>
        <v>夏缇拉</v>
      </c>
      <c r="N407" s="16" t="str">
        <f>IFERROR(INDEX(_角色基线!$C$2:$C$100,MATCH($B407,_角色基线!$A$2:$A$100,0)),"")</f>
        <v>DPS</v>
      </c>
      <c r="O407" s="16">
        <f>IFERROR(INDEX(_怪物基线!$B$2:$B$501,MATCH(INT($L407),_怪物基线!$A$2:$A$501,0)),"")</f>
        <v>312099</v>
      </c>
      <c r="P407" s="16">
        <f>IFERROR(INDEX(_怪物基线!$C$2:$C$501,MATCH(INT($L407),_怪物基线!$A$2:$A$501,0)),"")</f>
        <v>30876</v>
      </c>
      <c r="Q407" s="16">
        <f>IFERROR(INDEX(_怪物基线!$D$2:$D$501,MATCH(INT($L407),_怪物基线!$A$2:$A$501,0)),"")</f>
        <v>26351</v>
      </c>
      <c r="R407" s="16">
        <f>参数!$B$10</f>
        <v>4</v>
      </c>
      <c r="S407" s="16">
        <f>参数!$C$10</f>
        <v>1.2</v>
      </c>
      <c r="T407" s="16">
        <f>参数!$D$10</f>
        <v>1</v>
      </c>
      <c r="U407" s="16">
        <f t="shared" si="48"/>
        <v>1248396</v>
      </c>
      <c r="V407" s="16">
        <f t="shared" si="49"/>
        <v>37051.2</v>
      </c>
      <c r="W407" s="16">
        <f t="shared" si="50"/>
        <v>26351</v>
      </c>
      <c r="X407" s="16">
        <f>IFERROR(INDEX(参数!$B$5:$B$7,MATCH($N407,参数!$A$5:$A$7,0)),"")</f>
        <v>1</v>
      </c>
      <c r="Y407" s="16">
        <f>IFERROR(INDEX(参数!$C$5:$C$7,MATCH($N407,参数!$A$5:$A$7,0)),"")</f>
        <v>1.2</v>
      </c>
      <c r="Z407" s="16">
        <f>IFERROR(INDEX(参数!$D$5:$D$7,MATCH($N407,参数!$A$5:$A$7,0)),"")</f>
        <v>1</v>
      </c>
      <c r="AA407" s="16">
        <f>IFERROR(INDEX(楼层配置!$E$5:$E$104,MATCH($K407,楼层配置!$B$5:$B$104,0)),1)</f>
        <v>1.13516903460059</v>
      </c>
      <c r="AB407" s="16">
        <f>IFERROR(INDEX(楼层配置!$F$5:$F$104,MATCH($K407,楼层配置!$B$5:$B$104,0)),1)</f>
        <v>0.71068884462461</v>
      </c>
      <c r="AC407" s="16">
        <f>IFERROR(INDEX(楼层配置!$G$5:$G$104,MATCH($K407,楼层配置!$B$5:$B$104,0)),1)</f>
        <v>1</v>
      </c>
      <c r="AD407" s="18">
        <f t="shared" si="51"/>
        <v>-0.465878994534563</v>
      </c>
      <c r="AE407" s="18">
        <f t="shared" si="52"/>
        <v>-0.302395407881665</v>
      </c>
      <c r="AF407" s="18">
        <f t="shared" si="53"/>
        <v>0.0127209838585702</v>
      </c>
      <c r="AG407" s="16" t="str">
        <f t="shared" si="54"/>
        <v>有效</v>
      </c>
      <c r="AH407">
        <f t="shared" si="55"/>
        <v>2973100.6725</v>
      </c>
    </row>
    <row r="408" ht="14.25" customHeight="1" spans="1:34">
      <c r="A408" s="16">
        <v>404</v>
      </c>
      <c r="B408" s="16">
        <v>1007</v>
      </c>
      <c r="C408" s="16">
        <v>50</v>
      </c>
      <c r="D408" s="17">
        <f>IFERROR(ROUND($U408*$X408*$AA408*参数!$B$13,0),"")</f>
        <v>1771426</v>
      </c>
      <c r="E408" s="17">
        <f>IFERROR(ROUND($V408*$Y408*$AB408*参数!$C$13,0),"")</f>
        <v>26332</v>
      </c>
      <c r="F408" s="17">
        <f>IFERROR(ROUND($W408*$Z408*$AC408*参数!$D$13,0),"")</f>
        <v>32939</v>
      </c>
      <c r="G408" s="16">
        <v>3316524</v>
      </c>
      <c r="H408" s="16">
        <v>37746</v>
      </c>
      <c r="I408" s="16">
        <v>32526</v>
      </c>
      <c r="J408" s="16">
        <v>81</v>
      </c>
      <c r="K408" s="16">
        <v>81</v>
      </c>
      <c r="L408" s="16">
        <f>IFERROR(INDEX(楼层配置!$D$5:$D$104,MATCH($K408,楼层配置!$B$5:$B$104,0)),"")</f>
        <v>256</v>
      </c>
      <c r="M408" s="16" t="str">
        <f>IFERROR(INDEX(_角色基线!$B$2:$B$100,MATCH($B408,_角色基线!$A$2:$A$100,0)),"")</f>
        <v>萨萨莉安</v>
      </c>
      <c r="N408" s="16" t="str">
        <f>IFERROR(INDEX(_角色基线!$C$2:$C$100,MATCH($B408,_角色基线!$A$2:$A$100,0)),"")</f>
        <v>Support</v>
      </c>
      <c r="O408" s="16">
        <f>IFERROR(INDEX(_怪物基线!$B$2:$B$501,MATCH(INT($L408),_怪物基线!$A$2:$A$501,0)),"")</f>
        <v>312099</v>
      </c>
      <c r="P408" s="16">
        <f>IFERROR(INDEX(_怪物基线!$C$2:$C$501,MATCH(INT($L408),_怪物基线!$A$2:$A$501,0)),"")</f>
        <v>30876</v>
      </c>
      <c r="Q408" s="16">
        <f>IFERROR(INDEX(_怪物基线!$D$2:$D$501,MATCH(INT($L408),_怪物基线!$A$2:$A$501,0)),"")</f>
        <v>26351</v>
      </c>
      <c r="R408" s="16">
        <f>参数!$B$10</f>
        <v>4</v>
      </c>
      <c r="S408" s="16">
        <f>参数!$C$10</f>
        <v>1.2</v>
      </c>
      <c r="T408" s="16">
        <f>参数!$D$10</f>
        <v>1</v>
      </c>
      <c r="U408" s="16">
        <f t="shared" si="48"/>
        <v>1248396</v>
      </c>
      <c r="V408" s="16">
        <f t="shared" si="49"/>
        <v>37051.2</v>
      </c>
      <c r="W408" s="16">
        <f t="shared" si="50"/>
        <v>26351</v>
      </c>
      <c r="X408" s="16">
        <f>IFERROR(INDEX(参数!$B$5:$B$7,MATCH($N408,参数!$A$5:$A$7,0)),"")</f>
        <v>1.25</v>
      </c>
      <c r="Y408" s="16">
        <f>IFERROR(INDEX(参数!$C$5:$C$7,MATCH($N408,参数!$A$5:$A$7,0)),"")</f>
        <v>1</v>
      </c>
      <c r="Z408" s="16">
        <f>IFERROR(INDEX(参数!$D$5:$D$7,MATCH($N408,参数!$A$5:$A$7,0)),"")</f>
        <v>1.25</v>
      </c>
      <c r="AA408" s="16">
        <f>IFERROR(INDEX(楼层配置!$E$5:$E$104,MATCH($K408,楼层配置!$B$5:$B$104,0)),1)</f>
        <v>1.13516903460059</v>
      </c>
      <c r="AB408" s="16">
        <f>IFERROR(INDEX(楼层配置!$F$5:$F$104,MATCH($K408,楼层配置!$B$5:$B$104,0)),1)</f>
        <v>0.71068884462461</v>
      </c>
      <c r="AC408" s="16">
        <f>IFERROR(INDEX(楼层配置!$G$5:$G$104,MATCH($K408,楼层配置!$B$5:$B$104,0)),1)</f>
        <v>1</v>
      </c>
      <c r="AD408" s="18">
        <f t="shared" si="51"/>
        <v>-0.465878733276165</v>
      </c>
      <c r="AE408" s="18">
        <f t="shared" si="52"/>
        <v>-0.302389657182218</v>
      </c>
      <c r="AF408" s="18">
        <f t="shared" si="53"/>
        <v>0.012697534280268</v>
      </c>
      <c r="AG408" s="16" t="str">
        <f t="shared" si="54"/>
        <v>有效</v>
      </c>
      <c r="AH408">
        <f t="shared" si="55"/>
        <v>4202634.37558333</v>
      </c>
    </row>
    <row r="409" ht="14.25" customHeight="1" spans="1:34">
      <c r="A409" s="16">
        <v>405</v>
      </c>
      <c r="B409" s="16">
        <v>1008</v>
      </c>
      <c r="C409" s="16">
        <v>50</v>
      </c>
      <c r="D409" s="17">
        <f>IFERROR(ROUND($U409*$X409*$AA409*参数!$B$13,0),"")</f>
        <v>1417140</v>
      </c>
      <c r="E409" s="17">
        <f>IFERROR(ROUND($V409*$Y409*$AB409*参数!$C$13,0),"")</f>
        <v>31598</v>
      </c>
      <c r="F409" s="17">
        <f>IFERROR(ROUND($W409*$Z409*$AC409*参数!$D$13,0),"")</f>
        <v>26351</v>
      </c>
      <c r="G409" s="16">
        <v>2653219</v>
      </c>
      <c r="H409" s="16">
        <v>45295</v>
      </c>
      <c r="I409" s="16">
        <v>26020</v>
      </c>
      <c r="J409" s="16">
        <v>81</v>
      </c>
      <c r="K409" s="16">
        <v>81</v>
      </c>
      <c r="L409" s="16">
        <f>IFERROR(INDEX(楼层配置!$D$5:$D$104,MATCH($K409,楼层配置!$B$5:$B$104,0)),"")</f>
        <v>256</v>
      </c>
      <c r="M409" s="16" t="str">
        <f>IFERROR(INDEX(_角色基线!$B$2:$B$100,MATCH($B409,_角色基线!$A$2:$A$100,0)),"")</f>
        <v>薇</v>
      </c>
      <c r="N409" s="16" t="str">
        <f>IFERROR(INDEX(_角色基线!$C$2:$C$100,MATCH($B409,_角色基线!$A$2:$A$100,0)),"")</f>
        <v>DPS</v>
      </c>
      <c r="O409" s="16">
        <f>IFERROR(INDEX(_怪物基线!$B$2:$B$501,MATCH(INT($L409),_怪物基线!$A$2:$A$501,0)),"")</f>
        <v>312099</v>
      </c>
      <c r="P409" s="16">
        <f>IFERROR(INDEX(_怪物基线!$C$2:$C$501,MATCH(INT($L409),_怪物基线!$A$2:$A$501,0)),"")</f>
        <v>30876</v>
      </c>
      <c r="Q409" s="16">
        <f>IFERROR(INDEX(_怪物基线!$D$2:$D$501,MATCH(INT($L409),_怪物基线!$A$2:$A$501,0)),"")</f>
        <v>26351</v>
      </c>
      <c r="R409" s="16">
        <f>参数!$B$10</f>
        <v>4</v>
      </c>
      <c r="S409" s="16">
        <f>参数!$C$10</f>
        <v>1.2</v>
      </c>
      <c r="T409" s="16">
        <f>参数!$D$10</f>
        <v>1</v>
      </c>
      <c r="U409" s="16">
        <f t="shared" si="48"/>
        <v>1248396</v>
      </c>
      <c r="V409" s="16">
        <f t="shared" si="49"/>
        <v>37051.2</v>
      </c>
      <c r="W409" s="16">
        <f t="shared" si="50"/>
        <v>26351</v>
      </c>
      <c r="X409" s="16">
        <f>IFERROR(INDEX(参数!$B$5:$B$7,MATCH($N409,参数!$A$5:$A$7,0)),"")</f>
        <v>1</v>
      </c>
      <c r="Y409" s="16">
        <f>IFERROR(INDEX(参数!$C$5:$C$7,MATCH($N409,参数!$A$5:$A$7,0)),"")</f>
        <v>1.2</v>
      </c>
      <c r="Z409" s="16">
        <f>IFERROR(INDEX(参数!$D$5:$D$7,MATCH($N409,参数!$A$5:$A$7,0)),"")</f>
        <v>1</v>
      </c>
      <c r="AA409" s="16">
        <f>IFERROR(INDEX(楼层配置!$E$5:$E$104,MATCH($K409,楼层配置!$B$5:$B$104,0)),1)</f>
        <v>1.13516903460059</v>
      </c>
      <c r="AB409" s="16">
        <f>IFERROR(INDEX(楼层配置!$F$5:$F$104,MATCH($K409,楼层配置!$B$5:$B$104,0)),1)</f>
        <v>0.71068884462461</v>
      </c>
      <c r="AC409" s="16">
        <f>IFERROR(INDEX(楼层配置!$G$5:$G$104,MATCH($K409,楼层配置!$B$5:$B$104,0)),1)</f>
        <v>1</v>
      </c>
      <c r="AD409" s="18">
        <f t="shared" si="51"/>
        <v>-0.465878994534563</v>
      </c>
      <c r="AE409" s="18">
        <f t="shared" si="52"/>
        <v>-0.302395407881665</v>
      </c>
      <c r="AF409" s="18">
        <f t="shared" si="53"/>
        <v>0.0127209838585702</v>
      </c>
      <c r="AG409" s="16" t="str">
        <f t="shared" si="54"/>
        <v>有效</v>
      </c>
      <c r="AH409">
        <f t="shared" si="55"/>
        <v>2973100.6725</v>
      </c>
    </row>
    <row r="410" ht="14.25" customHeight="1" spans="1:34">
      <c r="A410" s="16">
        <v>406</v>
      </c>
      <c r="B410" s="16">
        <v>1003</v>
      </c>
      <c r="C410" s="16">
        <v>51</v>
      </c>
      <c r="D410" s="17">
        <f>IFERROR(ROUND($U410*$X410*$AA410*参数!$B$13,0),"")</f>
        <v>2183850</v>
      </c>
      <c r="E410" s="17">
        <f>IFERROR(ROUND($V410*$Y410*$AB410*参数!$C$13,0),"")</f>
        <v>26873</v>
      </c>
      <c r="F410" s="17">
        <f>IFERROR(ROUND($W410*$Z410*$AC410*参数!$D$13,0),"")</f>
        <v>39924</v>
      </c>
      <c r="G410" s="16">
        <v>4111423</v>
      </c>
      <c r="H410" s="16">
        <v>38728</v>
      </c>
      <c r="I410" s="16">
        <v>39675</v>
      </c>
      <c r="J410" s="16">
        <v>82</v>
      </c>
      <c r="K410" s="16">
        <v>82</v>
      </c>
      <c r="L410" s="16">
        <f>IFERROR(INDEX(楼层配置!$D$5:$D$104,MATCH($K410,楼层配置!$B$5:$B$104,0)),"")</f>
        <v>258</v>
      </c>
      <c r="M410" s="16" t="str">
        <f>IFERROR(INDEX(_角色基线!$B$2:$B$100,MATCH($B410,_角色基线!$A$2:$A$100,0)),"")</f>
        <v>塔拉夏</v>
      </c>
      <c r="N410" s="16" t="str">
        <f>IFERROR(INDEX(_角色基线!$C$2:$C$100,MATCH($B410,_角色基线!$A$2:$A$100,0)),"")</f>
        <v>Tank</v>
      </c>
      <c r="O410" s="16">
        <f>IFERROR(INDEX(_怪物基线!$B$2:$B$501,MATCH(INT($L410),_怪物基线!$A$2:$A$501,0)),"")</f>
        <v>318612</v>
      </c>
      <c r="P410" s="16">
        <f>IFERROR(INDEX(_怪物基线!$C$2:$C$501,MATCH(INT($L410),_怪物基线!$A$2:$A$501,0)),"")</f>
        <v>31353</v>
      </c>
      <c r="Q410" s="16">
        <f>IFERROR(INDEX(_怪物基线!$D$2:$D$501,MATCH(INT($L410),_怪物基线!$A$2:$A$501,0)),"")</f>
        <v>26616</v>
      </c>
      <c r="R410" s="16">
        <f>参数!$B$10</f>
        <v>4</v>
      </c>
      <c r="S410" s="16">
        <f>参数!$C$10</f>
        <v>1.2</v>
      </c>
      <c r="T410" s="16">
        <f>参数!$D$10</f>
        <v>1</v>
      </c>
      <c r="U410" s="16">
        <f t="shared" si="48"/>
        <v>1274448</v>
      </c>
      <c r="V410" s="16">
        <f t="shared" si="49"/>
        <v>37623.6</v>
      </c>
      <c r="W410" s="16">
        <f t="shared" si="50"/>
        <v>26616</v>
      </c>
      <c r="X410" s="16">
        <f>IFERROR(INDEX(参数!$B$5:$B$7,MATCH($N410,参数!$A$5:$A$7,0)),"")</f>
        <v>1.5</v>
      </c>
      <c r="Y410" s="16">
        <f>IFERROR(INDEX(参数!$C$5:$C$7,MATCH($N410,参数!$A$5:$A$7,0)),"")</f>
        <v>1</v>
      </c>
      <c r="Z410" s="16">
        <f>IFERROR(INDEX(参数!$D$5:$D$7,MATCH($N410,参数!$A$5:$A$7,0)),"")</f>
        <v>1.5</v>
      </c>
      <c r="AA410" s="16">
        <f>IFERROR(INDEX(楼层配置!$E$5:$E$104,MATCH($K410,楼层配置!$B$5:$B$104,0)),1)</f>
        <v>1.14237690480097</v>
      </c>
      <c r="AB410" s="16">
        <f>IFERROR(INDEX(楼层配置!$F$5:$F$104,MATCH($K410,楼层配置!$B$5:$B$104,0)),1)</f>
        <v>0.714261041697692</v>
      </c>
      <c r="AC410" s="16">
        <f>IFERROR(INDEX(楼层配置!$G$5:$G$104,MATCH($K410,楼层配置!$B$5:$B$104,0)),1)</f>
        <v>1</v>
      </c>
      <c r="AD410" s="18">
        <f t="shared" si="51"/>
        <v>-0.468833540114943</v>
      </c>
      <c r="AE410" s="18">
        <f t="shared" si="52"/>
        <v>-0.306109274943194</v>
      </c>
      <c r="AF410" s="18">
        <f t="shared" si="53"/>
        <v>0.00627599243856336</v>
      </c>
      <c r="AG410" s="16" t="str">
        <f t="shared" si="54"/>
        <v>有效</v>
      </c>
      <c r="AH410">
        <f t="shared" si="55"/>
        <v>5816684.475</v>
      </c>
    </row>
    <row r="411" ht="14.25" customHeight="1" spans="1:34">
      <c r="A411" s="16">
        <v>407</v>
      </c>
      <c r="B411" s="16">
        <v>1011</v>
      </c>
      <c r="C411" s="16">
        <v>51</v>
      </c>
      <c r="D411" s="17">
        <f>IFERROR(ROUND($U411*$X411*$AA411*参数!$B$13,0),"")</f>
        <v>1819875</v>
      </c>
      <c r="E411" s="17">
        <f>IFERROR(ROUND($V411*$Y411*$AB411*参数!$C$13,0),"")</f>
        <v>26873</v>
      </c>
      <c r="F411" s="17">
        <f>IFERROR(ROUND($W411*$Z411*$AC411*参数!$D$13,0),"")</f>
        <v>33270</v>
      </c>
      <c r="G411" s="16">
        <v>3426186</v>
      </c>
      <c r="H411" s="16">
        <v>38728</v>
      </c>
      <c r="I411" s="16">
        <v>33063</v>
      </c>
      <c r="J411" s="16">
        <v>82</v>
      </c>
      <c r="K411" s="16">
        <v>82</v>
      </c>
      <c r="L411" s="16">
        <f>IFERROR(INDEX(楼层配置!$D$5:$D$104,MATCH($K411,楼层配置!$B$5:$B$104,0)),"")</f>
        <v>258</v>
      </c>
      <c r="M411" s="16" t="str">
        <f>IFERROR(INDEX(_角色基线!$B$2:$B$100,MATCH($B411,_角色基线!$A$2:$A$100,0)),"")</f>
        <v>陈双双</v>
      </c>
      <c r="N411" s="16" t="str">
        <f>IFERROR(INDEX(_角色基线!$C$2:$C$100,MATCH($B411,_角色基线!$A$2:$A$100,0)),"")</f>
        <v>Support</v>
      </c>
      <c r="O411" s="16">
        <f>IFERROR(INDEX(_怪物基线!$B$2:$B$501,MATCH(INT($L411),_怪物基线!$A$2:$A$501,0)),"")</f>
        <v>318612</v>
      </c>
      <c r="P411" s="16">
        <f>IFERROR(INDEX(_怪物基线!$C$2:$C$501,MATCH(INT($L411),_怪物基线!$A$2:$A$501,0)),"")</f>
        <v>31353</v>
      </c>
      <c r="Q411" s="16">
        <f>IFERROR(INDEX(_怪物基线!$D$2:$D$501,MATCH(INT($L411),_怪物基线!$A$2:$A$501,0)),"")</f>
        <v>26616</v>
      </c>
      <c r="R411" s="16">
        <f>参数!$B$10</f>
        <v>4</v>
      </c>
      <c r="S411" s="16">
        <f>参数!$C$10</f>
        <v>1.2</v>
      </c>
      <c r="T411" s="16">
        <f>参数!$D$10</f>
        <v>1</v>
      </c>
      <c r="U411" s="16">
        <f t="shared" si="48"/>
        <v>1274448</v>
      </c>
      <c r="V411" s="16">
        <f t="shared" si="49"/>
        <v>37623.6</v>
      </c>
      <c r="W411" s="16">
        <f t="shared" si="50"/>
        <v>26616</v>
      </c>
      <c r="X411" s="16">
        <f>IFERROR(INDEX(参数!$B$5:$B$7,MATCH($N411,参数!$A$5:$A$7,0)),"")</f>
        <v>1.25</v>
      </c>
      <c r="Y411" s="16">
        <f>IFERROR(INDEX(参数!$C$5:$C$7,MATCH($N411,参数!$A$5:$A$7,0)),"")</f>
        <v>1</v>
      </c>
      <c r="Z411" s="16">
        <f>IFERROR(INDEX(参数!$D$5:$D$7,MATCH($N411,参数!$A$5:$A$7,0)),"")</f>
        <v>1.25</v>
      </c>
      <c r="AA411" s="16">
        <f>IFERROR(INDEX(楼层配置!$E$5:$E$104,MATCH($K411,楼层配置!$B$5:$B$104,0)),1)</f>
        <v>1.14237690480097</v>
      </c>
      <c r="AB411" s="16">
        <f>IFERROR(INDEX(楼层配置!$F$5:$F$104,MATCH($K411,楼层配置!$B$5:$B$104,0)),1)</f>
        <v>0.714261041697692</v>
      </c>
      <c r="AC411" s="16">
        <f>IFERROR(INDEX(楼层配置!$G$5:$G$104,MATCH($K411,楼层配置!$B$5:$B$104,0)),1)</f>
        <v>1</v>
      </c>
      <c r="AD411" s="18">
        <f t="shared" si="51"/>
        <v>-0.468833565953512</v>
      </c>
      <c r="AE411" s="18">
        <f t="shared" si="52"/>
        <v>-0.306109274943194</v>
      </c>
      <c r="AF411" s="18">
        <f t="shared" si="53"/>
        <v>0.00626077488431176</v>
      </c>
      <c r="AG411" s="16" t="str">
        <f t="shared" si="54"/>
        <v>有效</v>
      </c>
      <c r="AH411">
        <f t="shared" si="55"/>
        <v>4342676.71875</v>
      </c>
    </row>
    <row r="412" ht="14.25" customHeight="1" spans="1:34">
      <c r="A412" s="16">
        <v>408</v>
      </c>
      <c r="B412" s="16">
        <v>1013</v>
      </c>
      <c r="C412" s="16">
        <v>51</v>
      </c>
      <c r="D412" s="17">
        <f>IFERROR(ROUND($U412*$X412*$AA412*参数!$B$13,0),"")</f>
        <v>1455900</v>
      </c>
      <c r="E412" s="17">
        <f>IFERROR(ROUND($V412*$Y412*$AB412*参数!$C$13,0),"")</f>
        <v>32248</v>
      </c>
      <c r="F412" s="17">
        <f>IFERROR(ROUND($W412*$Z412*$AC412*参数!$D$13,0),"")</f>
        <v>26616</v>
      </c>
      <c r="G412" s="16">
        <v>2740948</v>
      </c>
      <c r="H412" s="16">
        <v>46473</v>
      </c>
      <c r="I412" s="16">
        <v>26450</v>
      </c>
      <c r="J412" s="16">
        <v>82</v>
      </c>
      <c r="K412" s="16">
        <v>82</v>
      </c>
      <c r="L412" s="16">
        <f>IFERROR(INDEX(楼层配置!$D$5:$D$104,MATCH($K412,楼层配置!$B$5:$B$104,0)),"")</f>
        <v>258</v>
      </c>
      <c r="M412" s="16" t="str">
        <f>IFERROR(INDEX(_角色基线!$B$2:$B$100,MATCH($B412,_角色基线!$A$2:$A$100,0)),"")</f>
        <v>夏缇拉</v>
      </c>
      <c r="N412" s="16" t="str">
        <f>IFERROR(INDEX(_角色基线!$C$2:$C$100,MATCH($B412,_角色基线!$A$2:$A$100,0)),"")</f>
        <v>DPS</v>
      </c>
      <c r="O412" s="16">
        <f>IFERROR(INDEX(_怪物基线!$B$2:$B$501,MATCH(INT($L412),_怪物基线!$A$2:$A$501,0)),"")</f>
        <v>318612</v>
      </c>
      <c r="P412" s="16">
        <f>IFERROR(INDEX(_怪物基线!$C$2:$C$501,MATCH(INT($L412),_怪物基线!$A$2:$A$501,0)),"")</f>
        <v>31353</v>
      </c>
      <c r="Q412" s="16">
        <f>IFERROR(INDEX(_怪物基线!$D$2:$D$501,MATCH(INT($L412),_怪物基线!$A$2:$A$501,0)),"")</f>
        <v>26616</v>
      </c>
      <c r="R412" s="16">
        <f>参数!$B$10</f>
        <v>4</v>
      </c>
      <c r="S412" s="16">
        <f>参数!$C$10</f>
        <v>1.2</v>
      </c>
      <c r="T412" s="16">
        <f>参数!$D$10</f>
        <v>1</v>
      </c>
      <c r="U412" s="16">
        <f t="shared" si="48"/>
        <v>1274448</v>
      </c>
      <c r="V412" s="16">
        <f t="shared" si="49"/>
        <v>37623.6</v>
      </c>
      <c r="W412" s="16">
        <f t="shared" si="50"/>
        <v>26616</v>
      </c>
      <c r="X412" s="16">
        <f>IFERROR(INDEX(参数!$B$5:$B$7,MATCH($N412,参数!$A$5:$A$7,0)),"")</f>
        <v>1</v>
      </c>
      <c r="Y412" s="16">
        <f>IFERROR(INDEX(参数!$C$5:$C$7,MATCH($N412,参数!$A$5:$A$7,0)),"")</f>
        <v>1.2</v>
      </c>
      <c r="Z412" s="16">
        <f>IFERROR(INDEX(参数!$D$5:$D$7,MATCH($N412,参数!$A$5:$A$7,0)),"")</f>
        <v>1</v>
      </c>
      <c r="AA412" s="16">
        <f>IFERROR(INDEX(楼层配置!$E$5:$E$104,MATCH($K412,楼层配置!$B$5:$B$104,0)),1)</f>
        <v>1.14237690480097</v>
      </c>
      <c r="AB412" s="16">
        <f>IFERROR(INDEX(楼层配置!$F$5:$F$104,MATCH($K412,楼层配置!$B$5:$B$104,0)),1)</f>
        <v>0.714261041697692</v>
      </c>
      <c r="AC412" s="16">
        <f>IFERROR(INDEX(楼层配置!$G$5:$G$104,MATCH($K412,楼层配置!$B$5:$B$104,0)),1)</f>
        <v>1</v>
      </c>
      <c r="AD412" s="18">
        <f t="shared" si="51"/>
        <v>-0.468833410922061</v>
      </c>
      <c r="AE412" s="18">
        <f t="shared" si="52"/>
        <v>-0.306091709164461</v>
      </c>
      <c r="AF412" s="18">
        <f t="shared" si="53"/>
        <v>0.00627599243856336</v>
      </c>
      <c r="AG412" s="16" t="str">
        <f t="shared" si="54"/>
        <v>有效</v>
      </c>
      <c r="AH412">
        <f t="shared" si="55"/>
        <v>3070493.1</v>
      </c>
    </row>
    <row r="413" ht="14.25" customHeight="1" spans="1:34">
      <c r="A413" s="16">
        <v>409</v>
      </c>
      <c r="B413" s="16">
        <v>1017</v>
      </c>
      <c r="C413" s="16">
        <v>51</v>
      </c>
      <c r="D413" s="17">
        <f>IFERROR(ROUND($U413*$X413*$AA413*参数!$B$13,0),"")</f>
        <v>1455900</v>
      </c>
      <c r="E413" s="17">
        <f>IFERROR(ROUND($V413*$Y413*$AB413*参数!$C$13,0),"")</f>
        <v>32248</v>
      </c>
      <c r="F413" s="17">
        <f>IFERROR(ROUND($W413*$Z413*$AC413*参数!$D$13,0),"")</f>
        <v>26616</v>
      </c>
      <c r="G413" s="16">
        <v>2740948</v>
      </c>
      <c r="H413" s="16">
        <v>46473</v>
      </c>
      <c r="I413" s="16">
        <v>26450</v>
      </c>
      <c r="J413" s="16">
        <v>82</v>
      </c>
      <c r="K413" s="16">
        <v>82</v>
      </c>
      <c r="L413" s="16">
        <f>IFERROR(INDEX(楼层配置!$D$5:$D$104,MATCH($K413,楼层配置!$B$5:$B$104,0)),"")</f>
        <v>258</v>
      </c>
      <c r="M413" s="16" t="str">
        <f>IFERROR(INDEX(_角色基线!$B$2:$B$100,MATCH($B413,_角色基线!$A$2:$A$100,0)),"")</f>
        <v>伊戈尔</v>
      </c>
      <c r="N413" s="16" t="str">
        <f>IFERROR(INDEX(_角色基线!$C$2:$C$100,MATCH($B413,_角色基线!$A$2:$A$100,0)),"")</f>
        <v>DPS</v>
      </c>
      <c r="O413" s="16">
        <f>IFERROR(INDEX(_怪物基线!$B$2:$B$501,MATCH(INT($L413),_怪物基线!$A$2:$A$501,0)),"")</f>
        <v>318612</v>
      </c>
      <c r="P413" s="16">
        <f>IFERROR(INDEX(_怪物基线!$C$2:$C$501,MATCH(INT($L413),_怪物基线!$A$2:$A$501,0)),"")</f>
        <v>31353</v>
      </c>
      <c r="Q413" s="16">
        <f>IFERROR(INDEX(_怪物基线!$D$2:$D$501,MATCH(INT($L413),_怪物基线!$A$2:$A$501,0)),"")</f>
        <v>26616</v>
      </c>
      <c r="R413" s="16">
        <f>参数!$B$10</f>
        <v>4</v>
      </c>
      <c r="S413" s="16">
        <f>参数!$C$10</f>
        <v>1.2</v>
      </c>
      <c r="T413" s="16">
        <f>参数!$D$10</f>
        <v>1</v>
      </c>
      <c r="U413" s="16">
        <f t="shared" si="48"/>
        <v>1274448</v>
      </c>
      <c r="V413" s="16">
        <f t="shared" si="49"/>
        <v>37623.6</v>
      </c>
      <c r="W413" s="16">
        <f t="shared" si="50"/>
        <v>26616</v>
      </c>
      <c r="X413" s="16">
        <f>IFERROR(INDEX(参数!$B$5:$B$7,MATCH($N413,参数!$A$5:$A$7,0)),"")</f>
        <v>1</v>
      </c>
      <c r="Y413" s="16">
        <f>IFERROR(INDEX(参数!$C$5:$C$7,MATCH($N413,参数!$A$5:$A$7,0)),"")</f>
        <v>1.2</v>
      </c>
      <c r="Z413" s="16">
        <f>IFERROR(INDEX(参数!$D$5:$D$7,MATCH($N413,参数!$A$5:$A$7,0)),"")</f>
        <v>1</v>
      </c>
      <c r="AA413" s="16">
        <f>IFERROR(INDEX(楼层配置!$E$5:$E$104,MATCH($K413,楼层配置!$B$5:$B$104,0)),1)</f>
        <v>1.14237690480097</v>
      </c>
      <c r="AB413" s="16">
        <f>IFERROR(INDEX(楼层配置!$F$5:$F$104,MATCH($K413,楼层配置!$B$5:$B$104,0)),1)</f>
        <v>0.714261041697692</v>
      </c>
      <c r="AC413" s="16">
        <f>IFERROR(INDEX(楼层配置!$G$5:$G$104,MATCH($K413,楼层配置!$B$5:$B$104,0)),1)</f>
        <v>1</v>
      </c>
      <c r="AD413" s="18">
        <f t="shared" si="51"/>
        <v>-0.468833410922061</v>
      </c>
      <c r="AE413" s="18">
        <f t="shared" si="52"/>
        <v>-0.306091709164461</v>
      </c>
      <c r="AF413" s="18">
        <f t="shared" si="53"/>
        <v>0.00627599243856336</v>
      </c>
      <c r="AG413" s="16" t="str">
        <f t="shared" si="54"/>
        <v>有效</v>
      </c>
      <c r="AH413">
        <f t="shared" si="55"/>
        <v>3070493.1</v>
      </c>
    </row>
    <row r="414" ht="14.25" customHeight="1" spans="1:34">
      <c r="A414" s="16">
        <v>410</v>
      </c>
      <c r="B414" s="16">
        <v>1006</v>
      </c>
      <c r="C414" s="16">
        <v>51</v>
      </c>
      <c r="D414" s="17">
        <f>IFERROR(ROUND($U414*$X414*$AA414*参数!$B$13,0),"")</f>
        <v>1455900</v>
      </c>
      <c r="E414" s="17">
        <f>IFERROR(ROUND($V414*$Y414*$AB414*参数!$C$13,0),"")</f>
        <v>32248</v>
      </c>
      <c r="F414" s="17">
        <f>IFERROR(ROUND($W414*$Z414*$AC414*参数!$D$13,0),"")</f>
        <v>26616</v>
      </c>
      <c r="G414" s="16">
        <v>2740948</v>
      </c>
      <c r="H414" s="16">
        <v>46473</v>
      </c>
      <c r="I414" s="16">
        <v>26450</v>
      </c>
      <c r="J414" s="16">
        <v>82</v>
      </c>
      <c r="K414" s="16">
        <v>82</v>
      </c>
      <c r="L414" s="16">
        <f>IFERROR(INDEX(楼层配置!$D$5:$D$104,MATCH($K414,楼层配置!$B$5:$B$104,0)),"")</f>
        <v>258</v>
      </c>
      <c r="M414" s="16" t="str">
        <f>IFERROR(INDEX(_角色基线!$B$2:$B$100,MATCH($B414,_角色基线!$A$2:$A$100,0)),"")</f>
        <v>莉莉娅</v>
      </c>
      <c r="N414" s="16" t="str">
        <f>IFERROR(INDEX(_角色基线!$C$2:$C$100,MATCH($B414,_角色基线!$A$2:$A$100,0)),"")</f>
        <v>DPS</v>
      </c>
      <c r="O414" s="16">
        <f>IFERROR(INDEX(_怪物基线!$B$2:$B$501,MATCH(INT($L414),_怪物基线!$A$2:$A$501,0)),"")</f>
        <v>318612</v>
      </c>
      <c r="P414" s="16">
        <f>IFERROR(INDEX(_怪物基线!$C$2:$C$501,MATCH(INT($L414),_怪物基线!$A$2:$A$501,0)),"")</f>
        <v>31353</v>
      </c>
      <c r="Q414" s="16">
        <f>IFERROR(INDEX(_怪物基线!$D$2:$D$501,MATCH(INT($L414),_怪物基线!$A$2:$A$501,0)),"")</f>
        <v>26616</v>
      </c>
      <c r="R414" s="16">
        <f>参数!$B$10</f>
        <v>4</v>
      </c>
      <c r="S414" s="16">
        <f>参数!$C$10</f>
        <v>1.2</v>
      </c>
      <c r="T414" s="16">
        <f>参数!$D$10</f>
        <v>1</v>
      </c>
      <c r="U414" s="16">
        <f t="shared" si="48"/>
        <v>1274448</v>
      </c>
      <c r="V414" s="16">
        <f t="shared" si="49"/>
        <v>37623.6</v>
      </c>
      <c r="W414" s="16">
        <f t="shared" si="50"/>
        <v>26616</v>
      </c>
      <c r="X414" s="16">
        <f>IFERROR(INDEX(参数!$B$5:$B$7,MATCH($N414,参数!$A$5:$A$7,0)),"")</f>
        <v>1</v>
      </c>
      <c r="Y414" s="16">
        <f>IFERROR(INDEX(参数!$C$5:$C$7,MATCH($N414,参数!$A$5:$A$7,0)),"")</f>
        <v>1.2</v>
      </c>
      <c r="Z414" s="16">
        <f>IFERROR(INDEX(参数!$D$5:$D$7,MATCH($N414,参数!$A$5:$A$7,0)),"")</f>
        <v>1</v>
      </c>
      <c r="AA414" s="16">
        <f>IFERROR(INDEX(楼层配置!$E$5:$E$104,MATCH($K414,楼层配置!$B$5:$B$104,0)),1)</f>
        <v>1.14237690480097</v>
      </c>
      <c r="AB414" s="16">
        <f>IFERROR(INDEX(楼层配置!$F$5:$F$104,MATCH($K414,楼层配置!$B$5:$B$104,0)),1)</f>
        <v>0.714261041697692</v>
      </c>
      <c r="AC414" s="16">
        <f>IFERROR(INDEX(楼层配置!$G$5:$G$104,MATCH($K414,楼层配置!$B$5:$B$104,0)),1)</f>
        <v>1</v>
      </c>
      <c r="AD414" s="18">
        <f t="shared" si="51"/>
        <v>-0.468833410922061</v>
      </c>
      <c r="AE414" s="18">
        <f t="shared" si="52"/>
        <v>-0.306091709164461</v>
      </c>
      <c r="AF414" s="18">
        <f t="shared" si="53"/>
        <v>0.00627599243856336</v>
      </c>
      <c r="AG414" s="16" t="str">
        <f t="shared" si="54"/>
        <v>有效</v>
      </c>
      <c r="AH414">
        <f t="shared" si="55"/>
        <v>3070493.1</v>
      </c>
    </row>
    <row r="415" ht="14.25" customHeight="1" spans="1:34">
      <c r="A415" s="16">
        <v>411</v>
      </c>
      <c r="B415" s="16">
        <v>1004</v>
      </c>
      <c r="C415" s="16">
        <v>51</v>
      </c>
      <c r="D415" s="17">
        <f>IFERROR(ROUND($U415*$X415*$AA415*参数!$B$13,0),"")</f>
        <v>2202717</v>
      </c>
      <c r="E415" s="17">
        <f>IFERROR(ROUND($V415*$Y415*$AB415*参数!$C$13,0),"")</f>
        <v>27101</v>
      </c>
      <c r="F415" s="17">
        <f>IFERROR(ROUND($W415*$Z415*$AC415*参数!$D$13,0),"")</f>
        <v>40124</v>
      </c>
      <c r="G415" s="16">
        <v>4246250</v>
      </c>
      <c r="H415" s="16">
        <v>39733</v>
      </c>
      <c r="I415" s="16">
        <v>40324</v>
      </c>
      <c r="J415" s="16">
        <v>83</v>
      </c>
      <c r="K415" s="16">
        <v>83</v>
      </c>
      <c r="L415" s="16">
        <f>IFERROR(INDEX(楼层配置!$D$5:$D$104,MATCH($K415,楼层配置!$B$5:$B$104,0)),"")</f>
        <v>259</v>
      </c>
      <c r="M415" s="16" t="str">
        <f>IFERROR(INDEX(_角色基线!$B$2:$B$100,MATCH($B415,_角色基线!$A$2:$A$100,0)),"")</f>
        <v>阿芭</v>
      </c>
      <c r="N415" s="16" t="str">
        <f>IFERROR(INDEX(_角色基线!$C$2:$C$100,MATCH($B415,_角色基线!$A$2:$A$100,0)),"")</f>
        <v>Tank</v>
      </c>
      <c r="O415" s="16">
        <f>IFERROR(INDEX(_怪物基线!$B$2:$B$501,MATCH(INT($L415),_怪物基线!$A$2:$A$501,0)),"")</f>
        <v>321906</v>
      </c>
      <c r="P415" s="16">
        <f>IFERROR(INDEX(_怪物基线!$C$2:$C$501,MATCH(INT($L415),_怪物基线!$A$2:$A$501,0)),"")</f>
        <v>31592</v>
      </c>
      <c r="Q415" s="16">
        <f>IFERROR(INDEX(_怪物基线!$D$2:$D$501,MATCH(INT($L415),_怪物基线!$A$2:$A$501,0)),"")</f>
        <v>26749</v>
      </c>
      <c r="R415" s="16">
        <f>参数!$B$10</f>
        <v>4</v>
      </c>
      <c r="S415" s="16">
        <f>参数!$C$10</f>
        <v>1.2</v>
      </c>
      <c r="T415" s="16">
        <f>参数!$D$10</f>
        <v>1</v>
      </c>
      <c r="U415" s="16">
        <f t="shared" si="48"/>
        <v>1287624</v>
      </c>
      <c r="V415" s="16">
        <f t="shared" si="49"/>
        <v>37910.4</v>
      </c>
      <c r="W415" s="16">
        <f t="shared" si="50"/>
        <v>26749</v>
      </c>
      <c r="X415" s="16">
        <f>IFERROR(INDEX(参数!$B$5:$B$7,MATCH($N415,参数!$A$5:$A$7,0)),"")</f>
        <v>1.5</v>
      </c>
      <c r="Y415" s="16">
        <f>IFERROR(INDEX(参数!$C$5:$C$7,MATCH($N415,参数!$A$5:$A$7,0)),"")</f>
        <v>1</v>
      </c>
      <c r="Z415" s="16">
        <f>IFERROR(INDEX(参数!$D$5:$D$7,MATCH($N415,参数!$A$5:$A$7,0)),"")</f>
        <v>1.5</v>
      </c>
      <c r="AA415" s="16">
        <f>IFERROR(INDEX(楼层配置!$E$5:$E$104,MATCH($K415,楼层配置!$B$5:$B$104,0)),1)</f>
        <v>1.14045558732606</v>
      </c>
      <c r="AB415" s="16">
        <f>IFERROR(INDEX(楼层配置!$F$5:$F$104,MATCH($K415,楼层配置!$B$5:$B$104,0)),1)</f>
        <v>0.71487507616831</v>
      </c>
      <c r="AC415" s="16">
        <f>IFERROR(INDEX(楼层配置!$G$5:$G$104,MATCH($K415,楼层配置!$B$5:$B$104,0)),1)</f>
        <v>1</v>
      </c>
      <c r="AD415" s="18">
        <f t="shared" si="51"/>
        <v>-0.481255931704445</v>
      </c>
      <c r="AE415" s="18">
        <f t="shared" si="52"/>
        <v>-0.317922130219213</v>
      </c>
      <c r="AF415" s="18">
        <f t="shared" si="53"/>
        <v>-0.00495982541414541</v>
      </c>
      <c r="AG415" s="16" t="str">
        <f t="shared" si="54"/>
        <v>有效</v>
      </c>
      <c r="AH415">
        <f t="shared" si="55"/>
        <v>5885292.7045</v>
      </c>
    </row>
    <row r="416" ht="14.25" customHeight="1" spans="1:34">
      <c r="A416" s="16">
        <v>412</v>
      </c>
      <c r="B416" s="16">
        <v>1017</v>
      </c>
      <c r="C416" s="16">
        <v>51</v>
      </c>
      <c r="D416" s="17">
        <f>IFERROR(ROUND($U416*$X416*$AA416*参数!$B$13,0),"")</f>
        <v>1468478</v>
      </c>
      <c r="E416" s="17">
        <f>IFERROR(ROUND($V416*$Y416*$AB416*参数!$C$13,0),"")</f>
        <v>32521</v>
      </c>
      <c r="F416" s="17">
        <f>IFERROR(ROUND($W416*$Z416*$AC416*参数!$D$13,0),"")</f>
        <v>26749</v>
      </c>
      <c r="G416" s="16">
        <v>2830833</v>
      </c>
      <c r="H416" s="16">
        <v>47679</v>
      </c>
      <c r="I416" s="16">
        <v>26883</v>
      </c>
      <c r="J416" s="16">
        <v>83</v>
      </c>
      <c r="K416" s="16">
        <v>83</v>
      </c>
      <c r="L416" s="16">
        <f>IFERROR(INDEX(楼层配置!$D$5:$D$104,MATCH($K416,楼层配置!$B$5:$B$104,0)),"")</f>
        <v>259</v>
      </c>
      <c r="M416" s="16" t="str">
        <f>IFERROR(INDEX(_角色基线!$B$2:$B$100,MATCH($B416,_角色基线!$A$2:$A$100,0)),"")</f>
        <v>伊戈尔</v>
      </c>
      <c r="N416" s="16" t="str">
        <f>IFERROR(INDEX(_角色基线!$C$2:$C$100,MATCH($B416,_角色基线!$A$2:$A$100,0)),"")</f>
        <v>DPS</v>
      </c>
      <c r="O416" s="16">
        <f>IFERROR(INDEX(_怪物基线!$B$2:$B$501,MATCH(INT($L416),_怪物基线!$A$2:$A$501,0)),"")</f>
        <v>321906</v>
      </c>
      <c r="P416" s="16">
        <f>IFERROR(INDEX(_怪物基线!$C$2:$C$501,MATCH(INT($L416),_怪物基线!$A$2:$A$501,0)),"")</f>
        <v>31592</v>
      </c>
      <c r="Q416" s="16">
        <f>IFERROR(INDEX(_怪物基线!$D$2:$D$501,MATCH(INT($L416),_怪物基线!$A$2:$A$501,0)),"")</f>
        <v>26749</v>
      </c>
      <c r="R416" s="16">
        <f>参数!$B$10</f>
        <v>4</v>
      </c>
      <c r="S416" s="16">
        <f>参数!$C$10</f>
        <v>1.2</v>
      </c>
      <c r="T416" s="16">
        <f>参数!$D$10</f>
        <v>1</v>
      </c>
      <c r="U416" s="16">
        <f t="shared" si="48"/>
        <v>1287624</v>
      </c>
      <c r="V416" s="16">
        <f t="shared" si="49"/>
        <v>37910.4</v>
      </c>
      <c r="W416" s="16">
        <f t="shared" si="50"/>
        <v>26749</v>
      </c>
      <c r="X416" s="16">
        <f>IFERROR(INDEX(参数!$B$5:$B$7,MATCH($N416,参数!$A$5:$A$7,0)),"")</f>
        <v>1</v>
      </c>
      <c r="Y416" s="16">
        <f>IFERROR(INDEX(参数!$C$5:$C$7,MATCH($N416,参数!$A$5:$A$7,0)),"")</f>
        <v>1.2</v>
      </c>
      <c r="Z416" s="16">
        <f>IFERROR(INDEX(参数!$D$5:$D$7,MATCH($N416,参数!$A$5:$A$7,0)),"")</f>
        <v>1</v>
      </c>
      <c r="AA416" s="16">
        <f>IFERROR(INDEX(楼层配置!$E$5:$E$104,MATCH($K416,楼层配置!$B$5:$B$104,0)),1)</f>
        <v>1.14045558732606</v>
      </c>
      <c r="AB416" s="16">
        <f>IFERROR(INDEX(楼层配置!$F$5:$F$104,MATCH($K416,楼层配置!$B$5:$B$104,0)),1)</f>
        <v>0.71487507616831</v>
      </c>
      <c r="AC416" s="16">
        <f>IFERROR(INDEX(楼层配置!$G$5:$G$104,MATCH($K416,楼层配置!$B$5:$B$104,0)),1)</f>
        <v>1</v>
      </c>
      <c r="AD416" s="18">
        <f t="shared" si="51"/>
        <v>-0.481255870621828</v>
      </c>
      <c r="AE416" s="18">
        <f t="shared" si="52"/>
        <v>-0.317917741563372</v>
      </c>
      <c r="AF416" s="18">
        <f t="shared" si="53"/>
        <v>-0.00498456273481385</v>
      </c>
      <c r="AG416" s="16" t="str">
        <f t="shared" si="54"/>
        <v>有效</v>
      </c>
      <c r="AH416">
        <f t="shared" si="55"/>
        <v>3105157.91758333</v>
      </c>
    </row>
    <row r="417" ht="14.25" customHeight="1" spans="1:34">
      <c r="A417" s="16">
        <v>413</v>
      </c>
      <c r="B417" s="16">
        <v>1008</v>
      </c>
      <c r="C417" s="16">
        <v>51</v>
      </c>
      <c r="D417" s="17">
        <f>IFERROR(ROUND($U417*$X417*$AA417*参数!$B$13,0),"")</f>
        <v>1468478</v>
      </c>
      <c r="E417" s="17">
        <f>IFERROR(ROUND($V417*$Y417*$AB417*参数!$C$13,0),"")</f>
        <v>32521</v>
      </c>
      <c r="F417" s="17">
        <f>IFERROR(ROUND($W417*$Z417*$AC417*参数!$D$13,0),"")</f>
        <v>26749</v>
      </c>
      <c r="G417" s="16">
        <v>2830833</v>
      </c>
      <c r="H417" s="16">
        <v>47679</v>
      </c>
      <c r="I417" s="16">
        <v>26883</v>
      </c>
      <c r="J417" s="16">
        <v>83</v>
      </c>
      <c r="K417" s="16">
        <v>83</v>
      </c>
      <c r="L417" s="16">
        <f>IFERROR(INDEX(楼层配置!$D$5:$D$104,MATCH($K417,楼层配置!$B$5:$B$104,0)),"")</f>
        <v>259</v>
      </c>
      <c r="M417" s="16" t="str">
        <f>IFERROR(INDEX(_角色基线!$B$2:$B$100,MATCH($B417,_角色基线!$A$2:$A$100,0)),"")</f>
        <v>薇</v>
      </c>
      <c r="N417" s="16" t="str">
        <f>IFERROR(INDEX(_角色基线!$C$2:$C$100,MATCH($B417,_角色基线!$A$2:$A$100,0)),"")</f>
        <v>DPS</v>
      </c>
      <c r="O417" s="16">
        <f>IFERROR(INDEX(_怪物基线!$B$2:$B$501,MATCH(INT($L417),_怪物基线!$A$2:$A$501,0)),"")</f>
        <v>321906</v>
      </c>
      <c r="P417" s="16">
        <f>IFERROR(INDEX(_怪物基线!$C$2:$C$501,MATCH(INT($L417),_怪物基线!$A$2:$A$501,0)),"")</f>
        <v>31592</v>
      </c>
      <c r="Q417" s="16">
        <f>IFERROR(INDEX(_怪物基线!$D$2:$D$501,MATCH(INT($L417),_怪物基线!$A$2:$A$501,0)),"")</f>
        <v>26749</v>
      </c>
      <c r="R417" s="16">
        <f>参数!$B$10</f>
        <v>4</v>
      </c>
      <c r="S417" s="16">
        <f>参数!$C$10</f>
        <v>1.2</v>
      </c>
      <c r="T417" s="16">
        <f>参数!$D$10</f>
        <v>1</v>
      </c>
      <c r="U417" s="16">
        <f t="shared" si="48"/>
        <v>1287624</v>
      </c>
      <c r="V417" s="16">
        <f t="shared" si="49"/>
        <v>37910.4</v>
      </c>
      <c r="W417" s="16">
        <f t="shared" si="50"/>
        <v>26749</v>
      </c>
      <c r="X417" s="16">
        <f>IFERROR(INDEX(参数!$B$5:$B$7,MATCH($N417,参数!$A$5:$A$7,0)),"")</f>
        <v>1</v>
      </c>
      <c r="Y417" s="16">
        <f>IFERROR(INDEX(参数!$C$5:$C$7,MATCH($N417,参数!$A$5:$A$7,0)),"")</f>
        <v>1.2</v>
      </c>
      <c r="Z417" s="16">
        <f>IFERROR(INDEX(参数!$D$5:$D$7,MATCH($N417,参数!$A$5:$A$7,0)),"")</f>
        <v>1</v>
      </c>
      <c r="AA417" s="16">
        <f>IFERROR(INDEX(楼层配置!$E$5:$E$104,MATCH($K417,楼层配置!$B$5:$B$104,0)),1)</f>
        <v>1.14045558732606</v>
      </c>
      <c r="AB417" s="16">
        <f>IFERROR(INDEX(楼层配置!$F$5:$F$104,MATCH($K417,楼层配置!$B$5:$B$104,0)),1)</f>
        <v>0.71487507616831</v>
      </c>
      <c r="AC417" s="16">
        <f>IFERROR(INDEX(楼层配置!$G$5:$G$104,MATCH($K417,楼层配置!$B$5:$B$104,0)),1)</f>
        <v>1</v>
      </c>
      <c r="AD417" s="18">
        <f t="shared" si="51"/>
        <v>-0.481255870621828</v>
      </c>
      <c r="AE417" s="18">
        <f t="shared" si="52"/>
        <v>-0.317917741563372</v>
      </c>
      <c r="AF417" s="18">
        <f t="shared" si="53"/>
        <v>-0.00498456273481385</v>
      </c>
      <c r="AG417" s="16" t="str">
        <f t="shared" si="54"/>
        <v>有效</v>
      </c>
      <c r="AH417">
        <f t="shared" si="55"/>
        <v>3105157.91758333</v>
      </c>
    </row>
    <row r="418" ht="14.25" customHeight="1" spans="1:34">
      <c r="A418" s="16">
        <v>414</v>
      </c>
      <c r="B418" s="16">
        <v>1011</v>
      </c>
      <c r="C418" s="16">
        <v>51</v>
      </c>
      <c r="D418" s="17">
        <f>IFERROR(ROUND($U418*$X418*$AA418*参数!$B$13,0),"")</f>
        <v>1835597</v>
      </c>
      <c r="E418" s="17">
        <f>IFERROR(ROUND($V418*$Y418*$AB418*参数!$C$13,0),"")</f>
        <v>27101</v>
      </c>
      <c r="F418" s="17">
        <f>IFERROR(ROUND($W418*$Z418*$AC418*参数!$D$13,0),"")</f>
        <v>33436</v>
      </c>
      <c r="G418" s="16">
        <v>3538542</v>
      </c>
      <c r="H418" s="16">
        <v>39733</v>
      </c>
      <c r="I418" s="16">
        <v>33604</v>
      </c>
      <c r="J418" s="16">
        <v>83</v>
      </c>
      <c r="K418" s="16">
        <v>83</v>
      </c>
      <c r="L418" s="16">
        <f>IFERROR(INDEX(楼层配置!$D$5:$D$104,MATCH($K418,楼层配置!$B$5:$B$104,0)),"")</f>
        <v>259</v>
      </c>
      <c r="M418" s="16" t="str">
        <f>IFERROR(INDEX(_角色基线!$B$2:$B$100,MATCH($B418,_角色基线!$A$2:$A$100,0)),"")</f>
        <v>陈双双</v>
      </c>
      <c r="N418" s="16" t="str">
        <f>IFERROR(INDEX(_角色基线!$C$2:$C$100,MATCH($B418,_角色基线!$A$2:$A$100,0)),"")</f>
        <v>Support</v>
      </c>
      <c r="O418" s="16">
        <f>IFERROR(INDEX(_怪物基线!$B$2:$B$501,MATCH(INT($L418),_怪物基线!$A$2:$A$501,0)),"")</f>
        <v>321906</v>
      </c>
      <c r="P418" s="16">
        <f>IFERROR(INDEX(_怪物基线!$C$2:$C$501,MATCH(INT($L418),_怪物基线!$A$2:$A$501,0)),"")</f>
        <v>31592</v>
      </c>
      <c r="Q418" s="16">
        <f>IFERROR(INDEX(_怪物基线!$D$2:$D$501,MATCH(INT($L418),_怪物基线!$A$2:$A$501,0)),"")</f>
        <v>26749</v>
      </c>
      <c r="R418" s="16">
        <f>参数!$B$10</f>
        <v>4</v>
      </c>
      <c r="S418" s="16">
        <f>参数!$C$10</f>
        <v>1.2</v>
      </c>
      <c r="T418" s="16">
        <f>参数!$D$10</f>
        <v>1</v>
      </c>
      <c r="U418" s="16">
        <f t="shared" si="48"/>
        <v>1287624</v>
      </c>
      <c r="V418" s="16">
        <f t="shared" si="49"/>
        <v>37910.4</v>
      </c>
      <c r="W418" s="16">
        <f t="shared" si="50"/>
        <v>26749</v>
      </c>
      <c r="X418" s="16">
        <f>IFERROR(INDEX(参数!$B$5:$B$7,MATCH($N418,参数!$A$5:$A$7,0)),"")</f>
        <v>1.25</v>
      </c>
      <c r="Y418" s="16">
        <f>IFERROR(INDEX(参数!$C$5:$C$7,MATCH($N418,参数!$A$5:$A$7,0)),"")</f>
        <v>1</v>
      </c>
      <c r="Z418" s="16">
        <f>IFERROR(INDEX(参数!$D$5:$D$7,MATCH($N418,参数!$A$5:$A$7,0)),"")</f>
        <v>1.25</v>
      </c>
      <c r="AA418" s="16">
        <f>IFERROR(INDEX(楼层配置!$E$5:$E$104,MATCH($K418,楼层配置!$B$5:$B$104,0)),1)</f>
        <v>1.14045558732606</v>
      </c>
      <c r="AB418" s="16">
        <f>IFERROR(INDEX(楼层配置!$F$5:$F$104,MATCH($K418,楼层配置!$B$5:$B$104,0)),1)</f>
        <v>0.71487507616831</v>
      </c>
      <c r="AC418" s="16">
        <f>IFERROR(INDEX(楼层配置!$G$5:$G$104,MATCH($K418,楼层配置!$B$5:$B$104,0)),1)</f>
        <v>1</v>
      </c>
      <c r="AD418" s="18">
        <f t="shared" si="51"/>
        <v>-0.481256121871664</v>
      </c>
      <c r="AE418" s="18">
        <f t="shared" si="52"/>
        <v>-0.317922130219213</v>
      </c>
      <c r="AF418" s="18">
        <f t="shared" si="53"/>
        <v>-0.00499940483275796</v>
      </c>
      <c r="AG418" s="16" t="str">
        <f t="shared" si="54"/>
        <v>有效</v>
      </c>
      <c r="AH418">
        <f t="shared" si="55"/>
        <v>4392889.55383333</v>
      </c>
    </row>
    <row r="419" ht="14.25" customHeight="1" spans="1:34">
      <c r="A419" s="16">
        <v>415</v>
      </c>
      <c r="B419" s="16">
        <v>1006</v>
      </c>
      <c r="C419" s="16">
        <v>51</v>
      </c>
      <c r="D419" s="17">
        <f>IFERROR(ROUND($U419*$X419*$AA419*参数!$B$13,0),"")</f>
        <v>1468478</v>
      </c>
      <c r="E419" s="17">
        <f>IFERROR(ROUND($V419*$Y419*$AB419*参数!$C$13,0),"")</f>
        <v>32521</v>
      </c>
      <c r="F419" s="17">
        <f>IFERROR(ROUND($W419*$Z419*$AC419*参数!$D$13,0),"")</f>
        <v>26749</v>
      </c>
      <c r="G419" s="16">
        <v>2830833</v>
      </c>
      <c r="H419" s="16">
        <v>47679</v>
      </c>
      <c r="I419" s="16">
        <v>26883</v>
      </c>
      <c r="J419" s="16">
        <v>83</v>
      </c>
      <c r="K419" s="16">
        <v>83</v>
      </c>
      <c r="L419" s="16">
        <f>IFERROR(INDEX(楼层配置!$D$5:$D$104,MATCH($K419,楼层配置!$B$5:$B$104,0)),"")</f>
        <v>259</v>
      </c>
      <c r="M419" s="16" t="str">
        <f>IFERROR(INDEX(_角色基线!$B$2:$B$100,MATCH($B419,_角色基线!$A$2:$A$100,0)),"")</f>
        <v>莉莉娅</v>
      </c>
      <c r="N419" s="16" t="str">
        <f>IFERROR(INDEX(_角色基线!$C$2:$C$100,MATCH($B419,_角色基线!$A$2:$A$100,0)),"")</f>
        <v>DPS</v>
      </c>
      <c r="O419" s="16">
        <f>IFERROR(INDEX(_怪物基线!$B$2:$B$501,MATCH(INT($L419),_怪物基线!$A$2:$A$501,0)),"")</f>
        <v>321906</v>
      </c>
      <c r="P419" s="16">
        <f>IFERROR(INDEX(_怪物基线!$C$2:$C$501,MATCH(INT($L419),_怪物基线!$A$2:$A$501,0)),"")</f>
        <v>31592</v>
      </c>
      <c r="Q419" s="16">
        <f>IFERROR(INDEX(_怪物基线!$D$2:$D$501,MATCH(INT($L419),_怪物基线!$A$2:$A$501,0)),"")</f>
        <v>26749</v>
      </c>
      <c r="R419" s="16">
        <f>参数!$B$10</f>
        <v>4</v>
      </c>
      <c r="S419" s="16">
        <f>参数!$C$10</f>
        <v>1.2</v>
      </c>
      <c r="T419" s="16">
        <f>参数!$D$10</f>
        <v>1</v>
      </c>
      <c r="U419" s="16">
        <f t="shared" si="48"/>
        <v>1287624</v>
      </c>
      <c r="V419" s="16">
        <f t="shared" si="49"/>
        <v>37910.4</v>
      </c>
      <c r="W419" s="16">
        <f t="shared" si="50"/>
        <v>26749</v>
      </c>
      <c r="X419" s="16">
        <f>IFERROR(INDEX(参数!$B$5:$B$7,MATCH($N419,参数!$A$5:$A$7,0)),"")</f>
        <v>1</v>
      </c>
      <c r="Y419" s="16">
        <f>IFERROR(INDEX(参数!$C$5:$C$7,MATCH($N419,参数!$A$5:$A$7,0)),"")</f>
        <v>1.2</v>
      </c>
      <c r="Z419" s="16">
        <f>IFERROR(INDEX(参数!$D$5:$D$7,MATCH($N419,参数!$A$5:$A$7,0)),"")</f>
        <v>1</v>
      </c>
      <c r="AA419" s="16">
        <f>IFERROR(INDEX(楼层配置!$E$5:$E$104,MATCH($K419,楼层配置!$B$5:$B$104,0)),1)</f>
        <v>1.14045558732606</v>
      </c>
      <c r="AB419" s="16">
        <f>IFERROR(INDEX(楼层配置!$F$5:$F$104,MATCH($K419,楼层配置!$B$5:$B$104,0)),1)</f>
        <v>0.71487507616831</v>
      </c>
      <c r="AC419" s="16">
        <f>IFERROR(INDEX(楼层配置!$G$5:$G$104,MATCH($K419,楼层配置!$B$5:$B$104,0)),1)</f>
        <v>1</v>
      </c>
      <c r="AD419" s="18">
        <f t="shared" si="51"/>
        <v>-0.481255870621828</v>
      </c>
      <c r="AE419" s="18">
        <f t="shared" si="52"/>
        <v>-0.317917741563372</v>
      </c>
      <c r="AF419" s="18">
        <f t="shared" si="53"/>
        <v>-0.00498456273481385</v>
      </c>
      <c r="AG419" s="16" t="str">
        <f t="shared" si="54"/>
        <v>有效</v>
      </c>
      <c r="AH419">
        <f t="shared" si="55"/>
        <v>3105157.91758333</v>
      </c>
    </row>
    <row r="420" ht="14.25" customHeight="1" spans="1:34">
      <c r="A420" s="16">
        <v>416</v>
      </c>
      <c r="B420" s="16">
        <v>1003</v>
      </c>
      <c r="C420" s="16">
        <v>52</v>
      </c>
      <c r="D420" s="17">
        <f>IFERROR(ROUND($U420*$X420*$AA420*参数!$B$13,0),"")</f>
        <v>2222466</v>
      </c>
      <c r="E420" s="17">
        <f>IFERROR(ROUND($V420*$Y420*$AB420*参数!$C$13,0),"")</f>
        <v>27339</v>
      </c>
      <c r="F420" s="17">
        <f>IFERROR(ROUND($W420*$Z420*$AC420*参数!$D$13,0),"")</f>
        <v>40322</v>
      </c>
      <c r="G420" s="16">
        <v>4384360</v>
      </c>
      <c r="H420" s="16">
        <v>40762</v>
      </c>
      <c r="I420" s="16">
        <v>40977</v>
      </c>
      <c r="J420" s="16">
        <v>84</v>
      </c>
      <c r="K420" s="16">
        <v>84</v>
      </c>
      <c r="L420" s="16">
        <f>IFERROR(INDEX(楼层配置!$D$5:$D$104,MATCH($K420,楼层配置!$B$5:$B$104,0)),"")</f>
        <v>260</v>
      </c>
      <c r="M420" s="16" t="str">
        <f>IFERROR(INDEX(_角色基线!$B$2:$B$100,MATCH($B420,_角色基线!$A$2:$A$100,0)),"")</f>
        <v>塔拉夏</v>
      </c>
      <c r="N420" s="16" t="str">
        <f>IFERROR(INDEX(_角色基线!$C$2:$C$100,MATCH($B420,_角色基线!$A$2:$A$100,0)),"")</f>
        <v>Tank</v>
      </c>
      <c r="O420" s="16">
        <f>IFERROR(INDEX(_怪物基线!$B$2:$B$501,MATCH(INT($L420),_怪物基线!$A$2:$A$501,0)),"")</f>
        <v>325226</v>
      </c>
      <c r="P420" s="16">
        <f>IFERROR(INDEX(_怪物基线!$C$2:$C$501,MATCH(INT($L420),_怪物基线!$A$2:$A$501,0)),"")</f>
        <v>31834</v>
      </c>
      <c r="Q420" s="16">
        <f>IFERROR(INDEX(_怪物基线!$D$2:$D$501,MATCH(INT($L420),_怪物基线!$A$2:$A$501,0)),"")</f>
        <v>26881</v>
      </c>
      <c r="R420" s="16">
        <f>参数!$B$10</f>
        <v>4</v>
      </c>
      <c r="S420" s="16">
        <f>参数!$C$10</f>
        <v>1.2</v>
      </c>
      <c r="T420" s="16">
        <f>参数!$D$10</f>
        <v>1</v>
      </c>
      <c r="U420" s="16">
        <f t="shared" si="48"/>
        <v>1300904</v>
      </c>
      <c r="V420" s="16">
        <f t="shared" si="49"/>
        <v>38200.8</v>
      </c>
      <c r="W420" s="16">
        <f t="shared" si="50"/>
        <v>26881</v>
      </c>
      <c r="X420" s="16">
        <f>IFERROR(INDEX(参数!$B$5:$B$7,MATCH($N420,参数!$A$5:$A$7,0)),"")</f>
        <v>1.5</v>
      </c>
      <c r="Y420" s="16">
        <f>IFERROR(INDEX(参数!$C$5:$C$7,MATCH($N420,参数!$A$5:$A$7,0)),"")</f>
        <v>1</v>
      </c>
      <c r="Z420" s="16">
        <f>IFERROR(INDEX(参数!$D$5:$D$7,MATCH($N420,参数!$A$5:$A$7,0)),"")</f>
        <v>1.5</v>
      </c>
      <c r="AA420" s="16">
        <f>IFERROR(INDEX(楼层配置!$E$5:$E$104,MATCH($K420,楼层配置!$B$5:$B$104,0)),1)</f>
        <v>1.13893438601641</v>
      </c>
      <c r="AB420" s="16">
        <f>IFERROR(INDEX(楼层配置!$F$5:$F$104,MATCH($K420,楼层配置!$B$5:$B$104,0)),1)</f>
        <v>0.715653212565403</v>
      </c>
      <c r="AC420" s="16">
        <f>IFERROR(INDEX(楼层配置!$G$5:$G$104,MATCH($K420,楼层配置!$B$5:$B$104,0)),1)</f>
        <v>1</v>
      </c>
      <c r="AD420" s="18">
        <f t="shared" si="51"/>
        <v>-0.49309226432136</v>
      </c>
      <c r="AE420" s="18">
        <f t="shared" si="52"/>
        <v>-0.329301800696727</v>
      </c>
      <c r="AF420" s="18">
        <f t="shared" si="53"/>
        <v>-0.0159845767137663</v>
      </c>
      <c r="AG420" s="16" t="str">
        <f t="shared" si="54"/>
        <v>有效</v>
      </c>
      <c r="AH420">
        <f t="shared" si="55"/>
        <v>5956394.0855</v>
      </c>
    </row>
    <row r="421" ht="14.25" customHeight="1" spans="1:34">
      <c r="A421" s="16">
        <v>417</v>
      </c>
      <c r="B421" s="16">
        <v>1008</v>
      </c>
      <c r="C421" s="16">
        <v>52</v>
      </c>
      <c r="D421" s="17">
        <f>IFERROR(ROUND($U421*$X421*$AA421*参数!$B$13,0),"")</f>
        <v>1481644</v>
      </c>
      <c r="E421" s="17">
        <f>IFERROR(ROUND($V421*$Y421*$AB421*参数!$C$13,0),"")</f>
        <v>32806</v>
      </c>
      <c r="F421" s="17">
        <f>IFERROR(ROUND($W421*$Z421*$AC421*参数!$D$13,0),"")</f>
        <v>26881</v>
      </c>
      <c r="G421" s="16">
        <v>2922907</v>
      </c>
      <c r="H421" s="16">
        <v>48914</v>
      </c>
      <c r="I421" s="16">
        <v>27318</v>
      </c>
      <c r="J421" s="16">
        <v>84</v>
      </c>
      <c r="K421" s="16">
        <v>84</v>
      </c>
      <c r="L421" s="16">
        <f>IFERROR(INDEX(楼层配置!$D$5:$D$104,MATCH($K421,楼层配置!$B$5:$B$104,0)),"")</f>
        <v>260</v>
      </c>
      <c r="M421" s="16" t="str">
        <f>IFERROR(INDEX(_角色基线!$B$2:$B$100,MATCH($B421,_角色基线!$A$2:$A$100,0)),"")</f>
        <v>薇</v>
      </c>
      <c r="N421" s="16" t="str">
        <f>IFERROR(INDEX(_角色基线!$C$2:$C$100,MATCH($B421,_角色基线!$A$2:$A$100,0)),"")</f>
        <v>DPS</v>
      </c>
      <c r="O421" s="16">
        <f>IFERROR(INDEX(_怪物基线!$B$2:$B$501,MATCH(INT($L421),_怪物基线!$A$2:$A$501,0)),"")</f>
        <v>325226</v>
      </c>
      <c r="P421" s="16">
        <f>IFERROR(INDEX(_怪物基线!$C$2:$C$501,MATCH(INT($L421),_怪物基线!$A$2:$A$501,0)),"")</f>
        <v>31834</v>
      </c>
      <c r="Q421" s="16">
        <f>IFERROR(INDEX(_怪物基线!$D$2:$D$501,MATCH(INT($L421),_怪物基线!$A$2:$A$501,0)),"")</f>
        <v>26881</v>
      </c>
      <c r="R421" s="16">
        <f>参数!$B$10</f>
        <v>4</v>
      </c>
      <c r="S421" s="16">
        <f>参数!$C$10</f>
        <v>1.2</v>
      </c>
      <c r="T421" s="16">
        <f>参数!$D$10</f>
        <v>1</v>
      </c>
      <c r="U421" s="16">
        <f t="shared" si="48"/>
        <v>1300904</v>
      </c>
      <c r="V421" s="16">
        <f t="shared" si="49"/>
        <v>38200.8</v>
      </c>
      <c r="W421" s="16">
        <f t="shared" si="50"/>
        <v>26881</v>
      </c>
      <c r="X421" s="16">
        <f>IFERROR(INDEX(参数!$B$5:$B$7,MATCH($N421,参数!$A$5:$A$7,0)),"")</f>
        <v>1</v>
      </c>
      <c r="Y421" s="16">
        <f>IFERROR(INDEX(参数!$C$5:$C$7,MATCH($N421,参数!$A$5:$A$7,0)),"")</f>
        <v>1.2</v>
      </c>
      <c r="Z421" s="16">
        <f>IFERROR(INDEX(参数!$D$5:$D$7,MATCH($N421,参数!$A$5:$A$7,0)),"")</f>
        <v>1</v>
      </c>
      <c r="AA421" s="16">
        <f>IFERROR(INDEX(楼层配置!$E$5:$E$104,MATCH($K421,楼层配置!$B$5:$B$104,0)),1)</f>
        <v>1.13893438601641</v>
      </c>
      <c r="AB421" s="16">
        <f>IFERROR(INDEX(楼层配置!$F$5:$F$104,MATCH($K421,楼层配置!$B$5:$B$104,0)),1)</f>
        <v>0.715653212565403</v>
      </c>
      <c r="AC421" s="16">
        <f>IFERROR(INDEX(楼层配置!$G$5:$G$104,MATCH($K421,楼层配置!$B$5:$B$104,0)),1)</f>
        <v>1</v>
      </c>
      <c r="AD421" s="18">
        <f t="shared" si="51"/>
        <v>-0.493092322129989</v>
      </c>
      <c r="AE421" s="18">
        <f t="shared" si="52"/>
        <v>-0.329312671218874</v>
      </c>
      <c r="AF421" s="18">
        <f t="shared" si="53"/>
        <v>-0.0159967786807234</v>
      </c>
      <c r="AG421" s="16" t="str">
        <f t="shared" si="54"/>
        <v>有效</v>
      </c>
      <c r="AH421">
        <f t="shared" si="55"/>
        <v>3141147.01516667</v>
      </c>
    </row>
    <row r="422" ht="14.25" customHeight="1" spans="1:34">
      <c r="A422" s="16">
        <v>418</v>
      </c>
      <c r="B422" s="16">
        <v>1008</v>
      </c>
      <c r="C422" s="16">
        <v>52</v>
      </c>
      <c r="D422" s="17">
        <f>IFERROR(ROUND($U422*$X422*$AA422*参数!$B$13,0),"")</f>
        <v>1481644</v>
      </c>
      <c r="E422" s="17">
        <f>IFERROR(ROUND($V422*$Y422*$AB422*参数!$C$13,0),"")</f>
        <v>32806</v>
      </c>
      <c r="F422" s="17">
        <f>IFERROR(ROUND($W422*$Z422*$AC422*参数!$D$13,0),"")</f>
        <v>26881</v>
      </c>
      <c r="G422" s="16">
        <v>2922907</v>
      </c>
      <c r="H422" s="16">
        <v>48914</v>
      </c>
      <c r="I422" s="16">
        <v>27318</v>
      </c>
      <c r="J422" s="16">
        <v>84</v>
      </c>
      <c r="K422" s="16">
        <v>84</v>
      </c>
      <c r="L422" s="16">
        <f>IFERROR(INDEX(楼层配置!$D$5:$D$104,MATCH($K422,楼层配置!$B$5:$B$104,0)),"")</f>
        <v>260</v>
      </c>
      <c r="M422" s="16" t="str">
        <f>IFERROR(INDEX(_角色基线!$B$2:$B$100,MATCH($B422,_角色基线!$A$2:$A$100,0)),"")</f>
        <v>薇</v>
      </c>
      <c r="N422" s="16" t="str">
        <f>IFERROR(INDEX(_角色基线!$C$2:$C$100,MATCH($B422,_角色基线!$A$2:$A$100,0)),"")</f>
        <v>DPS</v>
      </c>
      <c r="O422" s="16">
        <f>IFERROR(INDEX(_怪物基线!$B$2:$B$501,MATCH(INT($L422),_怪物基线!$A$2:$A$501,0)),"")</f>
        <v>325226</v>
      </c>
      <c r="P422" s="16">
        <f>IFERROR(INDEX(_怪物基线!$C$2:$C$501,MATCH(INT($L422),_怪物基线!$A$2:$A$501,0)),"")</f>
        <v>31834</v>
      </c>
      <c r="Q422" s="16">
        <f>IFERROR(INDEX(_怪物基线!$D$2:$D$501,MATCH(INT($L422),_怪物基线!$A$2:$A$501,0)),"")</f>
        <v>26881</v>
      </c>
      <c r="R422" s="16">
        <f>参数!$B$10</f>
        <v>4</v>
      </c>
      <c r="S422" s="16">
        <f>参数!$C$10</f>
        <v>1.2</v>
      </c>
      <c r="T422" s="16">
        <f>参数!$D$10</f>
        <v>1</v>
      </c>
      <c r="U422" s="16">
        <f t="shared" si="48"/>
        <v>1300904</v>
      </c>
      <c r="V422" s="16">
        <f t="shared" si="49"/>
        <v>38200.8</v>
      </c>
      <c r="W422" s="16">
        <f t="shared" si="50"/>
        <v>26881</v>
      </c>
      <c r="X422" s="16">
        <f>IFERROR(INDEX(参数!$B$5:$B$7,MATCH($N422,参数!$A$5:$A$7,0)),"")</f>
        <v>1</v>
      </c>
      <c r="Y422" s="16">
        <f>IFERROR(INDEX(参数!$C$5:$C$7,MATCH($N422,参数!$A$5:$A$7,0)),"")</f>
        <v>1.2</v>
      </c>
      <c r="Z422" s="16">
        <f>IFERROR(INDEX(参数!$D$5:$D$7,MATCH($N422,参数!$A$5:$A$7,0)),"")</f>
        <v>1</v>
      </c>
      <c r="AA422" s="16">
        <f>IFERROR(INDEX(楼层配置!$E$5:$E$104,MATCH($K422,楼层配置!$B$5:$B$104,0)),1)</f>
        <v>1.13893438601641</v>
      </c>
      <c r="AB422" s="16">
        <f>IFERROR(INDEX(楼层配置!$F$5:$F$104,MATCH($K422,楼层配置!$B$5:$B$104,0)),1)</f>
        <v>0.715653212565403</v>
      </c>
      <c r="AC422" s="16">
        <f>IFERROR(INDEX(楼层配置!$G$5:$G$104,MATCH($K422,楼层配置!$B$5:$B$104,0)),1)</f>
        <v>1</v>
      </c>
      <c r="AD422" s="18">
        <f t="shared" si="51"/>
        <v>-0.493092322129989</v>
      </c>
      <c r="AE422" s="18">
        <f t="shared" si="52"/>
        <v>-0.329312671218874</v>
      </c>
      <c r="AF422" s="18">
        <f t="shared" si="53"/>
        <v>-0.0159967786807234</v>
      </c>
      <c r="AG422" s="16" t="str">
        <f t="shared" si="54"/>
        <v>有效</v>
      </c>
      <c r="AH422">
        <f t="shared" si="55"/>
        <v>3141147.01516667</v>
      </c>
    </row>
    <row r="423" ht="14.25" customHeight="1" spans="1:34">
      <c r="A423" s="16">
        <v>419</v>
      </c>
      <c r="B423" s="16">
        <v>1007</v>
      </c>
      <c r="C423" s="16">
        <v>52</v>
      </c>
      <c r="D423" s="17">
        <f>IFERROR(ROUND($U423*$X423*$AA423*参数!$B$13,0),"")</f>
        <v>1852055</v>
      </c>
      <c r="E423" s="17">
        <f>IFERROR(ROUND($V423*$Y423*$AB423*参数!$C$13,0),"")</f>
        <v>27339</v>
      </c>
      <c r="F423" s="17">
        <f>IFERROR(ROUND($W423*$Z423*$AC423*参数!$D$13,0),"")</f>
        <v>33601</v>
      </c>
      <c r="G423" s="16">
        <v>3653634</v>
      </c>
      <c r="H423" s="16">
        <v>40762</v>
      </c>
      <c r="I423" s="16">
        <v>34148</v>
      </c>
      <c r="J423" s="16">
        <v>84</v>
      </c>
      <c r="K423" s="16">
        <v>84</v>
      </c>
      <c r="L423" s="16">
        <f>IFERROR(INDEX(楼层配置!$D$5:$D$104,MATCH($K423,楼层配置!$B$5:$B$104,0)),"")</f>
        <v>260</v>
      </c>
      <c r="M423" s="16" t="str">
        <f>IFERROR(INDEX(_角色基线!$B$2:$B$100,MATCH($B423,_角色基线!$A$2:$A$100,0)),"")</f>
        <v>萨萨莉安</v>
      </c>
      <c r="N423" s="16" t="str">
        <f>IFERROR(INDEX(_角色基线!$C$2:$C$100,MATCH($B423,_角色基线!$A$2:$A$100,0)),"")</f>
        <v>Support</v>
      </c>
      <c r="O423" s="16">
        <f>IFERROR(INDEX(_怪物基线!$B$2:$B$501,MATCH(INT($L423),_怪物基线!$A$2:$A$501,0)),"")</f>
        <v>325226</v>
      </c>
      <c r="P423" s="16">
        <f>IFERROR(INDEX(_怪物基线!$C$2:$C$501,MATCH(INT($L423),_怪物基线!$A$2:$A$501,0)),"")</f>
        <v>31834</v>
      </c>
      <c r="Q423" s="16">
        <f>IFERROR(INDEX(_怪物基线!$D$2:$D$501,MATCH(INT($L423),_怪物基线!$A$2:$A$501,0)),"")</f>
        <v>26881</v>
      </c>
      <c r="R423" s="16">
        <f>参数!$B$10</f>
        <v>4</v>
      </c>
      <c r="S423" s="16">
        <f>参数!$C$10</f>
        <v>1.2</v>
      </c>
      <c r="T423" s="16">
        <f>参数!$D$10</f>
        <v>1</v>
      </c>
      <c r="U423" s="16">
        <f t="shared" si="48"/>
        <v>1300904</v>
      </c>
      <c r="V423" s="16">
        <f t="shared" si="49"/>
        <v>38200.8</v>
      </c>
      <c r="W423" s="16">
        <f t="shared" si="50"/>
        <v>26881</v>
      </c>
      <c r="X423" s="16">
        <f>IFERROR(INDEX(参数!$B$5:$B$7,MATCH($N423,参数!$A$5:$A$7,0)),"")</f>
        <v>1.25</v>
      </c>
      <c r="Y423" s="16">
        <f>IFERROR(INDEX(参数!$C$5:$C$7,MATCH($N423,参数!$A$5:$A$7,0)),"")</f>
        <v>1</v>
      </c>
      <c r="Z423" s="16">
        <f>IFERROR(INDEX(参数!$D$5:$D$7,MATCH($N423,参数!$A$5:$A$7,0)),"")</f>
        <v>1.25</v>
      </c>
      <c r="AA423" s="16">
        <f>IFERROR(INDEX(楼层配置!$E$5:$E$104,MATCH($K423,楼层配置!$B$5:$B$104,0)),1)</f>
        <v>1.13893438601641</v>
      </c>
      <c r="AB423" s="16">
        <f>IFERROR(INDEX(楼层配置!$F$5:$F$104,MATCH($K423,楼层配置!$B$5:$B$104,0)),1)</f>
        <v>0.715653212565403</v>
      </c>
      <c r="AC423" s="16">
        <f>IFERROR(INDEX(楼层配置!$G$5:$G$104,MATCH($K423,楼层配置!$B$5:$B$104,0)),1)</f>
        <v>1</v>
      </c>
      <c r="AD423" s="18">
        <f t="shared" si="51"/>
        <v>-0.49309235681516</v>
      </c>
      <c r="AE423" s="18">
        <f t="shared" si="52"/>
        <v>-0.329301800696727</v>
      </c>
      <c r="AF423" s="18">
        <f t="shared" si="53"/>
        <v>-0.0160185076724845</v>
      </c>
      <c r="AG423" s="16" t="str">
        <f t="shared" si="54"/>
        <v>有效</v>
      </c>
      <c r="AH423">
        <f t="shared" si="55"/>
        <v>4445009.16895833</v>
      </c>
    </row>
    <row r="424" ht="14.25" customHeight="1" spans="1:34">
      <c r="A424" s="16">
        <v>420</v>
      </c>
      <c r="B424" s="16">
        <v>1017</v>
      </c>
      <c r="C424" s="16">
        <v>52</v>
      </c>
      <c r="D424" s="17">
        <f>IFERROR(ROUND($U424*$X424*$AA424*参数!$B$13,0),"")</f>
        <v>1481644</v>
      </c>
      <c r="E424" s="17">
        <f>IFERROR(ROUND($V424*$Y424*$AB424*参数!$C$13,0),"")</f>
        <v>32806</v>
      </c>
      <c r="F424" s="17">
        <f>IFERROR(ROUND($W424*$Z424*$AC424*参数!$D$13,0),"")</f>
        <v>26881</v>
      </c>
      <c r="G424" s="16">
        <v>2922907</v>
      </c>
      <c r="H424" s="16">
        <v>48914</v>
      </c>
      <c r="I424" s="16">
        <v>27318</v>
      </c>
      <c r="J424" s="16">
        <v>84</v>
      </c>
      <c r="K424" s="16">
        <v>84</v>
      </c>
      <c r="L424" s="16">
        <f>IFERROR(INDEX(楼层配置!$D$5:$D$104,MATCH($K424,楼层配置!$B$5:$B$104,0)),"")</f>
        <v>260</v>
      </c>
      <c r="M424" s="16" t="str">
        <f>IFERROR(INDEX(_角色基线!$B$2:$B$100,MATCH($B424,_角色基线!$A$2:$A$100,0)),"")</f>
        <v>伊戈尔</v>
      </c>
      <c r="N424" s="16" t="str">
        <f>IFERROR(INDEX(_角色基线!$C$2:$C$100,MATCH($B424,_角色基线!$A$2:$A$100,0)),"")</f>
        <v>DPS</v>
      </c>
      <c r="O424" s="16">
        <f>IFERROR(INDEX(_怪物基线!$B$2:$B$501,MATCH(INT($L424),_怪物基线!$A$2:$A$501,0)),"")</f>
        <v>325226</v>
      </c>
      <c r="P424" s="16">
        <f>IFERROR(INDEX(_怪物基线!$C$2:$C$501,MATCH(INT($L424),_怪物基线!$A$2:$A$501,0)),"")</f>
        <v>31834</v>
      </c>
      <c r="Q424" s="16">
        <f>IFERROR(INDEX(_怪物基线!$D$2:$D$501,MATCH(INT($L424),_怪物基线!$A$2:$A$501,0)),"")</f>
        <v>26881</v>
      </c>
      <c r="R424" s="16">
        <f>参数!$B$10</f>
        <v>4</v>
      </c>
      <c r="S424" s="16">
        <f>参数!$C$10</f>
        <v>1.2</v>
      </c>
      <c r="T424" s="16">
        <f>参数!$D$10</f>
        <v>1</v>
      </c>
      <c r="U424" s="16">
        <f t="shared" si="48"/>
        <v>1300904</v>
      </c>
      <c r="V424" s="16">
        <f t="shared" si="49"/>
        <v>38200.8</v>
      </c>
      <c r="W424" s="16">
        <f t="shared" si="50"/>
        <v>26881</v>
      </c>
      <c r="X424" s="16">
        <f>IFERROR(INDEX(参数!$B$5:$B$7,MATCH($N424,参数!$A$5:$A$7,0)),"")</f>
        <v>1</v>
      </c>
      <c r="Y424" s="16">
        <f>IFERROR(INDEX(参数!$C$5:$C$7,MATCH($N424,参数!$A$5:$A$7,0)),"")</f>
        <v>1.2</v>
      </c>
      <c r="Z424" s="16">
        <f>IFERROR(INDEX(参数!$D$5:$D$7,MATCH($N424,参数!$A$5:$A$7,0)),"")</f>
        <v>1</v>
      </c>
      <c r="AA424" s="16">
        <f>IFERROR(INDEX(楼层配置!$E$5:$E$104,MATCH($K424,楼层配置!$B$5:$B$104,0)),1)</f>
        <v>1.13893438601641</v>
      </c>
      <c r="AB424" s="16">
        <f>IFERROR(INDEX(楼层配置!$F$5:$F$104,MATCH($K424,楼层配置!$B$5:$B$104,0)),1)</f>
        <v>0.715653212565403</v>
      </c>
      <c r="AC424" s="16">
        <f>IFERROR(INDEX(楼层配置!$G$5:$G$104,MATCH($K424,楼层配置!$B$5:$B$104,0)),1)</f>
        <v>1</v>
      </c>
      <c r="AD424" s="18">
        <f t="shared" si="51"/>
        <v>-0.493092322129989</v>
      </c>
      <c r="AE424" s="18">
        <f t="shared" si="52"/>
        <v>-0.329312671218874</v>
      </c>
      <c r="AF424" s="18">
        <f t="shared" si="53"/>
        <v>-0.0159967786807234</v>
      </c>
      <c r="AG424" s="16" t="str">
        <f t="shared" si="54"/>
        <v>有效</v>
      </c>
      <c r="AH424">
        <f t="shared" si="55"/>
        <v>3141147.01516667</v>
      </c>
    </row>
    <row r="425" ht="14.25" customHeight="1" spans="1:34">
      <c r="A425" s="16">
        <v>421</v>
      </c>
      <c r="B425" s="16">
        <v>1004</v>
      </c>
      <c r="C425" s="16">
        <v>52</v>
      </c>
      <c r="D425" s="17">
        <f>IFERROR(ROUND($U425*$X425*$AA425*参数!$B$13,0),"")</f>
        <v>2266920</v>
      </c>
      <c r="E425" s="17">
        <f>IFERROR(ROUND($V425*$Y425*$AB425*参数!$C$13,0),"")</f>
        <v>27789</v>
      </c>
      <c r="F425" s="17">
        <f>IFERROR(ROUND($W425*$Z425*$AC425*参数!$D$13,0),"")</f>
        <v>40722</v>
      </c>
      <c r="G425" s="16">
        <v>4525812</v>
      </c>
      <c r="H425" s="16">
        <v>41816</v>
      </c>
      <c r="I425" s="16">
        <v>41635</v>
      </c>
      <c r="J425" s="16">
        <v>85</v>
      </c>
      <c r="K425" s="16">
        <v>85</v>
      </c>
      <c r="L425" s="16">
        <f>IFERROR(INDEX(楼层配置!$D$5:$D$104,MATCH($K425,楼层配置!$B$5:$B$104,0)),"")</f>
        <v>262</v>
      </c>
      <c r="M425" s="16" t="str">
        <f>IFERROR(INDEX(_角色基线!$B$2:$B$100,MATCH($B425,_角色基线!$A$2:$A$100,0)),"")</f>
        <v>阿芭</v>
      </c>
      <c r="N425" s="16" t="str">
        <f>IFERROR(INDEX(_角色基线!$C$2:$C$100,MATCH($B425,_角色基线!$A$2:$A$100,0)),"")</f>
        <v>Tank</v>
      </c>
      <c r="O425" s="16">
        <f>IFERROR(INDEX(_怪物基线!$B$2:$B$501,MATCH(INT($L425),_怪物基线!$A$2:$A$501,0)),"")</f>
        <v>331944</v>
      </c>
      <c r="P425" s="16">
        <f>IFERROR(INDEX(_怪物基线!$C$2:$C$501,MATCH(INT($L425),_怪物基线!$A$2:$A$501,0)),"")</f>
        <v>32322</v>
      </c>
      <c r="Q425" s="16">
        <f>IFERROR(INDEX(_怪物基线!$D$2:$D$501,MATCH(INT($L425),_怪物基线!$A$2:$A$501,0)),"")</f>
        <v>27148</v>
      </c>
      <c r="R425" s="16">
        <f>参数!$B$10</f>
        <v>4</v>
      </c>
      <c r="S425" s="16">
        <f>参数!$C$10</f>
        <v>1.2</v>
      </c>
      <c r="T425" s="16">
        <f>参数!$D$10</f>
        <v>1</v>
      </c>
      <c r="U425" s="16">
        <f t="shared" si="48"/>
        <v>1327776</v>
      </c>
      <c r="V425" s="16">
        <f t="shared" si="49"/>
        <v>38786.4</v>
      </c>
      <c r="W425" s="16">
        <f t="shared" si="50"/>
        <v>27148</v>
      </c>
      <c r="X425" s="16">
        <f>IFERROR(INDEX(参数!$B$5:$B$7,MATCH($N425,参数!$A$5:$A$7,0)),"")</f>
        <v>1.5</v>
      </c>
      <c r="Y425" s="16">
        <f>IFERROR(INDEX(参数!$C$5:$C$7,MATCH($N425,参数!$A$5:$A$7,0)),"")</f>
        <v>1</v>
      </c>
      <c r="Z425" s="16">
        <f>IFERROR(INDEX(参数!$D$5:$D$7,MATCH($N425,参数!$A$5:$A$7,0)),"")</f>
        <v>1.5</v>
      </c>
      <c r="AA425" s="16">
        <f>IFERROR(INDEX(楼层配置!$E$5:$E$104,MATCH($K425,楼层配置!$B$5:$B$104,0)),1)</f>
        <v>1.13820387945508</v>
      </c>
      <c r="AB425" s="16">
        <f>IFERROR(INDEX(楼层配置!$F$5:$F$104,MATCH($K425,楼层配置!$B$5:$B$104,0)),1)</f>
        <v>0.716472850179096</v>
      </c>
      <c r="AC425" s="16">
        <f>IFERROR(INDEX(楼层配置!$G$5:$G$104,MATCH($K425,楼层配置!$B$5:$B$104,0)),1)</f>
        <v>1</v>
      </c>
      <c r="AD425" s="18">
        <f t="shared" si="51"/>
        <v>-0.499113087331069</v>
      </c>
      <c r="AE425" s="18">
        <f t="shared" si="52"/>
        <v>-0.335445762387603</v>
      </c>
      <c r="AF425" s="18">
        <f t="shared" si="53"/>
        <v>-0.0219286657859974</v>
      </c>
      <c r="AG425" s="16" t="str">
        <f t="shared" si="54"/>
        <v>有效</v>
      </c>
      <c r="AH425">
        <f t="shared" si="55"/>
        <v>6113316.51</v>
      </c>
    </row>
    <row r="426" ht="14.25" customHeight="1" spans="1:34">
      <c r="A426" s="16">
        <v>422</v>
      </c>
      <c r="B426" s="16">
        <v>1005</v>
      </c>
      <c r="C426" s="16">
        <v>52</v>
      </c>
      <c r="D426" s="17">
        <f>IFERROR(ROUND($U426*$X426*$AA426*参数!$B$13,0),"")</f>
        <v>1511280</v>
      </c>
      <c r="E426" s="17">
        <f>IFERROR(ROUND($V426*$Y426*$AB426*参数!$C$13,0),"")</f>
        <v>33347</v>
      </c>
      <c r="F426" s="17">
        <f>IFERROR(ROUND($W426*$Z426*$AC426*参数!$D$13,0),"")</f>
        <v>27148</v>
      </c>
      <c r="G426" s="16">
        <v>3017208</v>
      </c>
      <c r="H426" s="16">
        <v>50179</v>
      </c>
      <c r="I426" s="16">
        <v>27756</v>
      </c>
      <c r="J426" s="16">
        <v>85</v>
      </c>
      <c r="K426" s="16">
        <v>85</v>
      </c>
      <c r="L426" s="16">
        <f>IFERROR(INDEX(楼层配置!$D$5:$D$104,MATCH($K426,楼层配置!$B$5:$B$104,0)),"")</f>
        <v>262</v>
      </c>
      <c r="M426" s="16" t="str">
        <f>IFERROR(INDEX(_角色基线!$B$2:$B$100,MATCH($B426,_角色基线!$A$2:$A$100,0)),"")</f>
        <v>陈单单</v>
      </c>
      <c r="N426" s="16" t="str">
        <f>IFERROR(INDEX(_角色基线!$C$2:$C$100,MATCH($B426,_角色基线!$A$2:$A$100,0)),"")</f>
        <v>DPS</v>
      </c>
      <c r="O426" s="16">
        <f>IFERROR(INDEX(_怪物基线!$B$2:$B$501,MATCH(INT($L426),_怪物基线!$A$2:$A$501,0)),"")</f>
        <v>331944</v>
      </c>
      <c r="P426" s="16">
        <f>IFERROR(INDEX(_怪物基线!$C$2:$C$501,MATCH(INT($L426),_怪物基线!$A$2:$A$501,0)),"")</f>
        <v>32322</v>
      </c>
      <c r="Q426" s="16">
        <f>IFERROR(INDEX(_怪物基线!$D$2:$D$501,MATCH(INT($L426),_怪物基线!$A$2:$A$501,0)),"")</f>
        <v>27148</v>
      </c>
      <c r="R426" s="16">
        <f>参数!$B$10</f>
        <v>4</v>
      </c>
      <c r="S426" s="16">
        <f>参数!$C$10</f>
        <v>1.2</v>
      </c>
      <c r="T426" s="16">
        <f>参数!$D$10</f>
        <v>1</v>
      </c>
      <c r="U426" s="16">
        <f t="shared" si="48"/>
        <v>1327776</v>
      </c>
      <c r="V426" s="16">
        <f t="shared" si="49"/>
        <v>38786.4</v>
      </c>
      <c r="W426" s="16">
        <f t="shared" si="50"/>
        <v>27148</v>
      </c>
      <c r="X426" s="16">
        <f>IFERROR(INDEX(参数!$B$5:$B$7,MATCH($N426,参数!$A$5:$A$7,0)),"")</f>
        <v>1</v>
      </c>
      <c r="Y426" s="16">
        <f>IFERROR(INDEX(参数!$C$5:$C$7,MATCH($N426,参数!$A$5:$A$7,0)),"")</f>
        <v>1.2</v>
      </c>
      <c r="Z426" s="16">
        <f>IFERROR(INDEX(参数!$D$5:$D$7,MATCH($N426,参数!$A$5:$A$7,0)),"")</f>
        <v>1</v>
      </c>
      <c r="AA426" s="16">
        <f>IFERROR(INDEX(楼层配置!$E$5:$E$104,MATCH($K426,楼层配置!$B$5:$B$104,0)),1)</f>
        <v>1.13820387945508</v>
      </c>
      <c r="AB426" s="16">
        <f>IFERROR(INDEX(楼层配置!$F$5:$F$104,MATCH($K426,楼层配置!$B$5:$B$104,0)),1)</f>
        <v>0.716472850179096</v>
      </c>
      <c r="AC426" s="16">
        <f>IFERROR(INDEX(楼层配置!$G$5:$G$104,MATCH($K426,楼层配置!$B$5:$B$104,0)),1)</f>
        <v>1</v>
      </c>
      <c r="AD426" s="18">
        <f t="shared" si="51"/>
        <v>-0.499113087331069</v>
      </c>
      <c r="AE426" s="18">
        <f t="shared" si="52"/>
        <v>-0.335439127922039</v>
      </c>
      <c r="AF426" s="18">
        <f t="shared" si="53"/>
        <v>-0.0219051736561464</v>
      </c>
      <c r="AG426" s="16" t="str">
        <f t="shared" si="54"/>
        <v>有效</v>
      </c>
      <c r="AH426">
        <f t="shared" si="55"/>
        <v>3220789.56</v>
      </c>
    </row>
    <row r="427" ht="14.25" customHeight="1" spans="1:34">
      <c r="A427" s="16">
        <v>423</v>
      </c>
      <c r="B427" s="16">
        <v>1005</v>
      </c>
      <c r="C427" s="16">
        <v>52</v>
      </c>
      <c r="D427" s="17">
        <f>IFERROR(ROUND($U427*$X427*$AA427*参数!$B$13,0),"")</f>
        <v>1511280</v>
      </c>
      <c r="E427" s="17">
        <f>IFERROR(ROUND($V427*$Y427*$AB427*参数!$C$13,0),"")</f>
        <v>33347</v>
      </c>
      <c r="F427" s="17">
        <f>IFERROR(ROUND($W427*$Z427*$AC427*参数!$D$13,0),"")</f>
        <v>27148</v>
      </c>
      <c r="G427" s="16">
        <v>3017208</v>
      </c>
      <c r="H427" s="16">
        <v>50179</v>
      </c>
      <c r="I427" s="16">
        <v>27756</v>
      </c>
      <c r="J427" s="16">
        <v>85</v>
      </c>
      <c r="K427" s="16">
        <v>85</v>
      </c>
      <c r="L427" s="16">
        <f>IFERROR(INDEX(楼层配置!$D$5:$D$104,MATCH($K427,楼层配置!$B$5:$B$104,0)),"")</f>
        <v>262</v>
      </c>
      <c r="M427" s="16" t="str">
        <f>IFERROR(INDEX(_角色基线!$B$2:$B$100,MATCH($B427,_角色基线!$A$2:$A$100,0)),"")</f>
        <v>陈单单</v>
      </c>
      <c r="N427" s="16" t="str">
        <f>IFERROR(INDEX(_角色基线!$C$2:$C$100,MATCH($B427,_角色基线!$A$2:$A$100,0)),"")</f>
        <v>DPS</v>
      </c>
      <c r="O427" s="16">
        <f>IFERROR(INDEX(_怪物基线!$B$2:$B$501,MATCH(INT($L427),_怪物基线!$A$2:$A$501,0)),"")</f>
        <v>331944</v>
      </c>
      <c r="P427" s="16">
        <f>IFERROR(INDEX(_怪物基线!$C$2:$C$501,MATCH(INT($L427),_怪物基线!$A$2:$A$501,0)),"")</f>
        <v>32322</v>
      </c>
      <c r="Q427" s="16">
        <f>IFERROR(INDEX(_怪物基线!$D$2:$D$501,MATCH(INT($L427),_怪物基线!$A$2:$A$501,0)),"")</f>
        <v>27148</v>
      </c>
      <c r="R427" s="16">
        <f>参数!$B$10</f>
        <v>4</v>
      </c>
      <c r="S427" s="16">
        <f>参数!$C$10</f>
        <v>1.2</v>
      </c>
      <c r="T427" s="16">
        <f>参数!$D$10</f>
        <v>1</v>
      </c>
      <c r="U427" s="16">
        <f t="shared" si="48"/>
        <v>1327776</v>
      </c>
      <c r="V427" s="16">
        <f t="shared" si="49"/>
        <v>38786.4</v>
      </c>
      <c r="W427" s="16">
        <f t="shared" si="50"/>
        <v>27148</v>
      </c>
      <c r="X427" s="16">
        <f>IFERROR(INDEX(参数!$B$5:$B$7,MATCH($N427,参数!$A$5:$A$7,0)),"")</f>
        <v>1</v>
      </c>
      <c r="Y427" s="16">
        <f>IFERROR(INDEX(参数!$C$5:$C$7,MATCH($N427,参数!$A$5:$A$7,0)),"")</f>
        <v>1.2</v>
      </c>
      <c r="Z427" s="16">
        <f>IFERROR(INDEX(参数!$D$5:$D$7,MATCH($N427,参数!$A$5:$A$7,0)),"")</f>
        <v>1</v>
      </c>
      <c r="AA427" s="16">
        <f>IFERROR(INDEX(楼层配置!$E$5:$E$104,MATCH($K427,楼层配置!$B$5:$B$104,0)),1)</f>
        <v>1.13820387945508</v>
      </c>
      <c r="AB427" s="16">
        <f>IFERROR(INDEX(楼层配置!$F$5:$F$104,MATCH($K427,楼层配置!$B$5:$B$104,0)),1)</f>
        <v>0.716472850179096</v>
      </c>
      <c r="AC427" s="16">
        <f>IFERROR(INDEX(楼层配置!$G$5:$G$104,MATCH($K427,楼层配置!$B$5:$B$104,0)),1)</f>
        <v>1</v>
      </c>
      <c r="AD427" s="18">
        <f t="shared" si="51"/>
        <v>-0.499113087331069</v>
      </c>
      <c r="AE427" s="18">
        <f t="shared" si="52"/>
        <v>-0.335439127922039</v>
      </c>
      <c r="AF427" s="18">
        <f t="shared" si="53"/>
        <v>-0.0219051736561464</v>
      </c>
      <c r="AG427" s="16" t="str">
        <f t="shared" si="54"/>
        <v>有效</v>
      </c>
      <c r="AH427">
        <f t="shared" si="55"/>
        <v>3220789.56</v>
      </c>
    </row>
    <row r="428" ht="14.25" customHeight="1" spans="1:34">
      <c r="A428" s="16">
        <v>424</v>
      </c>
      <c r="B428" s="16">
        <v>1007</v>
      </c>
      <c r="C428" s="16">
        <v>52</v>
      </c>
      <c r="D428" s="17">
        <f>IFERROR(ROUND($U428*$X428*$AA428*参数!$B$13,0),"")</f>
        <v>1889100</v>
      </c>
      <c r="E428" s="17">
        <f>IFERROR(ROUND($V428*$Y428*$AB428*参数!$C$13,0),"")</f>
        <v>27789</v>
      </c>
      <c r="F428" s="17">
        <f>IFERROR(ROUND($W428*$Z428*$AC428*参数!$D$13,0),"")</f>
        <v>33935</v>
      </c>
      <c r="G428" s="16">
        <v>3771510</v>
      </c>
      <c r="H428" s="16">
        <v>41816</v>
      </c>
      <c r="I428" s="16">
        <v>34696</v>
      </c>
      <c r="J428" s="16">
        <v>85</v>
      </c>
      <c r="K428" s="16">
        <v>85</v>
      </c>
      <c r="L428" s="16">
        <f>IFERROR(INDEX(楼层配置!$D$5:$D$104,MATCH($K428,楼层配置!$B$5:$B$104,0)),"")</f>
        <v>262</v>
      </c>
      <c r="M428" s="16" t="str">
        <f>IFERROR(INDEX(_角色基线!$B$2:$B$100,MATCH($B428,_角色基线!$A$2:$A$100,0)),"")</f>
        <v>萨萨莉安</v>
      </c>
      <c r="N428" s="16" t="str">
        <f>IFERROR(INDEX(_角色基线!$C$2:$C$100,MATCH($B428,_角色基线!$A$2:$A$100,0)),"")</f>
        <v>Support</v>
      </c>
      <c r="O428" s="16">
        <f>IFERROR(INDEX(_怪物基线!$B$2:$B$501,MATCH(INT($L428),_怪物基线!$A$2:$A$501,0)),"")</f>
        <v>331944</v>
      </c>
      <c r="P428" s="16">
        <f>IFERROR(INDEX(_怪物基线!$C$2:$C$501,MATCH(INT($L428),_怪物基线!$A$2:$A$501,0)),"")</f>
        <v>32322</v>
      </c>
      <c r="Q428" s="16">
        <f>IFERROR(INDEX(_怪物基线!$D$2:$D$501,MATCH(INT($L428),_怪物基线!$A$2:$A$501,0)),"")</f>
        <v>27148</v>
      </c>
      <c r="R428" s="16">
        <f>参数!$B$10</f>
        <v>4</v>
      </c>
      <c r="S428" s="16">
        <f>参数!$C$10</f>
        <v>1.2</v>
      </c>
      <c r="T428" s="16">
        <f>参数!$D$10</f>
        <v>1</v>
      </c>
      <c r="U428" s="16">
        <f t="shared" si="48"/>
        <v>1327776</v>
      </c>
      <c r="V428" s="16">
        <f t="shared" si="49"/>
        <v>38786.4</v>
      </c>
      <c r="W428" s="16">
        <f t="shared" si="50"/>
        <v>27148</v>
      </c>
      <c r="X428" s="16">
        <f>IFERROR(INDEX(参数!$B$5:$B$7,MATCH($N428,参数!$A$5:$A$7,0)),"")</f>
        <v>1.25</v>
      </c>
      <c r="Y428" s="16">
        <f>IFERROR(INDEX(参数!$C$5:$C$7,MATCH($N428,参数!$A$5:$A$7,0)),"")</f>
        <v>1</v>
      </c>
      <c r="Z428" s="16">
        <f>IFERROR(INDEX(参数!$D$5:$D$7,MATCH($N428,参数!$A$5:$A$7,0)),"")</f>
        <v>1.25</v>
      </c>
      <c r="AA428" s="16">
        <f>IFERROR(INDEX(楼层配置!$E$5:$E$104,MATCH($K428,楼层配置!$B$5:$B$104,0)),1)</f>
        <v>1.13820387945508</v>
      </c>
      <c r="AB428" s="16">
        <f>IFERROR(INDEX(楼层配置!$F$5:$F$104,MATCH($K428,楼层配置!$B$5:$B$104,0)),1)</f>
        <v>0.716472850179096</v>
      </c>
      <c r="AC428" s="16">
        <f>IFERROR(INDEX(楼层配置!$G$5:$G$104,MATCH($K428,楼层配置!$B$5:$B$104,0)),1)</f>
        <v>1</v>
      </c>
      <c r="AD428" s="18">
        <f t="shared" si="51"/>
        <v>-0.499113087331069</v>
      </c>
      <c r="AE428" s="18">
        <f t="shared" si="52"/>
        <v>-0.335445762387603</v>
      </c>
      <c r="AF428" s="18">
        <f t="shared" si="53"/>
        <v>-0.0219333640765507</v>
      </c>
      <c r="AG428" s="16" t="str">
        <f t="shared" si="54"/>
        <v>有效</v>
      </c>
      <c r="AH428">
        <f t="shared" si="55"/>
        <v>4560208.6875</v>
      </c>
    </row>
    <row r="429" ht="14.25" customHeight="1" spans="1:34">
      <c r="A429" s="16">
        <v>425</v>
      </c>
      <c r="B429" s="16">
        <v>1040</v>
      </c>
      <c r="C429" s="16">
        <v>52</v>
      </c>
      <c r="D429" s="17">
        <f>IFERROR(ROUND($U429*$X429*$AA429*参数!$B$13,0),"")</f>
        <v>1889100</v>
      </c>
      <c r="E429" s="17">
        <f>IFERROR(ROUND($V429*$Y429*$AB429*参数!$C$13,0),"")</f>
        <v>27789</v>
      </c>
      <c r="F429" s="17">
        <f>IFERROR(ROUND($W429*$Z429*$AC429*参数!$D$13,0),"")</f>
        <v>33935</v>
      </c>
      <c r="G429" s="16">
        <v>3771510</v>
      </c>
      <c r="H429" s="16">
        <v>41816</v>
      </c>
      <c r="I429" s="16">
        <v>34696</v>
      </c>
      <c r="J429" s="16">
        <v>85</v>
      </c>
      <c r="K429" s="16">
        <v>85</v>
      </c>
      <c r="L429" s="16">
        <f>IFERROR(INDEX(楼层配置!$D$5:$D$104,MATCH($K429,楼层配置!$B$5:$B$104,0)),"")</f>
        <v>262</v>
      </c>
      <c r="M429" s="16" t="str">
        <f>IFERROR(INDEX(_角色基线!$B$2:$B$100,MATCH($B429,_角色基线!$A$2:$A$100,0)),"")</f>
        <v>小寒</v>
      </c>
      <c r="N429" s="16" t="str">
        <f>IFERROR(INDEX(_角色基线!$C$2:$C$100,MATCH($B429,_角色基线!$A$2:$A$100,0)),"")</f>
        <v>Support</v>
      </c>
      <c r="O429" s="16">
        <f>IFERROR(INDEX(_怪物基线!$B$2:$B$501,MATCH(INT($L429),_怪物基线!$A$2:$A$501,0)),"")</f>
        <v>331944</v>
      </c>
      <c r="P429" s="16">
        <f>IFERROR(INDEX(_怪物基线!$C$2:$C$501,MATCH(INT($L429),_怪物基线!$A$2:$A$501,0)),"")</f>
        <v>32322</v>
      </c>
      <c r="Q429" s="16">
        <f>IFERROR(INDEX(_怪物基线!$D$2:$D$501,MATCH(INT($L429),_怪物基线!$A$2:$A$501,0)),"")</f>
        <v>27148</v>
      </c>
      <c r="R429" s="16">
        <f>参数!$B$10</f>
        <v>4</v>
      </c>
      <c r="S429" s="16">
        <f>参数!$C$10</f>
        <v>1.2</v>
      </c>
      <c r="T429" s="16">
        <f>参数!$D$10</f>
        <v>1</v>
      </c>
      <c r="U429" s="16">
        <f t="shared" si="48"/>
        <v>1327776</v>
      </c>
      <c r="V429" s="16">
        <f t="shared" si="49"/>
        <v>38786.4</v>
      </c>
      <c r="W429" s="16">
        <f t="shared" si="50"/>
        <v>27148</v>
      </c>
      <c r="X429" s="16">
        <f>IFERROR(INDEX(参数!$B$5:$B$7,MATCH($N429,参数!$A$5:$A$7,0)),"")</f>
        <v>1.25</v>
      </c>
      <c r="Y429" s="16">
        <f>IFERROR(INDEX(参数!$C$5:$C$7,MATCH($N429,参数!$A$5:$A$7,0)),"")</f>
        <v>1</v>
      </c>
      <c r="Z429" s="16">
        <f>IFERROR(INDEX(参数!$D$5:$D$7,MATCH($N429,参数!$A$5:$A$7,0)),"")</f>
        <v>1.25</v>
      </c>
      <c r="AA429" s="16">
        <f>IFERROR(INDEX(楼层配置!$E$5:$E$104,MATCH($K429,楼层配置!$B$5:$B$104,0)),1)</f>
        <v>1.13820387945508</v>
      </c>
      <c r="AB429" s="16">
        <f>IFERROR(INDEX(楼层配置!$F$5:$F$104,MATCH($K429,楼层配置!$B$5:$B$104,0)),1)</f>
        <v>0.716472850179096</v>
      </c>
      <c r="AC429" s="16">
        <f>IFERROR(INDEX(楼层配置!$G$5:$G$104,MATCH($K429,楼层配置!$B$5:$B$104,0)),1)</f>
        <v>1</v>
      </c>
      <c r="AD429" s="18">
        <f t="shared" si="51"/>
        <v>-0.499113087331069</v>
      </c>
      <c r="AE429" s="18">
        <f t="shared" si="52"/>
        <v>-0.335445762387603</v>
      </c>
      <c r="AF429" s="18">
        <f t="shared" si="53"/>
        <v>-0.0219333640765507</v>
      </c>
      <c r="AG429" s="16" t="str">
        <f t="shared" si="54"/>
        <v>有效</v>
      </c>
      <c r="AH429">
        <f t="shared" si="55"/>
        <v>4560208.6875</v>
      </c>
    </row>
    <row r="430" ht="14.25" customHeight="1" spans="1:34">
      <c r="A430" s="16">
        <v>426</v>
      </c>
      <c r="B430" s="16">
        <v>1003</v>
      </c>
      <c r="C430" s="16">
        <v>53</v>
      </c>
      <c r="D430" s="17">
        <f>IFERROR(ROUND($U430*$X430*$AA430*参数!$B$13,0),"")</f>
        <v>2284482</v>
      </c>
      <c r="E430" s="17">
        <f>IFERROR(ROUND($V430*$Y430*$AB430*参数!$C$13,0),"")</f>
        <v>28019</v>
      </c>
      <c r="F430" s="17">
        <f>IFERROR(ROUND($W430*$Z430*$AC430*参数!$D$13,0),"")</f>
        <v>40922</v>
      </c>
      <c r="G430" s="16">
        <v>4670668</v>
      </c>
      <c r="H430" s="16">
        <v>42895</v>
      </c>
      <c r="I430" s="16">
        <v>42297</v>
      </c>
      <c r="J430" s="16">
        <v>86</v>
      </c>
      <c r="K430" s="16">
        <v>86</v>
      </c>
      <c r="L430" s="16">
        <f>IFERROR(INDEX(楼层配置!$D$5:$D$104,MATCH($K430,楼层配置!$B$5:$B$104,0)),"")</f>
        <v>263</v>
      </c>
      <c r="M430" s="16" t="str">
        <f>IFERROR(INDEX(_角色基线!$B$2:$B$100,MATCH($B430,_角色基线!$A$2:$A$100,0)),"")</f>
        <v>塔拉夏</v>
      </c>
      <c r="N430" s="16" t="str">
        <f>IFERROR(INDEX(_角色基线!$C$2:$C$100,MATCH($B430,_角色基线!$A$2:$A$100,0)),"")</f>
        <v>Tank</v>
      </c>
      <c r="O430" s="16">
        <f>IFERROR(INDEX(_怪物基线!$B$2:$B$501,MATCH(INT($L430),_怪物基线!$A$2:$A$501,0)),"")</f>
        <v>335342</v>
      </c>
      <c r="P430" s="16">
        <f>IFERROR(INDEX(_怪物基线!$C$2:$C$501,MATCH(INT($L430),_怪物基线!$A$2:$A$501,0)),"")</f>
        <v>32567</v>
      </c>
      <c r="Q430" s="16">
        <f>IFERROR(INDEX(_怪物基线!$D$2:$D$501,MATCH(INT($L430),_怪物基线!$A$2:$A$501,0)),"")</f>
        <v>27281</v>
      </c>
      <c r="R430" s="16">
        <f>参数!$B$10</f>
        <v>4</v>
      </c>
      <c r="S430" s="16">
        <f>参数!$C$10</f>
        <v>1.2</v>
      </c>
      <c r="T430" s="16">
        <f>参数!$D$10</f>
        <v>1</v>
      </c>
      <c r="U430" s="16">
        <f t="shared" si="48"/>
        <v>1341368</v>
      </c>
      <c r="V430" s="16">
        <f t="shared" si="49"/>
        <v>39080.4</v>
      </c>
      <c r="W430" s="16">
        <f t="shared" si="50"/>
        <v>27281</v>
      </c>
      <c r="X430" s="16">
        <f>IFERROR(INDEX(参数!$B$5:$B$7,MATCH($N430,参数!$A$5:$A$7,0)),"")</f>
        <v>1.5</v>
      </c>
      <c r="Y430" s="16">
        <f>IFERROR(INDEX(参数!$C$5:$C$7,MATCH($N430,参数!$A$5:$A$7,0)),"")</f>
        <v>1</v>
      </c>
      <c r="Z430" s="16">
        <f>IFERROR(INDEX(参数!$D$5:$D$7,MATCH($N430,参数!$A$5:$A$7,0)),"")</f>
        <v>1.5</v>
      </c>
      <c r="AA430" s="16">
        <f>IFERROR(INDEX(楼层配置!$E$5:$E$104,MATCH($K430,楼层配置!$B$5:$B$104,0)),1)</f>
        <v>1.13539899541223</v>
      </c>
      <c r="AB430" s="16">
        <f>IFERROR(INDEX(楼层配置!$F$5:$F$104,MATCH($K430,楼层配置!$B$5:$B$104,0)),1)</f>
        <v>0.71695098708435</v>
      </c>
      <c r="AC430" s="16">
        <f>IFERROR(INDEX(楼层配置!$G$5:$G$104,MATCH($K430,楼层配置!$B$5:$B$104,0)),1)</f>
        <v>1</v>
      </c>
      <c r="AD430" s="18">
        <f t="shared" si="51"/>
        <v>-0.510887521870533</v>
      </c>
      <c r="AE430" s="18">
        <f t="shared" si="52"/>
        <v>-0.346800326378366</v>
      </c>
      <c r="AF430" s="18">
        <f t="shared" si="53"/>
        <v>-0.0325082157126984</v>
      </c>
      <c r="AG430" s="16" t="str">
        <f t="shared" si="54"/>
        <v>有效</v>
      </c>
      <c r="AH430">
        <f t="shared" si="55"/>
        <v>6179714.1835</v>
      </c>
    </row>
    <row r="431" ht="14.25" customHeight="1" spans="1:34">
      <c r="A431" s="16">
        <v>427</v>
      </c>
      <c r="B431" s="16">
        <v>1001</v>
      </c>
      <c r="C431" s="16">
        <v>53</v>
      </c>
      <c r="D431" s="17">
        <f>IFERROR(ROUND($U431*$X431*$AA431*参数!$B$13,0),"")</f>
        <v>1522988</v>
      </c>
      <c r="E431" s="17">
        <f>IFERROR(ROUND($V431*$Y431*$AB431*参数!$C$13,0),"")</f>
        <v>33622</v>
      </c>
      <c r="F431" s="17">
        <f>IFERROR(ROUND($W431*$Z431*$AC431*参数!$D$13,0),"")</f>
        <v>27281</v>
      </c>
      <c r="G431" s="16">
        <v>3113779</v>
      </c>
      <c r="H431" s="16">
        <v>51474</v>
      </c>
      <c r="I431" s="16">
        <v>28198</v>
      </c>
      <c r="J431" s="16">
        <v>86</v>
      </c>
      <c r="K431" s="16">
        <v>86</v>
      </c>
      <c r="L431" s="16">
        <f>IFERROR(INDEX(楼层配置!$D$5:$D$104,MATCH($K431,楼层配置!$B$5:$B$104,0)),"")</f>
        <v>263</v>
      </c>
      <c r="M431" s="16" t="str">
        <f>IFERROR(INDEX(_角色基线!$B$2:$B$100,MATCH($B431,_角色基线!$A$2:$A$100,0)),"")</f>
        <v>星海</v>
      </c>
      <c r="N431" s="16" t="str">
        <f>IFERROR(INDEX(_角色基线!$C$2:$C$100,MATCH($B431,_角色基线!$A$2:$A$100,0)),"")</f>
        <v>DPS</v>
      </c>
      <c r="O431" s="16">
        <f>IFERROR(INDEX(_怪物基线!$B$2:$B$501,MATCH(INT($L431),_怪物基线!$A$2:$A$501,0)),"")</f>
        <v>335342</v>
      </c>
      <c r="P431" s="16">
        <f>IFERROR(INDEX(_怪物基线!$C$2:$C$501,MATCH(INT($L431),_怪物基线!$A$2:$A$501,0)),"")</f>
        <v>32567</v>
      </c>
      <c r="Q431" s="16">
        <f>IFERROR(INDEX(_怪物基线!$D$2:$D$501,MATCH(INT($L431),_怪物基线!$A$2:$A$501,0)),"")</f>
        <v>27281</v>
      </c>
      <c r="R431" s="16">
        <f>参数!$B$10</f>
        <v>4</v>
      </c>
      <c r="S431" s="16">
        <f>参数!$C$10</f>
        <v>1.2</v>
      </c>
      <c r="T431" s="16">
        <f>参数!$D$10</f>
        <v>1</v>
      </c>
      <c r="U431" s="16">
        <f t="shared" si="48"/>
        <v>1341368</v>
      </c>
      <c r="V431" s="16">
        <f t="shared" si="49"/>
        <v>39080.4</v>
      </c>
      <c r="W431" s="16">
        <f t="shared" si="50"/>
        <v>27281</v>
      </c>
      <c r="X431" s="16">
        <f>IFERROR(INDEX(参数!$B$5:$B$7,MATCH($N431,参数!$A$5:$A$7,0)),"")</f>
        <v>1</v>
      </c>
      <c r="Y431" s="16">
        <f>IFERROR(INDEX(参数!$C$5:$C$7,MATCH($N431,参数!$A$5:$A$7,0)),"")</f>
        <v>1.2</v>
      </c>
      <c r="Z431" s="16">
        <f>IFERROR(INDEX(参数!$D$5:$D$7,MATCH($N431,参数!$A$5:$A$7,0)),"")</f>
        <v>1</v>
      </c>
      <c r="AA431" s="16">
        <f>IFERROR(INDEX(楼层配置!$E$5:$E$104,MATCH($K431,楼层配置!$B$5:$B$104,0)),1)</f>
        <v>1.13539899541223</v>
      </c>
      <c r="AB431" s="16">
        <f>IFERROR(INDEX(楼层配置!$F$5:$F$104,MATCH($K431,楼层配置!$B$5:$B$104,0)),1)</f>
        <v>0.71695098708435</v>
      </c>
      <c r="AC431" s="16">
        <f>IFERROR(INDEX(楼层配置!$G$5:$G$104,MATCH($K431,楼层配置!$B$5:$B$104,0)),1)</f>
        <v>1</v>
      </c>
      <c r="AD431" s="18">
        <f t="shared" si="51"/>
        <v>-0.510887574230541</v>
      </c>
      <c r="AE431" s="18">
        <f t="shared" si="52"/>
        <v>-0.346815868205308</v>
      </c>
      <c r="AF431" s="18">
        <f t="shared" si="53"/>
        <v>-0.0325200368820484</v>
      </c>
      <c r="AG431" s="16" t="str">
        <f t="shared" si="54"/>
        <v>有效</v>
      </c>
      <c r="AH431">
        <f t="shared" si="55"/>
        <v>3254181.15116667</v>
      </c>
    </row>
    <row r="432" ht="14.25" customHeight="1" spans="1:34">
      <c r="A432" s="16">
        <v>428</v>
      </c>
      <c r="B432" s="16">
        <v>1011</v>
      </c>
      <c r="C432" s="16">
        <v>53</v>
      </c>
      <c r="D432" s="17">
        <f>IFERROR(ROUND($U432*$X432*$AA432*参数!$B$13,0),"")</f>
        <v>1903735</v>
      </c>
      <c r="E432" s="17">
        <f>IFERROR(ROUND($V432*$Y432*$AB432*参数!$C$13,0),"")</f>
        <v>28019</v>
      </c>
      <c r="F432" s="17">
        <f>IFERROR(ROUND($W432*$Z432*$AC432*参数!$D$13,0),"")</f>
        <v>34101</v>
      </c>
      <c r="G432" s="16">
        <v>3892224</v>
      </c>
      <c r="H432" s="16">
        <v>42895</v>
      </c>
      <c r="I432" s="16">
        <v>35248</v>
      </c>
      <c r="J432" s="16">
        <v>86</v>
      </c>
      <c r="K432" s="16">
        <v>86</v>
      </c>
      <c r="L432" s="16">
        <f>IFERROR(INDEX(楼层配置!$D$5:$D$104,MATCH($K432,楼层配置!$B$5:$B$104,0)),"")</f>
        <v>263</v>
      </c>
      <c r="M432" s="16" t="str">
        <f>IFERROR(INDEX(_角色基线!$B$2:$B$100,MATCH($B432,_角色基线!$A$2:$A$100,0)),"")</f>
        <v>陈双双</v>
      </c>
      <c r="N432" s="16" t="str">
        <f>IFERROR(INDEX(_角色基线!$C$2:$C$100,MATCH($B432,_角色基线!$A$2:$A$100,0)),"")</f>
        <v>Support</v>
      </c>
      <c r="O432" s="16">
        <f>IFERROR(INDEX(_怪物基线!$B$2:$B$501,MATCH(INT($L432),_怪物基线!$A$2:$A$501,0)),"")</f>
        <v>335342</v>
      </c>
      <c r="P432" s="16">
        <f>IFERROR(INDEX(_怪物基线!$C$2:$C$501,MATCH(INT($L432),_怪物基线!$A$2:$A$501,0)),"")</f>
        <v>32567</v>
      </c>
      <c r="Q432" s="16">
        <f>IFERROR(INDEX(_怪物基线!$D$2:$D$501,MATCH(INT($L432),_怪物基线!$A$2:$A$501,0)),"")</f>
        <v>27281</v>
      </c>
      <c r="R432" s="16">
        <f>参数!$B$10</f>
        <v>4</v>
      </c>
      <c r="S432" s="16">
        <f>参数!$C$10</f>
        <v>1.2</v>
      </c>
      <c r="T432" s="16">
        <f>参数!$D$10</f>
        <v>1</v>
      </c>
      <c r="U432" s="16">
        <f t="shared" si="48"/>
        <v>1341368</v>
      </c>
      <c r="V432" s="16">
        <f t="shared" si="49"/>
        <v>39080.4</v>
      </c>
      <c r="W432" s="16">
        <f t="shared" si="50"/>
        <v>27281</v>
      </c>
      <c r="X432" s="16">
        <f>IFERROR(INDEX(参数!$B$5:$B$7,MATCH($N432,参数!$A$5:$A$7,0)),"")</f>
        <v>1.25</v>
      </c>
      <c r="Y432" s="16">
        <f>IFERROR(INDEX(参数!$C$5:$C$7,MATCH($N432,参数!$A$5:$A$7,0)),"")</f>
        <v>1</v>
      </c>
      <c r="Z432" s="16">
        <f>IFERROR(INDEX(参数!$D$5:$D$7,MATCH($N432,参数!$A$5:$A$7,0)),"")</f>
        <v>1.25</v>
      </c>
      <c r="AA432" s="16">
        <f>IFERROR(INDEX(楼层配置!$E$5:$E$104,MATCH($K432,楼层配置!$B$5:$B$104,0)),1)</f>
        <v>1.13539899541223</v>
      </c>
      <c r="AB432" s="16">
        <f>IFERROR(INDEX(楼层配置!$F$5:$F$104,MATCH($K432,楼层配置!$B$5:$B$104,0)),1)</f>
        <v>0.71695098708435</v>
      </c>
      <c r="AC432" s="16">
        <f>IFERROR(INDEX(楼层配置!$G$5:$G$104,MATCH($K432,楼层配置!$B$5:$B$104,0)),1)</f>
        <v>1</v>
      </c>
      <c r="AD432" s="18">
        <f t="shared" si="51"/>
        <v>-0.51088760564654</v>
      </c>
      <c r="AE432" s="18">
        <f t="shared" si="52"/>
        <v>-0.346800326378366</v>
      </c>
      <c r="AF432" s="18">
        <f t="shared" si="53"/>
        <v>-0.0325408533817522</v>
      </c>
      <c r="AG432" s="16" t="str">
        <f t="shared" si="54"/>
        <v>有效</v>
      </c>
      <c r="AH432">
        <f t="shared" si="55"/>
        <v>4608704.468125</v>
      </c>
    </row>
    <row r="433" ht="14.25" customHeight="1" spans="1:34">
      <c r="A433" s="16">
        <v>429</v>
      </c>
      <c r="B433" s="16">
        <v>1013</v>
      </c>
      <c r="C433" s="16">
        <v>53</v>
      </c>
      <c r="D433" s="17">
        <f>IFERROR(ROUND($U433*$X433*$AA433*参数!$B$13,0),"")</f>
        <v>1522988</v>
      </c>
      <c r="E433" s="17">
        <f>IFERROR(ROUND($V433*$Y433*$AB433*参数!$C$13,0),"")</f>
        <v>33622</v>
      </c>
      <c r="F433" s="17">
        <f>IFERROR(ROUND($W433*$Z433*$AC433*参数!$D$13,0),"")</f>
        <v>27281</v>
      </c>
      <c r="G433" s="16">
        <v>3113779</v>
      </c>
      <c r="H433" s="16">
        <v>51474</v>
      </c>
      <c r="I433" s="16">
        <v>28198</v>
      </c>
      <c r="J433" s="16">
        <v>86</v>
      </c>
      <c r="K433" s="16">
        <v>86</v>
      </c>
      <c r="L433" s="16">
        <f>IFERROR(INDEX(楼层配置!$D$5:$D$104,MATCH($K433,楼层配置!$B$5:$B$104,0)),"")</f>
        <v>263</v>
      </c>
      <c r="M433" s="16" t="str">
        <f>IFERROR(INDEX(_角色基线!$B$2:$B$100,MATCH($B433,_角色基线!$A$2:$A$100,0)),"")</f>
        <v>夏缇拉</v>
      </c>
      <c r="N433" s="16" t="str">
        <f>IFERROR(INDEX(_角色基线!$C$2:$C$100,MATCH($B433,_角色基线!$A$2:$A$100,0)),"")</f>
        <v>DPS</v>
      </c>
      <c r="O433" s="16">
        <f>IFERROR(INDEX(_怪物基线!$B$2:$B$501,MATCH(INT($L433),_怪物基线!$A$2:$A$501,0)),"")</f>
        <v>335342</v>
      </c>
      <c r="P433" s="16">
        <f>IFERROR(INDEX(_怪物基线!$C$2:$C$501,MATCH(INT($L433),_怪物基线!$A$2:$A$501,0)),"")</f>
        <v>32567</v>
      </c>
      <c r="Q433" s="16">
        <f>IFERROR(INDEX(_怪物基线!$D$2:$D$501,MATCH(INT($L433),_怪物基线!$A$2:$A$501,0)),"")</f>
        <v>27281</v>
      </c>
      <c r="R433" s="16">
        <f>参数!$B$10</f>
        <v>4</v>
      </c>
      <c r="S433" s="16">
        <f>参数!$C$10</f>
        <v>1.2</v>
      </c>
      <c r="T433" s="16">
        <f>参数!$D$10</f>
        <v>1</v>
      </c>
      <c r="U433" s="16">
        <f t="shared" si="48"/>
        <v>1341368</v>
      </c>
      <c r="V433" s="16">
        <f t="shared" si="49"/>
        <v>39080.4</v>
      </c>
      <c r="W433" s="16">
        <f t="shared" si="50"/>
        <v>27281</v>
      </c>
      <c r="X433" s="16">
        <f>IFERROR(INDEX(参数!$B$5:$B$7,MATCH($N433,参数!$A$5:$A$7,0)),"")</f>
        <v>1</v>
      </c>
      <c r="Y433" s="16">
        <f>IFERROR(INDEX(参数!$C$5:$C$7,MATCH($N433,参数!$A$5:$A$7,0)),"")</f>
        <v>1.2</v>
      </c>
      <c r="Z433" s="16">
        <f>IFERROR(INDEX(参数!$D$5:$D$7,MATCH($N433,参数!$A$5:$A$7,0)),"")</f>
        <v>1</v>
      </c>
      <c r="AA433" s="16">
        <f>IFERROR(INDEX(楼层配置!$E$5:$E$104,MATCH($K433,楼层配置!$B$5:$B$104,0)),1)</f>
        <v>1.13539899541223</v>
      </c>
      <c r="AB433" s="16">
        <f>IFERROR(INDEX(楼层配置!$F$5:$F$104,MATCH($K433,楼层配置!$B$5:$B$104,0)),1)</f>
        <v>0.71695098708435</v>
      </c>
      <c r="AC433" s="16">
        <f>IFERROR(INDEX(楼层配置!$G$5:$G$104,MATCH($K433,楼层配置!$B$5:$B$104,0)),1)</f>
        <v>1</v>
      </c>
      <c r="AD433" s="18">
        <f t="shared" si="51"/>
        <v>-0.510887574230541</v>
      </c>
      <c r="AE433" s="18">
        <f t="shared" si="52"/>
        <v>-0.346815868205308</v>
      </c>
      <c r="AF433" s="18">
        <f t="shared" si="53"/>
        <v>-0.0325200368820484</v>
      </c>
      <c r="AG433" s="16" t="str">
        <f t="shared" si="54"/>
        <v>有效</v>
      </c>
      <c r="AH433">
        <f t="shared" si="55"/>
        <v>3254181.15116667</v>
      </c>
    </row>
    <row r="434" ht="14.25" customHeight="1" spans="1:34">
      <c r="A434" s="16">
        <v>430</v>
      </c>
      <c r="B434" s="16">
        <v>1005</v>
      </c>
      <c r="C434" s="16">
        <v>53</v>
      </c>
      <c r="D434" s="17">
        <f>IFERROR(ROUND($U434*$X434*$AA434*参数!$B$13,0),"")</f>
        <v>1522988</v>
      </c>
      <c r="E434" s="17">
        <f>IFERROR(ROUND($V434*$Y434*$AB434*参数!$C$13,0),"")</f>
        <v>33622</v>
      </c>
      <c r="F434" s="17">
        <f>IFERROR(ROUND($W434*$Z434*$AC434*参数!$D$13,0),"")</f>
        <v>27281</v>
      </c>
      <c r="G434" s="16">
        <v>3113779</v>
      </c>
      <c r="H434" s="16">
        <v>51474</v>
      </c>
      <c r="I434" s="16">
        <v>28198</v>
      </c>
      <c r="J434" s="16">
        <v>86</v>
      </c>
      <c r="K434" s="16">
        <v>86</v>
      </c>
      <c r="L434" s="16">
        <f>IFERROR(INDEX(楼层配置!$D$5:$D$104,MATCH($K434,楼层配置!$B$5:$B$104,0)),"")</f>
        <v>263</v>
      </c>
      <c r="M434" s="16" t="str">
        <f>IFERROR(INDEX(_角色基线!$B$2:$B$100,MATCH($B434,_角色基线!$A$2:$A$100,0)),"")</f>
        <v>陈单单</v>
      </c>
      <c r="N434" s="16" t="str">
        <f>IFERROR(INDEX(_角色基线!$C$2:$C$100,MATCH($B434,_角色基线!$A$2:$A$100,0)),"")</f>
        <v>DPS</v>
      </c>
      <c r="O434" s="16">
        <f>IFERROR(INDEX(_怪物基线!$B$2:$B$501,MATCH(INT($L434),_怪物基线!$A$2:$A$501,0)),"")</f>
        <v>335342</v>
      </c>
      <c r="P434" s="16">
        <f>IFERROR(INDEX(_怪物基线!$C$2:$C$501,MATCH(INT($L434),_怪物基线!$A$2:$A$501,0)),"")</f>
        <v>32567</v>
      </c>
      <c r="Q434" s="16">
        <f>IFERROR(INDEX(_怪物基线!$D$2:$D$501,MATCH(INT($L434),_怪物基线!$A$2:$A$501,0)),"")</f>
        <v>27281</v>
      </c>
      <c r="R434" s="16">
        <f>参数!$B$10</f>
        <v>4</v>
      </c>
      <c r="S434" s="16">
        <f>参数!$C$10</f>
        <v>1.2</v>
      </c>
      <c r="T434" s="16">
        <f>参数!$D$10</f>
        <v>1</v>
      </c>
      <c r="U434" s="16">
        <f t="shared" si="48"/>
        <v>1341368</v>
      </c>
      <c r="V434" s="16">
        <f t="shared" si="49"/>
        <v>39080.4</v>
      </c>
      <c r="W434" s="16">
        <f t="shared" si="50"/>
        <v>27281</v>
      </c>
      <c r="X434" s="16">
        <f>IFERROR(INDEX(参数!$B$5:$B$7,MATCH($N434,参数!$A$5:$A$7,0)),"")</f>
        <v>1</v>
      </c>
      <c r="Y434" s="16">
        <f>IFERROR(INDEX(参数!$C$5:$C$7,MATCH($N434,参数!$A$5:$A$7,0)),"")</f>
        <v>1.2</v>
      </c>
      <c r="Z434" s="16">
        <f>IFERROR(INDEX(参数!$D$5:$D$7,MATCH($N434,参数!$A$5:$A$7,0)),"")</f>
        <v>1</v>
      </c>
      <c r="AA434" s="16">
        <f>IFERROR(INDEX(楼层配置!$E$5:$E$104,MATCH($K434,楼层配置!$B$5:$B$104,0)),1)</f>
        <v>1.13539899541223</v>
      </c>
      <c r="AB434" s="16">
        <f>IFERROR(INDEX(楼层配置!$F$5:$F$104,MATCH($K434,楼层配置!$B$5:$B$104,0)),1)</f>
        <v>0.71695098708435</v>
      </c>
      <c r="AC434" s="16">
        <f>IFERROR(INDEX(楼层配置!$G$5:$G$104,MATCH($K434,楼层配置!$B$5:$B$104,0)),1)</f>
        <v>1</v>
      </c>
      <c r="AD434" s="18">
        <f t="shared" si="51"/>
        <v>-0.510887574230541</v>
      </c>
      <c r="AE434" s="18">
        <f t="shared" si="52"/>
        <v>-0.346815868205308</v>
      </c>
      <c r="AF434" s="18">
        <f t="shared" si="53"/>
        <v>-0.0325200368820484</v>
      </c>
      <c r="AG434" s="16" t="str">
        <f t="shared" si="54"/>
        <v>有效</v>
      </c>
      <c r="AH434">
        <f t="shared" si="55"/>
        <v>3254181.15116667</v>
      </c>
    </row>
    <row r="435" ht="14.25" customHeight="1" spans="1:34">
      <c r="A435" s="16">
        <v>431</v>
      </c>
      <c r="B435" s="16">
        <v>1004</v>
      </c>
      <c r="C435" s="16">
        <v>53</v>
      </c>
      <c r="D435" s="17">
        <f>IFERROR(ROUND($U435*$X435*$AA435*参数!$B$13,0),"")</f>
        <v>2304153</v>
      </c>
      <c r="E435" s="17">
        <f>IFERROR(ROUND($V435*$Y435*$AB435*参数!$C$13,0),"")</f>
        <v>28256</v>
      </c>
      <c r="F435" s="17">
        <f>IFERROR(ROUND($W435*$Z435*$AC435*参数!$D$13,0),"")</f>
        <v>41123</v>
      </c>
      <c r="G435" s="16">
        <v>4818981</v>
      </c>
      <c r="H435" s="16">
        <v>43999</v>
      </c>
      <c r="I435" s="16">
        <v>42963</v>
      </c>
      <c r="J435" s="16">
        <v>87</v>
      </c>
      <c r="K435" s="16">
        <v>87</v>
      </c>
      <c r="L435" s="16">
        <f>IFERROR(INDEX(楼层配置!$D$5:$D$104,MATCH($K435,楼层配置!$B$5:$B$104,0)),"")</f>
        <v>264</v>
      </c>
      <c r="M435" s="16" t="str">
        <f>IFERROR(INDEX(_角色基线!$B$2:$B$100,MATCH($B435,_角色基线!$A$2:$A$100,0)),"")</f>
        <v>阿芭</v>
      </c>
      <c r="N435" s="16" t="str">
        <f>IFERROR(INDEX(_角色基线!$C$2:$C$100,MATCH($B435,_角色基线!$A$2:$A$100,0)),"")</f>
        <v>Tank</v>
      </c>
      <c r="O435" s="16">
        <f>IFERROR(INDEX(_怪物基线!$B$2:$B$501,MATCH(INT($L435),_怪物基线!$A$2:$A$501,0)),"")</f>
        <v>338766</v>
      </c>
      <c r="P435" s="16">
        <f>IFERROR(INDEX(_怪物基线!$C$2:$C$501,MATCH(INT($L435),_怪物基线!$A$2:$A$501,0)),"")</f>
        <v>32814</v>
      </c>
      <c r="Q435" s="16">
        <f>IFERROR(INDEX(_怪物基线!$D$2:$D$501,MATCH(INT($L435),_怪物基线!$A$2:$A$501,0)),"")</f>
        <v>27415</v>
      </c>
      <c r="R435" s="16">
        <f>参数!$B$10</f>
        <v>4</v>
      </c>
      <c r="S435" s="16">
        <f>参数!$C$10</f>
        <v>1.2</v>
      </c>
      <c r="T435" s="16">
        <f>参数!$D$10</f>
        <v>1</v>
      </c>
      <c r="U435" s="16">
        <f t="shared" si="48"/>
        <v>1355064</v>
      </c>
      <c r="V435" s="16">
        <f t="shared" si="49"/>
        <v>39376.8</v>
      </c>
      <c r="W435" s="16">
        <f t="shared" si="50"/>
        <v>27415</v>
      </c>
      <c r="X435" s="16">
        <f>IFERROR(INDEX(参数!$B$5:$B$7,MATCH($N435,参数!$A$5:$A$7,0)),"")</f>
        <v>1.5</v>
      </c>
      <c r="Y435" s="16">
        <f>IFERROR(INDEX(参数!$C$5:$C$7,MATCH($N435,参数!$A$5:$A$7,0)),"")</f>
        <v>1</v>
      </c>
      <c r="Z435" s="16">
        <f>IFERROR(INDEX(参数!$D$5:$D$7,MATCH($N435,参数!$A$5:$A$7,0)),"")</f>
        <v>1.5</v>
      </c>
      <c r="AA435" s="16">
        <f>IFERROR(INDEX(楼层配置!$E$5:$E$104,MATCH($K435,楼层配置!$B$5:$B$104,0)),1)</f>
        <v>1.13360094353639</v>
      </c>
      <c r="AB435" s="16">
        <f>IFERROR(INDEX(楼层配置!$F$5:$F$104,MATCH($K435,楼层配置!$B$5:$B$104,0)),1)</f>
        <v>0.717577777705241</v>
      </c>
      <c r="AC435" s="16">
        <f>IFERROR(INDEX(楼层配置!$G$5:$G$104,MATCH($K435,楼层配置!$B$5:$B$104,0)),1)</f>
        <v>1</v>
      </c>
      <c r="AD435" s="18">
        <f t="shared" si="51"/>
        <v>-0.521858874313885</v>
      </c>
      <c r="AE435" s="18">
        <f t="shared" si="52"/>
        <v>-0.357803586445146</v>
      </c>
      <c r="AF435" s="18">
        <f t="shared" si="53"/>
        <v>-0.0428275492865955</v>
      </c>
      <c r="AG435" s="16" t="str">
        <f t="shared" si="54"/>
        <v>有效</v>
      </c>
      <c r="AH435">
        <f t="shared" si="55"/>
        <v>6252223.159125</v>
      </c>
    </row>
    <row r="436" ht="14.25" customHeight="1" spans="1:34">
      <c r="A436" s="16">
        <v>432</v>
      </c>
      <c r="B436" s="16">
        <v>1011</v>
      </c>
      <c r="C436" s="16">
        <v>53</v>
      </c>
      <c r="D436" s="17">
        <f>IFERROR(ROUND($U436*$X436*$AA436*参数!$B$13,0),"")</f>
        <v>1920127</v>
      </c>
      <c r="E436" s="17">
        <f>IFERROR(ROUND($V436*$Y436*$AB436*参数!$C$13,0),"")</f>
        <v>28256</v>
      </c>
      <c r="F436" s="17">
        <f>IFERROR(ROUND($W436*$Z436*$AC436*参数!$D$13,0),"")</f>
        <v>34269</v>
      </c>
      <c r="G436" s="16">
        <v>4015818</v>
      </c>
      <c r="H436" s="16">
        <v>43999</v>
      </c>
      <c r="I436" s="16">
        <v>35803</v>
      </c>
      <c r="J436" s="16">
        <v>87</v>
      </c>
      <c r="K436" s="16">
        <v>87</v>
      </c>
      <c r="L436" s="16">
        <f>IFERROR(INDEX(楼层配置!$D$5:$D$104,MATCH($K436,楼层配置!$B$5:$B$104,0)),"")</f>
        <v>264</v>
      </c>
      <c r="M436" s="16" t="str">
        <f>IFERROR(INDEX(_角色基线!$B$2:$B$100,MATCH($B436,_角色基线!$A$2:$A$100,0)),"")</f>
        <v>陈双双</v>
      </c>
      <c r="N436" s="16" t="str">
        <f>IFERROR(INDEX(_角色基线!$C$2:$C$100,MATCH($B436,_角色基线!$A$2:$A$100,0)),"")</f>
        <v>Support</v>
      </c>
      <c r="O436" s="16">
        <f>IFERROR(INDEX(_怪物基线!$B$2:$B$501,MATCH(INT($L436),_怪物基线!$A$2:$A$501,0)),"")</f>
        <v>338766</v>
      </c>
      <c r="P436" s="16">
        <f>IFERROR(INDEX(_怪物基线!$C$2:$C$501,MATCH(INT($L436),_怪物基线!$A$2:$A$501,0)),"")</f>
        <v>32814</v>
      </c>
      <c r="Q436" s="16">
        <f>IFERROR(INDEX(_怪物基线!$D$2:$D$501,MATCH(INT($L436),_怪物基线!$A$2:$A$501,0)),"")</f>
        <v>27415</v>
      </c>
      <c r="R436" s="16">
        <f>参数!$B$10</f>
        <v>4</v>
      </c>
      <c r="S436" s="16">
        <f>参数!$C$10</f>
        <v>1.2</v>
      </c>
      <c r="T436" s="16">
        <f>参数!$D$10</f>
        <v>1</v>
      </c>
      <c r="U436" s="16">
        <f t="shared" si="48"/>
        <v>1355064</v>
      </c>
      <c r="V436" s="16">
        <f t="shared" si="49"/>
        <v>39376.8</v>
      </c>
      <c r="W436" s="16">
        <f t="shared" si="50"/>
        <v>27415</v>
      </c>
      <c r="X436" s="16">
        <f>IFERROR(INDEX(参数!$B$5:$B$7,MATCH($N436,参数!$A$5:$A$7,0)),"")</f>
        <v>1.25</v>
      </c>
      <c r="Y436" s="16">
        <f>IFERROR(INDEX(参数!$C$5:$C$7,MATCH($N436,参数!$A$5:$A$7,0)),"")</f>
        <v>1</v>
      </c>
      <c r="Z436" s="16">
        <f>IFERROR(INDEX(参数!$D$5:$D$7,MATCH($N436,参数!$A$5:$A$7,0)),"")</f>
        <v>1.25</v>
      </c>
      <c r="AA436" s="16">
        <f>IFERROR(INDEX(楼层配置!$E$5:$E$104,MATCH($K436,楼层配置!$B$5:$B$104,0)),1)</f>
        <v>1.13360094353639</v>
      </c>
      <c r="AB436" s="16">
        <f>IFERROR(INDEX(楼层配置!$F$5:$F$104,MATCH($K436,楼层配置!$B$5:$B$104,0)),1)</f>
        <v>0.717577777705241</v>
      </c>
      <c r="AC436" s="16">
        <f>IFERROR(INDEX(楼层配置!$G$5:$G$104,MATCH($K436,楼层配置!$B$5:$B$104,0)),1)</f>
        <v>1</v>
      </c>
      <c r="AD436" s="18">
        <f t="shared" si="51"/>
        <v>-0.52185905835374</v>
      </c>
      <c r="AE436" s="18">
        <f t="shared" si="52"/>
        <v>-0.357803586445146</v>
      </c>
      <c r="AF436" s="18">
        <f t="shared" si="53"/>
        <v>-0.0428455716001452</v>
      </c>
      <c r="AG436" s="16" t="str">
        <f t="shared" si="54"/>
        <v>有效</v>
      </c>
      <c r="AH436">
        <f t="shared" si="55"/>
        <v>4661828.340125</v>
      </c>
    </row>
    <row r="437" ht="14.25" customHeight="1" spans="1:34">
      <c r="A437" s="16">
        <v>433</v>
      </c>
      <c r="B437" s="16">
        <v>1008</v>
      </c>
      <c r="C437" s="16">
        <v>53</v>
      </c>
      <c r="D437" s="17">
        <f>IFERROR(ROUND($U437*$X437*$AA437*参数!$B$13,0),"")</f>
        <v>1536102</v>
      </c>
      <c r="E437" s="17">
        <f>IFERROR(ROUND($V437*$Y437*$AB437*参数!$C$13,0),"")</f>
        <v>33907</v>
      </c>
      <c r="F437" s="17">
        <f>IFERROR(ROUND($W437*$Z437*$AC437*参数!$D$13,0),"")</f>
        <v>27415</v>
      </c>
      <c r="G437" s="16">
        <v>3212654</v>
      </c>
      <c r="H437" s="16">
        <v>52798</v>
      </c>
      <c r="I437" s="16">
        <v>28642</v>
      </c>
      <c r="J437" s="16">
        <v>87</v>
      </c>
      <c r="K437" s="16">
        <v>87</v>
      </c>
      <c r="L437" s="16">
        <f>IFERROR(INDEX(楼层配置!$D$5:$D$104,MATCH($K437,楼层配置!$B$5:$B$104,0)),"")</f>
        <v>264</v>
      </c>
      <c r="M437" s="16" t="str">
        <f>IFERROR(INDEX(_角色基线!$B$2:$B$100,MATCH($B437,_角色基线!$A$2:$A$100,0)),"")</f>
        <v>薇</v>
      </c>
      <c r="N437" s="16" t="str">
        <f>IFERROR(INDEX(_角色基线!$C$2:$C$100,MATCH($B437,_角色基线!$A$2:$A$100,0)),"")</f>
        <v>DPS</v>
      </c>
      <c r="O437" s="16">
        <f>IFERROR(INDEX(_怪物基线!$B$2:$B$501,MATCH(INT($L437),_怪物基线!$A$2:$A$501,0)),"")</f>
        <v>338766</v>
      </c>
      <c r="P437" s="16">
        <f>IFERROR(INDEX(_怪物基线!$C$2:$C$501,MATCH(INT($L437),_怪物基线!$A$2:$A$501,0)),"")</f>
        <v>32814</v>
      </c>
      <c r="Q437" s="16">
        <f>IFERROR(INDEX(_怪物基线!$D$2:$D$501,MATCH(INT($L437),_怪物基线!$A$2:$A$501,0)),"")</f>
        <v>27415</v>
      </c>
      <c r="R437" s="16">
        <f>参数!$B$10</f>
        <v>4</v>
      </c>
      <c r="S437" s="16">
        <f>参数!$C$10</f>
        <v>1.2</v>
      </c>
      <c r="T437" s="16">
        <f>参数!$D$10</f>
        <v>1</v>
      </c>
      <c r="U437" s="16">
        <f t="shared" si="48"/>
        <v>1355064</v>
      </c>
      <c r="V437" s="16">
        <f t="shared" si="49"/>
        <v>39376.8</v>
      </c>
      <c r="W437" s="16">
        <f t="shared" si="50"/>
        <v>27415</v>
      </c>
      <c r="X437" s="16">
        <f>IFERROR(INDEX(参数!$B$5:$B$7,MATCH($N437,参数!$A$5:$A$7,0)),"")</f>
        <v>1</v>
      </c>
      <c r="Y437" s="16">
        <f>IFERROR(INDEX(参数!$C$5:$C$7,MATCH($N437,参数!$A$5:$A$7,0)),"")</f>
        <v>1.2</v>
      </c>
      <c r="Z437" s="16">
        <f>IFERROR(INDEX(参数!$D$5:$D$7,MATCH($N437,参数!$A$5:$A$7,0)),"")</f>
        <v>1</v>
      </c>
      <c r="AA437" s="16">
        <f>IFERROR(INDEX(楼层配置!$E$5:$E$104,MATCH($K437,楼层配置!$B$5:$B$104,0)),1)</f>
        <v>1.13360094353639</v>
      </c>
      <c r="AB437" s="16">
        <f>IFERROR(INDEX(楼层配置!$F$5:$F$104,MATCH($K437,楼层配置!$B$5:$B$104,0)),1)</f>
        <v>0.717577777705241</v>
      </c>
      <c r="AC437" s="16">
        <f>IFERROR(INDEX(楼层配置!$G$5:$G$104,MATCH($K437,楼层配置!$B$5:$B$104,0)),1)</f>
        <v>1</v>
      </c>
      <c r="AD437" s="18">
        <f t="shared" si="51"/>
        <v>-0.521858874313885</v>
      </c>
      <c r="AE437" s="18">
        <f t="shared" si="52"/>
        <v>-0.357797643850146</v>
      </c>
      <c r="AF437" s="18">
        <f t="shared" si="53"/>
        <v>-0.0428391872075973</v>
      </c>
      <c r="AG437" s="16" t="str">
        <f t="shared" si="54"/>
        <v>有效</v>
      </c>
      <c r="AH437">
        <f t="shared" si="55"/>
        <v>3290778.51375</v>
      </c>
    </row>
    <row r="438" ht="14.25" customHeight="1" spans="1:34">
      <c r="A438" s="16">
        <v>434</v>
      </c>
      <c r="B438" s="16">
        <v>1006</v>
      </c>
      <c r="C438" s="16">
        <v>53</v>
      </c>
      <c r="D438" s="17">
        <f>IFERROR(ROUND($U438*$X438*$AA438*参数!$B$13,0),"")</f>
        <v>1536102</v>
      </c>
      <c r="E438" s="17">
        <f>IFERROR(ROUND($V438*$Y438*$AB438*参数!$C$13,0),"")</f>
        <v>33907</v>
      </c>
      <c r="F438" s="17">
        <f>IFERROR(ROUND($W438*$Z438*$AC438*参数!$D$13,0),"")</f>
        <v>27415</v>
      </c>
      <c r="G438" s="16">
        <v>3212654</v>
      </c>
      <c r="H438" s="16">
        <v>52798</v>
      </c>
      <c r="I438" s="16">
        <v>28642</v>
      </c>
      <c r="J438" s="16">
        <v>87</v>
      </c>
      <c r="K438" s="16">
        <v>87</v>
      </c>
      <c r="L438" s="16">
        <f>IFERROR(INDEX(楼层配置!$D$5:$D$104,MATCH($K438,楼层配置!$B$5:$B$104,0)),"")</f>
        <v>264</v>
      </c>
      <c r="M438" s="16" t="str">
        <f>IFERROR(INDEX(_角色基线!$B$2:$B$100,MATCH($B438,_角色基线!$A$2:$A$100,0)),"")</f>
        <v>莉莉娅</v>
      </c>
      <c r="N438" s="16" t="str">
        <f>IFERROR(INDEX(_角色基线!$C$2:$C$100,MATCH($B438,_角色基线!$A$2:$A$100,0)),"")</f>
        <v>DPS</v>
      </c>
      <c r="O438" s="16">
        <f>IFERROR(INDEX(_怪物基线!$B$2:$B$501,MATCH(INT($L438),_怪物基线!$A$2:$A$501,0)),"")</f>
        <v>338766</v>
      </c>
      <c r="P438" s="16">
        <f>IFERROR(INDEX(_怪物基线!$C$2:$C$501,MATCH(INT($L438),_怪物基线!$A$2:$A$501,0)),"")</f>
        <v>32814</v>
      </c>
      <c r="Q438" s="16">
        <f>IFERROR(INDEX(_怪物基线!$D$2:$D$501,MATCH(INT($L438),_怪物基线!$A$2:$A$501,0)),"")</f>
        <v>27415</v>
      </c>
      <c r="R438" s="16">
        <f>参数!$B$10</f>
        <v>4</v>
      </c>
      <c r="S438" s="16">
        <f>参数!$C$10</f>
        <v>1.2</v>
      </c>
      <c r="T438" s="16">
        <f>参数!$D$10</f>
        <v>1</v>
      </c>
      <c r="U438" s="16">
        <f t="shared" si="48"/>
        <v>1355064</v>
      </c>
      <c r="V438" s="16">
        <f t="shared" si="49"/>
        <v>39376.8</v>
      </c>
      <c r="W438" s="16">
        <f t="shared" si="50"/>
        <v>27415</v>
      </c>
      <c r="X438" s="16">
        <f>IFERROR(INDEX(参数!$B$5:$B$7,MATCH($N438,参数!$A$5:$A$7,0)),"")</f>
        <v>1</v>
      </c>
      <c r="Y438" s="16">
        <f>IFERROR(INDEX(参数!$C$5:$C$7,MATCH($N438,参数!$A$5:$A$7,0)),"")</f>
        <v>1.2</v>
      </c>
      <c r="Z438" s="16">
        <f>IFERROR(INDEX(参数!$D$5:$D$7,MATCH($N438,参数!$A$5:$A$7,0)),"")</f>
        <v>1</v>
      </c>
      <c r="AA438" s="16">
        <f>IFERROR(INDEX(楼层配置!$E$5:$E$104,MATCH($K438,楼层配置!$B$5:$B$104,0)),1)</f>
        <v>1.13360094353639</v>
      </c>
      <c r="AB438" s="16">
        <f>IFERROR(INDEX(楼层配置!$F$5:$F$104,MATCH($K438,楼层配置!$B$5:$B$104,0)),1)</f>
        <v>0.717577777705241</v>
      </c>
      <c r="AC438" s="16">
        <f>IFERROR(INDEX(楼层配置!$G$5:$G$104,MATCH($K438,楼层配置!$B$5:$B$104,0)),1)</f>
        <v>1</v>
      </c>
      <c r="AD438" s="18">
        <f t="shared" si="51"/>
        <v>-0.521858874313885</v>
      </c>
      <c r="AE438" s="18">
        <f t="shared" si="52"/>
        <v>-0.357797643850146</v>
      </c>
      <c r="AF438" s="18">
        <f t="shared" si="53"/>
        <v>-0.0428391872075973</v>
      </c>
      <c r="AG438" s="16" t="str">
        <f t="shared" si="54"/>
        <v>有效</v>
      </c>
      <c r="AH438">
        <f t="shared" si="55"/>
        <v>3290778.51375</v>
      </c>
    </row>
    <row r="439" ht="14.25" customHeight="1" spans="1:34">
      <c r="A439" s="16">
        <v>435</v>
      </c>
      <c r="B439" s="16">
        <v>1005</v>
      </c>
      <c r="C439" s="16">
        <v>53</v>
      </c>
      <c r="D439" s="17">
        <f>IFERROR(ROUND($U439*$X439*$AA439*参数!$B$13,0),"")</f>
        <v>1536102</v>
      </c>
      <c r="E439" s="17">
        <f>IFERROR(ROUND($V439*$Y439*$AB439*参数!$C$13,0),"")</f>
        <v>33907</v>
      </c>
      <c r="F439" s="17">
        <f>IFERROR(ROUND($W439*$Z439*$AC439*参数!$D$13,0),"")</f>
        <v>27415</v>
      </c>
      <c r="G439" s="16">
        <v>3212654</v>
      </c>
      <c r="H439" s="16">
        <v>52798</v>
      </c>
      <c r="I439" s="16">
        <v>28642</v>
      </c>
      <c r="J439" s="16">
        <v>87</v>
      </c>
      <c r="K439" s="16">
        <v>87</v>
      </c>
      <c r="L439" s="16">
        <f>IFERROR(INDEX(楼层配置!$D$5:$D$104,MATCH($K439,楼层配置!$B$5:$B$104,0)),"")</f>
        <v>264</v>
      </c>
      <c r="M439" s="16" t="str">
        <f>IFERROR(INDEX(_角色基线!$B$2:$B$100,MATCH($B439,_角色基线!$A$2:$A$100,0)),"")</f>
        <v>陈单单</v>
      </c>
      <c r="N439" s="16" t="str">
        <f>IFERROR(INDEX(_角色基线!$C$2:$C$100,MATCH($B439,_角色基线!$A$2:$A$100,0)),"")</f>
        <v>DPS</v>
      </c>
      <c r="O439" s="16">
        <f>IFERROR(INDEX(_怪物基线!$B$2:$B$501,MATCH(INT($L439),_怪物基线!$A$2:$A$501,0)),"")</f>
        <v>338766</v>
      </c>
      <c r="P439" s="16">
        <f>IFERROR(INDEX(_怪物基线!$C$2:$C$501,MATCH(INT($L439),_怪物基线!$A$2:$A$501,0)),"")</f>
        <v>32814</v>
      </c>
      <c r="Q439" s="16">
        <f>IFERROR(INDEX(_怪物基线!$D$2:$D$501,MATCH(INT($L439),_怪物基线!$A$2:$A$501,0)),"")</f>
        <v>27415</v>
      </c>
      <c r="R439" s="16">
        <f>参数!$B$10</f>
        <v>4</v>
      </c>
      <c r="S439" s="16">
        <f>参数!$C$10</f>
        <v>1.2</v>
      </c>
      <c r="T439" s="16">
        <f>参数!$D$10</f>
        <v>1</v>
      </c>
      <c r="U439" s="16">
        <f t="shared" si="48"/>
        <v>1355064</v>
      </c>
      <c r="V439" s="16">
        <f t="shared" si="49"/>
        <v>39376.8</v>
      </c>
      <c r="W439" s="16">
        <f t="shared" si="50"/>
        <v>27415</v>
      </c>
      <c r="X439" s="16">
        <f>IFERROR(INDEX(参数!$B$5:$B$7,MATCH($N439,参数!$A$5:$A$7,0)),"")</f>
        <v>1</v>
      </c>
      <c r="Y439" s="16">
        <f>IFERROR(INDEX(参数!$C$5:$C$7,MATCH($N439,参数!$A$5:$A$7,0)),"")</f>
        <v>1.2</v>
      </c>
      <c r="Z439" s="16">
        <f>IFERROR(INDEX(参数!$D$5:$D$7,MATCH($N439,参数!$A$5:$A$7,0)),"")</f>
        <v>1</v>
      </c>
      <c r="AA439" s="16">
        <f>IFERROR(INDEX(楼层配置!$E$5:$E$104,MATCH($K439,楼层配置!$B$5:$B$104,0)),1)</f>
        <v>1.13360094353639</v>
      </c>
      <c r="AB439" s="16">
        <f>IFERROR(INDEX(楼层配置!$F$5:$F$104,MATCH($K439,楼层配置!$B$5:$B$104,0)),1)</f>
        <v>0.717577777705241</v>
      </c>
      <c r="AC439" s="16">
        <f>IFERROR(INDEX(楼层配置!$G$5:$G$104,MATCH($K439,楼层配置!$B$5:$B$104,0)),1)</f>
        <v>1</v>
      </c>
      <c r="AD439" s="18">
        <f t="shared" si="51"/>
        <v>-0.521858874313885</v>
      </c>
      <c r="AE439" s="18">
        <f t="shared" si="52"/>
        <v>-0.357797643850146</v>
      </c>
      <c r="AF439" s="18">
        <f t="shared" si="53"/>
        <v>-0.0428391872075973</v>
      </c>
      <c r="AG439" s="16" t="str">
        <f t="shared" si="54"/>
        <v>有效</v>
      </c>
      <c r="AH439">
        <f t="shared" si="55"/>
        <v>3290778.51375</v>
      </c>
    </row>
    <row r="440" ht="14.25" customHeight="1" spans="1:34">
      <c r="A440" s="16">
        <v>436</v>
      </c>
      <c r="B440" s="16">
        <v>1004</v>
      </c>
      <c r="C440" s="16">
        <v>54</v>
      </c>
      <c r="D440" s="17">
        <f>IFERROR(ROUND($U440*$X440*$AA440*参数!$B$13,0),"")</f>
        <v>2324608</v>
      </c>
      <c r="E440" s="17">
        <f>IFERROR(ROUND($V440*$Y440*$AB440*参数!$C$13,0),"")</f>
        <v>28499</v>
      </c>
      <c r="F440" s="17">
        <f>IFERROR(ROUND($W440*$Z440*$AC440*参数!$D$13,0),"")</f>
        <v>41324</v>
      </c>
      <c r="G440" s="16">
        <v>4970808</v>
      </c>
      <c r="H440" s="16">
        <v>45131</v>
      </c>
      <c r="I440" s="16">
        <v>43634</v>
      </c>
      <c r="J440" s="16">
        <v>88</v>
      </c>
      <c r="K440" s="16">
        <v>88</v>
      </c>
      <c r="L440" s="16">
        <f>IFERROR(INDEX(楼层配置!$D$5:$D$104,MATCH($K440,楼层配置!$B$5:$B$104,0)),"")</f>
        <v>265</v>
      </c>
      <c r="M440" s="16" t="str">
        <f>IFERROR(INDEX(_角色基线!$B$2:$B$100,MATCH($B440,_角色基线!$A$2:$A$100,0)),"")</f>
        <v>阿芭</v>
      </c>
      <c r="N440" s="16" t="str">
        <f>IFERROR(INDEX(_角色基线!$C$2:$C$100,MATCH($B440,_角色基线!$A$2:$A$100,0)),"")</f>
        <v>Tank</v>
      </c>
      <c r="O440" s="16">
        <f>IFERROR(INDEX(_怪物基线!$B$2:$B$501,MATCH(INT($L440),_怪物基线!$A$2:$A$501,0)),"")</f>
        <v>342216</v>
      </c>
      <c r="P440" s="16">
        <f>IFERROR(INDEX(_怪物基线!$C$2:$C$501,MATCH(INT($L440),_怪物基线!$A$2:$A$501,0)),"")</f>
        <v>33063</v>
      </c>
      <c r="Q440" s="16">
        <f>IFERROR(INDEX(_怪物基线!$D$2:$D$501,MATCH(INT($L440),_怪物基线!$A$2:$A$501,0)),"")</f>
        <v>27549</v>
      </c>
      <c r="R440" s="16">
        <f>参数!$B$10</f>
        <v>4</v>
      </c>
      <c r="S440" s="16">
        <f>参数!$C$10</f>
        <v>1.2</v>
      </c>
      <c r="T440" s="16">
        <f>参数!$D$10</f>
        <v>1</v>
      </c>
      <c r="U440" s="16">
        <f t="shared" si="48"/>
        <v>1368864</v>
      </c>
      <c r="V440" s="16">
        <f t="shared" si="49"/>
        <v>39675.6</v>
      </c>
      <c r="W440" s="16">
        <f t="shared" si="50"/>
        <v>27549</v>
      </c>
      <c r="X440" s="16">
        <f>IFERROR(INDEX(参数!$B$5:$B$7,MATCH($N440,参数!$A$5:$A$7,0)),"")</f>
        <v>1.5</v>
      </c>
      <c r="Y440" s="16">
        <f>IFERROR(INDEX(参数!$C$5:$C$7,MATCH($N440,参数!$A$5:$A$7,0)),"")</f>
        <v>1</v>
      </c>
      <c r="Z440" s="16">
        <f>IFERROR(INDEX(参数!$D$5:$D$7,MATCH($N440,参数!$A$5:$A$7,0)),"")</f>
        <v>1.5</v>
      </c>
      <c r="AA440" s="16">
        <f>IFERROR(INDEX(楼层配置!$E$5:$E$104,MATCH($K440,楼层配置!$B$5:$B$104,0)),1)</f>
        <v>1.13213506165938</v>
      </c>
      <c r="AB440" s="16">
        <f>IFERROR(INDEX(楼层配置!$F$5:$F$104,MATCH($K440,楼层配置!$B$5:$B$104,0)),1)</f>
        <v>0.71829746259604</v>
      </c>
      <c r="AC440" s="16">
        <f>IFERROR(INDEX(楼层配置!$G$5:$G$104,MATCH($K440,楼层配置!$B$5:$B$104,0)),1)</f>
        <v>1</v>
      </c>
      <c r="AD440" s="18">
        <f t="shared" si="51"/>
        <v>-0.532348060918869</v>
      </c>
      <c r="AE440" s="18">
        <f t="shared" si="52"/>
        <v>-0.368527176441914</v>
      </c>
      <c r="AF440" s="18">
        <f t="shared" si="53"/>
        <v>-0.0529403676032452</v>
      </c>
      <c r="AG440" s="16" t="str">
        <f t="shared" si="54"/>
        <v>有效</v>
      </c>
      <c r="AH440">
        <f t="shared" si="55"/>
        <v>6327195.54133333</v>
      </c>
    </row>
    <row r="441" ht="14.25" customHeight="1" spans="1:34">
      <c r="A441" s="16">
        <v>437</v>
      </c>
      <c r="B441" s="16">
        <v>1001</v>
      </c>
      <c r="C441" s="16">
        <v>54</v>
      </c>
      <c r="D441" s="17">
        <f>IFERROR(ROUND($U441*$X441*$AA441*参数!$B$13,0),"")</f>
        <v>1549739</v>
      </c>
      <c r="E441" s="17">
        <f>IFERROR(ROUND($V441*$Y441*$AB441*参数!$C$13,0),"")</f>
        <v>34199</v>
      </c>
      <c r="F441" s="17">
        <f>IFERROR(ROUND($W441*$Z441*$AC441*参数!$D$13,0),"")</f>
        <v>27549</v>
      </c>
      <c r="G441" s="16">
        <v>3313872</v>
      </c>
      <c r="H441" s="16">
        <v>54157</v>
      </c>
      <c r="I441" s="16">
        <v>29089</v>
      </c>
      <c r="J441" s="16">
        <v>88</v>
      </c>
      <c r="K441" s="16">
        <v>88</v>
      </c>
      <c r="L441" s="16">
        <f>IFERROR(INDEX(楼层配置!$D$5:$D$104,MATCH($K441,楼层配置!$B$5:$B$104,0)),"")</f>
        <v>265</v>
      </c>
      <c r="M441" s="16" t="str">
        <f>IFERROR(INDEX(_角色基线!$B$2:$B$100,MATCH($B441,_角色基线!$A$2:$A$100,0)),"")</f>
        <v>星海</v>
      </c>
      <c r="N441" s="16" t="str">
        <f>IFERROR(INDEX(_角色基线!$C$2:$C$100,MATCH($B441,_角色基线!$A$2:$A$100,0)),"")</f>
        <v>DPS</v>
      </c>
      <c r="O441" s="16">
        <f>IFERROR(INDEX(_怪物基线!$B$2:$B$501,MATCH(INT($L441),_怪物基线!$A$2:$A$501,0)),"")</f>
        <v>342216</v>
      </c>
      <c r="P441" s="16">
        <f>IFERROR(INDEX(_怪物基线!$C$2:$C$501,MATCH(INT($L441),_怪物基线!$A$2:$A$501,0)),"")</f>
        <v>33063</v>
      </c>
      <c r="Q441" s="16">
        <f>IFERROR(INDEX(_怪物基线!$D$2:$D$501,MATCH(INT($L441),_怪物基线!$A$2:$A$501,0)),"")</f>
        <v>27549</v>
      </c>
      <c r="R441" s="16">
        <f>参数!$B$10</f>
        <v>4</v>
      </c>
      <c r="S441" s="16">
        <f>参数!$C$10</f>
        <v>1.2</v>
      </c>
      <c r="T441" s="16">
        <f>参数!$D$10</f>
        <v>1</v>
      </c>
      <c r="U441" s="16">
        <f t="shared" si="48"/>
        <v>1368864</v>
      </c>
      <c r="V441" s="16">
        <f t="shared" si="49"/>
        <v>39675.6</v>
      </c>
      <c r="W441" s="16">
        <f t="shared" si="50"/>
        <v>27549</v>
      </c>
      <c r="X441" s="16">
        <f>IFERROR(INDEX(参数!$B$5:$B$7,MATCH($N441,参数!$A$5:$A$7,0)),"")</f>
        <v>1</v>
      </c>
      <c r="Y441" s="16">
        <f>IFERROR(INDEX(参数!$C$5:$C$7,MATCH($N441,参数!$A$5:$A$7,0)),"")</f>
        <v>1.2</v>
      </c>
      <c r="Z441" s="16">
        <f>IFERROR(INDEX(参数!$D$5:$D$7,MATCH($N441,参数!$A$5:$A$7,0)),"")</f>
        <v>1</v>
      </c>
      <c r="AA441" s="16">
        <f>IFERROR(INDEX(楼层配置!$E$5:$E$104,MATCH($K441,楼层配置!$B$5:$B$104,0)),1)</f>
        <v>1.13213506165938</v>
      </c>
      <c r="AB441" s="16">
        <f>IFERROR(INDEX(楼层配置!$F$5:$F$104,MATCH($K441,楼层配置!$B$5:$B$104,0)),1)</f>
        <v>0.71829746259604</v>
      </c>
      <c r="AC441" s="16">
        <f>IFERROR(INDEX(楼层配置!$G$5:$G$104,MATCH($K441,楼层配置!$B$5:$B$104,0)),1)</f>
        <v>1</v>
      </c>
      <c r="AD441" s="18">
        <f t="shared" si="51"/>
        <v>-0.5323479603316</v>
      </c>
      <c r="AE441" s="18">
        <f t="shared" si="52"/>
        <v>-0.368521151467031</v>
      </c>
      <c r="AF441" s="18">
        <f t="shared" si="53"/>
        <v>-0.0529409742514353</v>
      </c>
      <c r="AG441" s="16" t="str">
        <f t="shared" si="54"/>
        <v>有效</v>
      </c>
      <c r="AH441">
        <f t="shared" si="55"/>
        <v>3328645.654625</v>
      </c>
    </row>
    <row r="442" ht="14.25" customHeight="1" spans="1:34">
      <c r="A442" s="16">
        <v>438</v>
      </c>
      <c r="B442" s="16">
        <v>1005</v>
      </c>
      <c r="C442" s="16">
        <v>54</v>
      </c>
      <c r="D442" s="17">
        <f>IFERROR(ROUND($U442*$X442*$AA442*参数!$B$13,0),"")</f>
        <v>1549739</v>
      </c>
      <c r="E442" s="17">
        <f>IFERROR(ROUND($V442*$Y442*$AB442*参数!$C$13,0),"")</f>
        <v>34199</v>
      </c>
      <c r="F442" s="17">
        <f>IFERROR(ROUND($W442*$Z442*$AC442*参数!$D$13,0),"")</f>
        <v>27549</v>
      </c>
      <c r="G442" s="16">
        <v>3313872</v>
      </c>
      <c r="H442" s="16">
        <v>54157</v>
      </c>
      <c r="I442" s="16">
        <v>29089</v>
      </c>
      <c r="J442" s="16">
        <v>88</v>
      </c>
      <c r="K442" s="16">
        <v>88</v>
      </c>
      <c r="L442" s="16">
        <f>IFERROR(INDEX(楼层配置!$D$5:$D$104,MATCH($K442,楼层配置!$B$5:$B$104,0)),"")</f>
        <v>265</v>
      </c>
      <c r="M442" s="16" t="str">
        <f>IFERROR(INDEX(_角色基线!$B$2:$B$100,MATCH($B442,_角色基线!$A$2:$A$100,0)),"")</f>
        <v>陈单单</v>
      </c>
      <c r="N442" s="16" t="str">
        <f>IFERROR(INDEX(_角色基线!$C$2:$C$100,MATCH($B442,_角色基线!$A$2:$A$100,0)),"")</f>
        <v>DPS</v>
      </c>
      <c r="O442" s="16">
        <f>IFERROR(INDEX(_怪物基线!$B$2:$B$501,MATCH(INT($L442),_怪物基线!$A$2:$A$501,0)),"")</f>
        <v>342216</v>
      </c>
      <c r="P442" s="16">
        <f>IFERROR(INDEX(_怪物基线!$C$2:$C$501,MATCH(INT($L442),_怪物基线!$A$2:$A$501,0)),"")</f>
        <v>33063</v>
      </c>
      <c r="Q442" s="16">
        <f>IFERROR(INDEX(_怪物基线!$D$2:$D$501,MATCH(INT($L442),_怪物基线!$A$2:$A$501,0)),"")</f>
        <v>27549</v>
      </c>
      <c r="R442" s="16">
        <f>参数!$B$10</f>
        <v>4</v>
      </c>
      <c r="S442" s="16">
        <f>参数!$C$10</f>
        <v>1.2</v>
      </c>
      <c r="T442" s="16">
        <f>参数!$D$10</f>
        <v>1</v>
      </c>
      <c r="U442" s="16">
        <f t="shared" si="48"/>
        <v>1368864</v>
      </c>
      <c r="V442" s="16">
        <f t="shared" si="49"/>
        <v>39675.6</v>
      </c>
      <c r="W442" s="16">
        <f t="shared" si="50"/>
        <v>27549</v>
      </c>
      <c r="X442" s="16">
        <f>IFERROR(INDEX(参数!$B$5:$B$7,MATCH($N442,参数!$A$5:$A$7,0)),"")</f>
        <v>1</v>
      </c>
      <c r="Y442" s="16">
        <f>IFERROR(INDEX(参数!$C$5:$C$7,MATCH($N442,参数!$A$5:$A$7,0)),"")</f>
        <v>1.2</v>
      </c>
      <c r="Z442" s="16">
        <f>IFERROR(INDEX(参数!$D$5:$D$7,MATCH($N442,参数!$A$5:$A$7,0)),"")</f>
        <v>1</v>
      </c>
      <c r="AA442" s="16">
        <f>IFERROR(INDEX(楼层配置!$E$5:$E$104,MATCH($K442,楼层配置!$B$5:$B$104,0)),1)</f>
        <v>1.13213506165938</v>
      </c>
      <c r="AB442" s="16">
        <f>IFERROR(INDEX(楼层配置!$F$5:$F$104,MATCH($K442,楼层配置!$B$5:$B$104,0)),1)</f>
        <v>0.71829746259604</v>
      </c>
      <c r="AC442" s="16">
        <f>IFERROR(INDEX(楼层配置!$G$5:$G$104,MATCH($K442,楼层配置!$B$5:$B$104,0)),1)</f>
        <v>1</v>
      </c>
      <c r="AD442" s="18">
        <f t="shared" si="51"/>
        <v>-0.5323479603316</v>
      </c>
      <c r="AE442" s="18">
        <f t="shared" si="52"/>
        <v>-0.368521151467031</v>
      </c>
      <c r="AF442" s="18">
        <f t="shared" si="53"/>
        <v>-0.0529409742514353</v>
      </c>
      <c r="AG442" s="16" t="str">
        <f t="shared" si="54"/>
        <v>有效</v>
      </c>
      <c r="AH442">
        <f t="shared" si="55"/>
        <v>3328645.654625</v>
      </c>
    </row>
    <row r="443" ht="14.25" customHeight="1" spans="1:34">
      <c r="A443" s="16">
        <v>439</v>
      </c>
      <c r="B443" s="16">
        <v>1008</v>
      </c>
      <c r="C443" s="16">
        <v>54</v>
      </c>
      <c r="D443" s="17">
        <f>IFERROR(ROUND($U443*$X443*$AA443*参数!$B$13,0),"")</f>
        <v>1549739</v>
      </c>
      <c r="E443" s="17">
        <f>IFERROR(ROUND($V443*$Y443*$AB443*参数!$C$13,0),"")</f>
        <v>34199</v>
      </c>
      <c r="F443" s="17">
        <f>IFERROR(ROUND($W443*$Z443*$AC443*参数!$D$13,0),"")</f>
        <v>27549</v>
      </c>
      <c r="G443" s="16">
        <v>3313872</v>
      </c>
      <c r="H443" s="16">
        <v>54157</v>
      </c>
      <c r="I443" s="16">
        <v>29089</v>
      </c>
      <c r="J443" s="16">
        <v>88</v>
      </c>
      <c r="K443" s="16">
        <v>88</v>
      </c>
      <c r="L443" s="16">
        <f>IFERROR(INDEX(楼层配置!$D$5:$D$104,MATCH($K443,楼层配置!$B$5:$B$104,0)),"")</f>
        <v>265</v>
      </c>
      <c r="M443" s="16" t="str">
        <f>IFERROR(INDEX(_角色基线!$B$2:$B$100,MATCH($B443,_角色基线!$A$2:$A$100,0)),"")</f>
        <v>薇</v>
      </c>
      <c r="N443" s="16" t="str">
        <f>IFERROR(INDEX(_角色基线!$C$2:$C$100,MATCH($B443,_角色基线!$A$2:$A$100,0)),"")</f>
        <v>DPS</v>
      </c>
      <c r="O443" s="16">
        <f>IFERROR(INDEX(_怪物基线!$B$2:$B$501,MATCH(INT($L443),_怪物基线!$A$2:$A$501,0)),"")</f>
        <v>342216</v>
      </c>
      <c r="P443" s="16">
        <f>IFERROR(INDEX(_怪物基线!$C$2:$C$501,MATCH(INT($L443),_怪物基线!$A$2:$A$501,0)),"")</f>
        <v>33063</v>
      </c>
      <c r="Q443" s="16">
        <f>IFERROR(INDEX(_怪物基线!$D$2:$D$501,MATCH(INT($L443),_怪物基线!$A$2:$A$501,0)),"")</f>
        <v>27549</v>
      </c>
      <c r="R443" s="16">
        <f>参数!$B$10</f>
        <v>4</v>
      </c>
      <c r="S443" s="16">
        <f>参数!$C$10</f>
        <v>1.2</v>
      </c>
      <c r="T443" s="16">
        <f>参数!$D$10</f>
        <v>1</v>
      </c>
      <c r="U443" s="16">
        <f t="shared" si="48"/>
        <v>1368864</v>
      </c>
      <c r="V443" s="16">
        <f t="shared" si="49"/>
        <v>39675.6</v>
      </c>
      <c r="W443" s="16">
        <f t="shared" si="50"/>
        <v>27549</v>
      </c>
      <c r="X443" s="16">
        <f>IFERROR(INDEX(参数!$B$5:$B$7,MATCH($N443,参数!$A$5:$A$7,0)),"")</f>
        <v>1</v>
      </c>
      <c r="Y443" s="16">
        <f>IFERROR(INDEX(参数!$C$5:$C$7,MATCH($N443,参数!$A$5:$A$7,0)),"")</f>
        <v>1.2</v>
      </c>
      <c r="Z443" s="16">
        <f>IFERROR(INDEX(参数!$D$5:$D$7,MATCH($N443,参数!$A$5:$A$7,0)),"")</f>
        <v>1</v>
      </c>
      <c r="AA443" s="16">
        <f>IFERROR(INDEX(楼层配置!$E$5:$E$104,MATCH($K443,楼层配置!$B$5:$B$104,0)),1)</f>
        <v>1.13213506165938</v>
      </c>
      <c r="AB443" s="16">
        <f>IFERROR(INDEX(楼层配置!$F$5:$F$104,MATCH($K443,楼层配置!$B$5:$B$104,0)),1)</f>
        <v>0.71829746259604</v>
      </c>
      <c r="AC443" s="16">
        <f>IFERROR(INDEX(楼层配置!$G$5:$G$104,MATCH($K443,楼层配置!$B$5:$B$104,0)),1)</f>
        <v>1</v>
      </c>
      <c r="AD443" s="18">
        <f t="shared" si="51"/>
        <v>-0.5323479603316</v>
      </c>
      <c r="AE443" s="18">
        <f t="shared" si="52"/>
        <v>-0.368521151467031</v>
      </c>
      <c r="AF443" s="18">
        <f t="shared" si="53"/>
        <v>-0.0529409742514353</v>
      </c>
      <c r="AG443" s="16" t="str">
        <f t="shared" si="54"/>
        <v>有效</v>
      </c>
      <c r="AH443">
        <f t="shared" si="55"/>
        <v>3328645.654625</v>
      </c>
    </row>
    <row r="444" ht="14.25" customHeight="1" spans="1:34">
      <c r="A444" s="16">
        <v>440</v>
      </c>
      <c r="B444" s="16">
        <v>1007</v>
      </c>
      <c r="C444" s="16">
        <v>54</v>
      </c>
      <c r="D444" s="17">
        <f>IFERROR(ROUND($U444*$X444*$AA444*参数!$B$13,0),"")</f>
        <v>1937174</v>
      </c>
      <c r="E444" s="17">
        <f>IFERROR(ROUND($V444*$Y444*$AB444*参数!$C$13,0),"")</f>
        <v>28499</v>
      </c>
      <c r="F444" s="17">
        <f>IFERROR(ROUND($W444*$Z444*$AC444*参数!$D$13,0),"")</f>
        <v>34436</v>
      </c>
      <c r="G444" s="16">
        <v>4142340</v>
      </c>
      <c r="H444" s="16">
        <v>45131</v>
      </c>
      <c r="I444" s="16">
        <v>36362</v>
      </c>
      <c r="J444" s="16">
        <v>88</v>
      </c>
      <c r="K444" s="16">
        <v>88</v>
      </c>
      <c r="L444" s="16">
        <f>IFERROR(INDEX(楼层配置!$D$5:$D$104,MATCH($K444,楼层配置!$B$5:$B$104,0)),"")</f>
        <v>265</v>
      </c>
      <c r="M444" s="16" t="str">
        <f>IFERROR(INDEX(_角色基线!$B$2:$B$100,MATCH($B444,_角色基线!$A$2:$A$100,0)),"")</f>
        <v>萨萨莉安</v>
      </c>
      <c r="N444" s="16" t="str">
        <f>IFERROR(INDEX(_角色基线!$C$2:$C$100,MATCH($B444,_角色基线!$A$2:$A$100,0)),"")</f>
        <v>Support</v>
      </c>
      <c r="O444" s="16">
        <f>IFERROR(INDEX(_怪物基线!$B$2:$B$501,MATCH(INT($L444),_怪物基线!$A$2:$A$501,0)),"")</f>
        <v>342216</v>
      </c>
      <c r="P444" s="16">
        <f>IFERROR(INDEX(_怪物基线!$C$2:$C$501,MATCH(INT($L444),_怪物基线!$A$2:$A$501,0)),"")</f>
        <v>33063</v>
      </c>
      <c r="Q444" s="16">
        <f>IFERROR(INDEX(_怪物基线!$D$2:$D$501,MATCH(INT($L444),_怪物基线!$A$2:$A$501,0)),"")</f>
        <v>27549</v>
      </c>
      <c r="R444" s="16">
        <f>参数!$B$10</f>
        <v>4</v>
      </c>
      <c r="S444" s="16">
        <f>参数!$C$10</f>
        <v>1.2</v>
      </c>
      <c r="T444" s="16">
        <f>参数!$D$10</f>
        <v>1</v>
      </c>
      <c r="U444" s="16">
        <f t="shared" si="48"/>
        <v>1368864</v>
      </c>
      <c r="V444" s="16">
        <f t="shared" si="49"/>
        <v>39675.6</v>
      </c>
      <c r="W444" s="16">
        <f t="shared" si="50"/>
        <v>27549</v>
      </c>
      <c r="X444" s="16">
        <f>IFERROR(INDEX(参数!$B$5:$B$7,MATCH($N444,参数!$A$5:$A$7,0)),"")</f>
        <v>1.25</v>
      </c>
      <c r="Y444" s="16">
        <f>IFERROR(INDEX(参数!$C$5:$C$7,MATCH($N444,参数!$A$5:$A$7,0)),"")</f>
        <v>1</v>
      </c>
      <c r="Z444" s="16">
        <f>IFERROR(INDEX(参数!$D$5:$D$7,MATCH($N444,参数!$A$5:$A$7,0)),"")</f>
        <v>1.25</v>
      </c>
      <c r="AA444" s="16">
        <f>IFERROR(INDEX(楼层配置!$E$5:$E$104,MATCH($K444,楼层配置!$B$5:$B$104,0)),1)</f>
        <v>1.13213506165938</v>
      </c>
      <c r="AB444" s="16">
        <f>IFERROR(INDEX(楼层配置!$F$5:$F$104,MATCH($K444,楼层配置!$B$5:$B$104,0)),1)</f>
        <v>0.71829746259604</v>
      </c>
      <c r="AC444" s="16">
        <f>IFERROR(INDEX(楼层配置!$G$5:$G$104,MATCH($K444,楼层配置!$B$5:$B$104,0)),1)</f>
        <v>1</v>
      </c>
      <c r="AD444" s="18">
        <f t="shared" si="51"/>
        <v>-0.532347899979239</v>
      </c>
      <c r="AE444" s="18">
        <f t="shared" si="52"/>
        <v>-0.368527176441914</v>
      </c>
      <c r="AF444" s="18">
        <f t="shared" si="53"/>
        <v>-0.0529673835322589</v>
      </c>
      <c r="AG444" s="16" t="str">
        <f t="shared" si="54"/>
        <v>有效</v>
      </c>
      <c r="AH444">
        <f t="shared" si="55"/>
        <v>4716695.82766667</v>
      </c>
    </row>
    <row r="445" ht="14.25" customHeight="1" spans="1:34">
      <c r="A445" s="16">
        <v>441</v>
      </c>
      <c r="B445" s="16">
        <v>1003</v>
      </c>
      <c r="C445" s="16">
        <v>54</v>
      </c>
      <c r="D445" s="17">
        <f>IFERROR(ROUND($U445*$X445*$AA445*参数!$B$13,0),"")</f>
        <v>2369523</v>
      </c>
      <c r="E445" s="17">
        <f>IFERROR(ROUND($V445*$Y445*$AB445*参数!$C$13,0),"")</f>
        <v>28966</v>
      </c>
      <c r="F445" s="17">
        <f>IFERROR(ROUND($W445*$Z445*$AC445*参数!$D$13,0),"")</f>
        <v>41727</v>
      </c>
      <c r="G445" s="16">
        <v>5126220</v>
      </c>
      <c r="H445" s="16">
        <v>46290</v>
      </c>
      <c r="I445" s="16">
        <v>44310</v>
      </c>
      <c r="J445" s="16">
        <v>89</v>
      </c>
      <c r="K445" s="16">
        <v>89</v>
      </c>
      <c r="L445" s="16">
        <f>IFERROR(INDEX(楼层配置!$D$5:$D$104,MATCH($K445,楼层配置!$B$5:$B$104,0)),"")</f>
        <v>267</v>
      </c>
      <c r="M445" s="16" t="str">
        <f>IFERROR(INDEX(_角色基线!$B$2:$B$100,MATCH($B445,_角色基线!$A$2:$A$100,0)),"")</f>
        <v>塔拉夏</v>
      </c>
      <c r="N445" s="16" t="str">
        <f>IFERROR(INDEX(_角色基线!$C$2:$C$100,MATCH($B445,_角色基线!$A$2:$A$100,0)),"")</f>
        <v>Tank</v>
      </c>
      <c r="O445" s="16">
        <f>IFERROR(INDEX(_怪物基线!$B$2:$B$501,MATCH(INT($L445),_怪物基线!$A$2:$A$501,0)),"")</f>
        <v>349196</v>
      </c>
      <c r="P445" s="16">
        <f>IFERROR(INDEX(_怪物基线!$C$2:$C$501,MATCH(INT($L445),_怪物基线!$A$2:$A$501,0)),"")</f>
        <v>33564</v>
      </c>
      <c r="Q445" s="16">
        <f>IFERROR(INDEX(_怪物基线!$D$2:$D$501,MATCH(INT($L445),_怪物基线!$A$2:$A$501,0)),"")</f>
        <v>27818</v>
      </c>
      <c r="R445" s="16">
        <f>参数!$B$10</f>
        <v>4</v>
      </c>
      <c r="S445" s="16">
        <f>参数!$C$10</f>
        <v>1.2</v>
      </c>
      <c r="T445" s="16">
        <f>参数!$D$10</f>
        <v>1</v>
      </c>
      <c r="U445" s="16">
        <f t="shared" si="48"/>
        <v>1396784</v>
      </c>
      <c r="V445" s="16">
        <f t="shared" si="49"/>
        <v>40276.8</v>
      </c>
      <c r="W445" s="16">
        <f t="shared" si="50"/>
        <v>27818</v>
      </c>
      <c r="X445" s="16">
        <f>IFERROR(INDEX(参数!$B$5:$B$7,MATCH($N445,参数!$A$5:$A$7,0)),"")</f>
        <v>1.5</v>
      </c>
      <c r="Y445" s="16">
        <f>IFERROR(INDEX(参数!$C$5:$C$7,MATCH($N445,参数!$A$5:$A$7,0)),"")</f>
        <v>1</v>
      </c>
      <c r="Z445" s="16">
        <f>IFERROR(INDEX(参数!$D$5:$D$7,MATCH($N445,参数!$A$5:$A$7,0)),"")</f>
        <v>1.5</v>
      </c>
      <c r="AA445" s="16">
        <f>IFERROR(INDEX(楼层配置!$E$5:$E$104,MATCH($K445,楼层配置!$B$5:$B$104,0)),1)</f>
        <v>1.13094203277441</v>
      </c>
      <c r="AB445" s="16">
        <f>IFERROR(INDEX(楼层配置!$F$5:$F$104,MATCH($K445,楼层配置!$B$5:$B$104,0)),1)</f>
        <v>0.71917640662023</v>
      </c>
      <c r="AC445" s="16">
        <f>IFERROR(INDEX(楼层配置!$G$5:$G$104,MATCH($K445,楼层配置!$B$5:$B$104,0)),1)</f>
        <v>1</v>
      </c>
      <c r="AD445" s="18">
        <f t="shared" si="51"/>
        <v>-0.537764083476714</v>
      </c>
      <c r="AE445" s="18">
        <f t="shared" si="52"/>
        <v>-0.374249297904515</v>
      </c>
      <c r="AF445" s="18">
        <f t="shared" si="53"/>
        <v>-0.0582938388625592</v>
      </c>
      <c r="AG445" s="16" t="str">
        <f t="shared" si="54"/>
        <v>有效</v>
      </c>
      <c r="AH445">
        <f t="shared" si="55"/>
        <v>6489234.925875</v>
      </c>
    </row>
    <row r="446" ht="14.25" customHeight="1" spans="1:34">
      <c r="A446" s="16">
        <v>442</v>
      </c>
      <c r="B446" s="16">
        <v>1013</v>
      </c>
      <c r="C446" s="16">
        <v>54</v>
      </c>
      <c r="D446" s="17">
        <f>IFERROR(ROUND($U446*$X446*$AA446*参数!$B$13,0),"")</f>
        <v>1579682</v>
      </c>
      <c r="E446" s="17">
        <f>IFERROR(ROUND($V446*$Y446*$AB446*参数!$C$13,0),"")</f>
        <v>34759</v>
      </c>
      <c r="F446" s="17">
        <f>IFERROR(ROUND($W446*$Z446*$AC446*参数!$D$13,0),"")</f>
        <v>27818</v>
      </c>
      <c r="G446" s="16">
        <v>3417480</v>
      </c>
      <c r="H446" s="16">
        <v>55548</v>
      </c>
      <c r="I446" s="16">
        <v>29540</v>
      </c>
      <c r="J446" s="16">
        <v>89</v>
      </c>
      <c r="K446" s="16">
        <v>89</v>
      </c>
      <c r="L446" s="16">
        <f>IFERROR(INDEX(楼层配置!$D$5:$D$104,MATCH($K446,楼层配置!$B$5:$B$104,0)),"")</f>
        <v>267</v>
      </c>
      <c r="M446" s="16" t="str">
        <f>IFERROR(INDEX(_角色基线!$B$2:$B$100,MATCH($B446,_角色基线!$A$2:$A$100,0)),"")</f>
        <v>夏缇拉</v>
      </c>
      <c r="N446" s="16" t="str">
        <f>IFERROR(INDEX(_角色基线!$C$2:$C$100,MATCH($B446,_角色基线!$A$2:$A$100,0)),"")</f>
        <v>DPS</v>
      </c>
      <c r="O446" s="16">
        <f>IFERROR(INDEX(_怪物基线!$B$2:$B$501,MATCH(INT($L446),_怪物基线!$A$2:$A$501,0)),"")</f>
        <v>349196</v>
      </c>
      <c r="P446" s="16">
        <f>IFERROR(INDEX(_怪物基线!$C$2:$C$501,MATCH(INT($L446),_怪物基线!$A$2:$A$501,0)),"")</f>
        <v>33564</v>
      </c>
      <c r="Q446" s="16">
        <f>IFERROR(INDEX(_怪物基线!$D$2:$D$501,MATCH(INT($L446),_怪物基线!$A$2:$A$501,0)),"")</f>
        <v>27818</v>
      </c>
      <c r="R446" s="16">
        <f>参数!$B$10</f>
        <v>4</v>
      </c>
      <c r="S446" s="16">
        <f>参数!$C$10</f>
        <v>1.2</v>
      </c>
      <c r="T446" s="16">
        <f>参数!$D$10</f>
        <v>1</v>
      </c>
      <c r="U446" s="16">
        <f t="shared" si="48"/>
        <v>1396784</v>
      </c>
      <c r="V446" s="16">
        <f t="shared" si="49"/>
        <v>40276.8</v>
      </c>
      <c r="W446" s="16">
        <f t="shared" si="50"/>
        <v>27818</v>
      </c>
      <c r="X446" s="16">
        <f>IFERROR(INDEX(参数!$B$5:$B$7,MATCH($N446,参数!$A$5:$A$7,0)),"")</f>
        <v>1</v>
      </c>
      <c r="Y446" s="16">
        <f>IFERROR(INDEX(参数!$C$5:$C$7,MATCH($N446,参数!$A$5:$A$7,0)),"")</f>
        <v>1.2</v>
      </c>
      <c r="Z446" s="16">
        <f>IFERROR(INDEX(参数!$D$5:$D$7,MATCH($N446,参数!$A$5:$A$7,0)),"")</f>
        <v>1</v>
      </c>
      <c r="AA446" s="16">
        <f>IFERROR(INDEX(楼层配置!$E$5:$E$104,MATCH($K446,楼层配置!$B$5:$B$104,0)),1)</f>
        <v>1.13094203277441</v>
      </c>
      <c r="AB446" s="16">
        <f>IFERROR(INDEX(楼层配置!$F$5:$F$104,MATCH($K446,楼层配置!$B$5:$B$104,0)),1)</f>
        <v>0.71917640662023</v>
      </c>
      <c r="AC446" s="16">
        <f>IFERROR(INDEX(楼层配置!$G$5:$G$104,MATCH($K446,楼层配置!$B$5:$B$104,0)),1)</f>
        <v>1</v>
      </c>
      <c r="AD446" s="18">
        <f t="shared" si="51"/>
        <v>-0.537764083476714</v>
      </c>
      <c r="AE446" s="18">
        <f t="shared" si="52"/>
        <v>-0.374252898394182</v>
      </c>
      <c r="AF446" s="18">
        <f t="shared" si="53"/>
        <v>-0.0582938388625592</v>
      </c>
      <c r="AG446" s="16" t="str">
        <f t="shared" si="54"/>
        <v>有效</v>
      </c>
      <c r="AH446">
        <f t="shared" si="55"/>
        <v>3410665.07816667</v>
      </c>
    </row>
    <row r="447" ht="14.25" customHeight="1" spans="1:34">
      <c r="A447" s="16">
        <v>443</v>
      </c>
      <c r="B447" s="16">
        <v>1001</v>
      </c>
      <c r="C447" s="16">
        <v>54</v>
      </c>
      <c r="D447" s="17">
        <f>IFERROR(ROUND($U447*$X447*$AA447*参数!$B$13,0),"")</f>
        <v>1579682</v>
      </c>
      <c r="E447" s="17">
        <f>IFERROR(ROUND($V447*$Y447*$AB447*参数!$C$13,0),"")</f>
        <v>34759</v>
      </c>
      <c r="F447" s="17">
        <f>IFERROR(ROUND($W447*$Z447*$AC447*参数!$D$13,0),"")</f>
        <v>27818</v>
      </c>
      <c r="G447" s="16">
        <v>3417480</v>
      </c>
      <c r="H447" s="16">
        <v>55548</v>
      </c>
      <c r="I447" s="16">
        <v>29540</v>
      </c>
      <c r="J447" s="16">
        <v>89</v>
      </c>
      <c r="K447" s="16">
        <v>89</v>
      </c>
      <c r="L447" s="16">
        <f>IFERROR(INDEX(楼层配置!$D$5:$D$104,MATCH($K447,楼层配置!$B$5:$B$104,0)),"")</f>
        <v>267</v>
      </c>
      <c r="M447" s="16" t="str">
        <f>IFERROR(INDEX(_角色基线!$B$2:$B$100,MATCH($B447,_角色基线!$A$2:$A$100,0)),"")</f>
        <v>星海</v>
      </c>
      <c r="N447" s="16" t="str">
        <f>IFERROR(INDEX(_角色基线!$C$2:$C$100,MATCH($B447,_角色基线!$A$2:$A$100,0)),"")</f>
        <v>DPS</v>
      </c>
      <c r="O447" s="16">
        <f>IFERROR(INDEX(_怪物基线!$B$2:$B$501,MATCH(INT($L447),_怪物基线!$A$2:$A$501,0)),"")</f>
        <v>349196</v>
      </c>
      <c r="P447" s="16">
        <f>IFERROR(INDEX(_怪物基线!$C$2:$C$501,MATCH(INT($L447),_怪物基线!$A$2:$A$501,0)),"")</f>
        <v>33564</v>
      </c>
      <c r="Q447" s="16">
        <f>IFERROR(INDEX(_怪物基线!$D$2:$D$501,MATCH(INT($L447),_怪物基线!$A$2:$A$501,0)),"")</f>
        <v>27818</v>
      </c>
      <c r="R447" s="16">
        <f>参数!$B$10</f>
        <v>4</v>
      </c>
      <c r="S447" s="16">
        <f>参数!$C$10</f>
        <v>1.2</v>
      </c>
      <c r="T447" s="16">
        <f>参数!$D$10</f>
        <v>1</v>
      </c>
      <c r="U447" s="16">
        <f t="shared" si="48"/>
        <v>1396784</v>
      </c>
      <c r="V447" s="16">
        <f t="shared" si="49"/>
        <v>40276.8</v>
      </c>
      <c r="W447" s="16">
        <f t="shared" si="50"/>
        <v>27818</v>
      </c>
      <c r="X447" s="16">
        <f>IFERROR(INDEX(参数!$B$5:$B$7,MATCH($N447,参数!$A$5:$A$7,0)),"")</f>
        <v>1</v>
      </c>
      <c r="Y447" s="16">
        <f>IFERROR(INDEX(参数!$C$5:$C$7,MATCH($N447,参数!$A$5:$A$7,0)),"")</f>
        <v>1.2</v>
      </c>
      <c r="Z447" s="16">
        <f>IFERROR(INDEX(参数!$D$5:$D$7,MATCH($N447,参数!$A$5:$A$7,0)),"")</f>
        <v>1</v>
      </c>
      <c r="AA447" s="16">
        <f>IFERROR(INDEX(楼层配置!$E$5:$E$104,MATCH($K447,楼层配置!$B$5:$B$104,0)),1)</f>
        <v>1.13094203277441</v>
      </c>
      <c r="AB447" s="16">
        <f>IFERROR(INDEX(楼层配置!$F$5:$F$104,MATCH($K447,楼层配置!$B$5:$B$104,0)),1)</f>
        <v>0.71917640662023</v>
      </c>
      <c r="AC447" s="16">
        <f>IFERROR(INDEX(楼层配置!$G$5:$G$104,MATCH($K447,楼层配置!$B$5:$B$104,0)),1)</f>
        <v>1</v>
      </c>
      <c r="AD447" s="18">
        <f t="shared" si="51"/>
        <v>-0.537764083476714</v>
      </c>
      <c r="AE447" s="18">
        <f t="shared" si="52"/>
        <v>-0.374252898394182</v>
      </c>
      <c r="AF447" s="18">
        <f t="shared" si="53"/>
        <v>-0.0582938388625592</v>
      </c>
      <c r="AG447" s="16" t="str">
        <f t="shared" si="54"/>
        <v>有效</v>
      </c>
      <c r="AH447">
        <f t="shared" si="55"/>
        <v>3410665.07816667</v>
      </c>
    </row>
    <row r="448" ht="14.25" customHeight="1" spans="1:34">
      <c r="A448" s="16">
        <v>444</v>
      </c>
      <c r="B448" s="16">
        <v>1006</v>
      </c>
      <c r="C448" s="16">
        <v>54</v>
      </c>
      <c r="D448" s="17">
        <f>IFERROR(ROUND($U448*$X448*$AA448*参数!$B$13,0),"")</f>
        <v>1579682</v>
      </c>
      <c r="E448" s="17">
        <f>IFERROR(ROUND($V448*$Y448*$AB448*参数!$C$13,0),"")</f>
        <v>34759</v>
      </c>
      <c r="F448" s="17">
        <f>IFERROR(ROUND($W448*$Z448*$AC448*参数!$D$13,0),"")</f>
        <v>27818</v>
      </c>
      <c r="G448" s="16">
        <v>3417480</v>
      </c>
      <c r="H448" s="16">
        <v>55548</v>
      </c>
      <c r="I448" s="16">
        <v>29540</v>
      </c>
      <c r="J448" s="16">
        <v>89</v>
      </c>
      <c r="K448" s="16">
        <v>89</v>
      </c>
      <c r="L448" s="16">
        <f>IFERROR(INDEX(楼层配置!$D$5:$D$104,MATCH($K448,楼层配置!$B$5:$B$104,0)),"")</f>
        <v>267</v>
      </c>
      <c r="M448" s="16" t="str">
        <f>IFERROR(INDEX(_角色基线!$B$2:$B$100,MATCH($B448,_角色基线!$A$2:$A$100,0)),"")</f>
        <v>莉莉娅</v>
      </c>
      <c r="N448" s="16" t="str">
        <f>IFERROR(INDEX(_角色基线!$C$2:$C$100,MATCH($B448,_角色基线!$A$2:$A$100,0)),"")</f>
        <v>DPS</v>
      </c>
      <c r="O448" s="16">
        <f>IFERROR(INDEX(_怪物基线!$B$2:$B$501,MATCH(INT($L448),_怪物基线!$A$2:$A$501,0)),"")</f>
        <v>349196</v>
      </c>
      <c r="P448" s="16">
        <f>IFERROR(INDEX(_怪物基线!$C$2:$C$501,MATCH(INT($L448),_怪物基线!$A$2:$A$501,0)),"")</f>
        <v>33564</v>
      </c>
      <c r="Q448" s="16">
        <f>IFERROR(INDEX(_怪物基线!$D$2:$D$501,MATCH(INT($L448),_怪物基线!$A$2:$A$501,0)),"")</f>
        <v>27818</v>
      </c>
      <c r="R448" s="16">
        <f>参数!$B$10</f>
        <v>4</v>
      </c>
      <c r="S448" s="16">
        <f>参数!$C$10</f>
        <v>1.2</v>
      </c>
      <c r="T448" s="16">
        <f>参数!$D$10</f>
        <v>1</v>
      </c>
      <c r="U448" s="16">
        <f t="shared" si="48"/>
        <v>1396784</v>
      </c>
      <c r="V448" s="16">
        <f t="shared" si="49"/>
        <v>40276.8</v>
      </c>
      <c r="W448" s="16">
        <f t="shared" si="50"/>
        <v>27818</v>
      </c>
      <c r="X448" s="16">
        <f>IFERROR(INDEX(参数!$B$5:$B$7,MATCH($N448,参数!$A$5:$A$7,0)),"")</f>
        <v>1</v>
      </c>
      <c r="Y448" s="16">
        <f>IFERROR(INDEX(参数!$C$5:$C$7,MATCH($N448,参数!$A$5:$A$7,0)),"")</f>
        <v>1.2</v>
      </c>
      <c r="Z448" s="16">
        <f>IFERROR(INDEX(参数!$D$5:$D$7,MATCH($N448,参数!$A$5:$A$7,0)),"")</f>
        <v>1</v>
      </c>
      <c r="AA448" s="16">
        <f>IFERROR(INDEX(楼层配置!$E$5:$E$104,MATCH($K448,楼层配置!$B$5:$B$104,0)),1)</f>
        <v>1.13094203277441</v>
      </c>
      <c r="AB448" s="16">
        <f>IFERROR(INDEX(楼层配置!$F$5:$F$104,MATCH($K448,楼层配置!$B$5:$B$104,0)),1)</f>
        <v>0.71917640662023</v>
      </c>
      <c r="AC448" s="16">
        <f>IFERROR(INDEX(楼层配置!$G$5:$G$104,MATCH($K448,楼层配置!$B$5:$B$104,0)),1)</f>
        <v>1</v>
      </c>
      <c r="AD448" s="18">
        <f t="shared" si="51"/>
        <v>-0.537764083476714</v>
      </c>
      <c r="AE448" s="18">
        <f t="shared" si="52"/>
        <v>-0.374252898394182</v>
      </c>
      <c r="AF448" s="18">
        <f t="shared" si="53"/>
        <v>-0.0582938388625592</v>
      </c>
      <c r="AG448" s="16" t="str">
        <f t="shared" si="54"/>
        <v>有效</v>
      </c>
      <c r="AH448">
        <f t="shared" si="55"/>
        <v>3410665.07816667</v>
      </c>
    </row>
    <row r="449" ht="14.25" customHeight="1" spans="1:34">
      <c r="A449" s="16">
        <v>445</v>
      </c>
      <c r="B449" s="16">
        <v>1011</v>
      </c>
      <c r="C449" s="16">
        <v>54</v>
      </c>
      <c r="D449" s="17">
        <f>IFERROR(ROUND($U449*$X449*$AA449*参数!$B$13,0),"")</f>
        <v>1974602</v>
      </c>
      <c r="E449" s="17">
        <f>IFERROR(ROUND($V449*$Y449*$AB449*参数!$C$13,0),"")</f>
        <v>28966</v>
      </c>
      <c r="F449" s="17">
        <f>IFERROR(ROUND($W449*$Z449*$AC449*参数!$D$13,0),"")</f>
        <v>34773</v>
      </c>
      <c r="G449" s="16">
        <v>4271850</v>
      </c>
      <c r="H449" s="16">
        <v>46290</v>
      </c>
      <c r="I449" s="16">
        <v>36925</v>
      </c>
      <c r="J449" s="16">
        <v>89</v>
      </c>
      <c r="K449" s="16">
        <v>89</v>
      </c>
      <c r="L449" s="16">
        <f>IFERROR(INDEX(楼层配置!$D$5:$D$104,MATCH($K449,楼层配置!$B$5:$B$104,0)),"")</f>
        <v>267</v>
      </c>
      <c r="M449" s="16" t="str">
        <f>IFERROR(INDEX(_角色基线!$B$2:$B$100,MATCH($B449,_角色基线!$A$2:$A$100,0)),"")</f>
        <v>陈双双</v>
      </c>
      <c r="N449" s="16" t="str">
        <f>IFERROR(INDEX(_角色基线!$C$2:$C$100,MATCH($B449,_角色基线!$A$2:$A$100,0)),"")</f>
        <v>Support</v>
      </c>
      <c r="O449" s="16">
        <f>IFERROR(INDEX(_怪物基线!$B$2:$B$501,MATCH(INT($L449),_怪物基线!$A$2:$A$501,0)),"")</f>
        <v>349196</v>
      </c>
      <c r="P449" s="16">
        <f>IFERROR(INDEX(_怪物基线!$C$2:$C$501,MATCH(INT($L449),_怪物基线!$A$2:$A$501,0)),"")</f>
        <v>33564</v>
      </c>
      <c r="Q449" s="16">
        <f>IFERROR(INDEX(_怪物基线!$D$2:$D$501,MATCH(INT($L449),_怪物基线!$A$2:$A$501,0)),"")</f>
        <v>27818</v>
      </c>
      <c r="R449" s="16">
        <f>参数!$B$10</f>
        <v>4</v>
      </c>
      <c r="S449" s="16">
        <f>参数!$C$10</f>
        <v>1.2</v>
      </c>
      <c r="T449" s="16">
        <f>参数!$D$10</f>
        <v>1</v>
      </c>
      <c r="U449" s="16">
        <f t="shared" si="48"/>
        <v>1396784</v>
      </c>
      <c r="V449" s="16">
        <f t="shared" si="49"/>
        <v>40276.8</v>
      </c>
      <c r="W449" s="16">
        <f t="shared" si="50"/>
        <v>27818</v>
      </c>
      <c r="X449" s="16">
        <f>IFERROR(INDEX(参数!$B$5:$B$7,MATCH($N449,参数!$A$5:$A$7,0)),"")</f>
        <v>1.25</v>
      </c>
      <c r="Y449" s="16">
        <f>IFERROR(INDEX(参数!$C$5:$C$7,MATCH($N449,参数!$A$5:$A$7,0)),"")</f>
        <v>1</v>
      </c>
      <c r="Z449" s="16">
        <f>IFERROR(INDEX(参数!$D$5:$D$7,MATCH($N449,参数!$A$5:$A$7,0)),"")</f>
        <v>1.25</v>
      </c>
      <c r="AA449" s="16">
        <f>IFERROR(INDEX(楼层配置!$E$5:$E$104,MATCH($K449,楼层配置!$B$5:$B$104,0)),1)</f>
        <v>1.13094203277441</v>
      </c>
      <c r="AB449" s="16">
        <f>IFERROR(INDEX(楼层配置!$F$5:$F$104,MATCH($K449,楼层配置!$B$5:$B$104,0)),1)</f>
        <v>0.71917640662023</v>
      </c>
      <c r="AC449" s="16">
        <f>IFERROR(INDEX(楼层配置!$G$5:$G$104,MATCH($K449,楼层配置!$B$5:$B$104,0)),1)</f>
        <v>1</v>
      </c>
      <c r="AD449" s="18">
        <f t="shared" si="51"/>
        <v>-0.537764200522022</v>
      </c>
      <c r="AE449" s="18">
        <f t="shared" si="52"/>
        <v>-0.374249297904515</v>
      </c>
      <c r="AF449" s="18">
        <f t="shared" si="53"/>
        <v>-0.058280297901151</v>
      </c>
      <c r="AG449" s="16" t="str">
        <f t="shared" si="54"/>
        <v>有效</v>
      </c>
      <c r="AH449">
        <f t="shared" si="55"/>
        <v>4835553.47275</v>
      </c>
    </row>
    <row r="450" ht="14.25" customHeight="1" spans="1:34">
      <c r="A450" s="16">
        <v>446</v>
      </c>
      <c r="B450" s="16">
        <v>1004</v>
      </c>
      <c r="C450" s="16">
        <v>55</v>
      </c>
      <c r="D450" s="17">
        <f>IFERROR(ROUND($U450*$X450*$AA450*参数!$B$13,0),"")</f>
        <v>2417174</v>
      </c>
      <c r="E450" s="17">
        <f>IFERROR(ROUND($V450*$Y450*$AB450*参数!$C$13,0),"")</f>
        <v>29407</v>
      </c>
      <c r="F450" s="17">
        <f>IFERROR(ROUND($W450*$Z450*$AC450*参数!$D$13,0),"")</f>
        <v>41928</v>
      </c>
      <c r="G450" s="16">
        <v>5285275</v>
      </c>
      <c r="H450" s="16">
        <v>47477</v>
      </c>
      <c r="I450" s="16">
        <v>44989</v>
      </c>
      <c r="J450" s="16">
        <v>90</v>
      </c>
      <c r="K450" s="16">
        <v>90</v>
      </c>
      <c r="L450" s="16">
        <f>IFERROR(INDEX(楼层配置!$D$5:$D$104,MATCH($K450,楼层配置!$B$5:$B$104,0)),"")</f>
        <v>268</v>
      </c>
      <c r="M450" s="16" t="str">
        <f>IFERROR(INDEX(_角色基线!$B$2:$B$100,MATCH($B450,_角色基线!$A$2:$A$100,0)),"")</f>
        <v>阿芭</v>
      </c>
      <c r="N450" s="16" t="str">
        <f>IFERROR(INDEX(_角色基线!$C$2:$C$100,MATCH($B450,_角色基线!$A$2:$A$100,0)),"")</f>
        <v>Tank</v>
      </c>
      <c r="O450" s="16">
        <f>IFERROR(INDEX(_怪物基线!$B$2:$B$501,MATCH(INT($L450),_怪物基线!$A$2:$A$501,0)),"")</f>
        <v>352727</v>
      </c>
      <c r="P450" s="16">
        <f>IFERROR(INDEX(_怪物基线!$C$2:$C$501,MATCH(INT($L450),_怪物基线!$A$2:$A$501,0)),"")</f>
        <v>33817</v>
      </c>
      <c r="Q450" s="16">
        <f>IFERROR(INDEX(_怪物基线!$D$2:$D$501,MATCH(INT($L450),_怪物基线!$A$2:$A$501,0)),"")</f>
        <v>27952</v>
      </c>
      <c r="R450" s="16">
        <f>参数!$B$10</f>
        <v>4</v>
      </c>
      <c r="S450" s="16">
        <f>参数!$C$10</f>
        <v>1.2</v>
      </c>
      <c r="T450" s="16">
        <f>参数!$D$10</f>
        <v>1</v>
      </c>
      <c r="U450" s="16">
        <f t="shared" si="48"/>
        <v>1410908</v>
      </c>
      <c r="V450" s="16">
        <f t="shared" si="49"/>
        <v>40580.4</v>
      </c>
      <c r="W450" s="16">
        <f t="shared" si="50"/>
        <v>27952</v>
      </c>
      <c r="X450" s="16">
        <f>IFERROR(INDEX(参数!$B$5:$B$7,MATCH($N450,参数!$A$5:$A$7,0)),"")</f>
        <v>1.5</v>
      </c>
      <c r="Y450" s="16">
        <f>IFERROR(INDEX(参数!$C$5:$C$7,MATCH($N450,参数!$A$5:$A$7,0)),"")</f>
        <v>1</v>
      </c>
      <c r="Z450" s="16">
        <f>IFERROR(INDEX(参数!$D$5:$D$7,MATCH($N450,参数!$A$5:$A$7,0)),"")</f>
        <v>1.5</v>
      </c>
      <c r="AA450" s="16">
        <f>IFERROR(INDEX(楼层配置!$E$5:$E$104,MATCH($K450,楼层配置!$B$5:$B$104,0)),1)</f>
        <v>1.14213632106616</v>
      </c>
      <c r="AB450" s="16">
        <f>IFERROR(INDEX(楼层配置!$F$5:$F$104,MATCH($K450,楼层配置!$B$5:$B$104,0)),1)</f>
        <v>0.724654744929893</v>
      </c>
      <c r="AC450" s="16">
        <f>IFERROR(INDEX(楼层配置!$G$5:$G$104,MATCH($K450,楼层配置!$B$5:$B$104,0)),1)</f>
        <v>1</v>
      </c>
      <c r="AD450" s="18">
        <f t="shared" si="51"/>
        <v>-0.542658802049089</v>
      </c>
      <c r="AE450" s="18">
        <f t="shared" si="52"/>
        <v>-0.380605345746361</v>
      </c>
      <c r="AF450" s="18">
        <f t="shared" si="53"/>
        <v>-0.0680388539420748</v>
      </c>
      <c r="AG450" s="16" t="str">
        <f t="shared" si="54"/>
        <v>有效</v>
      </c>
      <c r="AH450">
        <f t="shared" si="55"/>
        <v>6639976.978</v>
      </c>
    </row>
    <row r="451" ht="14.25" customHeight="1" spans="1:34">
      <c r="A451" s="16">
        <v>447</v>
      </c>
      <c r="B451" s="16">
        <v>1005</v>
      </c>
      <c r="C451" s="16">
        <v>55</v>
      </c>
      <c r="D451" s="17">
        <f>IFERROR(ROUND($U451*$X451*$AA451*参数!$B$13,0),"")</f>
        <v>1611449</v>
      </c>
      <c r="E451" s="17">
        <f>IFERROR(ROUND($V451*$Y451*$AB451*参数!$C$13,0),"")</f>
        <v>35288</v>
      </c>
      <c r="F451" s="17">
        <f>IFERROR(ROUND($W451*$Z451*$AC451*参数!$D$13,0),"")</f>
        <v>27952</v>
      </c>
      <c r="G451" s="16">
        <v>3523516</v>
      </c>
      <c r="H451" s="16">
        <v>56972</v>
      </c>
      <c r="I451" s="16">
        <v>29992</v>
      </c>
      <c r="J451" s="16">
        <v>90</v>
      </c>
      <c r="K451" s="16">
        <v>90</v>
      </c>
      <c r="L451" s="16">
        <f>IFERROR(INDEX(楼层配置!$D$5:$D$104,MATCH($K451,楼层配置!$B$5:$B$104,0)),"")</f>
        <v>268</v>
      </c>
      <c r="M451" s="16" t="str">
        <f>IFERROR(INDEX(_角色基线!$B$2:$B$100,MATCH($B451,_角色基线!$A$2:$A$100,0)),"")</f>
        <v>陈单单</v>
      </c>
      <c r="N451" s="16" t="str">
        <f>IFERROR(INDEX(_角色基线!$C$2:$C$100,MATCH($B451,_角色基线!$A$2:$A$100,0)),"")</f>
        <v>DPS</v>
      </c>
      <c r="O451" s="16">
        <f>IFERROR(INDEX(_怪物基线!$B$2:$B$501,MATCH(INT($L451),_怪物基线!$A$2:$A$501,0)),"")</f>
        <v>352727</v>
      </c>
      <c r="P451" s="16">
        <f>IFERROR(INDEX(_怪物基线!$C$2:$C$501,MATCH(INT($L451),_怪物基线!$A$2:$A$501,0)),"")</f>
        <v>33817</v>
      </c>
      <c r="Q451" s="16">
        <f>IFERROR(INDEX(_怪物基线!$D$2:$D$501,MATCH(INT($L451),_怪物基线!$A$2:$A$501,0)),"")</f>
        <v>27952</v>
      </c>
      <c r="R451" s="16">
        <f>参数!$B$10</f>
        <v>4</v>
      </c>
      <c r="S451" s="16">
        <f>参数!$C$10</f>
        <v>1.2</v>
      </c>
      <c r="T451" s="16">
        <f>参数!$D$10</f>
        <v>1</v>
      </c>
      <c r="U451" s="16">
        <f t="shared" si="48"/>
        <v>1410908</v>
      </c>
      <c r="V451" s="16">
        <f t="shared" si="49"/>
        <v>40580.4</v>
      </c>
      <c r="W451" s="16">
        <f t="shared" si="50"/>
        <v>27952</v>
      </c>
      <c r="X451" s="16">
        <f>IFERROR(INDEX(参数!$B$5:$B$7,MATCH($N451,参数!$A$5:$A$7,0)),"")</f>
        <v>1</v>
      </c>
      <c r="Y451" s="16">
        <f>IFERROR(INDEX(参数!$C$5:$C$7,MATCH($N451,参数!$A$5:$A$7,0)),"")</f>
        <v>1.2</v>
      </c>
      <c r="Z451" s="16">
        <f>IFERROR(INDEX(参数!$D$5:$D$7,MATCH($N451,参数!$A$5:$A$7,0)),"")</f>
        <v>1</v>
      </c>
      <c r="AA451" s="16">
        <f>IFERROR(INDEX(楼层配置!$E$5:$E$104,MATCH($K451,楼层配置!$B$5:$B$104,0)),1)</f>
        <v>1.14213632106616</v>
      </c>
      <c r="AB451" s="16">
        <f>IFERROR(INDEX(楼层配置!$F$5:$F$104,MATCH($K451,楼层配置!$B$5:$B$104,0)),1)</f>
        <v>0.724654744929893</v>
      </c>
      <c r="AC451" s="16">
        <f>IFERROR(INDEX(楼层配置!$G$5:$G$104,MATCH($K451,楼层配置!$B$5:$B$104,0)),1)</f>
        <v>1</v>
      </c>
      <c r="AD451" s="18">
        <f t="shared" si="51"/>
        <v>-0.542658810120346</v>
      </c>
      <c r="AE451" s="18">
        <f t="shared" si="52"/>
        <v>-0.380608017973741</v>
      </c>
      <c r="AF451" s="18">
        <f t="shared" si="53"/>
        <v>-0.0680181381701788</v>
      </c>
      <c r="AG451" s="16" t="str">
        <f t="shared" si="54"/>
        <v>有效</v>
      </c>
      <c r="AH451">
        <f t="shared" si="55"/>
        <v>3488249.93533333</v>
      </c>
    </row>
    <row r="452" ht="14.25" customHeight="1" spans="1:34">
      <c r="A452" s="16">
        <v>448</v>
      </c>
      <c r="B452" s="16">
        <v>1005</v>
      </c>
      <c r="C452" s="16">
        <v>55</v>
      </c>
      <c r="D452" s="17">
        <f>IFERROR(ROUND($U452*$X452*$AA452*参数!$B$13,0),"")</f>
        <v>1611449</v>
      </c>
      <c r="E452" s="17">
        <f>IFERROR(ROUND($V452*$Y452*$AB452*参数!$C$13,0),"")</f>
        <v>35288</v>
      </c>
      <c r="F452" s="17">
        <f>IFERROR(ROUND($W452*$Z452*$AC452*参数!$D$13,0),"")</f>
        <v>27952</v>
      </c>
      <c r="G452" s="16">
        <v>3523516</v>
      </c>
      <c r="H452" s="16">
        <v>56972</v>
      </c>
      <c r="I452" s="16">
        <v>29992</v>
      </c>
      <c r="J452" s="16">
        <v>90</v>
      </c>
      <c r="K452" s="16">
        <v>90</v>
      </c>
      <c r="L452" s="16">
        <f>IFERROR(INDEX(楼层配置!$D$5:$D$104,MATCH($K452,楼层配置!$B$5:$B$104,0)),"")</f>
        <v>268</v>
      </c>
      <c r="M452" s="16" t="str">
        <f>IFERROR(INDEX(_角色基线!$B$2:$B$100,MATCH($B452,_角色基线!$A$2:$A$100,0)),"")</f>
        <v>陈单单</v>
      </c>
      <c r="N452" s="16" t="str">
        <f>IFERROR(INDEX(_角色基线!$C$2:$C$100,MATCH($B452,_角色基线!$A$2:$A$100,0)),"")</f>
        <v>DPS</v>
      </c>
      <c r="O452" s="16">
        <f>IFERROR(INDEX(_怪物基线!$B$2:$B$501,MATCH(INT($L452),_怪物基线!$A$2:$A$501,0)),"")</f>
        <v>352727</v>
      </c>
      <c r="P452" s="16">
        <f>IFERROR(INDEX(_怪物基线!$C$2:$C$501,MATCH(INT($L452),_怪物基线!$A$2:$A$501,0)),"")</f>
        <v>33817</v>
      </c>
      <c r="Q452" s="16">
        <f>IFERROR(INDEX(_怪物基线!$D$2:$D$501,MATCH(INT($L452),_怪物基线!$A$2:$A$501,0)),"")</f>
        <v>27952</v>
      </c>
      <c r="R452" s="16">
        <f>参数!$B$10</f>
        <v>4</v>
      </c>
      <c r="S452" s="16">
        <f>参数!$C$10</f>
        <v>1.2</v>
      </c>
      <c r="T452" s="16">
        <f>参数!$D$10</f>
        <v>1</v>
      </c>
      <c r="U452" s="16">
        <f t="shared" si="48"/>
        <v>1410908</v>
      </c>
      <c r="V452" s="16">
        <f t="shared" si="49"/>
        <v>40580.4</v>
      </c>
      <c r="W452" s="16">
        <f t="shared" si="50"/>
        <v>27952</v>
      </c>
      <c r="X452" s="16">
        <f>IFERROR(INDEX(参数!$B$5:$B$7,MATCH($N452,参数!$A$5:$A$7,0)),"")</f>
        <v>1</v>
      </c>
      <c r="Y452" s="16">
        <f>IFERROR(INDEX(参数!$C$5:$C$7,MATCH($N452,参数!$A$5:$A$7,0)),"")</f>
        <v>1.2</v>
      </c>
      <c r="Z452" s="16">
        <f>IFERROR(INDEX(参数!$D$5:$D$7,MATCH($N452,参数!$A$5:$A$7,0)),"")</f>
        <v>1</v>
      </c>
      <c r="AA452" s="16">
        <f>IFERROR(INDEX(楼层配置!$E$5:$E$104,MATCH($K452,楼层配置!$B$5:$B$104,0)),1)</f>
        <v>1.14213632106616</v>
      </c>
      <c r="AB452" s="16">
        <f>IFERROR(INDEX(楼层配置!$F$5:$F$104,MATCH($K452,楼层配置!$B$5:$B$104,0)),1)</f>
        <v>0.724654744929893</v>
      </c>
      <c r="AC452" s="16">
        <f>IFERROR(INDEX(楼层配置!$G$5:$G$104,MATCH($K452,楼层配置!$B$5:$B$104,0)),1)</f>
        <v>1</v>
      </c>
      <c r="AD452" s="18">
        <f t="shared" si="51"/>
        <v>-0.542658810120346</v>
      </c>
      <c r="AE452" s="18">
        <f t="shared" si="52"/>
        <v>-0.380608017973741</v>
      </c>
      <c r="AF452" s="18">
        <f t="shared" si="53"/>
        <v>-0.0680181381701788</v>
      </c>
      <c r="AG452" s="16" t="str">
        <f t="shared" si="54"/>
        <v>有效</v>
      </c>
      <c r="AH452">
        <f t="shared" si="55"/>
        <v>3488249.93533333</v>
      </c>
    </row>
    <row r="453" ht="14.25" customHeight="1" spans="1:34">
      <c r="A453" s="16">
        <v>449</v>
      </c>
      <c r="B453" s="16">
        <v>1029</v>
      </c>
      <c r="C453" s="16">
        <v>55</v>
      </c>
      <c r="D453" s="17">
        <f>IFERROR(ROUND($U453*$X453*$AA453*参数!$B$13,0),"")</f>
        <v>2014312</v>
      </c>
      <c r="E453" s="17">
        <f>IFERROR(ROUND($V453*$Y453*$AB453*参数!$C$13,0),"")</f>
        <v>29407</v>
      </c>
      <c r="F453" s="17">
        <f>IFERROR(ROUND($W453*$Z453*$AC453*参数!$D$13,0),"")</f>
        <v>34940</v>
      </c>
      <c r="G453" s="16">
        <v>4404396</v>
      </c>
      <c r="H453" s="16">
        <v>47477</v>
      </c>
      <c r="I453" s="16">
        <v>37491</v>
      </c>
      <c r="J453" s="16">
        <v>90</v>
      </c>
      <c r="K453" s="16">
        <v>90</v>
      </c>
      <c r="L453" s="16">
        <f>IFERROR(INDEX(楼层配置!$D$5:$D$104,MATCH($K453,楼层配置!$B$5:$B$104,0)),"")</f>
        <v>268</v>
      </c>
      <c r="M453" s="16" t="str">
        <f>IFERROR(INDEX(_角色基线!$B$2:$B$100,MATCH($B453,_角色基线!$A$2:$A$100,0)),"")</f>
        <v>凯兰</v>
      </c>
      <c r="N453" s="16" t="str">
        <f>IFERROR(INDEX(_角色基线!$C$2:$C$100,MATCH($B453,_角色基线!$A$2:$A$100,0)),"")</f>
        <v>Support</v>
      </c>
      <c r="O453" s="16">
        <f>IFERROR(INDEX(_怪物基线!$B$2:$B$501,MATCH(INT($L453),_怪物基线!$A$2:$A$501,0)),"")</f>
        <v>352727</v>
      </c>
      <c r="P453" s="16">
        <f>IFERROR(INDEX(_怪物基线!$C$2:$C$501,MATCH(INT($L453),_怪物基线!$A$2:$A$501,0)),"")</f>
        <v>33817</v>
      </c>
      <c r="Q453" s="16">
        <f>IFERROR(INDEX(_怪物基线!$D$2:$D$501,MATCH(INT($L453),_怪物基线!$A$2:$A$501,0)),"")</f>
        <v>27952</v>
      </c>
      <c r="R453" s="16">
        <f>参数!$B$10</f>
        <v>4</v>
      </c>
      <c r="S453" s="16">
        <f>参数!$C$10</f>
        <v>1.2</v>
      </c>
      <c r="T453" s="16">
        <f>参数!$D$10</f>
        <v>1</v>
      </c>
      <c r="U453" s="16">
        <f t="shared" ref="U453:U516" si="56">IF($O453="","",$O453*$R453)</f>
        <v>1410908</v>
      </c>
      <c r="V453" s="16">
        <f t="shared" ref="V453:V516" si="57">IF($P453="","",$P453*$S453)</f>
        <v>40580.4</v>
      </c>
      <c r="W453" s="16">
        <f t="shared" ref="W453:W516" si="58">IF($Q453="","",$Q453*$T453)</f>
        <v>27952</v>
      </c>
      <c r="X453" s="16">
        <f>IFERROR(INDEX(参数!$B$5:$B$7,MATCH($N453,参数!$A$5:$A$7,0)),"")</f>
        <v>1.25</v>
      </c>
      <c r="Y453" s="16">
        <f>IFERROR(INDEX(参数!$C$5:$C$7,MATCH($N453,参数!$A$5:$A$7,0)),"")</f>
        <v>1</v>
      </c>
      <c r="Z453" s="16">
        <f>IFERROR(INDEX(参数!$D$5:$D$7,MATCH($N453,参数!$A$5:$A$7,0)),"")</f>
        <v>1.25</v>
      </c>
      <c r="AA453" s="16">
        <f>IFERROR(INDEX(楼层配置!$E$5:$E$104,MATCH($K453,楼层配置!$B$5:$B$104,0)),1)</f>
        <v>1.14213632106616</v>
      </c>
      <c r="AB453" s="16">
        <f>IFERROR(INDEX(楼层配置!$F$5:$F$104,MATCH($K453,楼层配置!$B$5:$B$104,0)),1)</f>
        <v>0.724654744929893</v>
      </c>
      <c r="AC453" s="16">
        <f>IFERROR(INDEX(楼层配置!$G$5:$G$104,MATCH($K453,楼层配置!$B$5:$B$104,0)),1)</f>
        <v>1</v>
      </c>
      <c r="AD453" s="18">
        <f t="shared" ref="AD453:AD516" si="59">IFERROR($D453/$G453-1,"")</f>
        <v>-0.542658743673366</v>
      </c>
      <c r="AE453" s="18">
        <f t="shared" ref="AE453:AE516" si="60">IFERROR($E453/$H453-1,"")</f>
        <v>-0.380605345746361</v>
      </c>
      <c r="AF453" s="18">
        <f t="shared" ref="AF453:AF516" si="61">IFERROR($F453/$I453-1,"")</f>
        <v>-0.0680429969859433</v>
      </c>
      <c r="AG453" s="16" t="str">
        <f t="shared" ref="AG453:AG516" si="62">IF(AND($A453&gt;=1,$L453&gt;=1,$L453&lt;=500,OR($N453="Tank",$N453="DPS",$N453="Support"),ISNUMBER($D453),ISNUMBER($E453),ISNUMBER($F453)),"有效","异常")</f>
        <v>有效</v>
      </c>
      <c r="AH453">
        <f t="shared" ref="AH453:AH516" si="63">D453/(1-MIN(0.75,F453/(24000+F453)))</f>
        <v>4946814.55333333</v>
      </c>
    </row>
    <row r="454" ht="14.25" customHeight="1" spans="1:34">
      <c r="A454" s="16">
        <v>450</v>
      </c>
      <c r="B454" s="16">
        <v>1007</v>
      </c>
      <c r="C454" s="16">
        <v>55</v>
      </c>
      <c r="D454" s="17">
        <f>IFERROR(ROUND($U454*$X454*$AA454*参数!$B$13,0),"")</f>
        <v>2014312</v>
      </c>
      <c r="E454" s="17">
        <f>IFERROR(ROUND($V454*$Y454*$AB454*参数!$C$13,0),"")</f>
        <v>29407</v>
      </c>
      <c r="F454" s="17">
        <f>IFERROR(ROUND($W454*$Z454*$AC454*参数!$D$13,0),"")</f>
        <v>34940</v>
      </c>
      <c r="G454" s="16">
        <v>4404396</v>
      </c>
      <c r="H454" s="16">
        <v>47477</v>
      </c>
      <c r="I454" s="16">
        <v>37491</v>
      </c>
      <c r="J454" s="16">
        <v>90</v>
      </c>
      <c r="K454" s="16">
        <v>90</v>
      </c>
      <c r="L454" s="16">
        <f>IFERROR(INDEX(楼层配置!$D$5:$D$104,MATCH($K454,楼层配置!$B$5:$B$104,0)),"")</f>
        <v>268</v>
      </c>
      <c r="M454" s="16" t="str">
        <f>IFERROR(INDEX(_角色基线!$B$2:$B$100,MATCH($B454,_角色基线!$A$2:$A$100,0)),"")</f>
        <v>萨萨莉安</v>
      </c>
      <c r="N454" s="16" t="str">
        <f>IFERROR(INDEX(_角色基线!$C$2:$C$100,MATCH($B454,_角色基线!$A$2:$A$100,0)),"")</f>
        <v>Support</v>
      </c>
      <c r="O454" s="16">
        <f>IFERROR(INDEX(_怪物基线!$B$2:$B$501,MATCH(INT($L454),_怪物基线!$A$2:$A$501,0)),"")</f>
        <v>352727</v>
      </c>
      <c r="P454" s="16">
        <f>IFERROR(INDEX(_怪物基线!$C$2:$C$501,MATCH(INT($L454),_怪物基线!$A$2:$A$501,0)),"")</f>
        <v>33817</v>
      </c>
      <c r="Q454" s="16">
        <f>IFERROR(INDEX(_怪物基线!$D$2:$D$501,MATCH(INT($L454),_怪物基线!$A$2:$A$501,0)),"")</f>
        <v>27952</v>
      </c>
      <c r="R454" s="16">
        <f>参数!$B$10</f>
        <v>4</v>
      </c>
      <c r="S454" s="16">
        <f>参数!$C$10</f>
        <v>1.2</v>
      </c>
      <c r="T454" s="16">
        <f>参数!$D$10</f>
        <v>1</v>
      </c>
      <c r="U454" s="16">
        <f t="shared" si="56"/>
        <v>1410908</v>
      </c>
      <c r="V454" s="16">
        <f t="shared" si="57"/>
        <v>40580.4</v>
      </c>
      <c r="W454" s="16">
        <f t="shared" si="58"/>
        <v>27952</v>
      </c>
      <c r="X454" s="16">
        <f>IFERROR(INDEX(参数!$B$5:$B$7,MATCH($N454,参数!$A$5:$A$7,0)),"")</f>
        <v>1.25</v>
      </c>
      <c r="Y454" s="16">
        <f>IFERROR(INDEX(参数!$C$5:$C$7,MATCH($N454,参数!$A$5:$A$7,0)),"")</f>
        <v>1</v>
      </c>
      <c r="Z454" s="16">
        <f>IFERROR(INDEX(参数!$D$5:$D$7,MATCH($N454,参数!$A$5:$A$7,0)),"")</f>
        <v>1.25</v>
      </c>
      <c r="AA454" s="16">
        <f>IFERROR(INDEX(楼层配置!$E$5:$E$104,MATCH($K454,楼层配置!$B$5:$B$104,0)),1)</f>
        <v>1.14213632106616</v>
      </c>
      <c r="AB454" s="16">
        <f>IFERROR(INDEX(楼层配置!$F$5:$F$104,MATCH($K454,楼层配置!$B$5:$B$104,0)),1)</f>
        <v>0.724654744929893</v>
      </c>
      <c r="AC454" s="16">
        <f>IFERROR(INDEX(楼层配置!$G$5:$G$104,MATCH($K454,楼层配置!$B$5:$B$104,0)),1)</f>
        <v>1</v>
      </c>
      <c r="AD454" s="18">
        <f t="shared" si="59"/>
        <v>-0.542658743673366</v>
      </c>
      <c r="AE454" s="18">
        <f t="shared" si="60"/>
        <v>-0.380605345746361</v>
      </c>
      <c r="AF454" s="18">
        <f t="shared" si="61"/>
        <v>-0.0680429969859433</v>
      </c>
      <c r="AG454" s="16" t="str">
        <f t="shared" si="62"/>
        <v>有效</v>
      </c>
      <c r="AH454">
        <f t="shared" si="63"/>
        <v>4946814.55333333</v>
      </c>
    </row>
    <row r="455" ht="14.25" customHeight="1" spans="1:34">
      <c r="A455" s="16">
        <v>451</v>
      </c>
      <c r="B455" s="16">
        <v>1003</v>
      </c>
      <c r="C455" s="16">
        <v>55</v>
      </c>
      <c r="D455" s="17">
        <f>IFERROR(ROUND($U455*$X455*$AA455*参数!$B$13,0),"")</f>
        <v>2437024</v>
      </c>
      <c r="E455" s="17">
        <f>IFERROR(ROUND($V455*$Y455*$AB455*参数!$C$13,0),"")</f>
        <v>29653</v>
      </c>
      <c r="F455" s="17">
        <f>IFERROR(ROUND($W455*$Z455*$AC455*参数!$D$13,0),"")</f>
        <v>42131</v>
      </c>
      <c r="G455" s="16">
        <v>5448031</v>
      </c>
      <c r="H455" s="16">
        <v>48692</v>
      </c>
      <c r="I455" s="16">
        <v>45673</v>
      </c>
      <c r="J455" s="16">
        <v>91</v>
      </c>
      <c r="K455" s="16">
        <v>91</v>
      </c>
      <c r="L455" s="16">
        <f>IFERROR(INDEX(楼层配置!$D$5:$D$104,MATCH($K455,楼层配置!$B$5:$B$104,0)),"")</f>
        <v>269</v>
      </c>
      <c r="M455" s="16" t="str">
        <f>IFERROR(INDEX(_角色基线!$B$2:$B$100,MATCH($B455,_角色基线!$A$2:$A$100,0)),"")</f>
        <v>塔拉夏</v>
      </c>
      <c r="N455" s="16" t="str">
        <f>IFERROR(INDEX(_角色基线!$C$2:$C$100,MATCH($B455,_角色基线!$A$2:$A$100,0)),"")</f>
        <v>Tank</v>
      </c>
      <c r="O455" s="16">
        <f>IFERROR(INDEX(_怪物基线!$B$2:$B$501,MATCH(INT($L455),_怪物基线!$A$2:$A$501,0)),"")</f>
        <v>356284</v>
      </c>
      <c r="P455" s="16">
        <f>IFERROR(INDEX(_怪物基线!$C$2:$C$501,MATCH(INT($L455),_怪物基线!$A$2:$A$501,0)),"")</f>
        <v>34070</v>
      </c>
      <c r="Q455" s="16">
        <f>IFERROR(INDEX(_怪物基线!$D$2:$D$501,MATCH(INT($L455),_怪物基线!$A$2:$A$501,0)),"")</f>
        <v>28087</v>
      </c>
      <c r="R455" s="16">
        <f>参数!$B$10</f>
        <v>4</v>
      </c>
      <c r="S455" s="16">
        <f>参数!$C$10</f>
        <v>1.2</v>
      </c>
      <c r="T455" s="16">
        <f>参数!$D$10</f>
        <v>1</v>
      </c>
      <c r="U455" s="16">
        <f t="shared" si="56"/>
        <v>1425136</v>
      </c>
      <c r="V455" s="16">
        <f t="shared" si="57"/>
        <v>40884</v>
      </c>
      <c r="W455" s="16">
        <f t="shared" si="58"/>
        <v>28087</v>
      </c>
      <c r="X455" s="16">
        <f>IFERROR(INDEX(参数!$B$5:$B$7,MATCH($N455,参数!$A$5:$A$7,0)),"")</f>
        <v>1.5</v>
      </c>
      <c r="Y455" s="16">
        <f>IFERROR(INDEX(参数!$C$5:$C$7,MATCH($N455,参数!$A$5:$A$7,0)),"")</f>
        <v>1</v>
      </c>
      <c r="Z455" s="16">
        <f>IFERROR(INDEX(参数!$D$5:$D$7,MATCH($N455,参数!$A$5:$A$7,0)),"")</f>
        <v>1.5</v>
      </c>
      <c r="AA455" s="16">
        <f>IFERROR(INDEX(楼层配置!$E$5:$E$104,MATCH($K455,楼层配置!$B$5:$B$104,0)),1)</f>
        <v>1.14001916461421</v>
      </c>
      <c r="AB455" s="16">
        <f>IFERROR(INDEX(楼层配置!$F$5:$F$104,MATCH($K455,楼层配置!$B$5:$B$104,0)),1)</f>
        <v>0.725287655304084</v>
      </c>
      <c r="AC455" s="16">
        <f>IFERROR(INDEX(楼层配置!$G$5:$G$104,MATCH($K455,楼层配置!$B$5:$B$104,0)),1)</f>
        <v>1</v>
      </c>
      <c r="AD455" s="18">
        <f t="shared" si="59"/>
        <v>-0.55267802257366</v>
      </c>
      <c r="AE455" s="18">
        <f t="shared" si="60"/>
        <v>-0.39100878994496</v>
      </c>
      <c r="AF455" s="18">
        <f t="shared" si="61"/>
        <v>-0.0775512885074333</v>
      </c>
      <c r="AG455" s="16" t="str">
        <f t="shared" si="62"/>
        <v>有效</v>
      </c>
      <c r="AH455">
        <f t="shared" si="63"/>
        <v>6715118.08933333</v>
      </c>
    </row>
    <row r="456" ht="14.25" customHeight="1" spans="1:34">
      <c r="A456" s="16">
        <v>452</v>
      </c>
      <c r="B456" s="16">
        <v>1007</v>
      </c>
      <c r="C456" s="16">
        <v>55</v>
      </c>
      <c r="D456" s="17">
        <f>IFERROR(ROUND($U456*$X456*$AA456*参数!$B$13,0),"")</f>
        <v>2030853</v>
      </c>
      <c r="E456" s="17">
        <f>IFERROR(ROUND($V456*$Y456*$AB456*参数!$C$13,0),"")</f>
        <v>29653</v>
      </c>
      <c r="F456" s="17">
        <f>IFERROR(ROUND($W456*$Z456*$AC456*参数!$D$13,0),"")</f>
        <v>35109</v>
      </c>
      <c r="G456" s="16">
        <v>4540026</v>
      </c>
      <c r="H456" s="16">
        <v>48692</v>
      </c>
      <c r="I456" s="16">
        <v>38061</v>
      </c>
      <c r="J456" s="16">
        <v>91</v>
      </c>
      <c r="K456" s="16">
        <v>91</v>
      </c>
      <c r="L456" s="16">
        <f>IFERROR(INDEX(楼层配置!$D$5:$D$104,MATCH($K456,楼层配置!$B$5:$B$104,0)),"")</f>
        <v>269</v>
      </c>
      <c r="M456" s="16" t="str">
        <f>IFERROR(INDEX(_角色基线!$B$2:$B$100,MATCH($B456,_角色基线!$A$2:$A$100,0)),"")</f>
        <v>萨萨莉安</v>
      </c>
      <c r="N456" s="16" t="str">
        <f>IFERROR(INDEX(_角色基线!$C$2:$C$100,MATCH($B456,_角色基线!$A$2:$A$100,0)),"")</f>
        <v>Support</v>
      </c>
      <c r="O456" s="16">
        <f>IFERROR(INDEX(_怪物基线!$B$2:$B$501,MATCH(INT($L456),_怪物基线!$A$2:$A$501,0)),"")</f>
        <v>356284</v>
      </c>
      <c r="P456" s="16">
        <f>IFERROR(INDEX(_怪物基线!$C$2:$C$501,MATCH(INT($L456),_怪物基线!$A$2:$A$501,0)),"")</f>
        <v>34070</v>
      </c>
      <c r="Q456" s="16">
        <f>IFERROR(INDEX(_怪物基线!$D$2:$D$501,MATCH(INT($L456),_怪物基线!$A$2:$A$501,0)),"")</f>
        <v>28087</v>
      </c>
      <c r="R456" s="16">
        <f>参数!$B$10</f>
        <v>4</v>
      </c>
      <c r="S456" s="16">
        <f>参数!$C$10</f>
        <v>1.2</v>
      </c>
      <c r="T456" s="16">
        <f>参数!$D$10</f>
        <v>1</v>
      </c>
      <c r="U456" s="16">
        <f t="shared" si="56"/>
        <v>1425136</v>
      </c>
      <c r="V456" s="16">
        <f t="shared" si="57"/>
        <v>40884</v>
      </c>
      <c r="W456" s="16">
        <f t="shared" si="58"/>
        <v>28087</v>
      </c>
      <c r="X456" s="16">
        <f>IFERROR(INDEX(参数!$B$5:$B$7,MATCH($N456,参数!$A$5:$A$7,0)),"")</f>
        <v>1.25</v>
      </c>
      <c r="Y456" s="16">
        <f>IFERROR(INDEX(参数!$C$5:$C$7,MATCH($N456,参数!$A$5:$A$7,0)),"")</f>
        <v>1</v>
      </c>
      <c r="Z456" s="16">
        <f>IFERROR(INDEX(参数!$D$5:$D$7,MATCH($N456,参数!$A$5:$A$7,0)),"")</f>
        <v>1.25</v>
      </c>
      <c r="AA456" s="16">
        <f>IFERROR(INDEX(楼层配置!$E$5:$E$104,MATCH($K456,楼层配置!$B$5:$B$104,0)),1)</f>
        <v>1.14001916461421</v>
      </c>
      <c r="AB456" s="16">
        <f>IFERROR(INDEX(楼层配置!$F$5:$F$104,MATCH($K456,楼层配置!$B$5:$B$104,0)),1)</f>
        <v>0.725287655304084</v>
      </c>
      <c r="AC456" s="16">
        <f>IFERROR(INDEX(楼层配置!$G$5:$G$104,MATCH($K456,楼层配置!$B$5:$B$104,0)),1)</f>
        <v>1</v>
      </c>
      <c r="AD456" s="18">
        <f t="shared" si="59"/>
        <v>-0.552678112416096</v>
      </c>
      <c r="AE456" s="18">
        <f t="shared" si="60"/>
        <v>-0.39100878994496</v>
      </c>
      <c r="AF456" s="18">
        <f t="shared" si="61"/>
        <v>-0.0775597067864744</v>
      </c>
      <c r="AG456" s="16" t="str">
        <f t="shared" si="62"/>
        <v>有效</v>
      </c>
      <c r="AH456">
        <f t="shared" si="63"/>
        <v>5001737.082375</v>
      </c>
    </row>
    <row r="457" ht="14.25" customHeight="1" spans="1:34">
      <c r="A457" s="16">
        <v>453</v>
      </c>
      <c r="B457" s="16">
        <v>1006</v>
      </c>
      <c r="C457" s="16">
        <v>55</v>
      </c>
      <c r="D457" s="17">
        <f>IFERROR(ROUND($U457*$X457*$AA457*参数!$B$13,0),"")</f>
        <v>1624682</v>
      </c>
      <c r="E457" s="17">
        <f>IFERROR(ROUND($V457*$Y457*$AB457*参数!$C$13,0),"")</f>
        <v>35583</v>
      </c>
      <c r="F457" s="17">
        <f>IFERROR(ROUND($W457*$Z457*$AC457*参数!$D$13,0),"")</f>
        <v>28087</v>
      </c>
      <c r="G457" s="16">
        <v>3632020</v>
      </c>
      <c r="H457" s="16">
        <v>58430</v>
      </c>
      <c r="I457" s="16">
        <v>30448</v>
      </c>
      <c r="J457" s="16">
        <v>91</v>
      </c>
      <c r="K457" s="16">
        <v>91</v>
      </c>
      <c r="L457" s="16">
        <f>IFERROR(INDEX(楼层配置!$D$5:$D$104,MATCH($K457,楼层配置!$B$5:$B$104,0)),"")</f>
        <v>269</v>
      </c>
      <c r="M457" s="16" t="str">
        <f>IFERROR(INDEX(_角色基线!$B$2:$B$100,MATCH($B457,_角色基线!$A$2:$A$100,0)),"")</f>
        <v>莉莉娅</v>
      </c>
      <c r="N457" s="16" t="str">
        <f>IFERROR(INDEX(_角色基线!$C$2:$C$100,MATCH($B457,_角色基线!$A$2:$A$100,0)),"")</f>
        <v>DPS</v>
      </c>
      <c r="O457" s="16">
        <f>IFERROR(INDEX(_怪物基线!$B$2:$B$501,MATCH(INT($L457),_怪物基线!$A$2:$A$501,0)),"")</f>
        <v>356284</v>
      </c>
      <c r="P457" s="16">
        <f>IFERROR(INDEX(_怪物基线!$C$2:$C$501,MATCH(INT($L457),_怪物基线!$A$2:$A$501,0)),"")</f>
        <v>34070</v>
      </c>
      <c r="Q457" s="16">
        <f>IFERROR(INDEX(_怪物基线!$D$2:$D$501,MATCH(INT($L457),_怪物基线!$A$2:$A$501,0)),"")</f>
        <v>28087</v>
      </c>
      <c r="R457" s="16">
        <f>参数!$B$10</f>
        <v>4</v>
      </c>
      <c r="S457" s="16">
        <f>参数!$C$10</f>
        <v>1.2</v>
      </c>
      <c r="T457" s="16">
        <f>参数!$D$10</f>
        <v>1</v>
      </c>
      <c r="U457" s="16">
        <f t="shared" si="56"/>
        <v>1425136</v>
      </c>
      <c r="V457" s="16">
        <f t="shared" si="57"/>
        <v>40884</v>
      </c>
      <c r="W457" s="16">
        <f t="shared" si="58"/>
        <v>28087</v>
      </c>
      <c r="X457" s="16">
        <f>IFERROR(INDEX(参数!$B$5:$B$7,MATCH($N457,参数!$A$5:$A$7,0)),"")</f>
        <v>1</v>
      </c>
      <c r="Y457" s="16">
        <f>IFERROR(INDEX(参数!$C$5:$C$7,MATCH($N457,参数!$A$5:$A$7,0)),"")</f>
        <v>1.2</v>
      </c>
      <c r="Z457" s="16">
        <f>IFERROR(INDEX(参数!$D$5:$D$7,MATCH($N457,参数!$A$5:$A$7,0)),"")</f>
        <v>1</v>
      </c>
      <c r="AA457" s="16">
        <f>IFERROR(INDEX(楼层配置!$E$5:$E$104,MATCH($K457,楼层配置!$B$5:$B$104,0)),1)</f>
        <v>1.14001916461421</v>
      </c>
      <c r="AB457" s="16">
        <f>IFERROR(INDEX(楼层配置!$F$5:$F$104,MATCH($K457,楼层配置!$B$5:$B$104,0)),1)</f>
        <v>0.725287655304084</v>
      </c>
      <c r="AC457" s="16">
        <f>IFERROR(INDEX(楼层配置!$G$5:$G$104,MATCH($K457,楼层配置!$B$5:$B$104,0)),1)</f>
        <v>1</v>
      </c>
      <c r="AD457" s="18">
        <f t="shared" si="59"/>
        <v>-0.552678124019141</v>
      </c>
      <c r="AE457" s="18">
        <f t="shared" si="60"/>
        <v>-0.391014889611501</v>
      </c>
      <c r="AF457" s="18">
        <f t="shared" si="61"/>
        <v>-0.0775420388859696</v>
      </c>
      <c r="AG457" s="16" t="str">
        <f t="shared" si="62"/>
        <v>有效</v>
      </c>
      <c r="AH457">
        <f t="shared" si="63"/>
        <v>3526033.80558333</v>
      </c>
    </row>
    <row r="458" ht="14.25" customHeight="1" spans="1:34">
      <c r="A458" s="16">
        <v>454</v>
      </c>
      <c r="B458" s="16">
        <v>1017</v>
      </c>
      <c r="C458" s="16">
        <v>55</v>
      </c>
      <c r="D458" s="17">
        <f>IFERROR(ROUND($U458*$X458*$AA458*参数!$B$13,0),"")</f>
        <v>1624682</v>
      </c>
      <c r="E458" s="17">
        <f>IFERROR(ROUND($V458*$Y458*$AB458*参数!$C$13,0),"")</f>
        <v>35583</v>
      </c>
      <c r="F458" s="17">
        <f>IFERROR(ROUND($W458*$Z458*$AC458*参数!$D$13,0),"")</f>
        <v>28087</v>
      </c>
      <c r="G458" s="16">
        <v>3632020</v>
      </c>
      <c r="H458" s="16">
        <v>58430</v>
      </c>
      <c r="I458" s="16">
        <v>30448</v>
      </c>
      <c r="J458" s="16">
        <v>91</v>
      </c>
      <c r="K458" s="16">
        <v>91</v>
      </c>
      <c r="L458" s="16">
        <f>IFERROR(INDEX(楼层配置!$D$5:$D$104,MATCH($K458,楼层配置!$B$5:$B$104,0)),"")</f>
        <v>269</v>
      </c>
      <c r="M458" s="16" t="str">
        <f>IFERROR(INDEX(_角色基线!$B$2:$B$100,MATCH($B458,_角色基线!$A$2:$A$100,0)),"")</f>
        <v>伊戈尔</v>
      </c>
      <c r="N458" s="16" t="str">
        <f>IFERROR(INDEX(_角色基线!$C$2:$C$100,MATCH($B458,_角色基线!$A$2:$A$100,0)),"")</f>
        <v>DPS</v>
      </c>
      <c r="O458" s="16">
        <f>IFERROR(INDEX(_怪物基线!$B$2:$B$501,MATCH(INT($L458),_怪物基线!$A$2:$A$501,0)),"")</f>
        <v>356284</v>
      </c>
      <c r="P458" s="16">
        <f>IFERROR(INDEX(_怪物基线!$C$2:$C$501,MATCH(INT($L458),_怪物基线!$A$2:$A$501,0)),"")</f>
        <v>34070</v>
      </c>
      <c r="Q458" s="16">
        <f>IFERROR(INDEX(_怪物基线!$D$2:$D$501,MATCH(INT($L458),_怪物基线!$A$2:$A$501,0)),"")</f>
        <v>28087</v>
      </c>
      <c r="R458" s="16">
        <f>参数!$B$10</f>
        <v>4</v>
      </c>
      <c r="S458" s="16">
        <f>参数!$C$10</f>
        <v>1.2</v>
      </c>
      <c r="T458" s="16">
        <f>参数!$D$10</f>
        <v>1</v>
      </c>
      <c r="U458" s="16">
        <f t="shared" si="56"/>
        <v>1425136</v>
      </c>
      <c r="V458" s="16">
        <f t="shared" si="57"/>
        <v>40884</v>
      </c>
      <c r="W458" s="16">
        <f t="shared" si="58"/>
        <v>28087</v>
      </c>
      <c r="X458" s="16">
        <f>IFERROR(INDEX(参数!$B$5:$B$7,MATCH($N458,参数!$A$5:$A$7,0)),"")</f>
        <v>1</v>
      </c>
      <c r="Y458" s="16">
        <f>IFERROR(INDEX(参数!$C$5:$C$7,MATCH($N458,参数!$A$5:$A$7,0)),"")</f>
        <v>1.2</v>
      </c>
      <c r="Z458" s="16">
        <f>IFERROR(INDEX(参数!$D$5:$D$7,MATCH($N458,参数!$A$5:$A$7,0)),"")</f>
        <v>1</v>
      </c>
      <c r="AA458" s="16">
        <f>IFERROR(INDEX(楼层配置!$E$5:$E$104,MATCH($K458,楼层配置!$B$5:$B$104,0)),1)</f>
        <v>1.14001916461421</v>
      </c>
      <c r="AB458" s="16">
        <f>IFERROR(INDEX(楼层配置!$F$5:$F$104,MATCH($K458,楼层配置!$B$5:$B$104,0)),1)</f>
        <v>0.725287655304084</v>
      </c>
      <c r="AC458" s="16">
        <f>IFERROR(INDEX(楼层配置!$G$5:$G$104,MATCH($K458,楼层配置!$B$5:$B$104,0)),1)</f>
        <v>1</v>
      </c>
      <c r="AD458" s="18">
        <f t="shared" si="59"/>
        <v>-0.552678124019141</v>
      </c>
      <c r="AE458" s="18">
        <f t="shared" si="60"/>
        <v>-0.391014889611501</v>
      </c>
      <c r="AF458" s="18">
        <f t="shared" si="61"/>
        <v>-0.0775420388859696</v>
      </c>
      <c r="AG458" s="16" t="str">
        <f t="shared" si="62"/>
        <v>有效</v>
      </c>
      <c r="AH458">
        <f t="shared" si="63"/>
        <v>3526033.80558333</v>
      </c>
    </row>
    <row r="459" ht="14.25" customHeight="1" spans="1:34">
      <c r="A459" s="16">
        <v>455</v>
      </c>
      <c r="B459" s="16">
        <v>1013</v>
      </c>
      <c r="C459" s="16">
        <v>55</v>
      </c>
      <c r="D459" s="17">
        <f>IFERROR(ROUND($U459*$X459*$AA459*参数!$B$13,0),"")</f>
        <v>1624682</v>
      </c>
      <c r="E459" s="17">
        <f>IFERROR(ROUND($V459*$Y459*$AB459*参数!$C$13,0),"")</f>
        <v>35583</v>
      </c>
      <c r="F459" s="17">
        <f>IFERROR(ROUND($W459*$Z459*$AC459*参数!$D$13,0),"")</f>
        <v>28087</v>
      </c>
      <c r="G459" s="16">
        <v>3632020</v>
      </c>
      <c r="H459" s="16">
        <v>58430</v>
      </c>
      <c r="I459" s="16">
        <v>30448</v>
      </c>
      <c r="J459" s="16">
        <v>91</v>
      </c>
      <c r="K459" s="16">
        <v>91</v>
      </c>
      <c r="L459" s="16">
        <f>IFERROR(INDEX(楼层配置!$D$5:$D$104,MATCH($K459,楼层配置!$B$5:$B$104,0)),"")</f>
        <v>269</v>
      </c>
      <c r="M459" s="16" t="str">
        <f>IFERROR(INDEX(_角色基线!$B$2:$B$100,MATCH($B459,_角色基线!$A$2:$A$100,0)),"")</f>
        <v>夏缇拉</v>
      </c>
      <c r="N459" s="16" t="str">
        <f>IFERROR(INDEX(_角色基线!$C$2:$C$100,MATCH($B459,_角色基线!$A$2:$A$100,0)),"")</f>
        <v>DPS</v>
      </c>
      <c r="O459" s="16">
        <f>IFERROR(INDEX(_怪物基线!$B$2:$B$501,MATCH(INT($L459),_怪物基线!$A$2:$A$501,0)),"")</f>
        <v>356284</v>
      </c>
      <c r="P459" s="16">
        <f>IFERROR(INDEX(_怪物基线!$C$2:$C$501,MATCH(INT($L459),_怪物基线!$A$2:$A$501,0)),"")</f>
        <v>34070</v>
      </c>
      <c r="Q459" s="16">
        <f>IFERROR(INDEX(_怪物基线!$D$2:$D$501,MATCH(INT($L459),_怪物基线!$A$2:$A$501,0)),"")</f>
        <v>28087</v>
      </c>
      <c r="R459" s="16">
        <f>参数!$B$10</f>
        <v>4</v>
      </c>
      <c r="S459" s="16">
        <f>参数!$C$10</f>
        <v>1.2</v>
      </c>
      <c r="T459" s="16">
        <f>参数!$D$10</f>
        <v>1</v>
      </c>
      <c r="U459" s="16">
        <f t="shared" si="56"/>
        <v>1425136</v>
      </c>
      <c r="V459" s="16">
        <f t="shared" si="57"/>
        <v>40884</v>
      </c>
      <c r="W459" s="16">
        <f t="shared" si="58"/>
        <v>28087</v>
      </c>
      <c r="X459" s="16">
        <f>IFERROR(INDEX(参数!$B$5:$B$7,MATCH($N459,参数!$A$5:$A$7,0)),"")</f>
        <v>1</v>
      </c>
      <c r="Y459" s="16">
        <f>IFERROR(INDEX(参数!$C$5:$C$7,MATCH($N459,参数!$A$5:$A$7,0)),"")</f>
        <v>1.2</v>
      </c>
      <c r="Z459" s="16">
        <f>IFERROR(INDEX(参数!$D$5:$D$7,MATCH($N459,参数!$A$5:$A$7,0)),"")</f>
        <v>1</v>
      </c>
      <c r="AA459" s="16">
        <f>IFERROR(INDEX(楼层配置!$E$5:$E$104,MATCH($K459,楼层配置!$B$5:$B$104,0)),1)</f>
        <v>1.14001916461421</v>
      </c>
      <c r="AB459" s="16">
        <f>IFERROR(INDEX(楼层配置!$F$5:$F$104,MATCH($K459,楼层配置!$B$5:$B$104,0)),1)</f>
        <v>0.725287655304084</v>
      </c>
      <c r="AC459" s="16">
        <f>IFERROR(INDEX(楼层配置!$G$5:$G$104,MATCH($K459,楼层配置!$B$5:$B$104,0)),1)</f>
        <v>1</v>
      </c>
      <c r="AD459" s="18">
        <f t="shared" si="59"/>
        <v>-0.552678124019141</v>
      </c>
      <c r="AE459" s="18">
        <f t="shared" si="60"/>
        <v>-0.391014889611501</v>
      </c>
      <c r="AF459" s="18">
        <f t="shared" si="61"/>
        <v>-0.0775420388859696</v>
      </c>
      <c r="AG459" s="16" t="str">
        <f t="shared" si="62"/>
        <v>有效</v>
      </c>
      <c r="AH459">
        <f t="shared" si="63"/>
        <v>3526033.80558333</v>
      </c>
    </row>
    <row r="460" ht="14.25" customHeight="1" spans="1:34">
      <c r="A460" s="16">
        <v>456</v>
      </c>
      <c r="B460" s="16">
        <v>1004</v>
      </c>
      <c r="C460" s="16">
        <v>56</v>
      </c>
      <c r="D460" s="17">
        <f>IFERROR(ROUND($U460*$X460*$AA460*参数!$B$13,0),"")</f>
        <v>2452155</v>
      </c>
      <c r="E460" s="17">
        <f>IFERROR(ROUND($V460*$Y460*$AB460*参数!$C$13,0),"")</f>
        <v>29838</v>
      </c>
      <c r="F460" s="17">
        <f>IFERROR(ROUND($W460*$Z460*$AC460*参数!$D$13,0),"")</f>
        <v>42333</v>
      </c>
      <c r="G460" s="16">
        <v>5614552</v>
      </c>
      <c r="H460" s="16">
        <v>49938</v>
      </c>
      <c r="I460" s="16">
        <v>46360</v>
      </c>
      <c r="J460" s="16">
        <v>92</v>
      </c>
      <c r="K460" s="16">
        <v>92</v>
      </c>
      <c r="L460" s="16">
        <f>IFERROR(INDEX(楼层配置!$D$5:$D$104,MATCH($K460,楼层配置!$B$5:$B$104,0)),"")</f>
        <v>270</v>
      </c>
      <c r="M460" s="16" t="str">
        <f>IFERROR(INDEX(_角色基线!$B$2:$B$100,MATCH($B460,_角色基线!$A$2:$A$100,0)),"")</f>
        <v>阿芭</v>
      </c>
      <c r="N460" s="16" t="str">
        <f>IFERROR(INDEX(_角色基线!$C$2:$C$100,MATCH($B460,_角色基线!$A$2:$A$100,0)),"")</f>
        <v>Tank</v>
      </c>
      <c r="O460" s="16">
        <f>IFERROR(INDEX(_怪物基线!$B$2:$B$501,MATCH(INT($L460),_怪物基线!$A$2:$A$501,0)),"")</f>
        <v>359868</v>
      </c>
      <c r="P460" s="16">
        <f>IFERROR(INDEX(_怪物基线!$C$2:$C$501,MATCH(INT($L460),_怪物基线!$A$2:$A$501,0)),"")</f>
        <v>34326</v>
      </c>
      <c r="Q460" s="16">
        <f>IFERROR(INDEX(_怪物基线!$D$2:$D$501,MATCH(INT($L460),_怪物基线!$A$2:$A$501,0)),"")</f>
        <v>28222</v>
      </c>
      <c r="R460" s="16">
        <f>参数!$B$10</f>
        <v>4</v>
      </c>
      <c r="S460" s="16">
        <f>参数!$C$10</f>
        <v>1.2</v>
      </c>
      <c r="T460" s="16">
        <f>参数!$D$10</f>
        <v>1</v>
      </c>
      <c r="U460" s="16">
        <f t="shared" si="56"/>
        <v>1439472</v>
      </c>
      <c r="V460" s="16">
        <f t="shared" si="57"/>
        <v>41191.2</v>
      </c>
      <c r="W460" s="16">
        <f t="shared" si="58"/>
        <v>28222</v>
      </c>
      <c r="X460" s="16">
        <f>IFERROR(INDEX(参数!$B$5:$B$7,MATCH($N460,参数!$A$5:$A$7,0)),"")</f>
        <v>1.5</v>
      </c>
      <c r="Y460" s="16">
        <f>IFERROR(INDEX(参数!$C$5:$C$7,MATCH($N460,参数!$A$5:$A$7,0)),"")</f>
        <v>1</v>
      </c>
      <c r="Z460" s="16">
        <f>IFERROR(INDEX(参数!$D$5:$D$7,MATCH($N460,参数!$A$5:$A$7,0)),"")</f>
        <v>1.5</v>
      </c>
      <c r="AA460" s="16">
        <f>IFERROR(INDEX(楼层配置!$E$5:$E$104,MATCH($K460,楼层配置!$B$5:$B$104,0)),1)</f>
        <v>1.13567320674374</v>
      </c>
      <c r="AB460" s="16">
        <f>IFERROR(INDEX(楼层配置!$F$5:$F$104,MATCH($K460,楼层配置!$B$5:$B$104,0)),1)</f>
        <v>0.724379195372715</v>
      </c>
      <c r="AC460" s="16">
        <f>IFERROR(INDEX(楼层配置!$G$5:$G$104,MATCH($K460,楼层配置!$B$5:$B$104,0)),1)</f>
        <v>1</v>
      </c>
      <c r="AD460" s="18">
        <f t="shared" si="59"/>
        <v>-0.56325010437164</v>
      </c>
      <c r="AE460" s="18">
        <f t="shared" si="60"/>
        <v>-0.402499098882614</v>
      </c>
      <c r="AF460" s="18">
        <f t="shared" si="61"/>
        <v>-0.0868636755823986</v>
      </c>
      <c r="AG460" s="16" t="str">
        <f t="shared" si="62"/>
        <v>有效</v>
      </c>
      <c r="AH460">
        <f t="shared" si="63"/>
        <v>6777449.900625</v>
      </c>
    </row>
    <row r="461" ht="14.25" customHeight="1" spans="1:34">
      <c r="A461" s="16">
        <v>457</v>
      </c>
      <c r="B461" s="16">
        <v>1013</v>
      </c>
      <c r="C461" s="16">
        <v>56</v>
      </c>
      <c r="D461" s="17">
        <f>IFERROR(ROUND($U461*$X461*$AA461*参数!$B$13,0),"")</f>
        <v>1634770</v>
      </c>
      <c r="E461" s="17">
        <f>IFERROR(ROUND($V461*$Y461*$AB461*参数!$C$13,0),"")</f>
        <v>35806</v>
      </c>
      <c r="F461" s="17">
        <f>IFERROR(ROUND($W461*$Z461*$AC461*参数!$D$13,0),"")</f>
        <v>28222</v>
      </c>
      <c r="G461" s="16">
        <v>3743035</v>
      </c>
      <c r="H461" s="16">
        <v>59925</v>
      </c>
      <c r="I461" s="16">
        <v>30907</v>
      </c>
      <c r="J461" s="16">
        <v>92</v>
      </c>
      <c r="K461" s="16">
        <v>92</v>
      </c>
      <c r="L461" s="16">
        <f>IFERROR(INDEX(楼层配置!$D$5:$D$104,MATCH($K461,楼层配置!$B$5:$B$104,0)),"")</f>
        <v>270</v>
      </c>
      <c r="M461" s="16" t="str">
        <f>IFERROR(INDEX(_角色基线!$B$2:$B$100,MATCH($B461,_角色基线!$A$2:$A$100,0)),"")</f>
        <v>夏缇拉</v>
      </c>
      <c r="N461" s="16" t="str">
        <f>IFERROR(INDEX(_角色基线!$C$2:$C$100,MATCH($B461,_角色基线!$A$2:$A$100,0)),"")</f>
        <v>DPS</v>
      </c>
      <c r="O461" s="16">
        <f>IFERROR(INDEX(_怪物基线!$B$2:$B$501,MATCH(INT($L461),_怪物基线!$A$2:$A$501,0)),"")</f>
        <v>359868</v>
      </c>
      <c r="P461" s="16">
        <f>IFERROR(INDEX(_怪物基线!$C$2:$C$501,MATCH(INT($L461),_怪物基线!$A$2:$A$501,0)),"")</f>
        <v>34326</v>
      </c>
      <c r="Q461" s="16">
        <f>IFERROR(INDEX(_怪物基线!$D$2:$D$501,MATCH(INT($L461),_怪物基线!$A$2:$A$501,0)),"")</f>
        <v>28222</v>
      </c>
      <c r="R461" s="16">
        <f>参数!$B$10</f>
        <v>4</v>
      </c>
      <c r="S461" s="16">
        <f>参数!$C$10</f>
        <v>1.2</v>
      </c>
      <c r="T461" s="16">
        <f>参数!$D$10</f>
        <v>1</v>
      </c>
      <c r="U461" s="16">
        <f t="shared" si="56"/>
        <v>1439472</v>
      </c>
      <c r="V461" s="16">
        <f t="shared" si="57"/>
        <v>41191.2</v>
      </c>
      <c r="W461" s="16">
        <f t="shared" si="58"/>
        <v>28222</v>
      </c>
      <c r="X461" s="16">
        <f>IFERROR(INDEX(参数!$B$5:$B$7,MATCH($N461,参数!$A$5:$A$7,0)),"")</f>
        <v>1</v>
      </c>
      <c r="Y461" s="16">
        <f>IFERROR(INDEX(参数!$C$5:$C$7,MATCH($N461,参数!$A$5:$A$7,0)),"")</f>
        <v>1.2</v>
      </c>
      <c r="Z461" s="16">
        <f>IFERROR(INDEX(参数!$D$5:$D$7,MATCH($N461,参数!$A$5:$A$7,0)),"")</f>
        <v>1</v>
      </c>
      <c r="AA461" s="16">
        <f>IFERROR(INDEX(楼层配置!$E$5:$E$104,MATCH($K461,楼层配置!$B$5:$B$104,0)),1)</f>
        <v>1.13567320674374</v>
      </c>
      <c r="AB461" s="16">
        <f>IFERROR(INDEX(楼层配置!$F$5:$F$104,MATCH($K461,楼层配置!$B$5:$B$104,0)),1)</f>
        <v>0.724379195372715</v>
      </c>
      <c r="AC461" s="16">
        <f>IFERROR(INDEX(楼层配置!$G$5:$G$104,MATCH($K461,楼层配置!$B$5:$B$104,0)),1)</f>
        <v>1</v>
      </c>
      <c r="AD461" s="18">
        <f t="shared" si="59"/>
        <v>-0.563250143266093</v>
      </c>
      <c r="AE461" s="18">
        <f t="shared" si="60"/>
        <v>-0.402486441385065</v>
      </c>
      <c r="AF461" s="18">
        <f t="shared" si="61"/>
        <v>-0.086873523797198</v>
      </c>
      <c r="AG461" s="16" t="str">
        <f t="shared" si="62"/>
        <v>有效</v>
      </c>
      <c r="AH461">
        <f t="shared" si="63"/>
        <v>3557123.28916667</v>
      </c>
    </row>
    <row r="462" ht="14.25" customHeight="1" spans="1:34">
      <c r="A462" s="16">
        <v>458</v>
      </c>
      <c r="B462" s="16">
        <v>1007</v>
      </c>
      <c r="C462" s="16">
        <v>56</v>
      </c>
      <c r="D462" s="17">
        <f>IFERROR(ROUND($U462*$X462*$AA462*参数!$B$13,0),"")</f>
        <v>2043462</v>
      </c>
      <c r="E462" s="17">
        <f>IFERROR(ROUND($V462*$Y462*$AB462*参数!$C$13,0),"")</f>
        <v>29838</v>
      </c>
      <c r="F462" s="17">
        <f>IFERROR(ROUND($W462*$Z462*$AC462*参数!$D$13,0),"")</f>
        <v>35278</v>
      </c>
      <c r="G462" s="16">
        <v>4678794</v>
      </c>
      <c r="H462" s="16">
        <v>49938</v>
      </c>
      <c r="I462" s="16">
        <v>38634</v>
      </c>
      <c r="J462" s="16">
        <v>92</v>
      </c>
      <c r="K462" s="16">
        <v>92</v>
      </c>
      <c r="L462" s="16">
        <f>IFERROR(INDEX(楼层配置!$D$5:$D$104,MATCH($K462,楼层配置!$B$5:$B$104,0)),"")</f>
        <v>270</v>
      </c>
      <c r="M462" s="16" t="str">
        <f>IFERROR(INDEX(_角色基线!$B$2:$B$100,MATCH($B462,_角色基线!$A$2:$A$100,0)),"")</f>
        <v>萨萨莉安</v>
      </c>
      <c r="N462" s="16" t="str">
        <f>IFERROR(INDEX(_角色基线!$C$2:$C$100,MATCH($B462,_角色基线!$A$2:$A$100,0)),"")</f>
        <v>Support</v>
      </c>
      <c r="O462" s="16">
        <f>IFERROR(INDEX(_怪物基线!$B$2:$B$501,MATCH(INT($L462),_怪物基线!$A$2:$A$501,0)),"")</f>
        <v>359868</v>
      </c>
      <c r="P462" s="16">
        <f>IFERROR(INDEX(_怪物基线!$C$2:$C$501,MATCH(INT($L462),_怪物基线!$A$2:$A$501,0)),"")</f>
        <v>34326</v>
      </c>
      <c r="Q462" s="16">
        <f>IFERROR(INDEX(_怪物基线!$D$2:$D$501,MATCH(INT($L462),_怪物基线!$A$2:$A$501,0)),"")</f>
        <v>28222</v>
      </c>
      <c r="R462" s="16">
        <f>参数!$B$10</f>
        <v>4</v>
      </c>
      <c r="S462" s="16">
        <f>参数!$C$10</f>
        <v>1.2</v>
      </c>
      <c r="T462" s="16">
        <f>参数!$D$10</f>
        <v>1</v>
      </c>
      <c r="U462" s="16">
        <f t="shared" si="56"/>
        <v>1439472</v>
      </c>
      <c r="V462" s="16">
        <f t="shared" si="57"/>
        <v>41191.2</v>
      </c>
      <c r="W462" s="16">
        <f t="shared" si="58"/>
        <v>28222</v>
      </c>
      <c r="X462" s="16">
        <f>IFERROR(INDEX(参数!$B$5:$B$7,MATCH($N462,参数!$A$5:$A$7,0)),"")</f>
        <v>1.25</v>
      </c>
      <c r="Y462" s="16">
        <f>IFERROR(INDEX(参数!$C$5:$C$7,MATCH($N462,参数!$A$5:$A$7,0)),"")</f>
        <v>1</v>
      </c>
      <c r="Z462" s="16">
        <f>IFERROR(INDEX(参数!$D$5:$D$7,MATCH($N462,参数!$A$5:$A$7,0)),"")</f>
        <v>1.25</v>
      </c>
      <c r="AA462" s="16">
        <f>IFERROR(INDEX(楼层配置!$E$5:$E$104,MATCH($K462,楼层配置!$B$5:$B$104,0)),1)</f>
        <v>1.13567320674374</v>
      </c>
      <c r="AB462" s="16">
        <f>IFERROR(INDEX(楼层配置!$F$5:$F$104,MATCH($K462,楼层配置!$B$5:$B$104,0)),1)</f>
        <v>0.724379195372715</v>
      </c>
      <c r="AC462" s="16">
        <f>IFERROR(INDEX(楼层配置!$G$5:$G$104,MATCH($K462,楼层配置!$B$5:$B$104,0)),1)</f>
        <v>1</v>
      </c>
      <c r="AD462" s="18">
        <f t="shared" si="59"/>
        <v>-0.563250273467906</v>
      </c>
      <c r="AE462" s="18">
        <f t="shared" si="60"/>
        <v>-0.402499098882614</v>
      </c>
      <c r="AF462" s="18">
        <f t="shared" si="61"/>
        <v>-0.0868664906558989</v>
      </c>
      <c r="AG462" s="16" t="str">
        <f t="shared" si="62"/>
        <v>有效</v>
      </c>
      <c r="AH462">
        <f t="shared" si="63"/>
        <v>5047180.8515</v>
      </c>
    </row>
    <row r="463" ht="14.25" customHeight="1" spans="1:34">
      <c r="A463" s="16">
        <v>459</v>
      </c>
      <c r="B463" s="16">
        <v>1005</v>
      </c>
      <c r="C463" s="16">
        <v>56</v>
      </c>
      <c r="D463" s="17">
        <f>IFERROR(ROUND($U463*$X463*$AA463*参数!$B$13,0),"")</f>
        <v>1634770</v>
      </c>
      <c r="E463" s="17">
        <f>IFERROR(ROUND($V463*$Y463*$AB463*参数!$C$13,0),"")</f>
        <v>35806</v>
      </c>
      <c r="F463" s="17">
        <f>IFERROR(ROUND($W463*$Z463*$AC463*参数!$D$13,0),"")</f>
        <v>28222</v>
      </c>
      <c r="G463" s="16">
        <v>3743035</v>
      </c>
      <c r="H463" s="16">
        <v>59925</v>
      </c>
      <c r="I463" s="16">
        <v>30907</v>
      </c>
      <c r="J463" s="16">
        <v>92</v>
      </c>
      <c r="K463" s="16">
        <v>92</v>
      </c>
      <c r="L463" s="16">
        <f>IFERROR(INDEX(楼层配置!$D$5:$D$104,MATCH($K463,楼层配置!$B$5:$B$104,0)),"")</f>
        <v>270</v>
      </c>
      <c r="M463" s="16" t="str">
        <f>IFERROR(INDEX(_角色基线!$B$2:$B$100,MATCH($B463,_角色基线!$A$2:$A$100,0)),"")</f>
        <v>陈单单</v>
      </c>
      <c r="N463" s="16" t="str">
        <f>IFERROR(INDEX(_角色基线!$C$2:$C$100,MATCH($B463,_角色基线!$A$2:$A$100,0)),"")</f>
        <v>DPS</v>
      </c>
      <c r="O463" s="16">
        <f>IFERROR(INDEX(_怪物基线!$B$2:$B$501,MATCH(INT($L463),_怪物基线!$A$2:$A$501,0)),"")</f>
        <v>359868</v>
      </c>
      <c r="P463" s="16">
        <f>IFERROR(INDEX(_怪物基线!$C$2:$C$501,MATCH(INT($L463),_怪物基线!$A$2:$A$501,0)),"")</f>
        <v>34326</v>
      </c>
      <c r="Q463" s="16">
        <f>IFERROR(INDEX(_怪物基线!$D$2:$D$501,MATCH(INT($L463),_怪物基线!$A$2:$A$501,0)),"")</f>
        <v>28222</v>
      </c>
      <c r="R463" s="16">
        <f>参数!$B$10</f>
        <v>4</v>
      </c>
      <c r="S463" s="16">
        <f>参数!$C$10</f>
        <v>1.2</v>
      </c>
      <c r="T463" s="16">
        <f>参数!$D$10</f>
        <v>1</v>
      </c>
      <c r="U463" s="16">
        <f t="shared" si="56"/>
        <v>1439472</v>
      </c>
      <c r="V463" s="16">
        <f t="shared" si="57"/>
        <v>41191.2</v>
      </c>
      <c r="W463" s="16">
        <f t="shared" si="58"/>
        <v>28222</v>
      </c>
      <c r="X463" s="16">
        <f>IFERROR(INDEX(参数!$B$5:$B$7,MATCH($N463,参数!$A$5:$A$7,0)),"")</f>
        <v>1</v>
      </c>
      <c r="Y463" s="16">
        <f>IFERROR(INDEX(参数!$C$5:$C$7,MATCH($N463,参数!$A$5:$A$7,0)),"")</f>
        <v>1.2</v>
      </c>
      <c r="Z463" s="16">
        <f>IFERROR(INDEX(参数!$D$5:$D$7,MATCH($N463,参数!$A$5:$A$7,0)),"")</f>
        <v>1</v>
      </c>
      <c r="AA463" s="16">
        <f>IFERROR(INDEX(楼层配置!$E$5:$E$104,MATCH($K463,楼层配置!$B$5:$B$104,0)),1)</f>
        <v>1.13567320674374</v>
      </c>
      <c r="AB463" s="16">
        <f>IFERROR(INDEX(楼层配置!$F$5:$F$104,MATCH($K463,楼层配置!$B$5:$B$104,0)),1)</f>
        <v>0.724379195372715</v>
      </c>
      <c r="AC463" s="16">
        <f>IFERROR(INDEX(楼层配置!$G$5:$G$104,MATCH($K463,楼层配置!$B$5:$B$104,0)),1)</f>
        <v>1</v>
      </c>
      <c r="AD463" s="18">
        <f t="shared" si="59"/>
        <v>-0.563250143266093</v>
      </c>
      <c r="AE463" s="18">
        <f t="shared" si="60"/>
        <v>-0.402486441385065</v>
      </c>
      <c r="AF463" s="18">
        <f t="shared" si="61"/>
        <v>-0.086873523797198</v>
      </c>
      <c r="AG463" s="16" t="str">
        <f t="shared" si="62"/>
        <v>有效</v>
      </c>
      <c r="AH463">
        <f t="shared" si="63"/>
        <v>3557123.28916667</v>
      </c>
    </row>
    <row r="464" ht="14.25" customHeight="1" spans="1:34">
      <c r="A464" s="16">
        <v>460</v>
      </c>
      <c r="B464" s="16">
        <v>1013</v>
      </c>
      <c r="C464" s="16">
        <v>56</v>
      </c>
      <c r="D464" s="17">
        <f>IFERROR(ROUND($U464*$X464*$AA464*参数!$B$13,0),"")</f>
        <v>1634770</v>
      </c>
      <c r="E464" s="17">
        <f>IFERROR(ROUND($V464*$Y464*$AB464*参数!$C$13,0),"")</f>
        <v>35806</v>
      </c>
      <c r="F464" s="17">
        <f>IFERROR(ROUND($W464*$Z464*$AC464*参数!$D$13,0),"")</f>
        <v>28222</v>
      </c>
      <c r="G464" s="16">
        <v>3743035</v>
      </c>
      <c r="H464" s="16">
        <v>59925</v>
      </c>
      <c r="I464" s="16">
        <v>30907</v>
      </c>
      <c r="J464" s="16">
        <v>92</v>
      </c>
      <c r="K464" s="16">
        <v>92</v>
      </c>
      <c r="L464" s="16">
        <f>IFERROR(INDEX(楼层配置!$D$5:$D$104,MATCH($K464,楼层配置!$B$5:$B$104,0)),"")</f>
        <v>270</v>
      </c>
      <c r="M464" s="16" t="str">
        <f>IFERROR(INDEX(_角色基线!$B$2:$B$100,MATCH($B464,_角色基线!$A$2:$A$100,0)),"")</f>
        <v>夏缇拉</v>
      </c>
      <c r="N464" s="16" t="str">
        <f>IFERROR(INDEX(_角色基线!$C$2:$C$100,MATCH($B464,_角色基线!$A$2:$A$100,0)),"")</f>
        <v>DPS</v>
      </c>
      <c r="O464" s="16">
        <f>IFERROR(INDEX(_怪物基线!$B$2:$B$501,MATCH(INT($L464),_怪物基线!$A$2:$A$501,0)),"")</f>
        <v>359868</v>
      </c>
      <c r="P464" s="16">
        <f>IFERROR(INDEX(_怪物基线!$C$2:$C$501,MATCH(INT($L464),_怪物基线!$A$2:$A$501,0)),"")</f>
        <v>34326</v>
      </c>
      <c r="Q464" s="16">
        <f>IFERROR(INDEX(_怪物基线!$D$2:$D$501,MATCH(INT($L464),_怪物基线!$A$2:$A$501,0)),"")</f>
        <v>28222</v>
      </c>
      <c r="R464" s="16">
        <f>参数!$B$10</f>
        <v>4</v>
      </c>
      <c r="S464" s="16">
        <f>参数!$C$10</f>
        <v>1.2</v>
      </c>
      <c r="T464" s="16">
        <f>参数!$D$10</f>
        <v>1</v>
      </c>
      <c r="U464" s="16">
        <f t="shared" si="56"/>
        <v>1439472</v>
      </c>
      <c r="V464" s="16">
        <f t="shared" si="57"/>
        <v>41191.2</v>
      </c>
      <c r="W464" s="16">
        <f t="shared" si="58"/>
        <v>28222</v>
      </c>
      <c r="X464" s="16">
        <f>IFERROR(INDEX(参数!$B$5:$B$7,MATCH($N464,参数!$A$5:$A$7,0)),"")</f>
        <v>1</v>
      </c>
      <c r="Y464" s="16">
        <f>IFERROR(INDEX(参数!$C$5:$C$7,MATCH($N464,参数!$A$5:$A$7,0)),"")</f>
        <v>1.2</v>
      </c>
      <c r="Z464" s="16">
        <f>IFERROR(INDEX(参数!$D$5:$D$7,MATCH($N464,参数!$A$5:$A$7,0)),"")</f>
        <v>1</v>
      </c>
      <c r="AA464" s="16">
        <f>IFERROR(INDEX(楼层配置!$E$5:$E$104,MATCH($K464,楼层配置!$B$5:$B$104,0)),1)</f>
        <v>1.13567320674374</v>
      </c>
      <c r="AB464" s="16">
        <f>IFERROR(INDEX(楼层配置!$F$5:$F$104,MATCH($K464,楼层配置!$B$5:$B$104,0)),1)</f>
        <v>0.724379195372715</v>
      </c>
      <c r="AC464" s="16">
        <f>IFERROR(INDEX(楼层配置!$G$5:$G$104,MATCH($K464,楼层配置!$B$5:$B$104,0)),1)</f>
        <v>1</v>
      </c>
      <c r="AD464" s="18">
        <f t="shared" si="59"/>
        <v>-0.563250143266093</v>
      </c>
      <c r="AE464" s="18">
        <f t="shared" si="60"/>
        <v>-0.402486441385065</v>
      </c>
      <c r="AF464" s="18">
        <f t="shared" si="61"/>
        <v>-0.086873523797198</v>
      </c>
      <c r="AG464" s="16" t="str">
        <f t="shared" si="62"/>
        <v>有效</v>
      </c>
      <c r="AH464">
        <f t="shared" si="63"/>
        <v>3557123.28916667</v>
      </c>
    </row>
    <row r="465" ht="14.25" customHeight="1" spans="1:34">
      <c r="A465" s="16">
        <v>461</v>
      </c>
      <c r="B465" s="16">
        <v>1004</v>
      </c>
      <c r="C465" s="16">
        <v>56</v>
      </c>
      <c r="D465" s="17">
        <f>IFERROR(ROUND($U465*$X465*$AA465*参数!$B$13,0),"")</f>
        <v>2495233</v>
      </c>
      <c r="E465" s="17">
        <f>IFERROR(ROUND($V465*$Y465*$AB465*参数!$C$13,0),"")</f>
        <v>30303</v>
      </c>
      <c r="F465" s="17">
        <f>IFERROR(ROUND($W465*$Z465*$AC465*参数!$D$13,0),"")</f>
        <v>42740</v>
      </c>
      <c r="G465" s="16">
        <v>5784912</v>
      </c>
      <c r="H465" s="16">
        <v>51214</v>
      </c>
      <c r="I465" s="16">
        <v>47054</v>
      </c>
      <c r="J465" s="16">
        <v>93</v>
      </c>
      <c r="K465" s="16">
        <v>93</v>
      </c>
      <c r="L465" s="16">
        <f>IFERROR(INDEX(楼层配置!$D$5:$D$104,MATCH($K465,楼层配置!$B$5:$B$104,0)),"")</f>
        <v>272</v>
      </c>
      <c r="M465" s="16" t="str">
        <f>IFERROR(INDEX(_角色基线!$B$2:$B$100,MATCH($B465,_角色基线!$A$2:$A$100,0)),"")</f>
        <v>阿芭</v>
      </c>
      <c r="N465" s="16" t="str">
        <f>IFERROR(INDEX(_角色基线!$C$2:$C$100,MATCH($B465,_角色基线!$A$2:$A$100,0)),"")</f>
        <v>Tank</v>
      </c>
      <c r="O465" s="16">
        <f>IFERROR(INDEX(_怪物基线!$B$2:$B$501,MATCH(INT($L465),_怪物基线!$A$2:$A$501,0)),"")</f>
        <v>367119</v>
      </c>
      <c r="P465" s="16">
        <f>IFERROR(INDEX(_怪物基线!$C$2:$C$501,MATCH(INT($L465),_怪物基线!$A$2:$A$501,0)),"")</f>
        <v>34841</v>
      </c>
      <c r="Q465" s="16">
        <f>IFERROR(INDEX(_怪物基线!$D$2:$D$501,MATCH(INT($L465),_怪物基线!$A$2:$A$501,0)),"")</f>
        <v>28493</v>
      </c>
      <c r="R465" s="16">
        <f>参数!$B$10</f>
        <v>4</v>
      </c>
      <c r="S465" s="16">
        <f>参数!$C$10</f>
        <v>1.2</v>
      </c>
      <c r="T465" s="16">
        <f>参数!$D$10</f>
        <v>1</v>
      </c>
      <c r="U465" s="16">
        <f t="shared" si="56"/>
        <v>1468476</v>
      </c>
      <c r="V465" s="16">
        <f t="shared" si="57"/>
        <v>41809.2</v>
      </c>
      <c r="W465" s="16">
        <f t="shared" si="58"/>
        <v>28493</v>
      </c>
      <c r="X465" s="16">
        <f>IFERROR(INDEX(参数!$B$5:$B$7,MATCH($N465,参数!$A$5:$A$7,0)),"")</f>
        <v>1.5</v>
      </c>
      <c r="Y465" s="16">
        <f>IFERROR(INDEX(参数!$C$5:$C$7,MATCH($N465,参数!$A$5:$A$7,0)),"")</f>
        <v>1</v>
      </c>
      <c r="Z465" s="16">
        <f>IFERROR(INDEX(参数!$D$5:$D$7,MATCH($N465,参数!$A$5:$A$7,0)),"")</f>
        <v>1.5</v>
      </c>
      <c r="AA465" s="16">
        <f>IFERROR(INDEX(楼层配置!$E$5:$E$104,MATCH($K465,楼层配置!$B$5:$B$104,0)),1)</f>
        <v>1.13279943448747</v>
      </c>
      <c r="AB465" s="16">
        <f>IFERROR(INDEX(楼层配置!$F$5:$F$104,MATCH($K465,楼层配置!$B$5:$B$104,0)),1)</f>
        <v>0.724781133547875</v>
      </c>
      <c r="AC465" s="16">
        <f>IFERROR(INDEX(楼层配置!$G$5:$G$104,MATCH($K465,楼层配置!$B$5:$B$104,0)),1)</f>
        <v>1</v>
      </c>
      <c r="AD465" s="18">
        <f t="shared" si="59"/>
        <v>-0.568665348755521</v>
      </c>
      <c r="AE465" s="18">
        <f t="shared" si="60"/>
        <v>-0.408306322489944</v>
      </c>
      <c r="AF465" s="18">
        <f t="shared" si="61"/>
        <v>-0.091681897394483</v>
      </c>
      <c r="AG465" s="16" t="str">
        <f t="shared" si="62"/>
        <v>有效</v>
      </c>
      <c r="AH465">
        <f t="shared" si="63"/>
        <v>6938827.10083333</v>
      </c>
    </row>
    <row r="466" ht="14.25" customHeight="1" spans="1:34">
      <c r="A466" s="16">
        <v>462</v>
      </c>
      <c r="B466" s="16">
        <v>1006</v>
      </c>
      <c r="C466" s="16">
        <v>56</v>
      </c>
      <c r="D466" s="17">
        <f>IFERROR(ROUND($U466*$X466*$AA466*参数!$B$13,0),"")</f>
        <v>1663489</v>
      </c>
      <c r="E466" s="17">
        <f>IFERROR(ROUND($V466*$Y466*$AB466*参数!$C$13,0),"")</f>
        <v>36363</v>
      </c>
      <c r="F466" s="17">
        <f>IFERROR(ROUND($W466*$Z466*$AC466*参数!$D$13,0),"")</f>
        <v>28493</v>
      </c>
      <c r="G466" s="16">
        <v>3856608</v>
      </c>
      <c r="H466" s="16">
        <v>61456</v>
      </c>
      <c r="I466" s="16">
        <v>31369</v>
      </c>
      <c r="J466" s="16">
        <v>93</v>
      </c>
      <c r="K466" s="16">
        <v>93</v>
      </c>
      <c r="L466" s="16">
        <f>IFERROR(INDEX(楼层配置!$D$5:$D$104,MATCH($K466,楼层配置!$B$5:$B$104,0)),"")</f>
        <v>272</v>
      </c>
      <c r="M466" s="16" t="str">
        <f>IFERROR(INDEX(_角色基线!$B$2:$B$100,MATCH($B466,_角色基线!$A$2:$A$100,0)),"")</f>
        <v>莉莉娅</v>
      </c>
      <c r="N466" s="16" t="str">
        <f>IFERROR(INDEX(_角色基线!$C$2:$C$100,MATCH($B466,_角色基线!$A$2:$A$100,0)),"")</f>
        <v>DPS</v>
      </c>
      <c r="O466" s="16">
        <f>IFERROR(INDEX(_怪物基线!$B$2:$B$501,MATCH(INT($L466),_怪物基线!$A$2:$A$501,0)),"")</f>
        <v>367119</v>
      </c>
      <c r="P466" s="16">
        <f>IFERROR(INDEX(_怪物基线!$C$2:$C$501,MATCH(INT($L466),_怪物基线!$A$2:$A$501,0)),"")</f>
        <v>34841</v>
      </c>
      <c r="Q466" s="16">
        <f>IFERROR(INDEX(_怪物基线!$D$2:$D$501,MATCH(INT($L466),_怪物基线!$A$2:$A$501,0)),"")</f>
        <v>28493</v>
      </c>
      <c r="R466" s="16">
        <f>参数!$B$10</f>
        <v>4</v>
      </c>
      <c r="S466" s="16">
        <f>参数!$C$10</f>
        <v>1.2</v>
      </c>
      <c r="T466" s="16">
        <f>参数!$D$10</f>
        <v>1</v>
      </c>
      <c r="U466" s="16">
        <f t="shared" si="56"/>
        <v>1468476</v>
      </c>
      <c r="V466" s="16">
        <f t="shared" si="57"/>
        <v>41809.2</v>
      </c>
      <c r="W466" s="16">
        <f t="shared" si="58"/>
        <v>28493</v>
      </c>
      <c r="X466" s="16">
        <f>IFERROR(INDEX(参数!$B$5:$B$7,MATCH($N466,参数!$A$5:$A$7,0)),"")</f>
        <v>1</v>
      </c>
      <c r="Y466" s="16">
        <f>IFERROR(INDEX(参数!$C$5:$C$7,MATCH($N466,参数!$A$5:$A$7,0)),"")</f>
        <v>1.2</v>
      </c>
      <c r="Z466" s="16">
        <f>IFERROR(INDEX(参数!$D$5:$D$7,MATCH($N466,参数!$A$5:$A$7,0)),"")</f>
        <v>1</v>
      </c>
      <c r="AA466" s="16">
        <f>IFERROR(INDEX(楼层配置!$E$5:$E$104,MATCH($K466,楼层配置!$B$5:$B$104,0)),1)</f>
        <v>1.13279943448747</v>
      </c>
      <c r="AB466" s="16">
        <f>IFERROR(INDEX(楼层配置!$F$5:$F$104,MATCH($K466,楼层配置!$B$5:$B$104,0)),1)</f>
        <v>0.724781133547875</v>
      </c>
      <c r="AC466" s="16">
        <f>IFERROR(INDEX(楼层配置!$G$5:$G$104,MATCH($K466,楼层配置!$B$5:$B$104,0)),1)</f>
        <v>1</v>
      </c>
      <c r="AD466" s="18">
        <f t="shared" si="59"/>
        <v>-0.568665262323783</v>
      </c>
      <c r="AE466" s="18">
        <f t="shared" si="60"/>
        <v>-0.408308383233533</v>
      </c>
      <c r="AF466" s="18">
        <f t="shared" si="61"/>
        <v>-0.0916828716248526</v>
      </c>
      <c r="AG466" s="16" t="str">
        <f t="shared" si="62"/>
        <v>有效</v>
      </c>
      <c r="AH466">
        <f t="shared" si="63"/>
        <v>3638397.00320833</v>
      </c>
    </row>
    <row r="467" ht="14.25" customHeight="1" spans="1:34">
      <c r="A467" s="16">
        <v>463</v>
      </c>
      <c r="B467" s="16">
        <v>1017</v>
      </c>
      <c r="C467" s="16">
        <v>56</v>
      </c>
      <c r="D467" s="17">
        <f>IFERROR(ROUND($U467*$X467*$AA467*参数!$B$13,0),"")</f>
        <v>1663489</v>
      </c>
      <c r="E467" s="17">
        <f>IFERROR(ROUND($V467*$Y467*$AB467*参数!$C$13,0),"")</f>
        <v>36363</v>
      </c>
      <c r="F467" s="17">
        <f>IFERROR(ROUND($W467*$Z467*$AC467*参数!$D$13,0),"")</f>
        <v>28493</v>
      </c>
      <c r="G467" s="16">
        <v>3856608</v>
      </c>
      <c r="H467" s="16">
        <v>61456</v>
      </c>
      <c r="I467" s="16">
        <v>31369</v>
      </c>
      <c r="J467" s="16">
        <v>93</v>
      </c>
      <c r="K467" s="16">
        <v>93</v>
      </c>
      <c r="L467" s="16">
        <f>IFERROR(INDEX(楼层配置!$D$5:$D$104,MATCH($K467,楼层配置!$B$5:$B$104,0)),"")</f>
        <v>272</v>
      </c>
      <c r="M467" s="16" t="str">
        <f>IFERROR(INDEX(_角色基线!$B$2:$B$100,MATCH($B467,_角色基线!$A$2:$A$100,0)),"")</f>
        <v>伊戈尔</v>
      </c>
      <c r="N467" s="16" t="str">
        <f>IFERROR(INDEX(_角色基线!$C$2:$C$100,MATCH($B467,_角色基线!$A$2:$A$100,0)),"")</f>
        <v>DPS</v>
      </c>
      <c r="O467" s="16">
        <f>IFERROR(INDEX(_怪物基线!$B$2:$B$501,MATCH(INT($L467),_怪物基线!$A$2:$A$501,0)),"")</f>
        <v>367119</v>
      </c>
      <c r="P467" s="16">
        <f>IFERROR(INDEX(_怪物基线!$C$2:$C$501,MATCH(INT($L467),_怪物基线!$A$2:$A$501,0)),"")</f>
        <v>34841</v>
      </c>
      <c r="Q467" s="16">
        <f>IFERROR(INDEX(_怪物基线!$D$2:$D$501,MATCH(INT($L467),_怪物基线!$A$2:$A$501,0)),"")</f>
        <v>28493</v>
      </c>
      <c r="R467" s="16">
        <f>参数!$B$10</f>
        <v>4</v>
      </c>
      <c r="S467" s="16">
        <f>参数!$C$10</f>
        <v>1.2</v>
      </c>
      <c r="T467" s="16">
        <f>参数!$D$10</f>
        <v>1</v>
      </c>
      <c r="U467" s="16">
        <f t="shared" si="56"/>
        <v>1468476</v>
      </c>
      <c r="V467" s="16">
        <f t="shared" si="57"/>
        <v>41809.2</v>
      </c>
      <c r="W467" s="16">
        <f t="shared" si="58"/>
        <v>28493</v>
      </c>
      <c r="X467" s="16">
        <f>IFERROR(INDEX(参数!$B$5:$B$7,MATCH($N467,参数!$A$5:$A$7,0)),"")</f>
        <v>1</v>
      </c>
      <c r="Y467" s="16">
        <f>IFERROR(INDEX(参数!$C$5:$C$7,MATCH($N467,参数!$A$5:$A$7,0)),"")</f>
        <v>1.2</v>
      </c>
      <c r="Z467" s="16">
        <f>IFERROR(INDEX(参数!$D$5:$D$7,MATCH($N467,参数!$A$5:$A$7,0)),"")</f>
        <v>1</v>
      </c>
      <c r="AA467" s="16">
        <f>IFERROR(INDEX(楼层配置!$E$5:$E$104,MATCH($K467,楼层配置!$B$5:$B$104,0)),1)</f>
        <v>1.13279943448747</v>
      </c>
      <c r="AB467" s="16">
        <f>IFERROR(INDEX(楼层配置!$F$5:$F$104,MATCH($K467,楼层配置!$B$5:$B$104,0)),1)</f>
        <v>0.724781133547875</v>
      </c>
      <c r="AC467" s="16">
        <f>IFERROR(INDEX(楼层配置!$G$5:$G$104,MATCH($K467,楼层配置!$B$5:$B$104,0)),1)</f>
        <v>1</v>
      </c>
      <c r="AD467" s="18">
        <f t="shared" si="59"/>
        <v>-0.568665262323783</v>
      </c>
      <c r="AE467" s="18">
        <f t="shared" si="60"/>
        <v>-0.408308383233533</v>
      </c>
      <c r="AF467" s="18">
        <f t="shared" si="61"/>
        <v>-0.0916828716248526</v>
      </c>
      <c r="AG467" s="16" t="str">
        <f t="shared" si="62"/>
        <v>有效</v>
      </c>
      <c r="AH467">
        <f t="shared" si="63"/>
        <v>3638397.00320833</v>
      </c>
    </row>
    <row r="468" ht="14.25" customHeight="1" spans="1:34">
      <c r="A468" s="16">
        <v>464</v>
      </c>
      <c r="B468" s="16">
        <v>1007</v>
      </c>
      <c r="C468" s="16">
        <v>56</v>
      </c>
      <c r="D468" s="17">
        <f>IFERROR(ROUND($U468*$X468*$AA468*参数!$B$13,0),"")</f>
        <v>2079361</v>
      </c>
      <c r="E468" s="17">
        <f>IFERROR(ROUND($V468*$Y468*$AB468*参数!$C$13,0),"")</f>
        <v>30303</v>
      </c>
      <c r="F468" s="17">
        <f>IFERROR(ROUND($W468*$Z468*$AC468*参数!$D$13,0),"")</f>
        <v>35616</v>
      </c>
      <c r="G468" s="16">
        <v>4820760</v>
      </c>
      <c r="H468" s="16">
        <v>51214</v>
      </c>
      <c r="I468" s="16">
        <v>39212</v>
      </c>
      <c r="J468" s="16">
        <v>93</v>
      </c>
      <c r="K468" s="16">
        <v>93</v>
      </c>
      <c r="L468" s="16">
        <f>IFERROR(INDEX(楼层配置!$D$5:$D$104,MATCH($K468,楼层配置!$B$5:$B$104,0)),"")</f>
        <v>272</v>
      </c>
      <c r="M468" s="16" t="str">
        <f>IFERROR(INDEX(_角色基线!$B$2:$B$100,MATCH($B468,_角色基线!$A$2:$A$100,0)),"")</f>
        <v>萨萨莉安</v>
      </c>
      <c r="N468" s="16" t="str">
        <f>IFERROR(INDEX(_角色基线!$C$2:$C$100,MATCH($B468,_角色基线!$A$2:$A$100,0)),"")</f>
        <v>Support</v>
      </c>
      <c r="O468" s="16">
        <f>IFERROR(INDEX(_怪物基线!$B$2:$B$501,MATCH(INT($L468),_怪物基线!$A$2:$A$501,0)),"")</f>
        <v>367119</v>
      </c>
      <c r="P468" s="16">
        <f>IFERROR(INDEX(_怪物基线!$C$2:$C$501,MATCH(INT($L468),_怪物基线!$A$2:$A$501,0)),"")</f>
        <v>34841</v>
      </c>
      <c r="Q468" s="16">
        <f>IFERROR(INDEX(_怪物基线!$D$2:$D$501,MATCH(INT($L468),_怪物基线!$A$2:$A$501,0)),"")</f>
        <v>28493</v>
      </c>
      <c r="R468" s="16">
        <f>参数!$B$10</f>
        <v>4</v>
      </c>
      <c r="S468" s="16">
        <f>参数!$C$10</f>
        <v>1.2</v>
      </c>
      <c r="T468" s="16">
        <f>参数!$D$10</f>
        <v>1</v>
      </c>
      <c r="U468" s="16">
        <f t="shared" si="56"/>
        <v>1468476</v>
      </c>
      <c r="V468" s="16">
        <f t="shared" si="57"/>
        <v>41809.2</v>
      </c>
      <c r="W468" s="16">
        <f t="shared" si="58"/>
        <v>28493</v>
      </c>
      <c r="X468" s="16">
        <f>IFERROR(INDEX(参数!$B$5:$B$7,MATCH($N468,参数!$A$5:$A$7,0)),"")</f>
        <v>1.25</v>
      </c>
      <c r="Y468" s="16">
        <f>IFERROR(INDEX(参数!$C$5:$C$7,MATCH($N468,参数!$A$5:$A$7,0)),"")</f>
        <v>1</v>
      </c>
      <c r="Z468" s="16">
        <f>IFERROR(INDEX(参数!$D$5:$D$7,MATCH($N468,参数!$A$5:$A$7,0)),"")</f>
        <v>1.25</v>
      </c>
      <c r="AA468" s="16">
        <f>IFERROR(INDEX(楼层配置!$E$5:$E$104,MATCH($K468,楼层配置!$B$5:$B$104,0)),1)</f>
        <v>1.13279943448747</v>
      </c>
      <c r="AB468" s="16">
        <f>IFERROR(INDEX(楼层配置!$F$5:$F$104,MATCH($K468,楼层配置!$B$5:$B$104,0)),1)</f>
        <v>0.724781133547875</v>
      </c>
      <c r="AC468" s="16">
        <f>IFERROR(INDEX(楼层配置!$G$5:$G$104,MATCH($K468,楼层配置!$B$5:$B$104,0)),1)</f>
        <v>1</v>
      </c>
      <c r="AD468" s="18">
        <f t="shared" si="59"/>
        <v>-0.568665314182826</v>
      </c>
      <c r="AE468" s="18">
        <f t="shared" si="60"/>
        <v>-0.408306322489944</v>
      </c>
      <c r="AF468" s="18">
        <f t="shared" si="61"/>
        <v>-0.0917066204223197</v>
      </c>
      <c r="AG468" s="16" t="str">
        <f t="shared" si="62"/>
        <v>有效</v>
      </c>
      <c r="AH468">
        <f t="shared" si="63"/>
        <v>5165132.724</v>
      </c>
    </row>
    <row r="469" ht="14.25" customHeight="1" spans="1:34">
      <c r="A469" s="16">
        <v>465</v>
      </c>
      <c r="B469" s="16">
        <v>1013</v>
      </c>
      <c r="C469" s="16">
        <v>56</v>
      </c>
      <c r="D469" s="17">
        <f>IFERROR(ROUND($U469*$X469*$AA469*参数!$B$13,0),"")</f>
        <v>1663489</v>
      </c>
      <c r="E469" s="17">
        <f>IFERROR(ROUND($V469*$Y469*$AB469*参数!$C$13,0),"")</f>
        <v>36363</v>
      </c>
      <c r="F469" s="17">
        <f>IFERROR(ROUND($W469*$Z469*$AC469*参数!$D$13,0),"")</f>
        <v>28493</v>
      </c>
      <c r="G469" s="16">
        <v>3856608</v>
      </c>
      <c r="H469" s="16">
        <v>61456</v>
      </c>
      <c r="I469" s="16">
        <v>31369</v>
      </c>
      <c r="J469" s="16">
        <v>93</v>
      </c>
      <c r="K469" s="16">
        <v>93</v>
      </c>
      <c r="L469" s="16">
        <f>IFERROR(INDEX(楼层配置!$D$5:$D$104,MATCH($K469,楼层配置!$B$5:$B$104,0)),"")</f>
        <v>272</v>
      </c>
      <c r="M469" s="16" t="str">
        <f>IFERROR(INDEX(_角色基线!$B$2:$B$100,MATCH($B469,_角色基线!$A$2:$A$100,0)),"")</f>
        <v>夏缇拉</v>
      </c>
      <c r="N469" s="16" t="str">
        <f>IFERROR(INDEX(_角色基线!$C$2:$C$100,MATCH($B469,_角色基线!$A$2:$A$100,0)),"")</f>
        <v>DPS</v>
      </c>
      <c r="O469" s="16">
        <f>IFERROR(INDEX(_怪物基线!$B$2:$B$501,MATCH(INT($L469),_怪物基线!$A$2:$A$501,0)),"")</f>
        <v>367119</v>
      </c>
      <c r="P469" s="16">
        <f>IFERROR(INDEX(_怪物基线!$C$2:$C$501,MATCH(INT($L469),_怪物基线!$A$2:$A$501,0)),"")</f>
        <v>34841</v>
      </c>
      <c r="Q469" s="16">
        <f>IFERROR(INDEX(_怪物基线!$D$2:$D$501,MATCH(INT($L469),_怪物基线!$A$2:$A$501,0)),"")</f>
        <v>28493</v>
      </c>
      <c r="R469" s="16">
        <f>参数!$B$10</f>
        <v>4</v>
      </c>
      <c r="S469" s="16">
        <f>参数!$C$10</f>
        <v>1.2</v>
      </c>
      <c r="T469" s="16">
        <f>参数!$D$10</f>
        <v>1</v>
      </c>
      <c r="U469" s="16">
        <f t="shared" si="56"/>
        <v>1468476</v>
      </c>
      <c r="V469" s="16">
        <f t="shared" si="57"/>
        <v>41809.2</v>
      </c>
      <c r="W469" s="16">
        <f t="shared" si="58"/>
        <v>28493</v>
      </c>
      <c r="X469" s="16">
        <f>IFERROR(INDEX(参数!$B$5:$B$7,MATCH($N469,参数!$A$5:$A$7,0)),"")</f>
        <v>1</v>
      </c>
      <c r="Y469" s="16">
        <f>IFERROR(INDEX(参数!$C$5:$C$7,MATCH($N469,参数!$A$5:$A$7,0)),"")</f>
        <v>1.2</v>
      </c>
      <c r="Z469" s="16">
        <f>IFERROR(INDEX(参数!$D$5:$D$7,MATCH($N469,参数!$A$5:$A$7,0)),"")</f>
        <v>1</v>
      </c>
      <c r="AA469" s="16">
        <f>IFERROR(INDEX(楼层配置!$E$5:$E$104,MATCH($K469,楼层配置!$B$5:$B$104,0)),1)</f>
        <v>1.13279943448747</v>
      </c>
      <c r="AB469" s="16">
        <f>IFERROR(INDEX(楼层配置!$F$5:$F$104,MATCH($K469,楼层配置!$B$5:$B$104,0)),1)</f>
        <v>0.724781133547875</v>
      </c>
      <c r="AC469" s="16">
        <f>IFERROR(INDEX(楼层配置!$G$5:$G$104,MATCH($K469,楼层配置!$B$5:$B$104,0)),1)</f>
        <v>1</v>
      </c>
      <c r="AD469" s="18">
        <f t="shared" si="59"/>
        <v>-0.568665262323783</v>
      </c>
      <c r="AE469" s="18">
        <f t="shared" si="60"/>
        <v>-0.408308383233533</v>
      </c>
      <c r="AF469" s="18">
        <f t="shared" si="61"/>
        <v>-0.0916828716248526</v>
      </c>
      <c r="AG469" s="16" t="str">
        <f t="shared" si="62"/>
        <v>有效</v>
      </c>
      <c r="AH469">
        <f t="shared" si="63"/>
        <v>3638397.00320833</v>
      </c>
    </row>
    <row r="470" ht="14.25" customHeight="1" spans="1:34">
      <c r="A470" s="16">
        <v>466</v>
      </c>
      <c r="B470" s="16">
        <v>1004</v>
      </c>
      <c r="C470" s="16">
        <v>57</v>
      </c>
      <c r="D470" s="17">
        <f>IFERROR(ROUND($U470*$X470*$AA470*参数!$B$13,0),"")</f>
        <v>2517976</v>
      </c>
      <c r="E470" s="17">
        <f>IFERROR(ROUND($V470*$Y470*$AB470*参数!$C$13,0),"")</f>
        <v>30567</v>
      </c>
      <c r="F470" s="17">
        <f>IFERROR(ROUND($W470*$Z470*$AC470*参数!$D$13,0),"")</f>
        <v>42944</v>
      </c>
      <c r="G470" s="16">
        <v>5959159</v>
      </c>
      <c r="H470" s="16">
        <v>52520</v>
      </c>
      <c r="I470" s="16">
        <v>47750</v>
      </c>
      <c r="J470" s="16">
        <v>94</v>
      </c>
      <c r="K470" s="16">
        <v>94</v>
      </c>
      <c r="L470" s="16">
        <f>IFERROR(INDEX(楼层配置!$D$5:$D$104,MATCH($K470,楼层配置!$B$5:$B$104,0)),"")</f>
        <v>273</v>
      </c>
      <c r="M470" s="16" t="str">
        <f>IFERROR(INDEX(_角色基线!$B$2:$B$100,MATCH($B470,_角色基线!$A$2:$A$100,0)),"")</f>
        <v>阿芭</v>
      </c>
      <c r="N470" s="16" t="str">
        <f>IFERROR(INDEX(_角色基线!$C$2:$C$100,MATCH($B470,_角色基线!$A$2:$A$100,0)),"")</f>
        <v>Tank</v>
      </c>
      <c r="O470" s="16">
        <f>IFERROR(INDEX(_怪物基线!$B$2:$B$501,MATCH(INT($L470),_怪物基线!$A$2:$A$501,0)),"")</f>
        <v>370785</v>
      </c>
      <c r="P470" s="16">
        <f>IFERROR(INDEX(_怪物基线!$C$2:$C$501,MATCH(INT($L470),_怪物基线!$A$2:$A$501,0)),"")</f>
        <v>35101</v>
      </c>
      <c r="Q470" s="16">
        <f>IFERROR(INDEX(_怪物基线!$D$2:$D$501,MATCH(INT($L470),_怪物基线!$A$2:$A$501,0)),"")</f>
        <v>28629</v>
      </c>
      <c r="R470" s="16">
        <f>参数!$B$10</f>
        <v>4</v>
      </c>
      <c r="S470" s="16">
        <f>参数!$C$10</f>
        <v>1.2</v>
      </c>
      <c r="T470" s="16">
        <f>参数!$D$10</f>
        <v>1</v>
      </c>
      <c r="U470" s="16">
        <f t="shared" si="56"/>
        <v>1483140</v>
      </c>
      <c r="V470" s="16">
        <f t="shared" si="57"/>
        <v>42121.2</v>
      </c>
      <c r="W470" s="16">
        <f t="shared" si="58"/>
        <v>28629</v>
      </c>
      <c r="X470" s="16">
        <f>IFERROR(INDEX(参数!$B$5:$B$7,MATCH($N470,参数!$A$5:$A$7,0)),"")</f>
        <v>1.5</v>
      </c>
      <c r="Y470" s="16">
        <f>IFERROR(INDEX(参数!$C$5:$C$7,MATCH($N470,参数!$A$5:$A$7,0)),"")</f>
        <v>1</v>
      </c>
      <c r="Z470" s="16">
        <f>IFERROR(INDEX(参数!$D$5:$D$7,MATCH($N470,参数!$A$5:$A$7,0)),"")</f>
        <v>1.5</v>
      </c>
      <c r="AA470" s="16">
        <f>IFERROR(INDEX(楼层配置!$E$5:$E$104,MATCH($K470,楼层配置!$B$5:$B$104,0)),1)</f>
        <v>1.13182226884233</v>
      </c>
      <c r="AB470" s="16">
        <f>IFERROR(INDEX(楼层配置!$F$5:$F$104,MATCH($K470,楼层配置!$B$5:$B$104,0)),1)</f>
        <v>0.725696694868182</v>
      </c>
      <c r="AC470" s="16">
        <f>IFERROR(INDEX(楼层配置!$G$5:$G$104,MATCH($K470,楼层配置!$B$5:$B$104,0)),1)</f>
        <v>1</v>
      </c>
      <c r="AD470" s="18">
        <f t="shared" si="59"/>
        <v>-0.577461182022497</v>
      </c>
      <c r="AE470" s="18">
        <f t="shared" si="60"/>
        <v>-0.417993145468393</v>
      </c>
      <c r="AF470" s="18">
        <f t="shared" si="61"/>
        <v>-0.100649214659686</v>
      </c>
      <c r="AG470" s="16" t="str">
        <f t="shared" si="62"/>
        <v>有效</v>
      </c>
      <c r="AH470">
        <f t="shared" si="63"/>
        <v>7023474.38933333</v>
      </c>
    </row>
    <row r="471" ht="14.25" customHeight="1" spans="1:34">
      <c r="A471" s="16">
        <v>467</v>
      </c>
      <c r="B471" s="16">
        <v>1008</v>
      </c>
      <c r="C471" s="16">
        <v>57</v>
      </c>
      <c r="D471" s="17">
        <f>IFERROR(ROUND($U471*$X471*$AA471*参数!$B$13,0),"")</f>
        <v>1678651</v>
      </c>
      <c r="E471" s="17">
        <f>IFERROR(ROUND($V471*$Y471*$AB471*参数!$C$13,0),"")</f>
        <v>36681</v>
      </c>
      <c r="F471" s="17">
        <f>IFERROR(ROUND($W471*$Z471*$AC471*参数!$D$13,0),"")</f>
        <v>28629</v>
      </c>
      <c r="G471" s="16">
        <v>3972772</v>
      </c>
      <c r="H471" s="16">
        <v>63024</v>
      </c>
      <c r="I471" s="16">
        <v>31833</v>
      </c>
      <c r="J471" s="16">
        <v>94</v>
      </c>
      <c r="K471" s="16">
        <v>94</v>
      </c>
      <c r="L471" s="16">
        <f>IFERROR(INDEX(楼层配置!$D$5:$D$104,MATCH($K471,楼层配置!$B$5:$B$104,0)),"")</f>
        <v>273</v>
      </c>
      <c r="M471" s="16" t="str">
        <f>IFERROR(INDEX(_角色基线!$B$2:$B$100,MATCH($B471,_角色基线!$A$2:$A$100,0)),"")</f>
        <v>薇</v>
      </c>
      <c r="N471" s="16" t="str">
        <f>IFERROR(INDEX(_角色基线!$C$2:$C$100,MATCH($B471,_角色基线!$A$2:$A$100,0)),"")</f>
        <v>DPS</v>
      </c>
      <c r="O471" s="16">
        <f>IFERROR(INDEX(_怪物基线!$B$2:$B$501,MATCH(INT($L471),_怪物基线!$A$2:$A$501,0)),"")</f>
        <v>370785</v>
      </c>
      <c r="P471" s="16">
        <f>IFERROR(INDEX(_怪物基线!$C$2:$C$501,MATCH(INT($L471),_怪物基线!$A$2:$A$501,0)),"")</f>
        <v>35101</v>
      </c>
      <c r="Q471" s="16">
        <f>IFERROR(INDEX(_怪物基线!$D$2:$D$501,MATCH(INT($L471),_怪物基线!$A$2:$A$501,0)),"")</f>
        <v>28629</v>
      </c>
      <c r="R471" s="16">
        <f>参数!$B$10</f>
        <v>4</v>
      </c>
      <c r="S471" s="16">
        <f>参数!$C$10</f>
        <v>1.2</v>
      </c>
      <c r="T471" s="16">
        <f>参数!$D$10</f>
        <v>1</v>
      </c>
      <c r="U471" s="16">
        <f t="shared" si="56"/>
        <v>1483140</v>
      </c>
      <c r="V471" s="16">
        <f t="shared" si="57"/>
        <v>42121.2</v>
      </c>
      <c r="W471" s="16">
        <f t="shared" si="58"/>
        <v>28629</v>
      </c>
      <c r="X471" s="16">
        <f>IFERROR(INDEX(参数!$B$5:$B$7,MATCH($N471,参数!$A$5:$A$7,0)),"")</f>
        <v>1</v>
      </c>
      <c r="Y471" s="16">
        <f>IFERROR(INDEX(参数!$C$5:$C$7,MATCH($N471,参数!$A$5:$A$7,0)),"")</f>
        <v>1.2</v>
      </c>
      <c r="Z471" s="16">
        <f>IFERROR(INDEX(参数!$D$5:$D$7,MATCH($N471,参数!$A$5:$A$7,0)),"")</f>
        <v>1</v>
      </c>
      <c r="AA471" s="16">
        <f>IFERROR(INDEX(楼层配置!$E$5:$E$104,MATCH($K471,楼层配置!$B$5:$B$104,0)),1)</f>
        <v>1.13182226884233</v>
      </c>
      <c r="AB471" s="16">
        <f>IFERROR(INDEX(楼层配置!$F$5:$F$104,MATCH($K471,楼层配置!$B$5:$B$104,0)),1)</f>
        <v>0.725696694868182</v>
      </c>
      <c r="AC471" s="16">
        <f>IFERROR(INDEX(楼层配置!$G$5:$G$104,MATCH($K471,楼层配置!$B$5:$B$104,0)),1)</f>
        <v>1</v>
      </c>
      <c r="AD471" s="18">
        <f t="shared" si="59"/>
        <v>-0.577461027212234</v>
      </c>
      <c r="AE471" s="18">
        <f t="shared" si="60"/>
        <v>-0.417983625285606</v>
      </c>
      <c r="AF471" s="18">
        <f t="shared" si="61"/>
        <v>-0.1006502685892</v>
      </c>
      <c r="AG471" s="16" t="str">
        <f t="shared" si="62"/>
        <v>有效</v>
      </c>
      <c r="AH471">
        <f t="shared" si="63"/>
        <v>3681071.811625</v>
      </c>
    </row>
    <row r="472" ht="14.25" customHeight="1" spans="1:34">
      <c r="A472" s="16">
        <v>468</v>
      </c>
      <c r="B472" s="16">
        <v>1006</v>
      </c>
      <c r="C472" s="16">
        <v>57</v>
      </c>
      <c r="D472" s="17">
        <f>IFERROR(ROUND($U472*$X472*$AA472*参数!$B$13,0),"")</f>
        <v>1678651</v>
      </c>
      <c r="E472" s="17">
        <f>IFERROR(ROUND($V472*$Y472*$AB472*参数!$C$13,0),"")</f>
        <v>36681</v>
      </c>
      <c r="F472" s="17">
        <f>IFERROR(ROUND($W472*$Z472*$AC472*参数!$D$13,0),"")</f>
        <v>28629</v>
      </c>
      <c r="G472" s="16">
        <v>3972772</v>
      </c>
      <c r="H472" s="16">
        <v>63024</v>
      </c>
      <c r="I472" s="16">
        <v>31833</v>
      </c>
      <c r="J472" s="16">
        <v>94</v>
      </c>
      <c r="K472" s="16">
        <v>94</v>
      </c>
      <c r="L472" s="16">
        <f>IFERROR(INDEX(楼层配置!$D$5:$D$104,MATCH($K472,楼层配置!$B$5:$B$104,0)),"")</f>
        <v>273</v>
      </c>
      <c r="M472" s="16" t="str">
        <f>IFERROR(INDEX(_角色基线!$B$2:$B$100,MATCH($B472,_角色基线!$A$2:$A$100,0)),"")</f>
        <v>莉莉娅</v>
      </c>
      <c r="N472" s="16" t="str">
        <f>IFERROR(INDEX(_角色基线!$C$2:$C$100,MATCH($B472,_角色基线!$A$2:$A$100,0)),"")</f>
        <v>DPS</v>
      </c>
      <c r="O472" s="16">
        <f>IFERROR(INDEX(_怪物基线!$B$2:$B$501,MATCH(INT($L472),_怪物基线!$A$2:$A$501,0)),"")</f>
        <v>370785</v>
      </c>
      <c r="P472" s="16">
        <f>IFERROR(INDEX(_怪物基线!$C$2:$C$501,MATCH(INT($L472),_怪物基线!$A$2:$A$501,0)),"")</f>
        <v>35101</v>
      </c>
      <c r="Q472" s="16">
        <f>IFERROR(INDEX(_怪物基线!$D$2:$D$501,MATCH(INT($L472),_怪物基线!$A$2:$A$501,0)),"")</f>
        <v>28629</v>
      </c>
      <c r="R472" s="16">
        <f>参数!$B$10</f>
        <v>4</v>
      </c>
      <c r="S472" s="16">
        <f>参数!$C$10</f>
        <v>1.2</v>
      </c>
      <c r="T472" s="16">
        <f>参数!$D$10</f>
        <v>1</v>
      </c>
      <c r="U472" s="16">
        <f t="shared" si="56"/>
        <v>1483140</v>
      </c>
      <c r="V472" s="16">
        <f t="shared" si="57"/>
        <v>42121.2</v>
      </c>
      <c r="W472" s="16">
        <f t="shared" si="58"/>
        <v>28629</v>
      </c>
      <c r="X472" s="16">
        <f>IFERROR(INDEX(参数!$B$5:$B$7,MATCH($N472,参数!$A$5:$A$7,0)),"")</f>
        <v>1</v>
      </c>
      <c r="Y472" s="16">
        <f>IFERROR(INDEX(参数!$C$5:$C$7,MATCH($N472,参数!$A$5:$A$7,0)),"")</f>
        <v>1.2</v>
      </c>
      <c r="Z472" s="16">
        <f>IFERROR(INDEX(参数!$D$5:$D$7,MATCH($N472,参数!$A$5:$A$7,0)),"")</f>
        <v>1</v>
      </c>
      <c r="AA472" s="16">
        <f>IFERROR(INDEX(楼层配置!$E$5:$E$104,MATCH($K472,楼层配置!$B$5:$B$104,0)),1)</f>
        <v>1.13182226884233</v>
      </c>
      <c r="AB472" s="16">
        <f>IFERROR(INDEX(楼层配置!$F$5:$F$104,MATCH($K472,楼层配置!$B$5:$B$104,0)),1)</f>
        <v>0.725696694868182</v>
      </c>
      <c r="AC472" s="16">
        <f>IFERROR(INDEX(楼层配置!$G$5:$G$104,MATCH($K472,楼层配置!$B$5:$B$104,0)),1)</f>
        <v>1</v>
      </c>
      <c r="AD472" s="18">
        <f t="shared" si="59"/>
        <v>-0.577461027212234</v>
      </c>
      <c r="AE472" s="18">
        <f t="shared" si="60"/>
        <v>-0.417983625285606</v>
      </c>
      <c r="AF472" s="18">
        <f t="shared" si="61"/>
        <v>-0.1006502685892</v>
      </c>
      <c r="AG472" s="16" t="str">
        <f t="shared" si="62"/>
        <v>有效</v>
      </c>
      <c r="AH472">
        <f t="shared" si="63"/>
        <v>3681071.811625</v>
      </c>
    </row>
    <row r="473" ht="14.25" customHeight="1" spans="1:34">
      <c r="A473" s="16">
        <v>469</v>
      </c>
      <c r="B473" s="16">
        <v>1005</v>
      </c>
      <c r="C473" s="16">
        <v>57</v>
      </c>
      <c r="D473" s="17">
        <f>IFERROR(ROUND($U473*$X473*$AA473*参数!$B$13,0),"")</f>
        <v>1678651</v>
      </c>
      <c r="E473" s="17">
        <f>IFERROR(ROUND($V473*$Y473*$AB473*参数!$C$13,0),"")</f>
        <v>36681</v>
      </c>
      <c r="F473" s="17">
        <f>IFERROR(ROUND($W473*$Z473*$AC473*参数!$D$13,0),"")</f>
        <v>28629</v>
      </c>
      <c r="G473" s="16">
        <v>3972772</v>
      </c>
      <c r="H473" s="16">
        <v>63024</v>
      </c>
      <c r="I473" s="16">
        <v>31833</v>
      </c>
      <c r="J473" s="16">
        <v>94</v>
      </c>
      <c r="K473" s="16">
        <v>94</v>
      </c>
      <c r="L473" s="16">
        <f>IFERROR(INDEX(楼层配置!$D$5:$D$104,MATCH($K473,楼层配置!$B$5:$B$104,0)),"")</f>
        <v>273</v>
      </c>
      <c r="M473" s="16" t="str">
        <f>IFERROR(INDEX(_角色基线!$B$2:$B$100,MATCH($B473,_角色基线!$A$2:$A$100,0)),"")</f>
        <v>陈单单</v>
      </c>
      <c r="N473" s="16" t="str">
        <f>IFERROR(INDEX(_角色基线!$C$2:$C$100,MATCH($B473,_角色基线!$A$2:$A$100,0)),"")</f>
        <v>DPS</v>
      </c>
      <c r="O473" s="16">
        <f>IFERROR(INDEX(_怪物基线!$B$2:$B$501,MATCH(INT($L473),_怪物基线!$A$2:$A$501,0)),"")</f>
        <v>370785</v>
      </c>
      <c r="P473" s="16">
        <f>IFERROR(INDEX(_怪物基线!$C$2:$C$501,MATCH(INT($L473),_怪物基线!$A$2:$A$501,0)),"")</f>
        <v>35101</v>
      </c>
      <c r="Q473" s="16">
        <f>IFERROR(INDEX(_怪物基线!$D$2:$D$501,MATCH(INT($L473),_怪物基线!$A$2:$A$501,0)),"")</f>
        <v>28629</v>
      </c>
      <c r="R473" s="16">
        <f>参数!$B$10</f>
        <v>4</v>
      </c>
      <c r="S473" s="16">
        <f>参数!$C$10</f>
        <v>1.2</v>
      </c>
      <c r="T473" s="16">
        <f>参数!$D$10</f>
        <v>1</v>
      </c>
      <c r="U473" s="16">
        <f t="shared" si="56"/>
        <v>1483140</v>
      </c>
      <c r="V473" s="16">
        <f t="shared" si="57"/>
        <v>42121.2</v>
      </c>
      <c r="W473" s="16">
        <f t="shared" si="58"/>
        <v>28629</v>
      </c>
      <c r="X473" s="16">
        <f>IFERROR(INDEX(参数!$B$5:$B$7,MATCH($N473,参数!$A$5:$A$7,0)),"")</f>
        <v>1</v>
      </c>
      <c r="Y473" s="16">
        <f>IFERROR(INDEX(参数!$C$5:$C$7,MATCH($N473,参数!$A$5:$A$7,0)),"")</f>
        <v>1.2</v>
      </c>
      <c r="Z473" s="16">
        <f>IFERROR(INDEX(参数!$D$5:$D$7,MATCH($N473,参数!$A$5:$A$7,0)),"")</f>
        <v>1</v>
      </c>
      <c r="AA473" s="16">
        <f>IFERROR(INDEX(楼层配置!$E$5:$E$104,MATCH($K473,楼层配置!$B$5:$B$104,0)),1)</f>
        <v>1.13182226884233</v>
      </c>
      <c r="AB473" s="16">
        <f>IFERROR(INDEX(楼层配置!$F$5:$F$104,MATCH($K473,楼层配置!$B$5:$B$104,0)),1)</f>
        <v>0.725696694868182</v>
      </c>
      <c r="AC473" s="16">
        <f>IFERROR(INDEX(楼层配置!$G$5:$G$104,MATCH($K473,楼层配置!$B$5:$B$104,0)),1)</f>
        <v>1</v>
      </c>
      <c r="AD473" s="18">
        <f t="shared" si="59"/>
        <v>-0.577461027212234</v>
      </c>
      <c r="AE473" s="18">
        <f t="shared" si="60"/>
        <v>-0.417983625285606</v>
      </c>
      <c r="AF473" s="18">
        <f t="shared" si="61"/>
        <v>-0.1006502685892</v>
      </c>
      <c r="AG473" s="16" t="str">
        <f t="shared" si="62"/>
        <v>有效</v>
      </c>
      <c r="AH473">
        <f t="shared" si="63"/>
        <v>3681071.811625</v>
      </c>
    </row>
    <row r="474" ht="14.25" customHeight="1" spans="1:34">
      <c r="A474" s="16">
        <v>470</v>
      </c>
      <c r="B474" s="16">
        <v>1007</v>
      </c>
      <c r="C474" s="16">
        <v>57</v>
      </c>
      <c r="D474" s="17">
        <f>IFERROR(ROUND($U474*$X474*$AA474*参数!$B$13,0),"")</f>
        <v>2098314</v>
      </c>
      <c r="E474" s="17">
        <f>IFERROR(ROUND($V474*$Y474*$AB474*参数!$C$13,0),"")</f>
        <v>30567</v>
      </c>
      <c r="F474" s="17">
        <f>IFERROR(ROUND($W474*$Z474*$AC474*参数!$D$13,0),"")</f>
        <v>35786</v>
      </c>
      <c r="G474" s="16">
        <v>4965966</v>
      </c>
      <c r="H474" s="16">
        <v>52520</v>
      </c>
      <c r="I474" s="16">
        <v>39792</v>
      </c>
      <c r="J474" s="16">
        <v>94</v>
      </c>
      <c r="K474" s="16">
        <v>94</v>
      </c>
      <c r="L474" s="16">
        <f>IFERROR(INDEX(楼层配置!$D$5:$D$104,MATCH($K474,楼层配置!$B$5:$B$104,0)),"")</f>
        <v>273</v>
      </c>
      <c r="M474" s="16" t="str">
        <f>IFERROR(INDEX(_角色基线!$B$2:$B$100,MATCH($B474,_角色基线!$A$2:$A$100,0)),"")</f>
        <v>萨萨莉安</v>
      </c>
      <c r="N474" s="16" t="str">
        <f>IFERROR(INDEX(_角色基线!$C$2:$C$100,MATCH($B474,_角色基线!$A$2:$A$100,0)),"")</f>
        <v>Support</v>
      </c>
      <c r="O474" s="16">
        <f>IFERROR(INDEX(_怪物基线!$B$2:$B$501,MATCH(INT($L474),_怪物基线!$A$2:$A$501,0)),"")</f>
        <v>370785</v>
      </c>
      <c r="P474" s="16">
        <f>IFERROR(INDEX(_怪物基线!$C$2:$C$501,MATCH(INT($L474),_怪物基线!$A$2:$A$501,0)),"")</f>
        <v>35101</v>
      </c>
      <c r="Q474" s="16">
        <f>IFERROR(INDEX(_怪物基线!$D$2:$D$501,MATCH(INT($L474),_怪物基线!$A$2:$A$501,0)),"")</f>
        <v>28629</v>
      </c>
      <c r="R474" s="16">
        <f>参数!$B$10</f>
        <v>4</v>
      </c>
      <c r="S474" s="16">
        <f>参数!$C$10</f>
        <v>1.2</v>
      </c>
      <c r="T474" s="16">
        <f>参数!$D$10</f>
        <v>1</v>
      </c>
      <c r="U474" s="16">
        <f t="shared" si="56"/>
        <v>1483140</v>
      </c>
      <c r="V474" s="16">
        <f t="shared" si="57"/>
        <v>42121.2</v>
      </c>
      <c r="W474" s="16">
        <f t="shared" si="58"/>
        <v>28629</v>
      </c>
      <c r="X474" s="16">
        <f>IFERROR(INDEX(参数!$B$5:$B$7,MATCH($N474,参数!$A$5:$A$7,0)),"")</f>
        <v>1.25</v>
      </c>
      <c r="Y474" s="16">
        <f>IFERROR(INDEX(参数!$C$5:$C$7,MATCH($N474,参数!$A$5:$A$7,0)),"")</f>
        <v>1</v>
      </c>
      <c r="Z474" s="16">
        <f>IFERROR(INDEX(参数!$D$5:$D$7,MATCH($N474,参数!$A$5:$A$7,0)),"")</f>
        <v>1.25</v>
      </c>
      <c r="AA474" s="16">
        <f>IFERROR(INDEX(楼层配置!$E$5:$E$104,MATCH($K474,楼层配置!$B$5:$B$104,0)),1)</f>
        <v>1.13182226884233</v>
      </c>
      <c r="AB474" s="16">
        <f>IFERROR(INDEX(楼层配置!$F$5:$F$104,MATCH($K474,楼层配置!$B$5:$B$104,0)),1)</f>
        <v>0.725696694868182</v>
      </c>
      <c r="AC474" s="16">
        <f>IFERROR(INDEX(楼层配置!$G$5:$G$104,MATCH($K474,楼层配置!$B$5:$B$104,0)),1)</f>
        <v>1</v>
      </c>
      <c r="AD474" s="18">
        <f t="shared" si="59"/>
        <v>-0.577461061956526</v>
      </c>
      <c r="AE474" s="18">
        <f t="shared" si="60"/>
        <v>-0.417993145468393</v>
      </c>
      <c r="AF474" s="18">
        <f t="shared" si="61"/>
        <v>-0.1006735022115</v>
      </c>
      <c r="AG474" s="16" t="str">
        <f t="shared" si="62"/>
        <v>有效</v>
      </c>
      <c r="AH474">
        <f t="shared" si="63"/>
        <v>5227075.0335</v>
      </c>
    </row>
    <row r="475" ht="14.25" customHeight="1" spans="1:34">
      <c r="A475" s="16">
        <v>471</v>
      </c>
      <c r="B475" s="16">
        <v>1003</v>
      </c>
      <c r="C475" s="16">
        <v>57</v>
      </c>
      <c r="D475" s="17">
        <f>IFERROR(ROUND($U475*$X475*$AA475*参数!$B$13,0),"")</f>
        <v>2541395</v>
      </c>
      <c r="E475" s="17">
        <f>IFERROR(ROUND($V475*$Y475*$AB475*参数!$C$13,0),"")</f>
        <v>30836</v>
      </c>
      <c r="F475" s="17">
        <f>IFERROR(ROUND($W475*$Z475*$AC475*参数!$D$13,0),"")</f>
        <v>43148</v>
      </c>
      <c r="G475" s="16">
        <v>6137373</v>
      </c>
      <c r="H475" s="16">
        <v>53860</v>
      </c>
      <c r="I475" s="16">
        <v>48452</v>
      </c>
      <c r="J475" s="16">
        <v>95</v>
      </c>
      <c r="K475" s="16">
        <v>95</v>
      </c>
      <c r="L475" s="16">
        <f>IFERROR(INDEX(楼层配置!$D$5:$D$104,MATCH($K475,楼层配置!$B$5:$B$104,0)),"")</f>
        <v>274</v>
      </c>
      <c r="M475" s="16" t="str">
        <f>IFERROR(INDEX(_角色基线!$B$2:$B$100,MATCH($B475,_角色基线!$A$2:$A$100,0)),"")</f>
        <v>塔拉夏</v>
      </c>
      <c r="N475" s="16" t="str">
        <f>IFERROR(INDEX(_角色基线!$C$2:$C$100,MATCH($B475,_角色基线!$A$2:$A$100,0)),"")</f>
        <v>Tank</v>
      </c>
      <c r="O475" s="16">
        <f>IFERROR(INDEX(_怪物基线!$B$2:$B$501,MATCH(INT($L475),_怪物基线!$A$2:$A$501,0)),"")</f>
        <v>374479</v>
      </c>
      <c r="P475" s="16">
        <f>IFERROR(INDEX(_怪物基线!$C$2:$C$501,MATCH(INT($L475),_怪物基线!$A$2:$A$501,0)),"")</f>
        <v>35362</v>
      </c>
      <c r="Q475" s="16">
        <f>IFERROR(INDEX(_怪物基线!$D$2:$D$501,MATCH(INT($L475),_怪物基线!$A$2:$A$501,0)),"")</f>
        <v>28765</v>
      </c>
      <c r="R475" s="16">
        <f>参数!$B$10</f>
        <v>4</v>
      </c>
      <c r="S475" s="16">
        <f>参数!$C$10</f>
        <v>1.2</v>
      </c>
      <c r="T475" s="16">
        <f>参数!$D$10</f>
        <v>1</v>
      </c>
      <c r="U475" s="16">
        <f t="shared" si="56"/>
        <v>1497916</v>
      </c>
      <c r="V475" s="16">
        <f t="shared" si="57"/>
        <v>42434.4</v>
      </c>
      <c r="W475" s="16">
        <f t="shared" si="58"/>
        <v>28765</v>
      </c>
      <c r="X475" s="16">
        <f>IFERROR(INDEX(参数!$B$5:$B$7,MATCH($N475,参数!$A$5:$A$7,0)),"")</f>
        <v>1.5</v>
      </c>
      <c r="Y475" s="16">
        <f>IFERROR(INDEX(参数!$C$5:$C$7,MATCH($N475,参数!$A$5:$A$7,0)),"")</f>
        <v>1</v>
      </c>
      <c r="Z475" s="16">
        <f>IFERROR(INDEX(参数!$D$5:$D$7,MATCH($N475,参数!$A$5:$A$7,0)),"")</f>
        <v>1.5</v>
      </c>
      <c r="AA475" s="16">
        <f>IFERROR(INDEX(楼层配置!$E$5:$E$104,MATCH($K475,楼层配置!$B$5:$B$104,0)),1)</f>
        <v>1.13108015591293</v>
      </c>
      <c r="AB475" s="16">
        <f>IFERROR(INDEX(楼层配置!$F$5:$F$104,MATCH($K475,楼层配置!$B$5:$B$104,0)),1)</f>
        <v>0.726679309784578</v>
      </c>
      <c r="AC475" s="16">
        <f>IFERROR(INDEX(楼层配置!$G$5:$G$104,MATCH($K475,楼层配置!$B$5:$B$104,0)),1)</f>
        <v>1</v>
      </c>
      <c r="AD475" s="18">
        <f t="shared" si="59"/>
        <v>-0.585914853146452</v>
      </c>
      <c r="AE475" s="18">
        <f t="shared" si="60"/>
        <v>-0.427478648347568</v>
      </c>
      <c r="AF475" s="18">
        <f t="shared" si="61"/>
        <v>-0.109469165359531</v>
      </c>
      <c r="AG475" s="16" t="str">
        <f t="shared" si="62"/>
        <v>有效</v>
      </c>
      <c r="AH475">
        <f t="shared" si="63"/>
        <v>7110399.64416667</v>
      </c>
    </row>
    <row r="476" ht="14.25" customHeight="1" spans="1:34">
      <c r="A476" s="16">
        <v>472</v>
      </c>
      <c r="B476" s="16">
        <v>1017</v>
      </c>
      <c r="C476" s="16">
        <v>57</v>
      </c>
      <c r="D476" s="17">
        <f>IFERROR(ROUND($U476*$X476*$AA476*参数!$B$13,0),"")</f>
        <v>1694263</v>
      </c>
      <c r="E476" s="17">
        <f>IFERROR(ROUND($V476*$Y476*$AB476*参数!$C$13,0),"")</f>
        <v>37003</v>
      </c>
      <c r="F476" s="17">
        <f>IFERROR(ROUND($W476*$Z476*$AC476*参数!$D$13,0),"")</f>
        <v>28765</v>
      </c>
      <c r="G476" s="16">
        <v>4091582</v>
      </c>
      <c r="H476" s="16">
        <v>64632</v>
      </c>
      <c r="I476" s="16">
        <v>32301</v>
      </c>
      <c r="J476" s="16">
        <v>95</v>
      </c>
      <c r="K476" s="16">
        <v>95</v>
      </c>
      <c r="L476" s="16">
        <f>IFERROR(INDEX(楼层配置!$D$5:$D$104,MATCH($K476,楼层配置!$B$5:$B$104,0)),"")</f>
        <v>274</v>
      </c>
      <c r="M476" s="16" t="str">
        <f>IFERROR(INDEX(_角色基线!$B$2:$B$100,MATCH($B476,_角色基线!$A$2:$A$100,0)),"")</f>
        <v>伊戈尔</v>
      </c>
      <c r="N476" s="16" t="str">
        <f>IFERROR(INDEX(_角色基线!$C$2:$C$100,MATCH($B476,_角色基线!$A$2:$A$100,0)),"")</f>
        <v>DPS</v>
      </c>
      <c r="O476" s="16">
        <f>IFERROR(INDEX(_怪物基线!$B$2:$B$501,MATCH(INT($L476),_怪物基线!$A$2:$A$501,0)),"")</f>
        <v>374479</v>
      </c>
      <c r="P476" s="16">
        <f>IFERROR(INDEX(_怪物基线!$C$2:$C$501,MATCH(INT($L476),_怪物基线!$A$2:$A$501,0)),"")</f>
        <v>35362</v>
      </c>
      <c r="Q476" s="16">
        <f>IFERROR(INDEX(_怪物基线!$D$2:$D$501,MATCH(INT($L476),_怪物基线!$A$2:$A$501,0)),"")</f>
        <v>28765</v>
      </c>
      <c r="R476" s="16">
        <f>参数!$B$10</f>
        <v>4</v>
      </c>
      <c r="S476" s="16">
        <f>参数!$C$10</f>
        <v>1.2</v>
      </c>
      <c r="T476" s="16">
        <f>参数!$D$10</f>
        <v>1</v>
      </c>
      <c r="U476" s="16">
        <f t="shared" si="56"/>
        <v>1497916</v>
      </c>
      <c r="V476" s="16">
        <f t="shared" si="57"/>
        <v>42434.4</v>
      </c>
      <c r="W476" s="16">
        <f t="shared" si="58"/>
        <v>28765</v>
      </c>
      <c r="X476" s="16">
        <f>IFERROR(INDEX(参数!$B$5:$B$7,MATCH($N476,参数!$A$5:$A$7,0)),"")</f>
        <v>1</v>
      </c>
      <c r="Y476" s="16">
        <f>IFERROR(INDEX(参数!$C$5:$C$7,MATCH($N476,参数!$A$5:$A$7,0)),"")</f>
        <v>1.2</v>
      </c>
      <c r="Z476" s="16">
        <f>IFERROR(INDEX(参数!$D$5:$D$7,MATCH($N476,参数!$A$5:$A$7,0)),"")</f>
        <v>1</v>
      </c>
      <c r="AA476" s="16">
        <f>IFERROR(INDEX(楼层配置!$E$5:$E$104,MATCH($K476,楼层配置!$B$5:$B$104,0)),1)</f>
        <v>1.13108015591293</v>
      </c>
      <c r="AB476" s="16">
        <f>IFERROR(INDEX(楼层配置!$F$5:$F$104,MATCH($K476,楼层配置!$B$5:$B$104,0)),1)</f>
        <v>0.726679309784578</v>
      </c>
      <c r="AC476" s="16">
        <f>IFERROR(INDEX(楼层配置!$G$5:$G$104,MATCH($K476,楼层配置!$B$5:$B$104,0)),1)</f>
        <v>1</v>
      </c>
      <c r="AD476" s="18">
        <f t="shared" si="59"/>
        <v>-0.585914934614533</v>
      </c>
      <c r="AE476" s="18">
        <f t="shared" si="60"/>
        <v>-0.427481742789949</v>
      </c>
      <c r="AF476" s="18">
        <f t="shared" si="61"/>
        <v>-0.109470295037305</v>
      </c>
      <c r="AG476" s="16" t="str">
        <f t="shared" si="62"/>
        <v>有效</v>
      </c>
      <c r="AH476">
        <f t="shared" si="63"/>
        <v>3724907.79979167</v>
      </c>
    </row>
    <row r="477" ht="14.25" customHeight="1" spans="1:34">
      <c r="A477" s="16">
        <v>473</v>
      </c>
      <c r="B477" s="16">
        <v>1017</v>
      </c>
      <c r="C477" s="16">
        <v>57</v>
      </c>
      <c r="D477" s="17">
        <f>IFERROR(ROUND($U477*$X477*$AA477*参数!$B$13,0),"")</f>
        <v>1694263</v>
      </c>
      <c r="E477" s="17">
        <f>IFERROR(ROUND($V477*$Y477*$AB477*参数!$C$13,0),"")</f>
        <v>37003</v>
      </c>
      <c r="F477" s="17">
        <f>IFERROR(ROUND($W477*$Z477*$AC477*参数!$D$13,0),"")</f>
        <v>28765</v>
      </c>
      <c r="G477" s="16">
        <v>4091582</v>
      </c>
      <c r="H477" s="16">
        <v>64632</v>
      </c>
      <c r="I477" s="16">
        <v>32301</v>
      </c>
      <c r="J477" s="16">
        <v>95</v>
      </c>
      <c r="K477" s="16">
        <v>95</v>
      </c>
      <c r="L477" s="16">
        <f>IFERROR(INDEX(楼层配置!$D$5:$D$104,MATCH($K477,楼层配置!$B$5:$B$104,0)),"")</f>
        <v>274</v>
      </c>
      <c r="M477" s="16" t="str">
        <f>IFERROR(INDEX(_角色基线!$B$2:$B$100,MATCH($B477,_角色基线!$A$2:$A$100,0)),"")</f>
        <v>伊戈尔</v>
      </c>
      <c r="N477" s="16" t="str">
        <f>IFERROR(INDEX(_角色基线!$C$2:$C$100,MATCH($B477,_角色基线!$A$2:$A$100,0)),"")</f>
        <v>DPS</v>
      </c>
      <c r="O477" s="16">
        <f>IFERROR(INDEX(_怪物基线!$B$2:$B$501,MATCH(INT($L477),_怪物基线!$A$2:$A$501,0)),"")</f>
        <v>374479</v>
      </c>
      <c r="P477" s="16">
        <f>IFERROR(INDEX(_怪物基线!$C$2:$C$501,MATCH(INT($L477),_怪物基线!$A$2:$A$501,0)),"")</f>
        <v>35362</v>
      </c>
      <c r="Q477" s="16">
        <f>IFERROR(INDEX(_怪物基线!$D$2:$D$501,MATCH(INT($L477),_怪物基线!$A$2:$A$501,0)),"")</f>
        <v>28765</v>
      </c>
      <c r="R477" s="16">
        <f>参数!$B$10</f>
        <v>4</v>
      </c>
      <c r="S477" s="16">
        <f>参数!$C$10</f>
        <v>1.2</v>
      </c>
      <c r="T477" s="16">
        <f>参数!$D$10</f>
        <v>1</v>
      </c>
      <c r="U477" s="16">
        <f t="shared" si="56"/>
        <v>1497916</v>
      </c>
      <c r="V477" s="16">
        <f t="shared" si="57"/>
        <v>42434.4</v>
      </c>
      <c r="W477" s="16">
        <f t="shared" si="58"/>
        <v>28765</v>
      </c>
      <c r="X477" s="16">
        <f>IFERROR(INDEX(参数!$B$5:$B$7,MATCH($N477,参数!$A$5:$A$7,0)),"")</f>
        <v>1</v>
      </c>
      <c r="Y477" s="16">
        <f>IFERROR(INDEX(参数!$C$5:$C$7,MATCH($N477,参数!$A$5:$A$7,0)),"")</f>
        <v>1.2</v>
      </c>
      <c r="Z477" s="16">
        <f>IFERROR(INDEX(参数!$D$5:$D$7,MATCH($N477,参数!$A$5:$A$7,0)),"")</f>
        <v>1</v>
      </c>
      <c r="AA477" s="16">
        <f>IFERROR(INDEX(楼层配置!$E$5:$E$104,MATCH($K477,楼层配置!$B$5:$B$104,0)),1)</f>
        <v>1.13108015591293</v>
      </c>
      <c r="AB477" s="16">
        <f>IFERROR(INDEX(楼层配置!$F$5:$F$104,MATCH($K477,楼层配置!$B$5:$B$104,0)),1)</f>
        <v>0.726679309784578</v>
      </c>
      <c r="AC477" s="16">
        <f>IFERROR(INDEX(楼层配置!$G$5:$G$104,MATCH($K477,楼层配置!$B$5:$B$104,0)),1)</f>
        <v>1</v>
      </c>
      <c r="AD477" s="18">
        <f t="shared" si="59"/>
        <v>-0.585914934614533</v>
      </c>
      <c r="AE477" s="18">
        <f t="shared" si="60"/>
        <v>-0.427481742789949</v>
      </c>
      <c r="AF477" s="18">
        <f t="shared" si="61"/>
        <v>-0.109470295037305</v>
      </c>
      <c r="AG477" s="16" t="str">
        <f t="shared" si="62"/>
        <v>有效</v>
      </c>
      <c r="AH477">
        <f t="shared" si="63"/>
        <v>3724907.79979167</v>
      </c>
    </row>
    <row r="478" ht="14.25" customHeight="1" spans="1:34">
      <c r="A478" s="16">
        <v>474</v>
      </c>
      <c r="B478" s="16">
        <v>1017</v>
      </c>
      <c r="C478" s="16">
        <v>57</v>
      </c>
      <c r="D478" s="17">
        <f>IFERROR(ROUND($U478*$X478*$AA478*参数!$B$13,0),"")</f>
        <v>1694263</v>
      </c>
      <c r="E478" s="17">
        <f>IFERROR(ROUND($V478*$Y478*$AB478*参数!$C$13,0),"")</f>
        <v>37003</v>
      </c>
      <c r="F478" s="17">
        <f>IFERROR(ROUND($W478*$Z478*$AC478*参数!$D$13,0),"")</f>
        <v>28765</v>
      </c>
      <c r="G478" s="16">
        <v>4091582</v>
      </c>
      <c r="H478" s="16">
        <v>64632</v>
      </c>
      <c r="I478" s="16">
        <v>32301</v>
      </c>
      <c r="J478" s="16">
        <v>95</v>
      </c>
      <c r="K478" s="16">
        <v>95</v>
      </c>
      <c r="L478" s="16">
        <f>IFERROR(INDEX(楼层配置!$D$5:$D$104,MATCH($K478,楼层配置!$B$5:$B$104,0)),"")</f>
        <v>274</v>
      </c>
      <c r="M478" s="16" t="str">
        <f>IFERROR(INDEX(_角色基线!$B$2:$B$100,MATCH($B478,_角色基线!$A$2:$A$100,0)),"")</f>
        <v>伊戈尔</v>
      </c>
      <c r="N478" s="16" t="str">
        <f>IFERROR(INDEX(_角色基线!$C$2:$C$100,MATCH($B478,_角色基线!$A$2:$A$100,0)),"")</f>
        <v>DPS</v>
      </c>
      <c r="O478" s="16">
        <f>IFERROR(INDEX(_怪物基线!$B$2:$B$501,MATCH(INT($L478),_怪物基线!$A$2:$A$501,0)),"")</f>
        <v>374479</v>
      </c>
      <c r="P478" s="16">
        <f>IFERROR(INDEX(_怪物基线!$C$2:$C$501,MATCH(INT($L478),_怪物基线!$A$2:$A$501,0)),"")</f>
        <v>35362</v>
      </c>
      <c r="Q478" s="16">
        <f>IFERROR(INDEX(_怪物基线!$D$2:$D$501,MATCH(INT($L478),_怪物基线!$A$2:$A$501,0)),"")</f>
        <v>28765</v>
      </c>
      <c r="R478" s="16">
        <f>参数!$B$10</f>
        <v>4</v>
      </c>
      <c r="S478" s="16">
        <f>参数!$C$10</f>
        <v>1.2</v>
      </c>
      <c r="T478" s="16">
        <f>参数!$D$10</f>
        <v>1</v>
      </c>
      <c r="U478" s="16">
        <f t="shared" si="56"/>
        <v>1497916</v>
      </c>
      <c r="V478" s="16">
        <f t="shared" si="57"/>
        <v>42434.4</v>
      </c>
      <c r="W478" s="16">
        <f t="shared" si="58"/>
        <v>28765</v>
      </c>
      <c r="X478" s="16">
        <f>IFERROR(INDEX(参数!$B$5:$B$7,MATCH($N478,参数!$A$5:$A$7,0)),"")</f>
        <v>1</v>
      </c>
      <c r="Y478" s="16">
        <f>IFERROR(INDEX(参数!$C$5:$C$7,MATCH($N478,参数!$A$5:$A$7,0)),"")</f>
        <v>1.2</v>
      </c>
      <c r="Z478" s="16">
        <f>IFERROR(INDEX(参数!$D$5:$D$7,MATCH($N478,参数!$A$5:$A$7,0)),"")</f>
        <v>1</v>
      </c>
      <c r="AA478" s="16">
        <f>IFERROR(INDEX(楼层配置!$E$5:$E$104,MATCH($K478,楼层配置!$B$5:$B$104,0)),1)</f>
        <v>1.13108015591293</v>
      </c>
      <c r="AB478" s="16">
        <f>IFERROR(INDEX(楼层配置!$F$5:$F$104,MATCH($K478,楼层配置!$B$5:$B$104,0)),1)</f>
        <v>0.726679309784578</v>
      </c>
      <c r="AC478" s="16">
        <f>IFERROR(INDEX(楼层配置!$G$5:$G$104,MATCH($K478,楼层配置!$B$5:$B$104,0)),1)</f>
        <v>1</v>
      </c>
      <c r="AD478" s="18">
        <f t="shared" si="59"/>
        <v>-0.585914934614533</v>
      </c>
      <c r="AE478" s="18">
        <f t="shared" si="60"/>
        <v>-0.427481742789949</v>
      </c>
      <c r="AF478" s="18">
        <f t="shared" si="61"/>
        <v>-0.109470295037305</v>
      </c>
      <c r="AG478" s="16" t="str">
        <f t="shared" si="62"/>
        <v>有效</v>
      </c>
      <c r="AH478">
        <f t="shared" si="63"/>
        <v>3724907.79979167</v>
      </c>
    </row>
    <row r="479" ht="14.25" customHeight="1" spans="1:34">
      <c r="A479" s="16">
        <v>475</v>
      </c>
      <c r="B479" s="16">
        <v>1007</v>
      </c>
      <c r="C479" s="16">
        <v>57</v>
      </c>
      <c r="D479" s="17">
        <f>IFERROR(ROUND($U479*$X479*$AA479*参数!$B$13,0),"")</f>
        <v>2117829</v>
      </c>
      <c r="E479" s="17">
        <f>IFERROR(ROUND($V479*$Y479*$AB479*参数!$C$13,0),"")</f>
        <v>30836</v>
      </c>
      <c r="F479" s="17">
        <f>IFERROR(ROUND($W479*$Z479*$AC479*参数!$D$13,0),"")</f>
        <v>35956</v>
      </c>
      <c r="G479" s="16">
        <v>5114478</v>
      </c>
      <c r="H479" s="16">
        <v>53860</v>
      </c>
      <c r="I479" s="16">
        <v>40377</v>
      </c>
      <c r="J479" s="16">
        <v>95</v>
      </c>
      <c r="K479" s="16">
        <v>95</v>
      </c>
      <c r="L479" s="16">
        <f>IFERROR(INDEX(楼层配置!$D$5:$D$104,MATCH($K479,楼层配置!$B$5:$B$104,0)),"")</f>
        <v>274</v>
      </c>
      <c r="M479" s="16" t="str">
        <f>IFERROR(INDEX(_角色基线!$B$2:$B$100,MATCH($B479,_角色基线!$A$2:$A$100,0)),"")</f>
        <v>萨萨莉安</v>
      </c>
      <c r="N479" s="16" t="str">
        <f>IFERROR(INDEX(_角色基线!$C$2:$C$100,MATCH($B479,_角色基线!$A$2:$A$100,0)),"")</f>
        <v>Support</v>
      </c>
      <c r="O479" s="16">
        <f>IFERROR(INDEX(_怪物基线!$B$2:$B$501,MATCH(INT($L479),_怪物基线!$A$2:$A$501,0)),"")</f>
        <v>374479</v>
      </c>
      <c r="P479" s="16">
        <f>IFERROR(INDEX(_怪物基线!$C$2:$C$501,MATCH(INT($L479),_怪物基线!$A$2:$A$501,0)),"")</f>
        <v>35362</v>
      </c>
      <c r="Q479" s="16">
        <f>IFERROR(INDEX(_怪物基线!$D$2:$D$501,MATCH(INT($L479),_怪物基线!$A$2:$A$501,0)),"")</f>
        <v>28765</v>
      </c>
      <c r="R479" s="16">
        <f>参数!$B$10</f>
        <v>4</v>
      </c>
      <c r="S479" s="16">
        <f>参数!$C$10</f>
        <v>1.2</v>
      </c>
      <c r="T479" s="16">
        <f>参数!$D$10</f>
        <v>1</v>
      </c>
      <c r="U479" s="16">
        <f t="shared" si="56"/>
        <v>1497916</v>
      </c>
      <c r="V479" s="16">
        <f t="shared" si="57"/>
        <v>42434.4</v>
      </c>
      <c r="W479" s="16">
        <f t="shared" si="58"/>
        <v>28765</v>
      </c>
      <c r="X479" s="16">
        <f>IFERROR(INDEX(参数!$B$5:$B$7,MATCH($N479,参数!$A$5:$A$7,0)),"")</f>
        <v>1.25</v>
      </c>
      <c r="Y479" s="16">
        <f>IFERROR(INDEX(参数!$C$5:$C$7,MATCH($N479,参数!$A$5:$A$7,0)),"")</f>
        <v>1</v>
      </c>
      <c r="Z479" s="16">
        <f>IFERROR(INDEX(参数!$D$5:$D$7,MATCH($N479,参数!$A$5:$A$7,0)),"")</f>
        <v>1.25</v>
      </c>
      <c r="AA479" s="16">
        <f>IFERROR(INDEX(楼层配置!$E$5:$E$104,MATCH($K479,楼层配置!$B$5:$B$104,0)),1)</f>
        <v>1.13108015591293</v>
      </c>
      <c r="AB479" s="16">
        <f>IFERROR(INDEX(楼层配置!$F$5:$F$104,MATCH($K479,楼层配置!$B$5:$B$104,0)),1)</f>
        <v>0.726679309784578</v>
      </c>
      <c r="AC479" s="16">
        <f>IFERROR(INDEX(楼层配置!$G$5:$G$104,MATCH($K479,楼层配置!$B$5:$B$104,0)),1)</f>
        <v>1</v>
      </c>
      <c r="AD479" s="18">
        <f t="shared" si="59"/>
        <v>-0.585914926215344</v>
      </c>
      <c r="AE479" s="18">
        <f t="shared" si="60"/>
        <v>-0.427478648347568</v>
      </c>
      <c r="AF479" s="18">
        <f t="shared" si="61"/>
        <v>-0.109493028209129</v>
      </c>
      <c r="AG479" s="16" t="str">
        <f t="shared" si="62"/>
        <v>有效</v>
      </c>
      <c r="AH479">
        <f t="shared" si="63"/>
        <v>5290689.8135</v>
      </c>
    </row>
    <row r="480" ht="14.25" customHeight="1" spans="1:34">
      <c r="A480" s="16">
        <v>476</v>
      </c>
      <c r="B480" s="16">
        <v>1003</v>
      </c>
      <c r="C480" s="16">
        <v>58</v>
      </c>
      <c r="D480" s="17">
        <f>IFERROR(ROUND($U480*$X480*$AA480*参数!$B$13,0),"")</f>
        <v>2564024</v>
      </c>
      <c r="E480" s="17">
        <f>IFERROR(ROUND($V480*$Y480*$AB480*参数!$C$13,0),"")</f>
        <v>31098</v>
      </c>
      <c r="F480" s="17">
        <f>IFERROR(ROUND($W480*$Z480*$AC480*参数!$D$13,0),"")</f>
        <v>43352</v>
      </c>
      <c r="G480" s="16">
        <v>6319612</v>
      </c>
      <c r="H480" s="16">
        <v>55231</v>
      </c>
      <c r="I480" s="16">
        <v>49158</v>
      </c>
      <c r="J480" s="16">
        <v>96</v>
      </c>
      <c r="K480" s="16">
        <v>96</v>
      </c>
      <c r="L480" s="16">
        <f>IFERROR(INDEX(楼层配置!$D$5:$D$104,MATCH($K480,楼层配置!$B$5:$B$104,0)),"")</f>
        <v>275</v>
      </c>
      <c r="M480" s="16" t="str">
        <f>IFERROR(INDEX(_角色基线!$B$2:$B$100,MATCH($B480,_角色基线!$A$2:$A$100,0)),"")</f>
        <v>塔拉夏</v>
      </c>
      <c r="N480" s="16" t="str">
        <f>IFERROR(INDEX(_角色基线!$C$2:$C$100,MATCH($B480,_角色基线!$A$2:$A$100,0)),"")</f>
        <v>Tank</v>
      </c>
      <c r="O480" s="16">
        <f>IFERROR(INDEX(_怪物基线!$B$2:$B$501,MATCH(INT($L480),_怪物基线!$A$2:$A$501,0)),"")</f>
        <v>378201</v>
      </c>
      <c r="P480" s="16">
        <f>IFERROR(INDEX(_怪物基线!$C$2:$C$501,MATCH(INT($L480),_怪物基线!$A$2:$A$501,0)),"")</f>
        <v>35624</v>
      </c>
      <c r="Q480" s="16">
        <f>IFERROR(INDEX(_怪物基线!$D$2:$D$501,MATCH(INT($L480),_怪物基线!$A$2:$A$501,0)),"")</f>
        <v>28901</v>
      </c>
      <c r="R480" s="16">
        <f>参数!$B$10</f>
        <v>4</v>
      </c>
      <c r="S480" s="16">
        <f>参数!$C$10</f>
        <v>1.2</v>
      </c>
      <c r="T480" s="16">
        <f>参数!$D$10</f>
        <v>1</v>
      </c>
      <c r="U480" s="16">
        <f t="shared" si="56"/>
        <v>1512804</v>
      </c>
      <c r="V480" s="16">
        <f t="shared" si="57"/>
        <v>42748.8</v>
      </c>
      <c r="W480" s="16">
        <f t="shared" si="58"/>
        <v>28901</v>
      </c>
      <c r="X480" s="16">
        <f>IFERROR(INDEX(参数!$B$5:$B$7,MATCH($N480,参数!$A$5:$A$7,0)),"")</f>
        <v>1.5</v>
      </c>
      <c r="Y480" s="16">
        <f>IFERROR(INDEX(参数!$C$5:$C$7,MATCH($N480,参数!$A$5:$A$7,0)),"")</f>
        <v>1</v>
      </c>
      <c r="Z480" s="16">
        <f>IFERROR(INDEX(参数!$D$5:$D$7,MATCH($N480,参数!$A$5:$A$7,0)),"")</f>
        <v>1.5</v>
      </c>
      <c r="AA480" s="16">
        <f>IFERROR(INDEX(楼层配置!$E$5:$E$104,MATCH($K480,楼层配置!$B$5:$B$104,0)),1)</f>
        <v>1.12992115373711</v>
      </c>
      <c r="AB480" s="16">
        <f>IFERROR(INDEX(楼层配置!$F$5:$F$104,MATCH($K480,楼层配置!$B$5:$B$104,0)),1)</f>
        <v>0.727469632812953</v>
      </c>
      <c r="AC480" s="16">
        <f>IFERROR(INDEX(楼层配置!$G$5:$G$104,MATCH($K480,楼层配置!$B$5:$B$104,0)),1)</f>
        <v>1</v>
      </c>
      <c r="AD480" s="18">
        <f t="shared" si="59"/>
        <v>-0.594275091572078</v>
      </c>
      <c r="AE480" s="18">
        <f t="shared" si="60"/>
        <v>-0.436946642284224</v>
      </c>
      <c r="AF480" s="18">
        <f t="shared" si="61"/>
        <v>-0.118108954798812</v>
      </c>
      <c r="AG480" s="16" t="str">
        <f t="shared" si="62"/>
        <v>有效</v>
      </c>
      <c r="AH480">
        <f t="shared" si="63"/>
        <v>7195506.01866667</v>
      </c>
    </row>
    <row r="481" ht="14.25" customHeight="1" spans="1:34">
      <c r="A481" s="16">
        <v>477</v>
      </c>
      <c r="B481" s="16">
        <v>1017</v>
      </c>
      <c r="C481" s="16">
        <v>58</v>
      </c>
      <c r="D481" s="17">
        <f>IFERROR(ROUND($U481*$X481*$AA481*参数!$B$13,0),"")</f>
        <v>1709349</v>
      </c>
      <c r="E481" s="17">
        <f>IFERROR(ROUND($V481*$Y481*$AB481*参数!$C$13,0),"")</f>
        <v>37318</v>
      </c>
      <c r="F481" s="17">
        <f>IFERROR(ROUND($W481*$Z481*$AC481*参数!$D$13,0),"")</f>
        <v>28901</v>
      </c>
      <c r="G481" s="16">
        <v>4213075</v>
      </c>
      <c r="H481" s="16">
        <v>66277</v>
      </c>
      <c r="I481" s="16">
        <v>32772</v>
      </c>
      <c r="J481" s="16">
        <v>96</v>
      </c>
      <c r="K481" s="16">
        <v>96</v>
      </c>
      <c r="L481" s="16">
        <f>IFERROR(INDEX(楼层配置!$D$5:$D$104,MATCH($K481,楼层配置!$B$5:$B$104,0)),"")</f>
        <v>275</v>
      </c>
      <c r="M481" s="16" t="str">
        <f>IFERROR(INDEX(_角色基线!$B$2:$B$100,MATCH($B481,_角色基线!$A$2:$A$100,0)),"")</f>
        <v>伊戈尔</v>
      </c>
      <c r="N481" s="16" t="str">
        <f>IFERROR(INDEX(_角色基线!$C$2:$C$100,MATCH($B481,_角色基线!$A$2:$A$100,0)),"")</f>
        <v>DPS</v>
      </c>
      <c r="O481" s="16">
        <f>IFERROR(INDEX(_怪物基线!$B$2:$B$501,MATCH(INT($L481),_怪物基线!$A$2:$A$501,0)),"")</f>
        <v>378201</v>
      </c>
      <c r="P481" s="16">
        <f>IFERROR(INDEX(_怪物基线!$C$2:$C$501,MATCH(INT($L481),_怪物基线!$A$2:$A$501,0)),"")</f>
        <v>35624</v>
      </c>
      <c r="Q481" s="16">
        <f>IFERROR(INDEX(_怪物基线!$D$2:$D$501,MATCH(INT($L481),_怪物基线!$A$2:$A$501,0)),"")</f>
        <v>28901</v>
      </c>
      <c r="R481" s="16">
        <f>参数!$B$10</f>
        <v>4</v>
      </c>
      <c r="S481" s="16">
        <f>参数!$C$10</f>
        <v>1.2</v>
      </c>
      <c r="T481" s="16">
        <f>参数!$D$10</f>
        <v>1</v>
      </c>
      <c r="U481" s="16">
        <f t="shared" si="56"/>
        <v>1512804</v>
      </c>
      <c r="V481" s="16">
        <f t="shared" si="57"/>
        <v>42748.8</v>
      </c>
      <c r="W481" s="16">
        <f t="shared" si="58"/>
        <v>28901</v>
      </c>
      <c r="X481" s="16">
        <f>IFERROR(INDEX(参数!$B$5:$B$7,MATCH($N481,参数!$A$5:$A$7,0)),"")</f>
        <v>1</v>
      </c>
      <c r="Y481" s="16">
        <f>IFERROR(INDEX(参数!$C$5:$C$7,MATCH($N481,参数!$A$5:$A$7,0)),"")</f>
        <v>1.2</v>
      </c>
      <c r="Z481" s="16">
        <f>IFERROR(INDEX(参数!$D$5:$D$7,MATCH($N481,参数!$A$5:$A$7,0)),"")</f>
        <v>1</v>
      </c>
      <c r="AA481" s="16">
        <f>IFERROR(INDEX(楼层配置!$E$5:$E$104,MATCH($K481,楼层配置!$B$5:$B$104,0)),1)</f>
        <v>1.12992115373711</v>
      </c>
      <c r="AB481" s="16">
        <f>IFERROR(INDEX(楼层配置!$F$5:$F$104,MATCH($K481,楼层配置!$B$5:$B$104,0)),1)</f>
        <v>0.727469632812953</v>
      </c>
      <c r="AC481" s="16">
        <f>IFERROR(INDEX(楼层配置!$G$5:$G$104,MATCH($K481,楼层配置!$B$5:$B$104,0)),1)</f>
        <v>1</v>
      </c>
      <c r="AD481" s="18">
        <f t="shared" si="59"/>
        <v>-0.59427520279131</v>
      </c>
      <c r="AE481" s="18">
        <f t="shared" si="60"/>
        <v>-0.436938907916774</v>
      </c>
      <c r="AF481" s="18">
        <f t="shared" si="61"/>
        <v>-0.118119126083242</v>
      </c>
      <c r="AG481" s="16" t="str">
        <f t="shared" si="62"/>
        <v>有效</v>
      </c>
      <c r="AH481">
        <f t="shared" si="63"/>
        <v>3767761.310375</v>
      </c>
    </row>
    <row r="482" ht="14.25" customHeight="1" spans="1:34">
      <c r="A482" s="16">
        <v>478</v>
      </c>
      <c r="B482" s="16">
        <v>1008</v>
      </c>
      <c r="C482" s="16">
        <v>58</v>
      </c>
      <c r="D482" s="17">
        <f>IFERROR(ROUND($U482*$X482*$AA482*参数!$B$13,0),"")</f>
        <v>1709349</v>
      </c>
      <c r="E482" s="17">
        <f>IFERROR(ROUND($V482*$Y482*$AB482*参数!$C$13,0),"")</f>
        <v>37318</v>
      </c>
      <c r="F482" s="17">
        <f>IFERROR(ROUND($W482*$Z482*$AC482*参数!$D$13,0),"")</f>
        <v>28901</v>
      </c>
      <c r="G482" s="16">
        <v>4213075</v>
      </c>
      <c r="H482" s="16">
        <v>66277</v>
      </c>
      <c r="I482" s="16">
        <v>32772</v>
      </c>
      <c r="J482" s="16">
        <v>96</v>
      </c>
      <c r="K482" s="16">
        <v>96</v>
      </c>
      <c r="L482" s="16">
        <f>IFERROR(INDEX(楼层配置!$D$5:$D$104,MATCH($K482,楼层配置!$B$5:$B$104,0)),"")</f>
        <v>275</v>
      </c>
      <c r="M482" s="16" t="str">
        <f>IFERROR(INDEX(_角色基线!$B$2:$B$100,MATCH($B482,_角色基线!$A$2:$A$100,0)),"")</f>
        <v>薇</v>
      </c>
      <c r="N482" s="16" t="str">
        <f>IFERROR(INDEX(_角色基线!$C$2:$C$100,MATCH($B482,_角色基线!$A$2:$A$100,0)),"")</f>
        <v>DPS</v>
      </c>
      <c r="O482" s="16">
        <f>IFERROR(INDEX(_怪物基线!$B$2:$B$501,MATCH(INT($L482),_怪物基线!$A$2:$A$501,0)),"")</f>
        <v>378201</v>
      </c>
      <c r="P482" s="16">
        <f>IFERROR(INDEX(_怪物基线!$C$2:$C$501,MATCH(INT($L482),_怪物基线!$A$2:$A$501,0)),"")</f>
        <v>35624</v>
      </c>
      <c r="Q482" s="16">
        <f>IFERROR(INDEX(_怪物基线!$D$2:$D$501,MATCH(INT($L482),_怪物基线!$A$2:$A$501,0)),"")</f>
        <v>28901</v>
      </c>
      <c r="R482" s="16">
        <f>参数!$B$10</f>
        <v>4</v>
      </c>
      <c r="S482" s="16">
        <f>参数!$C$10</f>
        <v>1.2</v>
      </c>
      <c r="T482" s="16">
        <f>参数!$D$10</f>
        <v>1</v>
      </c>
      <c r="U482" s="16">
        <f t="shared" si="56"/>
        <v>1512804</v>
      </c>
      <c r="V482" s="16">
        <f t="shared" si="57"/>
        <v>42748.8</v>
      </c>
      <c r="W482" s="16">
        <f t="shared" si="58"/>
        <v>28901</v>
      </c>
      <c r="X482" s="16">
        <f>IFERROR(INDEX(参数!$B$5:$B$7,MATCH($N482,参数!$A$5:$A$7,0)),"")</f>
        <v>1</v>
      </c>
      <c r="Y482" s="16">
        <f>IFERROR(INDEX(参数!$C$5:$C$7,MATCH($N482,参数!$A$5:$A$7,0)),"")</f>
        <v>1.2</v>
      </c>
      <c r="Z482" s="16">
        <f>IFERROR(INDEX(参数!$D$5:$D$7,MATCH($N482,参数!$A$5:$A$7,0)),"")</f>
        <v>1</v>
      </c>
      <c r="AA482" s="16">
        <f>IFERROR(INDEX(楼层配置!$E$5:$E$104,MATCH($K482,楼层配置!$B$5:$B$104,0)),1)</f>
        <v>1.12992115373711</v>
      </c>
      <c r="AB482" s="16">
        <f>IFERROR(INDEX(楼层配置!$F$5:$F$104,MATCH($K482,楼层配置!$B$5:$B$104,0)),1)</f>
        <v>0.727469632812953</v>
      </c>
      <c r="AC482" s="16">
        <f>IFERROR(INDEX(楼层配置!$G$5:$G$104,MATCH($K482,楼层配置!$B$5:$B$104,0)),1)</f>
        <v>1</v>
      </c>
      <c r="AD482" s="18">
        <f t="shared" si="59"/>
        <v>-0.59427520279131</v>
      </c>
      <c r="AE482" s="18">
        <f t="shared" si="60"/>
        <v>-0.436938907916774</v>
      </c>
      <c r="AF482" s="18">
        <f t="shared" si="61"/>
        <v>-0.118119126083242</v>
      </c>
      <c r="AG482" s="16" t="str">
        <f t="shared" si="62"/>
        <v>有效</v>
      </c>
      <c r="AH482">
        <f t="shared" si="63"/>
        <v>3767761.310375</v>
      </c>
    </row>
    <row r="483" ht="14.25" customHeight="1" spans="1:34">
      <c r="A483" s="16">
        <v>479</v>
      </c>
      <c r="B483" s="16">
        <v>1007</v>
      </c>
      <c r="C483" s="16">
        <v>58</v>
      </c>
      <c r="D483" s="17">
        <f>IFERROR(ROUND($U483*$X483*$AA483*参数!$B$13,0),"")</f>
        <v>2136687</v>
      </c>
      <c r="E483" s="17">
        <f>IFERROR(ROUND($V483*$Y483*$AB483*参数!$C$13,0),"")</f>
        <v>31098</v>
      </c>
      <c r="F483" s="17">
        <f>IFERROR(ROUND($W483*$Z483*$AC483*参数!$D$13,0),"")</f>
        <v>36126</v>
      </c>
      <c r="G483" s="16">
        <v>5266344</v>
      </c>
      <c r="H483" s="16">
        <v>55231</v>
      </c>
      <c r="I483" s="16">
        <v>40965</v>
      </c>
      <c r="J483" s="16">
        <v>96</v>
      </c>
      <c r="K483" s="16">
        <v>96</v>
      </c>
      <c r="L483" s="16">
        <f>IFERROR(INDEX(楼层配置!$D$5:$D$104,MATCH($K483,楼层配置!$B$5:$B$104,0)),"")</f>
        <v>275</v>
      </c>
      <c r="M483" s="16" t="str">
        <f>IFERROR(INDEX(_角色基线!$B$2:$B$100,MATCH($B483,_角色基线!$A$2:$A$100,0)),"")</f>
        <v>萨萨莉安</v>
      </c>
      <c r="N483" s="16" t="str">
        <f>IFERROR(INDEX(_角色基线!$C$2:$C$100,MATCH($B483,_角色基线!$A$2:$A$100,0)),"")</f>
        <v>Support</v>
      </c>
      <c r="O483" s="16">
        <f>IFERROR(INDEX(_怪物基线!$B$2:$B$501,MATCH(INT($L483),_怪物基线!$A$2:$A$501,0)),"")</f>
        <v>378201</v>
      </c>
      <c r="P483" s="16">
        <f>IFERROR(INDEX(_怪物基线!$C$2:$C$501,MATCH(INT($L483),_怪物基线!$A$2:$A$501,0)),"")</f>
        <v>35624</v>
      </c>
      <c r="Q483" s="16">
        <f>IFERROR(INDEX(_怪物基线!$D$2:$D$501,MATCH(INT($L483),_怪物基线!$A$2:$A$501,0)),"")</f>
        <v>28901</v>
      </c>
      <c r="R483" s="16">
        <f>参数!$B$10</f>
        <v>4</v>
      </c>
      <c r="S483" s="16">
        <f>参数!$C$10</f>
        <v>1.2</v>
      </c>
      <c r="T483" s="16">
        <f>参数!$D$10</f>
        <v>1</v>
      </c>
      <c r="U483" s="16">
        <f t="shared" si="56"/>
        <v>1512804</v>
      </c>
      <c r="V483" s="16">
        <f t="shared" si="57"/>
        <v>42748.8</v>
      </c>
      <c r="W483" s="16">
        <f t="shared" si="58"/>
        <v>28901</v>
      </c>
      <c r="X483" s="16">
        <f>IFERROR(INDEX(参数!$B$5:$B$7,MATCH($N483,参数!$A$5:$A$7,0)),"")</f>
        <v>1.25</v>
      </c>
      <c r="Y483" s="16">
        <f>IFERROR(INDEX(参数!$C$5:$C$7,MATCH($N483,参数!$A$5:$A$7,0)),"")</f>
        <v>1</v>
      </c>
      <c r="Z483" s="16">
        <f>IFERROR(INDEX(参数!$D$5:$D$7,MATCH($N483,参数!$A$5:$A$7,0)),"")</f>
        <v>1.25</v>
      </c>
      <c r="AA483" s="16">
        <f>IFERROR(INDEX(楼层配置!$E$5:$E$104,MATCH($K483,楼层配置!$B$5:$B$104,0)),1)</f>
        <v>1.12992115373711</v>
      </c>
      <c r="AB483" s="16">
        <f>IFERROR(INDEX(楼层配置!$F$5:$F$104,MATCH($K483,楼层配置!$B$5:$B$104,0)),1)</f>
        <v>0.727469632812953</v>
      </c>
      <c r="AC483" s="16">
        <f>IFERROR(INDEX(楼层配置!$G$5:$G$104,MATCH($K483,楼层配置!$B$5:$B$104,0)),1)</f>
        <v>1</v>
      </c>
      <c r="AD483" s="18">
        <f t="shared" si="59"/>
        <v>-0.59427507963779</v>
      </c>
      <c r="AE483" s="18">
        <f t="shared" si="60"/>
        <v>-0.436946642284224</v>
      </c>
      <c r="AF483" s="18">
        <f t="shared" si="61"/>
        <v>-0.1181252288539</v>
      </c>
      <c r="AG483" s="16" t="str">
        <f t="shared" si="62"/>
        <v>有效</v>
      </c>
      <c r="AH483">
        <f t="shared" si="63"/>
        <v>5352935.10675</v>
      </c>
    </row>
    <row r="484" ht="14.25" customHeight="1" spans="1:34">
      <c r="A484" s="16">
        <v>480</v>
      </c>
      <c r="B484" s="16">
        <v>1005</v>
      </c>
      <c r="C484" s="16">
        <v>58</v>
      </c>
      <c r="D484" s="17">
        <f>IFERROR(ROUND($U484*$X484*$AA484*参数!$B$13,0),"")</f>
        <v>1709349</v>
      </c>
      <c r="E484" s="17">
        <f>IFERROR(ROUND($V484*$Y484*$AB484*参数!$C$13,0),"")</f>
        <v>37318</v>
      </c>
      <c r="F484" s="17">
        <f>IFERROR(ROUND($W484*$Z484*$AC484*参数!$D$13,0),"")</f>
        <v>28901</v>
      </c>
      <c r="G484" s="16">
        <v>4213075</v>
      </c>
      <c r="H484" s="16">
        <v>66277</v>
      </c>
      <c r="I484" s="16">
        <v>32772</v>
      </c>
      <c r="J484" s="16">
        <v>96</v>
      </c>
      <c r="K484" s="16">
        <v>96</v>
      </c>
      <c r="L484" s="16">
        <f>IFERROR(INDEX(楼层配置!$D$5:$D$104,MATCH($K484,楼层配置!$B$5:$B$104,0)),"")</f>
        <v>275</v>
      </c>
      <c r="M484" s="16" t="str">
        <f>IFERROR(INDEX(_角色基线!$B$2:$B$100,MATCH($B484,_角色基线!$A$2:$A$100,0)),"")</f>
        <v>陈单单</v>
      </c>
      <c r="N484" s="16" t="str">
        <f>IFERROR(INDEX(_角色基线!$C$2:$C$100,MATCH($B484,_角色基线!$A$2:$A$100,0)),"")</f>
        <v>DPS</v>
      </c>
      <c r="O484" s="16">
        <f>IFERROR(INDEX(_怪物基线!$B$2:$B$501,MATCH(INT($L484),_怪物基线!$A$2:$A$501,0)),"")</f>
        <v>378201</v>
      </c>
      <c r="P484" s="16">
        <f>IFERROR(INDEX(_怪物基线!$C$2:$C$501,MATCH(INT($L484),_怪物基线!$A$2:$A$501,0)),"")</f>
        <v>35624</v>
      </c>
      <c r="Q484" s="16">
        <f>IFERROR(INDEX(_怪物基线!$D$2:$D$501,MATCH(INT($L484),_怪物基线!$A$2:$A$501,0)),"")</f>
        <v>28901</v>
      </c>
      <c r="R484" s="16">
        <f>参数!$B$10</f>
        <v>4</v>
      </c>
      <c r="S484" s="16">
        <f>参数!$C$10</f>
        <v>1.2</v>
      </c>
      <c r="T484" s="16">
        <f>参数!$D$10</f>
        <v>1</v>
      </c>
      <c r="U484" s="16">
        <f t="shared" si="56"/>
        <v>1512804</v>
      </c>
      <c r="V484" s="16">
        <f t="shared" si="57"/>
        <v>42748.8</v>
      </c>
      <c r="W484" s="16">
        <f t="shared" si="58"/>
        <v>28901</v>
      </c>
      <c r="X484" s="16">
        <f>IFERROR(INDEX(参数!$B$5:$B$7,MATCH($N484,参数!$A$5:$A$7,0)),"")</f>
        <v>1</v>
      </c>
      <c r="Y484" s="16">
        <f>IFERROR(INDEX(参数!$C$5:$C$7,MATCH($N484,参数!$A$5:$A$7,0)),"")</f>
        <v>1.2</v>
      </c>
      <c r="Z484" s="16">
        <f>IFERROR(INDEX(参数!$D$5:$D$7,MATCH($N484,参数!$A$5:$A$7,0)),"")</f>
        <v>1</v>
      </c>
      <c r="AA484" s="16">
        <f>IFERROR(INDEX(楼层配置!$E$5:$E$104,MATCH($K484,楼层配置!$B$5:$B$104,0)),1)</f>
        <v>1.12992115373711</v>
      </c>
      <c r="AB484" s="16">
        <f>IFERROR(INDEX(楼层配置!$F$5:$F$104,MATCH($K484,楼层配置!$B$5:$B$104,0)),1)</f>
        <v>0.727469632812953</v>
      </c>
      <c r="AC484" s="16">
        <f>IFERROR(INDEX(楼层配置!$G$5:$G$104,MATCH($K484,楼层配置!$B$5:$B$104,0)),1)</f>
        <v>1</v>
      </c>
      <c r="AD484" s="18">
        <f t="shared" si="59"/>
        <v>-0.59427520279131</v>
      </c>
      <c r="AE484" s="18">
        <f t="shared" si="60"/>
        <v>-0.436938907916774</v>
      </c>
      <c r="AF484" s="18">
        <f t="shared" si="61"/>
        <v>-0.118119126083242</v>
      </c>
      <c r="AG484" s="16" t="str">
        <f t="shared" si="62"/>
        <v>有效</v>
      </c>
      <c r="AH484">
        <f t="shared" si="63"/>
        <v>3767761.310375</v>
      </c>
    </row>
    <row r="485" ht="14.25" customHeight="1" spans="1:34">
      <c r="A485" s="16">
        <v>481</v>
      </c>
      <c r="B485" s="16">
        <v>1004</v>
      </c>
      <c r="C485" s="16">
        <v>58</v>
      </c>
      <c r="D485" s="17">
        <f>IFERROR(ROUND($U485*$X485*$AA485*参数!$B$13,0),"")</f>
        <v>2586965</v>
      </c>
      <c r="E485" s="17">
        <f>IFERROR(ROUND($V485*$Y485*$AB485*参数!$C$13,0),"")</f>
        <v>31365</v>
      </c>
      <c r="F485" s="17">
        <f>IFERROR(ROUND($W485*$Z485*$AC485*参数!$D$13,0),"")</f>
        <v>43557</v>
      </c>
      <c r="G485" s="16">
        <v>6505956</v>
      </c>
      <c r="H485" s="16">
        <v>56638</v>
      </c>
      <c r="I485" s="16">
        <v>49868</v>
      </c>
      <c r="J485" s="16">
        <v>97</v>
      </c>
      <c r="K485" s="16">
        <v>97</v>
      </c>
      <c r="L485" s="16">
        <f>IFERROR(INDEX(楼层配置!$D$5:$D$104,MATCH($K485,楼层配置!$B$5:$B$104,0)),"")</f>
        <v>276</v>
      </c>
      <c r="M485" s="16" t="str">
        <f>IFERROR(INDEX(_角色基线!$B$2:$B$100,MATCH($B485,_角色基线!$A$2:$A$100,0)),"")</f>
        <v>阿芭</v>
      </c>
      <c r="N485" s="16" t="str">
        <f>IFERROR(INDEX(_角色基线!$C$2:$C$100,MATCH($B485,_角色基线!$A$2:$A$100,0)),"")</f>
        <v>Tank</v>
      </c>
      <c r="O485" s="16">
        <f>IFERROR(INDEX(_怪物基线!$B$2:$B$501,MATCH(INT($L485),_怪物基线!$A$2:$A$501,0)),"")</f>
        <v>381951</v>
      </c>
      <c r="P485" s="16">
        <f>IFERROR(INDEX(_怪物基线!$C$2:$C$501,MATCH(INT($L485),_怪物基线!$A$2:$A$501,0)),"")</f>
        <v>35889</v>
      </c>
      <c r="Q485" s="16">
        <f>IFERROR(INDEX(_怪物基线!$D$2:$D$501,MATCH(INT($L485),_怪物基线!$A$2:$A$501,0)),"")</f>
        <v>29038</v>
      </c>
      <c r="R485" s="16">
        <f>参数!$B$10</f>
        <v>4</v>
      </c>
      <c r="S485" s="16">
        <f>参数!$C$10</f>
        <v>1.2</v>
      </c>
      <c r="T485" s="16">
        <f>参数!$D$10</f>
        <v>1</v>
      </c>
      <c r="U485" s="16">
        <f t="shared" si="56"/>
        <v>1527804</v>
      </c>
      <c r="V485" s="16">
        <f t="shared" si="57"/>
        <v>43066.8</v>
      </c>
      <c r="W485" s="16">
        <f t="shared" si="58"/>
        <v>29038</v>
      </c>
      <c r="X485" s="16">
        <f>IFERROR(INDEX(参数!$B$5:$B$7,MATCH($N485,参数!$A$5:$A$7,0)),"")</f>
        <v>1.5</v>
      </c>
      <c r="Y485" s="16">
        <f>IFERROR(INDEX(参数!$C$5:$C$7,MATCH($N485,参数!$A$5:$A$7,0)),"")</f>
        <v>1</v>
      </c>
      <c r="Z485" s="16">
        <f>IFERROR(INDEX(参数!$D$5:$D$7,MATCH($N485,参数!$A$5:$A$7,0)),"")</f>
        <v>1.5</v>
      </c>
      <c r="AA485" s="16">
        <f>IFERROR(INDEX(楼层配置!$E$5:$E$104,MATCH($K485,楼层配置!$B$5:$B$104,0)),1)</f>
        <v>1.12883809996263</v>
      </c>
      <c r="AB485" s="16">
        <f>IFERROR(INDEX(楼层配置!$F$5:$F$104,MATCH($K485,楼层配置!$B$5:$B$104,0)),1)</f>
        <v>0.728293310358997</v>
      </c>
      <c r="AC485" s="16">
        <f>IFERROR(INDEX(楼层配置!$G$5:$G$104,MATCH($K485,楼层配置!$B$5:$B$104,0)),1)</f>
        <v>1</v>
      </c>
      <c r="AD485" s="18">
        <f t="shared" si="59"/>
        <v>-0.602369736284721</v>
      </c>
      <c r="AE485" s="18">
        <f t="shared" si="60"/>
        <v>-0.446219852395918</v>
      </c>
      <c r="AF485" s="18">
        <f t="shared" si="61"/>
        <v>-0.126554102831475</v>
      </c>
      <c r="AG485" s="16" t="str">
        <f t="shared" si="62"/>
        <v>有效</v>
      </c>
      <c r="AH485">
        <f t="shared" si="63"/>
        <v>7281983.104375</v>
      </c>
    </row>
    <row r="486" ht="14.25" customHeight="1" spans="1:34">
      <c r="A486" s="16">
        <v>482</v>
      </c>
      <c r="B486" s="16">
        <v>1017</v>
      </c>
      <c r="C486" s="16">
        <v>58</v>
      </c>
      <c r="D486" s="17">
        <f>IFERROR(ROUND($U486*$X486*$AA486*参数!$B$13,0),"")</f>
        <v>1724643</v>
      </c>
      <c r="E486" s="17">
        <f>IFERROR(ROUND($V486*$Y486*$AB486*参数!$C$13,0),"")</f>
        <v>37638</v>
      </c>
      <c r="F486" s="17">
        <f>IFERROR(ROUND($W486*$Z486*$AC486*参数!$D$13,0),"")</f>
        <v>29038</v>
      </c>
      <c r="G486" s="16">
        <v>4337304</v>
      </c>
      <c r="H486" s="16">
        <v>67965</v>
      </c>
      <c r="I486" s="16">
        <v>33245</v>
      </c>
      <c r="J486" s="16">
        <v>97</v>
      </c>
      <c r="K486" s="16">
        <v>97</v>
      </c>
      <c r="L486" s="16">
        <f>IFERROR(INDEX(楼层配置!$D$5:$D$104,MATCH($K486,楼层配置!$B$5:$B$104,0)),"")</f>
        <v>276</v>
      </c>
      <c r="M486" s="16" t="str">
        <f>IFERROR(INDEX(_角色基线!$B$2:$B$100,MATCH($B486,_角色基线!$A$2:$A$100,0)),"")</f>
        <v>伊戈尔</v>
      </c>
      <c r="N486" s="16" t="str">
        <f>IFERROR(INDEX(_角色基线!$C$2:$C$100,MATCH($B486,_角色基线!$A$2:$A$100,0)),"")</f>
        <v>DPS</v>
      </c>
      <c r="O486" s="16">
        <f>IFERROR(INDEX(_怪物基线!$B$2:$B$501,MATCH(INT($L486),_怪物基线!$A$2:$A$501,0)),"")</f>
        <v>381951</v>
      </c>
      <c r="P486" s="16">
        <f>IFERROR(INDEX(_怪物基线!$C$2:$C$501,MATCH(INT($L486),_怪物基线!$A$2:$A$501,0)),"")</f>
        <v>35889</v>
      </c>
      <c r="Q486" s="16">
        <f>IFERROR(INDEX(_怪物基线!$D$2:$D$501,MATCH(INT($L486),_怪物基线!$A$2:$A$501,0)),"")</f>
        <v>29038</v>
      </c>
      <c r="R486" s="16">
        <f>参数!$B$10</f>
        <v>4</v>
      </c>
      <c r="S486" s="16">
        <f>参数!$C$10</f>
        <v>1.2</v>
      </c>
      <c r="T486" s="16">
        <f>参数!$D$10</f>
        <v>1</v>
      </c>
      <c r="U486" s="16">
        <f t="shared" si="56"/>
        <v>1527804</v>
      </c>
      <c r="V486" s="16">
        <f t="shared" si="57"/>
        <v>43066.8</v>
      </c>
      <c r="W486" s="16">
        <f t="shared" si="58"/>
        <v>29038</v>
      </c>
      <c r="X486" s="16">
        <f>IFERROR(INDEX(参数!$B$5:$B$7,MATCH($N486,参数!$A$5:$A$7,0)),"")</f>
        <v>1</v>
      </c>
      <c r="Y486" s="16">
        <f>IFERROR(INDEX(参数!$C$5:$C$7,MATCH($N486,参数!$A$5:$A$7,0)),"")</f>
        <v>1.2</v>
      </c>
      <c r="Z486" s="16">
        <f>IFERROR(INDEX(参数!$D$5:$D$7,MATCH($N486,参数!$A$5:$A$7,0)),"")</f>
        <v>1</v>
      </c>
      <c r="AA486" s="16">
        <f>IFERROR(INDEX(楼层配置!$E$5:$E$104,MATCH($K486,楼层配置!$B$5:$B$104,0)),1)</f>
        <v>1.12883809996263</v>
      </c>
      <c r="AB486" s="16">
        <f>IFERROR(INDEX(楼层配置!$F$5:$F$104,MATCH($K486,楼层配置!$B$5:$B$104,0)),1)</f>
        <v>0.728293310358997</v>
      </c>
      <c r="AC486" s="16">
        <f>IFERROR(INDEX(楼层配置!$G$5:$G$104,MATCH($K486,楼层配置!$B$5:$B$104,0)),1)</f>
        <v>1</v>
      </c>
      <c r="AD486" s="18">
        <f t="shared" si="59"/>
        <v>-0.602369813137378</v>
      </c>
      <c r="AE486" s="18">
        <f t="shared" si="60"/>
        <v>-0.446214963584198</v>
      </c>
      <c r="AF486" s="18">
        <f t="shared" si="61"/>
        <v>-0.126545345164686</v>
      </c>
      <c r="AG486" s="16" t="str">
        <f t="shared" si="62"/>
        <v>有效</v>
      </c>
      <c r="AH486">
        <f t="shared" si="63"/>
        <v>3811317.30975</v>
      </c>
    </row>
    <row r="487" ht="14.25" customHeight="1" spans="1:34">
      <c r="A487" s="16">
        <v>483</v>
      </c>
      <c r="B487" s="16">
        <v>1007</v>
      </c>
      <c r="C487" s="16">
        <v>58</v>
      </c>
      <c r="D487" s="17">
        <f>IFERROR(ROUND($U487*$X487*$AA487*参数!$B$13,0),"")</f>
        <v>2155804</v>
      </c>
      <c r="E487" s="17">
        <f>IFERROR(ROUND($V487*$Y487*$AB487*参数!$C$13,0),"")</f>
        <v>31365</v>
      </c>
      <c r="F487" s="17">
        <f>IFERROR(ROUND($W487*$Z487*$AC487*参数!$D$13,0),"")</f>
        <v>36298</v>
      </c>
      <c r="G487" s="16">
        <v>5421630</v>
      </c>
      <c r="H487" s="16">
        <v>56638</v>
      </c>
      <c r="I487" s="16">
        <v>41557</v>
      </c>
      <c r="J487" s="16">
        <v>97</v>
      </c>
      <c r="K487" s="16">
        <v>97</v>
      </c>
      <c r="L487" s="16">
        <f>IFERROR(INDEX(楼层配置!$D$5:$D$104,MATCH($K487,楼层配置!$B$5:$B$104,0)),"")</f>
        <v>276</v>
      </c>
      <c r="M487" s="16" t="str">
        <f>IFERROR(INDEX(_角色基线!$B$2:$B$100,MATCH($B487,_角色基线!$A$2:$A$100,0)),"")</f>
        <v>萨萨莉安</v>
      </c>
      <c r="N487" s="16" t="str">
        <f>IFERROR(INDEX(_角色基线!$C$2:$C$100,MATCH($B487,_角色基线!$A$2:$A$100,0)),"")</f>
        <v>Support</v>
      </c>
      <c r="O487" s="16">
        <f>IFERROR(INDEX(_怪物基线!$B$2:$B$501,MATCH(INT($L487),_怪物基线!$A$2:$A$501,0)),"")</f>
        <v>381951</v>
      </c>
      <c r="P487" s="16">
        <f>IFERROR(INDEX(_怪物基线!$C$2:$C$501,MATCH(INT($L487),_怪物基线!$A$2:$A$501,0)),"")</f>
        <v>35889</v>
      </c>
      <c r="Q487" s="16">
        <f>IFERROR(INDEX(_怪物基线!$D$2:$D$501,MATCH(INT($L487),_怪物基线!$A$2:$A$501,0)),"")</f>
        <v>29038</v>
      </c>
      <c r="R487" s="16">
        <f>参数!$B$10</f>
        <v>4</v>
      </c>
      <c r="S487" s="16">
        <f>参数!$C$10</f>
        <v>1.2</v>
      </c>
      <c r="T487" s="16">
        <f>参数!$D$10</f>
        <v>1</v>
      </c>
      <c r="U487" s="16">
        <f t="shared" si="56"/>
        <v>1527804</v>
      </c>
      <c r="V487" s="16">
        <f t="shared" si="57"/>
        <v>43066.8</v>
      </c>
      <c r="W487" s="16">
        <f t="shared" si="58"/>
        <v>29038</v>
      </c>
      <c r="X487" s="16">
        <f>IFERROR(INDEX(参数!$B$5:$B$7,MATCH($N487,参数!$A$5:$A$7,0)),"")</f>
        <v>1.25</v>
      </c>
      <c r="Y487" s="16">
        <f>IFERROR(INDEX(参数!$C$5:$C$7,MATCH($N487,参数!$A$5:$A$7,0)),"")</f>
        <v>1</v>
      </c>
      <c r="Z487" s="16">
        <f>IFERROR(INDEX(参数!$D$5:$D$7,MATCH($N487,参数!$A$5:$A$7,0)),"")</f>
        <v>1.25</v>
      </c>
      <c r="AA487" s="16">
        <f>IFERROR(INDEX(楼层配置!$E$5:$E$104,MATCH($K487,楼层配置!$B$5:$B$104,0)),1)</f>
        <v>1.12883809996263</v>
      </c>
      <c r="AB487" s="16">
        <f>IFERROR(INDEX(楼层配置!$F$5:$F$104,MATCH($K487,楼层配置!$B$5:$B$104,0)),1)</f>
        <v>0.728293310358997</v>
      </c>
      <c r="AC487" s="16">
        <f>IFERROR(INDEX(楼层配置!$G$5:$G$104,MATCH($K487,楼层配置!$B$5:$B$104,0)),1)</f>
        <v>1</v>
      </c>
      <c r="AD487" s="18">
        <f t="shared" si="59"/>
        <v>-0.602369767025784</v>
      </c>
      <c r="AE487" s="18">
        <f t="shared" si="60"/>
        <v>-0.446219852395918</v>
      </c>
      <c r="AF487" s="18">
        <f t="shared" si="61"/>
        <v>-0.126549077171114</v>
      </c>
      <c r="AG487" s="16" t="str">
        <f t="shared" si="62"/>
        <v>有效</v>
      </c>
      <c r="AH487">
        <f t="shared" si="63"/>
        <v>5416277.89966667</v>
      </c>
    </row>
    <row r="488" ht="14.25" customHeight="1" spans="1:34">
      <c r="A488" s="16">
        <v>484</v>
      </c>
      <c r="B488" s="16">
        <v>1017</v>
      </c>
      <c r="C488" s="16">
        <v>58</v>
      </c>
      <c r="D488" s="17">
        <f>IFERROR(ROUND($U488*$X488*$AA488*参数!$B$13,0),"")</f>
        <v>1724643</v>
      </c>
      <c r="E488" s="17">
        <f>IFERROR(ROUND($V488*$Y488*$AB488*参数!$C$13,0),"")</f>
        <v>37638</v>
      </c>
      <c r="F488" s="17">
        <f>IFERROR(ROUND($W488*$Z488*$AC488*参数!$D$13,0),"")</f>
        <v>29038</v>
      </c>
      <c r="G488" s="16">
        <v>4337304</v>
      </c>
      <c r="H488" s="16">
        <v>67965</v>
      </c>
      <c r="I488" s="16">
        <v>33245</v>
      </c>
      <c r="J488" s="16">
        <v>97</v>
      </c>
      <c r="K488" s="16">
        <v>97</v>
      </c>
      <c r="L488" s="16">
        <f>IFERROR(INDEX(楼层配置!$D$5:$D$104,MATCH($K488,楼层配置!$B$5:$B$104,0)),"")</f>
        <v>276</v>
      </c>
      <c r="M488" s="16" t="str">
        <f>IFERROR(INDEX(_角色基线!$B$2:$B$100,MATCH($B488,_角色基线!$A$2:$A$100,0)),"")</f>
        <v>伊戈尔</v>
      </c>
      <c r="N488" s="16" t="str">
        <f>IFERROR(INDEX(_角色基线!$C$2:$C$100,MATCH($B488,_角色基线!$A$2:$A$100,0)),"")</f>
        <v>DPS</v>
      </c>
      <c r="O488" s="16">
        <f>IFERROR(INDEX(_怪物基线!$B$2:$B$501,MATCH(INT($L488),_怪物基线!$A$2:$A$501,0)),"")</f>
        <v>381951</v>
      </c>
      <c r="P488" s="16">
        <f>IFERROR(INDEX(_怪物基线!$C$2:$C$501,MATCH(INT($L488),_怪物基线!$A$2:$A$501,0)),"")</f>
        <v>35889</v>
      </c>
      <c r="Q488" s="16">
        <f>IFERROR(INDEX(_怪物基线!$D$2:$D$501,MATCH(INT($L488),_怪物基线!$A$2:$A$501,0)),"")</f>
        <v>29038</v>
      </c>
      <c r="R488" s="16">
        <f>参数!$B$10</f>
        <v>4</v>
      </c>
      <c r="S488" s="16">
        <f>参数!$C$10</f>
        <v>1.2</v>
      </c>
      <c r="T488" s="16">
        <f>参数!$D$10</f>
        <v>1</v>
      </c>
      <c r="U488" s="16">
        <f t="shared" si="56"/>
        <v>1527804</v>
      </c>
      <c r="V488" s="16">
        <f t="shared" si="57"/>
        <v>43066.8</v>
      </c>
      <c r="W488" s="16">
        <f t="shared" si="58"/>
        <v>29038</v>
      </c>
      <c r="X488" s="16">
        <f>IFERROR(INDEX(参数!$B$5:$B$7,MATCH($N488,参数!$A$5:$A$7,0)),"")</f>
        <v>1</v>
      </c>
      <c r="Y488" s="16">
        <f>IFERROR(INDEX(参数!$C$5:$C$7,MATCH($N488,参数!$A$5:$A$7,0)),"")</f>
        <v>1.2</v>
      </c>
      <c r="Z488" s="16">
        <f>IFERROR(INDEX(参数!$D$5:$D$7,MATCH($N488,参数!$A$5:$A$7,0)),"")</f>
        <v>1</v>
      </c>
      <c r="AA488" s="16">
        <f>IFERROR(INDEX(楼层配置!$E$5:$E$104,MATCH($K488,楼层配置!$B$5:$B$104,0)),1)</f>
        <v>1.12883809996263</v>
      </c>
      <c r="AB488" s="16">
        <f>IFERROR(INDEX(楼层配置!$F$5:$F$104,MATCH($K488,楼层配置!$B$5:$B$104,0)),1)</f>
        <v>0.728293310358997</v>
      </c>
      <c r="AC488" s="16">
        <f>IFERROR(INDEX(楼层配置!$G$5:$G$104,MATCH($K488,楼层配置!$B$5:$B$104,0)),1)</f>
        <v>1</v>
      </c>
      <c r="AD488" s="18">
        <f t="shared" si="59"/>
        <v>-0.602369813137378</v>
      </c>
      <c r="AE488" s="18">
        <f t="shared" si="60"/>
        <v>-0.446214963584198</v>
      </c>
      <c r="AF488" s="18">
        <f t="shared" si="61"/>
        <v>-0.126545345164686</v>
      </c>
      <c r="AG488" s="16" t="str">
        <f t="shared" si="62"/>
        <v>有效</v>
      </c>
      <c r="AH488">
        <f t="shared" si="63"/>
        <v>3811317.30975</v>
      </c>
    </row>
    <row r="489" ht="14.25" customHeight="1" spans="1:34">
      <c r="A489" s="16">
        <v>485</v>
      </c>
      <c r="B489" s="16">
        <v>1013</v>
      </c>
      <c r="C489" s="16">
        <v>58</v>
      </c>
      <c r="D489" s="17">
        <f>IFERROR(ROUND($U489*$X489*$AA489*参数!$B$13,0),"")</f>
        <v>1724643</v>
      </c>
      <c r="E489" s="17">
        <f>IFERROR(ROUND($V489*$Y489*$AB489*参数!$C$13,0),"")</f>
        <v>37638</v>
      </c>
      <c r="F489" s="17">
        <f>IFERROR(ROUND($W489*$Z489*$AC489*参数!$D$13,0),"")</f>
        <v>29038</v>
      </c>
      <c r="G489" s="16">
        <v>4337304</v>
      </c>
      <c r="H489" s="16">
        <v>67965</v>
      </c>
      <c r="I489" s="16">
        <v>33245</v>
      </c>
      <c r="J489" s="16">
        <v>97</v>
      </c>
      <c r="K489" s="16">
        <v>97</v>
      </c>
      <c r="L489" s="16">
        <f>IFERROR(INDEX(楼层配置!$D$5:$D$104,MATCH($K489,楼层配置!$B$5:$B$104,0)),"")</f>
        <v>276</v>
      </c>
      <c r="M489" s="16" t="str">
        <f>IFERROR(INDEX(_角色基线!$B$2:$B$100,MATCH($B489,_角色基线!$A$2:$A$100,0)),"")</f>
        <v>夏缇拉</v>
      </c>
      <c r="N489" s="16" t="str">
        <f>IFERROR(INDEX(_角色基线!$C$2:$C$100,MATCH($B489,_角色基线!$A$2:$A$100,0)),"")</f>
        <v>DPS</v>
      </c>
      <c r="O489" s="16">
        <f>IFERROR(INDEX(_怪物基线!$B$2:$B$501,MATCH(INT($L489),_怪物基线!$A$2:$A$501,0)),"")</f>
        <v>381951</v>
      </c>
      <c r="P489" s="16">
        <f>IFERROR(INDEX(_怪物基线!$C$2:$C$501,MATCH(INT($L489),_怪物基线!$A$2:$A$501,0)),"")</f>
        <v>35889</v>
      </c>
      <c r="Q489" s="16">
        <f>IFERROR(INDEX(_怪物基线!$D$2:$D$501,MATCH(INT($L489),_怪物基线!$A$2:$A$501,0)),"")</f>
        <v>29038</v>
      </c>
      <c r="R489" s="16">
        <f>参数!$B$10</f>
        <v>4</v>
      </c>
      <c r="S489" s="16">
        <f>参数!$C$10</f>
        <v>1.2</v>
      </c>
      <c r="T489" s="16">
        <f>参数!$D$10</f>
        <v>1</v>
      </c>
      <c r="U489" s="16">
        <f t="shared" si="56"/>
        <v>1527804</v>
      </c>
      <c r="V489" s="16">
        <f t="shared" si="57"/>
        <v>43066.8</v>
      </c>
      <c r="W489" s="16">
        <f t="shared" si="58"/>
        <v>29038</v>
      </c>
      <c r="X489" s="16">
        <f>IFERROR(INDEX(参数!$B$5:$B$7,MATCH($N489,参数!$A$5:$A$7,0)),"")</f>
        <v>1</v>
      </c>
      <c r="Y489" s="16">
        <f>IFERROR(INDEX(参数!$C$5:$C$7,MATCH($N489,参数!$A$5:$A$7,0)),"")</f>
        <v>1.2</v>
      </c>
      <c r="Z489" s="16">
        <f>IFERROR(INDEX(参数!$D$5:$D$7,MATCH($N489,参数!$A$5:$A$7,0)),"")</f>
        <v>1</v>
      </c>
      <c r="AA489" s="16">
        <f>IFERROR(INDEX(楼层配置!$E$5:$E$104,MATCH($K489,楼层配置!$B$5:$B$104,0)),1)</f>
        <v>1.12883809996263</v>
      </c>
      <c r="AB489" s="16">
        <f>IFERROR(INDEX(楼层配置!$F$5:$F$104,MATCH($K489,楼层配置!$B$5:$B$104,0)),1)</f>
        <v>0.728293310358997</v>
      </c>
      <c r="AC489" s="16">
        <f>IFERROR(INDEX(楼层配置!$G$5:$G$104,MATCH($K489,楼层配置!$B$5:$B$104,0)),1)</f>
        <v>1</v>
      </c>
      <c r="AD489" s="18">
        <f t="shared" si="59"/>
        <v>-0.602369813137378</v>
      </c>
      <c r="AE489" s="18">
        <f t="shared" si="60"/>
        <v>-0.446214963584198</v>
      </c>
      <c r="AF489" s="18">
        <f t="shared" si="61"/>
        <v>-0.126545345164686</v>
      </c>
      <c r="AG489" s="16" t="str">
        <f t="shared" si="62"/>
        <v>有效</v>
      </c>
      <c r="AH489">
        <f t="shared" si="63"/>
        <v>3811317.30975</v>
      </c>
    </row>
    <row r="490" ht="14.25" customHeight="1" spans="1:34">
      <c r="A490" s="16">
        <v>486</v>
      </c>
      <c r="B490" s="16">
        <v>1003</v>
      </c>
      <c r="C490" s="16">
        <v>59</v>
      </c>
      <c r="D490" s="17">
        <f>IFERROR(ROUND($U490*$X490*$AA490*参数!$B$13,0),"")</f>
        <v>2636273</v>
      </c>
      <c r="E490" s="17">
        <f>IFERROR(ROUND($V490*$Y490*$AB490*参数!$C$13,0),"")</f>
        <v>31871</v>
      </c>
      <c r="F490" s="17">
        <f>IFERROR(ROUND($W490*$Z490*$AC490*参数!$D$13,0),"")</f>
        <v>43967</v>
      </c>
      <c r="G490" s="16">
        <v>6696453</v>
      </c>
      <c r="H490" s="16">
        <v>58078</v>
      </c>
      <c r="I490" s="16">
        <v>50582</v>
      </c>
      <c r="J490" s="16">
        <v>98</v>
      </c>
      <c r="K490" s="16">
        <v>98</v>
      </c>
      <c r="L490" s="16">
        <f>IFERROR(INDEX(楼层配置!$D$5:$D$104,MATCH($K490,楼层配置!$B$5:$B$104,0)),"")</f>
        <v>278</v>
      </c>
      <c r="M490" s="16" t="str">
        <f>IFERROR(INDEX(_角色基线!$B$2:$B$100,MATCH($B490,_角色基线!$A$2:$A$100,0)),"")</f>
        <v>塔拉夏</v>
      </c>
      <c r="N490" s="16" t="str">
        <f>IFERROR(INDEX(_角色基线!$C$2:$C$100,MATCH($B490,_角色基线!$A$2:$A$100,0)),"")</f>
        <v>Tank</v>
      </c>
      <c r="O490" s="16">
        <f>IFERROR(INDEX(_怪物基线!$B$2:$B$501,MATCH(INT($L490),_怪物基线!$A$2:$A$501,0)),"")</f>
        <v>389536</v>
      </c>
      <c r="P490" s="16">
        <f>IFERROR(INDEX(_怪物基线!$C$2:$C$501,MATCH(INT($L490),_怪物基线!$A$2:$A$501,0)),"")</f>
        <v>36421</v>
      </c>
      <c r="Q490" s="16">
        <f>IFERROR(INDEX(_怪物基线!$D$2:$D$501,MATCH(INT($L490),_怪物基线!$A$2:$A$501,0)),"")</f>
        <v>29311</v>
      </c>
      <c r="R490" s="16">
        <f>参数!$B$10</f>
        <v>4</v>
      </c>
      <c r="S490" s="16">
        <f>参数!$C$10</f>
        <v>1.2</v>
      </c>
      <c r="T490" s="16">
        <f>参数!$D$10</f>
        <v>1</v>
      </c>
      <c r="U490" s="16">
        <f t="shared" si="56"/>
        <v>1558144</v>
      </c>
      <c r="V490" s="16">
        <f t="shared" si="57"/>
        <v>43705.2</v>
      </c>
      <c r="W490" s="16">
        <f t="shared" si="58"/>
        <v>29311</v>
      </c>
      <c r="X490" s="16">
        <f>IFERROR(INDEX(参数!$B$5:$B$7,MATCH($N490,参数!$A$5:$A$7,0)),"")</f>
        <v>1.5</v>
      </c>
      <c r="Y490" s="16">
        <f>IFERROR(INDEX(参数!$C$5:$C$7,MATCH($N490,参数!$A$5:$A$7,0)),"")</f>
        <v>1</v>
      </c>
      <c r="Z490" s="16">
        <f>IFERROR(INDEX(参数!$D$5:$D$7,MATCH($N490,参数!$A$5:$A$7,0)),"")</f>
        <v>1.5</v>
      </c>
      <c r="AA490" s="16">
        <f>IFERROR(INDEX(楼层配置!$E$5:$E$104,MATCH($K490,楼层配置!$B$5:$B$104,0)),1)</f>
        <v>1.12795418016849</v>
      </c>
      <c r="AB490" s="16">
        <f>IFERROR(INDEX(楼层配置!$F$5:$F$104,MATCH($K490,楼层配置!$B$5:$B$104,0)),1)</f>
        <v>0.729223983469108</v>
      </c>
      <c r="AC490" s="16">
        <f>IFERROR(INDEX(楼层配置!$G$5:$G$104,MATCH($K490,楼层配置!$B$5:$B$104,0)),1)</f>
        <v>1</v>
      </c>
      <c r="AD490" s="18">
        <f t="shared" si="59"/>
        <v>-0.606318001485264</v>
      </c>
      <c r="AE490" s="18">
        <f t="shared" si="60"/>
        <v>-0.451237990288922</v>
      </c>
      <c r="AF490" s="18">
        <f t="shared" si="61"/>
        <v>-0.130777747024633</v>
      </c>
      <c r="AG490" s="16" t="str">
        <f t="shared" si="62"/>
        <v>有效</v>
      </c>
      <c r="AH490">
        <f t="shared" si="63"/>
        <v>7465815.29129167</v>
      </c>
    </row>
    <row r="491" ht="14.25" customHeight="1" spans="1:34">
      <c r="A491" s="16">
        <v>487</v>
      </c>
      <c r="B491" s="16">
        <v>1005</v>
      </c>
      <c r="C491" s="16">
        <v>59</v>
      </c>
      <c r="D491" s="17">
        <f>IFERROR(ROUND($U491*$X491*$AA491*参数!$B$13,0),"")</f>
        <v>1757515</v>
      </c>
      <c r="E491" s="17">
        <f>IFERROR(ROUND($V491*$Y491*$AB491*参数!$C$13,0),"")</f>
        <v>38245</v>
      </c>
      <c r="F491" s="17">
        <f>IFERROR(ROUND($W491*$Z491*$AC491*参数!$D$13,0),"")</f>
        <v>29311</v>
      </c>
      <c r="G491" s="16">
        <v>4464302</v>
      </c>
      <c r="H491" s="16">
        <v>69693</v>
      </c>
      <c r="I491" s="16">
        <v>33721</v>
      </c>
      <c r="J491" s="16">
        <v>98</v>
      </c>
      <c r="K491" s="16">
        <v>98</v>
      </c>
      <c r="L491" s="16">
        <f>IFERROR(INDEX(楼层配置!$D$5:$D$104,MATCH($K491,楼层配置!$B$5:$B$104,0)),"")</f>
        <v>278</v>
      </c>
      <c r="M491" s="16" t="str">
        <f>IFERROR(INDEX(_角色基线!$B$2:$B$100,MATCH($B491,_角色基线!$A$2:$A$100,0)),"")</f>
        <v>陈单单</v>
      </c>
      <c r="N491" s="16" t="str">
        <f>IFERROR(INDEX(_角色基线!$C$2:$C$100,MATCH($B491,_角色基线!$A$2:$A$100,0)),"")</f>
        <v>DPS</v>
      </c>
      <c r="O491" s="16">
        <f>IFERROR(INDEX(_怪物基线!$B$2:$B$501,MATCH(INT($L491),_怪物基线!$A$2:$A$501,0)),"")</f>
        <v>389536</v>
      </c>
      <c r="P491" s="16">
        <f>IFERROR(INDEX(_怪物基线!$C$2:$C$501,MATCH(INT($L491),_怪物基线!$A$2:$A$501,0)),"")</f>
        <v>36421</v>
      </c>
      <c r="Q491" s="16">
        <f>IFERROR(INDEX(_怪物基线!$D$2:$D$501,MATCH(INT($L491),_怪物基线!$A$2:$A$501,0)),"")</f>
        <v>29311</v>
      </c>
      <c r="R491" s="16">
        <f>参数!$B$10</f>
        <v>4</v>
      </c>
      <c r="S491" s="16">
        <f>参数!$C$10</f>
        <v>1.2</v>
      </c>
      <c r="T491" s="16">
        <f>参数!$D$10</f>
        <v>1</v>
      </c>
      <c r="U491" s="16">
        <f t="shared" si="56"/>
        <v>1558144</v>
      </c>
      <c r="V491" s="16">
        <f t="shared" si="57"/>
        <v>43705.2</v>
      </c>
      <c r="W491" s="16">
        <f t="shared" si="58"/>
        <v>29311</v>
      </c>
      <c r="X491" s="16">
        <f>IFERROR(INDEX(参数!$B$5:$B$7,MATCH($N491,参数!$A$5:$A$7,0)),"")</f>
        <v>1</v>
      </c>
      <c r="Y491" s="16">
        <f>IFERROR(INDEX(参数!$C$5:$C$7,MATCH($N491,参数!$A$5:$A$7,0)),"")</f>
        <v>1.2</v>
      </c>
      <c r="Z491" s="16">
        <f>IFERROR(INDEX(参数!$D$5:$D$7,MATCH($N491,参数!$A$5:$A$7,0)),"")</f>
        <v>1</v>
      </c>
      <c r="AA491" s="16">
        <f>IFERROR(INDEX(楼层配置!$E$5:$E$104,MATCH($K491,楼层配置!$B$5:$B$104,0)),1)</f>
        <v>1.12795418016849</v>
      </c>
      <c r="AB491" s="16">
        <f>IFERROR(INDEX(楼层配置!$F$5:$F$104,MATCH($K491,楼层配置!$B$5:$B$104,0)),1)</f>
        <v>0.729223983469108</v>
      </c>
      <c r="AC491" s="16">
        <f>IFERROR(INDEX(楼层配置!$G$5:$G$104,MATCH($K491,楼层配置!$B$5:$B$104,0)),1)</f>
        <v>1</v>
      </c>
      <c r="AD491" s="18">
        <f t="shared" si="59"/>
        <v>-0.606318076151658</v>
      </c>
      <c r="AE491" s="18">
        <f t="shared" si="60"/>
        <v>-0.451236135623377</v>
      </c>
      <c r="AF491" s="18">
        <f t="shared" si="61"/>
        <v>-0.130779039767504</v>
      </c>
      <c r="AG491" s="16" t="str">
        <f t="shared" si="62"/>
        <v>有效</v>
      </c>
      <c r="AH491">
        <f t="shared" si="63"/>
        <v>3903953.42354167</v>
      </c>
    </row>
    <row r="492" ht="14.25" customHeight="1" spans="1:34">
      <c r="A492" s="16">
        <v>488</v>
      </c>
      <c r="B492" s="16">
        <v>1005</v>
      </c>
      <c r="C492" s="16">
        <v>59</v>
      </c>
      <c r="D492" s="17">
        <f>IFERROR(ROUND($U492*$X492*$AA492*参数!$B$13,0),"")</f>
        <v>1757515</v>
      </c>
      <c r="E492" s="17">
        <f>IFERROR(ROUND($V492*$Y492*$AB492*参数!$C$13,0),"")</f>
        <v>38245</v>
      </c>
      <c r="F492" s="17">
        <f>IFERROR(ROUND($W492*$Z492*$AC492*参数!$D$13,0),"")</f>
        <v>29311</v>
      </c>
      <c r="G492" s="16">
        <v>4464302</v>
      </c>
      <c r="H492" s="16">
        <v>69693</v>
      </c>
      <c r="I492" s="16">
        <v>33721</v>
      </c>
      <c r="J492" s="16">
        <v>98</v>
      </c>
      <c r="K492" s="16">
        <v>98</v>
      </c>
      <c r="L492" s="16">
        <f>IFERROR(INDEX(楼层配置!$D$5:$D$104,MATCH($K492,楼层配置!$B$5:$B$104,0)),"")</f>
        <v>278</v>
      </c>
      <c r="M492" s="16" t="str">
        <f>IFERROR(INDEX(_角色基线!$B$2:$B$100,MATCH($B492,_角色基线!$A$2:$A$100,0)),"")</f>
        <v>陈单单</v>
      </c>
      <c r="N492" s="16" t="str">
        <f>IFERROR(INDEX(_角色基线!$C$2:$C$100,MATCH($B492,_角色基线!$A$2:$A$100,0)),"")</f>
        <v>DPS</v>
      </c>
      <c r="O492" s="16">
        <f>IFERROR(INDEX(_怪物基线!$B$2:$B$501,MATCH(INT($L492),_怪物基线!$A$2:$A$501,0)),"")</f>
        <v>389536</v>
      </c>
      <c r="P492" s="16">
        <f>IFERROR(INDEX(_怪物基线!$C$2:$C$501,MATCH(INT($L492),_怪物基线!$A$2:$A$501,0)),"")</f>
        <v>36421</v>
      </c>
      <c r="Q492" s="16">
        <f>IFERROR(INDEX(_怪物基线!$D$2:$D$501,MATCH(INT($L492),_怪物基线!$A$2:$A$501,0)),"")</f>
        <v>29311</v>
      </c>
      <c r="R492" s="16">
        <f>参数!$B$10</f>
        <v>4</v>
      </c>
      <c r="S492" s="16">
        <f>参数!$C$10</f>
        <v>1.2</v>
      </c>
      <c r="T492" s="16">
        <f>参数!$D$10</f>
        <v>1</v>
      </c>
      <c r="U492" s="16">
        <f t="shared" si="56"/>
        <v>1558144</v>
      </c>
      <c r="V492" s="16">
        <f t="shared" si="57"/>
        <v>43705.2</v>
      </c>
      <c r="W492" s="16">
        <f t="shared" si="58"/>
        <v>29311</v>
      </c>
      <c r="X492" s="16">
        <f>IFERROR(INDEX(参数!$B$5:$B$7,MATCH($N492,参数!$A$5:$A$7,0)),"")</f>
        <v>1</v>
      </c>
      <c r="Y492" s="16">
        <f>IFERROR(INDEX(参数!$C$5:$C$7,MATCH($N492,参数!$A$5:$A$7,0)),"")</f>
        <v>1.2</v>
      </c>
      <c r="Z492" s="16">
        <f>IFERROR(INDEX(参数!$D$5:$D$7,MATCH($N492,参数!$A$5:$A$7,0)),"")</f>
        <v>1</v>
      </c>
      <c r="AA492" s="16">
        <f>IFERROR(INDEX(楼层配置!$E$5:$E$104,MATCH($K492,楼层配置!$B$5:$B$104,0)),1)</f>
        <v>1.12795418016849</v>
      </c>
      <c r="AB492" s="16">
        <f>IFERROR(INDEX(楼层配置!$F$5:$F$104,MATCH($K492,楼层配置!$B$5:$B$104,0)),1)</f>
        <v>0.729223983469108</v>
      </c>
      <c r="AC492" s="16">
        <f>IFERROR(INDEX(楼层配置!$G$5:$G$104,MATCH($K492,楼层配置!$B$5:$B$104,0)),1)</f>
        <v>1</v>
      </c>
      <c r="AD492" s="18">
        <f t="shared" si="59"/>
        <v>-0.606318076151658</v>
      </c>
      <c r="AE492" s="18">
        <f t="shared" si="60"/>
        <v>-0.451236135623377</v>
      </c>
      <c r="AF492" s="18">
        <f t="shared" si="61"/>
        <v>-0.130779039767504</v>
      </c>
      <c r="AG492" s="16" t="str">
        <f t="shared" si="62"/>
        <v>有效</v>
      </c>
      <c r="AH492">
        <f t="shared" si="63"/>
        <v>3903953.42354167</v>
      </c>
    </row>
    <row r="493" ht="14.25" customHeight="1" spans="1:34">
      <c r="A493" s="16">
        <v>489</v>
      </c>
      <c r="B493" s="16">
        <v>1017</v>
      </c>
      <c r="C493" s="16">
        <v>59</v>
      </c>
      <c r="D493" s="17">
        <f>IFERROR(ROUND($U493*$X493*$AA493*参数!$B$13,0),"")</f>
        <v>1757515</v>
      </c>
      <c r="E493" s="17">
        <f>IFERROR(ROUND($V493*$Y493*$AB493*参数!$C$13,0),"")</f>
        <v>38245</v>
      </c>
      <c r="F493" s="17">
        <f>IFERROR(ROUND($W493*$Z493*$AC493*参数!$D$13,0),"")</f>
        <v>29311</v>
      </c>
      <c r="G493" s="16">
        <v>4464302</v>
      </c>
      <c r="H493" s="16">
        <v>69693</v>
      </c>
      <c r="I493" s="16">
        <v>33721</v>
      </c>
      <c r="J493" s="16">
        <v>98</v>
      </c>
      <c r="K493" s="16">
        <v>98</v>
      </c>
      <c r="L493" s="16">
        <f>IFERROR(INDEX(楼层配置!$D$5:$D$104,MATCH($K493,楼层配置!$B$5:$B$104,0)),"")</f>
        <v>278</v>
      </c>
      <c r="M493" s="16" t="str">
        <f>IFERROR(INDEX(_角色基线!$B$2:$B$100,MATCH($B493,_角色基线!$A$2:$A$100,0)),"")</f>
        <v>伊戈尔</v>
      </c>
      <c r="N493" s="16" t="str">
        <f>IFERROR(INDEX(_角色基线!$C$2:$C$100,MATCH($B493,_角色基线!$A$2:$A$100,0)),"")</f>
        <v>DPS</v>
      </c>
      <c r="O493" s="16">
        <f>IFERROR(INDEX(_怪物基线!$B$2:$B$501,MATCH(INT($L493),_怪物基线!$A$2:$A$501,0)),"")</f>
        <v>389536</v>
      </c>
      <c r="P493" s="16">
        <f>IFERROR(INDEX(_怪物基线!$C$2:$C$501,MATCH(INT($L493),_怪物基线!$A$2:$A$501,0)),"")</f>
        <v>36421</v>
      </c>
      <c r="Q493" s="16">
        <f>IFERROR(INDEX(_怪物基线!$D$2:$D$501,MATCH(INT($L493),_怪物基线!$A$2:$A$501,0)),"")</f>
        <v>29311</v>
      </c>
      <c r="R493" s="16">
        <f>参数!$B$10</f>
        <v>4</v>
      </c>
      <c r="S493" s="16">
        <f>参数!$C$10</f>
        <v>1.2</v>
      </c>
      <c r="T493" s="16">
        <f>参数!$D$10</f>
        <v>1</v>
      </c>
      <c r="U493" s="16">
        <f t="shared" si="56"/>
        <v>1558144</v>
      </c>
      <c r="V493" s="16">
        <f t="shared" si="57"/>
        <v>43705.2</v>
      </c>
      <c r="W493" s="16">
        <f t="shared" si="58"/>
        <v>29311</v>
      </c>
      <c r="X493" s="16">
        <f>IFERROR(INDEX(参数!$B$5:$B$7,MATCH($N493,参数!$A$5:$A$7,0)),"")</f>
        <v>1</v>
      </c>
      <c r="Y493" s="16">
        <f>IFERROR(INDEX(参数!$C$5:$C$7,MATCH($N493,参数!$A$5:$A$7,0)),"")</f>
        <v>1.2</v>
      </c>
      <c r="Z493" s="16">
        <f>IFERROR(INDEX(参数!$D$5:$D$7,MATCH($N493,参数!$A$5:$A$7,0)),"")</f>
        <v>1</v>
      </c>
      <c r="AA493" s="16">
        <f>IFERROR(INDEX(楼层配置!$E$5:$E$104,MATCH($K493,楼层配置!$B$5:$B$104,0)),1)</f>
        <v>1.12795418016849</v>
      </c>
      <c r="AB493" s="16">
        <f>IFERROR(INDEX(楼层配置!$F$5:$F$104,MATCH($K493,楼层配置!$B$5:$B$104,0)),1)</f>
        <v>0.729223983469108</v>
      </c>
      <c r="AC493" s="16">
        <f>IFERROR(INDEX(楼层配置!$G$5:$G$104,MATCH($K493,楼层配置!$B$5:$B$104,0)),1)</f>
        <v>1</v>
      </c>
      <c r="AD493" s="18">
        <f t="shared" si="59"/>
        <v>-0.606318076151658</v>
      </c>
      <c r="AE493" s="18">
        <f t="shared" si="60"/>
        <v>-0.451236135623377</v>
      </c>
      <c r="AF493" s="18">
        <f t="shared" si="61"/>
        <v>-0.130779039767504</v>
      </c>
      <c r="AG493" s="16" t="str">
        <f t="shared" si="62"/>
        <v>有效</v>
      </c>
      <c r="AH493">
        <f t="shared" si="63"/>
        <v>3903953.42354167</v>
      </c>
    </row>
    <row r="494" ht="14.25" customHeight="1" spans="1:34">
      <c r="A494" s="16">
        <v>490</v>
      </c>
      <c r="B494" s="16">
        <v>1007</v>
      </c>
      <c r="C494" s="16">
        <v>59</v>
      </c>
      <c r="D494" s="17">
        <f>IFERROR(ROUND($U494*$X494*$AA494*参数!$B$13,0),"")</f>
        <v>2196894</v>
      </c>
      <c r="E494" s="17">
        <f>IFERROR(ROUND($V494*$Y494*$AB494*参数!$C$13,0),"")</f>
        <v>31871</v>
      </c>
      <c r="F494" s="17">
        <f>IFERROR(ROUND($W494*$Z494*$AC494*参数!$D$13,0),"")</f>
        <v>36639</v>
      </c>
      <c r="G494" s="16">
        <v>5580378</v>
      </c>
      <c r="H494" s="16">
        <v>58078</v>
      </c>
      <c r="I494" s="16">
        <v>42152</v>
      </c>
      <c r="J494" s="16">
        <v>98</v>
      </c>
      <c r="K494" s="16">
        <v>98</v>
      </c>
      <c r="L494" s="16">
        <f>IFERROR(INDEX(楼层配置!$D$5:$D$104,MATCH($K494,楼层配置!$B$5:$B$104,0)),"")</f>
        <v>278</v>
      </c>
      <c r="M494" s="16" t="str">
        <f>IFERROR(INDEX(_角色基线!$B$2:$B$100,MATCH($B494,_角色基线!$A$2:$A$100,0)),"")</f>
        <v>萨萨莉安</v>
      </c>
      <c r="N494" s="16" t="str">
        <f>IFERROR(INDEX(_角色基线!$C$2:$C$100,MATCH($B494,_角色基线!$A$2:$A$100,0)),"")</f>
        <v>Support</v>
      </c>
      <c r="O494" s="16">
        <f>IFERROR(INDEX(_怪物基线!$B$2:$B$501,MATCH(INT($L494),_怪物基线!$A$2:$A$501,0)),"")</f>
        <v>389536</v>
      </c>
      <c r="P494" s="16">
        <f>IFERROR(INDEX(_怪物基线!$C$2:$C$501,MATCH(INT($L494),_怪物基线!$A$2:$A$501,0)),"")</f>
        <v>36421</v>
      </c>
      <c r="Q494" s="16">
        <f>IFERROR(INDEX(_怪物基线!$D$2:$D$501,MATCH(INT($L494),_怪物基线!$A$2:$A$501,0)),"")</f>
        <v>29311</v>
      </c>
      <c r="R494" s="16">
        <f>参数!$B$10</f>
        <v>4</v>
      </c>
      <c r="S494" s="16">
        <f>参数!$C$10</f>
        <v>1.2</v>
      </c>
      <c r="T494" s="16">
        <f>参数!$D$10</f>
        <v>1</v>
      </c>
      <c r="U494" s="16">
        <f t="shared" si="56"/>
        <v>1558144</v>
      </c>
      <c r="V494" s="16">
        <f t="shared" si="57"/>
        <v>43705.2</v>
      </c>
      <c r="W494" s="16">
        <f t="shared" si="58"/>
        <v>29311</v>
      </c>
      <c r="X494" s="16">
        <f>IFERROR(INDEX(参数!$B$5:$B$7,MATCH($N494,参数!$A$5:$A$7,0)),"")</f>
        <v>1.25</v>
      </c>
      <c r="Y494" s="16">
        <f>IFERROR(INDEX(参数!$C$5:$C$7,MATCH($N494,参数!$A$5:$A$7,0)),"")</f>
        <v>1</v>
      </c>
      <c r="Z494" s="16">
        <f>IFERROR(INDEX(参数!$D$5:$D$7,MATCH($N494,参数!$A$5:$A$7,0)),"")</f>
        <v>1.25</v>
      </c>
      <c r="AA494" s="16">
        <f>IFERROR(INDEX(楼层配置!$E$5:$E$104,MATCH($K494,楼层配置!$B$5:$B$104,0)),1)</f>
        <v>1.12795418016849</v>
      </c>
      <c r="AB494" s="16">
        <f>IFERROR(INDEX(楼层配置!$F$5:$F$104,MATCH($K494,楼层配置!$B$5:$B$104,0)),1)</f>
        <v>0.729223983469108</v>
      </c>
      <c r="AC494" s="16">
        <f>IFERROR(INDEX(楼层配置!$G$5:$G$104,MATCH($K494,楼层配置!$B$5:$B$104,0)),1)</f>
        <v>1</v>
      </c>
      <c r="AD494" s="18">
        <f t="shared" si="59"/>
        <v>-0.606318066625594</v>
      </c>
      <c r="AE494" s="18">
        <f t="shared" si="60"/>
        <v>-0.451237990288922</v>
      </c>
      <c r="AF494" s="18">
        <f t="shared" si="61"/>
        <v>-0.130788574682103</v>
      </c>
      <c r="AG494" s="16" t="str">
        <f t="shared" si="62"/>
        <v>有效</v>
      </c>
      <c r="AH494">
        <f t="shared" si="63"/>
        <v>5550727.30275</v>
      </c>
    </row>
    <row r="495" ht="14.25" customHeight="1" spans="1:34">
      <c r="A495" s="16">
        <v>491</v>
      </c>
      <c r="B495" s="16">
        <v>1003</v>
      </c>
      <c r="C495" s="16">
        <v>59</v>
      </c>
      <c r="D495" s="17">
        <f>IFERROR(ROUND($U495*$X495*$AA495*参数!$B$13,0),"")</f>
        <v>2657191</v>
      </c>
      <c r="E495" s="17">
        <f>IFERROR(ROUND($V495*$Y495*$AB495*参数!$C$13,0),"")</f>
        <v>32133</v>
      </c>
      <c r="F495" s="17">
        <f>IFERROR(ROUND($W495*$Z495*$AC495*参数!$D$13,0),"")</f>
        <v>44174</v>
      </c>
      <c r="G495" s="16">
        <v>6891192</v>
      </c>
      <c r="H495" s="16">
        <v>59554</v>
      </c>
      <c r="I495" s="16">
        <v>51301</v>
      </c>
      <c r="J495" s="16">
        <v>99</v>
      </c>
      <c r="K495" s="16">
        <v>99</v>
      </c>
      <c r="L495" s="16">
        <f>IFERROR(INDEX(楼层配置!$D$5:$D$104,MATCH($K495,楼层配置!$B$5:$B$104,0)),"")</f>
        <v>279</v>
      </c>
      <c r="M495" s="16" t="str">
        <f>IFERROR(INDEX(_角色基线!$B$2:$B$100,MATCH($B495,_角色基线!$A$2:$A$100,0)),"")</f>
        <v>塔拉夏</v>
      </c>
      <c r="N495" s="16" t="str">
        <f>IFERROR(INDEX(_角色基线!$C$2:$C$100,MATCH($B495,_角色基线!$A$2:$A$100,0)),"")</f>
        <v>Tank</v>
      </c>
      <c r="O495" s="16">
        <f>IFERROR(INDEX(_怪物基线!$B$2:$B$501,MATCH(INT($L495),_怪物基线!$A$2:$A$501,0)),"")</f>
        <v>393371</v>
      </c>
      <c r="P495" s="16">
        <f>IFERROR(INDEX(_怪物基线!$C$2:$C$501,MATCH(INT($L495),_怪物基线!$A$2:$A$501,0)),"")</f>
        <v>36690</v>
      </c>
      <c r="Q495" s="16">
        <f>IFERROR(INDEX(_怪物基线!$D$2:$D$501,MATCH(INT($L495),_怪物基线!$A$2:$A$501,0)),"")</f>
        <v>29449</v>
      </c>
      <c r="R495" s="16">
        <f>参数!$B$10</f>
        <v>4</v>
      </c>
      <c r="S495" s="16">
        <f>参数!$C$10</f>
        <v>1.2</v>
      </c>
      <c r="T495" s="16">
        <f>参数!$D$10</f>
        <v>1</v>
      </c>
      <c r="U495" s="16">
        <f t="shared" si="56"/>
        <v>1573484</v>
      </c>
      <c r="V495" s="16">
        <f t="shared" si="57"/>
        <v>44028</v>
      </c>
      <c r="W495" s="16">
        <f t="shared" si="58"/>
        <v>29449</v>
      </c>
      <c r="X495" s="16">
        <f>IFERROR(INDEX(参数!$B$5:$B$7,MATCH($N495,参数!$A$5:$A$7,0)),"")</f>
        <v>1.5</v>
      </c>
      <c r="Y495" s="16">
        <f>IFERROR(INDEX(参数!$C$5:$C$7,MATCH($N495,参数!$A$5:$A$7,0)),"")</f>
        <v>1</v>
      </c>
      <c r="Z495" s="16">
        <f>IFERROR(INDEX(参数!$D$5:$D$7,MATCH($N495,参数!$A$5:$A$7,0)),"")</f>
        <v>1.5</v>
      </c>
      <c r="AA495" s="16">
        <f>IFERROR(INDEX(楼层配置!$E$5:$E$104,MATCH($K495,楼层配置!$B$5:$B$104,0)),1)</f>
        <v>1.12582067235919</v>
      </c>
      <c r="AB495" s="16">
        <f>IFERROR(INDEX(楼层配置!$F$5:$F$104,MATCH($K495,楼层配置!$B$5:$B$104,0)),1)</f>
        <v>0.729834891319568</v>
      </c>
      <c r="AC495" s="16">
        <f>IFERROR(INDEX(楼层配置!$G$5:$G$104,MATCH($K495,楼层配置!$B$5:$B$104,0)),1)</f>
        <v>1</v>
      </c>
      <c r="AD495" s="18">
        <f t="shared" si="59"/>
        <v>-0.614407638039979</v>
      </c>
      <c r="AE495" s="18">
        <f t="shared" si="60"/>
        <v>-0.460439265204688</v>
      </c>
      <c r="AF495" s="18">
        <f t="shared" si="61"/>
        <v>-0.138925167150738</v>
      </c>
      <c r="AG495" s="16" t="str">
        <f t="shared" si="62"/>
        <v>有效</v>
      </c>
      <c r="AH495">
        <f t="shared" si="63"/>
        <v>7547972.46808333</v>
      </c>
    </row>
    <row r="496" ht="14.25" customHeight="1" spans="1:34">
      <c r="A496" s="16">
        <v>492</v>
      </c>
      <c r="B496" s="16">
        <v>1017</v>
      </c>
      <c r="C496" s="16">
        <v>59</v>
      </c>
      <c r="D496" s="17">
        <f>IFERROR(ROUND($U496*$X496*$AA496*参数!$B$13,0),"")</f>
        <v>1771461</v>
      </c>
      <c r="E496" s="17">
        <f>IFERROR(ROUND($V496*$Y496*$AB496*参数!$C$13,0),"")</f>
        <v>38560</v>
      </c>
      <c r="F496" s="17">
        <f>IFERROR(ROUND($W496*$Z496*$AC496*参数!$D$13,0),"")</f>
        <v>29449</v>
      </c>
      <c r="G496" s="16">
        <v>4594128</v>
      </c>
      <c r="H496" s="16">
        <v>71464</v>
      </c>
      <c r="I496" s="16">
        <v>34200</v>
      </c>
      <c r="J496" s="16">
        <v>99</v>
      </c>
      <c r="K496" s="16">
        <v>99</v>
      </c>
      <c r="L496" s="16">
        <f>IFERROR(INDEX(楼层配置!$D$5:$D$104,MATCH($K496,楼层配置!$B$5:$B$104,0)),"")</f>
        <v>279</v>
      </c>
      <c r="M496" s="16" t="str">
        <f>IFERROR(INDEX(_角色基线!$B$2:$B$100,MATCH($B496,_角色基线!$A$2:$A$100,0)),"")</f>
        <v>伊戈尔</v>
      </c>
      <c r="N496" s="16" t="str">
        <f>IFERROR(INDEX(_角色基线!$C$2:$C$100,MATCH($B496,_角色基线!$A$2:$A$100,0)),"")</f>
        <v>DPS</v>
      </c>
      <c r="O496" s="16">
        <f>IFERROR(INDEX(_怪物基线!$B$2:$B$501,MATCH(INT($L496),_怪物基线!$A$2:$A$501,0)),"")</f>
        <v>393371</v>
      </c>
      <c r="P496" s="16">
        <f>IFERROR(INDEX(_怪物基线!$C$2:$C$501,MATCH(INT($L496),_怪物基线!$A$2:$A$501,0)),"")</f>
        <v>36690</v>
      </c>
      <c r="Q496" s="16">
        <f>IFERROR(INDEX(_怪物基线!$D$2:$D$501,MATCH(INT($L496),_怪物基线!$A$2:$A$501,0)),"")</f>
        <v>29449</v>
      </c>
      <c r="R496" s="16">
        <f>参数!$B$10</f>
        <v>4</v>
      </c>
      <c r="S496" s="16">
        <f>参数!$C$10</f>
        <v>1.2</v>
      </c>
      <c r="T496" s="16">
        <f>参数!$D$10</f>
        <v>1</v>
      </c>
      <c r="U496" s="16">
        <f t="shared" si="56"/>
        <v>1573484</v>
      </c>
      <c r="V496" s="16">
        <f t="shared" si="57"/>
        <v>44028</v>
      </c>
      <c r="W496" s="16">
        <f t="shared" si="58"/>
        <v>29449</v>
      </c>
      <c r="X496" s="16">
        <f>IFERROR(INDEX(参数!$B$5:$B$7,MATCH($N496,参数!$A$5:$A$7,0)),"")</f>
        <v>1</v>
      </c>
      <c r="Y496" s="16">
        <f>IFERROR(INDEX(参数!$C$5:$C$7,MATCH($N496,参数!$A$5:$A$7,0)),"")</f>
        <v>1.2</v>
      </c>
      <c r="Z496" s="16">
        <f>IFERROR(INDEX(参数!$D$5:$D$7,MATCH($N496,参数!$A$5:$A$7,0)),"")</f>
        <v>1</v>
      </c>
      <c r="AA496" s="16">
        <f>IFERROR(INDEX(楼层配置!$E$5:$E$104,MATCH($K496,楼层配置!$B$5:$B$104,0)),1)</f>
        <v>1.12582067235919</v>
      </c>
      <c r="AB496" s="16">
        <f>IFERROR(INDEX(楼层配置!$F$5:$F$104,MATCH($K496,楼层配置!$B$5:$B$104,0)),1)</f>
        <v>0.729834891319568</v>
      </c>
      <c r="AC496" s="16">
        <f>IFERROR(INDEX(楼层配置!$G$5:$G$104,MATCH($K496,楼层配置!$B$5:$B$104,0)),1)</f>
        <v>1</v>
      </c>
      <c r="AD496" s="18">
        <f t="shared" si="59"/>
        <v>-0.614407565483591</v>
      </c>
      <c r="AE496" s="18">
        <f t="shared" si="60"/>
        <v>-0.460427627896563</v>
      </c>
      <c r="AF496" s="18">
        <f t="shared" si="61"/>
        <v>-0.138918128654971</v>
      </c>
      <c r="AG496" s="16" t="str">
        <f t="shared" si="62"/>
        <v>有效</v>
      </c>
      <c r="AH496">
        <f t="shared" si="63"/>
        <v>3945117.457875</v>
      </c>
    </row>
    <row r="497" ht="14.25" customHeight="1" spans="1:34">
      <c r="A497" s="16">
        <v>493</v>
      </c>
      <c r="B497" s="16">
        <v>1017</v>
      </c>
      <c r="C497" s="16">
        <v>59</v>
      </c>
      <c r="D497" s="17">
        <f>IFERROR(ROUND($U497*$X497*$AA497*参数!$B$13,0),"")</f>
        <v>1771461</v>
      </c>
      <c r="E497" s="17">
        <f>IFERROR(ROUND($V497*$Y497*$AB497*参数!$C$13,0),"")</f>
        <v>38560</v>
      </c>
      <c r="F497" s="17">
        <f>IFERROR(ROUND($W497*$Z497*$AC497*参数!$D$13,0),"")</f>
        <v>29449</v>
      </c>
      <c r="G497" s="16">
        <v>4594128</v>
      </c>
      <c r="H497" s="16">
        <v>71464</v>
      </c>
      <c r="I497" s="16">
        <v>34200</v>
      </c>
      <c r="J497" s="16">
        <v>99</v>
      </c>
      <c r="K497" s="16">
        <v>99</v>
      </c>
      <c r="L497" s="16">
        <f>IFERROR(INDEX(楼层配置!$D$5:$D$104,MATCH($K497,楼层配置!$B$5:$B$104,0)),"")</f>
        <v>279</v>
      </c>
      <c r="M497" s="16" t="str">
        <f>IFERROR(INDEX(_角色基线!$B$2:$B$100,MATCH($B497,_角色基线!$A$2:$A$100,0)),"")</f>
        <v>伊戈尔</v>
      </c>
      <c r="N497" s="16" t="str">
        <f>IFERROR(INDEX(_角色基线!$C$2:$C$100,MATCH($B497,_角色基线!$A$2:$A$100,0)),"")</f>
        <v>DPS</v>
      </c>
      <c r="O497" s="16">
        <f>IFERROR(INDEX(_怪物基线!$B$2:$B$501,MATCH(INT($L497),_怪物基线!$A$2:$A$501,0)),"")</f>
        <v>393371</v>
      </c>
      <c r="P497" s="16">
        <f>IFERROR(INDEX(_怪物基线!$C$2:$C$501,MATCH(INT($L497),_怪物基线!$A$2:$A$501,0)),"")</f>
        <v>36690</v>
      </c>
      <c r="Q497" s="16">
        <f>IFERROR(INDEX(_怪物基线!$D$2:$D$501,MATCH(INT($L497),_怪物基线!$A$2:$A$501,0)),"")</f>
        <v>29449</v>
      </c>
      <c r="R497" s="16">
        <f>参数!$B$10</f>
        <v>4</v>
      </c>
      <c r="S497" s="16">
        <f>参数!$C$10</f>
        <v>1.2</v>
      </c>
      <c r="T497" s="16">
        <f>参数!$D$10</f>
        <v>1</v>
      </c>
      <c r="U497" s="16">
        <f t="shared" si="56"/>
        <v>1573484</v>
      </c>
      <c r="V497" s="16">
        <f t="shared" si="57"/>
        <v>44028</v>
      </c>
      <c r="W497" s="16">
        <f t="shared" si="58"/>
        <v>29449</v>
      </c>
      <c r="X497" s="16">
        <f>IFERROR(INDEX(参数!$B$5:$B$7,MATCH($N497,参数!$A$5:$A$7,0)),"")</f>
        <v>1</v>
      </c>
      <c r="Y497" s="16">
        <f>IFERROR(INDEX(参数!$C$5:$C$7,MATCH($N497,参数!$A$5:$A$7,0)),"")</f>
        <v>1.2</v>
      </c>
      <c r="Z497" s="16">
        <f>IFERROR(INDEX(参数!$D$5:$D$7,MATCH($N497,参数!$A$5:$A$7,0)),"")</f>
        <v>1</v>
      </c>
      <c r="AA497" s="16">
        <f>IFERROR(INDEX(楼层配置!$E$5:$E$104,MATCH($K497,楼层配置!$B$5:$B$104,0)),1)</f>
        <v>1.12582067235919</v>
      </c>
      <c r="AB497" s="16">
        <f>IFERROR(INDEX(楼层配置!$F$5:$F$104,MATCH($K497,楼层配置!$B$5:$B$104,0)),1)</f>
        <v>0.729834891319568</v>
      </c>
      <c r="AC497" s="16">
        <f>IFERROR(INDEX(楼层配置!$G$5:$G$104,MATCH($K497,楼层配置!$B$5:$B$104,0)),1)</f>
        <v>1</v>
      </c>
      <c r="AD497" s="18">
        <f t="shared" si="59"/>
        <v>-0.614407565483591</v>
      </c>
      <c r="AE497" s="18">
        <f t="shared" si="60"/>
        <v>-0.460427627896563</v>
      </c>
      <c r="AF497" s="18">
        <f t="shared" si="61"/>
        <v>-0.138918128654971</v>
      </c>
      <c r="AG497" s="16" t="str">
        <f t="shared" si="62"/>
        <v>有效</v>
      </c>
      <c r="AH497">
        <f t="shared" si="63"/>
        <v>3945117.457875</v>
      </c>
    </row>
    <row r="498" ht="14.25" customHeight="1" spans="1:34">
      <c r="A498" s="16">
        <v>494</v>
      </c>
      <c r="B498" s="16">
        <v>1008</v>
      </c>
      <c r="C498" s="16">
        <v>59</v>
      </c>
      <c r="D498" s="17">
        <f>IFERROR(ROUND($U498*$X498*$AA498*参数!$B$13,0),"")</f>
        <v>1771461</v>
      </c>
      <c r="E498" s="17">
        <f>IFERROR(ROUND($V498*$Y498*$AB498*参数!$C$13,0),"")</f>
        <v>38560</v>
      </c>
      <c r="F498" s="17">
        <f>IFERROR(ROUND($W498*$Z498*$AC498*参数!$D$13,0),"")</f>
        <v>29449</v>
      </c>
      <c r="G498" s="16">
        <v>4594128</v>
      </c>
      <c r="H498" s="16">
        <v>71464</v>
      </c>
      <c r="I498" s="16">
        <v>34200</v>
      </c>
      <c r="J498" s="16">
        <v>99</v>
      </c>
      <c r="K498" s="16">
        <v>99</v>
      </c>
      <c r="L498" s="16">
        <f>IFERROR(INDEX(楼层配置!$D$5:$D$104,MATCH($K498,楼层配置!$B$5:$B$104,0)),"")</f>
        <v>279</v>
      </c>
      <c r="M498" s="16" t="str">
        <f>IFERROR(INDEX(_角色基线!$B$2:$B$100,MATCH($B498,_角色基线!$A$2:$A$100,0)),"")</f>
        <v>薇</v>
      </c>
      <c r="N498" s="16" t="str">
        <f>IFERROR(INDEX(_角色基线!$C$2:$C$100,MATCH($B498,_角色基线!$A$2:$A$100,0)),"")</f>
        <v>DPS</v>
      </c>
      <c r="O498" s="16">
        <f>IFERROR(INDEX(_怪物基线!$B$2:$B$501,MATCH(INT($L498),_怪物基线!$A$2:$A$501,0)),"")</f>
        <v>393371</v>
      </c>
      <c r="P498" s="16">
        <f>IFERROR(INDEX(_怪物基线!$C$2:$C$501,MATCH(INT($L498),_怪物基线!$A$2:$A$501,0)),"")</f>
        <v>36690</v>
      </c>
      <c r="Q498" s="16">
        <f>IFERROR(INDEX(_怪物基线!$D$2:$D$501,MATCH(INT($L498),_怪物基线!$A$2:$A$501,0)),"")</f>
        <v>29449</v>
      </c>
      <c r="R498" s="16">
        <f>参数!$B$10</f>
        <v>4</v>
      </c>
      <c r="S498" s="16">
        <f>参数!$C$10</f>
        <v>1.2</v>
      </c>
      <c r="T498" s="16">
        <f>参数!$D$10</f>
        <v>1</v>
      </c>
      <c r="U498" s="16">
        <f t="shared" si="56"/>
        <v>1573484</v>
      </c>
      <c r="V498" s="16">
        <f t="shared" si="57"/>
        <v>44028</v>
      </c>
      <c r="W498" s="16">
        <f t="shared" si="58"/>
        <v>29449</v>
      </c>
      <c r="X498" s="16">
        <f>IFERROR(INDEX(参数!$B$5:$B$7,MATCH($N498,参数!$A$5:$A$7,0)),"")</f>
        <v>1</v>
      </c>
      <c r="Y498" s="16">
        <f>IFERROR(INDEX(参数!$C$5:$C$7,MATCH($N498,参数!$A$5:$A$7,0)),"")</f>
        <v>1.2</v>
      </c>
      <c r="Z498" s="16">
        <f>IFERROR(INDEX(参数!$D$5:$D$7,MATCH($N498,参数!$A$5:$A$7,0)),"")</f>
        <v>1</v>
      </c>
      <c r="AA498" s="16">
        <f>IFERROR(INDEX(楼层配置!$E$5:$E$104,MATCH($K498,楼层配置!$B$5:$B$104,0)),1)</f>
        <v>1.12582067235919</v>
      </c>
      <c r="AB498" s="16">
        <f>IFERROR(INDEX(楼层配置!$F$5:$F$104,MATCH($K498,楼层配置!$B$5:$B$104,0)),1)</f>
        <v>0.729834891319568</v>
      </c>
      <c r="AC498" s="16">
        <f>IFERROR(INDEX(楼层配置!$G$5:$G$104,MATCH($K498,楼层配置!$B$5:$B$104,0)),1)</f>
        <v>1</v>
      </c>
      <c r="AD498" s="18">
        <f t="shared" si="59"/>
        <v>-0.614407565483591</v>
      </c>
      <c r="AE498" s="18">
        <f t="shared" si="60"/>
        <v>-0.460427627896563</v>
      </c>
      <c r="AF498" s="18">
        <f t="shared" si="61"/>
        <v>-0.138918128654971</v>
      </c>
      <c r="AG498" s="16" t="str">
        <f t="shared" si="62"/>
        <v>有效</v>
      </c>
      <c r="AH498">
        <f t="shared" si="63"/>
        <v>3945117.457875</v>
      </c>
    </row>
    <row r="499" ht="14.25" customHeight="1" spans="1:34">
      <c r="A499" s="16">
        <v>495</v>
      </c>
      <c r="B499" s="16">
        <v>1007</v>
      </c>
      <c r="C499" s="16">
        <v>59</v>
      </c>
      <c r="D499" s="17">
        <f>IFERROR(ROUND($U499*$X499*$AA499*参数!$B$13,0),"")</f>
        <v>2214326</v>
      </c>
      <c r="E499" s="17">
        <f>IFERROR(ROUND($V499*$Y499*$AB499*参数!$C$13,0),"")</f>
        <v>32133</v>
      </c>
      <c r="F499" s="17">
        <f>IFERROR(ROUND($W499*$Z499*$AC499*参数!$D$13,0),"")</f>
        <v>36811</v>
      </c>
      <c r="G499" s="16">
        <v>5742660</v>
      </c>
      <c r="H499" s="16">
        <v>59554</v>
      </c>
      <c r="I499" s="16">
        <v>42751</v>
      </c>
      <c r="J499" s="16">
        <v>99</v>
      </c>
      <c r="K499" s="16">
        <v>99</v>
      </c>
      <c r="L499" s="16">
        <f>IFERROR(INDEX(楼层配置!$D$5:$D$104,MATCH($K499,楼层配置!$B$5:$B$104,0)),"")</f>
        <v>279</v>
      </c>
      <c r="M499" s="16" t="str">
        <f>IFERROR(INDEX(_角色基线!$B$2:$B$100,MATCH($B499,_角色基线!$A$2:$A$100,0)),"")</f>
        <v>萨萨莉安</v>
      </c>
      <c r="N499" s="16" t="str">
        <f>IFERROR(INDEX(_角色基线!$C$2:$C$100,MATCH($B499,_角色基线!$A$2:$A$100,0)),"")</f>
        <v>Support</v>
      </c>
      <c r="O499" s="16">
        <f>IFERROR(INDEX(_怪物基线!$B$2:$B$501,MATCH(INT($L499),_怪物基线!$A$2:$A$501,0)),"")</f>
        <v>393371</v>
      </c>
      <c r="P499" s="16">
        <f>IFERROR(INDEX(_怪物基线!$C$2:$C$501,MATCH(INT($L499),_怪物基线!$A$2:$A$501,0)),"")</f>
        <v>36690</v>
      </c>
      <c r="Q499" s="16">
        <f>IFERROR(INDEX(_怪物基线!$D$2:$D$501,MATCH(INT($L499),_怪物基线!$A$2:$A$501,0)),"")</f>
        <v>29449</v>
      </c>
      <c r="R499" s="16">
        <f>参数!$B$10</f>
        <v>4</v>
      </c>
      <c r="S499" s="16">
        <f>参数!$C$10</f>
        <v>1.2</v>
      </c>
      <c r="T499" s="16">
        <f>参数!$D$10</f>
        <v>1</v>
      </c>
      <c r="U499" s="16">
        <f t="shared" si="56"/>
        <v>1573484</v>
      </c>
      <c r="V499" s="16">
        <f t="shared" si="57"/>
        <v>44028</v>
      </c>
      <c r="W499" s="16">
        <f t="shared" si="58"/>
        <v>29449</v>
      </c>
      <c r="X499" s="16">
        <f>IFERROR(INDEX(参数!$B$5:$B$7,MATCH($N499,参数!$A$5:$A$7,0)),"")</f>
        <v>1.25</v>
      </c>
      <c r="Y499" s="16">
        <f>IFERROR(INDEX(参数!$C$5:$C$7,MATCH($N499,参数!$A$5:$A$7,0)),"")</f>
        <v>1</v>
      </c>
      <c r="Z499" s="16">
        <f>IFERROR(INDEX(参数!$D$5:$D$7,MATCH($N499,参数!$A$5:$A$7,0)),"")</f>
        <v>1.25</v>
      </c>
      <c r="AA499" s="16">
        <f>IFERROR(INDEX(楼层配置!$E$5:$E$104,MATCH($K499,楼层配置!$B$5:$B$104,0)),1)</f>
        <v>1.12582067235919</v>
      </c>
      <c r="AB499" s="16">
        <f>IFERROR(INDEX(楼层配置!$F$5:$F$104,MATCH($K499,楼层配置!$B$5:$B$104,0)),1)</f>
        <v>0.729834891319568</v>
      </c>
      <c r="AC499" s="16">
        <f>IFERROR(INDEX(楼层配置!$G$5:$G$104,MATCH($K499,楼层配置!$B$5:$B$104,0)),1)</f>
        <v>1</v>
      </c>
      <c r="AD499" s="18">
        <f t="shared" si="59"/>
        <v>-0.614407609017424</v>
      </c>
      <c r="AE499" s="18">
        <f t="shared" si="60"/>
        <v>-0.460439265204688</v>
      </c>
      <c r="AF499" s="18">
        <f t="shared" si="61"/>
        <v>-0.138944118266239</v>
      </c>
      <c r="AG499" s="16" t="str">
        <f t="shared" si="62"/>
        <v>有效</v>
      </c>
      <c r="AH499">
        <f t="shared" si="63"/>
        <v>5610640.76608333</v>
      </c>
    </row>
    <row r="500" ht="14.25" customHeight="1" spans="1:34">
      <c r="A500" s="16">
        <v>496</v>
      </c>
      <c r="B500" s="16">
        <v>1003</v>
      </c>
      <c r="C500" s="16">
        <v>60</v>
      </c>
      <c r="D500" s="17">
        <f>IFERROR(ROUND($U500*$X500*$AA500*参数!$B$13,0),"")</f>
        <v>2685426</v>
      </c>
      <c r="E500" s="17">
        <f>IFERROR(ROUND($V500*$Y500*$AB500*参数!$C$13,0),"")</f>
        <v>32431</v>
      </c>
      <c r="F500" s="17">
        <f>IFERROR(ROUND($W500*$Z500*$AC500*参数!$D$13,0),"")</f>
        <v>44379</v>
      </c>
      <c r="G500" s="16">
        <v>7140672</v>
      </c>
      <c r="H500" s="16">
        <v>61451</v>
      </c>
      <c r="I500" s="16">
        <v>52206</v>
      </c>
      <c r="J500" s="16">
        <v>100</v>
      </c>
      <c r="K500" s="16">
        <v>100</v>
      </c>
      <c r="L500" s="16">
        <f>IFERROR(INDEX(楼层配置!$D$5:$D$104,MATCH($K500,楼层配置!$B$5:$B$104,0)),"")</f>
        <v>280</v>
      </c>
      <c r="M500" s="16" t="str">
        <f>IFERROR(INDEX(_角色基线!$B$2:$B$100,MATCH($B500,_角色基线!$A$2:$A$100,0)),"")</f>
        <v>塔拉夏</v>
      </c>
      <c r="N500" s="16" t="str">
        <f>IFERROR(INDEX(_角色基线!$C$2:$C$100,MATCH($B500,_角色基线!$A$2:$A$100,0)),"")</f>
        <v>Tank</v>
      </c>
      <c r="O500" s="16">
        <f>IFERROR(INDEX(_怪物基线!$B$2:$B$501,MATCH(INT($L500),_怪物基线!$A$2:$A$501,0)),"")</f>
        <v>397235</v>
      </c>
      <c r="P500" s="16">
        <f>IFERROR(INDEX(_怪物基线!$C$2:$C$501,MATCH(INT($L500),_怪物基线!$A$2:$A$501,0)),"")</f>
        <v>36960</v>
      </c>
      <c r="Q500" s="16">
        <f>IFERROR(INDEX(_怪物基线!$D$2:$D$501,MATCH(INT($L500),_怪物基线!$A$2:$A$501,0)),"")</f>
        <v>29586</v>
      </c>
      <c r="R500" s="16">
        <f>参数!$B$10</f>
        <v>4</v>
      </c>
      <c r="S500" s="16">
        <f>参数!$C$10</f>
        <v>1.2</v>
      </c>
      <c r="T500" s="16">
        <f>参数!$D$10</f>
        <v>1</v>
      </c>
      <c r="U500" s="16">
        <f t="shared" si="56"/>
        <v>1588940</v>
      </c>
      <c r="V500" s="16">
        <f t="shared" si="57"/>
        <v>44352</v>
      </c>
      <c r="W500" s="16">
        <f t="shared" si="58"/>
        <v>29586</v>
      </c>
      <c r="X500" s="16">
        <f>IFERROR(INDEX(参数!$B$5:$B$7,MATCH($N500,参数!$A$5:$A$7,0)),"")</f>
        <v>1.5</v>
      </c>
      <c r="Y500" s="16">
        <f>IFERROR(INDEX(参数!$C$5:$C$7,MATCH($N500,参数!$A$5:$A$7,0)),"")</f>
        <v>1</v>
      </c>
      <c r="Z500" s="16">
        <f>IFERROR(INDEX(参数!$D$5:$D$7,MATCH($N500,参数!$A$5:$A$7,0)),"")</f>
        <v>1.5</v>
      </c>
      <c r="AA500" s="16">
        <f>IFERROR(INDEX(楼层配置!$E$5:$E$104,MATCH($K500,楼层配置!$B$5:$B$104,0)),1)</f>
        <v>1.12671592412141</v>
      </c>
      <c r="AB500" s="16">
        <f>IFERROR(INDEX(楼层配置!$F$5:$F$104,MATCH($K500,楼层配置!$B$5:$B$104,0)),1)</f>
        <v>0.731229508674054</v>
      </c>
      <c r="AC500" s="16">
        <f>IFERROR(INDEX(楼层配置!$G$5:$G$104,MATCH($K500,楼层配置!$B$5:$B$104,0)),1)</f>
        <v>1</v>
      </c>
      <c r="AD500" s="18">
        <f t="shared" si="59"/>
        <v>-0.623925311231212</v>
      </c>
      <c r="AE500" s="18">
        <f t="shared" si="60"/>
        <v>-0.472246179883159</v>
      </c>
      <c r="AF500" s="18">
        <f t="shared" si="61"/>
        <v>-0.149925295942995</v>
      </c>
      <c r="AG500" s="16" t="str">
        <f t="shared" si="62"/>
        <v>有效</v>
      </c>
      <c r="AH500">
        <f t="shared" si="63"/>
        <v>7651114.35225</v>
      </c>
    </row>
    <row r="501" ht="14.25" customHeight="1" spans="1:34">
      <c r="A501" s="16">
        <v>497</v>
      </c>
      <c r="B501" s="16">
        <v>1005</v>
      </c>
      <c r="C501" s="16">
        <v>60</v>
      </c>
      <c r="D501" s="17">
        <f>IFERROR(ROUND($U501*$X501*$AA501*参数!$B$13,0),"")</f>
        <v>1790284</v>
      </c>
      <c r="E501" s="17">
        <f>IFERROR(ROUND($V501*$Y501*$AB501*参数!$C$13,0),"")</f>
        <v>38918</v>
      </c>
      <c r="F501" s="17">
        <f>IFERROR(ROUND($W501*$Z501*$AC501*参数!$D$13,0),"")</f>
        <v>29586</v>
      </c>
      <c r="G501" s="16">
        <v>4760448</v>
      </c>
      <c r="H501" s="16">
        <v>73741</v>
      </c>
      <c r="I501" s="16">
        <v>34804</v>
      </c>
      <c r="J501" s="16">
        <v>100</v>
      </c>
      <c r="K501" s="16">
        <v>100</v>
      </c>
      <c r="L501" s="16">
        <f>IFERROR(INDEX(楼层配置!$D$5:$D$104,MATCH($K501,楼层配置!$B$5:$B$104,0)),"")</f>
        <v>280</v>
      </c>
      <c r="M501" s="16" t="str">
        <f>IFERROR(INDEX(_角色基线!$B$2:$B$100,MATCH($B501,_角色基线!$A$2:$A$100,0)),"")</f>
        <v>陈单单</v>
      </c>
      <c r="N501" s="16" t="str">
        <f>IFERROR(INDEX(_角色基线!$C$2:$C$100,MATCH($B501,_角色基线!$A$2:$A$100,0)),"")</f>
        <v>DPS</v>
      </c>
      <c r="O501" s="16">
        <f>IFERROR(INDEX(_怪物基线!$B$2:$B$501,MATCH(INT($L501),_怪物基线!$A$2:$A$501,0)),"")</f>
        <v>397235</v>
      </c>
      <c r="P501" s="16">
        <f>IFERROR(INDEX(_怪物基线!$C$2:$C$501,MATCH(INT($L501),_怪物基线!$A$2:$A$501,0)),"")</f>
        <v>36960</v>
      </c>
      <c r="Q501" s="16">
        <f>IFERROR(INDEX(_怪物基线!$D$2:$D$501,MATCH(INT($L501),_怪物基线!$A$2:$A$501,0)),"")</f>
        <v>29586</v>
      </c>
      <c r="R501" s="16">
        <f>参数!$B$10</f>
        <v>4</v>
      </c>
      <c r="S501" s="16">
        <f>参数!$C$10</f>
        <v>1.2</v>
      </c>
      <c r="T501" s="16">
        <f>参数!$D$10</f>
        <v>1</v>
      </c>
      <c r="U501" s="16">
        <f t="shared" si="56"/>
        <v>1588940</v>
      </c>
      <c r="V501" s="16">
        <f t="shared" si="57"/>
        <v>44352</v>
      </c>
      <c r="W501" s="16">
        <f t="shared" si="58"/>
        <v>29586</v>
      </c>
      <c r="X501" s="16">
        <f>IFERROR(INDEX(参数!$B$5:$B$7,MATCH($N501,参数!$A$5:$A$7,0)),"")</f>
        <v>1</v>
      </c>
      <c r="Y501" s="16">
        <f>IFERROR(INDEX(参数!$C$5:$C$7,MATCH($N501,参数!$A$5:$A$7,0)),"")</f>
        <v>1.2</v>
      </c>
      <c r="Z501" s="16">
        <f>IFERROR(INDEX(参数!$D$5:$D$7,MATCH($N501,参数!$A$5:$A$7,0)),"")</f>
        <v>1</v>
      </c>
      <c r="AA501" s="16">
        <f>IFERROR(INDEX(楼层配置!$E$5:$E$104,MATCH($K501,楼层配置!$B$5:$B$104,0)),1)</f>
        <v>1.12671592412141</v>
      </c>
      <c r="AB501" s="16">
        <f>IFERROR(INDEX(楼层配置!$F$5:$F$104,MATCH($K501,楼层配置!$B$5:$B$104,0)),1)</f>
        <v>0.731229508674054</v>
      </c>
      <c r="AC501" s="16">
        <f>IFERROR(INDEX(楼层配置!$G$5:$G$104,MATCH($K501,楼层配置!$B$5:$B$104,0)),1)</f>
        <v>1</v>
      </c>
      <c r="AD501" s="18">
        <f t="shared" si="59"/>
        <v>-0.623925311231212</v>
      </c>
      <c r="AE501" s="18">
        <f t="shared" si="60"/>
        <v>-0.472233899730137</v>
      </c>
      <c r="AF501" s="18">
        <f t="shared" si="61"/>
        <v>-0.149925295942995</v>
      </c>
      <c r="AG501" s="16" t="str">
        <f t="shared" si="62"/>
        <v>有效</v>
      </c>
      <c r="AH501">
        <f t="shared" si="63"/>
        <v>3997256.601</v>
      </c>
    </row>
    <row r="502" ht="14.25" customHeight="1" spans="1:34">
      <c r="A502" s="16">
        <v>498</v>
      </c>
      <c r="B502" s="16">
        <v>1005</v>
      </c>
      <c r="C502" s="16">
        <v>60</v>
      </c>
      <c r="D502" s="17">
        <f>IFERROR(ROUND($U502*$X502*$AA502*参数!$B$13,0),"")</f>
        <v>1790284</v>
      </c>
      <c r="E502" s="17">
        <f>IFERROR(ROUND($V502*$Y502*$AB502*参数!$C$13,0),"")</f>
        <v>38918</v>
      </c>
      <c r="F502" s="17">
        <f>IFERROR(ROUND($W502*$Z502*$AC502*参数!$D$13,0),"")</f>
        <v>29586</v>
      </c>
      <c r="G502" s="16">
        <v>4760448</v>
      </c>
      <c r="H502" s="16">
        <v>73741</v>
      </c>
      <c r="I502" s="16">
        <v>34804</v>
      </c>
      <c r="J502" s="16">
        <v>100</v>
      </c>
      <c r="K502" s="16">
        <v>100</v>
      </c>
      <c r="L502" s="16">
        <f>IFERROR(INDEX(楼层配置!$D$5:$D$104,MATCH($K502,楼层配置!$B$5:$B$104,0)),"")</f>
        <v>280</v>
      </c>
      <c r="M502" s="16" t="str">
        <f>IFERROR(INDEX(_角色基线!$B$2:$B$100,MATCH($B502,_角色基线!$A$2:$A$100,0)),"")</f>
        <v>陈单单</v>
      </c>
      <c r="N502" s="16" t="str">
        <f>IFERROR(INDEX(_角色基线!$C$2:$C$100,MATCH($B502,_角色基线!$A$2:$A$100,0)),"")</f>
        <v>DPS</v>
      </c>
      <c r="O502" s="16">
        <f>IFERROR(INDEX(_怪物基线!$B$2:$B$501,MATCH(INT($L502),_怪物基线!$A$2:$A$501,0)),"")</f>
        <v>397235</v>
      </c>
      <c r="P502" s="16">
        <f>IFERROR(INDEX(_怪物基线!$C$2:$C$501,MATCH(INT($L502),_怪物基线!$A$2:$A$501,0)),"")</f>
        <v>36960</v>
      </c>
      <c r="Q502" s="16">
        <f>IFERROR(INDEX(_怪物基线!$D$2:$D$501,MATCH(INT($L502),_怪物基线!$A$2:$A$501,0)),"")</f>
        <v>29586</v>
      </c>
      <c r="R502" s="16">
        <f>参数!$B$10</f>
        <v>4</v>
      </c>
      <c r="S502" s="16">
        <f>参数!$C$10</f>
        <v>1.2</v>
      </c>
      <c r="T502" s="16">
        <f>参数!$D$10</f>
        <v>1</v>
      </c>
      <c r="U502" s="16">
        <f t="shared" si="56"/>
        <v>1588940</v>
      </c>
      <c r="V502" s="16">
        <f t="shared" si="57"/>
        <v>44352</v>
      </c>
      <c r="W502" s="16">
        <f t="shared" si="58"/>
        <v>29586</v>
      </c>
      <c r="X502" s="16">
        <f>IFERROR(INDEX(参数!$B$5:$B$7,MATCH($N502,参数!$A$5:$A$7,0)),"")</f>
        <v>1</v>
      </c>
      <c r="Y502" s="16">
        <f>IFERROR(INDEX(参数!$C$5:$C$7,MATCH($N502,参数!$A$5:$A$7,0)),"")</f>
        <v>1.2</v>
      </c>
      <c r="Z502" s="16">
        <f>IFERROR(INDEX(参数!$D$5:$D$7,MATCH($N502,参数!$A$5:$A$7,0)),"")</f>
        <v>1</v>
      </c>
      <c r="AA502" s="16">
        <f>IFERROR(INDEX(楼层配置!$E$5:$E$104,MATCH($K502,楼层配置!$B$5:$B$104,0)),1)</f>
        <v>1.12671592412141</v>
      </c>
      <c r="AB502" s="16">
        <f>IFERROR(INDEX(楼层配置!$F$5:$F$104,MATCH($K502,楼层配置!$B$5:$B$104,0)),1)</f>
        <v>0.731229508674054</v>
      </c>
      <c r="AC502" s="16">
        <f>IFERROR(INDEX(楼层配置!$G$5:$G$104,MATCH($K502,楼层配置!$B$5:$B$104,0)),1)</f>
        <v>1</v>
      </c>
      <c r="AD502" s="18">
        <f t="shared" si="59"/>
        <v>-0.623925311231212</v>
      </c>
      <c r="AE502" s="18">
        <f t="shared" si="60"/>
        <v>-0.472233899730137</v>
      </c>
      <c r="AF502" s="18">
        <f t="shared" si="61"/>
        <v>-0.149925295942995</v>
      </c>
      <c r="AG502" s="16" t="str">
        <f t="shared" si="62"/>
        <v>有效</v>
      </c>
      <c r="AH502">
        <f t="shared" si="63"/>
        <v>3997256.601</v>
      </c>
    </row>
    <row r="503" ht="14.25" customHeight="1" spans="1:34">
      <c r="A503" s="16">
        <v>499</v>
      </c>
      <c r="B503" s="16">
        <v>1005</v>
      </c>
      <c r="C503" s="16">
        <v>60</v>
      </c>
      <c r="D503" s="17">
        <f>IFERROR(ROUND($U503*$X503*$AA503*参数!$B$13,0),"")</f>
        <v>1790284</v>
      </c>
      <c r="E503" s="17">
        <f>IFERROR(ROUND($V503*$Y503*$AB503*参数!$C$13,0),"")</f>
        <v>38918</v>
      </c>
      <c r="F503" s="17">
        <f>IFERROR(ROUND($W503*$Z503*$AC503*参数!$D$13,0),"")</f>
        <v>29586</v>
      </c>
      <c r="G503" s="16">
        <v>4760448</v>
      </c>
      <c r="H503" s="16">
        <v>73741</v>
      </c>
      <c r="I503" s="16">
        <v>34804</v>
      </c>
      <c r="J503" s="16">
        <v>100</v>
      </c>
      <c r="K503" s="16">
        <v>100</v>
      </c>
      <c r="L503" s="16">
        <f>IFERROR(INDEX(楼层配置!$D$5:$D$104,MATCH($K503,楼层配置!$B$5:$B$104,0)),"")</f>
        <v>280</v>
      </c>
      <c r="M503" s="16" t="str">
        <f>IFERROR(INDEX(_角色基线!$B$2:$B$100,MATCH($B503,_角色基线!$A$2:$A$100,0)),"")</f>
        <v>陈单单</v>
      </c>
      <c r="N503" s="16" t="str">
        <f>IFERROR(INDEX(_角色基线!$C$2:$C$100,MATCH($B503,_角色基线!$A$2:$A$100,0)),"")</f>
        <v>DPS</v>
      </c>
      <c r="O503" s="16">
        <f>IFERROR(INDEX(_怪物基线!$B$2:$B$501,MATCH(INT($L503),_怪物基线!$A$2:$A$501,0)),"")</f>
        <v>397235</v>
      </c>
      <c r="P503" s="16">
        <f>IFERROR(INDEX(_怪物基线!$C$2:$C$501,MATCH(INT($L503),_怪物基线!$A$2:$A$501,0)),"")</f>
        <v>36960</v>
      </c>
      <c r="Q503" s="16">
        <f>IFERROR(INDEX(_怪物基线!$D$2:$D$501,MATCH(INT($L503),_怪物基线!$A$2:$A$501,0)),"")</f>
        <v>29586</v>
      </c>
      <c r="R503" s="16">
        <f>参数!$B$10</f>
        <v>4</v>
      </c>
      <c r="S503" s="16">
        <f>参数!$C$10</f>
        <v>1.2</v>
      </c>
      <c r="T503" s="16">
        <f>参数!$D$10</f>
        <v>1</v>
      </c>
      <c r="U503" s="16">
        <f t="shared" si="56"/>
        <v>1588940</v>
      </c>
      <c r="V503" s="16">
        <f t="shared" si="57"/>
        <v>44352</v>
      </c>
      <c r="W503" s="16">
        <f t="shared" si="58"/>
        <v>29586</v>
      </c>
      <c r="X503" s="16">
        <f>IFERROR(INDEX(参数!$B$5:$B$7,MATCH($N503,参数!$A$5:$A$7,0)),"")</f>
        <v>1</v>
      </c>
      <c r="Y503" s="16">
        <f>IFERROR(INDEX(参数!$C$5:$C$7,MATCH($N503,参数!$A$5:$A$7,0)),"")</f>
        <v>1.2</v>
      </c>
      <c r="Z503" s="16">
        <f>IFERROR(INDEX(参数!$D$5:$D$7,MATCH($N503,参数!$A$5:$A$7,0)),"")</f>
        <v>1</v>
      </c>
      <c r="AA503" s="16">
        <f>IFERROR(INDEX(楼层配置!$E$5:$E$104,MATCH($K503,楼层配置!$B$5:$B$104,0)),1)</f>
        <v>1.12671592412141</v>
      </c>
      <c r="AB503" s="16">
        <f>IFERROR(INDEX(楼层配置!$F$5:$F$104,MATCH($K503,楼层配置!$B$5:$B$104,0)),1)</f>
        <v>0.731229508674054</v>
      </c>
      <c r="AC503" s="16">
        <f>IFERROR(INDEX(楼层配置!$G$5:$G$104,MATCH($K503,楼层配置!$B$5:$B$104,0)),1)</f>
        <v>1</v>
      </c>
      <c r="AD503" s="18">
        <f t="shared" si="59"/>
        <v>-0.623925311231212</v>
      </c>
      <c r="AE503" s="18">
        <f t="shared" si="60"/>
        <v>-0.472233899730137</v>
      </c>
      <c r="AF503" s="18">
        <f t="shared" si="61"/>
        <v>-0.149925295942995</v>
      </c>
      <c r="AG503" s="16" t="str">
        <f t="shared" si="62"/>
        <v>有效</v>
      </c>
      <c r="AH503">
        <f t="shared" si="63"/>
        <v>3997256.601</v>
      </c>
    </row>
    <row r="504" ht="14.25" customHeight="1" spans="1:34">
      <c r="A504" s="16">
        <v>500</v>
      </c>
      <c r="B504" s="16">
        <v>1029</v>
      </c>
      <c r="C504" s="16">
        <v>60</v>
      </c>
      <c r="D504" s="17">
        <f>IFERROR(ROUND($U504*$X504*$AA504*参数!$B$13,0),"")</f>
        <v>2237855</v>
      </c>
      <c r="E504" s="17">
        <f>IFERROR(ROUND($V504*$Y504*$AB504*参数!$C$13,0),"")</f>
        <v>32431</v>
      </c>
      <c r="F504" s="17">
        <f>IFERROR(ROUND($W504*$Z504*$AC504*参数!$D$13,0),"")</f>
        <v>36983</v>
      </c>
      <c r="G504" s="16">
        <v>5950560</v>
      </c>
      <c r="H504" s="16">
        <v>61451</v>
      </c>
      <c r="I504" s="16">
        <v>43505</v>
      </c>
      <c r="J504" s="16">
        <v>100</v>
      </c>
      <c r="K504" s="16">
        <v>100</v>
      </c>
      <c r="L504" s="16">
        <f>IFERROR(INDEX(楼层配置!$D$5:$D$104,MATCH($K504,楼层配置!$B$5:$B$104,0)),"")</f>
        <v>280</v>
      </c>
      <c r="M504" s="16" t="str">
        <f>IFERROR(INDEX(_角色基线!$B$2:$B$100,MATCH($B504,_角色基线!$A$2:$A$100,0)),"")</f>
        <v>凯兰</v>
      </c>
      <c r="N504" s="16" t="str">
        <f>IFERROR(INDEX(_角色基线!$C$2:$C$100,MATCH($B504,_角色基线!$A$2:$A$100,0)),"")</f>
        <v>Support</v>
      </c>
      <c r="O504" s="16">
        <f>IFERROR(INDEX(_怪物基线!$B$2:$B$501,MATCH(INT($L504),_怪物基线!$A$2:$A$501,0)),"")</f>
        <v>397235</v>
      </c>
      <c r="P504" s="16">
        <f>IFERROR(INDEX(_怪物基线!$C$2:$C$501,MATCH(INT($L504),_怪物基线!$A$2:$A$501,0)),"")</f>
        <v>36960</v>
      </c>
      <c r="Q504" s="16">
        <f>IFERROR(INDEX(_怪物基线!$D$2:$D$501,MATCH(INT($L504),_怪物基线!$A$2:$A$501,0)),"")</f>
        <v>29586</v>
      </c>
      <c r="R504" s="16">
        <f>参数!$B$10</f>
        <v>4</v>
      </c>
      <c r="S504" s="16">
        <f>参数!$C$10</f>
        <v>1.2</v>
      </c>
      <c r="T504" s="16">
        <f>参数!$D$10</f>
        <v>1</v>
      </c>
      <c r="U504" s="16">
        <f t="shared" si="56"/>
        <v>1588940</v>
      </c>
      <c r="V504" s="16">
        <f t="shared" si="57"/>
        <v>44352</v>
      </c>
      <c r="W504" s="16">
        <f t="shared" si="58"/>
        <v>29586</v>
      </c>
      <c r="X504" s="16">
        <f>IFERROR(INDEX(参数!$B$5:$B$7,MATCH($N504,参数!$A$5:$A$7,0)),"")</f>
        <v>1.25</v>
      </c>
      <c r="Y504" s="16">
        <f>IFERROR(INDEX(参数!$C$5:$C$7,MATCH($N504,参数!$A$5:$A$7,0)),"")</f>
        <v>1</v>
      </c>
      <c r="Z504" s="16">
        <f>IFERROR(INDEX(参数!$D$5:$D$7,MATCH($N504,参数!$A$5:$A$7,0)),"")</f>
        <v>1.25</v>
      </c>
      <c r="AA504" s="16">
        <f>IFERROR(INDEX(楼层配置!$E$5:$E$104,MATCH($K504,楼层配置!$B$5:$B$104,0)),1)</f>
        <v>1.12671592412141</v>
      </c>
      <c r="AB504" s="16">
        <f>IFERROR(INDEX(楼层配置!$F$5:$F$104,MATCH($K504,楼层配置!$B$5:$B$104,0)),1)</f>
        <v>0.731229508674054</v>
      </c>
      <c r="AC504" s="16">
        <f>IFERROR(INDEX(楼层配置!$G$5:$G$104,MATCH($K504,楼层配置!$B$5:$B$104,0)),1)</f>
        <v>1</v>
      </c>
      <c r="AD504" s="18">
        <f t="shared" si="59"/>
        <v>-0.623925311231212</v>
      </c>
      <c r="AE504" s="18">
        <f t="shared" si="60"/>
        <v>-0.472246179883159</v>
      </c>
      <c r="AF504" s="18">
        <f t="shared" si="61"/>
        <v>-0.149913803011148</v>
      </c>
      <c r="AG504" s="16" t="str">
        <f t="shared" si="62"/>
        <v>有效</v>
      </c>
      <c r="AH504">
        <f t="shared" si="63"/>
        <v>5686296.31104167</v>
      </c>
    </row>
    <row r="505" spans="1:34">
      <c r="A505">
        <v>501</v>
      </c>
      <c r="B505">
        <v>1003</v>
      </c>
      <c r="C505">
        <v>60</v>
      </c>
      <c r="D505">
        <f>IFERROR(ROUND($U505*$X505*$AA505*参数!$B$13,0),"")</f>
        <v>2709589</v>
      </c>
      <c r="E505">
        <f>IFERROR(ROUND($V505*$Y505*$AB505*参数!$C$13,0),"")</f>
        <v>32607</v>
      </c>
      <c r="F505">
        <f>IFERROR(ROUND($W505*$Z505*$AC505*参数!$D$13,0),"")</f>
        <v>44586</v>
      </c>
      <c r="J505">
        <v>101</v>
      </c>
      <c r="K505">
        <v>101</v>
      </c>
      <c r="L505">
        <f>IFERROR(INDEX(楼层配置!$D$5:$D$204,MATCH($K505,楼层配置!$B$5:$B$204,0)),"")</f>
        <v>281</v>
      </c>
      <c r="M505" t="str">
        <f>IFERROR(INDEX(_角色基线!$B$2:$B$100,MATCH($B505,_角色基线!$A$2:$A$100,0)),"")</f>
        <v>塔拉夏</v>
      </c>
      <c r="N505" t="str">
        <f>IFERROR(INDEX(_角色基线!$C$2:$C$100,MATCH($B505,_角色基线!$A$2:$A$100,0)),"")</f>
        <v>Tank</v>
      </c>
      <c r="O505">
        <f>IFERROR(INDEX(_怪物基线!$B$2:$B$501,MATCH(INT($L505),_怪物基线!$A$2:$A$501,0)),"")</f>
        <v>401128</v>
      </c>
      <c r="P505">
        <f>IFERROR(INDEX(_怪物基线!$C$2:$C$501,MATCH(INT($L505),_怪物基线!$A$2:$A$501,0)),"")</f>
        <v>37231</v>
      </c>
      <c r="Q505">
        <f>IFERROR(INDEX(_怪物基线!$D$2:$D$501,MATCH(INT($L505),_怪物基线!$A$2:$A$501,0)),"")</f>
        <v>29724</v>
      </c>
      <c r="R505">
        <f>参数!$B$10</f>
        <v>4</v>
      </c>
      <c r="S505">
        <f>参数!$C$10</f>
        <v>1.2</v>
      </c>
      <c r="T505">
        <f>参数!$D$10</f>
        <v>1</v>
      </c>
      <c r="U505">
        <f t="shared" si="56"/>
        <v>1604512</v>
      </c>
      <c r="V505">
        <f t="shared" si="57"/>
        <v>44677.2</v>
      </c>
      <c r="W505">
        <f t="shared" si="58"/>
        <v>29724</v>
      </c>
      <c r="X505">
        <f>IFERROR(INDEX(参数!$B$5:$B$7,MATCH($N505,参数!$A$5:$A$7,0)),"")</f>
        <v>1.5</v>
      </c>
      <c r="Y505">
        <f>IFERROR(INDEX(参数!$C$5:$C$7,MATCH($N505,参数!$A$5:$A$7,0)),"")</f>
        <v>1</v>
      </c>
      <c r="Z505">
        <f>IFERROR(INDEX(参数!$D$5:$D$7,MATCH($N505,参数!$A$5:$A$7,0)),"")</f>
        <v>1.5</v>
      </c>
      <c r="AA505">
        <f>IFERROR(INDEX(楼层配置!$E$5:$E$204,MATCH($K505,楼层配置!$B$5:$B$204,0)),1)</f>
        <v>1.12582067235919</v>
      </c>
      <c r="AB505">
        <f>IFERROR(INDEX(楼层配置!$F$5:$F$204,MATCH($K505,楼层配置!$B$5:$B$204,0)),1)</f>
        <v>0.729834891319568</v>
      </c>
      <c r="AC505">
        <f>IFERROR(INDEX(楼层配置!$G$5:$G$204,MATCH($K505,楼层配置!$B$5:$B$204,0)),1)</f>
        <v>1</v>
      </c>
      <c r="AD505" t="str">
        <f t="shared" si="59"/>
        <v/>
      </c>
      <c r="AE505" t="str">
        <f t="shared" si="60"/>
        <v/>
      </c>
      <c r="AF505" t="str">
        <f t="shared" si="61"/>
        <v/>
      </c>
      <c r="AG505" t="str">
        <f t="shared" si="62"/>
        <v>有效</v>
      </c>
      <c r="AH505">
        <f t="shared" si="63"/>
        <v>7743327.96475</v>
      </c>
    </row>
    <row r="506" spans="1:34">
      <c r="A506">
        <v>502</v>
      </c>
      <c r="B506">
        <v>1005</v>
      </c>
      <c r="C506">
        <v>60</v>
      </c>
      <c r="D506">
        <f>IFERROR(ROUND($U506*$X506*$AA506*参数!$B$13,0),"")</f>
        <v>1806393</v>
      </c>
      <c r="E506">
        <f>IFERROR(ROUND($V506*$Y506*$AB506*参数!$C$13,0),"")</f>
        <v>39128</v>
      </c>
      <c r="F506">
        <f>IFERROR(ROUND($W506*$Z506*$AC506*参数!$D$13,0),"")</f>
        <v>29724</v>
      </c>
      <c r="J506">
        <v>101</v>
      </c>
      <c r="K506">
        <v>101</v>
      </c>
      <c r="L506">
        <f>IFERROR(INDEX(楼层配置!$D$5:$D$204,MATCH($K506,楼层配置!$B$5:$B$204,0)),"")</f>
        <v>281</v>
      </c>
      <c r="M506" t="str">
        <f>IFERROR(INDEX(_角色基线!$B$2:$B$100,MATCH($B506,_角色基线!$A$2:$A$100,0)),"")</f>
        <v>陈单单</v>
      </c>
      <c r="N506" t="str">
        <f>IFERROR(INDEX(_角色基线!$C$2:$C$100,MATCH($B506,_角色基线!$A$2:$A$100,0)),"")</f>
        <v>DPS</v>
      </c>
      <c r="O506">
        <f>IFERROR(INDEX(_怪物基线!$B$2:$B$501,MATCH(INT($L506),_怪物基线!$A$2:$A$501,0)),"")</f>
        <v>401128</v>
      </c>
      <c r="P506">
        <f>IFERROR(INDEX(_怪物基线!$C$2:$C$501,MATCH(INT($L506),_怪物基线!$A$2:$A$501,0)),"")</f>
        <v>37231</v>
      </c>
      <c r="Q506">
        <f>IFERROR(INDEX(_怪物基线!$D$2:$D$501,MATCH(INT($L506),_怪物基线!$A$2:$A$501,0)),"")</f>
        <v>29724</v>
      </c>
      <c r="R506">
        <f>参数!$B$10</f>
        <v>4</v>
      </c>
      <c r="S506">
        <f>参数!$C$10</f>
        <v>1.2</v>
      </c>
      <c r="T506">
        <f>参数!$D$10</f>
        <v>1</v>
      </c>
      <c r="U506">
        <f t="shared" si="56"/>
        <v>1604512</v>
      </c>
      <c r="V506">
        <f t="shared" si="57"/>
        <v>44677.2</v>
      </c>
      <c r="W506">
        <f t="shared" si="58"/>
        <v>29724</v>
      </c>
      <c r="X506">
        <f>IFERROR(INDEX(参数!$B$5:$B$7,MATCH($N506,参数!$A$5:$A$7,0)),"")</f>
        <v>1</v>
      </c>
      <c r="Y506">
        <f>IFERROR(INDEX(参数!$C$5:$C$7,MATCH($N506,参数!$A$5:$A$7,0)),"")</f>
        <v>1.2</v>
      </c>
      <c r="Z506">
        <f>IFERROR(INDEX(参数!$D$5:$D$7,MATCH($N506,参数!$A$5:$A$7,0)),"")</f>
        <v>1</v>
      </c>
      <c r="AA506">
        <f>IFERROR(INDEX(楼层配置!$E$5:$E$204,MATCH($K506,楼层配置!$B$5:$B$204,0)),1)</f>
        <v>1.12582067235919</v>
      </c>
      <c r="AB506">
        <f>IFERROR(INDEX(楼层配置!$F$5:$F$204,MATCH($K506,楼层配置!$B$5:$B$204,0)),1)</f>
        <v>0.729834891319568</v>
      </c>
      <c r="AC506">
        <f>IFERROR(INDEX(楼层配置!$G$5:$G$204,MATCH($K506,楼层配置!$B$5:$B$204,0)),1)</f>
        <v>1</v>
      </c>
      <c r="AD506" t="str">
        <f t="shared" si="59"/>
        <v/>
      </c>
      <c r="AE506" t="str">
        <f t="shared" si="60"/>
        <v/>
      </c>
      <c r="AF506" t="str">
        <f t="shared" si="61"/>
        <v/>
      </c>
      <c r="AG506" t="str">
        <f t="shared" si="62"/>
        <v>有效</v>
      </c>
      <c r="AH506">
        <f t="shared" si="63"/>
        <v>4043610.7305</v>
      </c>
    </row>
    <row r="507" spans="1:34">
      <c r="A507">
        <v>503</v>
      </c>
      <c r="B507">
        <v>1005</v>
      </c>
      <c r="C507">
        <v>60</v>
      </c>
      <c r="D507">
        <f>IFERROR(ROUND($U507*$X507*$AA507*参数!$B$13,0),"")</f>
        <v>1806393</v>
      </c>
      <c r="E507">
        <f>IFERROR(ROUND($V507*$Y507*$AB507*参数!$C$13,0),"")</f>
        <v>39128</v>
      </c>
      <c r="F507">
        <f>IFERROR(ROUND($W507*$Z507*$AC507*参数!$D$13,0),"")</f>
        <v>29724</v>
      </c>
      <c r="J507">
        <v>101</v>
      </c>
      <c r="K507">
        <v>101</v>
      </c>
      <c r="L507">
        <f>IFERROR(INDEX(楼层配置!$D$5:$D$204,MATCH($K507,楼层配置!$B$5:$B$204,0)),"")</f>
        <v>281</v>
      </c>
      <c r="M507" t="str">
        <f>IFERROR(INDEX(_角色基线!$B$2:$B$100,MATCH($B507,_角色基线!$A$2:$A$100,0)),"")</f>
        <v>陈单单</v>
      </c>
      <c r="N507" t="str">
        <f>IFERROR(INDEX(_角色基线!$C$2:$C$100,MATCH($B507,_角色基线!$A$2:$A$100,0)),"")</f>
        <v>DPS</v>
      </c>
      <c r="O507">
        <f>IFERROR(INDEX(_怪物基线!$B$2:$B$501,MATCH(INT($L507),_怪物基线!$A$2:$A$501,0)),"")</f>
        <v>401128</v>
      </c>
      <c r="P507">
        <f>IFERROR(INDEX(_怪物基线!$C$2:$C$501,MATCH(INT($L507),_怪物基线!$A$2:$A$501,0)),"")</f>
        <v>37231</v>
      </c>
      <c r="Q507">
        <f>IFERROR(INDEX(_怪物基线!$D$2:$D$501,MATCH(INT($L507),_怪物基线!$A$2:$A$501,0)),"")</f>
        <v>29724</v>
      </c>
      <c r="R507">
        <f>参数!$B$10</f>
        <v>4</v>
      </c>
      <c r="S507">
        <f>参数!$C$10</f>
        <v>1.2</v>
      </c>
      <c r="T507">
        <f>参数!$D$10</f>
        <v>1</v>
      </c>
      <c r="U507">
        <f t="shared" si="56"/>
        <v>1604512</v>
      </c>
      <c r="V507">
        <f t="shared" si="57"/>
        <v>44677.2</v>
      </c>
      <c r="W507">
        <f t="shared" si="58"/>
        <v>29724</v>
      </c>
      <c r="X507">
        <f>IFERROR(INDEX(参数!$B$5:$B$7,MATCH($N507,参数!$A$5:$A$7,0)),"")</f>
        <v>1</v>
      </c>
      <c r="Y507">
        <f>IFERROR(INDEX(参数!$C$5:$C$7,MATCH($N507,参数!$A$5:$A$7,0)),"")</f>
        <v>1.2</v>
      </c>
      <c r="Z507">
        <f>IFERROR(INDEX(参数!$D$5:$D$7,MATCH($N507,参数!$A$5:$A$7,0)),"")</f>
        <v>1</v>
      </c>
      <c r="AA507">
        <f>IFERROR(INDEX(楼层配置!$E$5:$E$204,MATCH($K507,楼层配置!$B$5:$B$204,0)),1)</f>
        <v>1.12582067235919</v>
      </c>
      <c r="AB507">
        <f>IFERROR(INDEX(楼层配置!$F$5:$F$204,MATCH($K507,楼层配置!$B$5:$B$204,0)),1)</f>
        <v>0.729834891319568</v>
      </c>
      <c r="AC507">
        <f>IFERROR(INDEX(楼层配置!$G$5:$G$204,MATCH($K507,楼层配置!$B$5:$B$204,0)),1)</f>
        <v>1</v>
      </c>
      <c r="AD507" t="str">
        <f t="shared" si="59"/>
        <v/>
      </c>
      <c r="AE507" t="str">
        <f t="shared" si="60"/>
        <v/>
      </c>
      <c r="AF507" t="str">
        <f t="shared" si="61"/>
        <v/>
      </c>
      <c r="AG507" t="str">
        <f t="shared" si="62"/>
        <v>有效</v>
      </c>
      <c r="AH507">
        <f t="shared" si="63"/>
        <v>4043610.7305</v>
      </c>
    </row>
    <row r="508" spans="1:34">
      <c r="A508">
        <v>504</v>
      </c>
      <c r="B508">
        <v>1005</v>
      </c>
      <c r="C508">
        <v>60</v>
      </c>
      <c r="D508">
        <f>IFERROR(ROUND($U508*$X508*$AA508*参数!$B$13,0),"")</f>
        <v>1806393</v>
      </c>
      <c r="E508">
        <f>IFERROR(ROUND($V508*$Y508*$AB508*参数!$C$13,0),"")</f>
        <v>39128</v>
      </c>
      <c r="F508">
        <f>IFERROR(ROUND($W508*$Z508*$AC508*参数!$D$13,0),"")</f>
        <v>29724</v>
      </c>
      <c r="J508">
        <v>101</v>
      </c>
      <c r="K508">
        <v>101</v>
      </c>
      <c r="L508">
        <f>IFERROR(INDEX(楼层配置!$D$5:$D$204,MATCH($K508,楼层配置!$B$5:$B$204,0)),"")</f>
        <v>281</v>
      </c>
      <c r="M508" t="str">
        <f>IFERROR(INDEX(_角色基线!$B$2:$B$100,MATCH($B508,_角色基线!$A$2:$A$100,0)),"")</f>
        <v>陈单单</v>
      </c>
      <c r="N508" t="str">
        <f>IFERROR(INDEX(_角色基线!$C$2:$C$100,MATCH($B508,_角色基线!$A$2:$A$100,0)),"")</f>
        <v>DPS</v>
      </c>
      <c r="O508">
        <f>IFERROR(INDEX(_怪物基线!$B$2:$B$501,MATCH(INT($L508),_怪物基线!$A$2:$A$501,0)),"")</f>
        <v>401128</v>
      </c>
      <c r="P508">
        <f>IFERROR(INDEX(_怪物基线!$C$2:$C$501,MATCH(INT($L508),_怪物基线!$A$2:$A$501,0)),"")</f>
        <v>37231</v>
      </c>
      <c r="Q508">
        <f>IFERROR(INDEX(_怪物基线!$D$2:$D$501,MATCH(INT($L508),_怪物基线!$A$2:$A$501,0)),"")</f>
        <v>29724</v>
      </c>
      <c r="R508">
        <f>参数!$B$10</f>
        <v>4</v>
      </c>
      <c r="S508">
        <f>参数!$C$10</f>
        <v>1.2</v>
      </c>
      <c r="T508">
        <f>参数!$D$10</f>
        <v>1</v>
      </c>
      <c r="U508">
        <f t="shared" si="56"/>
        <v>1604512</v>
      </c>
      <c r="V508">
        <f t="shared" si="57"/>
        <v>44677.2</v>
      </c>
      <c r="W508">
        <f t="shared" si="58"/>
        <v>29724</v>
      </c>
      <c r="X508">
        <f>IFERROR(INDEX(参数!$B$5:$B$7,MATCH($N508,参数!$A$5:$A$7,0)),"")</f>
        <v>1</v>
      </c>
      <c r="Y508">
        <f>IFERROR(INDEX(参数!$C$5:$C$7,MATCH($N508,参数!$A$5:$A$7,0)),"")</f>
        <v>1.2</v>
      </c>
      <c r="Z508">
        <f>IFERROR(INDEX(参数!$D$5:$D$7,MATCH($N508,参数!$A$5:$A$7,0)),"")</f>
        <v>1</v>
      </c>
      <c r="AA508">
        <f>IFERROR(INDEX(楼层配置!$E$5:$E$204,MATCH($K508,楼层配置!$B$5:$B$204,0)),1)</f>
        <v>1.12582067235919</v>
      </c>
      <c r="AB508">
        <f>IFERROR(INDEX(楼层配置!$F$5:$F$204,MATCH($K508,楼层配置!$B$5:$B$204,0)),1)</f>
        <v>0.729834891319568</v>
      </c>
      <c r="AC508">
        <f>IFERROR(INDEX(楼层配置!$G$5:$G$204,MATCH($K508,楼层配置!$B$5:$B$204,0)),1)</f>
        <v>1</v>
      </c>
      <c r="AD508" t="str">
        <f t="shared" si="59"/>
        <v/>
      </c>
      <c r="AE508" t="str">
        <f t="shared" si="60"/>
        <v/>
      </c>
      <c r="AF508" t="str">
        <f t="shared" si="61"/>
        <v/>
      </c>
      <c r="AG508" t="str">
        <f t="shared" si="62"/>
        <v>有效</v>
      </c>
      <c r="AH508">
        <f t="shared" si="63"/>
        <v>4043610.7305</v>
      </c>
    </row>
    <row r="509" spans="1:34">
      <c r="A509">
        <v>505</v>
      </c>
      <c r="B509">
        <v>1029</v>
      </c>
      <c r="C509">
        <v>60</v>
      </c>
      <c r="D509">
        <f>IFERROR(ROUND($U509*$X509*$AA509*参数!$B$13,0),"")</f>
        <v>2257991</v>
      </c>
      <c r="E509">
        <f>IFERROR(ROUND($V509*$Y509*$AB509*参数!$C$13,0),"")</f>
        <v>32607</v>
      </c>
      <c r="F509">
        <f>IFERROR(ROUND($W509*$Z509*$AC509*参数!$D$13,0),"")</f>
        <v>37155</v>
      </c>
      <c r="J509">
        <v>101</v>
      </c>
      <c r="K509">
        <v>101</v>
      </c>
      <c r="L509">
        <f>IFERROR(INDEX(楼层配置!$D$5:$D$204,MATCH($K509,楼层配置!$B$5:$B$204,0)),"")</f>
        <v>281</v>
      </c>
      <c r="M509" t="str">
        <f>IFERROR(INDEX(_角色基线!$B$2:$B$100,MATCH($B509,_角色基线!$A$2:$A$100,0)),"")</f>
        <v>凯兰</v>
      </c>
      <c r="N509" t="str">
        <f>IFERROR(INDEX(_角色基线!$C$2:$C$100,MATCH($B509,_角色基线!$A$2:$A$100,0)),"")</f>
        <v>Support</v>
      </c>
      <c r="O509">
        <f>IFERROR(INDEX(_怪物基线!$B$2:$B$501,MATCH(INT($L509),_怪物基线!$A$2:$A$501,0)),"")</f>
        <v>401128</v>
      </c>
      <c r="P509">
        <f>IFERROR(INDEX(_怪物基线!$C$2:$C$501,MATCH(INT($L509),_怪物基线!$A$2:$A$501,0)),"")</f>
        <v>37231</v>
      </c>
      <c r="Q509">
        <f>IFERROR(INDEX(_怪物基线!$D$2:$D$501,MATCH(INT($L509),_怪物基线!$A$2:$A$501,0)),"")</f>
        <v>29724</v>
      </c>
      <c r="R509">
        <f>参数!$B$10</f>
        <v>4</v>
      </c>
      <c r="S509">
        <f>参数!$C$10</f>
        <v>1.2</v>
      </c>
      <c r="T509">
        <f>参数!$D$10</f>
        <v>1</v>
      </c>
      <c r="U509">
        <f t="shared" si="56"/>
        <v>1604512</v>
      </c>
      <c r="V509">
        <f t="shared" si="57"/>
        <v>44677.2</v>
      </c>
      <c r="W509">
        <f t="shared" si="58"/>
        <v>29724</v>
      </c>
      <c r="X509">
        <f>IFERROR(INDEX(参数!$B$5:$B$7,MATCH($N509,参数!$A$5:$A$7,0)),"")</f>
        <v>1.25</v>
      </c>
      <c r="Y509">
        <f>IFERROR(INDEX(参数!$C$5:$C$7,MATCH($N509,参数!$A$5:$A$7,0)),"")</f>
        <v>1</v>
      </c>
      <c r="Z509">
        <f>IFERROR(INDEX(参数!$D$5:$D$7,MATCH($N509,参数!$A$5:$A$7,0)),"")</f>
        <v>1.25</v>
      </c>
      <c r="AA509">
        <f>IFERROR(INDEX(楼层配置!$E$5:$E$204,MATCH($K509,楼层配置!$B$5:$B$204,0)),1)</f>
        <v>1.12582067235919</v>
      </c>
      <c r="AB509">
        <f>IFERROR(INDEX(楼层配置!$F$5:$F$204,MATCH($K509,楼层配置!$B$5:$B$204,0)),1)</f>
        <v>0.729834891319568</v>
      </c>
      <c r="AC509">
        <f>IFERROR(INDEX(楼层配置!$G$5:$G$204,MATCH($K509,楼层配置!$B$5:$B$204,0)),1)</f>
        <v>1</v>
      </c>
      <c r="AD509" t="str">
        <f t="shared" si="59"/>
        <v/>
      </c>
      <c r="AE509" t="str">
        <f t="shared" si="60"/>
        <v/>
      </c>
      <c r="AF509" t="str">
        <f t="shared" si="61"/>
        <v/>
      </c>
      <c r="AG509" t="str">
        <f t="shared" si="62"/>
        <v>有效</v>
      </c>
      <c r="AH509">
        <f t="shared" si="63"/>
        <v>5753643.316875</v>
      </c>
    </row>
    <row r="510" spans="1:34">
      <c r="A510">
        <v>506</v>
      </c>
      <c r="B510">
        <v>1003</v>
      </c>
      <c r="C510">
        <v>60</v>
      </c>
      <c r="D510">
        <f>IFERROR(ROUND($U510*$X510*$AA510*参数!$B$13,0),"")</f>
        <v>2736075</v>
      </c>
      <c r="E510">
        <f>IFERROR(ROUND($V510*$Y510*$AB510*参数!$C$13,0),"")</f>
        <v>32846</v>
      </c>
      <c r="F510">
        <f>IFERROR(ROUND($W510*$Z510*$AC510*参数!$D$13,0),"")</f>
        <v>44792</v>
      </c>
      <c r="J510">
        <v>102</v>
      </c>
      <c r="K510">
        <v>102</v>
      </c>
      <c r="L510">
        <f>IFERROR(INDEX(楼层配置!$D$5:$D$204,MATCH($K510,楼层配置!$B$5:$B$204,0)),"")</f>
        <v>282</v>
      </c>
      <c r="M510" t="str">
        <f>IFERROR(INDEX(_角色基线!$B$2:$B$100,MATCH($B510,_角色基线!$A$2:$A$100,0)),"")</f>
        <v>塔拉夏</v>
      </c>
      <c r="N510" t="str">
        <f>IFERROR(INDEX(_角色基线!$C$2:$C$100,MATCH($B510,_角色基线!$A$2:$A$100,0)),"")</f>
        <v>Tank</v>
      </c>
      <c r="O510">
        <f>IFERROR(INDEX(_怪物基线!$B$2:$B$501,MATCH(INT($L510),_怪物基线!$A$2:$A$501,0)),"")</f>
        <v>405049</v>
      </c>
      <c r="P510">
        <f>IFERROR(INDEX(_怪物基线!$C$2:$C$501,MATCH(INT($L510),_怪物基线!$A$2:$A$501,0)),"")</f>
        <v>37504</v>
      </c>
      <c r="Q510">
        <f>IFERROR(INDEX(_怪物基线!$D$2:$D$501,MATCH(INT($L510),_怪物基线!$A$2:$A$501,0)),"")</f>
        <v>29861</v>
      </c>
      <c r="R510">
        <f>参数!$B$10</f>
        <v>4</v>
      </c>
      <c r="S510">
        <f>参数!$C$10</f>
        <v>1.2</v>
      </c>
      <c r="T510">
        <f>参数!$D$10</f>
        <v>1</v>
      </c>
      <c r="U510">
        <f t="shared" si="56"/>
        <v>1620196</v>
      </c>
      <c r="V510">
        <f t="shared" si="57"/>
        <v>45004.8</v>
      </c>
      <c r="W510">
        <f t="shared" si="58"/>
        <v>29861</v>
      </c>
      <c r="X510">
        <f>IFERROR(INDEX(参数!$B$5:$B$7,MATCH($N510,参数!$A$5:$A$7,0)),"")</f>
        <v>1.5</v>
      </c>
      <c r="Y510">
        <f>IFERROR(INDEX(参数!$C$5:$C$7,MATCH($N510,参数!$A$5:$A$7,0)),"")</f>
        <v>1</v>
      </c>
      <c r="Z510">
        <f>IFERROR(INDEX(参数!$D$5:$D$7,MATCH($N510,参数!$A$5:$A$7,0)),"")</f>
        <v>1.5</v>
      </c>
      <c r="AA510">
        <f>IFERROR(INDEX(楼层配置!$E$5:$E$204,MATCH($K510,楼层配置!$B$5:$B$204,0)),1)</f>
        <v>1.12582067235919</v>
      </c>
      <c r="AB510">
        <f>IFERROR(INDEX(楼层配置!$F$5:$F$204,MATCH($K510,楼层配置!$B$5:$B$204,0)),1)</f>
        <v>0.729834891319568</v>
      </c>
      <c r="AC510">
        <f>IFERROR(INDEX(楼层配置!$G$5:$G$204,MATCH($K510,楼层配置!$B$5:$B$204,0)),1)</f>
        <v>1</v>
      </c>
      <c r="AD510" t="str">
        <f t="shared" si="59"/>
        <v/>
      </c>
      <c r="AE510" t="str">
        <f t="shared" si="60"/>
        <v/>
      </c>
      <c r="AF510" t="str">
        <f t="shared" si="61"/>
        <v/>
      </c>
      <c r="AG510" t="str">
        <f t="shared" si="62"/>
        <v>有效</v>
      </c>
      <c r="AH510">
        <f t="shared" si="63"/>
        <v>7842502.975</v>
      </c>
    </row>
    <row r="511" spans="1:34">
      <c r="A511">
        <v>507</v>
      </c>
      <c r="B511">
        <v>1005</v>
      </c>
      <c r="C511">
        <v>60</v>
      </c>
      <c r="D511">
        <f>IFERROR(ROUND($U511*$X511*$AA511*参数!$B$13,0),"")</f>
        <v>1824050</v>
      </c>
      <c r="E511">
        <f>IFERROR(ROUND($V511*$Y511*$AB511*参数!$C$13,0),"")</f>
        <v>39415</v>
      </c>
      <c r="F511">
        <f>IFERROR(ROUND($W511*$Z511*$AC511*参数!$D$13,0),"")</f>
        <v>29861</v>
      </c>
      <c r="J511">
        <v>102</v>
      </c>
      <c r="K511">
        <v>102</v>
      </c>
      <c r="L511">
        <f>IFERROR(INDEX(楼层配置!$D$5:$D$204,MATCH($K511,楼层配置!$B$5:$B$204,0)),"")</f>
        <v>282</v>
      </c>
      <c r="M511" t="str">
        <f>IFERROR(INDEX(_角色基线!$B$2:$B$100,MATCH($B511,_角色基线!$A$2:$A$100,0)),"")</f>
        <v>陈单单</v>
      </c>
      <c r="N511" t="str">
        <f>IFERROR(INDEX(_角色基线!$C$2:$C$100,MATCH($B511,_角色基线!$A$2:$A$100,0)),"")</f>
        <v>DPS</v>
      </c>
      <c r="O511">
        <f>IFERROR(INDEX(_怪物基线!$B$2:$B$501,MATCH(INT($L511),_怪物基线!$A$2:$A$501,0)),"")</f>
        <v>405049</v>
      </c>
      <c r="P511">
        <f>IFERROR(INDEX(_怪物基线!$C$2:$C$501,MATCH(INT($L511),_怪物基线!$A$2:$A$501,0)),"")</f>
        <v>37504</v>
      </c>
      <c r="Q511">
        <f>IFERROR(INDEX(_怪物基线!$D$2:$D$501,MATCH(INT($L511),_怪物基线!$A$2:$A$501,0)),"")</f>
        <v>29861</v>
      </c>
      <c r="R511">
        <f>参数!$B$10</f>
        <v>4</v>
      </c>
      <c r="S511">
        <f>参数!$C$10</f>
        <v>1.2</v>
      </c>
      <c r="T511">
        <f>参数!$D$10</f>
        <v>1</v>
      </c>
      <c r="U511">
        <f t="shared" si="56"/>
        <v>1620196</v>
      </c>
      <c r="V511">
        <f t="shared" si="57"/>
        <v>45004.8</v>
      </c>
      <c r="W511">
        <f t="shared" si="58"/>
        <v>29861</v>
      </c>
      <c r="X511">
        <f>IFERROR(INDEX(参数!$B$5:$B$7,MATCH($N511,参数!$A$5:$A$7,0)),"")</f>
        <v>1</v>
      </c>
      <c r="Y511">
        <f>IFERROR(INDEX(参数!$C$5:$C$7,MATCH($N511,参数!$A$5:$A$7,0)),"")</f>
        <v>1.2</v>
      </c>
      <c r="Z511">
        <f>IFERROR(INDEX(参数!$D$5:$D$7,MATCH($N511,参数!$A$5:$A$7,0)),"")</f>
        <v>1</v>
      </c>
      <c r="AA511">
        <f>IFERROR(INDEX(楼层配置!$E$5:$E$204,MATCH($K511,楼层配置!$B$5:$B$204,0)),1)</f>
        <v>1.12582067235919</v>
      </c>
      <c r="AB511">
        <f>IFERROR(INDEX(楼层配置!$F$5:$F$204,MATCH($K511,楼层配置!$B$5:$B$204,0)),1)</f>
        <v>0.729834891319568</v>
      </c>
      <c r="AC511">
        <f>IFERROR(INDEX(楼层配置!$G$5:$G$204,MATCH($K511,楼层配置!$B$5:$B$204,0)),1)</f>
        <v>1</v>
      </c>
      <c r="AD511" t="str">
        <f t="shared" si="59"/>
        <v/>
      </c>
      <c r="AE511" t="str">
        <f t="shared" si="60"/>
        <v/>
      </c>
      <c r="AF511" t="str">
        <f t="shared" si="61"/>
        <v/>
      </c>
      <c r="AG511" t="str">
        <f t="shared" si="62"/>
        <v>有效</v>
      </c>
      <c r="AH511">
        <f t="shared" si="63"/>
        <v>4093548.21041667</v>
      </c>
    </row>
    <row r="512" spans="1:34">
      <c r="A512">
        <v>508</v>
      </c>
      <c r="B512">
        <v>1005</v>
      </c>
      <c r="C512">
        <v>60</v>
      </c>
      <c r="D512">
        <f>IFERROR(ROUND($U512*$X512*$AA512*参数!$B$13,0),"")</f>
        <v>1824050</v>
      </c>
      <c r="E512">
        <f>IFERROR(ROUND($V512*$Y512*$AB512*参数!$C$13,0),"")</f>
        <v>39415</v>
      </c>
      <c r="F512">
        <f>IFERROR(ROUND($W512*$Z512*$AC512*参数!$D$13,0),"")</f>
        <v>29861</v>
      </c>
      <c r="J512">
        <v>102</v>
      </c>
      <c r="K512">
        <v>102</v>
      </c>
      <c r="L512">
        <f>IFERROR(INDEX(楼层配置!$D$5:$D$204,MATCH($K512,楼层配置!$B$5:$B$204,0)),"")</f>
        <v>282</v>
      </c>
      <c r="M512" t="str">
        <f>IFERROR(INDEX(_角色基线!$B$2:$B$100,MATCH($B512,_角色基线!$A$2:$A$100,0)),"")</f>
        <v>陈单单</v>
      </c>
      <c r="N512" t="str">
        <f>IFERROR(INDEX(_角色基线!$C$2:$C$100,MATCH($B512,_角色基线!$A$2:$A$100,0)),"")</f>
        <v>DPS</v>
      </c>
      <c r="O512">
        <f>IFERROR(INDEX(_怪物基线!$B$2:$B$501,MATCH(INT($L512),_怪物基线!$A$2:$A$501,0)),"")</f>
        <v>405049</v>
      </c>
      <c r="P512">
        <f>IFERROR(INDEX(_怪物基线!$C$2:$C$501,MATCH(INT($L512),_怪物基线!$A$2:$A$501,0)),"")</f>
        <v>37504</v>
      </c>
      <c r="Q512">
        <f>IFERROR(INDEX(_怪物基线!$D$2:$D$501,MATCH(INT($L512),_怪物基线!$A$2:$A$501,0)),"")</f>
        <v>29861</v>
      </c>
      <c r="R512">
        <f>参数!$B$10</f>
        <v>4</v>
      </c>
      <c r="S512">
        <f>参数!$C$10</f>
        <v>1.2</v>
      </c>
      <c r="T512">
        <f>参数!$D$10</f>
        <v>1</v>
      </c>
      <c r="U512">
        <f t="shared" si="56"/>
        <v>1620196</v>
      </c>
      <c r="V512">
        <f t="shared" si="57"/>
        <v>45004.8</v>
      </c>
      <c r="W512">
        <f t="shared" si="58"/>
        <v>29861</v>
      </c>
      <c r="X512">
        <f>IFERROR(INDEX(参数!$B$5:$B$7,MATCH($N512,参数!$A$5:$A$7,0)),"")</f>
        <v>1</v>
      </c>
      <c r="Y512">
        <f>IFERROR(INDEX(参数!$C$5:$C$7,MATCH($N512,参数!$A$5:$A$7,0)),"")</f>
        <v>1.2</v>
      </c>
      <c r="Z512">
        <f>IFERROR(INDEX(参数!$D$5:$D$7,MATCH($N512,参数!$A$5:$A$7,0)),"")</f>
        <v>1</v>
      </c>
      <c r="AA512">
        <f>IFERROR(INDEX(楼层配置!$E$5:$E$204,MATCH($K512,楼层配置!$B$5:$B$204,0)),1)</f>
        <v>1.12582067235919</v>
      </c>
      <c r="AB512">
        <f>IFERROR(INDEX(楼层配置!$F$5:$F$204,MATCH($K512,楼层配置!$B$5:$B$204,0)),1)</f>
        <v>0.729834891319568</v>
      </c>
      <c r="AC512">
        <f>IFERROR(INDEX(楼层配置!$G$5:$G$204,MATCH($K512,楼层配置!$B$5:$B$204,0)),1)</f>
        <v>1</v>
      </c>
      <c r="AD512" t="str">
        <f t="shared" si="59"/>
        <v/>
      </c>
      <c r="AE512" t="str">
        <f t="shared" si="60"/>
        <v/>
      </c>
      <c r="AF512" t="str">
        <f t="shared" si="61"/>
        <v/>
      </c>
      <c r="AG512" t="str">
        <f t="shared" si="62"/>
        <v>有效</v>
      </c>
      <c r="AH512">
        <f t="shared" si="63"/>
        <v>4093548.21041667</v>
      </c>
    </row>
    <row r="513" spans="1:34">
      <c r="A513">
        <v>509</v>
      </c>
      <c r="B513">
        <v>1005</v>
      </c>
      <c r="C513">
        <v>60</v>
      </c>
      <c r="D513">
        <f>IFERROR(ROUND($U513*$X513*$AA513*参数!$B$13,0),"")</f>
        <v>1824050</v>
      </c>
      <c r="E513">
        <f>IFERROR(ROUND($V513*$Y513*$AB513*参数!$C$13,0),"")</f>
        <v>39415</v>
      </c>
      <c r="F513">
        <f>IFERROR(ROUND($W513*$Z513*$AC513*参数!$D$13,0),"")</f>
        <v>29861</v>
      </c>
      <c r="J513">
        <v>102</v>
      </c>
      <c r="K513">
        <v>102</v>
      </c>
      <c r="L513">
        <f>IFERROR(INDEX(楼层配置!$D$5:$D$204,MATCH($K513,楼层配置!$B$5:$B$204,0)),"")</f>
        <v>282</v>
      </c>
      <c r="M513" t="str">
        <f>IFERROR(INDEX(_角色基线!$B$2:$B$100,MATCH($B513,_角色基线!$A$2:$A$100,0)),"")</f>
        <v>陈单单</v>
      </c>
      <c r="N513" t="str">
        <f>IFERROR(INDEX(_角色基线!$C$2:$C$100,MATCH($B513,_角色基线!$A$2:$A$100,0)),"")</f>
        <v>DPS</v>
      </c>
      <c r="O513">
        <f>IFERROR(INDEX(_怪物基线!$B$2:$B$501,MATCH(INT($L513),_怪物基线!$A$2:$A$501,0)),"")</f>
        <v>405049</v>
      </c>
      <c r="P513">
        <f>IFERROR(INDEX(_怪物基线!$C$2:$C$501,MATCH(INT($L513),_怪物基线!$A$2:$A$501,0)),"")</f>
        <v>37504</v>
      </c>
      <c r="Q513">
        <f>IFERROR(INDEX(_怪物基线!$D$2:$D$501,MATCH(INT($L513),_怪物基线!$A$2:$A$501,0)),"")</f>
        <v>29861</v>
      </c>
      <c r="R513">
        <f>参数!$B$10</f>
        <v>4</v>
      </c>
      <c r="S513">
        <f>参数!$C$10</f>
        <v>1.2</v>
      </c>
      <c r="T513">
        <f>参数!$D$10</f>
        <v>1</v>
      </c>
      <c r="U513">
        <f t="shared" si="56"/>
        <v>1620196</v>
      </c>
      <c r="V513">
        <f t="shared" si="57"/>
        <v>45004.8</v>
      </c>
      <c r="W513">
        <f t="shared" si="58"/>
        <v>29861</v>
      </c>
      <c r="X513">
        <f>IFERROR(INDEX(参数!$B$5:$B$7,MATCH($N513,参数!$A$5:$A$7,0)),"")</f>
        <v>1</v>
      </c>
      <c r="Y513">
        <f>IFERROR(INDEX(参数!$C$5:$C$7,MATCH($N513,参数!$A$5:$A$7,0)),"")</f>
        <v>1.2</v>
      </c>
      <c r="Z513">
        <f>IFERROR(INDEX(参数!$D$5:$D$7,MATCH($N513,参数!$A$5:$A$7,0)),"")</f>
        <v>1</v>
      </c>
      <c r="AA513">
        <f>IFERROR(INDEX(楼层配置!$E$5:$E$204,MATCH($K513,楼层配置!$B$5:$B$204,0)),1)</f>
        <v>1.12582067235919</v>
      </c>
      <c r="AB513">
        <f>IFERROR(INDEX(楼层配置!$F$5:$F$204,MATCH($K513,楼层配置!$B$5:$B$204,0)),1)</f>
        <v>0.729834891319568</v>
      </c>
      <c r="AC513">
        <f>IFERROR(INDEX(楼层配置!$G$5:$G$204,MATCH($K513,楼层配置!$B$5:$B$204,0)),1)</f>
        <v>1</v>
      </c>
      <c r="AD513" t="str">
        <f t="shared" si="59"/>
        <v/>
      </c>
      <c r="AE513" t="str">
        <f t="shared" si="60"/>
        <v/>
      </c>
      <c r="AF513" t="str">
        <f t="shared" si="61"/>
        <v/>
      </c>
      <c r="AG513" t="str">
        <f t="shared" si="62"/>
        <v>有效</v>
      </c>
      <c r="AH513">
        <f t="shared" si="63"/>
        <v>4093548.21041667</v>
      </c>
    </row>
    <row r="514" spans="1:34">
      <c r="A514">
        <v>510</v>
      </c>
      <c r="B514">
        <v>1029</v>
      </c>
      <c r="C514">
        <v>60</v>
      </c>
      <c r="D514">
        <f>IFERROR(ROUND($U514*$X514*$AA514*参数!$B$13,0),"")</f>
        <v>2280063</v>
      </c>
      <c r="E514">
        <f>IFERROR(ROUND($V514*$Y514*$AB514*参数!$C$13,0),"")</f>
        <v>32846</v>
      </c>
      <c r="F514">
        <f>IFERROR(ROUND($W514*$Z514*$AC514*参数!$D$13,0),"")</f>
        <v>37326</v>
      </c>
      <c r="J514">
        <v>102</v>
      </c>
      <c r="K514">
        <v>102</v>
      </c>
      <c r="L514">
        <f>IFERROR(INDEX(楼层配置!$D$5:$D$204,MATCH($K514,楼层配置!$B$5:$B$204,0)),"")</f>
        <v>282</v>
      </c>
      <c r="M514" t="str">
        <f>IFERROR(INDEX(_角色基线!$B$2:$B$100,MATCH($B514,_角色基线!$A$2:$A$100,0)),"")</f>
        <v>凯兰</v>
      </c>
      <c r="N514" t="str">
        <f>IFERROR(INDEX(_角色基线!$C$2:$C$100,MATCH($B514,_角色基线!$A$2:$A$100,0)),"")</f>
        <v>Support</v>
      </c>
      <c r="O514">
        <f>IFERROR(INDEX(_怪物基线!$B$2:$B$501,MATCH(INT($L514),_怪物基线!$A$2:$A$501,0)),"")</f>
        <v>405049</v>
      </c>
      <c r="P514">
        <f>IFERROR(INDEX(_怪物基线!$C$2:$C$501,MATCH(INT($L514),_怪物基线!$A$2:$A$501,0)),"")</f>
        <v>37504</v>
      </c>
      <c r="Q514">
        <f>IFERROR(INDEX(_怪物基线!$D$2:$D$501,MATCH(INT($L514),_怪物基线!$A$2:$A$501,0)),"")</f>
        <v>29861</v>
      </c>
      <c r="R514">
        <f>参数!$B$10</f>
        <v>4</v>
      </c>
      <c r="S514">
        <f>参数!$C$10</f>
        <v>1.2</v>
      </c>
      <c r="T514">
        <f>参数!$D$10</f>
        <v>1</v>
      </c>
      <c r="U514">
        <f t="shared" si="56"/>
        <v>1620196</v>
      </c>
      <c r="V514">
        <f t="shared" si="57"/>
        <v>45004.8</v>
      </c>
      <c r="W514">
        <f t="shared" si="58"/>
        <v>29861</v>
      </c>
      <c r="X514">
        <f>IFERROR(INDEX(参数!$B$5:$B$7,MATCH($N514,参数!$A$5:$A$7,0)),"")</f>
        <v>1.25</v>
      </c>
      <c r="Y514">
        <f>IFERROR(INDEX(参数!$C$5:$C$7,MATCH($N514,参数!$A$5:$A$7,0)),"")</f>
        <v>1</v>
      </c>
      <c r="Z514">
        <f>IFERROR(INDEX(参数!$D$5:$D$7,MATCH($N514,参数!$A$5:$A$7,0)),"")</f>
        <v>1.25</v>
      </c>
      <c r="AA514">
        <f>IFERROR(INDEX(楼层配置!$E$5:$E$204,MATCH($K514,楼层配置!$B$5:$B$204,0)),1)</f>
        <v>1.12582067235919</v>
      </c>
      <c r="AB514">
        <f>IFERROR(INDEX(楼层配置!$F$5:$F$204,MATCH($K514,楼层配置!$B$5:$B$204,0)),1)</f>
        <v>0.729834891319568</v>
      </c>
      <c r="AC514">
        <f>IFERROR(INDEX(楼层配置!$G$5:$G$204,MATCH($K514,楼层配置!$B$5:$B$204,0)),1)</f>
        <v>1</v>
      </c>
      <c r="AD514" t="str">
        <f t="shared" si="59"/>
        <v/>
      </c>
      <c r="AE514" t="str">
        <f t="shared" si="60"/>
        <v/>
      </c>
      <c r="AF514" t="str">
        <f t="shared" si="61"/>
        <v/>
      </c>
      <c r="AG514" t="str">
        <f t="shared" si="62"/>
        <v>有效</v>
      </c>
      <c r="AH514">
        <f t="shared" si="63"/>
        <v>5826130.98075</v>
      </c>
    </row>
    <row r="515" spans="1:34">
      <c r="A515">
        <v>511</v>
      </c>
      <c r="B515">
        <v>1003</v>
      </c>
      <c r="C515">
        <v>60</v>
      </c>
      <c r="D515">
        <f>IFERROR(ROUND($U515*$X515*$AA515*参数!$B$13,0),"")</f>
        <v>2789642</v>
      </c>
      <c r="E515">
        <f>IFERROR(ROUND($V515*$Y515*$AB515*参数!$C$13,0),"")</f>
        <v>33328</v>
      </c>
      <c r="F515">
        <f>IFERROR(ROUND($W515*$Z515*$AC515*参数!$D$13,0),"")</f>
        <v>45207</v>
      </c>
      <c r="J515">
        <v>103</v>
      </c>
      <c r="K515">
        <v>103</v>
      </c>
      <c r="L515">
        <f>IFERROR(INDEX(楼层配置!$D$5:$D$204,MATCH($K515,楼层配置!$B$5:$B$204,0)),"")</f>
        <v>284</v>
      </c>
      <c r="M515" t="str">
        <f>IFERROR(INDEX(_角色基线!$B$2:$B$100,MATCH($B515,_角色基线!$A$2:$A$100,0)),"")</f>
        <v>塔拉夏</v>
      </c>
      <c r="N515" t="str">
        <f>IFERROR(INDEX(_角色基线!$C$2:$C$100,MATCH($B515,_角色基线!$A$2:$A$100,0)),"")</f>
        <v>Tank</v>
      </c>
      <c r="O515">
        <f>IFERROR(INDEX(_怪物基线!$B$2:$B$501,MATCH(INT($L515),_怪物基线!$A$2:$A$501,0)),"")</f>
        <v>412979</v>
      </c>
      <c r="P515">
        <f>IFERROR(INDEX(_怪物基线!$C$2:$C$501,MATCH(INT($L515),_怪物基线!$A$2:$A$501,0)),"")</f>
        <v>38054</v>
      </c>
      <c r="Q515">
        <f>IFERROR(INDEX(_怪物基线!$D$2:$D$501,MATCH(INT($L515),_怪物基线!$A$2:$A$501,0)),"")</f>
        <v>30138</v>
      </c>
      <c r="R515">
        <f>参数!$B$10</f>
        <v>4</v>
      </c>
      <c r="S515">
        <f>参数!$C$10</f>
        <v>1.2</v>
      </c>
      <c r="T515">
        <f>参数!$D$10</f>
        <v>1</v>
      </c>
      <c r="U515">
        <f t="shared" si="56"/>
        <v>1651916</v>
      </c>
      <c r="V515">
        <f t="shared" si="57"/>
        <v>45664.8</v>
      </c>
      <c r="W515">
        <f t="shared" si="58"/>
        <v>30138</v>
      </c>
      <c r="X515">
        <f>IFERROR(INDEX(参数!$B$5:$B$7,MATCH($N515,参数!$A$5:$A$7,0)),"")</f>
        <v>1.5</v>
      </c>
      <c r="Y515">
        <f>IFERROR(INDEX(参数!$C$5:$C$7,MATCH($N515,参数!$A$5:$A$7,0)),"")</f>
        <v>1</v>
      </c>
      <c r="Z515">
        <f>IFERROR(INDEX(参数!$D$5:$D$7,MATCH($N515,参数!$A$5:$A$7,0)),"")</f>
        <v>1.5</v>
      </c>
      <c r="AA515">
        <f>IFERROR(INDEX(楼层配置!$E$5:$E$204,MATCH($K515,楼层配置!$B$5:$B$204,0)),1)</f>
        <v>1.12582067235919</v>
      </c>
      <c r="AB515">
        <f>IFERROR(INDEX(楼层配置!$F$5:$F$204,MATCH($K515,楼层配置!$B$5:$B$204,0)),1)</f>
        <v>0.729834891319568</v>
      </c>
      <c r="AC515">
        <f>IFERROR(INDEX(楼层配置!$G$5:$G$204,MATCH($K515,楼层配置!$B$5:$B$204,0)),1)</f>
        <v>1</v>
      </c>
      <c r="AD515" t="str">
        <f t="shared" si="59"/>
        <v/>
      </c>
      <c r="AE515" t="str">
        <f t="shared" si="60"/>
        <v/>
      </c>
      <c r="AF515" t="str">
        <f t="shared" si="61"/>
        <v/>
      </c>
      <c r="AG515" t="str">
        <f t="shared" si="62"/>
        <v>有效</v>
      </c>
      <c r="AH515">
        <f t="shared" si="63"/>
        <v>8044281.41225</v>
      </c>
    </row>
    <row r="516" spans="1:34">
      <c r="A516">
        <v>512</v>
      </c>
      <c r="B516">
        <v>1005</v>
      </c>
      <c r="C516">
        <v>60</v>
      </c>
      <c r="D516">
        <f>IFERROR(ROUND($U516*$X516*$AA516*参数!$B$13,0),"")</f>
        <v>1859761</v>
      </c>
      <c r="E516">
        <f>IFERROR(ROUND($V516*$Y516*$AB516*参数!$C$13,0),"")</f>
        <v>39993</v>
      </c>
      <c r="F516">
        <f>IFERROR(ROUND($W516*$Z516*$AC516*参数!$D$13,0),"")</f>
        <v>30138</v>
      </c>
      <c r="J516">
        <v>103</v>
      </c>
      <c r="K516">
        <v>103</v>
      </c>
      <c r="L516">
        <f>IFERROR(INDEX(楼层配置!$D$5:$D$204,MATCH($K516,楼层配置!$B$5:$B$204,0)),"")</f>
        <v>284</v>
      </c>
      <c r="M516" t="str">
        <f>IFERROR(INDEX(_角色基线!$B$2:$B$100,MATCH($B516,_角色基线!$A$2:$A$100,0)),"")</f>
        <v>陈单单</v>
      </c>
      <c r="N516" t="str">
        <f>IFERROR(INDEX(_角色基线!$C$2:$C$100,MATCH($B516,_角色基线!$A$2:$A$100,0)),"")</f>
        <v>DPS</v>
      </c>
      <c r="O516">
        <f>IFERROR(INDEX(_怪物基线!$B$2:$B$501,MATCH(INT($L516),_怪物基线!$A$2:$A$501,0)),"")</f>
        <v>412979</v>
      </c>
      <c r="P516">
        <f>IFERROR(INDEX(_怪物基线!$C$2:$C$501,MATCH(INT($L516),_怪物基线!$A$2:$A$501,0)),"")</f>
        <v>38054</v>
      </c>
      <c r="Q516">
        <f>IFERROR(INDEX(_怪物基线!$D$2:$D$501,MATCH(INT($L516),_怪物基线!$A$2:$A$501,0)),"")</f>
        <v>30138</v>
      </c>
      <c r="R516">
        <f>参数!$B$10</f>
        <v>4</v>
      </c>
      <c r="S516">
        <f>参数!$C$10</f>
        <v>1.2</v>
      </c>
      <c r="T516">
        <f>参数!$D$10</f>
        <v>1</v>
      </c>
      <c r="U516">
        <f t="shared" si="56"/>
        <v>1651916</v>
      </c>
      <c r="V516">
        <f t="shared" si="57"/>
        <v>45664.8</v>
      </c>
      <c r="W516">
        <f t="shared" si="58"/>
        <v>30138</v>
      </c>
      <c r="X516">
        <f>IFERROR(INDEX(参数!$B$5:$B$7,MATCH($N516,参数!$A$5:$A$7,0)),"")</f>
        <v>1</v>
      </c>
      <c r="Y516">
        <f>IFERROR(INDEX(参数!$C$5:$C$7,MATCH($N516,参数!$A$5:$A$7,0)),"")</f>
        <v>1.2</v>
      </c>
      <c r="Z516">
        <f>IFERROR(INDEX(参数!$D$5:$D$7,MATCH($N516,参数!$A$5:$A$7,0)),"")</f>
        <v>1</v>
      </c>
      <c r="AA516">
        <f>IFERROR(INDEX(楼层配置!$E$5:$E$204,MATCH($K516,楼层配置!$B$5:$B$204,0)),1)</f>
        <v>1.12582067235919</v>
      </c>
      <c r="AB516">
        <f>IFERROR(INDEX(楼层配置!$F$5:$F$204,MATCH($K516,楼层配置!$B$5:$B$204,0)),1)</f>
        <v>0.729834891319568</v>
      </c>
      <c r="AC516">
        <f>IFERROR(INDEX(楼层配置!$G$5:$G$204,MATCH($K516,楼层配置!$B$5:$B$204,0)),1)</f>
        <v>1</v>
      </c>
      <c r="AD516" t="str">
        <f t="shared" si="59"/>
        <v/>
      </c>
      <c r="AE516" t="str">
        <f t="shared" si="60"/>
        <v/>
      </c>
      <c r="AF516" t="str">
        <f t="shared" si="61"/>
        <v/>
      </c>
      <c r="AG516" t="str">
        <f t="shared" si="62"/>
        <v>有效</v>
      </c>
      <c r="AH516">
        <f t="shared" si="63"/>
        <v>4195155.87575</v>
      </c>
    </row>
    <row r="517" spans="1:34">
      <c r="A517">
        <v>513</v>
      </c>
      <c r="B517">
        <v>1005</v>
      </c>
      <c r="C517">
        <v>60</v>
      </c>
      <c r="D517">
        <f>IFERROR(ROUND($U517*$X517*$AA517*参数!$B$13,0),"")</f>
        <v>1859761</v>
      </c>
      <c r="E517">
        <f>IFERROR(ROUND($V517*$Y517*$AB517*参数!$C$13,0),"")</f>
        <v>39993</v>
      </c>
      <c r="F517">
        <f>IFERROR(ROUND($W517*$Z517*$AC517*参数!$D$13,0),"")</f>
        <v>30138</v>
      </c>
      <c r="J517">
        <v>103</v>
      </c>
      <c r="K517">
        <v>103</v>
      </c>
      <c r="L517">
        <f>IFERROR(INDEX(楼层配置!$D$5:$D$204,MATCH($K517,楼层配置!$B$5:$B$204,0)),"")</f>
        <v>284</v>
      </c>
      <c r="M517" t="str">
        <f>IFERROR(INDEX(_角色基线!$B$2:$B$100,MATCH($B517,_角色基线!$A$2:$A$100,0)),"")</f>
        <v>陈单单</v>
      </c>
      <c r="N517" t="str">
        <f>IFERROR(INDEX(_角色基线!$C$2:$C$100,MATCH($B517,_角色基线!$A$2:$A$100,0)),"")</f>
        <v>DPS</v>
      </c>
      <c r="O517">
        <f>IFERROR(INDEX(_怪物基线!$B$2:$B$501,MATCH(INT($L517),_怪物基线!$A$2:$A$501,0)),"")</f>
        <v>412979</v>
      </c>
      <c r="P517">
        <f>IFERROR(INDEX(_怪物基线!$C$2:$C$501,MATCH(INT($L517),_怪物基线!$A$2:$A$501,0)),"")</f>
        <v>38054</v>
      </c>
      <c r="Q517">
        <f>IFERROR(INDEX(_怪物基线!$D$2:$D$501,MATCH(INT($L517),_怪物基线!$A$2:$A$501,0)),"")</f>
        <v>30138</v>
      </c>
      <c r="R517">
        <f>参数!$B$10</f>
        <v>4</v>
      </c>
      <c r="S517">
        <f>参数!$C$10</f>
        <v>1.2</v>
      </c>
      <c r="T517">
        <f>参数!$D$10</f>
        <v>1</v>
      </c>
      <c r="U517">
        <f t="shared" ref="U517:U580" si="64">IF($O517="","",$O517*$R517)</f>
        <v>1651916</v>
      </c>
      <c r="V517">
        <f t="shared" ref="V517:V580" si="65">IF($P517="","",$P517*$S517)</f>
        <v>45664.8</v>
      </c>
      <c r="W517">
        <f t="shared" ref="W517:W580" si="66">IF($Q517="","",$Q517*$T517)</f>
        <v>30138</v>
      </c>
      <c r="X517">
        <f>IFERROR(INDEX(参数!$B$5:$B$7,MATCH($N517,参数!$A$5:$A$7,0)),"")</f>
        <v>1</v>
      </c>
      <c r="Y517">
        <f>IFERROR(INDEX(参数!$C$5:$C$7,MATCH($N517,参数!$A$5:$A$7,0)),"")</f>
        <v>1.2</v>
      </c>
      <c r="Z517">
        <f>IFERROR(INDEX(参数!$D$5:$D$7,MATCH($N517,参数!$A$5:$A$7,0)),"")</f>
        <v>1</v>
      </c>
      <c r="AA517">
        <f>IFERROR(INDEX(楼层配置!$E$5:$E$204,MATCH($K517,楼层配置!$B$5:$B$204,0)),1)</f>
        <v>1.12582067235919</v>
      </c>
      <c r="AB517">
        <f>IFERROR(INDEX(楼层配置!$F$5:$F$204,MATCH($K517,楼层配置!$B$5:$B$204,0)),1)</f>
        <v>0.729834891319568</v>
      </c>
      <c r="AC517">
        <f>IFERROR(INDEX(楼层配置!$G$5:$G$204,MATCH($K517,楼层配置!$B$5:$B$204,0)),1)</f>
        <v>1</v>
      </c>
      <c r="AD517" t="str">
        <f t="shared" ref="AD517:AD580" si="67">IFERROR($D517/$G517-1,"")</f>
        <v/>
      </c>
      <c r="AE517" t="str">
        <f t="shared" ref="AE517:AE580" si="68">IFERROR($E517/$H517-1,"")</f>
        <v/>
      </c>
      <c r="AF517" t="str">
        <f t="shared" ref="AF517:AF580" si="69">IFERROR($F517/$I517-1,"")</f>
        <v/>
      </c>
      <c r="AG517" t="str">
        <f t="shared" ref="AG517:AG580" si="70">IF(AND($A517&gt;=1,$L517&gt;=1,$L517&lt;=500,OR($N517="Tank",$N517="DPS",$N517="Support"),ISNUMBER($D517),ISNUMBER($E517),ISNUMBER($F517)),"有效","异常")</f>
        <v>有效</v>
      </c>
      <c r="AH517">
        <f t="shared" ref="AH517:AH580" si="71">D517/(1-MIN(0.75,F517/(24000+F517)))</f>
        <v>4195155.87575</v>
      </c>
    </row>
    <row r="518" spans="1:34">
      <c r="A518">
        <v>514</v>
      </c>
      <c r="B518">
        <v>1005</v>
      </c>
      <c r="C518">
        <v>60</v>
      </c>
      <c r="D518">
        <f>IFERROR(ROUND($U518*$X518*$AA518*参数!$B$13,0),"")</f>
        <v>1859761</v>
      </c>
      <c r="E518">
        <f>IFERROR(ROUND($V518*$Y518*$AB518*参数!$C$13,0),"")</f>
        <v>39993</v>
      </c>
      <c r="F518">
        <f>IFERROR(ROUND($W518*$Z518*$AC518*参数!$D$13,0),"")</f>
        <v>30138</v>
      </c>
      <c r="J518">
        <v>103</v>
      </c>
      <c r="K518">
        <v>103</v>
      </c>
      <c r="L518">
        <f>IFERROR(INDEX(楼层配置!$D$5:$D$204,MATCH($K518,楼层配置!$B$5:$B$204,0)),"")</f>
        <v>284</v>
      </c>
      <c r="M518" t="str">
        <f>IFERROR(INDEX(_角色基线!$B$2:$B$100,MATCH($B518,_角色基线!$A$2:$A$100,0)),"")</f>
        <v>陈单单</v>
      </c>
      <c r="N518" t="str">
        <f>IFERROR(INDEX(_角色基线!$C$2:$C$100,MATCH($B518,_角色基线!$A$2:$A$100,0)),"")</f>
        <v>DPS</v>
      </c>
      <c r="O518">
        <f>IFERROR(INDEX(_怪物基线!$B$2:$B$501,MATCH(INT($L518),_怪物基线!$A$2:$A$501,0)),"")</f>
        <v>412979</v>
      </c>
      <c r="P518">
        <f>IFERROR(INDEX(_怪物基线!$C$2:$C$501,MATCH(INT($L518),_怪物基线!$A$2:$A$501,0)),"")</f>
        <v>38054</v>
      </c>
      <c r="Q518">
        <f>IFERROR(INDEX(_怪物基线!$D$2:$D$501,MATCH(INT($L518),_怪物基线!$A$2:$A$501,0)),"")</f>
        <v>30138</v>
      </c>
      <c r="R518">
        <f>参数!$B$10</f>
        <v>4</v>
      </c>
      <c r="S518">
        <f>参数!$C$10</f>
        <v>1.2</v>
      </c>
      <c r="T518">
        <f>参数!$D$10</f>
        <v>1</v>
      </c>
      <c r="U518">
        <f t="shared" si="64"/>
        <v>1651916</v>
      </c>
      <c r="V518">
        <f t="shared" si="65"/>
        <v>45664.8</v>
      </c>
      <c r="W518">
        <f t="shared" si="66"/>
        <v>30138</v>
      </c>
      <c r="X518">
        <f>IFERROR(INDEX(参数!$B$5:$B$7,MATCH($N518,参数!$A$5:$A$7,0)),"")</f>
        <v>1</v>
      </c>
      <c r="Y518">
        <f>IFERROR(INDEX(参数!$C$5:$C$7,MATCH($N518,参数!$A$5:$A$7,0)),"")</f>
        <v>1.2</v>
      </c>
      <c r="Z518">
        <f>IFERROR(INDEX(参数!$D$5:$D$7,MATCH($N518,参数!$A$5:$A$7,0)),"")</f>
        <v>1</v>
      </c>
      <c r="AA518">
        <f>IFERROR(INDEX(楼层配置!$E$5:$E$204,MATCH($K518,楼层配置!$B$5:$B$204,0)),1)</f>
        <v>1.12582067235919</v>
      </c>
      <c r="AB518">
        <f>IFERROR(INDEX(楼层配置!$F$5:$F$204,MATCH($K518,楼层配置!$B$5:$B$204,0)),1)</f>
        <v>0.729834891319568</v>
      </c>
      <c r="AC518">
        <f>IFERROR(INDEX(楼层配置!$G$5:$G$204,MATCH($K518,楼层配置!$B$5:$B$204,0)),1)</f>
        <v>1</v>
      </c>
      <c r="AD518" t="str">
        <f t="shared" si="67"/>
        <v/>
      </c>
      <c r="AE518" t="str">
        <f t="shared" si="68"/>
        <v/>
      </c>
      <c r="AF518" t="str">
        <f t="shared" si="69"/>
        <v/>
      </c>
      <c r="AG518" t="str">
        <f t="shared" si="70"/>
        <v>有效</v>
      </c>
      <c r="AH518">
        <f t="shared" si="71"/>
        <v>4195155.87575</v>
      </c>
    </row>
    <row r="519" spans="1:34">
      <c r="A519">
        <v>515</v>
      </c>
      <c r="B519">
        <v>1029</v>
      </c>
      <c r="C519">
        <v>60</v>
      </c>
      <c r="D519">
        <f>IFERROR(ROUND($U519*$X519*$AA519*参数!$B$13,0),"")</f>
        <v>2324701</v>
      </c>
      <c r="E519">
        <f>IFERROR(ROUND($V519*$Y519*$AB519*参数!$C$13,0),"")</f>
        <v>33328</v>
      </c>
      <c r="F519">
        <f>IFERROR(ROUND($W519*$Z519*$AC519*参数!$D$13,0),"")</f>
        <v>37673</v>
      </c>
      <c r="J519">
        <v>103</v>
      </c>
      <c r="K519">
        <v>103</v>
      </c>
      <c r="L519">
        <f>IFERROR(INDEX(楼层配置!$D$5:$D$204,MATCH($K519,楼层配置!$B$5:$B$204,0)),"")</f>
        <v>284</v>
      </c>
      <c r="M519" t="str">
        <f>IFERROR(INDEX(_角色基线!$B$2:$B$100,MATCH($B519,_角色基线!$A$2:$A$100,0)),"")</f>
        <v>凯兰</v>
      </c>
      <c r="N519" t="str">
        <f>IFERROR(INDEX(_角色基线!$C$2:$C$100,MATCH($B519,_角色基线!$A$2:$A$100,0)),"")</f>
        <v>Support</v>
      </c>
      <c r="O519">
        <f>IFERROR(INDEX(_怪物基线!$B$2:$B$501,MATCH(INT($L519),_怪物基线!$A$2:$A$501,0)),"")</f>
        <v>412979</v>
      </c>
      <c r="P519">
        <f>IFERROR(INDEX(_怪物基线!$C$2:$C$501,MATCH(INT($L519),_怪物基线!$A$2:$A$501,0)),"")</f>
        <v>38054</v>
      </c>
      <c r="Q519">
        <f>IFERROR(INDEX(_怪物基线!$D$2:$D$501,MATCH(INT($L519),_怪物基线!$A$2:$A$501,0)),"")</f>
        <v>30138</v>
      </c>
      <c r="R519">
        <f>参数!$B$10</f>
        <v>4</v>
      </c>
      <c r="S519">
        <f>参数!$C$10</f>
        <v>1.2</v>
      </c>
      <c r="T519">
        <f>参数!$D$10</f>
        <v>1</v>
      </c>
      <c r="U519">
        <f t="shared" si="64"/>
        <v>1651916</v>
      </c>
      <c r="V519">
        <f t="shared" si="65"/>
        <v>45664.8</v>
      </c>
      <c r="W519">
        <f t="shared" si="66"/>
        <v>30138</v>
      </c>
      <c r="X519">
        <f>IFERROR(INDEX(参数!$B$5:$B$7,MATCH($N519,参数!$A$5:$A$7,0)),"")</f>
        <v>1.25</v>
      </c>
      <c r="Y519">
        <f>IFERROR(INDEX(参数!$C$5:$C$7,MATCH($N519,参数!$A$5:$A$7,0)),"")</f>
        <v>1</v>
      </c>
      <c r="Z519">
        <f>IFERROR(INDEX(参数!$D$5:$D$7,MATCH($N519,参数!$A$5:$A$7,0)),"")</f>
        <v>1.25</v>
      </c>
      <c r="AA519">
        <f>IFERROR(INDEX(楼层配置!$E$5:$E$204,MATCH($K519,楼层配置!$B$5:$B$204,0)),1)</f>
        <v>1.12582067235919</v>
      </c>
      <c r="AB519">
        <f>IFERROR(INDEX(楼层配置!$F$5:$F$204,MATCH($K519,楼层配置!$B$5:$B$204,0)),1)</f>
        <v>0.729834891319568</v>
      </c>
      <c r="AC519">
        <f>IFERROR(INDEX(楼层配置!$G$5:$G$204,MATCH($K519,楼层配置!$B$5:$B$204,0)),1)</f>
        <v>1</v>
      </c>
      <c r="AD519" t="str">
        <f t="shared" si="67"/>
        <v/>
      </c>
      <c r="AE519" t="str">
        <f t="shared" si="68"/>
        <v/>
      </c>
      <c r="AF519" t="str">
        <f t="shared" si="69"/>
        <v/>
      </c>
      <c r="AG519" t="str">
        <f t="shared" si="70"/>
        <v>有效</v>
      </c>
      <c r="AH519">
        <f t="shared" si="71"/>
        <v>5973803.53220833</v>
      </c>
    </row>
    <row r="520" spans="1:34">
      <c r="A520">
        <v>516</v>
      </c>
      <c r="B520">
        <v>1003</v>
      </c>
      <c r="C520">
        <v>60</v>
      </c>
      <c r="D520">
        <f>IFERROR(ROUND($U520*$X520*$AA520*参数!$B$13,0),"")</f>
        <v>2816729</v>
      </c>
      <c r="E520">
        <f>IFERROR(ROUND($V520*$Y520*$AB520*参数!$C$13,0),"")</f>
        <v>33571</v>
      </c>
      <c r="F520">
        <f>IFERROR(ROUND($W520*$Z520*$AC520*参数!$D$13,0),"")</f>
        <v>45414</v>
      </c>
      <c r="J520">
        <v>104</v>
      </c>
      <c r="K520">
        <v>104</v>
      </c>
      <c r="L520">
        <f>IFERROR(INDEX(楼层配置!$D$5:$D$204,MATCH($K520,楼层配置!$B$5:$B$204,0)),"")</f>
        <v>285</v>
      </c>
      <c r="M520" t="str">
        <f>IFERROR(INDEX(_角色基线!$B$2:$B$100,MATCH($B520,_角色基线!$A$2:$A$100,0)),"")</f>
        <v>塔拉夏</v>
      </c>
      <c r="N520" t="str">
        <f>IFERROR(INDEX(_角色基线!$C$2:$C$100,MATCH($B520,_角色基线!$A$2:$A$100,0)),"")</f>
        <v>Tank</v>
      </c>
      <c r="O520">
        <f>IFERROR(INDEX(_怪物基线!$B$2:$B$501,MATCH(INT($L520),_怪物基线!$A$2:$A$501,0)),"")</f>
        <v>416989</v>
      </c>
      <c r="P520">
        <f>IFERROR(INDEX(_怪物基线!$C$2:$C$501,MATCH(INT($L520),_怪物基线!$A$2:$A$501,0)),"")</f>
        <v>38332</v>
      </c>
      <c r="Q520">
        <f>IFERROR(INDEX(_怪物基线!$D$2:$D$501,MATCH(INT($L520),_怪物基线!$A$2:$A$501,0)),"")</f>
        <v>30276</v>
      </c>
      <c r="R520">
        <f>参数!$B$10</f>
        <v>4</v>
      </c>
      <c r="S520">
        <f>参数!$C$10</f>
        <v>1.2</v>
      </c>
      <c r="T520">
        <f>参数!$D$10</f>
        <v>1</v>
      </c>
      <c r="U520">
        <f t="shared" si="64"/>
        <v>1667956</v>
      </c>
      <c r="V520">
        <f t="shared" si="65"/>
        <v>45998.4</v>
      </c>
      <c r="W520">
        <f t="shared" si="66"/>
        <v>30276</v>
      </c>
      <c r="X520">
        <f>IFERROR(INDEX(参数!$B$5:$B$7,MATCH($N520,参数!$A$5:$A$7,0)),"")</f>
        <v>1.5</v>
      </c>
      <c r="Y520">
        <f>IFERROR(INDEX(参数!$C$5:$C$7,MATCH($N520,参数!$A$5:$A$7,0)),"")</f>
        <v>1</v>
      </c>
      <c r="Z520">
        <f>IFERROR(INDEX(参数!$D$5:$D$7,MATCH($N520,参数!$A$5:$A$7,0)),"")</f>
        <v>1.5</v>
      </c>
      <c r="AA520">
        <f>IFERROR(INDEX(楼层配置!$E$5:$E$204,MATCH($K520,楼层配置!$B$5:$B$204,0)),1)</f>
        <v>1.12582067235919</v>
      </c>
      <c r="AB520">
        <f>IFERROR(INDEX(楼层配置!$F$5:$F$204,MATCH($K520,楼层配置!$B$5:$B$204,0)),1)</f>
        <v>0.729834891319568</v>
      </c>
      <c r="AC520">
        <f>IFERROR(INDEX(楼层配置!$G$5:$G$204,MATCH($K520,楼层配置!$B$5:$B$204,0)),1)</f>
        <v>1</v>
      </c>
      <c r="AD520" t="str">
        <f t="shared" si="67"/>
        <v/>
      </c>
      <c r="AE520" t="str">
        <f t="shared" si="68"/>
        <v/>
      </c>
      <c r="AF520" t="str">
        <f t="shared" si="69"/>
        <v/>
      </c>
      <c r="AG520" t="str">
        <f t="shared" si="70"/>
        <v>有效</v>
      </c>
      <c r="AH520">
        <f t="shared" si="71"/>
        <v>8146684.45025</v>
      </c>
    </row>
    <row r="521" spans="1:34">
      <c r="A521">
        <v>517</v>
      </c>
      <c r="B521">
        <v>1005</v>
      </c>
      <c r="C521">
        <v>60</v>
      </c>
      <c r="D521">
        <f>IFERROR(ROUND($U521*$X521*$AA521*参数!$B$13,0),"")</f>
        <v>1877819</v>
      </c>
      <c r="E521">
        <f>IFERROR(ROUND($V521*$Y521*$AB521*参数!$C$13,0),"")</f>
        <v>40285</v>
      </c>
      <c r="F521">
        <f>IFERROR(ROUND($W521*$Z521*$AC521*参数!$D$13,0),"")</f>
        <v>30276</v>
      </c>
      <c r="J521">
        <v>104</v>
      </c>
      <c r="K521">
        <v>104</v>
      </c>
      <c r="L521">
        <f>IFERROR(INDEX(楼层配置!$D$5:$D$204,MATCH($K521,楼层配置!$B$5:$B$204,0)),"")</f>
        <v>285</v>
      </c>
      <c r="M521" t="str">
        <f>IFERROR(INDEX(_角色基线!$B$2:$B$100,MATCH($B521,_角色基线!$A$2:$A$100,0)),"")</f>
        <v>陈单单</v>
      </c>
      <c r="N521" t="str">
        <f>IFERROR(INDEX(_角色基线!$C$2:$C$100,MATCH($B521,_角色基线!$A$2:$A$100,0)),"")</f>
        <v>DPS</v>
      </c>
      <c r="O521">
        <f>IFERROR(INDEX(_怪物基线!$B$2:$B$501,MATCH(INT($L521),_怪物基线!$A$2:$A$501,0)),"")</f>
        <v>416989</v>
      </c>
      <c r="P521">
        <f>IFERROR(INDEX(_怪物基线!$C$2:$C$501,MATCH(INT($L521),_怪物基线!$A$2:$A$501,0)),"")</f>
        <v>38332</v>
      </c>
      <c r="Q521">
        <f>IFERROR(INDEX(_怪物基线!$D$2:$D$501,MATCH(INT($L521),_怪物基线!$A$2:$A$501,0)),"")</f>
        <v>30276</v>
      </c>
      <c r="R521">
        <f>参数!$B$10</f>
        <v>4</v>
      </c>
      <c r="S521">
        <f>参数!$C$10</f>
        <v>1.2</v>
      </c>
      <c r="T521">
        <f>参数!$D$10</f>
        <v>1</v>
      </c>
      <c r="U521">
        <f t="shared" si="64"/>
        <v>1667956</v>
      </c>
      <c r="V521">
        <f t="shared" si="65"/>
        <v>45998.4</v>
      </c>
      <c r="W521">
        <f t="shared" si="66"/>
        <v>30276</v>
      </c>
      <c r="X521">
        <f>IFERROR(INDEX(参数!$B$5:$B$7,MATCH($N521,参数!$A$5:$A$7,0)),"")</f>
        <v>1</v>
      </c>
      <c r="Y521">
        <f>IFERROR(INDEX(参数!$C$5:$C$7,MATCH($N521,参数!$A$5:$A$7,0)),"")</f>
        <v>1.2</v>
      </c>
      <c r="Z521">
        <f>IFERROR(INDEX(参数!$D$5:$D$7,MATCH($N521,参数!$A$5:$A$7,0)),"")</f>
        <v>1</v>
      </c>
      <c r="AA521">
        <f>IFERROR(INDEX(楼层配置!$E$5:$E$204,MATCH($K521,楼层配置!$B$5:$B$204,0)),1)</f>
        <v>1.12582067235919</v>
      </c>
      <c r="AB521">
        <f>IFERROR(INDEX(楼层配置!$F$5:$F$204,MATCH($K521,楼层配置!$B$5:$B$204,0)),1)</f>
        <v>0.729834891319568</v>
      </c>
      <c r="AC521">
        <f>IFERROR(INDEX(楼层配置!$G$5:$G$204,MATCH($K521,楼层配置!$B$5:$B$204,0)),1)</f>
        <v>1</v>
      </c>
      <c r="AD521" t="str">
        <f t="shared" si="67"/>
        <v/>
      </c>
      <c r="AE521" t="str">
        <f t="shared" si="68"/>
        <v/>
      </c>
      <c r="AF521" t="str">
        <f t="shared" si="69"/>
        <v/>
      </c>
      <c r="AG521" t="str">
        <f t="shared" si="70"/>
        <v>有效</v>
      </c>
      <c r="AH521">
        <f t="shared" si="71"/>
        <v>4246687.6685</v>
      </c>
    </row>
    <row r="522" spans="1:34">
      <c r="A522">
        <v>518</v>
      </c>
      <c r="B522">
        <v>1005</v>
      </c>
      <c r="C522">
        <v>60</v>
      </c>
      <c r="D522">
        <f>IFERROR(ROUND($U522*$X522*$AA522*参数!$B$13,0),"")</f>
        <v>1877819</v>
      </c>
      <c r="E522">
        <f>IFERROR(ROUND($V522*$Y522*$AB522*参数!$C$13,0),"")</f>
        <v>40285</v>
      </c>
      <c r="F522">
        <f>IFERROR(ROUND($W522*$Z522*$AC522*参数!$D$13,0),"")</f>
        <v>30276</v>
      </c>
      <c r="J522">
        <v>104</v>
      </c>
      <c r="K522">
        <v>104</v>
      </c>
      <c r="L522">
        <f>IFERROR(INDEX(楼层配置!$D$5:$D$204,MATCH($K522,楼层配置!$B$5:$B$204,0)),"")</f>
        <v>285</v>
      </c>
      <c r="M522" t="str">
        <f>IFERROR(INDEX(_角色基线!$B$2:$B$100,MATCH($B522,_角色基线!$A$2:$A$100,0)),"")</f>
        <v>陈单单</v>
      </c>
      <c r="N522" t="str">
        <f>IFERROR(INDEX(_角色基线!$C$2:$C$100,MATCH($B522,_角色基线!$A$2:$A$100,0)),"")</f>
        <v>DPS</v>
      </c>
      <c r="O522">
        <f>IFERROR(INDEX(_怪物基线!$B$2:$B$501,MATCH(INT($L522),_怪物基线!$A$2:$A$501,0)),"")</f>
        <v>416989</v>
      </c>
      <c r="P522">
        <f>IFERROR(INDEX(_怪物基线!$C$2:$C$501,MATCH(INT($L522),_怪物基线!$A$2:$A$501,0)),"")</f>
        <v>38332</v>
      </c>
      <c r="Q522">
        <f>IFERROR(INDEX(_怪物基线!$D$2:$D$501,MATCH(INT($L522),_怪物基线!$A$2:$A$501,0)),"")</f>
        <v>30276</v>
      </c>
      <c r="R522">
        <f>参数!$B$10</f>
        <v>4</v>
      </c>
      <c r="S522">
        <f>参数!$C$10</f>
        <v>1.2</v>
      </c>
      <c r="T522">
        <f>参数!$D$10</f>
        <v>1</v>
      </c>
      <c r="U522">
        <f t="shared" si="64"/>
        <v>1667956</v>
      </c>
      <c r="V522">
        <f t="shared" si="65"/>
        <v>45998.4</v>
      </c>
      <c r="W522">
        <f t="shared" si="66"/>
        <v>30276</v>
      </c>
      <c r="X522">
        <f>IFERROR(INDEX(参数!$B$5:$B$7,MATCH($N522,参数!$A$5:$A$7,0)),"")</f>
        <v>1</v>
      </c>
      <c r="Y522">
        <f>IFERROR(INDEX(参数!$C$5:$C$7,MATCH($N522,参数!$A$5:$A$7,0)),"")</f>
        <v>1.2</v>
      </c>
      <c r="Z522">
        <f>IFERROR(INDEX(参数!$D$5:$D$7,MATCH($N522,参数!$A$5:$A$7,0)),"")</f>
        <v>1</v>
      </c>
      <c r="AA522">
        <f>IFERROR(INDEX(楼层配置!$E$5:$E$204,MATCH($K522,楼层配置!$B$5:$B$204,0)),1)</f>
        <v>1.12582067235919</v>
      </c>
      <c r="AB522">
        <f>IFERROR(INDEX(楼层配置!$F$5:$F$204,MATCH($K522,楼层配置!$B$5:$B$204,0)),1)</f>
        <v>0.729834891319568</v>
      </c>
      <c r="AC522">
        <f>IFERROR(INDEX(楼层配置!$G$5:$G$204,MATCH($K522,楼层配置!$B$5:$B$204,0)),1)</f>
        <v>1</v>
      </c>
      <c r="AD522" t="str">
        <f t="shared" si="67"/>
        <v/>
      </c>
      <c r="AE522" t="str">
        <f t="shared" si="68"/>
        <v/>
      </c>
      <c r="AF522" t="str">
        <f t="shared" si="69"/>
        <v/>
      </c>
      <c r="AG522" t="str">
        <f t="shared" si="70"/>
        <v>有效</v>
      </c>
      <c r="AH522">
        <f t="shared" si="71"/>
        <v>4246687.6685</v>
      </c>
    </row>
    <row r="523" spans="1:34">
      <c r="A523">
        <v>519</v>
      </c>
      <c r="B523">
        <v>1005</v>
      </c>
      <c r="C523">
        <v>60</v>
      </c>
      <c r="D523">
        <f>IFERROR(ROUND($U523*$X523*$AA523*参数!$B$13,0),"")</f>
        <v>1877819</v>
      </c>
      <c r="E523">
        <f>IFERROR(ROUND($V523*$Y523*$AB523*参数!$C$13,0),"")</f>
        <v>40285</v>
      </c>
      <c r="F523">
        <f>IFERROR(ROUND($W523*$Z523*$AC523*参数!$D$13,0),"")</f>
        <v>30276</v>
      </c>
      <c r="J523">
        <v>104</v>
      </c>
      <c r="K523">
        <v>104</v>
      </c>
      <c r="L523">
        <f>IFERROR(INDEX(楼层配置!$D$5:$D$204,MATCH($K523,楼层配置!$B$5:$B$204,0)),"")</f>
        <v>285</v>
      </c>
      <c r="M523" t="str">
        <f>IFERROR(INDEX(_角色基线!$B$2:$B$100,MATCH($B523,_角色基线!$A$2:$A$100,0)),"")</f>
        <v>陈单单</v>
      </c>
      <c r="N523" t="str">
        <f>IFERROR(INDEX(_角色基线!$C$2:$C$100,MATCH($B523,_角色基线!$A$2:$A$100,0)),"")</f>
        <v>DPS</v>
      </c>
      <c r="O523">
        <f>IFERROR(INDEX(_怪物基线!$B$2:$B$501,MATCH(INT($L523),_怪物基线!$A$2:$A$501,0)),"")</f>
        <v>416989</v>
      </c>
      <c r="P523">
        <f>IFERROR(INDEX(_怪物基线!$C$2:$C$501,MATCH(INT($L523),_怪物基线!$A$2:$A$501,0)),"")</f>
        <v>38332</v>
      </c>
      <c r="Q523">
        <f>IFERROR(INDEX(_怪物基线!$D$2:$D$501,MATCH(INT($L523),_怪物基线!$A$2:$A$501,0)),"")</f>
        <v>30276</v>
      </c>
      <c r="R523">
        <f>参数!$B$10</f>
        <v>4</v>
      </c>
      <c r="S523">
        <f>参数!$C$10</f>
        <v>1.2</v>
      </c>
      <c r="T523">
        <f>参数!$D$10</f>
        <v>1</v>
      </c>
      <c r="U523">
        <f t="shared" si="64"/>
        <v>1667956</v>
      </c>
      <c r="V523">
        <f t="shared" si="65"/>
        <v>45998.4</v>
      </c>
      <c r="W523">
        <f t="shared" si="66"/>
        <v>30276</v>
      </c>
      <c r="X523">
        <f>IFERROR(INDEX(参数!$B$5:$B$7,MATCH($N523,参数!$A$5:$A$7,0)),"")</f>
        <v>1</v>
      </c>
      <c r="Y523">
        <f>IFERROR(INDEX(参数!$C$5:$C$7,MATCH($N523,参数!$A$5:$A$7,0)),"")</f>
        <v>1.2</v>
      </c>
      <c r="Z523">
        <f>IFERROR(INDEX(参数!$D$5:$D$7,MATCH($N523,参数!$A$5:$A$7,0)),"")</f>
        <v>1</v>
      </c>
      <c r="AA523">
        <f>IFERROR(INDEX(楼层配置!$E$5:$E$204,MATCH($K523,楼层配置!$B$5:$B$204,0)),1)</f>
        <v>1.12582067235919</v>
      </c>
      <c r="AB523">
        <f>IFERROR(INDEX(楼层配置!$F$5:$F$204,MATCH($K523,楼层配置!$B$5:$B$204,0)),1)</f>
        <v>0.729834891319568</v>
      </c>
      <c r="AC523">
        <f>IFERROR(INDEX(楼层配置!$G$5:$G$204,MATCH($K523,楼层配置!$B$5:$B$204,0)),1)</f>
        <v>1</v>
      </c>
      <c r="AD523" t="str">
        <f t="shared" si="67"/>
        <v/>
      </c>
      <c r="AE523" t="str">
        <f t="shared" si="68"/>
        <v/>
      </c>
      <c r="AF523" t="str">
        <f t="shared" si="69"/>
        <v/>
      </c>
      <c r="AG523" t="str">
        <f t="shared" si="70"/>
        <v>有效</v>
      </c>
      <c r="AH523">
        <f t="shared" si="71"/>
        <v>4246687.6685</v>
      </c>
    </row>
    <row r="524" spans="1:34">
      <c r="A524">
        <v>520</v>
      </c>
      <c r="B524">
        <v>1029</v>
      </c>
      <c r="C524">
        <v>60</v>
      </c>
      <c r="D524">
        <f>IFERROR(ROUND($U524*$X524*$AA524*参数!$B$13,0),"")</f>
        <v>2347274</v>
      </c>
      <c r="E524">
        <f>IFERROR(ROUND($V524*$Y524*$AB524*参数!$C$13,0),"")</f>
        <v>33571</v>
      </c>
      <c r="F524">
        <f>IFERROR(ROUND($W524*$Z524*$AC524*参数!$D$13,0),"")</f>
        <v>37845</v>
      </c>
      <c r="J524">
        <v>104</v>
      </c>
      <c r="K524">
        <v>104</v>
      </c>
      <c r="L524">
        <f>IFERROR(INDEX(楼层配置!$D$5:$D$204,MATCH($K524,楼层配置!$B$5:$B$204,0)),"")</f>
        <v>285</v>
      </c>
      <c r="M524" t="str">
        <f>IFERROR(INDEX(_角色基线!$B$2:$B$100,MATCH($B524,_角色基线!$A$2:$A$100,0)),"")</f>
        <v>凯兰</v>
      </c>
      <c r="N524" t="str">
        <f>IFERROR(INDEX(_角色基线!$C$2:$C$100,MATCH($B524,_角色基线!$A$2:$A$100,0)),"")</f>
        <v>Support</v>
      </c>
      <c r="O524">
        <f>IFERROR(INDEX(_怪物基线!$B$2:$B$501,MATCH(INT($L524),_怪物基线!$A$2:$A$501,0)),"")</f>
        <v>416989</v>
      </c>
      <c r="P524">
        <f>IFERROR(INDEX(_怪物基线!$C$2:$C$501,MATCH(INT($L524),_怪物基线!$A$2:$A$501,0)),"")</f>
        <v>38332</v>
      </c>
      <c r="Q524">
        <f>IFERROR(INDEX(_怪物基线!$D$2:$D$501,MATCH(INT($L524),_怪物基线!$A$2:$A$501,0)),"")</f>
        <v>30276</v>
      </c>
      <c r="R524">
        <f>参数!$B$10</f>
        <v>4</v>
      </c>
      <c r="S524">
        <f>参数!$C$10</f>
        <v>1.2</v>
      </c>
      <c r="T524">
        <f>参数!$D$10</f>
        <v>1</v>
      </c>
      <c r="U524">
        <f t="shared" si="64"/>
        <v>1667956</v>
      </c>
      <c r="V524">
        <f t="shared" si="65"/>
        <v>45998.4</v>
      </c>
      <c r="W524">
        <f t="shared" si="66"/>
        <v>30276</v>
      </c>
      <c r="X524">
        <f>IFERROR(INDEX(参数!$B$5:$B$7,MATCH($N524,参数!$A$5:$A$7,0)),"")</f>
        <v>1.25</v>
      </c>
      <c r="Y524">
        <f>IFERROR(INDEX(参数!$C$5:$C$7,MATCH($N524,参数!$A$5:$A$7,0)),"")</f>
        <v>1</v>
      </c>
      <c r="Z524">
        <f>IFERROR(INDEX(参数!$D$5:$D$7,MATCH($N524,参数!$A$5:$A$7,0)),"")</f>
        <v>1.25</v>
      </c>
      <c r="AA524">
        <f>IFERROR(INDEX(楼层配置!$E$5:$E$204,MATCH($K524,楼层配置!$B$5:$B$204,0)),1)</f>
        <v>1.12582067235919</v>
      </c>
      <c r="AB524">
        <f>IFERROR(INDEX(楼层配置!$F$5:$F$204,MATCH($K524,楼层配置!$B$5:$B$204,0)),1)</f>
        <v>0.729834891319568</v>
      </c>
      <c r="AC524">
        <f>IFERROR(INDEX(楼层配置!$G$5:$G$204,MATCH($K524,楼层配置!$B$5:$B$204,0)),1)</f>
        <v>1</v>
      </c>
      <c r="AD524" t="str">
        <f t="shared" si="67"/>
        <v/>
      </c>
      <c r="AE524" t="str">
        <f t="shared" si="68"/>
        <v/>
      </c>
      <c r="AF524" t="str">
        <f t="shared" si="69"/>
        <v/>
      </c>
      <c r="AG524" t="str">
        <f t="shared" si="70"/>
        <v>有效</v>
      </c>
      <c r="AH524">
        <f t="shared" si="71"/>
        <v>6048631.68875</v>
      </c>
    </row>
    <row r="525" spans="1:34">
      <c r="A525">
        <v>521</v>
      </c>
      <c r="B525">
        <v>1003</v>
      </c>
      <c r="C525">
        <v>60</v>
      </c>
      <c r="D525">
        <f>IFERROR(ROUND($U525*$X525*$AA525*参数!$B$13,0),"")</f>
        <v>2857292</v>
      </c>
      <c r="E525">
        <f>IFERROR(ROUND($V525*$Y525*$AB525*参数!$C$13,0),"")</f>
        <v>33669</v>
      </c>
      <c r="F525">
        <f>IFERROR(ROUND($W525*$Z525*$AC525*参数!$D$13,0),"")</f>
        <v>45623</v>
      </c>
      <c r="J525">
        <v>105</v>
      </c>
      <c r="K525">
        <v>105</v>
      </c>
      <c r="L525">
        <f>IFERROR(INDEX(楼层配置!$D$5:$D$204,MATCH($K525,楼层配置!$B$5:$B$204,0)),"")</f>
        <v>286</v>
      </c>
      <c r="M525" t="str">
        <f>IFERROR(INDEX(_角色基线!$B$2:$B$100,MATCH($B525,_角色基线!$A$2:$A$100,0)),"")</f>
        <v>塔拉夏</v>
      </c>
      <c r="N525" t="str">
        <f>IFERROR(INDEX(_角色基线!$C$2:$C$100,MATCH($B525,_角色基线!$A$2:$A$100,0)),"")</f>
        <v>Tank</v>
      </c>
      <c r="O525">
        <f>IFERROR(INDEX(_怪物基线!$B$2:$B$501,MATCH(INT($L525),_怪物基线!$A$2:$A$501,0)),"")</f>
        <v>421027</v>
      </c>
      <c r="P525">
        <f>IFERROR(INDEX(_怪物基线!$C$2:$C$501,MATCH(INT($L525),_怪物基线!$A$2:$A$501,0)),"")</f>
        <v>38610</v>
      </c>
      <c r="Q525">
        <f>IFERROR(INDEX(_怪物基线!$D$2:$D$501,MATCH(INT($L525),_怪物基线!$A$2:$A$501,0)),"")</f>
        <v>30415</v>
      </c>
      <c r="R525">
        <f>参数!$B$10</f>
        <v>4</v>
      </c>
      <c r="S525">
        <f>参数!$C$10</f>
        <v>1.2</v>
      </c>
      <c r="T525">
        <f>参数!$D$10</f>
        <v>1</v>
      </c>
      <c r="U525">
        <f t="shared" si="64"/>
        <v>1684108</v>
      </c>
      <c r="V525">
        <f t="shared" si="65"/>
        <v>46332</v>
      </c>
      <c r="W525">
        <f t="shared" si="66"/>
        <v>30415</v>
      </c>
      <c r="X525">
        <f>IFERROR(INDEX(参数!$B$5:$B$7,MATCH($N525,参数!$A$5:$A$7,0)),"")</f>
        <v>1.5</v>
      </c>
      <c r="Y525">
        <f>IFERROR(INDEX(参数!$C$5:$C$7,MATCH($N525,参数!$A$5:$A$7,0)),"")</f>
        <v>1</v>
      </c>
      <c r="Z525">
        <f>IFERROR(INDEX(参数!$D$5:$D$7,MATCH($N525,参数!$A$5:$A$7,0)),"")</f>
        <v>1.5</v>
      </c>
      <c r="AA525">
        <f>IFERROR(INDEX(楼层配置!$E$5:$E$204,MATCH($K525,楼层配置!$B$5:$B$204,0)),1)</f>
        <v>1.13108015591293</v>
      </c>
      <c r="AB525">
        <f>IFERROR(INDEX(楼层配置!$F$5:$F$204,MATCH($K525,楼层配置!$B$5:$B$204,0)),1)</f>
        <v>0.726679309784578</v>
      </c>
      <c r="AC525">
        <f>IFERROR(INDEX(楼层配置!$G$5:$G$204,MATCH($K525,楼层配置!$B$5:$B$204,0)),1)</f>
        <v>1</v>
      </c>
      <c r="AD525" t="str">
        <f t="shared" si="67"/>
        <v/>
      </c>
      <c r="AE525" t="str">
        <f t="shared" si="68"/>
        <v/>
      </c>
      <c r="AF525" t="str">
        <f t="shared" si="69"/>
        <v/>
      </c>
      <c r="AG525" t="str">
        <f t="shared" si="70"/>
        <v>有效</v>
      </c>
      <c r="AH525">
        <f t="shared" si="71"/>
        <v>8288885.03816667</v>
      </c>
    </row>
    <row r="526" spans="1:34">
      <c r="A526">
        <v>522</v>
      </c>
      <c r="B526">
        <v>1005</v>
      </c>
      <c r="C526">
        <v>60</v>
      </c>
      <c r="D526">
        <f>IFERROR(ROUND($U526*$X526*$AA526*参数!$B$13,0),"")</f>
        <v>1904861</v>
      </c>
      <c r="E526">
        <f>IFERROR(ROUND($V526*$Y526*$AB526*参数!$C$13,0),"")</f>
        <v>40402</v>
      </c>
      <c r="F526">
        <f>IFERROR(ROUND($W526*$Z526*$AC526*参数!$D$13,0),"")</f>
        <v>30415</v>
      </c>
      <c r="J526">
        <v>105</v>
      </c>
      <c r="K526">
        <v>105</v>
      </c>
      <c r="L526">
        <f>IFERROR(INDEX(楼层配置!$D$5:$D$204,MATCH($K526,楼层配置!$B$5:$B$204,0)),"")</f>
        <v>286</v>
      </c>
      <c r="M526" t="str">
        <f>IFERROR(INDEX(_角色基线!$B$2:$B$100,MATCH($B526,_角色基线!$A$2:$A$100,0)),"")</f>
        <v>陈单单</v>
      </c>
      <c r="N526" t="str">
        <f>IFERROR(INDEX(_角色基线!$C$2:$C$100,MATCH($B526,_角色基线!$A$2:$A$100,0)),"")</f>
        <v>DPS</v>
      </c>
      <c r="O526">
        <f>IFERROR(INDEX(_怪物基线!$B$2:$B$501,MATCH(INT($L526),_怪物基线!$A$2:$A$501,0)),"")</f>
        <v>421027</v>
      </c>
      <c r="P526">
        <f>IFERROR(INDEX(_怪物基线!$C$2:$C$501,MATCH(INT($L526),_怪物基线!$A$2:$A$501,0)),"")</f>
        <v>38610</v>
      </c>
      <c r="Q526">
        <f>IFERROR(INDEX(_怪物基线!$D$2:$D$501,MATCH(INT($L526),_怪物基线!$A$2:$A$501,0)),"")</f>
        <v>30415</v>
      </c>
      <c r="R526">
        <f>参数!$B$10</f>
        <v>4</v>
      </c>
      <c r="S526">
        <f>参数!$C$10</f>
        <v>1.2</v>
      </c>
      <c r="T526">
        <f>参数!$D$10</f>
        <v>1</v>
      </c>
      <c r="U526">
        <f t="shared" si="64"/>
        <v>1684108</v>
      </c>
      <c r="V526">
        <f t="shared" si="65"/>
        <v>46332</v>
      </c>
      <c r="W526">
        <f t="shared" si="66"/>
        <v>30415</v>
      </c>
      <c r="X526">
        <f>IFERROR(INDEX(参数!$B$5:$B$7,MATCH($N526,参数!$A$5:$A$7,0)),"")</f>
        <v>1</v>
      </c>
      <c r="Y526">
        <f>IFERROR(INDEX(参数!$C$5:$C$7,MATCH($N526,参数!$A$5:$A$7,0)),"")</f>
        <v>1.2</v>
      </c>
      <c r="Z526">
        <f>IFERROR(INDEX(参数!$D$5:$D$7,MATCH($N526,参数!$A$5:$A$7,0)),"")</f>
        <v>1</v>
      </c>
      <c r="AA526">
        <f>IFERROR(INDEX(楼层配置!$E$5:$E$204,MATCH($K526,楼层配置!$B$5:$B$204,0)),1)</f>
        <v>1.13108015591293</v>
      </c>
      <c r="AB526">
        <f>IFERROR(INDEX(楼层配置!$F$5:$F$204,MATCH($K526,楼层配置!$B$5:$B$204,0)),1)</f>
        <v>0.726679309784578</v>
      </c>
      <c r="AC526">
        <f>IFERROR(INDEX(楼层配置!$G$5:$G$204,MATCH($K526,楼层配置!$B$5:$B$204,0)),1)</f>
        <v>1</v>
      </c>
      <c r="AD526" t="str">
        <f t="shared" si="67"/>
        <v/>
      </c>
      <c r="AE526" t="str">
        <f t="shared" si="68"/>
        <v/>
      </c>
      <c r="AF526" t="str">
        <f t="shared" si="69"/>
        <v/>
      </c>
      <c r="AG526" t="str">
        <f t="shared" si="70"/>
        <v>有效</v>
      </c>
      <c r="AH526">
        <f t="shared" si="71"/>
        <v>4318875.47145833</v>
      </c>
    </row>
    <row r="527" spans="1:34">
      <c r="A527">
        <v>523</v>
      </c>
      <c r="B527">
        <v>1005</v>
      </c>
      <c r="C527">
        <v>60</v>
      </c>
      <c r="D527">
        <f>IFERROR(ROUND($U527*$X527*$AA527*参数!$B$13,0),"")</f>
        <v>1904861</v>
      </c>
      <c r="E527">
        <f>IFERROR(ROUND($V527*$Y527*$AB527*参数!$C$13,0),"")</f>
        <v>40402</v>
      </c>
      <c r="F527">
        <f>IFERROR(ROUND($W527*$Z527*$AC527*参数!$D$13,0),"")</f>
        <v>30415</v>
      </c>
      <c r="J527">
        <v>105</v>
      </c>
      <c r="K527">
        <v>105</v>
      </c>
      <c r="L527">
        <f>IFERROR(INDEX(楼层配置!$D$5:$D$204,MATCH($K527,楼层配置!$B$5:$B$204,0)),"")</f>
        <v>286</v>
      </c>
      <c r="M527" t="str">
        <f>IFERROR(INDEX(_角色基线!$B$2:$B$100,MATCH($B527,_角色基线!$A$2:$A$100,0)),"")</f>
        <v>陈单单</v>
      </c>
      <c r="N527" t="str">
        <f>IFERROR(INDEX(_角色基线!$C$2:$C$100,MATCH($B527,_角色基线!$A$2:$A$100,0)),"")</f>
        <v>DPS</v>
      </c>
      <c r="O527">
        <f>IFERROR(INDEX(_怪物基线!$B$2:$B$501,MATCH(INT($L527),_怪物基线!$A$2:$A$501,0)),"")</f>
        <v>421027</v>
      </c>
      <c r="P527">
        <f>IFERROR(INDEX(_怪物基线!$C$2:$C$501,MATCH(INT($L527),_怪物基线!$A$2:$A$501,0)),"")</f>
        <v>38610</v>
      </c>
      <c r="Q527">
        <f>IFERROR(INDEX(_怪物基线!$D$2:$D$501,MATCH(INT($L527),_怪物基线!$A$2:$A$501,0)),"")</f>
        <v>30415</v>
      </c>
      <c r="R527">
        <f>参数!$B$10</f>
        <v>4</v>
      </c>
      <c r="S527">
        <f>参数!$C$10</f>
        <v>1.2</v>
      </c>
      <c r="T527">
        <f>参数!$D$10</f>
        <v>1</v>
      </c>
      <c r="U527">
        <f t="shared" si="64"/>
        <v>1684108</v>
      </c>
      <c r="V527">
        <f t="shared" si="65"/>
        <v>46332</v>
      </c>
      <c r="W527">
        <f t="shared" si="66"/>
        <v>30415</v>
      </c>
      <c r="X527">
        <f>IFERROR(INDEX(参数!$B$5:$B$7,MATCH($N527,参数!$A$5:$A$7,0)),"")</f>
        <v>1</v>
      </c>
      <c r="Y527">
        <f>IFERROR(INDEX(参数!$C$5:$C$7,MATCH($N527,参数!$A$5:$A$7,0)),"")</f>
        <v>1.2</v>
      </c>
      <c r="Z527">
        <f>IFERROR(INDEX(参数!$D$5:$D$7,MATCH($N527,参数!$A$5:$A$7,0)),"")</f>
        <v>1</v>
      </c>
      <c r="AA527">
        <f>IFERROR(INDEX(楼层配置!$E$5:$E$204,MATCH($K527,楼层配置!$B$5:$B$204,0)),1)</f>
        <v>1.13108015591293</v>
      </c>
      <c r="AB527">
        <f>IFERROR(INDEX(楼层配置!$F$5:$F$204,MATCH($K527,楼层配置!$B$5:$B$204,0)),1)</f>
        <v>0.726679309784578</v>
      </c>
      <c r="AC527">
        <f>IFERROR(INDEX(楼层配置!$G$5:$G$204,MATCH($K527,楼层配置!$B$5:$B$204,0)),1)</f>
        <v>1</v>
      </c>
      <c r="AD527" t="str">
        <f t="shared" si="67"/>
        <v/>
      </c>
      <c r="AE527" t="str">
        <f t="shared" si="68"/>
        <v/>
      </c>
      <c r="AF527" t="str">
        <f t="shared" si="69"/>
        <v/>
      </c>
      <c r="AG527" t="str">
        <f t="shared" si="70"/>
        <v>有效</v>
      </c>
      <c r="AH527">
        <f t="shared" si="71"/>
        <v>4318875.47145833</v>
      </c>
    </row>
    <row r="528" spans="1:34">
      <c r="A528">
        <v>524</v>
      </c>
      <c r="B528">
        <v>1005</v>
      </c>
      <c r="C528">
        <v>60</v>
      </c>
      <c r="D528">
        <f>IFERROR(ROUND($U528*$X528*$AA528*参数!$B$13,0),"")</f>
        <v>1904861</v>
      </c>
      <c r="E528">
        <f>IFERROR(ROUND($V528*$Y528*$AB528*参数!$C$13,0),"")</f>
        <v>40402</v>
      </c>
      <c r="F528">
        <f>IFERROR(ROUND($W528*$Z528*$AC528*参数!$D$13,0),"")</f>
        <v>30415</v>
      </c>
      <c r="J528">
        <v>105</v>
      </c>
      <c r="K528">
        <v>105</v>
      </c>
      <c r="L528">
        <f>IFERROR(INDEX(楼层配置!$D$5:$D$204,MATCH($K528,楼层配置!$B$5:$B$204,0)),"")</f>
        <v>286</v>
      </c>
      <c r="M528" t="str">
        <f>IFERROR(INDEX(_角色基线!$B$2:$B$100,MATCH($B528,_角色基线!$A$2:$A$100,0)),"")</f>
        <v>陈单单</v>
      </c>
      <c r="N528" t="str">
        <f>IFERROR(INDEX(_角色基线!$C$2:$C$100,MATCH($B528,_角色基线!$A$2:$A$100,0)),"")</f>
        <v>DPS</v>
      </c>
      <c r="O528">
        <f>IFERROR(INDEX(_怪物基线!$B$2:$B$501,MATCH(INT($L528),_怪物基线!$A$2:$A$501,0)),"")</f>
        <v>421027</v>
      </c>
      <c r="P528">
        <f>IFERROR(INDEX(_怪物基线!$C$2:$C$501,MATCH(INT($L528),_怪物基线!$A$2:$A$501,0)),"")</f>
        <v>38610</v>
      </c>
      <c r="Q528">
        <f>IFERROR(INDEX(_怪物基线!$D$2:$D$501,MATCH(INT($L528),_怪物基线!$A$2:$A$501,0)),"")</f>
        <v>30415</v>
      </c>
      <c r="R528">
        <f>参数!$B$10</f>
        <v>4</v>
      </c>
      <c r="S528">
        <f>参数!$C$10</f>
        <v>1.2</v>
      </c>
      <c r="T528">
        <f>参数!$D$10</f>
        <v>1</v>
      </c>
      <c r="U528">
        <f t="shared" si="64"/>
        <v>1684108</v>
      </c>
      <c r="V528">
        <f t="shared" si="65"/>
        <v>46332</v>
      </c>
      <c r="W528">
        <f t="shared" si="66"/>
        <v>30415</v>
      </c>
      <c r="X528">
        <f>IFERROR(INDEX(参数!$B$5:$B$7,MATCH($N528,参数!$A$5:$A$7,0)),"")</f>
        <v>1</v>
      </c>
      <c r="Y528">
        <f>IFERROR(INDEX(参数!$C$5:$C$7,MATCH($N528,参数!$A$5:$A$7,0)),"")</f>
        <v>1.2</v>
      </c>
      <c r="Z528">
        <f>IFERROR(INDEX(参数!$D$5:$D$7,MATCH($N528,参数!$A$5:$A$7,0)),"")</f>
        <v>1</v>
      </c>
      <c r="AA528">
        <f>IFERROR(INDEX(楼层配置!$E$5:$E$204,MATCH($K528,楼层配置!$B$5:$B$204,0)),1)</f>
        <v>1.13108015591293</v>
      </c>
      <c r="AB528">
        <f>IFERROR(INDEX(楼层配置!$F$5:$F$204,MATCH($K528,楼层配置!$B$5:$B$204,0)),1)</f>
        <v>0.726679309784578</v>
      </c>
      <c r="AC528">
        <f>IFERROR(INDEX(楼层配置!$G$5:$G$204,MATCH($K528,楼层配置!$B$5:$B$204,0)),1)</f>
        <v>1</v>
      </c>
      <c r="AD528" t="str">
        <f t="shared" si="67"/>
        <v/>
      </c>
      <c r="AE528" t="str">
        <f t="shared" si="68"/>
        <v/>
      </c>
      <c r="AF528" t="str">
        <f t="shared" si="69"/>
        <v/>
      </c>
      <c r="AG528" t="str">
        <f t="shared" si="70"/>
        <v>有效</v>
      </c>
      <c r="AH528">
        <f t="shared" si="71"/>
        <v>4318875.47145833</v>
      </c>
    </row>
    <row r="529" spans="1:34">
      <c r="A529">
        <v>525</v>
      </c>
      <c r="B529">
        <v>1029</v>
      </c>
      <c r="C529">
        <v>60</v>
      </c>
      <c r="D529">
        <f>IFERROR(ROUND($U529*$X529*$AA529*参数!$B$13,0),"")</f>
        <v>2381076</v>
      </c>
      <c r="E529">
        <f>IFERROR(ROUND($V529*$Y529*$AB529*参数!$C$13,0),"")</f>
        <v>33669</v>
      </c>
      <c r="F529">
        <f>IFERROR(ROUND($W529*$Z529*$AC529*参数!$D$13,0),"")</f>
        <v>38019</v>
      </c>
      <c r="J529">
        <v>105</v>
      </c>
      <c r="K529">
        <v>105</v>
      </c>
      <c r="L529">
        <f>IFERROR(INDEX(楼层配置!$D$5:$D$204,MATCH($K529,楼层配置!$B$5:$B$204,0)),"")</f>
        <v>286</v>
      </c>
      <c r="M529" t="str">
        <f>IFERROR(INDEX(_角色基线!$B$2:$B$100,MATCH($B529,_角色基线!$A$2:$A$100,0)),"")</f>
        <v>凯兰</v>
      </c>
      <c r="N529" t="str">
        <f>IFERROR(INDEX(_角色基线!$C$2:$C$100,MATCH($B529,_角色基线!$A$2:$A$100,0)),"")</f>
        <v>Support</v>
      </c>
      <c r="O529">
        <f>IFERROR(INDEX(_怪物基线!$B$2:$B$501,MATCH(INT($L529),_怪物基线!$A$2:$A$501,0)),"")</f>
        <v>421027</v>
      </c>
      <c r="P529">
        <f>IFERROR(INDEX(_怪物基线!$C$2:$C$501,MATCH(INT($L529),_怪物基线!$A$2:$A$501,0)),"")</f>
        <v>38610</v>
      </c>
      <c r="Q529">
        <f>IFERROR(INDEX(_怪物基线!$D$2:$D$501,MATCH(INT($L529),_怪物基线!$A$2:$A$501,0)),"")</f>
        <v>30415</v>
      </c>
      <c r="R529">
        <f>参数!$B$10</f>
        <v>4</v>
      </c>
      <c r="S529">
        <f>参数!$C$10</f>
        <v>1.2</v>
      </c>
      <c r="T529">
        <f>参数!$D$10</f>
        <v>1</v>
      </c>
      <c r="U529">
        <f t="shared" si="64"/>
        <v>1684108</v>
      </c>
      <c r="V529">
        <f t="shared" si="65"/>
        <v>46332</v>
      </c>
      <c r="W529">
        <f t="shared" si="66"/>
        <v>30415</v>
      </c>
      <c r="X529">
        <f>IFERROR(INDEX(参数!$B$5:$B$7,MATCH($N529,参数!$A$5:$A$7,0)),"")</f>
        <v>1.25</v>
      </c>
      <c r="Y529">
        <f>IFERROR(INDEX(参数!$C$5:$C$7,MATCH($N529,参数!$A$5:$A$7,0)),"")</f>
        <v>1</v>
      </c>
      <c r="Z529">
        <f>IFERROR(INDEX(参数!$D$5:$D$7,MATCH($N529,参数!$A$5:$A$7,0)),"")</f>
        <v>1.25</v>
      </c>
      <c r="AA529">
        <f>IFERROR(INDEX(楼层配置!$E$5:$E$204,MATCH($K529,楼层配置!$B$5:$B$204,0)),1)</f>
        <v>1.13108015591293</v>
      </c>
      <c r="AB529">
        <f>IFERROR(INDEX(楼层配置!$F$5:$F$204,MATCH($K529,楼层配置!$B$5:$B$204,0)),1)</f>
        <v>0.726679309784578</v>
      </c>
      <c r="AC529">
        <f>IFERROR(INDEX(楼层配置!$G$5:$G$204,MATCH($K529,楼层配置!$B$5:$B$204,0)),1)</f>
        <v>1</v>
      </c>
      <c r="AD529" t="str">
        <f t="shared" si="67"/>
        <v/>
      </c>
      <c r="AE529" t="str">
        <f t="shared" si="68"/>
        <v/>
      </c>
      <c r="AF529" t="str">
        <f t="shared" si="69"/>
        <v/>
      </c>
      <c r="AG529" t="str">
        <f t="shared" si="70"/>
        <v>有效</v>
      </c>
      <c r="AH529">
        <f t="shared" si="71"/>
        <v>6152998.0185</v>
      </c>
    </row>
    <row r="530" spans="1:34">
      <c r="A530">
        <v>526</v>
      </c>
      <c r="B530">
        <v>1003</v>
      </c>
      <c r="C530">
        <v>60</v>
      </c>
      <c r="D530">
        <f>IFERROR(ROUND($U530*$X530*$AA530*参数!$B$13,0),"")</f>
        <v>2871491</v>
      </c>
      <c r="E530">
        <f>IFERROR(ROUND($V530*$Y530*$AB530*参数!$C$13,0),"")</f>
        <v>34062</v>
      </c>
      <c r="F530">
        <f>IFERROR(ROUND($W530*$Z530*$AC530*参数!$D$13,0),"")</f>
        <v>45831</v>
      </c>
      <c r="J530">
        <v>106</v>
      </c>
      <c r="K530">
        <v>106</v>
      </c>
      <c r="L530">
        <f>IFERROR(INDEX(楼层配置!$D$5:$D$204,MATCH($K530,楼层配置!$B$5:$B$204,0)),"")</f>
        <v>287</v>
      </c>
      <c r="M530" t="str">
        <f>IFERROR(INDEX(_角色基线!$B$2:$B$100,MATCH($B530,_角色基线!$A$2:$A$100,0)),"")</f>
        <v>塔拉夏</v>
      </c>
      <c r="N530" t="str">
        <f>IFERROR(INDEX(_角色基线!$C$2:$C$100,MATCH($B530,_角色基线!$A$2:$A$100,0)),"")</f>
        <v>Tank</v>
      </c>
      <c r="O530">
        <f>IFERROR(INDEX(_怪物基线!$B$2:$B$501,MATCH(INT($L530),_怪物基线!$A$2:$A$501,0)),"")</f>
        <v>425096</v>
      </c>
      <c r="P530">
        <f>IFERROR(INDEX(_怪物基线!$C$2:$C$501,MATCH(INT($L530),_怪物基线!$A$2:$A$501,0)),"")</f>
        <v>38892</v>
      </c>
      <c r="Q530">
        <f>IFERROR(INDEX(_怪物基线!$D$2:$D$501,MATCH(INT($L530),_怪物基线!$A$2:$A$501,0)),"")</f>
        <v>30554</v>
      </c>
      <c r="R530">
        <f>参数!$B$10</f>
        <v>4</v>
      </c>
      <c r="S530">
        <f>参数!$C$10</f>
        <v>1.2</v>
      </c>
      <c r="T530">
        <f>参数!$D$10</f>
        <v>1</v>
      </c>
      <c r="U530">
        <f t="shared" si="64"/>
        <v>1700384</v>
      </c>
      <c r="V530">
        <f t="shared" si="65"/>
        <v>46670.4</v>
      </c>
      <c r="W530">
        <f t="shared" si="66"/>
        <v>30554</v>
      </c>
      <c r="X530">
        <f>IFERROR(INDEX(参数!$B$5:$B$7,MATCH($N530,参数!$A$5:$A$7,0)),"")</f>
        <v>1.5</v>
      </c>
      <c r="Y530">
        <f>IFERROR(INDEX(参数!$C$5:$C$7,MATCH($N530,参数!$A$5:$A$7,0)),"")</f>
        <v>1</v>
      </c>
      <c r="Z530">
        <f>IFERROR(INDEX(参数!$D$5:$D$7,MATCH($N530,参数!$A$5:$A$7,0)),"")</f>
        <v>1.5</v>
      </c>
      <c r="AA530">
        <f>IFERROR(INDEX(楼层配置!$E$5:$E$204,MATCH($K530,楼层配置!$B$5:$B$204,0)),1)</f>
        <v>1.12582067235919</v>
      </c>
      <c r="AB530">
        <f>IFERROR(INDEX(楼层配置!$F$5:$F$204,MATCH($K530,楼层配置!$B$5:$B$204,0)),1)</f>
        <v>0.729834891319568</v>
      </c>
      <c r="AC530">
        <f>IFERROR(INDEX(楼层配置!$G$5:$G$204,MATCH($K530,楼层配置!$B$5:$B$204,0)),1)</f>
        <v>1</v>
      </c>
      <c r="AD530" t="str">
        <f t="shared" si="67"/>
        <v/>
      </c>
      <c r="AE530" t="str">
        <f t="shared" si="68"/>
        <v/>
      </c>
      <c r="AF530" t="str">
        <f t="shared" si="69"/>
        <v/>
      </c>
      <c r="AG530" t="str">
        <f t="shared" si="70"/>
        <v>有效</v>
      </c>
      <c r="AH530">
        <f t="shared" si="71"/>
        <v>8354962.000875</v>
      </c>
    </row>
    <row r="531" spans="1:34">
      <c r="A531">
        <v>527</v>
      </c>
      <c r="B531">
        <v>1005</v>
      </c>
      <c r="C531">
        <v>60</v>
      </c>
      <c r="D531">
        <f>IFERROR(ROUND($U531*$X531*$AA531*参数!$B$13,0),"")</f>
        <v>1914327</v>
      </c>
      <c r="E531">
        <f>IFERROR(ROUND($V531*$Y531*$AB531*参数!$C$13,0),"")</f>
        <v>40874</v>
      </c>
      <c r="F531">
        <f>IFERROR(ROUND($W531*$Z531*$AC531*参数!$D$13,0),"")</f>
        <v>30554</v>
      </c>
      <c r="J531">
        <v>106</v>
      </c>
      <c r="K531">
        <v>106</v>
      </c>
      <c r="L531">
        <f>IFERROR(INDEX(楼层配置!$D$5:$D$204,MATCH($K531,楼层配置!$B$5:$B$204,0)),"")</f>
        <v>287</v>
      </c>
      <c r="M531" t="str">
        <f>IFERROR(INDEX(_角色基线!$B$2:$B$100,MATCH($B531,_角色基线!$A$2:$A$100,0)),"")</f>
        <v>陈单单</v>
      </c>
      <c r="N531" t="str">
        <f>IFERROR(INDEX(_角色基线!$C$2:$C$100,MATCH($B531,_角色基线!$A$2:$A$100,0)),"")</f>
        <v>DPS</v>
      </c>
      <c r="O531">
        <f>IFERROR(INDEX(_怪物基线!$B$2:$B$501,MATCH(INT($L531),_怪物基线!$A$2:$A$501,0)),"")</f>
        <v>425096</v>
      </c>
      <c r="P531">
        <f>IFERROR(INDEX(_怪物基线!$C$2:$C$501,MATCH(INT($L531),_怪物基线!$A$2:$A$501,0)),"")</f>
        <v>38892</v>
      </c>
      <c r="Q531">
        <f>IFERROR(INDEX(_怪物基线!$D$2:$D$501,MATCH(INT($L531),_怪物基线!$A$2:$A$501,0)),"")</f>
        <v>30554</v>
      </c>
      <c r="R531">
        <f>参数!$B$10</f>
        <v>4</v>
      </c>
      <c r="S531">
        <f>参数!$C$10</f>
        <v>1.2</v>
      </c>
      <c r="T531">
        <f>参数!$D$10</f>
        <v>1</v>
      </c>
      <c r="U531">
        <f t="shared" si="64"/>
        <v>1700384</v>
      </c>
      <c r="V531">
        <f t="shared" si="65"/>
        <v>46670.4</v>
      </c>
      <c r="W531">
        <f t="shared" si="66"/>
        <v>30554</v>
      </c>
      <c r="X531">
        <f>IFERROR(INDEX(参数!$B$5:$B$7,MATCH($N531,参数!$A$5:$A$7,0)),"")</f>
        <v>1</v>
      </c>
      <c r="Y531">
        <f>IFERROR(INDEX(参数!$C$5:$C$7,MATCH($N531,参数!$A$5:$A$7,0)),"")</f>
        <v>1.2</v>
      </c>
      <c r="Z531">
        <f>IFERROR(INDEX(参数!$D$5:$D$7,MATCH($N531,参数!$A$5:$A$7,0)),"")</f>
        <v>1</v>
      </c>
      <c r="AA531">
        <f>IFERROR(INDEX(楼层配置!$E$5:$E$204,MATCH($K531,楼层配置!$B$5:$B$204,0)),1)</f>
        <v>1.12582067235919</v>
      </c>
      <c r="AB531">
        <f>IFERROR(INDEX(楼层配置!$F$5:$F$204,MATCH($K531,楼层配置!$B$5:$B$204,0)),1)</f>
        <v>0.729834891319568</v>
      </c>
      <c r="AC531">
        <f>IFERROR(INDEX(楼层配置!$G$5:$G$204,MATCH($K531,楼层配置!$B$5:$B$204,0)),1)</f>
        <v>1</v>
      </c>
      <c r="AD531" t="str">
        <f t="shared" si="67"/>
        <v/>
      </c>
      <c r="AE531" t="str">
        <f t="shared" si="68"/>
        <v/>
      </c>
      <c r="AF531" t="str">
        <f t="shared" si="69"/>
        <v/>
      </c>
      <c r="AG531" t="str">
        <f t="shared" si="70"/>
        <v>有效</v>
      </c>
      <c r="AH531">
        <f t="shared" si="71"/>
        <v>4351424.79825</v>
      </c>
    </row>
    <row r="532" spans="1:34">
      <c r="A532">
        <v>528</v>
      </c>
      <c r="B532">
        <v>1005</v>
      </c>
      <c r="C532">
        <v>60</v>
      </c>
      <c r="D532">
        <f>IFERROR(ROUND($U532*$X532*$AA532*参数!$B$13,0),"")</f>
        <v>1914327</v>
      </c>
      <c r="E532">
        <f>IFERROR(ROUND($V532*$Y532*$AB532*参数!$C$13,0),"")</f>
        <v>40874</v>
      </c>
      <c r="F532">
        <f>IFERROR(ROUND($W532*$Z532*$AC532*参数!$D$13,0),"")</f>
        <v>30554</v>
      </c>
      <c r="J532">
        <v>106</v>
      </c>
      <c r="K532">
        <v>106</v>
      </c>
      <c r="L532">
        <f>IFERROR(INDEX(楼层配置!$D$5:$D$204,MATCH($K532,楼层配置!$B$5:$B$204,0)),"")</f>
        <v>287</v>
      </c>
      <c r="M532" t="str">
        <f>IFERROR(INDEX(_角色基线!$B$2:$B$100,MATCH($B532,_角色基线!$A$2:$A$100,0)),"")</f>
        <v>陈单单</v>
      </c>
      <c r="N532" t="str">
        <f>IFERROR(INDEX(_角色基线!$C$2:$C$100,MATCH($B532,_角色基线!$A$2:$A$100,0)),"")</f>
        <v>DPS</v>
      </c>
      <c r="O532">
        <f>IFERROR(INDEX(_怪物基线!$B$2:$B$501,MATCH(INT($L532),_怪物基线!$A$2:$A$501,0)),"")</f>
        <v>425096</v>
      </c>
      <c r="P532">
        <f>IFERROR(INDEX(_怪物基线!$C$2:$C$501,MATCH(INT($L532),_怪物基线!$A$2:$A$501,0)),"")</f>
        <v>38892</v>
      </c>
      <c r="Q532">
        <f>IFERROR(INDEX(_怪物基线!$D$2:$D$501,MATCH(INT($L532),_怪物基线!$A$2:$A$501,0)),"")</f>
        <v>30554</v>
      </c>
      <c r="R532">
        <f>参数!$B$10</f>
        <v>4</v>
      </c>
      <c r="S532">
        <f>参数!$C$10</f>
        <v>1.2</v>
      </c>
      <c r="T532">
        <f>参数!$D$10</f>
        <v>1</v>
      </c>
      <c r="U532">
        <f t="shared" si="64"/>
        <v>1700384</v>
      </c>
      <c r="V532">
        <f t="shared" si="65"/>
        <v>46670.4</v>
      </c>
      <c r="W532">
        <f t="shared" si="66"/>
        <v>30554</v>
      </c>
      <c r="X532">
        <f>IFERROR(INDEX(参数!$B$5:$B$7,MATCH($N532,参数!$A$5:$A$7,0)),"")</f>
        <v>1</v>
      </c>
      <c r="Y532">
        <f>IFERROR(INDEX(参数!$C$5:$C$7,MATCH($N532,参数!$A$5:$A$7,0)),"")</f>
        <v>1.2</v>
      </c>
      <c r="Z532">
        <f>IFERROR(INDEX(参数!$D$5:$D$7,MATCH($N532,参数!$A$5:$A$7,0)),"")</f>
        <v>1</v>
      </c>
      <c r="AA532">
        <f>IFERROR(INDEX(楼层配置!$E$5:$E$204,MATCH($K532,楼层配置!$B$5:$B$204,0)),1)</f>
        <v>1.12582067235919</v>
      </c>
      <c r="AB532">
        <f>IFERROR(INDEX(楼层配置!$F$5:$F$204,MATCH($K532,楼层配置!$B$5:$B$204,0)),1)</f>
        <v>0.729834891319568</v>
      </c>
      <c r="AC532">
        <f>IFERROR(INDEX(楼层配置!$G$5:$G$204,MATCH($K532,楼层配置!$B$5:$B$204,0)),1)</f>
        <v>1</v>
      </c>
      <c r="AD532" t="str">
        <f t="shared" si="67"/>
        <v/>
      </c>
      <c r="AE532" t="str">
        <f t="shared" si="68"/>
        <v/>
      </c>
      <c r="AF532" t="str">
        <f t="shared" si="69"/>
        <v/>
      </c>
      <c r="AG532" t="str">
        <f t="shared" si="70"/>
        <v>有效</v>
      </c>
      <c r="AH532">
        <f t="shared" si="71"/>
        <v>4351424.79825</v>
      </c>
    </row>
    <row r="533" spans="1:34">
      <c r="A533">
        <v>529</v>
      </c>
      <c r="B533">
        <v>1005</v>
      </c>
      <c r="C533">
        <v>60</v>
      </c>
      <c r="D533">
        <f>IFERROR(ROUND($U533*$X533*$AA533*参数!$B$13,0),"")</f>
        <v>1914327</v>
      </c>
      <c r="E533">
        <f>IFERROR(ROUND($V533*$Y533*$AB533*参数!$C$13,0),"")</f>
        <v>40874</v>
      </c>
      <c r="F533">
        <f>IFERROR(ROUND($W533*$Z533*$AC533*参数!$D$13,0),"")</f>
        <v>30554</v>
      </c>
      <c r="J533">
        <v>106</v>
      </c>
      <c r="K533">
        <v>106</v>
      </c>
      <c r="L533">
        <f>IFERROR(INDEX(楼层配置!$D$5:$D$204,MATCH($K533,楼层配置!$B$5:$B$204,0)),"")</f>
        <v>287</v>
      </c>
      <c r="M533" t="str">
        <f>IFERROR(INDEX(_角色基线!$B$2:$B$100,MATCH($B533,_角色基线!$A$2:$A$100,0)),"")</f>
        <v>陈单单</v>
      </c>
      <c r="N533" t="str">
        <f>IFERROR(INDEX(_角色基线!$C$2:$C$100,MATCH($B533,_角色基线!$A$2:$A$100,0)),"")</f>
        <v>DPS</v>
      </c>
      <c r="O533">
        <f>IFERROR(INDEX(_怪物基线!$B$2:$B$501,MATCH(INT($L533),_怪物基线!$A$2:$A$501,0)),"")</f>
        <v>425096</v>
      </c>
      <c r="P533">
        <f>IFERROR(INDEX(_怪物基线!$C$2:$C$501,MATCH(INT($L533),_怪物基线!$A$2:$A$501,0)),"")</f>
        <v>38892</v>
      </c>
      <c r="Q533">
        <f>IFERROR(INDEX(_怪物基线!$D$2:$D$501,MATCH(INT($L533),_怪物基线!$A$2:$A$501,0)),"")</f>
        <v>30554</v>
      </c>
      <c r="R533">
        <f>参数!$B$10</f>
        <v>4</v>
      </c>
      <c r="S533">
        <f>参数!$C$10</f>
        <v>1.2</v>
      </c>
      <c r="T533">
        <f>参数!$D$10</f>
        <v>1</v>
      </c>
      <c r="U533">
        <f t="shared" si="64"/>
        <v>1700384</v>
      </c>
      <c r="V533">
        <f t="shared" si="65"/>
        <v>46670.4</v>
      </c>
      <c r="W533">
        <f t="shared" si="66"/>
        <v>30554</v>
      </c>
      <c r="X533">
        <f>IFERROR(INDEX(参数!$B$5:$B$7,MATCH($N533,参数!$A$5:$A$7,0)),"")</f>
        <v>1</v>
      </c>
      <c r="Y533">
        <f>IFERROR(INDEX(参数!$C$5:$C$7,MATCH($N533,参数!$A$5:$A$7,0)),"")</f>
        <v>1.2</v>
      </c>
      <c r="Z533">
        <f>IFERROR(INDEX(参数!$D$5:$D$7,MATCH($N533,参数!$A$5:$A$7,0)),"")</f>
        <v>1</v>
      </c>
      <c r="AA533">
        <f>IFERROR(INDEX(楼层配置!$E$5:$E$204,MATCH($K533,楼层配置!$B$5:$B$204,0)),1)</f>
        <v>1.12582067235919</v>
      </c>
      <c r="AB533">
        <f>IFERROR(INDEX(楼层配置!$F$5:$F$204,MATCH($K533,楼层配置!$B$5:$B$204,0)),1)</f>
        <v>0.729834891319568</v>
      </c>
      <c r="AC533">
        <f>IFERROR(INDEX(楼层配置!$G$5:$G$204,MATCH($K533,楼层配置!$B$5:$B$204,0)),1)</f>
        <v>1</v>
      </c>
      <c r="AD533" t="str">
        <f t="shared" si="67"/>
        <v/>
      </c>
      <c r="AE533" t="str">
        <f t="shared" si="68"/>
        <v/>
      </c>
      <c r="AF533" t="str">
        <f t="shared" si="69"/>
        <v/>
      </c>
      <c r="AG533" t="str">
        <f t="shared" si="70"/>
        <v>有效</v>
      </c>
      <c r="AH533">
        <f t="shared" si="71"/>
        <v>4351424.79825</v>
      </c>
    </row>
    <row r="534" spans="1:34">
      <c r="A534">
        <v>530</v>
      </c>
      <c r="B534">
        <v>1029</v>
      </c>
      <c r="C534">
        <v>60</v>
      </c>
      <c r="D534">
        <f>IFERROR(ROUND($U534*$X534*$AA534*参数!$B$13,0),"")</f>
        <v>2392909</v>
      </c>
      <c r="E534">
        <f>IFERROR(ROUND($V534*$Y534*$AB534*参数!$C$13,0),"")</f>
        <v>34062</v>
      </c>
      <c r="F534">
        <f>IFERROR(ROUND($W534*$Z534*$AC534*参数!$D$13,0),"")</f>
        <v>38193</v>
      </c>
      <c r="J534">
        <v>106</v>
      </c>
      <c r="K534">
        <v>106</v>
      </c>
      <c r="L534">
        <f>IFERROR(INDEX(楼层配置!$D$5:$D$204,MATCH($K534,楼层配置!$B$5:$B$204,0)),"")</f>
        <v>287</v>
      </c>
      <c r="M534" t="str">
        <f>IFERROR(INDEX(_角色基线!$B$2:$B$100,MATCH($B534,_角色基线!$A$2:$A$100,0)),"")</f>
        <v>凯兰</v>
      </c>
      <c r="N534" t="str">
        <f>IFERROR(INDEX(_角色基线!$C$2:$C$100,MATCH($B534,_角色基线!$A$2:$A$100,0)),"")</f>
        <v>Support</v>
      </c>
      <c r="O534">
        <f>IFERROR(INDEX(_怪物基线!$B$2:$B$501,MATCH(INT($L534),_怪物基线!$A$2:$A$501,0)),"")</f>
        <v>425096</v>
      </c>
      <c r="P534">
        <f>IFERROR(INDEX(_怪物基线!$C$2:$C$501,MATCH(INT($L534),_怪物基线!$A$2:$A$501,0)),"")</f>
        <v>38892</v>
      </c>
      <c r="Q534">
        <f>IFERROR(INDEX(_怪物基线!$D$2:$D$501,MATCH(INT($L534),_怪物基线!$A$2:$A$501,0)),"")</f>
        <v>30554</v>
      </c>
      <c r="R534">
        <f>参数!$B$10</f>
        <v>4</v>
      </c>
      <c r="S534">
        <f>参数!$C$10</f>
        <v>1.2</v>
      </c>
      <c r="T534">
        <f>参数!$D$10</f>
        <v>1</v>
      </c>
      <c r="U534">
        <f t="shared" si="64"/>
        <v>1700384</v>
      </c>
      <c r="V534">
        <f t="shared" si="65"/>
        <v>46670.4</v>
      </c>
      <c r="W534">
        <f t="shared" si="66"/>
        <v>30554</v>
      </c>
      <c r="X534">
        <f>IFERROR(INDEX(参数!$B$5:$B$7,MATCH($N534,参数!$A$5:$A$7,0)),"")</f>
        <v>1.25</v>
      </c>
      <c r="Y534">
        <f>IFERROR(INDEX(参数!$C$5:$C$7,MATCH($N534,参数!$A$5:$A$7,0)),"")</f>
        <v>1</v>
      </c>
      <c r="Z534">
        <f>IFERROR(INDEX(参数!$D$5:$D$7,MATCH($N534,参数!$A$5:$A$7,0)),"")</f>
        <v>1.25</v>
      </c>
      <c r="AA534">
        <f>IFERROR(INDEX(楼层配置!$E$5:$E$204,MATCH($K534,楼层配置!$B$5:$B$204,0)),1)</f>
        <v>1.12582067235919</v>
      </c>
      <c r="AB534">
        <f>IFERROR(INDEX(楼层配置!$F$5:$F$204,MATCH($K534,楼层配置!$B$5:$B$204,0)),1)</f>
        <v>0.729834891319568</v>
      </c>
      <c r="AC534">
        <f>IFERROR(INDEX(楼层配置!$G$5:$G$204,MATCH($K534,楼层配置!$B$5:$B$204,0)),1)</f>
        <v>1</v>
      </c>
      <c r="AD534" t="str">
        <f t="shared" si="67"/>
        <v/>
      </c>
      <c r="AE534" t="str">
        <f t="shared" si="68"/>
        <v/>
      </c>
      <c r="AF534" t="str">
        <f t="shared" si="69"/>
        <v/>
      </c>
      <c r="AG534" t="str">
        <f t="shared" si="70"/>
        <v>有效</v>
      </c>
      <c r="AH534">
        <f t="shared" si="71"/>
        <v>6200924.559875</v>
      </c>
    </row>
    <row r="535" spans="1:34">
      <c r="A535">
        <v>531</v>
      </c>
      <c r="B535">
        <v>1003</v>
      </c>
      <c r="C535">
        <v>60</v>
      </c>
      <c r="D535">
        <f>IFERROR(ROUND($U535*$X535*$AA535*参数!$B$13,0),"")</f>
        <v>2899180</v>
      </c>
      <c r="E535">
        <f>IFERROR(ROUND($V535*$Y535*$AB535*参数!$C$13,0),"")</f>
        <v>34309</v>
      </c>
      <c r="F535">
        <f>IFERROR(ROUND($W535*$Z535*$AC535*参数!$D$13,0),"")</f>
        <v>46040</v>
      </c>
      <c r="J535">
        <v>107</v>
      </c>
      <c r="K535">
        <v>107</v>
      </c>
      <c r="L535">
        <f>IFERROR(INDEX(楼层配置!$D$5:$D$204,MATCH($K535,楼层配置!$B$5:$B$204,0)),"")</f>
        <v>288</v>
      </c>
      <c r="M535" t="str">
        <f>IFERROR(INDEX(_角色基线!$B$2:$B$100,MATCH($B535,_角色基线!$A$2:$A$100,0)),"")</f>
        <v>塔拉夏</v>
      </c>
      <c r="N535" t="str">
        <f>IFERROR(INDEX(_角色基线!$C$2:$C$100,MATCH($B535,_角色基线!$A$2:$A$100,0)),"")</f>
        <v>Tank</v>
      </c>
      <c r="O535">
        <f>IFERROR(INDEX(_怪物基线!$B$2:$B$501,MATCH(INT($L535),_怪物基线!$A$2:$A$501,0)),"")</f>
        <v>429195</v>
      </c>
      <c r="P535">
        <f>IFERROR(INDEX(_怪物基线!$C$2:$C$501,MATCH(INT($L535),_怪物基线!$A$2:$A$501,0)),"")</f>
        <v>39174</v>
      </c>
      <c r="Q535">
        <f>IFERROR(INDEX(_怪物基线!$D$2:$D$501,MATCH(INT($L535),_怪物基线!$A$2:$A$501,0)),"")</f>
        <v>30693</v>
      </c>
      <c r="R535">
        <f>参数!$B$10</f>
        <v>4</v>
      </c>
      <c r="S535">
        <f>参数!$C$10</f>
        <v>1.2</v>
      </c>
      <c r="T535">
        <f>参数!$D$10</f>
        <v>1</v>
      </c>
      <c r="U535">
        <f t="shared" si="64"/>
        <v>1716780</v>
      </c>
      <c r="V535">
        <f t="shared" si="65"/>
        <v>47008.8</v>
      </c>
      <c r="W535">
        <f t="shared" si="66"/>
        <v>30693</v>
      </c>
      <c r="X535">
        <f>IFERROR(INDEX(参数!$B$5:$B$7,MATCH($N535,参数!$A$5:$A$7,0)),"")</f>
        <v>1.5</v>
      </c>
      <c r="Y535">
        <f>IFERROR(INDEX(参数!$C$5:$C$7,MATCH($N535,参数!$A$5:$A$7,0)),"")</f>
        <v>1</v>
      </c>
      <c r="Z535">
        <f>IFERROR(INDEX(参数!$D$5:$D$7,MATCH($N535,参数!$A$5:$A$7,0)),"")</f>
        <v>1.5</v>
      </c>
      <c r="AA535">
        <f>IFERROR(INDEX(楼层配置!$E$5:$E$204,MATCH($K535,楼层配置!$B$5:$B$204,0)),1)</f>
        <v>1.12582067235919</v>
      </c>
      <c r="AB535">
        <f>IFERROR(INDEX(楼层配置!$F$5:$F$204,MATCH($K535,楼层配置!$B$5:$B$204,0)),1)</f>
        <v>0.729834891319568</v>
      </c>
      <c r="AC535">
        <f>IFERROR(INDEX(楼层配置!$G$5:$G$204,MATCH($K535,楼层配置!$B$5:$B$204,0)),1)</f>
        <v>1</v>
      </c>
      <c r="AD535" t="str">
        <f t="shared" si="67"/>
        <v/>
      </c>
      <c r="AE535" t="str">
        <f t="shared" si="68"/>
        <v/>
      </c>
      <c r="AF535" t="str">
        <f t="shared" si="69"/>
        <v/>
      </c>
      <c r="AG535" t="str">
        <f t="shared" si="70"/>
        <v>有效</v>
      </c>
      <c r="AH535">
        <f t="shared" si="71"/>
        <v>8460773.63333333</v>
      </c>
    </row>
    <row r="536" spans="1:34">
      <c r="A536">
        <v>532</v>
      </c>
      <c r="B536">
        <v>1005</v>
      </c>
      <c r="C536">
        <v>60</v>
      </c>
      <c r="D536">
        <f>IFERROR(ROUND($U536*$X536*$AA536*参数!$B$13,0),"")</f>
        <v>1932786</v>
      </c>
      <c r="E536">
        <f>IFERROR(ROUND($V536*$Y536*$AB536*参数!$C$13,0),"")</f>
        <v>41170</v>
      </c>
      <c r="F536">
        <f>IFERROR(ROUND($W536*$Z536*$AC536*参数!$D$13,0),"")</f>
        <v>30693</v>
      </c>
      <c r="J536">
        <v>107</v>
      </c>
      <c r="K536">
        <v>107</v>
      </c>
      <c r="L536">
        <f>IFERROR(INDEX(楼层配置!$D$5:$D$204,MATCH($K536,楼层配置!$B$5:$B$204,0)),"")</f>
        <v>288</v>
      </c>
      <c r="M536" t="str">
        <f>IFERROR(INDEX(_角色基线!$B$2:$B$100,MATCH($B536,_角色基线!$A$2:$A$100,0)),"")</f>
        <v>陈单单</v>
      </c>
      <c r="N536" t="str">
        <f>IFERROR(INDEX(_角色基线!$C$2:$C$100,MATCH($B536,_角色基线!$A$2:$A$100,0)),"")</f>
        <v>DPS</v>
      </c>
      <c r="O536">
        <f>IFERROR(INDEX(_怪物基线!$B$2:$B$501,MATCH(INT($L536),_怪物基线!$A$2:$A$501,0)),"")</f>
        <v>429195</v>
      </c>
      <c r="P536">
        <f>IFERROR(INDEX(_怪物基线!$C$2:$C$501,MATCH(INT($L536),_怪物基线!$A$2:$A$501,0)),"")</f>
        <v>39174</v>
      </c>
      <c r="Q536">
        <f>IFERROR(INDEX(_怪物基线!$D$2:$D$501,MATCH(INT($L536),_怪物基线!$A$2:$A$501,0)),"")</f>
        <v>30693</v>
      </c>
      <c r="R536">
        <f>参数!$B$10</f>
        <v>4</v>
      </c>
      <c r="S536">
        <f>参数!$C$10</f>
        <v>1.2</v>
      </c>
      <c r="T536">
        <f>参数!$D$10</f>
        <v>1</v>
      </c>
      <c r="U536">
        <f t="shared" si="64"/>
        <v>1716780</v>
      </c>
      <c r="V536">
        <f t="shared" si="65"/>
        <v>47008.8</v>
      </c>
      <c r="W536">
        <f t="shared" si="66"/>
        <v>30693</v>
      </c>
      <c r="X536">
        <f>IFERROR(INDEX(参数!$B$5:$B$7,MATCH($N536,参数!$A$5:$A$7,0)),"")</f>
        <v>1</v>
      </c>
      <c r="Y536">
        <f>IFERROR(INDEX(参数!$C$5:$C$7,MATCH($N536,参数!$A$5:$A$7,0)),"")</f>
        <v>1.2</v>
      </c>
      <c r="Z536">
        <f>IFERROR(INDEX(参数!$D$5:$D$7,MATCH($N536,参数!$A$5:$A$7,0)),"")</f>
        <v>1</v>
      </c>
      <c r="AA536">
        <f>IFERROR(INDEX(楼层配置!$E$5:$E$204,MATCH($K536,楼层配置!$B$5:$B$204,0)),1)</f>
        <v>1.12582067235919</v>
      </c>
      <c r="AB536">
        <f>IFERROR(INDEX(楼层配置!$F$5:$F$204,MATCH($K536,楼层配置!$B$5:$B$204,0)),1)</f>
        <v>0.729834891319568</v>
      </c>
      <c r="AC536">
        <f>IFERROR(INDEX(楼层配置!$G$5:$G$204,MATCH($K536,楼层配置!$B$5:$B$204,0)),1)</f>
        <v>1</v>
      </c>
      <c r="AD536" t="str">
        <f t="shared" si="67"/>
        <v/>
      </c>
      <c r="AE536" t="str">
        <f t="shared" si="68"/>
        <v/>
      </c>
      <c r="AF536" t="str">
        <f t="shared" si="69"/>
        <v/>
      </c>
      <c r="AG536" t="str">
        <f t="shared" si="70"/>
        <v>有效</v>
      </c>
      <c r="AH536">
        <f t="shared" si="71"/>
        <v>4404577.69575</v>
      </c>
    </row>
    <row r="537" spans="1:34">
      <c r="A537">
        <v>533</v>
      </c>
      <c r="B537">
        <v>1005</v>
      </c>
      <c r="C537">
        <v>60</v>
      </c>
      <c r="D537">
        <f>IFERROR(ROUND($U537*$X537*$AA537*参数!$B$13,0),"")</f>
        <v>1932786</v>
      </c>
      <c r="E537">
        <f>IFERROR(ROUND($V537*$Y537*$AB537*参数!$C$13,0),"")</f>
        <v>41170</v>
      </c>
      <c r="F537">
        <f>IFERROR(ROUND($W537*$Z537*$AC537*参数!$D$13,0),"")</f>
        <v>30693</v>
      </c>
      <c r="J537">
        <v>107</v>
      </c>
      <c r="K537">
        <v>107</v>
      </c>
      <c r="L537">
        <f>IFERROR(INDEX(楼层配置!$D$5:$D$204,MATCH($K537,楼层配置!$B$5:$B$204,0)),"")</f>
        <v>288</v>
      </c>
      <c r="M537" t="str">
        <f>IFERROR(INDEX(_角色基线!$B$2:$B$100,MATCH($B537,_角色基线!$A$2:$A$100,0)),"")</f>
        <v>陈单单</v>
      </c>
      <c r="N537" t="str">
        <f>IFERROR(INDEX(_角色基线!$C$2:$C$100,MATCH($B537,_角色基线!$A$2:$A$100,0)),"")</f>
        <v>DPS</v>
      </c>
      <c r="O537">
        <f>IFERROR(INDEX(_怪物基线!$B$2:$B$501,MATCH(INT($L537),_怪物基线!$A$2:$A$501,0)),"")</f>
        <v>429195</v>
      </c>
      <c r="P537">
        <f>IFERROR(INDEX(_怪物基线!$C$2:$C$501,MATCH(INT($L537),_怪物基线!$A$2:$A$501,0)),"")</f>
        <v>39174</v>
      </c>
      <c r="Q537">
        <f>IFERROR(INDEX(_怪物基线!$D$2:$D$501,MATCH(INT($L537),_怪物基线!$A$2:$A$501,0)),"")</f>
        <v>30693</v>
      </c>
      <c r="R537">
        <f>参数!$B$10</f>
        <v>4</v>
      </c>
      <c r="S537">
        <f>参数!$C$10</f>
        <v>1.2</v>
      </c>
      <c r="T537">
        <f>参数!$D$10</f>
        <v>1</v>
      </c>
      <c r="U537">
        <f t="shared" si="64"/>
        <v>1716780</v>
      </c>
      <c r="V537">
        <f t="shared" si="65"/>
        <v>47008.8</v>
      </c>
      <c r="W537">
        <f t="shared" si="66"/>
        <v>30693</v>
      </c>
      <c r="X537">
        <f>IFERROR(INDEX(参数!$B$5:$B$7,MATCH($N537,参数!$A$5:$A$7,0)),"")</f>
        <v>1</v>
      </c>
      <c r="Y537">
        <f>IFERROR(INDEX(参数!$C$5:$C$7,MATCH($N537,参数!$A$5:$A$7,0)),"")</f>
        <v>1.2</v>
      </c>
      <c r="Z537">
        <f>IFERROR(INDEX(参数!$D$5:$D$7,MATCH($N537,参数!$A$5:$A$7,0)),"")</f>
        <v>1</v>
      </c>
      <c r="AA537">
        <f>IFERROR(INDEX(楼层配置!$E$5:$E$204,MATCH($K537,楼层配置!$B$5:$B$204,0)),1)</f>
        <v>1.12582067235919</v>
      </c>
      <c r="AB537">
        <f>IFERROR(INDEX(楼层配置!$F$5:$F$204,MATCH($K537,楼层配置!$B$5:$B$204,0)),1)</f>
        <v>0.729834891319568</v>
      </c>
      <c r="AC537">
        <f>IFERROR(INDEX(楼层配置!$G$5:$G$204,MATCH($K537,楼层配置!$B$5:$B$204,0)),1)</f>
        <v>1</v>
      </c>
      <c r="AD537" t="str">
        <f t="shared" si="67"/>
        <v/>
      </c>
      <c r="AE537" t="str">
        <f t="shared" si="68"/>
        <v/>
      </c>
      <c r="AF537" t="str">
        <f t="shared" si="69"/>
        <v/>
      </c>
      <c r="AG537" t="str">
        <f t="shared" si="70"/>
        <v>有效</v>
      </c>
      <c r="AH537">
        <f t="shared" si="71"/>
        <v>4404577.69575</v>
      </c>
    </row>
    <row r="538" spans="1:34">
      <c r="A538">
        <v>534</v>
      </c>
      <c r="B538">
        <v>1005</v>
      </c>
      <c r="C538">
        <v>60</v>
      </c>
      <c r="D538">
        <f>IFERROR(ROUND($U538*$X538*$AA538*参数!$B$13,0),"")</f>
        <v>1932786</v>
      </c>
      <c r="E538">
        <f>IFERROR(ROUND($V538*$Y538*$AB538*参数!$C$13,0),"")</f>
        <v>41170</v>
      </c>
      <c r="F538">
        <f>IFERROR(ROUND($W538*$Z538*$AC538*参数!$D$13,0),"")</f>
        <v>30693</v>
      </c>
      <c r="J538">
        <v>107</v>
      </c>
      <c r="K538">
        <v>107</v>
      </c>
      <c r="L538">
        <f>IFERROR(INDEX(楼层配置!$D$5:$D$204,MATCH($K538,楼层配置!$B$5:$B$204,0)),"")</f>
        <v>288</v>
      </c>
      <c r="M538" t="str">
        <f>IFERROR(INDEX(_角色基线!$B$2:$B$100,MATCH($B538,_角色基线!$A$2:$A$100,0)),"")</f>
        <v>陈单单</v>
      </c>
      <c r="N538" t="str">
        <f>IFERROR(INDEX(_角色基线!$C$2:$C$100,MATCH($B538,_角色基线!$A$2:$A$100,0)),"")</f>
        <v>DPS</v>
      </c>
      <c r="O538">
        <f>IFERROR(INDEX(_怪物基线!$B$2:$B$501,MATCH(INT($L538),_怪物基线!$A$2:$A$501,0)),"")</f>
        <v>429195</v>
      </c>
      <c r="P538">
        <f>IFERROR(INDEX(_怪物基线!$C$2:$C$501,MATCH(INT($L538),_怪物基线!$A$2:$A$501,0)),"")</f>
        <v>39174</v>
      </c>
      <c r="Q538">
        <f>IFERROR(INDEX(_怪物基线!$D$2:$D$501,MATCH(INT($L538),_怪物基线!$A$2:$A$501,0)),"")</f>
        <v>30693</v>
      </c>
      <c r="R538">
        <f>参数!$B$10</f>
        <v>4</v>
      </c>
      <c r="S538">
        <f>参数!$C$10</f>
        <v>1.2</v>
      </c>
      <c r="T538">
        <f>参数!$D$10</f>
        <v>1</v>
      </c>
      <c r="U538">
        <f t="shared" si="64"/>
        <v>1716780</v>
      </c>
      <c r="V538">
        <f t="shared" si="65"/>
        <v>47008.8</v>
      </c>
      <c r="W538">
        <f t="shared" si="66"/>
        <v>30693</v>
      </c>
      <c r="X538">
        <f>IFERROR(INDEX(参数!$B$5:$B$7,MATCH($N538,参数!$A$5:$A$7,0)),"")</f>
        <v>1</v>
      </c>
      <c r="Y538">
        <f>IFERROR(INDEX(参数!$C$5:$C$7,MATCH($N538,参数!$A$5:$A$7,0)),"")</f>
        <v>1.2</v>
      </c>
      <c r="Z538">
        <f>IFERROR(INDEX(参数!$D$5:$D$7,MATCH($N538,参数!$A$5:$A$7,0)),"")</f>
        <v>1</v>
      </c>
      <c r="AA538">
        <f>IFERROR(INDEX(楼层配置!$E$5:$E$204,MATCH($K538,楼层配置!$B$5:$B$204,0)),1)</f>
        <v>1.12582067235919</v>
      </c>
      <c r="AB538">
        <f>IFERROR(INDEX(楼层配置!$F$5:$F$204,MATCH($K538,楼层配置!$B$5:$B$204,0)),1)</f>
        <v>0.729834891319568</v>
      </c>
      <c r="AC538">
        <f>IFERROR(INDEX(楼层配置!$G$5:$G$204,MATCH($K538,楼层配置!$B$5:$B$204,0)),1)</f>
        <v>1</v>
      </c>
      <c r="AD538" t="str">
        <f t="shared" si="67"/>
        <v/>
      </c>
      <c r="AE538" t="str">
        <f t="shared" si="68"/>
        <v/>
      </c>
      <c r="AF538" t="str">
        <f t="shared" si="69"/>
        <v/>
      </c>
      <c r="AG538" t="str">
        <f t="shared" si="70"/>
        <v>有效</v>
      </c>
      <c r="AH538">
        <f t="shared" si="71"/>
        <v>4404577.69575</v>
      </c>
    </row>
    <row r="539" spans="1:34">
      <c r="A539">
        <v>535</v>
      </c>
      <c r="B539">
        <v>1029</v>
      </c>
      <c r="C539">
        <v>60</v>
      </c>
      <c r="D539">
        <f>IFERROR(ROUND($U539*$X539*$AA539*参数!$B$13,0),"")</f>
        <v>2415983</v>
      </c>
      <c r="E539">
        <f>IFERROR(ROUND($V539*$Y539*$AB539*参数!$C$13,0),"")</f>
        <v>34309</v>
      </c>
      <c r="F539">
        <f>IFERROR(ROUND($W539*$Z539*$AC539*参数!$D$13,0),"")</f>
        <v>38366</v>
      </c>
      <c r="J539">
        <v>107</v>
      </c>
      <c r="K539">
        <v>107</v>
      </c>
      <c r="L539">
        <f>IFERROR(INDEX(楼层配置!$D$5:$D$204,MATCH($K539,楼层配置!$B$5:$B$204,0)),"")</f>
        <v>288</v>
      </c>
      <c r="M539" t="str">
        <f>IFERROR(INDEX(_角色基线!$B$2:$B$100,MATCH($B539,_角色基线!$A$2:$A$100,0)),"")</f>
        <v>凯兰</v>
      </c>
      <c r="N539" t="str">
        <f>IFERROR(INDEX(_角色基线!$C$2:$C$100,MATCH($B539,_角色基线!$A$2:$A$100,0)),"")</f>
        <v>Support</v>
      </c>
      <c r="O539">
        <f>IFERROR(INDEX(_怪物基线!$B$2:$B$501,MATCH(INT($L539),_怪物基线!$A$2:$A$501,0)),"")</f>
        <v>429195</v>
      </c>
      <c r="P539">
        <f>IFERROR(INDEX(_怪物基线!$C$2:$C$501,MATCH(INT($L539),_怪物基线!$A$2:$A$501,0)),"")</f>
        <v>39174</v>
      </c>
      <c r="Q539">
        <f>IFERROR(INDEX(_怪物基线!$D$2:$D$501,MATCH(INT($L539),_怪物基线!$A$2:$A$501,0)),"")</f>
        <v>30693</v>
      </c>
      <c r="R539">
        <f>参数!$B$10</f>
        <v>4</v>
      </c>
      <c r="S539">
        <f>参数!$C$10</f>
        <v>1.2</v>
      </c>
      <c r="T539">
        <f>参数!$D$10</f>
        <v>1</v>
      </c>
      <c r="U539">
        <f t="shared" si="64"/>
        <v>1716780</v>
      </c>
      <c r="V539">
        <f t="shared" si="65"/>
        <v>47008.8</v>
      </c>
      <c r="W539">
        <f t="shared" si="66"/>
        <v>30693</v>
      </c>
      <c r="X539">
        <f>IFERROR(INDEX(参数!$B$5:$B$7,MATCH($N539,参数!$A$5:$A$7,0)),"")</f>
        <v>1.25</v>
      </c>
      <c r="Y539">
        <f>IFERROR(INDEX(参数!$C$5:$C$7,MATCH($N539,参数!$A$5:$A$7,0)),"")</f>
        <v>1</v>
      </c>
      <c r="Z539">
        <f>IFERROR(INDEX(参数!$D$5:$D$7,MATCH($N539,参数!$A$5:$A$7,0)),"")</f>
        <v>1.25</v>
      </c>
      <c r="AA539">
        <f>IFERROR(INDEX(楼层配置!$E$5:$E$204,MATCH($K539,楼层配置!$B$5:$B$204,0)),1)</f>
        <v>1.12582067235919</v>
      </c>
      <c r="AB539">
        <f>IFERROR(INDEX(楼层配置!$F$5:$F$204,MATCH($K539,楼层配置!$B$5:$B$204,0)),1)</f>
        <v>0.729834891319568</v>
      </c>
      <c r="AC539">
        <f>IFERROR(INDEX(楼层配置!$G$5:$G$204,MATCH($K539,楼层配置!$B$5:$B$204,0)),1)</f>
        <v>1</v>
      </c>
      <c r="AD539" t="str">
        <f t="shared" si="67"/>
        <v/>
      </c>
      <c r="AE539" t="str">
        <f t="shared" si="68"/>
        <v/>
      </c>
      <c r="AF539" t="str">
        <f t="shared" si="69"/>
        <v/>
      </c>
      <c r="AG539" t="str">
        <f t="shared" si="70"/>
        <v>有效</v>
      </c>
      <c r="AH539">
        <f t="shared" si="71"/>
        <v>6278133.15741667</v>
      </c>
    </row>
    <row r="540" spans="1:34">
      <c r="A540">
        <v>536</v>
      </c>
      <c r="B540">
        <v>1003</v>
      </c>
      <c r="C540">
        <v>60</v>
      </c>
      <c r="D540">
        <f>IFERROR(ROUND($U540*$X540*$AA540*参数!$B$13,0),"")</f>
        <v>2955158</v>
      </c>
      <c r="E540">
        <f>IFERROR(ROUND($V540*$Y540*$AB540*参数!$C$13,0),"")</f>
        <v>34806</v>
      </c>
      <c r="F540">
        <f>IFERROR(ROUND($W540*$Z540*$AC540*参数!$D$13,0),"")</f>
        <v>46458</v>
      </c>
      <c r="J540">
        <v>108</v>
      </c>
      <c r="K540">
        <v>108</v>
      </c>
      <c r="L540">
        <f>IFERROR(INDEX(楼层配置!$D$5:$D$204,MATCH($K540,楼层配置!$B$5:$B$204,0)),"")</f>
        <v>290</v>
      </c>
      <c r="M540" t="str">
        <f>IFERROR(INDEX(_角色基线!$B$2:$B$100,MATCH($B540,_角色基线!$A$2:$A$100,0)),"")</f>
        <v>塔拉夏</v>
      </c>
      <c r="N540" t="str">
        <f>IFERROR(INDEX(_角色基线!$C$2:$C$100,MATCH($B540,_角色基线!$A$2:$A$100,0)),"")</f>
        <v>Tank</v>
      </c>
      <c r="O540">
        <f>IFERROR(INDEX(_怪物基线!$B$2:$B$501,MATCH(INT($L540),_怪物基线!$A$2:$A$501,0)),"")</f>
        <v>437482</v>
      </c>
      <c r="P540">
        <f>IFERROR(INDEX(_怪物基线!$C$2:$C$501,MATCH(INT($L540),_怪物基线!$A$2:$A$501,0)),"")</f>
        <v>39742</v>
      </c>
      <c r="Q540">
        <f>IFERROR(INDEX(_怪物基线!$D$2:$D$501,MATCH(INT($L540),_怪物基线!$A$2:$A$501,0)),"")</f>
        <v>30972</v>
      </c>
      <c r="R540">
        <f>参数!$B$10</f>
        <v>4</v>
      </c>
      <c r="S540">
        <f>参数!$C$10</f>
        <v>1.2</v>
      </c>
      <c r="T540">
        <f>参数!$D$10</f>
        <v>1</v>
      </c>
      <c r="U540">
        <f t="shared" si="64"/>
        <v>1749928</v>
      </c>
      <c r="V540">
        <f t="shared" si="65"/>
        <v>47690.4</v>
      </c>
      <c r="W540">
        <f t="shared" si="66"/>
        <v>30972</v>
      </c>
      <c r="X540">
        <f>IFERROR(INDEX(参数!$B$5:$B$7,MATCH($N540,参数!$A$5:$A$7,0)),"")</f>
        <v>1.5</v>
      </c>
      <c r="Y540">
        <f>IFERROR(INDEX(参数!$C$5:$C$7,MATCH($N540,参数!$A$5:$A$7,0)),"")</f>
        <v>1</v>
      </c>
      <c r="Z540">
        <f>IFERROR(INDEX(参数!$D$5:$D$7,MATCH($N540,参数!$A$5:$A$7,0)),"")</f>
        <v>1.5</v>
      </c>
      <c r="AA540">
        <f>IFERROR(INDEX(楼层配置!$E$5:$E$204,MATCH($K540,楼层配置!$B$5:$B$204,0)),1)</f>
        <v>1.12582067235919</v>
      </c>
      <c r="AB540">
        <f>IFERROR(INDEX(楼层配置!$F$5:$F$204,MATCH($K540,楼层配置!$B$5:$B$204,0)),1)</f>
        <v>0.729834891319568</v>
      </c>
      <c r="AC540">
        <f>IFERROR(INDEX(楼层配置!$G$5:$G$204,MATCH($K540,楼层配置!$B$5:$B$204,0)),1)</f>
        <v>1</v>
      </c>
      <c r="AD540" t="str">
        <f t="shared" si="67"/>
        <v/>
      </c>
      <c r="AE540" t="str">
        <f t="shared" si="68"/>
        <v/>
      </c>
      <c r="AF540" t="str">
        <f t="shared" si="69"/>
        <v/>
      </c>
      <c r="AG540" t="str">
        <f t="shared" si="70"/>
        <v>有效</v>
      </c>
      <c r="AH540">
        <f t="shared" si="71"/>
        <v>8675605.0985</v>
      </c>
    </row>
    <row r="541" spans="1:34">
      <c r="A541">
        <v>537</v>
      </c>
      <c r="B541">
        <v>1005</v>
      </c>
      <c r="C541">
        <v>60</v>
      </c>
      <c r="D541">
        <f>IFERROR(ROUND($U541*$X541*$AA541*参数!$B$13,0),"")</f>
        <v>1970105</v>
      </c>
      <c r="E541">
        <f>IFERROR(ROUND($V541*$Y541*$AB541*参数!$C$13,0),"")</f>
        <v>41767</v>
      </c>
      <c r="F541">
        <f>IFERROR(ROUND($W541*$Z541*$AC541*参数!$D$13,0),"")</f>
        <v>30972</v>
      </c>
      <c r="J541">
        <v>108</v>
      </c>
      <c r="K541">
        <v>108</v>
      </c>
      <c r="L541">
        <f>IFERROR(INDEX(楼层配置!$D$5:$D$204,MATCH($K541,楼层配置!$B$5:$B$204,0)),"")</f>
        <v>290</v>
      </c>
      <c r="M541" t="str">
        <f>IFERROR(INDEX(_角色基线!$B$2:$B$100,MATCH($B541,_角色基线!$A$2:$A$100,0)),"")</f>
        <v>陈单单</v>
      </c>
      <c r="N541" t="str">
        <f>IFERROR(INDEX(_角色基线!$C$2:$C$100,MATCH($B541,_角色基线!$A$2:$A$100,0)),"")</f>
        <v>DPS</v>
      </c>
      <c r="O541">
        <f>IFERROR(INDEX(_怪物基线!$B$2:$B$501,MATCH(INT($L541),_怪物基线!$A$2:$A$501,0)),"")</f>
        <v>437482</v>
      </c>
      <c r="P541">
        <f>IFERROR(INDEX(_怪物基线!$C$2:$C$501,MATCH(INT($L541),_怪物基线!$A$2:$A$501,0)),"")</f>
        <v>39742</v>
      </c>
      <c r="Q541">
        <f>IFERROR(INDEX(_怪物基线!$D$2:$D$501,MATCH(INT($L541),_怪物基线!$A$2:$A$501,0)),"")</f>
        <v>30972</v>
      </c>
      <c r="R541">
        <f>参数!$B$10</f>
        <v>4</v>
      </c>
      <c r="S541">
        <f>参数!$C$10</f>
        <v>1.2</v>
      </c>
      <c r="T541">
        <f>参数!$D$10</f>
        <v>1</v>
      </c>
      <c r="U541">
        <f t="shared" si="64"/>
        <v>1749928</v>
      </c>
      <c r="V541">
        <f t="shared" si="65"/>
        <v>47690.4</v>
      </c>
      <c r="W541">
        <f t="shared" si="66"/>
        <v>30972</v>
      </c>
      <c r="X541">
        <f>IFERROR(INDEX(参数!$B$5:$B$7,MATCH($N541,参数!$A$5:$A$7,0)),"")</f>
        <v>1</v>
      </c>
      <c r="Y541">
        <f>IFERROR(INDEX(参数!$C$5:$C$7,MATCH($N541,参数!$A$5:$A$7,0)),"")</f>
        <v>1.2</v>
      </c>
      <c r="Z541">
        <f>IFERROR(INDEX(参数!$D$5:$D$7,MATCH($N541,参数!$A$5:$A$7,0)),"")</f>
        <v>1</v>
      </c>
      <c r="AA541">
        <f>IFERROR(INDEX(楼层配置!$E$5:$E$204,MATCH($K541,楼层配置!$B$5:$B$204,0)),1)</f>
        <v>1.12582067235919</v>
      </c>
      <c r="AB541">
        <f>IFERROR(INDEX(楼层配置!$F$5:$F$204,MATCH($K541,楼层配置!$B$5:$B$204,0)),1)</f>
        <v>0.729834891319568</v>
      </c>
      <c r="AC541">
        <f>IFERROR(INDEX(楼层配置!$G$5:$G$204,MATCH($K541,楼层配置!$B$5:$B$204,0)),1)</f>
        <v>1</v>
      </c>
      <c r="AD541" t="str">
        <f t="shared" si="67"/>
        <v/>
      </c>
      <c r="AE541" t="str">
        <f t="shared" si="68"/>
        <v/>
      </c>
      <c r="AF541" t="str">
        <f t="shared" si="69"/>
        <v/>
      </c>
      <c r="AG541" t="str">
        <f t="shared" si="70"/>
        <v>有效</v>
      </c>
      <c r="AH541">
        <f t="shared" si="71"/>
        <v>4512525.5025</v>
      </c>
    </row>
    <row r="542" spans="1:34">
      <c r="A542">
        <v>538</v>
      </c>
      <c r="B542">
        <v>1005</v>
      </c>
      <c r="C542">
        <v>60</v>
      </c>
      <c r="D542">
        <f>IFERROR(ROUND($U542*$X542*$AA542*参数!$B$13,0),"")</f>
        <v>1970105</v>
      </c>
      <c r="E542">
        <f>IFERROR(ROUND($V542*$Y542*$AB542*参数!$C$13,0),"")</f>
        <v>41767</v>
      </c>
      <c r="F542">
        <f>IFERROR(ROUND($W542*$Z542*$AC542*参数!$D$13,0),"")</f>
        <v>30972</v>
      </c>
      <c r="J542">
        <v>108</v>
      </c>
      <c r="K542">
        <v>108</v>
      </c>
      <c r="L542">
        <f>IFERROR(INDEX(楼层配置!$D$5:$D$204,MATCH($K542,楼层配置!$B$5:$B$204,0)),"")</f>
        <v>290</v>
      </c>
      <c r="M542" t="str">
        <f>IFERROR(INDEX(_角色基线!$B$2:$B$100,MATCH($B542,_角色基线!$A$2:$A$100,0)),"")</f>
        <v>陈单单</v>
      </c>
      <c r="N542" t="str">
        <f>IFERROR(INDEX(_角色基线!$C$2:$C$100,MATCH($B542,_角色基线!$A$2:$A$100,0)),"")</f>
        <v>DPS</v>
      </c>
      <c r="O542">
        <f>IFERROR(INDEX(_怪物基线!$B$2:$B$501,MATCH(INT($L542),_怪物基线!$A$2:$A$501,0)),"")</f>
        <v>437482</v>
      </c>
      <c r="P542">
        <f>IFERROR(INDEX(_怪物基线!$C$2:$C$501,MATCH(INT($L542),_怪物基线!$A$2:$A$501,0)),"")</f>
        <v>39742</v>
      </c>
      <c r="Q542">
        <f>IFERROR(INDEX(_怪物基线!$D$2:$D$501,MATCH(INT($L542),_怪物基线!$A$2:$A$501,0)),"")</f>
        <v>30972</v>
      </c>
      <c r="R542">
        <f>参数!$B$10</f>
        <v>4</v>
      </c>
      <c r="S542">
        <f>参数!$C$10</f>
        <v>1.2</v>
      </c>
      <c r="T542">
        <f>参数!$D$10</f>
        <v>1</v>
      </c>
      <c r="U542">
        <f t="shared" si="64"/>
        <v>1749928</v>
      </c>
      <c r="V542">
        <f t="shared" si="65"/>
        <v>47690.4</v>
      </c>
      <c r="W542">
        <f t="shared" si="66"/>
        <v>30972</v>
      </c>
      <c r="X542">
        <f>IFERROR(INDEX(参数!$B$5:$B$7,MATCH($N542,参数!$A$5:$A$7,0)),"")</f>
        <v>1</v>
      </c>
      <c r="Y542">
        <f>IFERROR(INDEX(参数!$C$5:$C$7,MATCH($N542,参数!$A$5:$A$7,0)),"")</f>
        <v>1.2</v>
      </c>
      <c r="Z542">
        <f>IFERROR(INDEX(参数!$D$5:$D$7,MATCH($N542,参数!$A$5:$A$7,0)),"")</f>
        <v>1</v>
      </c>
      <c r="AA542">
        <f>IFERROR(INDEX(楼层配置!$E$5:$E$204,MATCH($K542,楼层配置!$B$5:$B$204,0)),1)</f>
        <v>1.12582067235919</v>
      </c>
      <c r="AB542">
        <f>IFERROR(INDEX(楼层配置!$F$5:$F$204,MATCH($K542,楼层配置!$B$5:$B$204,0)),1)</f>
        <v>0.729834891319568</v>
      </c>
      <c r="AC542">
        <f>IFERROR(INDEX(楼层配置!$G$5:$G$204,MATCH($K542,楼层配置!$B$5:$B$204,0)),1)</f>
        <v>1</v>
      </c>
      <c r="AD542" t="str">
        <f t="shared" si="67"/>
        <v/>
      </c>
      <c r="AE542" t="str">
        <f t="shared" si="68"/>
        <v/>
      </c>
      <c r="AF542" t="str">
        <f t="shared" si="69"/>
        <v/>
      </c>
      <c r="AG542" t="str">
        <f t="shared" si="70"/>
        <v>有效</v>
      </c>
      <c r="AH542">
        <f t="shared" si="71"/>
        <v>4512525.5025</v>
      </c>
    </row>
    <row r="543" spans="1:34">
      <c r="A543">
        <v>539</v>
      </c>
      <c r="B543">
        <v>1005</v>
      </c>
      <c r="C543">
        <v>60</v>
      </c>
      <c r="D543">
        <f>IFERROR(ROUND($U543*$X543*$AA543*参数!$B$13,0),"")</f>
        <v>1970105</v>
      </c>
      <c r="E543">
        <f>IFERROR(ROUND($V543*$Y543*$AB543*参数!$C$13,0),"")</f>
        <v>41767</v>
      </c>
      <c r="F543">
        <f>IFERROR(ROUND($W543*$Z543*$AC543*参数!$D$13,0),"")</f>
        <v>30972</v>
      </c>
      <c r="J543">
        <v>108</v>
      </c>
      <c r="K543">
        <v>108</v>
      </c>
      <c r="L543">
        <f>IFERROR(INDEX(楼层配置!$D$5:$D$204,MATCH($K543,楼层配置!$B$5:$B$204,0)),"")</f>
        <v>290</v>
      </c>
      <c r="M543" t="str">
        <f>IFERROR(INDEX(_角色基线!$B$2:$B$100,MATCH($B543,_角色基线!$A$2:$A$100,0)),"")</f>
        <v>陈单单</v>
      </c>
      <c r="N543" t="str">
        <f>IFERROR(INDEX(_角色基线!$C$2:$C$100,MATCH($B543,_角色基线!$A$2:$A$100,0)),"")</f>
        <v>DPS</v>
      </c>
      <c r="O543">
        <f>IFERROR(INDEX(_怪物基线!$B$2:$B$501,MATCH(INT($L543),_怪物基线!$A$2:$A$501,0)),"")</f>
        <v>437482</v>
      </c>
      <c r="P543">
        <f>IFERROR(INDEX(_怪物基线!$C$2:$C$501,MATCH(INT($L543),_怪物基线!$A$2:$A$501,0)),"")</f>
        <v>39742</v>
      </c>
      <c r="Q543">
        <f>IFERROR(INDEX(_怪物基线!$D$2:$D$501,MATCH(INT($L543),_怪物基线!$A$2:$A$501,0)),"")</f>
        <v>30972</v>
      </c>
      <c r="R543">
        <f>参数!$B$10</f>
        <v>4</v>
      </c>
      <c r="S543">
        <f>参数!$C$10</f>
        <v>1.2</v>
      </c>
      <c r="T543">
        <f>参数!$D$10</f>
        <v>1</v>
      </c>
      <c r="U543">
        <f t="shared" si="64"/>
        <v>1749928</v>
      </c>
      <c r="V543">
        <f t="shared" si="65"/>
        <v>47690.4</v>
      </c>
      <c r="W543">
        <f t="shared" si="66"/>
        <v>30972</v>
      </c>
      <c r="X543">
        <f>IFERROR(INDEX(参数!$B$5:$B$7,MATCH($N543,参数!$A$5:$A$7,0)),"")</f>
        <v>1</v>
      </c>
      <c r="Y543">
        <f>IFERROR(INDEX(参数!$C$5:$C$7,MATCH($N543,参数!$A$5:$A$7,0)),"")</f>
        <v>1.2</v>
      </c>
      <c r="Z543">
        <f>IFERROR(INDEX(参数!$D$5:$D$7,MATCH($N543,参数!$A$5:$A$7,0)),"")</f>
        <v>1</v>
      </c>
      <c r="AA543">
        <f>IFERROR(INDEX(楼层配置!$E$5:$E$204,MATCH($K543,楼层配置!$B$5:$B$204,0)),1)</f>
        <v>1.12582067235919</v>
      </c>
      <c r="AB543">
        <f>IFERROR(INDEX(楼层配置!$F$5:$F$204,MATCH($K543,楼层配置!$B$5:$B$204,0)),1)</f>
        <v>0.729834891319568</v>
      </c>
      <c r="AC543">
        <f>IFERROR(INDEX(楼层配置!$G$5:$G$204,MATCH($K543,楼层配置!$B$5:$B$204,0)),1)</f>
        <v>1</v>
      </c>
      <c r="AD543" t="str">
        <f t="shared" si="67"/>
        <v/>
      </c>
      <c r="AE543" t="str">
        <f t="shared" si="68"/>
        <v/>
      </c>
      <c r="AF543" t="str">
        <f t="shared" si="69"/>
        <v/>
      </c>
      <c r="AG543" t="str">
        <f t="shared" si="70"/>
        <v>有效</v>
      </c>
      <c r="AH543">
        <f t="shared" si="71"/>
        <v>4512525.5025</v>
      </c>
    </row>
    <row r="544" spans="1:34">
      <c r="A544">
        <v>540</v>
      </c>
      <c r="B544">
        <v>1029</v>
      </c>
      <c r="C544">
        <v>60</v>
      </c>
      <c r="D544">
        <f>IFERROR(ROUND($U544*$X544*$AA544*参数!$B$13,0),"")</f>
        <v>2462631</v>
      </c>
      <c r="E544">
        <f>IFERROR(ROUND($V544*$Y544*$AB544*参数!$C$13,0),"")</f>
        <v>34806</v>
      </c>
      <c r="F544">
        <f>IFERROR(ROUND($W544*$Z544*$AC544*参数!$D$13,0),"")</f>
        <v>38715</v>
      </c>
      <c r="J544">
        <v>108</v>
      </c>
      <c r="K544">
        <v>108</v>
      </c>
      <c r="L544">
        <f>IFERROR(INDEX(楼层配置!$D$5:$D$204,MATCH($K544,楼层配置!$B$5:$B$204,0)),"")</f>
        <v>290</v>
      </c>
      <c r="M544" t="str">
        <f>IFERROR(INDEX(_角色基线!$B$2:$B$100,MATCH($B544,_角色基线!$A$2:$A$100,0)),"")</f>
        <v>凯兰</v>
      </c>
      <c r="N544" t="str">
        <f>IFERROR(INDEX(_角色基线!$C$2:$C$100,MATCH($B544,_角色基线!$A$2:$A$100,0)),"")</f>
        <v>Support</v>
      </c>
      <c r="O544">
        <f>IFERROR(INDEX(_怪物基线!$B$2:$B$501,MATCH(INT($L544),_怪物基线!$A$2:$A$501,0)),"")</f>
        <v>437482</v>
      </c>
      <c r="P544">
        <f>IFERROR(INDEX(_怪物基线!$C$2:$C$501,MATCH(INT($L544),_怪物基线!$A$2:$A$501,0)),"")</f>
        <v>39742</v>
      </c>
      <c r="Q544">
        <f>IFERROR(INDEX(_怪物基线!$D$2:$D$501,MATCH(INT($L544),_怪物基线!$A$2:$A$501,0)),"")</f>
        <v>30972</v>
      </c>
      <c r="R544">
        <f>参数!$B$10</f>
        <v>4</v>
      </c>
      <c r="S544">
        <f>参数!$C$10</f>
        <v>1.2</v>
      </c>
      <c r="T544">
        <f>参数!$D$10</f>
        <v>1</v>
      </c>
      <c r="U544">
        <f t="shared" si="64"/>
        <v>1749928</v>
      </c>
      <c r="V544">
        <f t="shared" si="65"/>
        <v>47690.4</v>
      </c>
      <c r="W544">
        <f t="shared" si="66"/>
        <v>30972</v>
      </c>
      <c r="X544">
        <f>IFERROR(INDEX(参数!$B$5:$B$7,MATCH($N544,参数!$A$5:$A$7,0)),"")</f>
        <v>1.25</v>
      </c>
      <c r="Y544">
        <f>IFERROR(INDEX(参数!$C$5:$C$7,MATCH($N544,参数!$A$5:$A$7,0)),"")</f>
        <v>1</v>
      </c>
      <c r="Z544">
        <f>IFERROR(INDEX(参数!$D$5:$D$7,MATCH($N544,参数!$A$5:$A$7,0)),"")</f>
        <v>1.25</v>
      </c>
      <c r="AA544">
        <f>IFERROR(INDEX(楼层配置!$E$5:$E$204,MATCH($K544,楼层配置!$B$5:$B$204,0)),1)</f>
        <v>1.12582067235919</v>
      </c>
      <c r="AB544">
        <f>IFERROR(INDEX(楼层配置!$F$5:$F$204,MATCH($K544,楼层配置!$B$5:$B$204,0)),1)</f>
        <v>0.729834891319568</v>
      </c>
      <c r="AC544">
        <f>IFERROR(INDEX(楼层配置!$G$5:$G$204,MATCH($K544,楼层配置!$B$5:$B$204,0)),1)</f>
        <v>1</v>
      </c>
      <c r="AD544" t="str">
        <f t="shared" si="67"/>
        <v/>
      </c>
      <c r="AE544" t="str">
        <f t="shared" si="68"/>
        <v/>
      </c>
      <c r="AF544" t="str">
        <f t="shared" si="69"/>
        <v/>
      </c>
      <c r="AG544" t="str">
        <f t="shared" si="70"/>
        <v>有效</v>
      </c>
      <c r="AH544">
        <f t="shared" si="71"/>
        <v>6435162.631875</v>
      </c>
    </row>
    <row r="545" spans="1:34">
      <c r="A545">
        <v>541</v>
      </c>
      <c r="B545">
        <v>1003</v>
      </c>
      <c r="C545">
        <v>60</v>
      </c>
      <c r="D545">
        <f>IFERROR(ROUND($U545*$X545*$AA545*参数!$B$13,0),"")</f>
        <v>2983454</v>
      </c>
      <c r="E545">
        <f>IFERROR(ROUND($V545*$Y545*$AB545*参数!$C$13,0),"")</f>
        <v>35057</v>
      </c>
      <c r="F545">
        <f>IFERROR(ROUND($W545*$Z545*$AC545*参数!$D$13,0),"")</f>
        <v>46668</v>
      </c>
      <c r="J545">
        <v>109</v>
      </c>
      <c r="K545">
        <v>109</v>
      </c>
      <c r="L545">
        <f>IFERROR(INDEX(楼层配置!$D$5:$D$204,MATCH($K545,楼层配置!$B$5:$B$204,0)),"")</f>
        <v>291</v>
      </c>
      <c r="M545" t="str">
        <f>IFERROR(INDEX(_角色基线!$B$2:$B$100,MATCH($B545,_角色基线!$A$2:$A$100,0)),"")</f>
        <v>塔拉夏</v>
      </c>
      <c r="N545" t="str">
        <f>IFERROR(INDEX(_角色基线!$C$2:$C$100,MATCH($B545,_角色基线!$A$2:$A$100,0)),"")</f>
        <v>Tank</v>
      </c>
      <c r="O545">
        <f>IFERROR(INDEX(_怪物基线!$B$2:$B$501,MATCH(INT($L545),_怪物基线!$A$2:$A$501,0)),"")</f>
        <v>441671</v>
      </c>
      <c r="P545">
        <f>IFERROR(INDEX(_怪物基线!$C$2:$C$501,MATCH(INT($L545),_怪物基线!$A$2:$A$501,0)),"")</f>
        <v>40029</v>
      </c>
      <c r="Q545">
        <f>IFERROR(INDEX(_怪物基线!$D$2:$D$501,MATCH(INT($L545),_怪物基线!$A$2:$A$501,0)),"")</f>
        <v>31112</v>
      </c>
      <c r="R545">
        <f>参数!$B$10</f>
        <v>4</v>
      </c>
      <c r="S545">
        <f>参数!$C$10</f>
        <v>1.2</v>
      </c>
      <c r="T545">
        <f>参数!$D$10</f>
        <v>1</v>
      </c>
      <c r="U545">
        <f t="shared" si="64"/>
        <v>1766684</v>
      </c>
      <c r="V545">
        <f t="shared" si="65"/>
        <v>48034.8</v>
      </c>
      <c r="W545">
        <f t="shared" si="66"/>
        <v>31112</v>
      </c>
      <c r="X545">
        <f>IFERROR(INDEX(参数!$B$5:$B$7,MATCH($N545,参数!$A$5:$A$7,0)),"")</f>
        <v>1.5</v>
      </c>
      <c r="Y545">
        <f>IFERROR(INDEX(参数!$C$5:$C$7,MATCH($N545,参数!$A$5:$A$7,0)),"")</f>
        <v>1</v>
      </c>
      <c r="Z545">
        <f>IFERROR(INDEX(参数!$D$5:$D$7,MATCH($N545,参数!$A$5:$A$7,0)),"")</f>
        <v>1.5</v>
      </c>
      <c r="AA545">
        <f>IFERROR(INDEX(楼层配置!$E$5:$E$204,MATCH($K545,楼层配置!$B$5:$B$204,0)),1)</f>
        <v>1.12582067235919</v>
      </c>
      <c r="AB545">
        <f>IFERROR(INDEX(楼层配置!$F$5:$F$204,MATCH($K545,楼层配置!$B$5:$B$204,0)),1)</f>
        <v>0.729834891319568</v>
      </c>
      <c r="AC545">
        <f>IFERROR(INDEX(楼层配置!$G$5:$G$204,MATCH($K545,楼层配置!$B$5:$B$204,0)),1)</f>
        <v>1</v>
      </c>
      <c r="AD545" t="str">
        <f t="shared" si="67"/>
        <v/>
      </c>
      <c r="AE545" t="str">
        <f t="shared" si="68"/>
        <v/>
      </c>
      <c r="AF545" t="str">
        <f t="shared" si="69"/>
        <v/>
      </c>
      <c r="AG545" t="str">
        <f t="shared" si="70"/>
        <v>有效</v>
      </c>
      <c r="AH545">
        <f t="shared" si="71"/>
        <v>8784780.303</v>
      </c>
    </row>
    <row r="546" spans="1:34">
      <c r="A546">
        <v>542</v>
      </c>
      <c r="B546">
        <v>1005</v>
      </c>
      <c r="C546">
        <v>60</v>
      </c>
      <c r="D546">
        <f>IFERROR(ROUND($U546*$X546*$AA546*参数!$B$13,0),"")</f>
        <v>1988969</v>
      </c>
      <c r="E546">
        <f>IFERROR(ROUND($V546*$Y546*$AB546*参数!$C$13,0),"")</f>
        <v>42069</v>
      </c>
      <c r="F546">
        <f>IFERROR(ROUND($W546*$Z546*$AC546*参数!$D$13,0),"")</f>
        <v>31112</v>
      </c>
      <c r="J546">
        <v>109</v>
      </c>
      <c r="K546">
        <v>109</v>
      </c>
      <c r="L546">
        <f>IFERROR(INDEX(楼层配置!$D$5:$D$204,MATCH($K546,楼层配置!$B$5:$B$204,0)),"")</f>
        <v>291</v>
      </c>
      <c r="M546" t="str">
        <f>IFERROR(INDEX(_角色基线!$B$2:$B$100,MATCH($B546,_角色基线!$A$2:$A$100,0)),"")</f>
        <v>陈单单</v>
      </c>
      <c r="N546" t="str">
        <f>IFERROR(INDEX(_角色基线!$C$2:$C$100,MATCH($B546,_角色基线!$A$2:$A$100,0)),"")</f>
        <v>DPS</v>
      </c>
      <c r="O546">
        <f>IFERROR(INDEX(_怪物基线!$B$2:$B$501,MATCH(INT($L546),_怪物基线!$A$2:$A$501,0)),"")</f>
        <v>441671</v>
      </c>
      <c r="P546">
        <f>IFERROR(INDEX(_怪物基线!$C$2:$C$501,MATCH(INT($L546),_怪物基线!$A$2:$A$501,0)),"")</f>
        <v>40029</v>
      </c>
      <c r="Q546">
        <f>IFERROR(INDEX(_怪物基线!$D$2:$D$501,MATCH(INT($L546),_怪物基线!$A$2:$A$501,0)),"")</f>
        <v>31112</v>
      </c>
      <c r="R546">
        <f>参数!$B$10</f>
        <v>4</v>
      </c>
      <c r="S546">
        <f>参数!$C$10</f>
        <v>1.2</v>
      </c>
      <c r="T546">
        <f>参数!$D$10</f>
        <v>1</v>
      </c>
      <c r="U546">
        <f t="shared" si="64"/>
        <v>1766684</v>
      </c>
      <c r="V546">
        <f t="shared" si="65"/>
        <v>48034.8</v>
      </c>
      <c r="W546">
        <f t="shared" si="66"/>
        <v>31112</v>
      </c>
      <c r="X546">
        <f>IFERROR(INDEX(参数!$B$5:$B$7,MATCH($N546,参数!$A$5:$A$7,0)),"")</f>
        <v>1</v>
      </c>
      <c r="Y546">
        <f>IFERROR(INDEX(参数!$C$5:$C$7,MATCH($N546,参数!$A$5:$A$7,0)),"")</f>
        <v>1.2</v>
      </c>
      <c r="Z546">
        <f>IFERROR(INDEX(参数!$D$5:$D$7,MATCH($N546,参数!$A$5:$A$7,0)),"")</f>
        <v>1</v>
      </c>
      <c r="AA546">
        <f>IFERROR(INDEX(楼层配置!$E$5:$E$204,MATCH($K546,楼层配置!$B$5:$B$204,0)),1)</f>
        <v>1.12582067235919</v>
      </c>
      <c r="AB546">
        <f>IFERROR(INDEX(楼层配置!$F$5:$F$204,MATCH($K546,楼层配置!$B$5:$B$204,0)),1)</f>
        <v>0.729834891319568</v>
      </c>
      <c r="AC546">
        <f>IFERROR(INDEX(楼层配置!$G$5:$G$204,MATCH($K546,楼层配置!$B$5:$B$204,0)),1)</f>
        <v>1</v>
      </c>
      <c r="AD546" t="str">
        <f t="shared" si="67"/>
        <v/>
      </c>
      <c r="AE546" t="str">
        <f t="shared" si="68"/>
        <v/>
      </c>
      <c r="AF546" t="str">
        <f t="shared" si="69"/>
        <v/>
      </c>
      <c r="AG546" t="str">
        <f t="shared" si="70"/>
        <v>有效</v>
      </c>
      <c r="AH546">
        <f t="shared" si="71"/>
        <v>4567335.81366667</v>
      </c>
    </row>
    <row r="547" spans="1:34">
      <c r="A547">
        <v>543</v>
      </c>
      <c r="B547">
        <v>1005</v>
      </c>
      <c r="C547">
        <v>60</v>
      </c>
      <c r="D547">
        <f>IFERROR(ROUND($U547*$X547*$AA547*参数!$B$13,0),"")</f>
        <v>1988969</v>
      </c>
      <c r="E547">
        <f>IFERROR(ROUND($V547*$Y547*$AB547*参数!$C$13,0),"")</f>
        <v>42069</v>
      </c>
      <c r="F547">
        <f>IFERROR(ROUND($W547*$Z547*$AC547*参数!$D$13,0),"")</f>
        <v>31112</v>
      </c>
      <c r="J547">
        <v>109</v>
      </c>
      <c r="K547">
        <v>109</v>
      </c>
      <c r="L547">
        <f>IFERROR(INDEX(楼层配置!$D$5:$D$204,MATCH($K547,楼层配置!$B$5:$B$204,0)),"")</f>
        <v>291</v>
      </c>
      <c r="M547" t="str">
        <f>IFERROR(INDEX(_角色基线!$B$2:$B$100,MATCH($B547,_角色基线!$A$2:$A$100,0)),"")</f>
        <v>陈单单</v>
      </c>
      <c r="N547" t="str">
        <f>IFERROR(INDEX(_角色基线!$C$2:$C$100,MATCH($B547,_角色基线!$A$2:$A$100,0)),"")</f>
        <v>DPS</v>
      </c>
      <c r="O547">
        <f>IFERROR(INDEX(_怪物基线!$B$2:$B$501,MATCH(INT($L547),_怪物基线!$A$2:$A$501,0)),"")</f>
        <v>441671</v>
      </c>
      <c r="P547">
        <f>IFERROR(INDEX(_怪物基线!$C$2:$C$501,MATCH(INT($L547),_怪物基线!$A$2:$A$501,0)),"")</f>
        <v>40029</v>
      </c>
      <c r="Q547">
        <f>IFERROR(INDEX(_怪物基线!$D$2:$D$501,MATCH(INT($L547),_怪物基线!$A$2:$A$501,0)),"")</f>
        <v>31112</v>
      </c>
      <c r="R547">
        <f>参数!$B$10</f>
        <v>4</v>
      </c>
      <c r="S547">
        <f>参数!$C$10</f>
        <v>1.2</v>
      </c>
      <c r="T547">
        <f>参数!$D$10</f>
        <v>1</v>
      </c>
      <c r="U547">
        <f t="shared" si="64"/>
        <v>1766684</v>
      </c>
      <c r="V547">
        <f t="shared" si="65"/>
        <v>48034.8</v>
      </c>
      <c r="W547">
        <f t="shared" si="66"/>
        <v>31112</v>
      </c>
      <c r="X547">
        <f>IFERROR(INDEX(参数!$B$5:$B$7,MATCH($N547,参数!$A$5:$A$7,0)),"")</f>
        <v>1</v>
      </c>
      <c r="Y547">
        <f>IFERROR(INDEX(参数!$C$5:$C$7,MATCH($N547,参数!$A$5:$A$7,0)),"")</f>
        <v>1.2</v>
      </c>
      <c r="Z547">
        <f>IFERROR(INDEX(参数!$D$5:$D$7,MATCH($N547,参数!$A$5:$A$7,0)),"")</f>
        <v>1</v>
      </c>
      <c r="AA547">
        <f>IFERROR(INDEX(楼层配置!$E$5:$E$204,MATCH($K547,楼层配置!$B$5:$B$204,0)),1)</f>
        <v>1.12582067235919</v>
      </c>
      <c r="AB547">
        <f>IFERROR(INDEX(楼层配置!$F$5:$F$204,MATCH($K547,楼层配置!$B$5:$B$204,0)),1)</f>
        <v>0.729834891319568</v>
      </c>
      <c r="AC547">
        <f>IFERROR(INDEX(楼层配置!$G$5:$G$204,MATCH($K547,楼层配置!$B$5:$B$204,0)),1)</f>
        <v>1</v>
      </c>
      <c r="AD547" t="str">
        <f t="shared" si="67"/>
        <v/>
      </c>
      <c r="AE547" t="str">
        <f t="shared" si="68"/>
        <v/>
      </c>
      <c r="AF547" t="str">
        <f t="shared" si="69"/>
        <v/>
      </c>
      <c r="AG547" t="str">
        <f t="shared" si="70"/>
        <v>有效</v>
      </c>
      <c r="AH547">
        <f t="shared" si="71"/>
        <v>4567335.81366667</v>
      </c>
    </row>
    <row r="548" spans="1:34">
      <c r="A548">
        <v>544</v>
      </c>
      <c r="B548">
        <v>1005</v>
      </c>
      <c r="C548">
        <v>60</v>
      </c>
      <c r="D548">
        <f>IFERROR(ROUND($U548*$X548*$AA548*参数!$B$13,0),"")</f>
        <v>1988969</v>
      </c>
      <c r="E548">
        <f>IFERROR(ROUND($V548*$Y548*$AB548*参数!$C$13,0),"")</f>
        <v>42069</v>
      </c>
      <c r="F548">
        <f>IFERROR(ROUND($W548*$Z548*$AC548*参数!$D$13,0),"")</f>
        <v>31112</v>
      </c>
      <c r="J548">
        <v>109</v>
      </c>
      <c r="K548">
        <v>109</v>
      </c>
      <c r="L548">
        <f>IFERROR(INDEX(楼层配置!$D$5:$D$204,MATCH($K548,楼层配置!$B$5:$B$204,0)),"")</f>
        <v>291</v>
      </c>
      <c r="M548" t="str">
        <f>IFERROR(INDEX(_角色基线!$B$2:$B$100,MATCH($B548,_角色基线!$A$2:$A$100,0)),"")</f>
        <v>陈单单</v>
      </c>
      <c r="N548" t="str">
        <f>IFERROR(INDEX(_角色基线!$C$2:$C$100,MATCH($B548,_角色基线!$A$2:$A$100,0)),"")</f>
        <v>DPS</v>
      </c>
      <c r="O548">
        <f>IFERROR(INDEX(_怪物基线!$B$2:$B$501,MATCH(INT($L548),_怪物基线!$A$2:$A$501,0)),"")</f>
        <v>441671</v>
      </c>
      <c r="P548">
        <f>IFERROR(INDEX(_怪物基线!$C$2:$C$501,MATCH(INT($L548),_怪物基线!$A$2:$A$501,0)),"")</f>
        <v>40029</v>
      </c>
      <c r="Q548">
        <f>IFERROR(INDEX(_怪物基线!$D$2:$D$501,MATCH(INT($L548),_怪物基线!$A$2:$A$501,0)),"")</f>
        <v>31112</v>
      </c>
      <c r="R548">
        <f>参数!$B$10</f>
        <v>4</v>
      </c>
      <c r="S548">
        <f>参数!$C$10</f>
        <v>1.2</v>
      </c>
      <c r="T548">
        <f>参数!$D$10</f>
        <v>1</v>
      </c>
      <c r="U548">
        <f t="shared" si="64"/>
        <v>1766684</v>
      </c>
      <c r="V548">
        <f t="shared" si="65"/>
        <v>48034.8</v>
      </c>
      <c r="W548">
        <f t="shared" si="66"/>
        <v>31112</v>
      </c>
      <c r="X548">
        <f>IFERROR(INDEX(参数!$B$5:$B$7,MATCH($N548,参数!$A$5:$A$7,0)),"")</f>
        <v>1</v>
      </c>
      <c r="Y548">
        <f>IFERROR(INDEX(参数!$C$5:$C$7,MATCH($N548,参数!$A$5:$A$7,0)),"")</f>
        <v>1.2</v>
      </c>
      <c r="Z548">
        <f>IFERROR(INDEX(参数!$D$5:$D$7,MATCH($N548,参数!$A$5:$A$7,0)),"")</f>
        <v>1</v>
      </c>
      <c r="AA548">
        <f>IFERROR(INDEX(楼层配置!$E$5:$E$204,MATCH($K548,楼层配置!$B$5:$B$204,0)),1)</f>
        <v>1.12582067235919</v>
      </c>
      <c r="AB548">
        <f>IFERROR(INDEX(楼层配置!$F$5:$F$204,MATCH($K548,楼层配置!$B$5:$B$204,0)),1)</f>
        <v>0.729834891319568</v>
      </c>
      <c r="AC548">
        <f>IFERROR(INDEX(楼层配置!$G$5:$G$204,MATCH($K548,楼层配置!$B$5:$B$204,0)),1)</f>
        <v>1</v>
      </c>
      <c r="AD548" t="str">
        <f t="shared" si="67"/>
        <v/>
      </c>
      <c r="AE548" t="str">
        <f t="shared" si="68"/>
        <v/>
      </c>
      <c r="AF548" t="str">
        <f t="shared" si="69"/>
        <v/>
      </c>
      <c r="AG548" t="str">
        <f t="shared" si="70"/>
        <v>有效</v>
      </c>
      <c r="AH548">
        <f t="shared" si="71"/>
        <v>4567335.81366667</v>
      </c>
    </row>
    <row r="549" spans="1:34">
      <c r="A549">
        <v>545</v>
      </c>
      <c r="B549">
        <v>1029</v>
      </c>
      <c r="C549">
        <v>60</v>
      </c>
      <c r="D549">
        <f>IFERROR(ROUND($U549*$X549*$AA549*参数!$B$13,0),"")</f>
        <v>2486212</v>
      </c>
      <c r="E549">
        <f>IFERROR(ROUND($V549*$Y549*$AB549*参数!$C$13,0),"")</f>
        <v>35057</v>
      </c>
      <c r="F549">
        <f>IFERROR(ROUND($W549*$Z549*$AC549*参数!$D$13,0),"")</f>
        <v>38890</v>
      </c>
      <c r="J549">
        <v>109</v>
      </c>
      <c r="K549">
        <v>109</v>
      </c>
      <c r="L549">
        <f>IFERROR(INDEX(楼层配置!$D$5:$D$204,MATCH($K549,楼层配置!$B$5:$B$204,0)),"")</f>
        <v>291</v>
      </c>
      <c r="M549" t="str">
        <f>IFERROR(INDEX(_角色基线!$B$2:$B$100,MATCH($B549,_角色基线!$A$2:$A$100,0)),"")</f>
        <v>凯兰</v>
      </c>
      <c r="N549" t="str">
        <f>IFERROR(INDEX(_角色基线!$C$2:$C$100,MATCH($B549,_角色基线!$A$2:$A$100,0)),"")</f>
        <v>Support</v>
      </c>
      <c r="O549">
        <f>IFERROR(INDEX(_怪物基线!$B$2:$B$501,MATCH(INT($L549),_怪物基线!$A$2:$A$501,0)),"")</f>
        <v>441671</v>
      </c>
      <c r="P549">
        <f>IFERROR(INDEX(_怪物基线!$C$2:$C$501,MATCH(INT($L549),_怪物基线!$A$2:$A$501,0)),"")</f>
        <v>40029</v>
      </c>
      <c r="Q549">
        <f>IFERROR(INDEX(_怪物基线!$D$2:$D$501,MATCH(INT($L549),_怪物基线!$A$2:$A$501,0)),"")</f>
        <v>31112</v>
      </c>
      <c r="R549">
        <f>参数!$B$10</f>
        <v>4</v>
      </c>
      <c r="S549">
        <f>参数!$C$10</f>
        <v>1.2</v>
      </c>
      <c r="T549">
        <f>参数!$D$10</f>
        <v>1</v>
      </c>
      <c r="U549">
        <f t="shared" si="64"/>
        <v>1766684</v>
      </c>
      <c r="V549">
        <f t="shared" si="65"/>
        <v>48034.8</v>
      </c>
      <c r="W549">
        <f t="shared" si="66"/>
        <v>31112</v>
      </c>
      <c r="X549">
        <f>IFERROR(INDEX(参数!$B$5:$B$7,MATCH($N549,参数!$A$5:$A$7,0)),"")</f>
        <v>1.25</v>
      </c>
      <c r="Y549">
        <f>IFERROR(INDEX(参数!$C$5:$C$7,MATCH($N549,参数!$A$5:$A$7,0)),"")</f>
        <v>1</v>
      </c>
      <c r="Z549">
        <f>IFERROR(INDEX(参数!$D$5:$D$7,MATCH($N549,参数!$A$5:$A$7,0)),"")</f>
        <v>1.25</v>
      </c>
      <c r="AA549">
        <f>IFERROR(INDEX(楼层配置!$E$5:$E$204,MATCH($K549,楼层配置!$B$5:$B$204,0)),1)</f>
        <v>1.12582067235919</v>
      </c>
      <c r="AB549">
        <f>IFERROR(INDEX(楼层配置!$F$5:$F$204,MATCH($K549,楼层配置!$B$5:$B$204,0)),1)</f>
        <v>0.729834891319568</v>
      </c>
      <c r="AC549">
        <f>IFERROR(INDEX(楼层配置!$G$5:$G$204,MATCH($K549,楼层配置!$B$5:$B$204,0)),1)</f>
        <v>1</v>
      </c>
      <c r="AD549" t="str">
        <f t="shared" si="67"/>
        <v/>
      </c>
      <c r="AE549" t="str">
        <f t="shared" si="68"/>
        <v/>
      </c>
      <c r="AF549" t="str">
        <f t="shared" si="69"/>
        <v/>
      </c>
      <c r="AG549" t="str">
        <f t="shared" si="70"/>
        <v>有效</v>
      </c>
      <c r="AH549">
        <f t="shared" si="71"/>
        <v>6514911.36166667</v>
      </c>
    </row>
    <row r="550" spans="1:34">
      <c r="A550">
        <v>546</v>
      </c>
      <c r="B550">
        <v>1003</v>
      </c>
      <c r="C550">
        <v>60</v>
      </c>
      <c r="D550">
        <f>IFERROR(ROUND($U550*$X550*$AA550*参数!$B$13,0),"")</f>
        <v>3014355</v>
      </c>
      <c r="E550">
        <f>IFERROR(ROUND($V550*$Y550*$AB550*参数!$C$13,0),"")</f>
        <v>35377</v>
      </c>
      <c r="F550">
        <f>IFERROR(ROUND($W550*$Z550*$AC550*参数!$D$13,0),"")</f>
        <v>46878</v>
      </c>
      <c r="J550">
        <v>110</v>
      </c>
      <c r="K550">
        <v>110</v>
      </c>
      <c r="L550">
        <f>IFERROR(INDEX(楼层配置!$D$5:$D$204,MATCH($K550,楼层配置!$B$5:$B$204,0)),"")</f>
        <v>292</v>
      </c>
      <c r="M550" t="str">
        <f>IFERROR(INDEX(_角色基线!$B$2:$B$100,MATCH($B550,_角色基线!$A$2:$A$100,0)),"")</f>
        <v>塔拉夏</v>
      </c>
      <c r="N550" t="str">
        <f>IFERROR(INDEX(_角色基线!$C$2:$C$100,MATCH($B550,_角色基线!$A$2:$A$100,0)),"")</f>
        <v>Tank</v>
      </c>
      <c r="O550">
        <f>IFERROR(INDEX(_怪物基线!$B$2:$B$501,MATCH(INT($L550),_怪物基线!$A$2:$A$501,0)),"")</f>
        <v>445891</v>
      </c>
      <c r="P550">
        <f>IFERROR(INDEX(_怪物基线!$C$2:$C$501,MATCH(INT($L550),_怪物基线!$A$2:$A$501,0)),"")</f>
        <v>40317</v>
      </c>
      <c r="Q550">
        <f>IFERROR(INDEX(_怪物基线!$D$2:$D$501,MATCH(INT($L550),_怪物基线!$A$2:$A$501,0)),"")</f>
        <v>31252</v>
      </c>
      <c r="R550">
        <f>参数!$B$10</f>
        <v>4</v>
      </c>
      <c r="S550">
        <f>参数!$C$10</f>
        <v>1.2</v>
      </c>
      <c r="T550">
        <f>参数!$D$10</f>
        <v>1</v>
      </c>
      <c r="U550">
        <f t="shared" si="64"/>
        <v>1783564</v>
      </c>
      <c r="V550">
        <f t="shared" si="65"/>
        <v>48380.4</v>
      </c>
      <c r="W550">
        <f t="shared" si="66"/>
        <v>31252</v>
      </c>
      <c r="X550">
        <f>IFERROR(INDEX(参数!$B$5:$B$7,MATCH($N550,参数!$A$5:$A$7,0)),"")</f>
        <v>1.5</v>
      </c>
      <c r="Y550">
        <f>IFERROR(INDEX(参数!$C$5:$C$7,MATCH($N550,参数!$A$5:$A$7,0)),"")</f>
        <v>1</v>
      </c>
      <c r="Z550">
        <f>IFERROR(INDEX(参数!$D$5:$D$7,MATCH($N550,参数!$A$5:$A$7,0)),"")</f>
        <v>1.5</v>
      </c>
      <c r="AA550">
        <f>IFERROR(INDEX(楼层配置!$E$5:$E$204,MATCH($K550,楼层配置!$B$5:$B$204,0)),1)</f>
        <v>1.12671592412141</v>
      </c>
      <c r="AB550">
        <f>IFERROR(INDEX(楼层配置!$F$5:$F$204,MATCH($K550,楼层配置!$B$5:$B$204,0)),1)</f>
        <v>0.731229508674054</v>
      </c>
      <c r="AC550">
        <f>IFERROR(INDEX(楼层配置!$G$5:$G$204,MATCH($K550,楼层配置!$B$5:$B$204,0)),1)</f>
        <v>1</v>
      </c>
      <c r="AD550" t="str">
        <f t="shared" si="67"/>
        <v/>
      </c>
      <c r="AE550" t="str">
        <f t="shared" si="68"/>
        <v/>
      </c>
      <c r="AF550" t="str">
        <f t="shared" si="69"/>
        <v/>
      </c>
      <c r="AG550" t="str">
        <f t="shared" si="70"/>
        <v>有效</v>
      </c>
      <c r="AH550">
        <f t="shared" si="71"/>
        <v>8902143.90375</v>
      </c>
    </row>
    <row r="551" spans="1:34">
      <c r="A551">
        <v>547</v>
      </c>
      <c r="B551">
        <v>1005</v>
      </c>
      <c r="C551">
        <v>60</v>
      </c>
      <c r="D551">
        <f>IFERROR(ROUND($U551*$X551*$AA551*参数!$B$13,0),"")</f>
        <v>2009570</v>
      </c>
      <c r="E551">
        <f>IFERROR(ROUND($V551*$Y551*$AB551*参数!$C$13,0),"")</f>
        <v>42453</v>
      </c>
      <c r="F551">
        <f>IFERROR(ROUND($W551*$Z551*$AC551*参数!$D$13,0),"")</f>
        <v>31252</v>
      </c>
      <c r="J551">
        <v>110</v>
      </c>
      <c r="K551">
        <v>110</v>
      </c>
      <c r="L551">
        <f>IFERROR(INDEX(楼层配置!$D$5:$D$204,MATCH($K551,楼层配置!$B$5:$B$204,0)),"")</f>
        <v>292</v>
      </c>
      <c r="M551" t="str">
        <f>IFERROR(INDEX(_角色基线!$B$2:$B$100,MATCH($B551,_角色基线!$A$2:$A$100,0)),"")</f>
        <v>陈单单</v>
      </c>
      <c r="N551" t="str">
        <f>IFERROR(INDEX(_角色基线!$C$2:$C$100,MATCH($B551,_角色基线!$A$2:$A$100,0)),"")</f>
        <v>DPS</v>
      </c>
      <c r="O551">
        <f>IFERROR(INDEX(_怪物基线!$B$2:$B$501,MATCH(INT($L551),_怪物基线!$A$2:$A$501,0)),"")</f>
        <v>445891</v>
      </c>
      <c r="P551">
        <f>IFERROR(INDEX(_怪物基线!$C$2:$C$501,MATCH(INT($L551),_怪物基线!$A$2:$A$501,0)),"")</f>
        <v>40317</v>
      </c>
      <c r="Q551">
        <f>IFERROR(INDEX(_怪物基线!$D$2:$D$501,MATCH(INT($L551),_怪物基线!$A$2:$A$501,0)),"")</f>
        <v>31252</v>
      </c>
      <c r="R551">
        <f>参数!$B$10</f>
        <v>4</v>
      </c>
      <c r="S551">
        <f>参数!$C$10</f>
        <v>1.2</v>
      </c>
      <c r="T551">
        <f>参数!$D$10</f>
        <v>1</v>
      </c>
      <c r="U551">
        <f t="shared" si="64"/>
        <v>1783564</v>
      </c>
      <c r="V551">
        <f t="shared" si="65"/>
        <v>48380.4</v>
      </c>
      <c r="W551">
        <f t="shared" si="66"/>
        <v>31252</v>
      </c>
      <c r="X551">
        <f>IFERROR(INDEX(参数!$B$5:$B$7,MATCH($N551,参数!$A$5:$A$7,0)),"")</f>
        <v>1</v>
      </c>
      <c r="Y551">
        <f>IFERROR(INDEX(参数!$C$5:$C$7,MATCH($N551,参数!$A$5:$A$7,0)),"")</f>
        <v>1.2</v>
      </c>
      <c r="Z551">
        <f>IFERROR(INDEX(参数!$D$5:$D$7,MATCH($N551,参数!$A$5:$A$7,0)),"")</f>
        <v>1</v>
      </c>
      <c r="AA551">
        <f>IFERROR(INDEX(楼层配置!$E$5:$E$204,MATCH($K551,楼层配置!$B$5:$B$204,0)),1)</f>
        <v>1.12671592412141</v>
      </c>
      <c r="AB551">
        <f>IFERROR(INDEX(楼层配置!$F$5:$F$204,MATCH($K551,楼层配置!$B$5:$B$204,0)),1)</f>
        <v>0.731229508674054</v>
      </c>
      <c r="AC551">
        <f>IFERROR(INDEX(楼层配置!$G$5:$G$204,MATCH($K551,楼层配置!$B$5:$B$204,0)),1)</f>
        <v>1</v>
      </c>
      <c r="AD551" t="str">
        <f t="shared" si="67"/>
        <v/>
      </c>
      <c r="AE551" t="str">
        <f t="shared" si="68"/>
        <v/>
      </c>
      <c r="AF551" t="str">
        <f t="shared" si="69"/>
        <v/>
      </c>
      <c r="AG551" t="str">
        <f t="shared" si="70"/>
        <v>有效</v>
      </c>
      <c r="AH551">
        <f t="shared" si="71"/>
        <v>4626365.06833333</v>
      </c>
    </row>
    <row r="552" spans="1:34">
      <c r="A552">
        <v>548</v>
      </c>
      <c r="B552">
        <v>1005</v>
      </c>
      <c r="C552">
        <v>60</v>
      </c>
      <c r="D552">
        <f>IFERROR(ROUND($U552*$X552*$AA552*参数!$B$13,0),"")</f>
        <v>2009570</v>
      </c>
      <c r="E552">
        <f>IFERROR(ROUND($V552*$Y552*$AB552*参数!$C$13,0),"")</f>
        <v>42453</v>
      </c>
      <c r="F552">
        <f>IFERROR(ROUND($W552*$Z552*$AC552*参数!$D$13,0),"")</f>
        <v>31252</v>
      </c>
      <c r="J552">
        <v>110</v>
      </c>
      <c r="K552">
        <v>110</v>
      </c>
      <c r="L552">
        <f>IFERROR(INDEX(楼层配置!$D$5:$D$204,MATCH($K552,楼层配置!$B$5:$B$204,0)),"")</f>
        <v>292</v>
      </c>
      <c r="M552" t="str">
        <f>IFERROR(INDEX(_角色基线!$B$2:$B$100,MATCH($B552,_角色基线!$A$2:$A$100,0)),"")</f>
        <v>陈单单</v>
      </c>
      <c r="N552" t="str">
        <f>IFERROR(INDEX(_角色基线!$C$2:$C$100,MATCH($B552,_角色基线!$A$2:$A$100,0)),"")</f>
        <v>DPS</v>
      </c>
      <c r="O552">
        <f>IFERROR(INDEX(_怪物基线!$B$2:$B$501,MATCH(INT($L552),_怪物基线!$A$2:$A$501,0)),"")</f>
        <v>445891</v>
      </c>
      <c r="P552">
        <f>IFERROR(INDEX(_怪物基线!$C$2:$C$501,MATCH(INT($L552),_怪物基线!$A$2:$A$501,0)),"")</f>
        <v>40317</v>
      </c>
      <c r="Q552">
        <f>IFERROR(INDEX(_怪物基线!$D$2:$D$501,MATCH(INT($L552),_怪物基线!$A$2:$A$501,0)),"")</f>
        <v>31252</v>
      </c>
      <c r="R552">
        <f>参数!$B$10</f>
        <v>4</v>
      </c>
      <c r="S552">
        <f>参数!$C$10</f>
        <v>1.2</v>
      </c>
      <c r="T552">
        <f>参数!$D$10</f>
        <v>1</v>
      </c>
      <c r="U552">
        <f t="shared" si="64"/>
        <v>1783564</v>
      </c>
      <c r="V552">
        <f t="shared" si="65"/>
        <v>48380.4</v>
      </c>
      <c r="W552">
        <f t="shared" si="66"/>
        <v>31252</v>
      </c>
      <c r="X552">
        <f>IFERROR(INDEX(参数!$B$5:$B$7,MATCH($N552,参数!$A$5:$A$7,0)),"")</f>
        <v>1</v>
      </c>
      <c r="Y552">
        <f>IFERROR(INDEX(参数!$C$5:$C$7,MATCH($N552,参数!$A$5:$A$7,0)),"")</f>
        <v>1.2</v>
      </c>
      <c r="Z552">
        <f>IFERROR(INDEX(参数!$D$5:$D$7,MATCH($N552,参数!$A$5:$A$7,0)),"")</f>
        <v>1</v>
      </c>
      <c r="AA552">
        <f>IFERROR(INDEX(楼层配置!$E$5:$E$204,MATCH($K552,楼层配置!$B$5:$B$204,0)),1)</f>
        <v>1.12671592412141</v>
      </c>
      <c r="AB552">
        <f>IFERROR(INDEX(楼层配置!$F$5:$F$204,MATCH($K552,楼层配置!$B$5:$B$204,0)),1)</f>
        <v>0.731229508674054</v>
      </c>
      <c r="AC552">
        <f>IFERROR(INDEX(楼层配置!$G$5:$G$204,MATCH($K552,楼层配置!$B$5:$B$204,0)),1)</f>
        <v>1</v>
      </c>
      <c r="AD552" t="str">
        <f t="shared" si="67"/>
        <v/>
      </c>
      <c r="AE552" t="str">
        <f t="shared" si="68"/>
        <v/>
      </c>
      <c r="AF552" t="str">
        <f t="shared" si="69"/>
        <v/>
      </c>
      <c r="AG552" t="str">
        <f t="shared" si="70"/>
        <v>有效</v>
      </c>
      <c r="AH552">
        <f t="shared" si="71"/>
        <v>4626365.06833333</v>
      </c>
    </row>
    <row r="553" spans="1:34">
      <c r="A553">
        <v>549</v>
      </c>
      <c r="B553">
        <v>1005</v>
      </c>
      <c r="C553">
        <v>60</v>
      </c>
      <c r="D553">
        <f>IFERROR(ROUND($U553*$X553*$AA553*参数!$B$13,0),"")</f>
        <v>2009570</v>
      </c>
      <c r="E553">
        <f>IFERROR(ROUND($V553*$Y553*$AB553*参数!$C$13,0),"")</f>
        <v>42453</v>
      </c>
      <c r="F553">
        <f>IFERROR(ROUND($W553*$Z553*$AC553*参数!$D$13,0),"")</f>
        <v>31252</v>
      </c>
      <c r="J553">
        <v>110</v>
      </c>
      <c r="K553">
        <v>110</v>
      </c>
      <c r="L553">
        <f>IFERROR(INDEX(楼层配置!$D$5:$D$204,MATCH($K553,楼层配置!$B$5:$B$204,0)),"")</f>
        <v>292</v>
      </c>
      <c r="M553" t="str">
        <f>IFERROR(INDEX(_角色基线!$B$2:$B$100,MATCH($B553,_角色基线!$A$2:$A$100,0)),"")</f>
        <v>陈单单</v>
      </c>
      <c r="N553" t="str">
        <f>IFERROR(INDEX(_角色基线!$C$2:$C$100,MATCH($B553,_角色基线!$A$2:$A$100,0)),"")</f>
        <v>DPS</v>
      </c>
      <c r="O553">
        <f>IFERROR(INDEX(_怪物基线!$B$2:$B$501,MATCH(INT($L553),_怪物基线!$A$2:$A$501,0)),"")</f>
        <v>445891</v>
      </c>
      <c r="P553">
        <f>IFERROR(INDEX(_怪物基线!$C$2:$C$501,MATCH(INT($L553),_怪物基线!$A$2:$A$501,0)),"")</f>
        <v>40317</v>
      </c>
      <c r="Q553">
        <f>IFERROR(INDEX(_怪物基线!$D$2:$D$501,MATCH(INT($L553),_怪物基线!$A$2:$A$501,0)),"")</f>
        <v>31252</v>
      </c>
      <c r="R553">
        <f>参数!$B$10</f>
        <v>4</v>
      </c>
      <c r="S553">
        <f>参数!$C$10</f>
        <v>1.2</v>
      </c>
      <c r="T553">
        <f>参数!$D$10</f>
        <v>1</v>
      </c>
      <c r="U553">
        <f t="shared" si="64"/>
        <v>1783564</v>
      </c>
      <c r="V553">
        <f t="shared" si="65"/>
        <v>48380.4</v>
      </c>
      <c r="W553">
        <f t="shared" si="66"/>
        <v>31252</v>
      </c>
      <c r="X553">
        <f>IFERROR(INDEX(参数!$B$5:$B$7,MATCH($N553,参数!$A$5:$A$7,0)),"")</f>
        <v>1</v>
      </c>
      <c r="Y553">
        <f>IFERROR(INDEX(参数!$C$5:$C$7,MATCH($N553,参数!$A$5:$A$7,0)),"")</f>
        <v>1.2</v>
      </c>
      <c r="Z553">
        <f>IFERROR(INDEX(参数!$D$5:$D$7,MATCH($N553,参数!$A$5:$A$7,0)),"")</f>
        <v>1</v>
      </c>
      <c r="AA553">
        <f>IFERROR(INDEX(楼层配置!$E$5:$E$204,MATCH($K553,楼层配置!$B$5:$B$204,0)),1)</f>
        <v>1.12671592412141</v>
      </c>
      <c r="AB553">
        <f>IFERROR(INDEX(楼层配置!$F$5:$F$204,MATCH($K553,楼层配置!$B$5:$B$204,0)),1)</f>
        <v>0.731229508674054</v>
      </c>
      <c r="AC553">
        <f>IFERROR(INDEX(楼层配置!$G$5:$G$204,MATCH($K553,楼层配置!$B$5:$B$204,0)),1)</f>
        <v>1</v>
      </c>
      <c r="AD553" t="str">
        <f t="shared" si="67"/>
        <v/>
      </c>
      <c r="AE553" t="str">
        <f t="shared" si="68"/>
        <v/>
      </c>
      <c r="AF553" t="str">
        <f t="shared" si="69"/>
        <v/>
      </c>
      <c r="AG553" t="str">
        <f t="shared" si="70"/>
        <v>有效</v>
      </c>
      <c r="AH553">
        <f t="shared" si="71"/>
        <v>4626365.06833333</v>
      </c>
    </row>
    <row r="554" spans="1:34">
      <c r="A554">
        <v>550</v>
      </c>
      <c r="B554">
        <v>1029</v>
      </c>
      <c r="C554">
        <v>60</v>
      </c>
      <c r="D554">
        <f>IFERROR(ROUND($U554*$X554*$AA554*参数!$B$13,0),"")</f>
        <v>2511962</v>
      </c>
      <c r="E554">
        <f>IFERROR(ROUND($V554*$Y554*$AB554*参数!$C$13,0),"")</f>
        <v>35377</v>
      </c>
      <c r="F554">
        <f>IFERROR(ROUND($W554*$Z554*$AC554*参数!$D$13,0),"")</f>
        <v>39065</v>
      </c>
      <c r="J554">
        <v>110</v>
      </c>
      <c r="K554">
        <v>110</v>
      </c>
      <c r="L554">
        <f>IFERROR(INDEX(楼层配置!$D$5:$D$204,MATCH($K554,楼层配置!$B$5:$B$204,0)),"")</f>
        <v>292</v>
      </c>
      <c r="M554" t="str">
        <f>IFERROR(INDEX(_角色基线!$B$2:$B$100,MATCH($B554,_角色基线!$A$2:$A$100,0)),"")</f>
        <v>凯兰</v>
      </c>
      <c r="N554" t="str">
        <f>IFERROR(INDEX(_角色基线!$C$2:$C$100,MATCH($B554,_角色基线!$A$2:$A$100,0)),"")</f>
        <v>Support</v>
      </c>
      <c r="O554">
        <f>IFERROR(INDEX(_怪物基线!$B$2:$B$501,MATCH(INT($L554),_怪物基线!$A$2:$A$501,0)),"")</f>
        <v>445891</v>
      </c>
      <c r="P554">
        <f>IFERROR(INDEX(_怪物基线!$C$2:$C$501,MATCH(INT($L554),_怪物基线!$A$2:$A$501,0)),"")</f>
        <v>40317</v>
      </c>
      <c r="Q554">
        <f>IFERROR(INDEX(_怪物基线!$D$2:$D$501,MATCH(INT($L554),_怪物基线!$A$2:$A$501,0)),"")</f>
        <v>31252</v>
      </c>
      <c r="R554">
        <f>参数!$B$10</f>
        <v>4</v>
      </c>
      <c r="S554">
        <f>参数!$C$10</f>
        <v>1.2</v>
      </c>
      <c r="T554">
        <f>参数!$D$10</f>
        <v>1</v>
      </c>
      <c r="U554">
        <f t="shared" si="64"/>
        <v>1783564</v>
      </c>
      <c r="V554">
        <f t="shared" si="65"/>
        <v>48380.4</v>
      </c>
      <c r="W554">
        <f t="shared" si="66"/>
        <v>31252</v>
      </c>
      <c r="X554">
        <f>IFERROR(INDEX(参数!$B$5:$B$7,MATCH($N554,参数!$A$5:$A$7,0)),"")</f>
        <v>1.25</v>
      </c>
      <c r="Y554">
        <f>IFERROR(INDEX(参数!$C$5:$C$7,MATCH($N554,参数!$A$5:$A$7,0)),"")</f>
        <v>1</v>
      </c>
      <c r="Z554">
        <f>IFERROR(INDEX(参数!$D$5:$D$7,MATCH($N554,参数!$A$5:$A$7,0)),"")</f>
        <v>1.25</v>
      </c>
      <c r="AA554">
        <f>IFERROR(INDEX(楼层配置!$E$5:$E$204,MATCH($K554,楼层配置!$B$5:$B$204,0)),1)</f>
        <v>1.12671592412141</v>
      </c>
      <c r="AB554">
        <f>IFERROR(INDEX(楼层配置!$F$5:$F$204,MATCH($K554,楼层配置!$B$5:$B$204,0)),1)</f>
        <v>0.731229508674054</v>
      </c>
      <c r="AC554">
        <f>IFERROR(INDEX(楼层配置!$G$5:$G$204,MATCH($K554,楼层配置!$B$5:$B$204,0)),1)</f>
        <v>1</v>
      </c>
      <c r="AD554" t="str">
        <f t="shared" si="67"/>
        <v/>
      </c>
      <c r="AE554" t="str">
        <f t="shared" si="68"/>
        <v/>
      </c>
      <c r="AF554" t="str">
        <f t="shared" si="69"/>
        <v/>
      </c>
      <c r="AG554" t="str">
        <f t="shared" si="70"/>
        <v>有效</v>
      </c>
      <c r="AH554">
        <f t="shared" si="71"/>
        <v>6600703.48041667</v>
      </c>
    </row>
    <row r="555" spans="1:34">
      <c r="A555">
        <v>551</v>
      </c>
      <c r="B555">
        <v>1003</v>
      </c>
      <c r="C555">
        <v>60</v>
      </c>
      <c r="D555">
        <f>IFERROR(ROUND($U555*$X555*$AA555*参数!$B$13,0),"")</f>
        <v>3040675</v>
      </c>
      <c r="E555">
        <f>IFERROR(ROUND($V555*$Y555*$AB555*参数!$C$13,0),"")</f>
        <v>35564</v>
      </c>
      <c r="F555">
        <f>IFERROR(ROUND($W555*$Z555*$AC555*参数!$D$13,0),"")</f>
        <v>47090</v>
      </c>
      <c r="J555">
        <v>111</v>
      </c>
      <c r="K555">
        <v>111</v>
      </c>
      <c r="L555">
        <f>IFERROR(INDEX(楼层配置!$D$5:$D$204,MATCH($K555,楼层配置!$B$5:$B$204,0)),"")</f>
        <v>293</v>
      </c>
      <c r="M555" t="str">
        <f>IFERROR(INDEX(_角色基线!$B$2:$B$100,MATCH($B555,_角色基线!$A$2:$A$100,0)),"")</f>
        <v>塔拉夏</v>
      </c>
      <c r="N555" t="str">
        <f>IFERROR(INDEX(_角色基线!$C$2:$C$100,MATCH($B555,_角色基线!$A$2:$A$100,0)),"")</f>
        <v>Tank</v>
      </c>
      <c r="O555">
        <f>IFERROR(INDEX(_怪物基线!$B$2:$B$501,MATCH(INT($L555),_怪物基线!$A$2:$A$501,0)),"")</f>
        <v>450142</v>
      </c>
      <c r="P555">
        <f>IFERROR(INDEX(_怪物基线!$C$2:$C$501,MATCH(INT($L555),_怪物基线!$A$2:$A$501,0)),"")</f>
        <v>40607</v>
      </c>
      <c r="Q555">
        <f>IFERROR(INDEX(_怪物基线!$D$2:$D$501,MATCH(INT($L555),_怪物基线!$A$2:$A$501,0)),"")</f>
        <v>31393</v>
      </c>
      <c r="R555">
        <f>参数!$B$10</f>
        <v>4</v>
      </c>
      <c r="S555">
        <f>参数!$C$10</f>
        <v>1.2</v>
      </c>
      <c r="T555">
        <f>参数!$D$10</f>
        <v>1</v>
      </c>
      <c r="U555">
        <f t="shared" si="64"/>
        <v>1800568</v>
      </c>
      <c r="V555">
        <f t="shared" si="65"/>
        <v>48728.4</v>
      </c>
      <c r="W555">
        <f t="shared" si="66"/>
        <v>31393</v>
      </c>
      <c r="X555">
        <f>IFERROR(INDEX(参数!$B$5:$B$7,MATCH($N555,参数!$A$5:$A$7,0)),"")</f>
        <v>1.5</v>
      </c>
      <c r="Y555">
        <f>IFERROR(INDEX(参数!$C$5:$C$7,MATCH($N555,参数!$A$5:$A$7,0)),"")</f>
        <v>1</v>
      </c>
      <c r="Z555">
        <f>IFERROR(INDEX(参数!$D$5:$D$7,MATCH($N555,参数!$A$5:$A$7,0)),"")</f>
        <v>1.5</v>
      </c>
      <c r="AA555">
        <f>IFERROR(INDEX(楼层配置!$E$5:$E$204,MATCH($K555,楼层配置!$B$5:$B$204,0)),1)</f>
        <v>1.12582067235919</v>
      </c>
      <c r="AB555">
        <f>IFERROR(INDEX(楼层配置!$F$5:$F$204,MATCH($K555,楼层配置!$B$5:$B$204,0)),1)</f>
        <v>0.729834891319568</v>
      </c>
      <c r="AC555">
        <f>IFERROR(INDEX(楼层配置!$G$5:$G$204,MATCH($K555,楼层配置!$B$5:$B$204,0)),1)</f>
        <v>1</v>
      </c>
      <c r="AD555" t="str">
        <f t="shared" si="67"/>
        <v/>
      </c>
      <c r="AE555" t="str">
        <f t="shared" si="68"/>
        <v/>
      </c>
      <c r="AF555" t="str">
        <f t="shared" si="69"/>
        <v/>
      </c>
      <c r="AG555" t="str">
        <f t="shared" si="70"/>
        <v>有效</v>
      </c>
      <c r="AH555">
        <f t="shared" si="71"/>
        <v>9006732.73958333</v>
      </c>
    </row>
    <row r="556" spans="1:34">
      <c r="A556">
        <v>552</v>
      </c>
      <c r="B556">
        <v>1005</v>
      </c>
      <c r="C556">
        <v>60</v>
      </c>
      <c r="D556">
        <f>IFERROR(ROUND($U556*$X556*$AA556*参数!$B$13,0),"")</f>
        <v>2027117</v>
      </c>
      <c r="E556">
        <f>IFERROR(ROUND($V556*$Y556*$AB556*参数!$C$13,0),"")</f>
        <v>42676</v>
      </c>
      <c r="F556">
        <f>IFERROR(ROUND($W556*$Z556*$AC556*参数!$D$13,0),"")</f>
        <v>31393</v>
      </c>
      <c r="J556">
        <v>111</v>
      </c>
      <c r="K556">
        <v>111</v>
      </c>
      <c r="L556">
        <f>IFERROR(INDEX(楼层配置!$D$5:$D$204,MATCH($K556,楼层配置!$B$5:$B$204,0)),"")</f>
        <v>293</v>
      </c>
      <c r="M556" t="str">
        <f>IFERROR(INDEX(_角色基线!$B$2:$B$100,MATCH($B556,_角色基线!$A$2:$A$100,0)),"")</f>
        <v>陈单单</v>
      </c>
      <c r="N556" t="str">
        <f>IFERROR(INDEX(_角色基线!$C$2:$C$100,MATCH($B556,_角色基线!$A$2:$A$100,0)),"")</f>
        <v>DPS</v>
      </c>
      <c r="O556">
        <f>IFERROR(INDEX(_怪物基线!$B$2:$B$501,MATCH(INT($L556),_怪物基线!$A$2:$A$501,0)),"")</f>
        <v>450142</v>
      </c>
      <c r="P556">
        <f>IFERROR(INDEX(_怪物基线!$C$2:$C$501,MATCH(INT($L556),_怪物基线!$A$2:$A$501,0)),"")</f>
        <v>40607</v>
      </c>
      <c r="Q556">
        <f>IFERROR(INDEX(_怪物基线!$D$2:$D$501,MATCH(INT($L556),_怪物基线!$A$2:$A$501,0)),"")</f>
        <v>31393</v>
      </c>
      <c r="R556">
        <f>参数!$B$10</f>
        <v>4</v>
      </c>
      <c r="S556">
        <f>参数!$C$10</f>
        <v>1.2</v>
      </c>
      <c r="T556">
        <f>参数!$D$10</f>
        <v>1</v>
      </c>
      <c r="U556">
        <f t="shared" si="64"/>
        <v>1800568</v>
      </c>
      <c r="V556">
        <f t="shared" si="65"/>
        <v>48728.4</v>
      </c>
      <c r="W556">
        <f t="shared" si="66"/>
        <v>31393</v>
      </c>
      <c r="X556">
        <f>IFERROR(INDEX(参数!$B$5:$B$7,MATCH($N556,参数!$A$5:$A$7,0)),"")</f>
        <v>1</v>
      </c>
      <c r="Y556">
        <f>IFERROR(INDEX(参数!$C$5:$C$7,MATCH($N556,参数!$A$5:$A$7,0)),"")</f>
        <v>1.2</v>
      </c>
      <c r="Z556">
        <f>IFERROR(INDEX(参数!$D$5:$D$7,MATCH($N556,参数!$A$5:$A$7,0)),"")</f>
        <v>1</v>
      </c>
      <c r="AA556">
        <f>IFERROR(INDEX(楼层配置!$E$5:$E$204,MATCH($K556,楼层配置!$B$5:$B$204,0)),1)</f>
        <v>1.12582067235919</v>
      </c>
      <c r="AB556">
        <f>IFERROR(INDEX(楼层配置!$F$5:$F$204,MATCH($K556,楼层配置!$B$5:$B$204,0)),1)</f>
        <v>0.729834891319568</v>
      </c>
      <c r="AC556">
        <f>IFERROR(INDEX(楼层配置!$G$5:$G$204,MATCH($K556,楼层配置!$B$5:$B$204,0)),1)</f>
        <v>1</v>
      </c>
      <c r="AD556" t="str">
        <f t="shared" si="67"/>
        <v/>
      </c>
      <c r="AE556" t="str">
        <f t="shared" si="68"/>
        <v/>
      </c>
      <c r="AF556" t="str">
        <f t="shared" si="69"/>
        <v/>
      </c>
      <c r="AG556" t="str">
        <f t="shared" si="70"/>
        <v>有效</v>
      </c>
      <c r="AH556">
        <f t="shared" si="71"/>
        <v>4678670.49920833</v>
      </c>
    </row>
    <row r="557" spans="1:34">
      <c r="A557">
        <v>553</v>
      </c>
      <c r="B557">
        <v>1005</v>
      </c>
      <c r="C557">
        <v>60</v>
      </c>
      <c r="D557">
        <f>IFERROR(ROUND($U557*$X557*$AA557*参数!$B$13,0),"")</f>
        <v>2027117</v>
      </c>
      <c r="E557">
        <f>IFERROR(ROUND($V557*$Y557*$AB557*参数!$C$13,0),"")</f>
        <v>42676</v>
      </c>
      <c r="F557">
        <f>IFERROR(ROUND($W557*$Z557*$AC557*参数!$D$13,0),"")</f>
        <v>31393</v>
      </c>
      <c r="J557">
        <v>111</v>
      </c>
      <c r="K557">
        <v>111</v>
      </c>
      <c r="L557">
        <f>IFERROR(INDEX(楼层配置!$D$5:$D$204,MATCH($K557,楼层配置!$B$5:$B$204,0)),"")</f>
        <v>293</v>
      </c>
      <c r="M557" t="str">
        <f>IFERROR(INDEX(_角色基线!$B$2:$B$100,MATCH($B557,_角色基线!$A$2:$A$100,0)),"")</f>
        <v>陈单单</v>
      </c>
      <c r="N557" t="str">
        <f>IFERROR(INDEX(_角色基线!$C$2:$C$100,MATCH($B557,_角色基线!$A$2:$A$100,0)),"")</f>
        <v>DPS</v>
      </c>
      <c r="O557">
        <f>IFERROR(INDEX(_怪物基线!$B$2:$B$501,MATCH(INT($L557),_怪物基线!$A$2:$A$501,0)),"")</f>
        <v>450142</v>
      </c>
      <c r="P557">
        <f>IFERROR(INDEX(_怪物基线!$C$2:$C$501,MATCH(INT($L557),_怪物基线!$A$2:$A$501,0)),"")</f>
        <v>40607</v>
      </c>
      <c r="Q557">
        <f>IFERROR(INDEX(_怪物基线!$D$2:$D$501,MATCH(INT($L557),_怪物基线!$A$2:$A$501,0)),"")</f>
        <v>31393</v>
      </c>
      <c r="R557">
        <f>参数!$B$10</f>
        <v>4</v>
      </c>
      <c r="S557">
        <f>参数!$C$10</f>
        <v>1.2</v>
      </c>
      <c r="T557">
        <f>参数!$D$10</f>
        <v>1</v>
      </c>
      <c r="U557">
        <f t="shared" si="64"/>
        <v>1800568</v>
      </c>
      <c r="V557">
        <f t="shared" si="65"/>
        <v>48728.4</v>
      </c>
      <c r="W557">
        <f t="shared" si="66"/>
        <v>31393</v>
      </c>
      <c r="X557">
        <f>IFERROR(INDEX(参数!$B$5:$B$7,MATCH($N557,参数!$A$5:$A$7,0)),"")</f>
        <v>1</v>
      </c>
      <c r="Y557">
        <f>IFERROR(INDEX(参数!$C$5:$C$7,MATCH($N557,参数!$A$5:$A$7,0)),"")</f>
        <v>1.2</v>
      </c>
      <c r="Z557">
        <f>IFERROR(INDEX(参数!$D$5:$D$7,MATCH($N557,参数!$A$5:$A$7,0)),"")</f>
        <v>1</v>
      </c>
      <c r="AA557">
        <f>IFERROR(INDEX(楼层配置!$E$5:$E$204,MATCH($K557,楼层配置!$B$5:$B$204,0)),1)</f>
        <v>1.12582067235919</v>
      </c>
      <c r="AB557">
        <f>IFERROR(INDEX(楼层配置!$F$5:$F$204,MATCH($K557,楼层配置!$B$5:$B$204,0)),1)</f>
        <v>0.729834891319568</v>
      </c>
      <c r="AC557">
        <f>IFERROR(INDEX(楼层配置!$G$5:$G$204,MATCH($K557,楼层配置!$B$5:$B$204,0)),1)</f>
        <v>1</v>
      </c>
      <c r="AD557" t="str">
        <f t="shared" si="67"/>
        <v/>
      </c>
      <c r="AE557" t="str">
        <f t="shared" si="68"/>
        <v/>
      </c>
      <c r="AF557" t="str">
        <f t="shared" si="69"/>
        <v/>
      </c>
      <c r="AG557" t="str">
        <f t="shared" si="70"/>
        <v>有效</v>
      </c>
      <c r="AH557">
        <f t="shared" si="71"/>
        <v>4678670.49920833</v>
      </c>
    </row>
    <row r="558" spans="1:34">
      <c r="A558">
        <v>554</v>
      </c>
      <c r="B558">
        <v>1005</v>
      </c>
      <c r="C558">
        <v>60</v>
      </c>
      <c r="D558">
        <f>IFERROR(ROUND($U558*$X558*$AA558*参数!$B$13,0),"")</f>
        <v>2027117</v>
      </c>
      <c r="E558">
        <f>IFERROR(ROUND($V558*$Y558*$AB558*参数!$C$13,0),"")</f>
        <v>42676</v>
      </c>
      <c r="F558">
        <f>IFERROR(ROUND($W558*$Z558*$AC558*参数!$D$13,0),"")</f>
        <v>31393</v>
      </c>
      <c r="J558">
        <v>111</v>
      </c>
      <c r="K558">
        <v>111</v>
      </c>
      <c r="L558">
        <f>IFERROR(INDEX(楼层配置!$D$5:$D$204,MATCH($K558,楼层配置!$B$5:$B$204,0)),"")</f>
        <v>293</v>
      </c>
      <c r="M558" t="str">
        <f>IFERROR(INDEX(_角色基线!$B$2:$B$100,MATCH($B558,_角色基线!$A$2:$A$100,0)),"")</f>
        <v>陈单单</v>
      </c>
      <c r="N558" t="str">
        <f>IFERROR(INDEX(_角色基线!$C$2:$C$100,MATCH($B558,_角色基线!$A$2:$A$100,0)),"")</f>
        <v>DPS</v>
      </c>
      <c r="O558">
        <f>IFERROR(INDEX(_怪物基线!$B$2:$B$501,MATCH(INT($L558),_怪物基线!$A$2:$A$501,0)),"")</f>
        <v>450142</v>
      </c>
      <c r="P558">
        <f>IFERROR(INDEX(_怪物基线!$C$2:$C$501,MATCH(INT($L558),_怪物基线!$A$2:$A$501,0)),"")</f>
        <v>40607</v>
      </c>
      <c r="Q558">
        <f>IFERROR(INDEX(_怪物基线!$D$2:$D$501,MATCH(INT($L558),_怪物基线!$A$2:$A$501,0)),"")</f>
        <v>31393</v>
      </c>
      <c r="R558">
        <f>参数!$B$10</f>
        <v>4</v>
      </c>
      <c r="S558">
        <f>参数!$C$10</f>
        <v>1.2</v>
      </c>
      <c r="T558">
        <f>参数!$D$10</f>
        <v>1</v>
      </c>
      <c r="U558">
        <f t="shared" si="64"/>
        <v>1800568</v>
      </c>
      <c r="V558">
        <f t="shared" si="65"/>
        <v>48728.4</v>
      </c>
      <c r="W558">
        <f t="shared" si="66"/>
        <v>31393</v>
      </c>
      <c r="X558">
        <f>IFERROR(INDEX(参数!$B$5:$B$7,MATCH($N558,参数!$A$5:$A$7,0)),"")</f>
        <v>1</v>
      </c>
      <c r="Y558">
        <f>IFERROR(INDEX(参数!$C$5:$C$7,MATCH($N558,参数!$A$5:$A$7,0)),"")</f>
        <v>1.2</v>
      </c>
      <c r="Z558">
        <f>IFERROR(INDEX(参数!$D$5:$D$7,MATCH($N558,参数!$A$5:$A$7,0)),"")</f>
        <v>1</v>
      </c>
      <c r="AA558">
        <f>IFERROR(INDEX(楼层配置!$E$5:$E$204,MATCH($K558,楼层配置!$B$5:$B$204,0)),1)</f>
        <v>1.12582067235919</v>
      </c>
      <c r="AB558">
        <f>IFERROR(INDEX(楼层配置!$F$5:$F$204,MATCH($K558,楼层配置!$B$5:$B$204,0)),1)</f>
        <v>0.729834891319568</v>
      </c>
      <c r="AC558">
        <f>IFERROR(INDEX(楼层配置!$G$5:$G$204,MATCH($K558,楼层配置!$B$5:$B$204,0)),1)</f>
        <v>1</v>
      </c>
      <c r="AD558" t="str">
        <f t="shared" si="67"/>
        <v/>
      </c>
      <c r="AE558" t="str">
        <f t="shared" si="68"/>
        <v/>
      </c>
      <c r="AF558" t="str">
        <f t="shared" si="69"/>
        <v/>
      </c>
      <c r="AG558" t="str">
        <f t="shared" si="70"/>
        <v>有效</v>
      </c>
      <c r="AH558">
        <f t="shared" si="71"/>
        <v>4678670.49920833</v>
      </c>
    </row>
    <row r="559" spans="1:34">
      <c r="A559">
        <v>555</v>
      </c>
      <c r="B559">
        <v>1029</v>
      </c>
      <c r="C559">
        <v>60</v>
      </c>
      <c r="D559">
        <f>IFERROR(ROUND($U559*$X559*$AA559*参数!$B$13,0),"")</f>
        <v>2533896</v>
      </c>
      <c r="E559">
        <f>IFERROR(ROUND($V559*$Y559*$AB559*参数!$C$13,0),"")</f>
        <v>35564</v>
      </c>
      <c r="F559">
        <f>IFERROR(ROUND($W559*$Z559*$AC559*参数!$D$13,0),"")</f>
        <v>39241</v>
      </c>
      <c r="J559">
        <v>111</v>
      </c>
      <c r="K559">
        <v>111</v>
      </c>
      <c r="L559">
        <f>IFERROR(INDEX(楼层配置!$D$5:$D$204,MATCH($K559,楼层配置!$B$5:$B$204,0)),"")</f>
        <v>293</v>
      </c>
      <c r="M559" t="str">
        <f>IFERROR(INDEX(_角色基线!$B$2:$B$100,MATCH($B559,_角色基线!$A$2:$A$100,0)),"")</f>
        <v>凯兰</v>
      </c>
      <c r="N559" t="str">
        <f>IFERROR(INDEX(_角色基线!$C$2:$C$100,MATCH($B559,_角色基线!$A$2:$A$100,0)),"")</f>
        <v>Support</v>
      </c>
      <c r="O559">
        <f>IFERROR(INDEX(_怪物基线!$B$2:$B$501,MATCH(INT($L559),_怪物基线!$A$2:$A$501,0)),"")</f>
        <v>450142</v>
      </c>
      <c r="P559">
        <f>IFERROR(INDEX(_怪物基线!$C$2:$C$501,MATCH(INT($L559),_怪物基线!$A$2:$A$501,0)),"")</f>
        <v>40607</v>
      </c>
      <c r="Q559">
        <f>IFERROR(INDEX(_怪物基线!$D$2:$D$501,MATCH(INT($L559),_怪物基线!$A$2:$A$501,0)),"")</f>
        <v>31393</v>
      </c>
      <c r="R559">
        <f>参数!$B$10</f>
        <v>4</v>
      </c>
      <c r="S559">
        <f>参数!$C$10</f>
        <v>1.2</v>
      </c>
      <c r="T559">
        <f>参数!$D$10</f>
        <v>1</v>
      </c>
      <c r="U559">
        <f t="shared" si="64"/>
        <v>1800568</v>
      </c>
      <c r="V559">
        <f t="shared" si="65"/>
        <v>48728.4</v>
      </c>
      <c r="W559">
        <f t="shared" si="66"/>
        <v>31393</v>
      </c>
      <c r="X559">
        <f>IFERROR(INDEX(参数!$B$5:$B$7,MATCH($N559,参数!$A$5:$A$7,0)),"")</f>
        <v>1.25</v>
      </c>
      <c r="Y559">
        <f>IFERROR(INDEX(参数!$C$5:$C$7,MATCH($N559,参数!$A$5:$A$7,0)),"")</f>
        <v>1</v>
      </c>
      <c r="Z559">
        <f>IFERROR(INDEX(参数!$D$5:$D$7,MATCH($N559,参数!$A$5:$A$7,0)),"")</f>
        <v>1.25</v>
      </c>
      <c r="AA559">
        <f>IFERROR(INDEX(楼层配置!$E$5:$E$204,MATCH($K559,楼层配置!$B$5:$B$204,0)),1)</f>
        <v>1.12582067235919</v>
      </c>
      <c r="AB559">
        <f>IFERROR(INDEX(楼层配置!$F$5:$F$204,MATCH($K559,楼层配置!$B$5:$B$204,0)),1)</f>
        <v>0.729834891319568</v>
      </c>
      <c r="AC559">
        <f>IFERROR(INDEX(楼层配置!$G$5:$G$204,MATCH($K559,楼层配置!$B$5:$B$204,0)),1)</f>
        <v>1</v>
      </c>
      <c r="AD559" t="str">
        <f t="shared" si="67"/>
        <v/>
      </c>
      <c r="AE559" t="str">
        <f t="shared" si="68"/>
        <v/>
      </c>
      <c r="AF559" t="str">
        <f t="shared" si="69"/>
        <v/>
      </c>
      <c r="AG559" t="str">
        <f t="shared" si="70"/>
        <v>有效</v>
      </c>
      <c r="AH559">
        <f t="shared" si="71"/>
        <v>6676921.539</v>
      </c>
    </row>
    <row r="560" spans="1:34">
      <c r="A560">
        <v>556</v>
      </c>
      <c r="B560">
        <v>1003</v>
      </c>
      <c r="C560">
        <v>60</v>
      </c>
      <c r="D560">
        <f>IFERROR(ROUND($U560*$X560*$AA560*参数!$B$13,0),"")</f>
        <v>3098727</v>
      </c>
      <c r="E560">
        <f>IFERROR(ROUND($V560*$Y560*$AB560*参数!$C$13,0),"")</f>
        <v>36075</v>
      </c>
      <c r="F560">
        <f>IFERROR(ROUND($W560*$Z560*$AC560*参数!$D$13,0),"")</f>
        <v>47511</v>
      </c>
      <c r="J560">
        <v>112</v>
      </c>
      <c r="K560">
        <v>112</v>
      </c>
      <c r="L560">
        <f>IFERROR(INDEX(楼层配置!$D$5:$D$204,MATCH($K560,楼层配置!$B$5:$B$204,0)),"")</f>
        <v>295</v>
      </c>
      <c r="M560" t="str">
        <f>IFERROR(INDEX(_角色基线!$B$2:$B$100,MATCH($B560,_角色基线!$A$2:$A$100,0)),"")</f>
        <v>塔拉夏</v>
      </c>
      <c r="N560" t="str">
        <f>IFERROR(INDEX(_角色基线!$C$2:$C$100,MATCH($B560,_角色基线!$A$2:$A$100,0)),"")</f>
        <v>Tank</v>
      </c>
      <c r="O560">
        <f>IFERROR(INDEX(_怪物基线!$B$2:$B$501,MATCH(INT($L560),_怪物基线!$A$2:$A$501,0)),"")</f>
        <v>458736</v>
      </c>
      <c r="P560">
        <f>IFERROR(INDEX(_怪物基线!$C$2:$C$501,MATCH(INT($L560),_怪物基线!$A$2:$A$501,0)),"")</f>
        <v>41191</v>
      </c>
      <c r="Q560">
        <f>IFERROR(INDEX(_怪物基线!$D$2:$D$501,MATCH(INT($L560),_怪物基线!$A$2:$A$501,0)),"")</f>
        <v>31674</v>
      </c>
      <c r="R560">
        <f>参数!$B$10</f>
        <v>4</v>
      </c>
      <c r="S560">
        <f>参数!$C$10</f>
        <v>1.2</v>
      </c>
      <c r="T560">
        <f>参数!$D$10</f>
        <v>1</v>
      </c>
      <c r="U560">
        <f t="shared" si="64"/>
        <v>1834944</v>
      </c>
      <c r="V560">
        <f t="shared" si="65"/>
        <v>49429.2</v>
      </c>
      <c r="W560">
        <f t="shared" si="66"/>
        <v>31674</v>
      </c>
      <c r="X560">
        <f>IFERROR(INDEX(参数!$B$5:$B$7,MATCH($N560,参数!$A$5:$A$7,0)),"")</f>
        <v>1.5</v>
      </c>
      <c r="Y560">
        <f>IFERROR(INDEX(参数!$C$5:$C$7,MATCH($N560,参数!$A$5:$A$7,0)),"")</f>
        <v>1</v>
      </c>
      <c r="Z560">
        <f>IFERROR(INDEX(参数!$D$5:$D$7,MATCH($N560,参数!$A$5:$A$7,0)),"")</f>
        <v>1.5</v>
      </c>
      <c r="AA560">
        <f>IFERROR(INDEX(楼层配置!$E$5:$E$204,MATCH($K560,楼层配置!$B$5:$B$204,0)),1)</f>
        <v>1.12582067235919</v>
      </c>
      <c r="AB560">
        <f>IFERROR(INDEX(楼层配置!$F$5:$F$204,MATCH($K560,楼层配置!$B$5:$B$204,0)),1)</f>
        <v>0.729834891319568</v>
      </c>
      <c r="AC560">
        <f>IFERROR(INDEX(楼层配置!$G$5:$G$204,MATCH($K560,楼层配置!$B$5:$B$204,0)),1)</f>
        <v>1</v>
      </c>
      <c r="AD560" t="str">
        <f t="shared" si="67"/>
        <v/>
      </c>
      <c r="AE560" t="str">
        <f t="shared" si="68"/>
        <v/>
      </c>
      <c r="AF560" t="str">
        <f t="shared" si="69"/>
        <v/>
      </c>
      <c r="AG560" t="str">
        <f t="shared" si="70"/>
        <v>有效</v>
      </c>
      <c r="AH560">
        <f t="shared" si="71"/>
        <v>9233044.437375</v>
      </c>
    </row>
    <row r="561" spans="1:34">
      <c r="A561">
        <v>557</v>
      </c>
      <c r="B561">
        <v>1005</v>
      </c>
      <c r="C561">
        <v>60</v>
      </c>
      <c r="D561">
        <f>IFERROR(ROUND($U561*$X561*$AA561*参数!$B$13,0),"")</f>
        <v>2065818</v>
      </c>
      <c r="E561">
        <f>IFERROR(ROUND($V561*$Y561*$AB561*参数!$C$13,0),"")</f>
        <v>43290</v>
      </c>
      <c r="F561">
        <f>IFERROR(ROUND($W561*$Z561*$AC561*参数!$D$13,0),"")</f>
        <v>31674</v>
      </c>
      <c r="J561">
        <v>112</v>
      </c>
      <c r="K561">
        <v>112</v>
      </c>
      <c r="L561">
        <f>IFERROR(INDEX(楼层配置!$D$5:$D$204,MATCH($K561,楼层配置!$B$5:$B$204,0)),"")</f>
        <v>295</v>
      </c>
      <c r="M561" t="str">
        <f>IFERROR(INDEX(_角色基线!$B$2:$B$100,MATCH($B561,_角色基线!$A$2:$A$100,0)),"")</f>
        <v>陈单单</v>
      </c>
      <c r="N561" t="str">
        <f>IFERROR(INDEX(_角色基线!$C$2:$C$100,MATCH($B561,_角色基线!$A$2:$A$100,0)),"")</f>
        <v>DPS</v>
      </c>
      <c r="O561">
        <f>IFERROR(INDEX(_怪物基线!$B$2:$B$501,MATCH(INT($L561),_怪物基线!$A$2:$A$501,0)),"")</f>
        <v>458736</v>
      </c>
      <c r="P561">
        <f>IFERROR(INDEX(_怪物基线!$C$2:$C$501,MATCH(INT($L561),_怪物基线!$A$2:$A$501,0)),"")</f>
        <v>41191</v>
      </c>
      <c r="Q561">
        <f>IFERROR(INDEX(_怪物基线!$D$2:$D$501,MATCH(INT($L561),_怪物基线!$A$2:$A$501,0)),"")</f>
        <v>31674</v>
      </c>
      <c r="R561">
        <f>参数!$B$10</f>
        <v>4</v>
      </c>
      <c r="S561">
        <f>参数!$C$10</f>
        <v>1.2</v>
      </c>
      <c r="T561">
        <f>参数!$D$10</f>
        <v>1</v>
      </c>
      <c r="U561">
        <f t="shared" si="64"/>
        <v>1834944</v>
      </c>
      <c r="V561">
        <f t="shared" si="65"/>
        <v>49429.2</v>
      </c>
      <c r="W561">
        <f t="shared" si="66"/>
        <v>31674</v>
      </c>
      <c r="X561">
        <f>IFERROR(INDEX(参数!$B$5:$B$7,MATCH($N561,参数!$A$5:$A$7,0)),"")</f>
        <v>1</v>
      </c>
      <c r="Y561">
        <f>IFERROR(INDEX(参数!$C$5:$C$7,MATCH($N561,参数!$A$5:$A$7,0)),"")</f>
        <v>1.2</v>
      </c>
      <c r="Z561">
        <f>IFERROR(INDEX(参数!$D$5:$D$7,MATCH($N561,参数!$A$5:$A$7,0)),"")</f>
        <v>1</v>
      </c>
      <c r="AA561">
        <f>IFERROR(INDEX(楼层配置!$E$5:$E$204,MATCH($K561,楼层配置!$B$5:$B$204,0)),1)</f>
        <v>1.12582067235919</v>
      </c>
      <c r="AB561">
        <f>IFERROR(INDEX(楼层配置!$F$5:$F$204,MATCH($K561,楼层配置!$B$5:$B$204,0)),1)</f>
        <v>0.729834891319568</v>
      </c>
      <c r="AC561">
        <f>IFERROR(INDEX(楼层配置!$G$5:$G$204,MATCH($K561,楼层配置!$B$5:$B$204,0)),1)</f>
        <v>1</v>
      </c>
      <c r="AD561" t="str">
        <f t="shared" si="67"/>
        <v/>
      </c>
      <c r="AE561" t="str">
        <f t="shared" si="68"/>
        <v/>
      </c>
      <c r="AF561" t="str">
        <f t="shared" si="69"/>
        <v/>
      </c>
      <c r="AG561" t="str">
        <f t="shared" si="70"/>
        <v>有效</v>
      </c>
      <c r="AH561">
        <f t="shared" si="71"/>
        <v>4792181.3055</v>
      </c>
    </row>
    <row r="562" spans="1:34">
      <c r="A562">
        <v>558</v>
      </c>
      <c r="B562">
        <v>1005</v>
      </c>
      <c r="C562">
        <v>60</v>
      </c>
      <c r="D562">
        <f>IFERROR(ROUND($U562*$X562*$AA562*参数!$B$13,0),"")</f>
        <v>2065818</v>
      </c>
      <c r="E562">
        <f>IFERROR(ROUND($V562*$Y562*$AB562*参数!$C$13,0),"")</f>
        <v>43290</v>
      </c>
      <c r="F562">
        <f>IFERROR(ROUND($W562*$Z562*$AC562*参数!$D$13,0),"")</f>
        <v>31674</v>
      </c>
      <c r="J562">
        <v>112</v>
      </c>
      <c r="K562">
        <v>112</v>
      </c>
      <c r="L562">
        <f>IFERROR(INDEX(楼层配置!$D$5:$D$204,MATCH($K562,楼层配置!$B$5:$B$204,0)),"")</f>
        <v>295</v>
      </c>
      <c r="M562" t="str">
        <f>IFERROR(INDEX(_角色基线!$B$2:$B$100,MATCH($B562,_角色基线!$A$2:$A$100,0)),"")</f>
        <v>陈单单</v>
      </c>
      <c r="N562" t="str">
        <f>IFERROR(INDEX(_角色基线!$C$2:$C$100,MATCH($B562,_角色基线!$A$2:$A$100,0)),"")</f>
        <v>DPS</v>
      </c>
      <c r="O562">
        <f>IFERROR(INDEX(_怪物基线!$B$2:$B$501,MATCH(INT($L562),_怪物基线!$A$2:$A$501,0)),"")</f>
        <v>458736</v>
      </c>
      <c r="P562">
        <f>IFERROR(INDEX(_怪物基线!$C$2:$C$501,MATCH(INT($L562),_怪物基线!$A$2:$A$501,0)),"")</f>
        <v>41191</v>
      </c>
      <c r="Q562">
        <f>IFERROR(INDEX(_怪物基线!$D$2:$D$501,MATCH(INT($L562),_怪物基线!$A$2:$A$501,0)),"")</f>
        <v>31674</v>
      </c>
      <c r="R562">
        <f>参数!$B$10</f>
        <v>4</v>
      </c>
      <c r="S562">
        <f>参数!$C$10</f>
        <v>1.2</v>
      </c>
      <c r="T562">
        <f>参数!$D$10</f>
        <v>1</v>
      </c>
      <c r="U562">
        <f t="shared" si="64"/>
        <v>1834944</v>
      </c>
      <c r="V562">
        <f t="shared" si="65"/>
        <v>49429.2</v>
      </c>
      <c r="W562">
        <f t="shared" si="66"/>
        <v>31674</v>
      </c>
      <c r="X562">
        <f>IFERROR(INDEX(参数!$B$5:$B$7,MATCH($N562,参数!$A$5:$A$7,0)),"")</f>
        <v>1</v>
      </c>
      <c r="Y562">
        <f>IFERROR(INDEX(参数!$C$5:$C$7,MATCH($N562,参数!$A$5:$A$7,0)),"")</f>
        <v>1.2</v>
      </c>
      <c r="Z562">
        <f>IFERROR(INDEX(参数!$D$5:$D$7,MATCH($N562,参数!$A$5:$A$7,0)),"")</f>
        <v>1</v>
      </c>
      <c r="AA562">
        <f>IFERROR(INDEX(楼层配置!$E$5:$E$204,MATCH($K562,楼层配置!$B$5:$B$204,0)),1)</f>
        <v>1.12582067235919</v>
      </c>
      <c r="AB562">
        <f>IFERROR(INDEX(楼层配置!$F$5:$F$204,MATCH($K562,楼层配置!$B$5:$B$204,0)),1)</f>
        <v>0.729834891319568</v>
      </c>
      <c r="AC562">
        <f>IFERROR(INDEX(楼层配置!$G$5:$G$204,MATCH($K562,楼层配置!$B$5:$B$204,0)),1)</f>
        <v>1</v>
      </c>
      <c r="AD562" t="str">
        <f t="shared" si="67"/>
        <v/>
      </c>
      <c r="AE562" t="str">
        <f t="shared" si="68"/>
        <v/>
      </c>
      <c r="AF562" t="str">
        <f t="shared" si="69"/>
        <v/>
      </c>
      <c r="AG562" t="str">
        <f t="shared" si="70"/>
        <v>有效</v>
      </c>
      <c r="AH562">
        <f t="shared" si="71"/>
        <v>4792181.3055</v>
      </c>
    </row>
    <row r="563" spans="1:34">
      <c r="A563">
        <v>559</v>
      </c>
      <c r="B563">
        <v>1005</v>
      </c>
      <c r="C563">
        <v>60</v>
      </c>
      <c r="D563">
        <f>IFERROR(ROUND($U563*$X563*$AA563*参数!$B$13,0),"")</f>
        <v>2065818</v>
      </c>
      <c r="E563">
        <f>IFERROR(ROUND($V563*$Y563*$AB563*参数!$C$13,0),"")</f>
        <v>43290</v>
      </c>
      <c r="F563">
        <f>IFERROR(ROUND($W563*$Z563*$AC563*参数!$D$13,0),"")</f>
        <v>31674</v>
      </c>
      <c r="J563">
        <v>112</v>
      </c>
      <c r="K563">
        <v>112</v>
      </c>
      <c r="L563">
        <f>IFERROR(INDEX(楼层配置!$D$5:$D$204,MATCH($K563,楼层配置!$B$5:$B$204,0)),"")</f>
        <v>295</v>
      </c>
      <c r="M563" t="str">
        <f>IFERROR(INDEX(_角色基线!$B$2:$B$100,MATCH($B563,_角色基线!$A$2:$A$100,0)),"")</f>
        <v>陈单单</v>
      </c>
      <c r="N563" t="str">
        <f>IFERROR(INDEX(_角色基线!$C$2:$C$100,MATCH($B563,_角色基线!$A$2:$A$100,0)),"")</f>
        <v>DPS</v>
      </c>
      <c r="O563">
        <f>IFERROR(INDEX(_怪物基线!$B$2:$B$501,MATCH(INT($L563),_怪物基线!$A$2:$A$501,0)),"")</f>
        <v>458736</v>
      </c>
      <c r="P563">
        <f>IFERROR(INDEX(_怪物基线!$C$2:$C$501,MATCH(INT($L563),_怪物基线!$A$2:$A$501,0)),"")</f>
        <v>41191</v>
      </c>
      <c r="Q563">
        <f>IFERROR(INDEX(_怪物基线!$D$2:$D$501,MATCH(INT($L563),_怪物基线!$A$2:$A$501,0)),"")</f>
        <v>31674</v>
      </c>
      <c r="R563">
        <f>参数!$B$10</f>
        <v>4</v>
      </c>
      <c r="S563">
        <f>参数!$C$10</f>
        <v>1.2</v>
      </c>
      <c r="T563">
        <f>参数!$D$10</f>
        <v>1</v>
      </c>
      <c r="U563">
        <f t="shared" si="64"/>
        <v>1834944</v>
      </c>
      <c r="V563">
        <f t="shared" si="65"/>
        <v>49429.2</v>
      </c>
      <c r="W563">
        <f t="shared" si="66"/>
        <v>31674</v>
      </c>
      <c r="X563">
        <f>IFERROR(INDEX(参数!$B$5:$B$7,MATCH($N563,参数!$A$5:$A$7,0)),"")</f>
        <v>1</v>
      </c>
      <c r="Y563">
        <f>IFERROR(INDEX(参数!$C$5:$C$7,MATCH($N563,参数!$A$5:$A$7,0)),"")</f>
        <v>1.2</v>
      </c>
      <c r="Z563">
        <f>IFERROR(INDEX(参数!$D$5:$D$7,MATCH($N563,参数!$A$5:$A$7,0)),"")</f>
        <v>1</v>
      </c>
      <c r="AA563">
        <f>IFERROR(INDEX(楼层配置!$E$5:$E$204,MATCH($K563,楼层配置!$B$5:$B$204,0)),1)</f>
        <v>1.12582067235919</v>
      </c>
      <c r="AB563">
        <f>IFERROR(INDEX(楼层配置!$F$5:$F$204,MATCH($K563,楼层配置!$B$5:$B$204,0)),1)</f>
        <v>0.729834891319568</v>
      </c>
      <c r="AC563">
        <f>IFERROR(INDEX(楼层配置!$G$5:$G$204,MATCH($K563,楼层配置!$B$5:$B$204,0)),1)</f>
        <v>1</v>
      </c>
      <c r="AD563" t="str">
        <f t="shared" si="67"/>
        <v/>
      </c>
      <c r="AE563" t="str">
        <f t="shared" si="68"/>
        <v/>
      </c>
      <c r="AF563" t="str">
        <f t="shared" si="69"/>
        <v/>
      </c>
      <c r="AG563" t="str">
        <f t="shared" si="70"/>
        <v>有效</v>
      </c>
      <c r="AH563">
        <f t="shared" si="71"/>
        <v>4792181.3055</v>
      </c>
    </row>
    <row r="564" spans="1:34">
      <c r="A564">
        <v>560</v>
      </c>
      <c r="B564">
        <v>1029</v>
      </c>
      <c r="C564">
        <v>60</v>
      </c>
      <c r="D564">
        <f>IFERROR(ROUND($U564*$X564*$AA564*参数!$B$13,0),"")</f>
        <v>2582272</v>
      </c>
      <c r="E564">
        <f>IFERROR(ROUND($V564*$Y564*$AB564*参数!$C$13,0),"")</f>
        <v>36075</v>
      </c>
      <c r="F564">
        <f>IFERROR(ROUND($W564*$Z564*$AC564*参数!$D$13,0),"")</f>
        <v>39593</v>
      </c>
      <c r="J564">
        <v>112</v>
      </c>
      <c r="K564">
        <v>112</v>
      </c>
      <c r="L564">
        <f>IFERROR(INDEX(楼层配置!$D$5:$D$204,MATCH($K564,楼层配置!$B$5:$B$204,0)),"")</f>
        <v>295</v>
      </c>
      <c r="M564" t="str">
        <f>IFERROR(INDEX(_角色基线!$B$2:$B$100,MATCH($B564,_角色基线!$A$2:$A$100,0)),"")</f>
        <v>凯兰</v>
      </c>
      <c r="N564" t="str">
        <f>IFERROR(INDEX(_角色基线!$C$2:$C$100,MATCH($B564,_角色基线!$A$2:$A$100,0)),"")</f>
        <v>Support</v>
      </c>
      <c r="O564">
        <f>IFERROR(INDEX(_怪物基线!$B$2:$B$501,MATCH(INT($L564),_怪物基线!$A$2:$A$501,0)),"")</f>
        <v>458736</v>
      </c>
      <c r="P564">
        <f>IFERROR(INDEX(_怪物基线!$C$2:$C$501,MATCH(INT($L564),_怪物基线!$A$2:$A$501,0)),"")</f>
        <v>41191</v>
      </c>
      <c r="Q564">
        <f>IFERROR(INDEX(_怪物基线!$D$2:$D$501,MATCH(INT($L564),_怪物基线!$A$2:$A$501,0)),"")</f>
        <v>31674</v>
      </c>
      <c r="R564">
        <f>参数!$B$10</f>
        <v>4</v>
      </c>
      <c r="S564">
        <f>参数!$C$10</f>
        <v>1.2</v>
      </c>
      <c r="T564">
        <f>参数!$D$10</f>
        <v>1</v>
      </c>
      <c r="U564">
        <f t="shared" si="64"/>
        <v>1834944</v>
      </c>
      <c r="V564">
        <f t="shared" si="65"/>
        <v>49429.2</v>
      </c>
      <c r="W564">
        <f t="shared" si="66"/>
        <v>31674</v>
      </c>
      <c r="X564">
        <f>IFERROR(INDEX(参数!$B$5:$B$7,MATCH($N564,参数!$A$5:$A$7,0)),"")</f>
        <v>1.25</v>
      </c>
      <c r="Y564">
        <f>IFERROR(INDEX(参数!$C$5:$C$7,MATCH($N564,参数!$A$5:$A$7,0)),"")</f>
        <v>1</v>
      </c>
      <c r="Z564">
        <f>IFERROR(INDEX(参数!$D$5:$D$7,MATCH($N564,参数!$A$5:$A$7,0)),"")</f>
        <v>1.25</v>
      </c>
      <c r="AA564">
        <f>IFERROR(INDEX(楼层配置!$E$5:$E$204,MATCH($K564,楼层配置!$B$5:$B$204,0)),1)</f>
        <v>1.12582067235919</v>
      </c>
      <c r="AB564">
        <f>IFERROR(INDEX(楼层配置!$F$5:$F$204,MATCH($K564,楼层配置!$B$5:$B$204,0)),1)</f>
        <v>0.729834891319568</v>
      </c>
      <c r="AC564">
        <f>IFERROR(INDEX(楼层配置!$G$5:$G$204,MATCH($K564,楼层配置!$B$5:$B$204,0)),1)</f>
        <v>1</v>
      </c>
      <c r="AD564" t="str">
        <f t="shared" si="67"/>
        <v/>
      </c>
      <c r="AE564" t="str">
        <f t="shared" si="68"/>
        <v/>
      </c>
      <c r="AF564" t="str">
        <f t="shared" si="69"/>
        <v/>
      </c>
      <c r="AG564" t="str">
        <f t="shared" si="70"/>
        <v>有效</v>
      </c>
      <c r="AH564">
        <f t="shared" si="71"/>
        <v>6842267.63733333</v>
      </c>
    </row>
    <row r="565" spans="1:34">
      <c r="A565">
        <v>561</v>
      </c>
      <c r="B565">
        <v>1003</v>
      </c>
      <c r="C565">
        <v>60</v>
      </c>
      <c r="D565">
        <f>IFERROR(ROUND($U565*$X565*$AA565*参数!$B$13,0),"")</f>
        <v>3128063</v>
      </c>
      <c r="E565">
        <f>IFERROR(ROUND($V565*$Y565*$AB565*参数!$C$13,0),"")</f>
        <v>36334</v>
      </c>
      <c r="F565">
        <f>IFERROR(ROUND($W565*$Z565*$AC565*参数!$D$13,0),"")</f>
        <v>47723</v>
      </c>
      <c r="J565">
        <v>113</v>
      </c>
      <c r="K565">
        <v>113</v>
      </c>
      <c r="L565">
        <f>IFERROR(INDEX(楼层配置!$D$5:$D$204,MATCH($K565,楼层配置!$B$5:$B$204,0)),"")</f>
        <v>296</v>
      </c>
      <c r="M565" t="str">
        <f>IFERROR(INDEX(_角色基线!$B$2:$B$100,MATCH($B565,_角色基线!$A$2:$A$100,0)),"")</f>
        <v>塔拉夏</v>
      </c>
      <c r="N565" t="str">
        <f>IFERROR(INDEX(_角色基线!$C$2:$C$100,MATCH($B565,_角色基线!$A$2:$A$100,0)),"")</f>
        <v>Tank</v>
      </c>
      <c r="O565">
        <f>IFERROR(INDEX(_怪物基线!$B$2:$B$501,MATCH(INT($L565),_怪物基线!$A$2:$A$501,0)),"")</f>
        <v>463079</v>
      </c>
      <c r="P565">
        <f>IFERROR(INDEX(_怪物基线!$C$2:$C$501,MATCH(INT($L565),_怪物基线!$A$2:$A$501,0)),"")</f>
        <v>41486</v>
      </c>
      <c r="Q565">
        <f>IFERROR(INDEX(_怪物基线!$D$2:$D$501,MATCH(INT($L565),_怪物基线!$A$2:$A$501,0)),"")</f>
        <v>31815</v>
      </c>
      <c r="R565">
        <f>参数!$B$10</f>
        <v>4</v>
      </c>
      <c r="S565">
        <f>参数!$C$10</f>
        <v>1.2</v>
      </c>
      <c r="T565">
        <f>参数!$D$10</f>
        <v>1</v>
      </c>
      <c r="U565">
        <f t="shared" si="64"/>
        <v>1852316</v>
      </c>
      <c r="V565">
        <f t="shared" si="65"/>
        <v>49783.2</v>
      </c>
      <c r="W565">
        <f t="shared" si="66"/>
        <v>31815</v>
      </c>
      <c r="X565">
        <f>IFERROR(INDEX(参数!$B$5:$B$7,MATCH($N565,参数!$A$5:$A$7,0)),"")</f>
        <v>1.5</v>
      </c>
      <c r="Y565">
        <f>IFERROR(INDEX(参数!$C$5:$C$7,MATCH($N565,参数!$A$5:$A$7,0)),"")</f>
        <v>1</v>
      </c>
      <c r="Z565">
        <f>IFERROR(INDEX(参数!$D$5:$D$7,MATCH($N565,参数!$A$5:$A$7,0)),"")</f>
        <v>1.5</v>
      </c>
      <c r="AA565">
        <f>IFERROR(INDEX(楼层配置!$E$5:$E$204,MATCH($K565,楼层配置!$B$5:$B$204,0)),1)</f>
        <v>1.12582067235919</v>
      </c>
      <c r="AB565">
        <f>IFERROR(INDEX(楼层配置!$F$5:$F$204,MATCH($K565,楼层配置!$B$5:$B$204,0)),1)</f>
        <v>0.729834891319568</v>
      </c>
      <c r="AC565">
        <f>IFERROR(INDEX(楼层配置!$G$5:$G$204,MATCH($K565,楼层配置!$B$5:$B$204,0)),1)</f>
        <v>1</v>
      </c>
      <c r="AD565" t="str">
        <f t="shared" si="67"/>
        <v/>
      </c>
      <c r="AE565" t="str">
        <f t="shared" si="68"/>
        <v/>
      </c>
      <c r="AF565" t="str">
        <f t="shared" si="69"/>
        <v/>
      </c>
      <c r="AG565" t="str">
        <f t="shared" si="70"/>
        <v>有效</v>
      </c>
      <c r="AH565">
        <f t="shared" si="71"/>
        <v>9348085.93954167</v>
      </c>
    </row>
    <row r="566" spans="1:34">
      <c r="A566">
        <v>562</v>
      </c>
      <c r="B566">
        <v>1005</v>
      </c>
      <c r="C566">
        <v>60</v>
      </c>
      <c r="D566">
        <f>IFERROR(ROUND($U566*$X566*$AA566*参数!$B$13,0),"")</f>
        <v>2085376</v>
      </c>
      <c r="E566">
        <f>IFERROR(ROUND($V566*$Y566*$AB566*参数!$C$13,0),"")</f>
        <v>43600</v>
      </c>
      <c r="F566">
        <f>IFERROR(ROUND($W566*$Z566*$AC566*参数!$D$13,0),"")</f>
        <v>31815</v>
      </c>
      <c r="J566">
        <v>113</v>
      </c>
      <c r="K566">
        <v>113</v>
      </c>
      <c r="L566">
        <f>IFERROR(INDEX(楼层配置!$D$5:$D$204,MATCH($K566,楼层配置!$B$5:$B$204,0)),"")</f>
        <v>296</v>
      </c>
      <c r="M566" t="str">
        <f>IFERROR(INDEX(_角色基线!$B$2:$B$100,MATCH($B566,_角色基线!$A$2:$A$100,0)),"")</f>
        <v>陈单单</v>
      </c>
      <c r="N566" t="str">
        <f>IFERROR(INDEX(_角色基线!$C$2:$C$100,MATCH($B566,_角色基线!$A$2:$A$100,0)),"")</f>
        <v>DPS</v>
      </c>
      <c r="O566">
        <f>IFERROR(INDEX(_怪物基线!$B$2:$B$501,MATCH(INT($L566),_怪物基线!$A$2:$A$501,0)),"")</f>
        <v>463079</v>
      </c>
      <c r="P566">
        <f>IFERROR(INDEX(_怪物基线!$C$2:$C$501,MATCH(INT($L566),_怪物基线!$A$2:$A$501,0)),"")</f>
        <v>41486</v>
      </c>
      <c r="Q566">
        <f>IFERROR(INDEX(_怪物基线!$D$2:$D$501,MATCH(INT($L566),_怪物基线!$A$2:$A$501,0)),"")</f>
        <v>31815</v>
      </c>
      <c r="R566">
        <f>参数!$B$10</f>
        <v>4</v>
      </c>
      <c r="S566">
        <f>参数!$C$10</f>
        <v>1.2</v>
      </c>
      <c r="T566">
        <f>参数!$D$10</f>
        <v>1</v>
      </c>
      <c r="U566">
        <f t="shared" si="64"/>
        <v>1852316</v>
      </c>
      <c r="V566">
        <f t="shared" si="65"/>
        <v>49783.2</v>
      </c>
      <c r="W566">
        <f t="shared" si="66"/>
        <v>31815</v>
      </c>
      <c r="X566">
        <f>IFERROR(INDEX(参数!$B$5:$B$7,MATCH($N566,参数!$A$5:$A$7,0)),"")</f>
        <v>1</v>
      </c>
      <c r="Y566">
        <f>IFERROR(INDEX(参数!$C$5:$C$7,MATCH($N566,参数!$A$5:$A$7,0)),"")</f>
        <v>1.2</v>
      </c>
      <c r="Z566">
        <f>IFERROR(INDEX(参数!$D$5:$D$7,MATCH($N566,参数!$A$5:$A$7,0)),"")</f>
        <v>1</v>
      </c>
      <c r="AA566">
        <f>IFERROR(INDEX(楼层配置!$E$5:$E$204,MATCH($K566,楼层配置!$B$5:$B$204,0)),1)</f>
        <v>1.12582067235919</v>
      </c>
      <c r="AB566">
        <f>IFERROR(INDEX(楼层配置!$F$5:$F$204,MATCH($K566,楼层配置!$B$5:$B$204,0)),1)</f>
        <v>0.729834891319568</v>
      </c>
      <c r="AC566">
        <f>IFERROR(INDEX(楼层配置!$G$5:$G$204,MATCH($K566,楼层配置!$B$5:$B$204,0)),1)</f>
        <v>1</v>
      </c>
      <c r="AD566" t="str">
        <f t="shared" si="67"/>
        <v/>
      </c>
      <c r="AE566" t="str">
        <f t="shared" si="68"/>
        <v/>
      </c>
      <c r="AF566" t="str">
        <f t="shared" si="69"/>
        <v/>
      </c>
      <c r="AG566" t="str">
        <f t="shared" si="70"/>
        <v>有效</v>
      </c>
      <c r="AH566">
        <f t="shared" si="71"/>
        <v>4849802.56</v>
      </c>
    </row>
    <row r="567" spans="1:34">
      <c r="A567">
        <v>563</v>
      </c>
      <c r="B567">
        <v>1005</v>
      </c>
      <c r="C567">
        <v>60</v>
      </c>
      <c r="D567">
        <f>IFERROR(ROUND($U567*$X567*$AA567*参数!$B$13,0),"")</f>
        <v>2085376</v>
      </c>
      <c r="E567">
        <f>IFERROR(ROUND($V567*$Y567*$AB567*参数!$C$13,0),"")</f>
        <v>43600</v>
      </c>
      <c r="F567">
        <f>IFERROR(ROUND($W567*$Z567*$AC567*参数!$D$13,0),"")</f>
        <v>31815</v>
      </c>
      <c r="J567">
        <v>113</v>
      </c>
      <c r="K567">
        <v>113</v>
      </c>
      <c r="L567">
        <f>IFERROR(INDEX(楼层配置!$D$5:$D$204,MATCH($K567,楼层配置!$B$5:$B$204,0)),"")</f>
        <v>296</v>
      </c>
      <c r="M567" t="str">
        <f>IFERROR(INDEX(_角色基线!$B$2:$B$100,MATCH($B567,_角色基线!$A$2:$A$100,0)),"")</f>
        <v>陈单单</v>
      </c>
      <c r="N567" t="str">
        <f>IFERROR(INDEX(_角色基线!$C$2:$C$100,MATCH($B567,_角色基线!$A$2:$A$100,0)),"")</f>
        <v>DPS</v>
      </c>
      <c r="O567">
        <f>IFERROR(INDEX(_怪物基线!$B$2:$B$501,MATCH(INT($L567),_怪物基线!$A$2:$A$501,0)),"")</f>
        <v>463079</v>
      </c>
      <c r="P567">
        <f>IFERROR(INDEX(_怪物基线!$C$2:$C$501,MATCH(INT($L567),_怪物基线!$A$2:$A$501,0)),"")</f>
        <v>41486</v>
      </c>
      <c r="Q567">
        <f>IFERROR(INDEX(_怪物基线!$D$2:$D$501,MATCH(INT($L567),_怪物基线!$A$2:$A$501,0)),"")</f>
        <v>31815</v>
      </c>
      <c r="R567">
        <f>参数!$B$10</f>
        <v>4</v>
      </c>
      <c r="S567">
        <f>参数!$C$10</f>
        <v>1.2</v>
      </c>
      <c r="T567">
        <f>参数!$D$10</f>
        <v>1</v>
      </c>
      <c r="U567">
        <f t="shared" si="64"/>
        <v>1852316</v>
      </c>
      <c r="V567">
        <f t="shared" si="65"/>
        <v>49783.2</v>
      </c>
      <c r="W567">
        <f t="shared" si="66"/>
        <v>31815</v>
      </c>
      <c r="X567">
        <f>IFERROR(INDEX(参数!$B$5:$B$7,MATCH($N567,参数!$A$5:$A$7,0)),"")</f>
        <v>1</v>
      </c>
      <c r="Y567">
        <f>IFERROR(INDEX(参数!$C$5:$C$7,MATCH($N567,参数!$A$5:$A$7,0)),"")</f>
        <v>1.2</v>
      </c>
      <c r="Z567">
        <f>IFERROR(INDEX(参数!$D$5:$D$7,MATCH($N567,参数!$A$5:$A$7,0)),"")</f>
        <v>1</v>
      </c>
      <c r="AA567">
        <f>IFERROR(INDEX(楼层配置!$E$5:$E$204,MATCH($K567,楼层配置!$B$5:$B$204,0)),1)</f>
        <v>1.12582067235919</v>
      </c>
      <c r="AB567">
        <f>IFERROR(INDEX(楼层配置!$F$5:$F$204,MATCH($K567,楼层配置!$B$5:$B$204,0)),1)</f>
        <v>0.729834891319568</v>
      </c>
      <c r="AC567">
        <f>IFERROR(INDEX(楼层配置!$G$5:$G$204,MATCH($K567,楼层配置!$B$5:$B$204,0)),1)</f>
        <v>1</v>
      </c>
      <c r="AD567" t="str">
        <f t="shared" si="67"/>
        <v/>
      </c>
      <c r="AE567" t="str">
        <f t="shared" si="68"/>
        <v/>
      </c>
      <c r="AF567" t="str">
        <f t="shared" si="69"/>
        <v/>
      </c>
      <c r="AG567" t="str">
        <f t="shared" si="70"/>
        <v>有效</v>
      </c>
      <c r="AH567">
        <f t="shared" si="71"/>
        <v>4849802.56</v>
      </c>
    </row>
    <row r="568" spans="1:34">
      <c r="A568">
        <v>564</v>
      </c>
      <c r="B568">
        <v>1005</v>
      </c>
      <c r="C568">
        <v>60</v>
      </c>
      <c r="D568">
        <f>IFERROR(ROUND($U568*$X568*$AA568*参数!$B$13,0),"")</f>
        <v>2085376</v>
      </c>
      <c r="E568">
        <f>IFERROR(ROUND($V568*$Y568*$AB568*参数!$C$13,0),"")</f>
        <v>43600</v>
      </c>
      <c r="F568">
        <f>IFERROR(ROUND($W568*$Z568*$AC568*参数!$D$13,0),"")</f>
        <v>31815</v>
      </c>
      <c r="J568">
        <v>113</v>
      </c>
      <c r="K568">
        <v>113</v>
      </c>
      <c r="L568">
        <f>IFERROR(INDEX(楼层配置!$D$5:$D$204,MATCH($K568,楼层配置!$B$5:$B$204,0)),"")</f>
        <v>296</v>
      </c>
      <c r="M568" t="str">
        <f>IFERROR(INDEX(_角色基线!$B$2:$B$100,MATCH($B568,_角色基线!$A$2:$A$100,0)),"")</f>
        <v>陈单单</v>
      </c>
      <c r="N568" t="str">
        <f>IFERROR(INDEX(_角色基线!$C$2:$C$100,MATCH($B568,_角色基线!$A$2:$A$100,0)),"")</f>
        <v>DPS</v>
      </c>
      <c r="O568">
        <f>IFERROR(INDEX(_怪物基线!$B$2:$B$501,MATCH(INT($L568),_怪物基线!$A$2:$A$501,0)),"")</f>
        <v>463079</v>
      </c>
      <c r="P568">
        <f>IFERROR(INDEX(_怪物基线!$C$2:$C$501,MATCH(INT($L568),_怪物基线!$A$2:$A$501,0)),"")</f>
        <v>41486</v>
      </c>
      <c r="Q568">
        <f>IFERROR(INDEX(_怪物基线!$D$2:$D$501,MATCH(INT($L568),_怪物基线!$A$2:$A$501,0)),"")</f>
        <v>31815</v>
      </c>
      <c r="R568">
        <f>参数!$B$10</f>
        <v>4</v>
      </c>
      <c r="S568">
        <f>参数!$C$10</f>
        <v>1.2</v>
      </c>
      <c r="T568">
        <f>参数!$D$10</f>
        <v>1</v>
      </c>
      <c r="U568">
        <f t="shared" si="64"/>
        <v>1852316</v>
      </c>
      <c r="V568">
        <f t="shared" si="65"/>
        <v>49783.2</v>
      </c>
      <c r="W568">
        <f t="shared" si="66"/>
        <v>31815</v>
      </c>
      <c r="X568">
        <f>IFERROR(INDEX(参数!$B$5:$B$7,MATCH($N568,参数!$A$5:$A$7,0)),"")</f>
        <v>1</v>
      </c>
      <c r="Y568">
        <f>IFERROR(INDEX(参数!$C$5:$C$7,MATCH($N568,参数!$A$5:$A$7,0)),"")</f>
        <v>1.2</v>
      </c>
      <c r="Z568">
        <f>IFERROR(INDEX(参数!$D$5:$D$7,MATCH($N568,参数!$A$5:$A$7,0)),"")</f>
        <v>1</v>
      </c>
      <c r="AA568">
        <f>IFERROR(INDEX(楼层配置!$E$5:$E$204,MATCH($K568,楼层配置!$B$5:$B$204,0)),1)</f>
        <v>1.12582067235919</v>
      </c>
      <c r="AB568">
        <f>IFERROR(INDEX(楼层配置!$F$5:$F$204,MATCH($K568,楼层配置!$B$5:$B$204,0)),1)</f>
        <v>0.729834891319568</v>
      </c>
      <c r="AC568">
        <f>IFERROR(INDEX(楼层配置!$G$5:$G$204,MATCH($K568,楼层配置!$B$5:$B$204,0)),1)</f>
        <v>1</v>
      </c>
      <c r="AD568" t="str">
        <f t="shared" si="67"/>
        <v/>
      </c>
      <c r="AE568" t="str">
        <f t="shared" si="68"/>
        <v/>
      </c>
      <c r="AF568" t="str">
        <f t="shared" si="69"/>
        <v/>
      </c>
      <c r="AG568" t="str">
        <f t="shared" si="70"/>
        <v>有效</v>
      </c>
      <c r="AH568">
        <f t="shared" si="71"/>
        <v>4849802.56</v>
      </c>
    </row>
    <row r="569" spans="1:34">
      <c r="A569">
        <v>565</v>
      </c>
      <c r="B569">
        <v>1029</v>
      </c>
      <c r="C569">
        <v>60</v>
      </c>
      <c r="D569">
        <f>IFERROR(ROUND($U569*$X569*$AA569*参数!$B$13,0),"")</f>
        <v>2606720</v>
      </c>
      <c r="E569">
        <f>IFERROR(ROUND($V569*$Y569*$AB569*参数!$C$13,0),"")</f>
        <v>36334</v>
      </c>
      <c r="F569">
        <f>IFERROR(ROUND($W569*$Z569*$AC569*参数!$D$13,0),"")</f>
        <v>39769</v>
      </c>
      <c r="J569">
        <v>113</v>
      </c>
      <c r="K569">
        <v>113</v>
      </c>
      <c r="L569">
        <f>IFERROR(INDEX(楼层配置!$D$5:$D$204,MATCH($K569,楼层配置!$B$5:$B$204,0)),"")</f>
        <v>296</v>
      </c>
      <c r="M569" t="str">
        <f>IFERROR(INDEX(_角色基线!$B$2:$B$100,MATCH($B569,_角色基线!$A$2:$A$100,0)),"")</f>
        <v>凯兰</v>
      </c>
      <c r="N569" t="str">
        <f>IFERROR(INDEX(_角色基线!$C$2:$C$100,MATCH($B569,_角色基线!$A$2:$A$100,0)),"")</f>
        <v>Support</v>
      </c>
      <c r="O569">
        <f>IFERROR(INDEX(_怪物基线!$B$2:$B$501,MATCH(INT($L569),_怪物基线!$A$2:$A$501,0)),"")</f>
        <v>463079</v>
      </c>
      <c r="P569">
        <f>IFERROR(INDEX(_怪物基线!$C$2:$C$501,MATCH(INT($L569),_怪物基线!$A$2:$A$501,0)),"")</f>
        <v>41486</v>
      </c>
      <c r="Q569">
        <f>IFERROR(INDEX(_怪物基线!$D$2:$D$501,MATCH(INT($L569),_怪物基线!$A$2:$A$501,0)),"")</f>
        <v>31815</v>
      </c>
      <c r="R569">
        <f>参数!$B$10</f>
        <v>4</v>
      </c>
      <c r="S569">
        <f>参数!$C$10</f>
        <v>1.2</v>
      </c>
      <c r="T569">
        <f>参数!$D$10</f>
        <v>1</v>
      </c>
      <c r="U569">
        <f t="shared" si="64"/>
        <v>1852316</v>
      </c>
      <c r="V569">
        <f t="shared" si="65"/>
        <v>49783.2</v>
      </c>
      <c r="W569">
        <f t="shared" si="66"/>
        <v>31815</v>
      </c>
      <c r="X569">
        <f>IFERROR(INDEX(参数!$B$5:$B$7,MATCH($N569,参数!$A$5:$A$7,0)),"")</f>
        <v>1.25</v>
      </c>
      <c r="Y569">
        <f>IFERROR(INDEX(参数!$C$5:$C$7,MATCH($N569,参数!$A$5:$A$7,0)),"")</f>
        <v>1</v>
      </c>
      <c r="Z569">
        <f>IFERROR(INDEX(参数!$D$5:$D$7,MATCH($N569,参数!$A$5:$A$7,0)),"")</f>
        <v>1.25</v>
      </c>
      <c r="AA569">
        <f>IFERROR(INDEX(楼层配置!$E$5:$E$204,MATCH($K569,楼层配置!$B$5:$B$204,0)),1)</f>
        <v>1.12582067235919</v>
      </c>
      <c r="AB569">
        <f>IFERROR(INDEX(楼层配置!$F$5:$F$204,MATCH($K569,楼层配置!$B$5:$B$204,0)),1)</f>
        <v>0.729834891319568</v>
      </c>
      <c r="AC569">
        <f>IFERROR(INDEX(楼层配置!$G$5:$G$204,MATCH($K569,楼层配置!$B$5:$B$204,0)),1)</f>
        <v>1</v>
      </c>
      <c r="AD569" t="str">
        <f t="shared" si="67"/>
        <v/>
      </c>
      <c r="AE569" t="str">
        <f t="shared" si="68"/>
        <v/>
      </c>
      <c r="AF569" t="str">
        <f t="shared" si="69"/>
        <v/>
      </c>
      <c r="AG569" t="str">
        <f t="shared" si="70"/>
        <v>有效</v>
      </c>
      <c r="AH569">
        <f t="shared" si="71"/>
        <v>6926163.65333333</v>
      </c>
    </row>
    <row r="570" spans="1:34">
      <c r="A570">
        <v>566</v>
      </c>
      <c r="B570">
        <v>1003</v>
      </c>
      <c r="C570">
        <v>60</v>
      </c>
      <c r="D570">
        <f>IFERROR(ROUND($U570*$X570*$AA570*参数!$B$13,0),"")</f>
        <v>3187385</v>
      </c>
      <c r="E570">
        <f>IFERROR(ROUND($V570*$Y570*$AB570*参数!$C$13,0),"")</f>
        <v>36854</v>
      </c>
      <c r="F570">
        <f>IFERROR(ROUND($W570*$Z570*$AC570*参数!$D$13,0),"")</f>
        <v>48147</v>
      </c>
      <c r="J570">
        <v>114</v>
      </c>
      <c r="K570">
        <v>114</v>
      </c>
      <c r="L570">
        <f>IFERROR(INDEX(楼层配置!$D$5:$D$204,MATCH($K570,楼层配置!$B$5:$B$204,0)),"")</f>
        <v>298</v>
      </c>
      <c r="M570" t="str">
        <f>IFERROR(INDEX(_角色基线!$B$2:$B$100,MATCH($B570,_角色基线!$A$2:$A$100,0)),"")</f>
        <v>塔拉夏</v>
      </c>
      <c r="N570" t="str">
        <f>IFERROR(INDEX(_角色基线!$C$2:$C$100,MATCH($B570,_角色基线!$A$2:$A$100,0)),"")</f>
        <v>Tank</v>
      </c>
      <c r="O570">
        <f>IFERROR(INDEX(_怪物基线!$B$2:$B$501,MATCH(INT($L570),_怪物基线!$A$2:$A$501,0)),"")</f>
        <v>471861</v>
      </c>
      <c r="P570">
        <f>IFERROR(INDEX(_怪物基线!$C$2:$C$501,MATCH(INT($L570),_怪物基线!$A$2:$A$501,0)),"")</f>
        <v>42080</v>
      </c>
      <c r="Q570">
        <f>IFERROR(INDEX(_怪物基线!$D$2:$D$501,MATCH(INT($L570),_怪物基线!$A$2:$A$501,0)),"")</f>
        <v>32098</v>
      </c>
      <c r="R570">
        <f>参数!$B$10</f>
        <v>4</v>
      </c>
      <c r="S570">
        <f>参数!$C$10</f>
        <v>1.2</v>
      </c>
      <c r="T570">
        <f>参数!$D$10</f>
        <v>1</v>
      </c>
      <c r="U570">
        <f t="shared" si="64"/>
        <v>1887444</v>
      </c>
      <c r="V570">
        <f t="shared" si="65"/>
        <v>50496</v>
      </c>
      <c r="W570">
        <f t="shared" si="66"/>
        <v>32098</v>
      </c>
      <c r="X570">
        <f>IFERROR(INDEX(参数!$B$5:$B$7,MATCH($N570,参数!$A$5:$A$7,0)),"")</f>
        <v>1.5</v>
      </c>
      <c r="Y570">
        <f>IFERROR(INDEX(参数!$C$5:$C$7,MATCH($N570,参数!$A$5:$A$7,0)),"")</f>
        <v>1</v>
      </c>
      <c r="Z570">
        <f>IFERROR(INDEX(参数!$D$5:$D$7,MATCH($N570,参数!$A$5:$A$7,0)),"")</f>
        <v>1.5</v>
      </c>
      <c r="AA570">
        <f>IFERROR(INDEX(楼层配置!$E$5:$E$204,MATCH($K570,楼层配置!$B$5:$B$204,0)),1)</f>
        <v>1.12582067235919</v>
      </c>
      <c r="AB570">
        <f>IFERROR(INDEX(楼层配置!$F$5:$F$204,MATCH($K570,楼层配置!$B$5:$B$204,0)),1)</f>
        <v>0.729834891319568</v>
      </c>
      <c r="AC570">
        <f>IFERROR(INDEX(楼层配置!$G$5:$G$204,MATCH($K570,楼层配置!$B$5:$B$204,0)),1)</f>
        <v>1</v>
      </c>
      <c r="AD570" t="str">
        <f t="shared" si="67"/>
        <v/>
      </c>
      <c r="AE570" t="str">
        <f t="shared" si="68"/>
        <v/>
      </c>
      <c r="AF570" t="str">
        <f t="shared" si="69"/>
        <v/>
      </c>
      <c r="AG570" t="str">
        <f t="shared" si="70"/>
        <v>有效</v>
      </c>
      <c r="AH570">
        <f t="shared" si="71"/>
        <v>9581677.733125</v>
      </c>
    </row>
    <row r="571" spans="1:34">
      <c r="A571">
        <v>567</v>
      </c>
      <c r="B571">
        <v>1005</v>
      </c>
      <c r="C571">
        <v>60</v>
      </c>
      <c r="D571">
        <f>IFERROR(ROUND($U571*$X571*$AA571*参数!$B$13,0),"")</f>
        <v>2124923</v>
      </c>
      <c r="E571">
        <f>IFERROR(ROUND($V571*$Y571*$AB571*参数!$C$13,0),"")</f>
        <v>44224</v>
      </c>
      <c r="F571">
        <f>IFERROR(ROUND($W571*$Z571*$AC571*参数!$D$13,0),"")</f>
        <v>32098</v>
      </c>
      <c r="J571">
        <v>114</v>
      </c>
      <c r="K571">
        <v>114</v>
      </c>
      <c r="L571">
        <f>IFERROR(INDEX(楼层配置!$D$5:$D$204,MATCH($K571,楼层配置!$B$5:$B$204,0)),"")</f>
        <v>298</v>
      </c>
      <c r="M571" t="str">
        <f>IFERROR(INDEX(_角色基线!$B$2:$B$100,MATCH($B571,_角色基线!$A$2:$A$100,0)),"")</f>
        <v>陈单单</v>
      </c>
      <c r="N571" t="str">
        <f>IFERROR(INDEX(_角色基线!$C$2:$C$100,MATCH($B571,_角色基线!$A$2:$A$100,0)),"")</f>
        <v>DPS</v>
      </c>
      <c r="O571">
        <f>IFERROR(INDEX(_怪物基线!$B$2:$B$501,MATCH(INT($L571),_怪物基线!$A$2:$A$501,0)),"")</f>
        <v>471861</v>
      </c>
      <c r="P571">
        <f>IFERROR(INDEX(_怪物基线!$C$2:$C$501,MATCH(INT($L571),_怪物基线!$A$2:$A$501,0)),"")</f>
        <v>42080</v>
      </c>
      <c r="Q571">
        <f>IFERROR(INDEX(_怪物基线!$D$2:$D$501,MATCH(INT($L571),_怪物基线!$A$2:$A$501,0)),"")</f>
        <v>32098</v>
      </c>
      <c r="R571">
        <f>参数!$B$10</f>
        <v>4</v>
      </c>
      <c r="S571">
        <f>参数!$C$10</f>
        <v>1.2</v>
      </c>
      <c r="T571">
        <f>参数!$D$10</f>
        <v>1</v>
      </c>
      <c r="U571">
        <f t="shared" si="64"/>
        <v>1887444</v>
      </c>
      <c r="V571">
        <f t="shared" si="65"/>
        <v>50496</v>
      </c>
      <c r="W571">
        <f t="shared" si="66"/>
        <v>32098</v>
      </c>
      <c r="X571">
        <f>IFERROR(INDEX(参数!$B$5:$B$7,MATCH($N571,参数!$A$5:$A$7,0)),"")</f>
        <v>1</v>
      </c>
      <c r="Y571">
        <f>IFERROR(INDEX(参数!$C$5:$C$7,MATCH($N571,参数!$A$5:$A$7,0)),"")</f>
        <v>1.2</v>
      </c>
      <c r="Z571">
        <f>IFERROR(INDEX(参数!$D$5:$D$7,MATCH($N571,参数!$A$5:$A$7,0)),"")</f>
        <v>1</v>
      </c>
      <c r="AA571">
        <f>IFERROR(INDEX(楼层配置!$E$5:$E$204,MATCH($K571,楼层配置!$B$5:$B$204,0)),1)</f>
        <v>1.12582067235919</v>
      </c>
      <c r="AB571">
        <f>IFERROR(INDEX(楼层配置!$F$5:$F$204,MATCH($K571,楼层配置!$B$5:$B$204,0)),1)</f>
        <v>0.729834891319568</v>
      </c>
      <c r="AC571">
        <f>IFERROR(INDEX(楼层配置!$G$5:$G$204,MATCH($K571,楼层配置!$B$5:$B$204,0)),1)</f>
        <v>1</v>
      </c>
      <c r="AD571" t="str">
        <f t="shared" si="67"/>
        <v/>
      </c>
      <c r="AE571" t="str">
        <f t="shared" si="68"/>
        <v/>
      </c>
      <c r="AF571" t="str">
        <f t="shared" si="69"/>
        <v/>
      </c>
      <c r="AG571" t="str">
        <f t="shared" si="70"/>
        <v>有效</v>
      </c>
      <c r="AH571">
        <f t="shared" si="71"/>
        <v>4966830.43558333</v>
      </c>
    </row>
    <row r="572" spans="1:34">
      <c r="A572">
        <v>568</v>
      </c>
      <c r="B572">
        <v>1005</v>
      </c>
      <c r="C572">
        <v>60</v>
      </c>
      <c r="D572">
        <f>IFERROR(ROUND($U572*$X572*$AA572*参数!$B$13,0),"")</f>
        <v>2124923</v>
      </c>
      <c r="E572">
        <f>IFERROR(ROUND($V572*$Y572*$AB572*参数!$C$13,0),"")</f>
        <v>44224</v>
      </c>
      <c r="F572">
        <f>IFERROR(ROUND($W572*$Z572*$AC572*参数!$D$13,0),"")</f>
        <v>32098</v>
      </c>
      <c r="J572">
        <v>114</v>
      </c>
      <c r="K572">
        <v>114</v>
      </c>
      <c r="L572">
        <f>IFERROR(INDEX(楼层配置!$D$5:$D$204,MATCH($K572,楼层配置!$B$5:$B$204,0)),"")</f>
        <v>298</v>
      </c>
      <c r="M572" t="str">
        <f>IFERROR(INDEX(_角色基线!$B$2:$B$100,MATCH($B572,_角色基线!$A$2:$A$100,0)),"")</f>
        <v>陈单单</v>
      </c>
      <c r="N572" t="str">
        <f>IFERROR(INDEX(_角色基线!$C$2:$C$100,MATCH($B572,_角色基线!$A$2:$A$100,0)),"")</f>
        <v>DPS</v>
      </c>
      <c r="O572">
        <f>IFERROR(INDEX(_怪物基线!$B$2:$B$501,MATCH(INT($L572),_怪物基线!$A$2:$A$501,0)),"")</f>
        <v>471861</v>
      </c>
      <c r="P572">
        <f>IFERROR(INDEX(_怪物基线!$C$2:$C$501,MATCH(INT($L572),_怪物基线!$A$2:$A$501,0)),"")</f>
        <v>42080</v>
      </c>
      <c r="Q572">
        <f>IFERROR(INDEX(_怪物基线!$D$2:$D$501,MATCH(INT($L572),_怪物基线!$A$2:$A$501,0)),"")</f>
        <v>32098</v>
      </c>
      <c r="R572">
        <f>参数!$B$10</f>
        <v>4</v>
      </c>
      <c r="S572">
        <f>参数!$C$10</f>
        <v>1.2</v>
      </c>
      <c r="T572">
        <f>参数!$D$10</f>
        <v>1</v>
      </c>
      <c r="U572">
        <f t="shared" si="64"/>
        <v>1887444</v>
      </c>
      <c r="V572">
        <f t="shared" si="65"/>
        <v>50496</v>
      </c>
      <c r="W572">
        <f t="shared" si="66"/>
        <v>32098</v>
      </c>
      <c r="X572">
        <f>IFERROR(INDEX(参数!$B$5:$B$7,MATCH($N572,参数!$A$5:$A$7,0)),"")</f>
        <v>1</v>
      </c>
      <c r="Y572">
        <f>IFERROR(INDEX(参数!$C$5:$C$7,MATCH($N572,参数!$A$5:$A$7,0)),"")</f>
        <v>1.2</v>
      </c>
      <c r="Z572">
        <f>IFERROR(INDEX(参数!$D$5:$D$7,MATCH($N572,参数!$A$5:$A$7,0)),"")</f>
        <v>1</v>
      </c>
      <c r="AA572">
        <f>IFERROR(INDEX(楼层配置!$E$5:$E$204,MATCH($K572,楼层配置!$B$5:$B$204,0)),1)</f>
        <v>1.12582067235919</v>
      </c>
      <c r="AB572">
        <f>IFERROR(INDEX(楼层配置!$F$5:$F$204,MATCH($K572,楼层配置!$B$5:$B$204,0)),1)</f>
        <v>0.729834891319568</v>
      </c>
      <c r="AC572">
        <f>IFERROR(INDEX(楼层配置!$G$5:$G$204,MATCH($K572,楼层配置!$B$5:$B$204,0)),1)</f>
        <v>1</v>
      </c>
      <c r="AD572" t="str">
        <f t="shared" si="67"/>
        <v/>
      </c>
      <c r="AE572" t="str">
        <f t="shared" si="68"/>
        <v/>
      </c>
      <c r="AF572" t="str">
        <f t="shared" si="69"/>
        <v/>
      </c>
      <c r="AG572" t="str">
        <f t="shared" si="70"/>
        <v>有效</v>
      </c>
      <c r="AH572">
        <f t="shared" si="71"/>
        <v>4966830.43558333</v>
      </c>
    </row>
    <row r="573" spans="1:34">
      <c r="A573">
        <v>569</v>
      </c>
      <c r="B573">
        <v>1005</v>
      </c>
      <c r="C573">
        <v>60</v>
      </c>
      <c r="D573">
        <f>IFERROR(ROUND($U573*$X573*$AA573*参数!$B$13,0),"")</f>
        <v>2124923</v>
      </c>
      <c r="E573">
        <f>IFERROR(ROUND($V573*$Y573*$AB573*参数!$C$13,0),"")</f>
        <v>44224</v>
      </c>
      <c r="F573">
        <f>IFERROR(ROUND($W573*$Z573*$AC573*参数!$D$13,0),"")</f>
        <v>32098</v>
      </c>
      <c r="J573">
        <v>114</v>
      </c>
      <c r="K573">
        <v>114</v>
      </c>
      <c r="L573">
        <f>IFERROR(INDEX(楼层配置!$D$5:$D$204,MATCH($K573,楼层配置!$B$5:$B$204,0)),"")</f>
        <v>298</v>
      </c>
      <c r="M573" t="str">
        <f>IFERROR(INDEX(_角色基线!$B$2:$B$100,MATCH($B573,_角色基线!$A$2:$A$100,0)),"")</f>
        <v>陈单单</v>
      </c>
      <c r="N573" t="str">
        <f>IFERROR(INDEX(_角色基线!$C$2:$C$100,MATCH($B573,_角色基线!$A$2:$A$100,0)),"")</f>
        <v>DPS</v>
      </c>
      <c r="O573">
        <f>IFERROR(INDEX(_怪物基线!$B$2:$B$501,MATCH(INT($L573),_怪物基线!$A$2:$A$501,0)),"")</f>
        <v>471861</v>
      </c>
      <c r="P573">
        <f>IFERROR(INDEX(_怪物基线!$C$2:$C$501,MATCH(INT($L573),_怪物基线!$A$2:$A$501,0)),"")</f>
        <v>42080</v>
      </c>
      <c r="Q573">
        <f>IFERROR(INDEX(_怪物基线!$D$2:$D$501,MATCH(INT($L573),_怪物基线!$A$2:$A$501,0)),"")</f>
        <v>32098</v>
      </c>
      <c r="R573">
        <f>参数!$B$10</f>
        <v>4</v>
      </c>
      <c r="S573">
        <f>参数!$C$10</f>
        <v>1.2</v>
      </c>
      <c r="T573">
        <f>参数!$D$10</f>
        <v>1</v>
      </c>
      <c r="U573">
        <f t="shared" si="64"/>
        <v>1887444</v>
      </c>
      <c r="V573">
        <f t="shared" si="65"/>
        <v>50496</v>
      </c>
      <c r="W573">
        <f t="shared" si="66"/>
        <v>32098</v>
      </c>
      <c r="X573">
        <f>IFERROR(INDEX(参数!$B$5:$B$7,MATCH($N573,参数!$A$5:$A$7,0)),"")</f>
        <v>1</v>
      </c>
      <c r="Y573">
        <f>IFERROR(INDEX(参数!$C$5:$C$7,MATCH($N573,参数!$A$5:$A$7,0)),"")</f>
        <v>1.2</v>
      </c>
      <c r="Z573">
        <f>IFERROR(INDEX(参数!$D$5:$D$7,MATCH($N573,参数!$A$5:$A$7,0)),"")</f>
        <v>1</v>
      </c>
      <c r="AA573">
        <f>IFERROR(INDEX(楼层配置!$E$5:$E$204,MATCH($K573,楼层配置!$B$5:$B$204,0)),1)</f>
        <v>1.12582067235919</v>
      </c>
      <c r="AB573">
        <f>IFERROR(INDEX(楼层配置!$F$5:$F$204,MATCH($K573,楼层配置!$B$5:$B$204,0)),1)</f>
        <v>0.729834891319568</v>
      </c>
      <c r="AC573">
        <f>IFERROR(INDEX(楼层配置!$G$5:$G$204,MATCH($K573,楼层配置!$B$5:$B$204,0)),1)</f>
        <v>1</v>
      </c>
      <c r="AD573" t="str">
        <f t="shared" si="67"/>
        <v/>
      </c>
      <c r="AE573" t="str">
        <f t="shared" si="68"/>
        <v/>
      </c>
      <c r="AF573" t="str">
        <f t="shared" si="69"/>
        <v/>
      </c>
      <c r="AG573" t="str">
        <f t="shared" si="70"/>
        <v>有效</v>
      </c>
      <c r="AH573">
        <f t="shared" si="71"/>
        <v>4966830.43558333</v>
      </c>
    </row>
    <row r="574" spans="1:34">
      <c r="A574">
        <v>570</v>
      </c>
      <c r="B574">
        <v>1029</v>
      </c>
      <c r="C574">
        <v>60</v>
      </c>
      <c r="D574">
        <f>IFERROR(ROUND($U574*$X574*$AA574*参数!$B$13,0),"")</f>
        <v>2656154</v>
      </c>
      <c r="E574">
        <f>IFERROR(ROUND($V574*$Y574*$AB574*参数!$C$13,0),"")</f>
        <v>36854</v>
      </c>
      <c r="F574">
        <f>IFERROR(ROUND($W574*$Z574*$AC574*参数!$D$13,0),"")</f>
        <v>40123</v>
      </c>
      <c r="J574">
        <v>114</v>
      </c>
      <c r="K574">
        <v>114</v>
      </c>
      <c r="L574">
        <f>IFERROR(INDEX(楼层配置!$D$5:$D$204,MATCH($K574,楼层配置!$B$5:$B$204,0)),"")</f>
        <v>298</v>
      </c>
      <c r="M574" t="str">
        <f>IFERROR(INDEX(_角色基线!$B$2:$B$100,MATCH($B574,_角色基线!$A$2:$A$100,0)),"")</f>
        <v>凯兰</v>
      </c>
      <c r="N574" t="str">
        <f>IFERROR(INDEX(_角色基线!$C$2:$C$100,MATCH($B574,_角色基线!$A$2:$A$100,0)),"")</f>
        <v>Support</v>
      </c>
      <c r="O574">
        <f>IFERROR(INDEX(_怪物基线!$B$2:$B$501,MATCH(INT($L574),_怪物基线!$A$2:$A$501,0)),"")</f>
        <v>471861</v>
      </c>
      <c r="P574">
        <f>IFERROR(INDEX(_怪物基线!$C$2:$C$501,MATCH(INT($L574),_怪物基线!$A$2:$A$501,0)),"")</f>
        <v>42080</v>
      </c>
      <c r="Q574">
        <f>IFERROR(INDEX(_怪物基线!$D$2:$D$501,MATCH(INT($L574),_怪物基线!$A$2:$A$501,0)),"")</f>
        <v>32098</v>
      </c>
      <c r="R574">
        <f>参数!$B$10</f>
        <v>4</v>
      </c>
      <c r="S574">
        <f>参数!$C$10</f>
        <v>1.2</v>
      </c>
      <c r="T574">
        <f>参数!$D$10</f>
        <v>1</v>
      </c>
      <c r="U574">
        <f t="shared" si="64"/>
        <v>1887444</v>
      </c>
      <c r="V574">
        <f t="shared" si="65"/>
        <v>50496</v>
      </c>
      <c r="W574">
        <f t="shared" si="66"/>
        <v>32098</v>
      </c>
      <c r="X574">
        <f>IFERROR(INDEX(参数!$B$5:$B$7,MATCH($N574,参数!$A$5:$A$7,0)),"")</f>
        <v>1.25</v>
      </c>
      <c r="Y574">
        <f>IFERROR(INDEX(参数!$C$5:$C$7,MATCH($N574,参数!$A$5:$A$7,0)),"")</f>
        <v>1</v>
      </c>
      <c r="Z574">
        <f>IFERROR(INDEX(参数!$D$5:$D$7,MATCH($N574,参数!$A$5:$A$7,0)),"")</f>
        <v>1.25</v>
      </c>
      <c r="AA574">
        <f>IFERROR(INDEX(楼层配置!$E$5:$E$204,MATCH($K574,楼层配置!$B$5:$B$204,0)),1)</f>
        <v>1.12582067235919</v>
      </c>
      <c r="AB574">
        <f>IFERROR(INDEX(楼层配置!$F$5:$F$204,MATCH($K574,楼层配置!$B$5:$B$204,0)),1)</f>
        <v>0.729834891319568</v>
      </c>
      <c r="AC574">
        <f>IFERROR(INDEX(楼层配置!$G$5:$G$204,MATCH($K574,楼层配置!$B$5:$B$204,0)),1)</f>
        <v>1</v>
      </c>
      <c r="AD574" t="str">
        <f t="shared" si="67"/>
        <v/>
      </c>
      <c r="AE574" t="str">
        <f t="shared" si="68"/>
        <v/>
      </c>
      <c r="AF574" t="str">
        <f t="shared" si="69"/>
        <v/>
      </c>
      <c r="AG574" t="str">
        <f t="shared" si="70"/>
        <v>有效</v>
      </c>
      <c r="AH574">
        <f t="shared" si="71"/>
        <v>7096690.12258333</v>
      </c>
    </row>
    <row r="575" spans="1:34">
      <c r="A575">
        <v>571</v>
      </c>
      <c r="B575">
        <v>1003</v>
      </c>
      <c r="C575">
        <v>60</v>
      </c>
      <c r="D575">
        <f>IFERROR(ROUND($U575*$X575*$AA575*参数!$B$13,0),"")</f>
        <v>3232401</v>
      </c>
      <c r="E575">
        <f>IFERROR(ROUND($V575*$Y575*$AB575*参数!$C$13,0),"")</f>
        <v>36956</v>
      </c>
      <c r="F575">
        <f>IFERROR(ROUND($W575*$Z575*$AC575*参数!$D$13,0),"")</f>
        <v>48360</v>
      </c>
      <c r="J575">
        <v>115</v>
      </c>
      <c r="K575">
        <v>115</v>
      </c>
      <c r="L575">
        <f>IFERROR(INDEX(楼层配置!$D$5:$D$204,MATCH($K575,楼层配置!$B$5:$B$204,0)),"")</f>
        <v>299</v>
      </c>
      <c r="M575" t="str">
        <f>IFERROR(INDEX(_角色基线!$B$2:$B$100,MATCH($B575,_角色基线!$A$2:$A$100,0)),"")</f>
        <v>塔拉夏</v>
      </c>
      <c r="N575" t="str">
        <f>IFERROR(INDEX(_角色基线!$C$2:$C$100,MATCH($B575,_角色基线!$A$2:$A$100,0)),"")</f>
        <v>Tank</v>
      </c>
      <c r="O575">
        <f>IFERROR(INDEX(_怪物基线!$B$2:$B$501,MATCH(INT($L575),_怪物基线!$A$2:$A$501,0)),"")</f>
        <v>476300</v>
      </c>
      <c r="P575">
        <f>IFERROR(INDEX(_怪物基线!$C$2:$C$501,MATCH(INT($L575),_怪物基线!$A$2:$A$501,0)),"")</f>
        <v>42380</v>
      </c>
      <c r="Q575">
        <f>IFERROR(INDEX(_怪物基线!$D$2:$D$501,MATCH(INT($L575),_怪物基线!$A$2:$A$501,0)),"")</f>
        <v>32240</v>
      </c>
      <c r="R575">
        <f>参数!$B$10</f>
        <v>4</v>
      </c>
      <c r="S575">
        <f>参数!$C$10</f>
        <v>1.2</v>
      </c>
      <c r="T575">
        <f>参数!$D$10</f>
        <v>1</v>
      </c>
      <c r="U575">
        <f t="shared" si="64"/>
        <v>1905200</v>
      </c>
      <c r="V575">
        <f t="shared" si="65"/>
        <v>50856</v>
      </c>
      <c r="W575">
        <f t="shared" si="66"/>
        <v>32240</v>
      </c>
      <c r="X575">
        <f>IFERROR(INDEX(参数!$B$5:$B$7,MATCH($N575,参数!$A$5:$A$7,0)),"")</f>
        <v>1.5</v>
      </c>
      <c r="Y575">
        <f>IFERROR(INDEX(参数!$C$5:$C$7,MATCH($N575,参数!$A$5:$A$7,0)),"")</f>
        <v>1</v>
      </c>
      <c r="Z575">
        <f>IFERROR(INDEX(参数!$D$5:$D$7,MATCH($N575,参数!$A$5:$A$7,0)),"")</f>
        <v>1.5</v>
      </c>
      <c r="AA575">
        <f>IFERROR(INDEX(楼层配置!$E$5:$E$204,MATCH($K575,楼层配置!$B$5:$B$204,0)),1)</f>
        <v>1.13108015591293</v>
      </c>
      <c r="AB575">
        <f>IFERROR(INDEX(楼层配置!$F$5:$F$204,MATCH($K575,楼层配置!$B$5:$B$204,0)),1)</f>
        <v>0.726679309784578</v>
      </c>
      <c r="AC575">
        <f>IFERROR(INDEX(楼层配置!$G$5:$G$204,MATCH($K575,楼层配置!$B$5:$B$204,0)),1)</f>
        <v>1</v>
      </c>
      <c r="AD575" t="str">
        <f t="shared" si="67"/>
        <v/>
      </c>
      <c r="AE575" t="str">
        <f t="shared" si="68"/>
        <v/>
      </c>
      <c r="AF575" t="str">
        <f t="shared" si="69"/>
        <v/>
      </c>
      <c r="AG575" t="str">
        <f t="shared" si="70"/>
        <v>有效</v>
      </c>
      <c r="AH575">
        <f t="shared" si="71"/>
        <v>9745689.015</v>
      </c>
    </row>
    <row r="576" spans="1:34">
      <c r="A576">
        <v>572</v>
      </c>
      <c r="B576">
        <v>1005</v>
      </c>
      <c r="C576">
        <v>60</v>
      </c>
      <c r="D576">
        <f>IFERROR(ROUND($U576*$X576*$AA576*参数!$B$13,0),"")</f>
        <v>2154934</v>
      </c>
      <c r="E576">
        <f>IFERROR(ROUND($V576*$Y576*$AB576*参数!$C$13,0),"")</f>
        <v>44347</v>
      </c>
      <c r="F576">
        <f>IFERROR(ROUND($W576*$Z576*$AC576*参数!$D$13,0),"")</f>
        <v>32240</v>
      </c>
      <c r="J576">
        <v>115</v>
      </c>
      <c r="K576">
        <v>115</v>
      </c>
      <c r="L576">
        <f>IFERROR(INDEX(楼层配置!$D$5:$D$204,MATCH($K576,楼层配置!$B$5:$B$204,0)),"")</f>
        <v>299</v>
      </c>
      <c r="M576" t="str">
        <f>IFERROR(INDEX(_角色基线!$B$2:$B$100,MATCH($B576,_角色基线!$A$2:$A$100,0)),"")</f>
        <v>陈单单</v>
      </c>
      <c r="N576" t="str">
        <f>IFERROR(INDEX(_角色基线!$C$2:$C$100,MATCH($B576,_角色基线!$A$2:$A$100,0)),"")</f>
        <v>DPS</v>
      </c>
      <c r="O576">
        <f>IFERROR(INDEX(_怪物基线!$B$2:$B$501,MATCH(INT($L576),_怪物基线!$A$2:$A$501,0)),"")</f>
        <v>476300</v>
      </c>
      <c r="P576">
        <f>IFERROR(INDEX(_怪物基线!$C$2:$C$501,MATCH(INT($L576),_怪物基线!$A$2:$A$501,0)),"")</f>
        <v>42380</v>
      </c>
      <c r="Q576">
        <f>IFERROR(INDEX(_怪物基线!$D$2:$D$501,MATCH(INT($L576),_怪物基线!$A$2:$A$501,0)),"")</f>
        <v>32240</v>
      </c>
      <c r="R576">
        <f>参数!$B$10</f>
        <v>4</v>
      </c>
      <c r="S576">
        <f>参数!$C$10</f>
        <v>1.2</v>
      </c>
      <c r="T576">
        <f>参数!$D$10</f>
        <v>1</v>
      </c>
      <c r="U576">
        <f t="shared" si="64"/>
        <v>1905200</v>
      </c>
      <c r="V576">
        <f t="shared" si="65"/>
        <v>50856</v>
      </c>
      <c r="W576">
        <f t="shared" si="66"/>
        <v>32240</v>
      </c>
      <c r="X576">
        <f>IFERROR(INDEX(参数!$B$5:$B$7,MATCH($N576,参数!$A$5:$A$7,0)),"")</f>
        <v>1</v>
      </c>
      <c r="Y576">
        <f>IFERROR(INDEX(参数!$C$5:$C$7,MATCH($N576,参数!$A$5:$A$7,0)),"")</f>
        <v>1.2</v>
      </c>
      <c r="Z576">
        <f>IFERROR(INDEX(参数!$D$5:$D$7,MATCH($N576,参数!$A$5:$A$7,0)),"")</f>
        <v>1</v>
      </c>
      <c r="AA576">
        <f>IFERROR(INDEX(楼层配置!$E$5:$E$204,MATCH($K576,楼层配置!$B$5:$B$204,0)),1)</f>
        <v>1.13108015591293</v>
      </c>
      <c r="AB576">
        <f>IFERROR(INDEX(楼层配置!$F$5:$F$204,MATCH($K576,楼层配置!$B$5:$B$204,0)),1)</f>
        <v>0.726679309784578</v>
      </c>
      <c r="AC576">
        <f>IFERROR(INDEX(楼层配置!$G$5:$G$204,MATCH($K576,楼层配置!$B$5:$B$204,0)),1)</f>
        <v>1</v>
      </c>
      <c r="AD576" t="str">
        <f t="shared" si="67"/>
        <v/>
      </c>
      <c r="AE576" t="str">
        <f t="shared" si="68"/>
        <v/>
      </c>
      <c r="AF576" t="str">
        <f t="shared" si="69"/>
        <v/>
      </c>
      <c r="AG576" t="str">
        <f t="shared" si="70"/>
        <v>有效</v>
      </c>
      <c r="AH576">
        <f t="shared" si="71"/>
        <v>5049728.67333333</v>
      </c>
    </row>
    <row r="577" spans="1:34">
      <c r="A577">
        <v>573</v>
      </c>
      <c r="B577">
        <v>1005</v>
      </c>
      <c r="C577">
        <v>60</v>
      </c>
      <c r="D577">
        <f>IFERROR(ROUND($U577*$X577*$AA577*参数!$B$13,0),"")</f>
        <v>2154934</v>
      </c>
      <c r="E577">
        <f>IFERROR(ROUND($V577*$Y577*$AB577*参数!$C$13,0),"")</f>
        <v>44347</v>
      </c>
      <c r="F577">
        <f>IFERROR(ROUND($W577*$Z577*$AC577*参数!$D$13,0),"")</f>
        <v>32240</v>
      </c>
      <c r="J577">
        <v>115</v>
      </c>
      <c r="K577">
        <v>115</v>
      </c>
      <c r="L577">
        <f>IFERROR(INDEX(楼层配置!$D$5:$D$204,MATCH($K577,楼层配置!$B$5:$B$204,0)),"")</f>
        <v>299</v>
      </c>
      <c r="M577" t="str">
        <f>IFERROR(INDEX(_角色基线!$B$2:$B$100,MATCH($B577,_角色基线!$A$2:$A$100,0)),"")</f>
        <v>陈单单</v>
      </c>
      <c r="N577" t="str">
        <f>IFERROR(INDEX(_角色基线!$C$2:$C$100,MATCH($B577,_角色基线!$A$2:$A$100,0)),"")</f>
        <v>DPS</v>
      </c>
      <c r="O577">
        <f>IFERROR(INDEX(_怪物基线!$B$2:$B$501,MATCH(INT($L577),_怪物基线!$A$2:$A$501,0)),"")</f>
        <v>476300</v>
      </c>
      <c r="P577">
        <f>IFERROR(INDEX(_怪物基线!$C$2:$C$501,MATCH(INT($L577),_怪物基线!$A$2:$A$501,0)),"")</f>
        <v>42380</v>
      </c>
      <c r="Q577">
        <f>IFERROR(INDEX(_怪物基线!$D$2:$D$501,MATCH(INT($L577),_怪物基线!$A$2:$A$501,0)),"")</f>
        <v>32240</v>
      </c>
      <c r="R577">
        <f>参数!$B$10</f>
        <v>4</v>
      </c>
      <c r="S577">
        <f>参数!$C$10</f>
        <v>1.2</v>
      </c>
      <c r="T577">
        <f>参数!$D$10</f>
        <v>1</v>
      </c>
      <c r="U577">
        <f t="shared" si="64"/>
        <v>1905200</v>
      </c>
      <c r="V577">
        <f t="shared" si="65"/>
        <v>50856</v>
      </c>
      <c r="W577">
        <f t="shared" si="66"/>
        <v>32240</v>
      </c>
      <c r="X577">
        <f>IFERROR(INDEX(参数!$B$5:$B$7,MATCH($N577,参数!$A$5:$A$7,0)),"")</f>
        <v>1</v>
      </c>
      <c r="Y577">
        <f>IFERROR(INDEX(参数!$C$5:$C$7,MATCH($N577,参数!$A$5:$A$7,0)),"")</f>
        <v>1.2</v>
      </c>
      <c r="Z577">
        <f>IFERROR(INDEX(参数!$D$5:$D$7,MATCH($N577,参数!$A$5:$A$7,0)),"")</f>
        <v>1</v>
      </c>
      <c r="AA577">
        <f>IFERROR(INDEX(楼层配置!$E$5:$E$204,MATCH($K577,楼层配置!$B$5:$B$204,0)),1)</f>
        <v>1.13108015591293</v>
      </c>
      <c r="AB577">
        <f>IFERROR(INDEX(楼层配置!$F$5:$F$204,MATCH($K577,楼层配置!$B$5:$B$204,0)),1)</f>
        <v>0.726679309784578</v>
      </c>
      <c r="AC577">
        <f>IFERROR(INDEX(楼层配置!$G$5:$G$204,MATCH($K577,楼层配置!$B$5:$B$204,0)),1)</f>
        <v>1</v>
      </c>
      <c r="AD577" t="str">
        <f t="shared" si="67"/>
        <v/>
      </c>
      <c r="AE577" t="str">
        <f t="shared" si="68"/>
        <v/>
      </c>
      <c r="AF577" t="str">
        <f t="shared" si="69"/>
        <v/>
      </c>
      <c r="AG577" t="str">
        <f t="shared" si="70"/>
        <v>有效</v>
      </c>
      <c r="AH577">
        <f t="shared" si="71"/>
        <v>5049728.67333333</v>
      </c>
    </row>
    <row r="578" spans="1:34">
      <c r="A578">
        <v>574</v>
      </c>
      <c r="B578">
        <v>1005</v>
      </c>
      <c r="C578">
        <v>60</v>
      </c>
      <c r="D578">
        <f>IFERROR(ROUND($U578*$X578*$AA578*参数!$B$13,0),"")</f>
        <v>2154934</v>
      </c>
      <c r="E578">
        <f>IFERROR(ROUND($V578*$Y578*$AB578*参数!$C$13,0),"")</f>
        <v>44347</v>
      </c>
      <c r="F578">
        <f>IFERROR(ROUND($W578*$Z578*$AC578*参数!$D$13,0),"")</f>
        <v>32240</v>
      </c>
      <c r="J578">
        <v>115</v>
      </c>
      <c r="K578">
        <v>115</v>
      </c>
      <c r="L578">
        <f>IFERROR(INDEX(楼层配置!$D$5:$D$204,MATCH($K578,楼层配置!$B$5:$B$204,0)),"")</f>
        <v>299</v>
      </c>
      <c r="M578" t="str">
        <f>IFERROR(INDEX(_角色基线!$B$2:$B$100,MATCH($B578,_角色基线!$A$2:$A$100,0)),"")</f>
        <v>陈单单</v>
      </c>
      <c r="N578" t="str">
        <f>IFERROR(INDEX(_角色基线!$C$2:$C$100,MATCH($B578,_角色基线!$A$2:$A$100,0)),"")</f>
        <v>DPS</v>
      </c>
      <c r="O578">
        <f>IFERROR(INDEX(_怪物基线!$B$2:$B$501,MATCH(INT($L578),_怪物基线!$A$2:$A$501,0)),"")</f>
        <v>476300</v>
      </c>
      <c r="P578">
        <f>IFERROR(INDEX(_怪物基线!$C$2:$C$501,MATCH(INT($L578),_怪物基线!$A$2:$A$501,0)),"")</f>
        <v>42380</v>
      </c>
      <c r="Q578">
        <f>IFERROR(INDEX(_怪物基线!$D$2:$D$501,MATCH(INT($L578),_怪物基线!$A$2:$A$501,0)),"")</f>
        <v>32240</v>
      </c>
      <c r="R578">
        <f>参数!$B$10</f>
        <v>4</v>
      </c>
      <c r="S578">
        <f>参数!$C$10</f>
        <v>1.2</v>
      </c>
      <c r="T578">
        <f>参数!$D$10</f>
        <v>1</v>
      </c>
      <c r="U578">
        <f t="shared" si="64"/>
        <v>1905200</v>
      </c>
      <c r="V578">
        <f t="shared" si="65"/>
        <v>50856</v>
      </c>
      <c r="W578">
        <f t="shared" si="66"/>
        <v>32240</v>
      </c>
      <c r="X578">
        <f>IFERROR(INDEX(参数!$B$5:$B$7,MATCH($N578,参数!$A$5:$A$7,0)),"")</f>
        <v>1</v>
      </c>
      <c r="Y578">
        <f>IFERROR(INDEX(参数!$C$5:$C$7,MATCH($N578,参数!$A$5:$A$7,0)),"")</f>
        <v>1.2</v>
      </c>
      <c r="Z578">
        <f>IFERROR(INDEX(参数!$D$5:$D$7,MATCH($N578,参数!$A$5:$A$7,0)),"")</f>
        <v>1</v>
      </c>
      <c r="AA578">
        <f>IFERROR(INDEX(楼层配置!$E$5:$E$204,MATCH($K578,楼层配置!$B$5:$B$204,0)),1)</f>
        <v>1.13108015591293</v>
      </c>
      <c r="AB578">
        <f>IFERROR(INDEX(楼层配置!$F$5:$F$204,MATCH($K578,楼层配置!$B$5:$B$204,0)),1)</f>
        <v>0.726679309784578</v>
      </c>
      <c r="AC578">
        <f>IFERROR(INDEX(楼层配置!$G$5:$G$204,MATCH($K578,楼层配置!$B$5:$B$204,0)),1)</f>
        <v>1</v>
      </c>
      <c r="AD578" t="str">
        <f t="shared" si="67"/>
        <v/>
      </c>
      <c r="AE578" t="str">
        <f t="shared" si="68"/>
        <v/>
      </c>
      <c r="AF578" t="str">
        <f t="shared" si="69"/>
        <v/>
      </c>
      <c r="AG578" t="str">
        <f t="shared" si="70"/>
        <v>有效</v>
      </c>
      <c r="AH578">
        <f t="shared" si="71"/>
        <v>5049728.67333333</v>
      </c>
    </row>
    <row r="579" spans="1:34">
      <c r="A579">
        <v>575</v>
      </c>
      <c r="B579">
        <v>1029</v>
      </c>
      <c r="C579">
        <v>60</v>
      </c>
      <c r="D579">
        <f>IFERROR(ROUND($U579*$X579*$AA579*参数!$B$13,0),"")</f>
        <v>2693667</v>
      </c>
      <c r="E579">
        <f>IFERROR(ROUND($V579*$Y579*$AB579*参数!$C$13,0),"")</f>
        <v>36956</v>
      </c>
      <c r="F579">
        <f>IFERROR(ROUND($W579*$Z579*$AC579*参数!$D$13,0),"")</f>
        <v>40300</v>
      </c>
      <c r="J579">
        <v>115</v>
      </c>
      <c r="K579">
        <v>115</v>
      </c>
      <c r="L579">
        <f>IFERROR(INDEX(楼层配置!$D$5:$D$204,MATCH($K579,楼层配置!$B$5:$B$204,0)),"")</f>
        <v>299</v>
      </c>
      <c r="M579" t="str">
        <f>IFERROR(INDEX(_角色基线!$B$2:$B$100,MATCH($B579,_角色基线!$A$2:$A$100,0)),"")</f>
        <v>凯兰</v>
      </c>
      <c r="N579" t="str">
        <f>IFERROR(INDEX(_角色基线!$C$2:$C$100,MATCH($B579,_角色基线!$A$2:$A$100,0)),"")</f>
        <v>Support</v>
      </c>
      <c r="O579">
        <f>IFERROR(INDEX(_怪物基线!$B$2:$B$501,MATCH(INT($L579),_怪物基线!$A$2:$A$501,0)),"")</f>
        <v>476300</v>
      </c>
      <c r="P579">
        <f>IFERROR(INDEX(_怪物基线!$C$2:$C$501,MATCH(INT($L579),_怪物基线!$A$2:$A$501,0)),"")</f>
        <v>42380</v>
      </c>
      <c r="Q579">
        <f>IFERROR(INDEX(_怪物基线!$D$2:$D$501,MATCH(INT($L579),_怪物基线!$A$2:$A$501,0)),"")</f>
        <v>32240</v>
      </c>
      <c r="R579">
        <f>参数!$B$10</f>
        <v>4</v>
      </c>
      <c r="S579">
        <f>参数!$C$10</f>
        <v>1.2</v>
      </c>
      <c r="T579">
        <f>参数!$D$10</f>
        <v>1</v>
      </c>
      <c r="U579">
        <f t="shared" si="64"/>
        <v>1905200</v>
      </c>
      <c r="V579">
        <f t="shared" si="65"/>
        <v>50856</v>
      </c>
      <c r="W579">
        <f t="shared" si="66"/>
        <v>32240</v>
      </c>
      <c r="X579">
        <f>IFERROR(INDEX(参数!$B$5:$B$7,MATCH($N579,参数!$A$5:$A$7,0)),"")</f>
        <v>1.25</v>
      </c>
      <c r="Y579">
        <f>IFERROR(INDEX(参数!$C$5:$C$7,MATCH($N579,参数!$A$5:$A$7,0)),"")</f>
        <v>1</v>
      </c>
      <c r="Z579">
        <f>IFERROR(INDEX(参数!$D$5:$D$7,MATCH($N579,参数!$A$5:$A$7,0)),"")</f>
        <v>1.25</v>
      </c>
      <c r="AA579">
        <f>IFERROR(INDEX(楼层配置!$E$5:$E$204,MATCH($K579,楼层配置!$B$5:$B$204,0)),1)</f>
        <v>1.13108015591293</v>
      </c>
      <c r="AB579">
        <f>IFERROR(INDEX(楼层配置!$F$5:$F$204,MATCH($K579,楼层配置!$B$5:$B$204,0)),1)</f>
        <v>0.726679309784578</v>
      </c>
      <c r="AC579">
        <f>IFERROR(INDEX(楼层配置!$G$5:$G$204,MATCH($K579,楼层配置!$B$5:$B$204,0)),1)</f>
        <v>1</v>
      </c>
      <c r="AD579" t="str">
        <f t="shared" si="67"/>
        <v/>
      </c>
      <c r="AE579" t="str">
        <f t="shared" si="68"/>
        <v/>
      </c>
      <c r="AF579" t="str">
        <f t="shared" si="69"/>
        <v/>
      </c>
      <c r="AG579" t="str">
        <f t="shared" si="70"/>
        <v>有效</v>
      </c>
      <c r="AH579">
        <f t="shared" si="71"/>
        <v>7216782.8375</v>
      </c>
    </row>
    <row r="580" spans="1:34">
      <c r="A580">
        <v>576</v>
      </c>
      <c r="B580">
        <v>1003</v>
      </c>
      <c r="C580">
        <v>60</v>
      </c>
      <c r="D580">
        <f>IFERROR(ROUND($U580*$X580*$AA580*参数!$B$13,0),"")</f>
        <v>3247565</v>
      </c>
      <c r="E580">
        <f>IFERROR(ROUND($V580*$Y580*$AB580*参数!$C$13,0),"")</f>
        <v>37379</v>
      </c>
      <c r="F580">
        <f>IFERROR(ROUND($W580*$Z580*$AC580*参数!$D$13,0),"")</f>
        <v>48573</v>
      </c>
      <c r="J580">
        <v>116</v>
      </c>
      <c r="K580">
        <v>116</v>
      </c>
      <c r="L580">
        <f>IFERROR(INDEX(楼层配置!$D$5:$D$204,MATCH($K580,楼层配置!$B$5:$B$204,0)),"")</f>
        <v>300</v>
      </c>
      <c r="M580" t="str">
        <f>IFERROR(INDEX(_角色基线!$B$2:$B$100,MATCH($B580,_角色基线!$A$2:$A$100,0)),"")</f>
        <v>塔拉夏</v>
      </c>
      <c r="N580" t="str">
        <f>IFERROR(INDEX(_角色基线!$C$2:$C$100,MATCH($B580,_角色基线!$A$2:$A$100,0)),"")</f>
        <v>Tank</v>
      </c>
      <c r="O580">
        <f>IFERROR(INDEX(_怪物基线!$B$2:$B$501,MATCH(INT($L580),_怪物基线!$A$2:$A$501,0)),"")</f>
        <v>480770</v>
      </c>
      <c r="P580">
        <f>IFERROR(INDEX(_怪物基线!$C$2:$C$501,MATCH(INT($L580),_怪物基线!$A$2:$A$501,0)),"")</f>
        <v>42680</v>
      </c>
      <c r="Q580">
        <f>IFERROR(INDEX(_怪物基线!$D$2:$D$501,MATCH(INT($L580),_怪物基线!$A$2:$A$501,0)),"")</f>
        <v>32382</v>
      </c>
      <c r="R580">
        <f>参数!$B$10</f>
        <v>4</v>
      </c>
      <c r="S580">
        <f>参数!$C$10</f>
        <v>1.2</v>
      </c>
      <c r="T580">
        <f>参数!$D$10</f>
        <v>1</v>
      </c>
      <c r="U580">
        <f t="shared" si="64"/>
        <v>1923080</v>
      </c>
      <c r="V580">
        <f t="shared" si="65"/>
        <v>51216</v>
      </c>
      <c r="W580">
        <f t="shared" si="66"/>
        <v>32382</v>
      </c>
      <c r="X580">
        <f>IFERROR(INDEX(参数!$B$5:$B$7,MATCH($N580,参数!$A$5:$A$7,0)),"")</f>
        <v>1.5</v>
      </c>
      <c r="Y580">
        <f>IFERROR(INDEX(参数!$C$5:$C$7,MATCH($N580,参数!$A$5:$A$7,0)),"")</f>
        <v>1</v>
      </c>
      <c r="Z580">
        <f>IFERROR(INDEX(参数!$D$5:$D$7,MATCH($N580,参数!$A$5:$A$7,0)),"")</f>
        <v>1.5</v>
      </c>
      <c r="AA580">
        <f>IFERROR(INDEX(楼层配置!$E$5:$E$204,MATCH($K580,楼层配置!$B$5:$B$204,0)),1)</f>
        <v>1.12582067235919</v>
      </c>
      <c r="AB580">
        <f>IFERROR(INDEX(楼层配置!$F$5:$F$204,MATCH($K580,楼层配置!$B$5:$B$204,0)),1)</f>
        <v>0.729834891319568</v>
      </c>
      <c r="AC580">
        <f>IFERROR(INDEX(楼层配置!$G$5:$G$204,MATCH($K580,楼层配置!$B$5:$B$204,0)),1)</f>
        <v>1</v>
      </c>
      <c r="AD580" t="str">
        <f t="shared" si="67"/>
        <v/>
      </c>
      <c r="AE580" t="str">
        <f t="shared" si="68"/>
        <v/>
      </c>
      <c r="AF580" t="str">
        <f t="shared" si="69"/>
        <v/>
      </c>
      <c r="AG580" t="str">
        <f t="shared" si="70"/>
        <v>有效</v>
      </c>
      <c r="AH580">
        <f t="shared" si="71"/>
        <v>9820230.614375</v>
      </c>
    </row>
    <row r="581" spans="1:34">
      <c r="A581">
        <v>577</v>
      </c>
      <c r="B581">
        <v>1005</v>
      </c>
      <c r="C581">
        <v>60</v>
      </c>
      <c r="D581">
        <f>IFERROR(ROUND($U581*$X581*$AA581*参数!$B$13,0),"")</f>
        <v>2165043</v>
      </c>
      <c r="E581">
        <f>IFERROR(ROUND($V581*$Y581*$AB581*参数!$C$13,0),"")</f>
        <v>44855</v>
      </c>
      <c r="F581">
        <f>IFERROR(ROUND($W581*$Z581*$AC581*参数!$D$13,0),"")</f>
        <v>32382</v>
      </c>
      <c r="J581">
        <v>116</v>
      </c>
      <c r="K581">
        <v>116</v>
      </c>
      <c r="L581">
        <f>IFERROR(INDEX(楼层配置!$D$5:$D$204,MATCH($K581,楼层配置!$B$5:$B$204,0)),"")</f>
        <v>300</v>
      </c>
      <c r="M581" t="str">
        <f>IFERROR(INDEX(_角色基线!$B$2:$B$100,MATCH($B581,_角色基线!$A$2:$A$100,0)),"")</f>
        <v>陈单单</v>
      </c>
      <c r="N581" t="str">
        <f>IFERROR(INDEX(_角色基线!$C$2:$C$100,MATCH($B581,_角色基线!$A$2:$A$100,0)),"")</f>
        <v>DPS</v>
      </c>
      <c r="O581">
        <f>IFERROR(INDEX(_怪物基线!$B$2:$B$501,MATCH(INT($L581),_怪物基线!$A$2:$A$501,0)),"")</f>
        <v>480770</v>
      </c>
      <c r="P581">
        <f>IFERROR(INDEX(_怪物基线!$C$2:$C$501,MATCH(INT($L581),_怪物基线!$A$2:$A$501,0)),"")</f>
        <v>42680</v>
      </c>
      <c r="Q581">
        <f>IFERROR(INDEX(_怪物基线!$D$2:$D$501,MATCH(INT($L581),_怪物基线!$A$2:$A$501,0)),"")</f>
        <v>32382</v>
      </c>
      <c r="R581">
        <f>参数!$B$10</f>
        <v>4</v>
      </c>
      <c r="S581">
        <f>参数!$C$10</f>
        <v>1.2</v>
      </c>
      <c r="T581">
        <f>参数!$D$10</f>
        <v>1</v>
      </c>
      <c r="U581">
        <f t="shared" ref="U581:U644" si="72">IF($O581="","",$O581*$R581)</f>
        <v>1923080</v>
      </c>
      <c r="V581">
        <f t="shared" ref="V581:V644" si="73">IF($P581="","",$P581*$S581)</f>
        <v>51216</v>
      </c>
      <c r="W581">
        <f t="shared" ref="W581:W644" si="74">IF($Q581="","",$Q581*$T581)</f>
        <v>32382</v>
      </c>
      <c r="X581">
        <f>IFERROR(INDEX(参数!$B$5:$B$7,MATCH($N581,参数!$A$5:$A$7,0)),"")</f>
        <v>1</v>
      </c>
      <c r="Y581">
        <f>IFERROR(INDEX(参数!$C$5:$C$7,MATCH($N581,参数!$A$5:$A$7,0)),"")</f>
        <v>1.2</v>
      </c>
      <c r="Z581">
        <f>IFERROR(INDEX(参数!$D$5:$D$7,MATCH($N581,参数!$A$5:$A$7,0)),"")</f>
        <v>1</v>
      </c>
      <c r="AA581">
        <f>IFERROR(INDEX(楼层配置!$E$5:$E$204,MATCH($K581,楼层配置!$B$5:$B$204,0)),1)</f>
        <v>1.12582067235919</v>
      </c>
      <c r="AB581">
        <f>IFERROR(INDEX(楼层配置!$F$5:$F$204,MATCH($K581,楼层配置!$B$5:$B$204,0)),1)</f>
        <v>0.729834891319568</v>
      </c>
      <c r="AC581">
        <f>IFERROR(INDEX(楼层配置!$G$5:$G$204,MATCH($K581,楼层配置!$B$5:$B$204,0)),1)</f>
        <v>1</v>
      </c>
      <c r="AD581" t="str">
        <f t="shared" ref="AD581:AD644" si="75">IFERROR($D581/$G581-1,"")</f>
        <v/>
      </c>
      <c r="AE581" t="str">
        <f t="shared" ref="AE581:AE644" si="76">IFERROR($E581/$H581-1,"")</f>
        <v/>
      </c>
      <c r="AF581" t="str">
        <f t="shared" ref="AF581:AF644" si="77">IFERROR($F581/$I581-1,"")</f>
        <v/>
      </c>
      <c r="AG581" t="str">
        <f t="shared" ref="AG581:AG644" si="78">IF(AND($A581&gt;=1,$L581&gt;=1,$L581&lt;=500,OR($N581="Tank",$N581="DPS",$N581="Support"),ISNUMBER($D581),ISNUMBER($E581),ISNUMBER($F581)),"有效","异常")</f>
        <v>有效</v>
      </c>
      <c r="AH581">
        <f t="shared" ref="AH581:AH644" si="79">D581/(1-MIN(0.75,F581/(24000+F581)))</f>
        <v>5086227.26775</v>
      </c>
    </row>
    <row r="582" spans="1:34">
      <c r="A582">
        <v>578</v>
      </c>
      <c r="B582">
        <v>1005</v>
      </c>
      <c r="C582">
        <v>60</v>
      </c>
      <c r="D582">
        <f>IFERROR(ROUND($U582*$X582*$AA582*参数!$B$13,0),"")</f>
        <v>2165043</v>
      </c>
      <c r="E582">
        <f>IFERROR(ROUND($V582*$Y582*$AB582*参数!$C$13,0),"")</f>
        <v>44855</v>
      </c>
      <c r="F582">
        <f>IFERROR(ROUND($W582*$Z582*$AC582*参数!$D$13,0),"")</f>
        <v>32382</v>
      </c>
      <c r="J582">
        <v>116</v>
      </c>
      <c r="K582">
        <v>116</v>
      </c>
      <c r="L582">
        <f>IFERROR(INDEX(楼层配置!$D$5:$D$204,MATCH($K582,楼层配置!$B$5:$B$204,0)),"")</f>
        <v>300</v>
      </c>
      <c r="M582" t="str">
        <f>IFERROR(INDEX(_角色基线!$B$2:$B$100,MATCH($B582,_角色基线!$A$2:$A$100,0)),"")</f>
        <v>陈单单</v>
      </c>
      <c r="N582" t="str">
        <f>IFERROR(INDEX(_角色基线!$C$2:$C$100,MATCH($B582,_角色基线!$A$2:$A$100,0)),"")</f>
        <v>DPS</v>
      </c>
      <c r="O582">
        <f>IFERROR(INDEX(_怪物基线!$B$2:$B$501,MATCH(INT($L582),_怪物基线!$A$2:$A$501,0)),"")</f>
        <v>480770</v>
      </c>
      <c r="P582">
        <f>IFERROR(INDEX(_怪物基线!$C$2:$C$501,MATCH(INT($L582),_怪物基线!$A$2:$A$501,0)),"")</f>
        <v>42680</v>
      </c>
      <c r="Q582">
        <f>IFERROR(INDEX(_怪物基线!$D$2:$D$501,MATCH(INT($L582),_怪物基线!$A$2:$A$501,0)),"")</f>
        <v>32382</v>
      </c>
      <c r="R582">
        <f>参数!$B$10</f>
        <v>4</v>
      </c>
      <c r="S582">
        <f>参数!$C$10</f>
        <v>1.2</v>
      </c>
      <c r="T582">
        <f>参数!$D$10</f>
        <v>1</v>
      </c>
      <c r="U582">
        <f t="shared" si="72"/>
        <v>1923080</v>
      </c>
      <c r="V582">
        <f t="shared" si="73"/>
        <v>51216</v>
      </c>
      <c r="W582">
        <f t="shared" si="74"/>
        <v>32382</v>
      </c>
      <c r="X582">
        <f>IFERROR(INDEX(参数!$B$5:$B$7,MATCH($N582,参数!$A$5:$A$7,0)),"")</f>
        <v>1</v>
      </c>
      <c r="Y582">
        <f>IFERROR(INDEX(参数!$C$5:$C$7,MATCH($N582,参数!$A$5:$A$7,0)),"")</f>
        <v>1.2</v>
      </c>
      <c r="Z582">
        <f>IFERROR(INDEX(参数!$D$5:$D$7,MATCH($N582,参数!$A$5:$A$7,0)),"")</f>
        <v>1</v>
      </c>
      <c r="AA582">
        <f>IFERROR(INDEX(楼层配置!$E$5:$E$204,MATCH($K582,楼层配置!$B$5:$B$204,0)),1)</f>
        <v>1.12582067235919</v>
      </c>
      <c r="AB582">
        <f>IFERROR(INDEX(楼层配置!$F$5:$F$204,MATCH($K582,楼层配置!$B$5:$B$204,0)),1)</f>
        <v>0.729834891319568</v>
      </c>
      <c r="AC582">
        <f>IFERROR(INDEX(楼层配置!$G$5:$G$204,MATCH($K582,楼层配置!$B$5:$B$204,0)),1)</f>
        <v>1</v>
      </c>
      <c r="AD582" t="str">
        <f t="shared" si="75"/>
        <v/>
      </c>
      <c r="AE582" t="str">
        <f t="shared" si="76"/>
        <v/>
      </c>
      <c r="AF582" t="str">
        <f t="shared" si="77"/>
        <v/>
      </c>
      <c r="AG582" t="str">
        <f t="shared" si="78"/>
        <v>有效</v>
      </c>
      <c r="AH582">
        <f t="shared" si="79"/>
        <v>5086227.26775</v>
      </c>
    </row>
    <row r="583" spans="1:34">
      <c r="A583">
        <v>579</v>
      </c>
      <c r="B583">
        <v>1005</v>
      </c>
      <c r="C583">
        <v>60</v>
      </c>
      <c r="D583">
        <f>IFERROR(ROUND($U583*$X583*$AA583*参数!$B$13,0),"")</f>
        <v>2165043</v>
      </c>
      <c r="E583">
        <f>IFERROR(ROUND($V583*$Y583*$AB583*参数!$C$13,0),"")</f>
        <v>44855</v>
      </c>
      <c r="F583">
        <f>IFERROR(ROUND($W583*$Z583*$AC583*参数!$D$13,0),"")</f>
        <v>32382</v>
      </c>
      <c r="J583">
        <v>116</v>
      </c>
      <c r="K583">
        <v>116</v>
      </c>
      <c r="L583">
        <f>IFERROR(INDEX(楼层配置!$D$5:$D$204,MATCH($K583,楼层配置!$B$5:$B$204,0)),"")</f>
        <v>300</v>
      </c>
      <c r="M583" t="str">
        <f>IFERROR(INDEX(_角色基线!$B$2:$B$100,MATCH($B583,_角色基线!$A$2:$A$100,0)),"")</f>
        <v>陈单单</v>
      </c>
      <c r="N583" t="str">
        <f>IFERROR(INDEX(_角色基线!$C$2:$C$100,MATCH($B583,_角色基线!$A$2:$A$100,0)),"")</f>
        <v>DPS</v>
      </c>
      <c r="O583">
        <f>IFERROR(INDEX(_怪物基线!$B$2:$B$501,MATCH(INT($L583),_怪物基线!$A$2:$A$501,0)),"")</f>
        <v>480770</v>
      </c>
      <c r="P583">
        <f>IFERROR(INDEX(_怪物基线!$C$2:$C$501,MATCH(INT($L583),_怪物基线!$A$2:$A$501,0)),"")</f>
        <v>42680</v>
      </c>
      <c r="Q583">
        <f>IFERROR(INDEX(_怪物基线!$D$2:$D$501,MATCH(INT($L583),_怪物基线!$A$2:$A$501,0)),"")</f>
        <v>32382</v>
      </c>
      <c r="R583">
        <f>参数!$B$10</f>
        <v>4</v>
      </c>
      <c r="S583">
        <f>参数!$C$10</f>
        <v>1.2</v>
      </c>
      <c r="T583">
        <f>参数!$D$10</f>
        <v>1</v>
      </c>
      <c r="U583">
        <f t="shared" si="72"/>
        <v>1923080</v>
      </c>
      <c r="V583">
        <f t="shared" si="73"/>
        <v>51216</v>
      </c>
      <c r="W583">
        <f t="shared" si="74"/>
        <v>32382</v>
      </c>
      <c r="X583">
        <f>IFERROR(INDEX(参数!$B$5:$B$7,MATCH($N583,参数!$A$5:$A$7,0)),"")</f>
        <v>1</v>
      </c>
      <c r="Y583">
        <f>IFERROR(INDEX(参数!$C$5:$C$7,MATCH($N583,参数!$A$5:$A$7,0)),"")</f>
        <v>1.2</v>
      </c>
      <c r="Z583">
        <f>IFERROR(INDEX(参数!$D$5:$D$7,MATCH($N583,参数!$A$5:$A$7,0)),"")</f>
        <v>1</v>
      </c>
      <c r="AA583">
        <f>IFERROR(INDEX(楼层配置!$E$5:$E$204,MATCH($K583,楼层配置!$B$5:$B$204,0)),1)</f>
        <v>1.12582067235919</v>
      </c>
      <c r="AB583">
        <f>IFERROR(INDEX(楼层配置!$F$5:$F$204,MATCH($K583,楼层配置!$B$5:$B$204,0)),1)</f>
        <v>0.729834891319568</v>
      </c>
      <c r="AC583">
        <f>IFERROR(INDEX(楼层配置!$G$5:$G$204,MATCH($K583,楼层配置!$B$5:$B$204,0)),1)</f>
        <v>1</v>
      </c>
      <c r="AD583" t="str">
        <f t="shared" si="75"/>
        <v/>
      </c>
      <c r="AE583" t="str">
        <f t="shared" si="76"/>
        <v/>
      </c>
      <c r="AF583" t="str">
        <f t="shared" si="77"/>
        <v/>
      </c>
      <c r="AG583" t="str">
        <f t="shared" si="78"/>
        <v>有效</v>
      </c>
      <c r="AH583">
        <f t="shared" si="79"/>
        <v>5086227.26775</v>
      </c>
    </row>
    <row r="584" spans="1:34">
      <c r="A584">
        <v>580</v>
      </c>
      <c r="B584">
        <v>1029</v>
      </c>
      <c r="C584">
        <v>60</v>
      </c>
      <c r="D584">
        <f>IFERROR(ROUND($U584*$X584*$AA584*参数!$B$13,0),"")</f>
        <v>2706304</v>
      </c>
      <c r="E584">
        <f>IFERROR(ROUND($V584*$Y584*$AB584*参数!$C$13,0),"")</f>
        <v>37379</v>
      </c>
      <c r="F584">
        <f>IFERROR(ROUND($W584*$Z584*$AC584*参数!$D$13,0),"")</f>
        <v>40478</v>
      </c>
      <c r="J584">
        <v>116</v>
      </c>
      <c r="K584">
        <v>116</v>
      </c>
      <c r="L584">
        <f>IFERROR(INDEX(楼层配置!$D$5:$D$204,MATCH($K584,楼层配置!$B$5:$B$204,0)),"")</f>
        <v>300</v>
      </c>
      <c r="M584" t="str">
        <f>IFERROR(INDEX(_角色基线!$B$2:$B$100,MATCH($B584,_角色基线!$A$2:$A$100,0)),"")</f>
        <v>凯兰</v>
      </c>
      <c r="N584" t="str">
        <f>IFERROR(INDEX(_角色基线!$C$2:$C$100,MATCH($B584,_角色基线!$A$2:$A$100,0)),"")</f>
        <v>Support</v>
      </c>
      <c r="O584">
        <f>IFERROR(INDEX(_怪物基线!$B$2:$B$501,MATCH(INT($L584),_怪物基线!$A$2:$A$501,0)),"")</f>
        <v>480770</v>
      </c>
      <c r="P584">
        <f>IFERROR(INDEX(_怪物基线!$C$2:$C$501,MATCH(INT($L584),_怪物基线!$A$2:$A$501,0)),"")</f>
        <v>42680</v>
      </c>
      <c r="Q584">
        <f>IFERROR(INDEX(_怪物基线!$D$2:$D$501,MATCH(INT($L584),_怪物基线!$A$2:$A$501,0)),"")</f>
        <v>32382</v>
      </c>
      <c r="R584">
        <f>参数!$B$10</f>
        <v>4</v>
      </c>
      <c r="S584">
        <f>参数!$C$10</f>
        <v>1.2</v>
      </c>
      <c r="T584">
        <f>参数!$D$10</f>
        <v>1</v>
      </c>
      <c r="U584">
        <f t="shared" si="72"/>
        <v>1923080</v>
      </c>
      <c r="V584">
        <f t="shared" si="73"/>
        <v>51216</v>
      </c>
      <c r="W584">
        <f t="shared" si="74"/>
        <v>32382</v>
      </c>
      <c r="X584">
        <f>IFERROR(INDEX(参数!$B$5:$B$7,MATCH($N584,参数!$A$5:$A$7,0)),"")</f>
        <v>1.25</v>
      </c>
      <c r="Y584">
        <f>IFERROR(INDEX(参数!$C$5:$C$7,MATCH($N584,参数!$A$5:$A$7,0)),"")</f>
        <v>1</v>
      </c>
      <c r="Z584">
        <f>IFERROR(INDEX(参数!$D$5:$D$7,MATCH($N584,参数!$A$5:$A$7,0)),"")</f>
        <v>1.25</v>
      </c>
      <c r="AA584">
        <f>IFERROR(INDEX(楼层配置!$E$5:$E$204,MATCH($K584,楼层配置!$B$5:$B$204,0)),1)</f>
        <v>1.12582067235919</v>
      </c>
      <c r="AB584">
        <f>IFERROR(INDEX(楼层配置!$F$5:$F$204,MATCH($K584,楼层配置!$B$5:$B$204,0)),1)</f>
        <v>0.729834891319568</v>
      </c>
      <c r="AC584">
        <f>IFERROR(INDEX(楼层配置!$G$5:$G$204,MATCH($K584,楼层配置!$B$5:$B$204,0)),1)</f>
        <v>1</v>
      </c>
      <c r="AD584" t="str">
        <f t="shared" si="75"/>
        <v/>
      </c>
      <c r="AE584" t="str">
        <f t="shared" si="76"/>
        <v/>
      </c>
      <c r="AF584" t="str">
        <f t="shared" si="77"/>
        <v/>
      </c>
      <c r="AG584" t="str">
        <f t="shared" si="78"/>
        <v>有效</v>
      </c>
      <c r="AH584">
        <f t="shared" si="79"/>
        <v>7270711.22133333</v>
      </c>
    </row>
    <row r="585" spans="1:34">
      <c r="A585">
        <v>581</v>
      </c>
      <c r="B585">
        <v>1003</v>
      </c>
      <c r="C585">
        <v>60</v>
      </c>
      <c r="D585">
        <f>IFERROR(ROUND($U585*$X585*$AA585*参数!$B$13,0),"")</f>
        <v>3308609</v>
      </c>
      <c r="E585">
        <f>IFERROR(ROUND($V585*$Y585*$AB585*参数!$C$13,0),"")</f>
        <v>37912</v>
      </c>
      <c r="F585">
        <f>IFERROR(ROUND($W585*$Z585*$AC585*参数!$D$13,0),"")</f>
        <v>48999</v>
      </c>
      <c r="J585">
        <v>117</v>
      </c>
      <c r="K585">
        <v>117</v>
      </c>
      <c r="L585">
        <f>IFERROR(INDEX(楼层配置!$D$5:$D$204,MATCH($K585,楼层配置!$B$5:$B$204,0)),"")</f>
        <v>302</v>
      </c>
      <c r="M585" t="str">
        <f>IFERROR(INDEX(_角色基线!$B$2:$B$100,MATCH($B585,_角色基线!$A$2:$A$100,0)),"")</f>
        <v>塔拉夏</v>
      </c>
      <c r="N585" t="str">
        <f>IFERROR(INDEX(_角色基线!$C$2:$C$100,MATCH($B585,_角色基线!$A$2:$A$100,0)),"")</f>
        <v>Tank</v>
      </c>
      <c r="O585">
        <f>IFERROR(INDEX(_怪物基线!$B$2:$B$501,MATCH(INT($L585),_怪物基线!$A$2:$A$501,0)),"")</f>
        <v>489807</v>
      </c>
      <c r="P585">
        <f>IFERROR(INDEX(_怪物基线!$C$2:$C$501,MATCH(INT($L585),_怪物基线!$A$2:$A$501,0)),"")</f>
        <v>43288</v>
      </c>
      <c r="Q585">
        <f>IFERROR(INDEX(_怪物基线!$D$2:$D$501,MATCH(INT($L585),_怪物基线!$A$2:$A$501,0)),"")</f>
        <v>32666</v>
      </c>
      <c r="R585">
        <f>参数!$B$10</f>
        <v>4</v>
      </c>
      <c r="S585">
        <f>参数!$C$10</f>
        <v>1.2</v>
      </c>
      <c r="T585">
        <f>参数!$D$10</f>
        <v>1</v>
      </c>
      <c r="U585">
        <f t="shared" si="72"/>
        <v>1959228</v>
      </c>
      <c r="V585">
        <f t="shared" si="73"/>
        <v>51945.6</v>
      </c>
      <c r="W585">
        <f t="shared" si="74"/>
        <v>32666</v>
      </c>
      <c r="X585">
        <f>IFERROR(INDEX(参数!$B$5:$B$7,MATCH($N585,参数!$A$5:$A$7,0)),"")</f>
        <v>1.5</v>
      </c>
      <c r="Y585">
        <f>IFERROR(INDEX(参数!$C$5:$C$7,MATCH($N585,参数!$A$5:$A$7,0)),"")</f>
        <v>1</v>
      </c>
      <c r="Z585">
        <f>IFERROR(INDEX(参数!$D$5:$D$7,MATCH($N585,参数!$A$5:$A$7,0)),"")</f>
        <v>1.5</v>
      </c>
      <c r="AA585">
        <f>IFERROR(INDEX(楼层配置!$E$5:$E$204,MATCH($K585,楼层配置!$B$5:$B$204,0)),1)</f>
        <v>1.12582067235919</v>
      </c>
      <c r="AB585">
        <f>IFERROR(INDEX(楼层配置!$F$5:$F$204,MATCH($K585,楼层配置!$B$5:$B$204,0)),1)</f>
        <v>0.729834891319568</v>
      </c>
      <c r="AC585">
        <f>IFERROR(INDEX(楼层配置!$G$5:$G$204,MATCH($K585,楼层配置!$B$5:$B$204,0)),1)</f>
        <v>1</v>
      </c>
      <c r="AD585" t="str">
        <f t="shared" si="75"/>
        <v/>
      </c>
      <c r="AE585" t="str">
        <f t="shared" si="76"/>
        <v/>
      </c>
      <c r="AF585" t="str">
        <f t="shared" si="77"/>
        <v/>
      </c>
      <c r="AG585" t="str">
        <f t="shared" si="78"/>
        <v>有效</v>
      </c>
      <c r="AH585">
        <f t="shared" si="79"/>
        <v>10063547.849625</v>
      </c>
    </row>
    <row r="586" spans="1:34">
      <c r="A586">
        <v>582</v>
      </c>
      <c r="B586">
        <v>1005</v>
      </c>
      <c r="C586">
        <v>60</v>
      </c>
      <c r="D586">
        <f>IFERROR(ROUND($U586*$X586*$AA586*参数!$B$13,0),"")</f>
        <v>2205739</v>
      </c>
      <c r="E586">
        <f>IFERROR(ROUND($V586*$Y586*$AB586*参数!$C$13,0),"")</f>
        <v>45494</v>
      </c>
      <c r="F586">
        <f>IFERROR(ROUND($W586*$Z586*$AC586*参数!$D$13,0),"")</f>
        <v>32666</v>
      </c>
      <c r="J586">
        <v>117</v>
      </c>
      <c r="K586">
        <v>117</v>
      </c>
      <c r="L586">
        <f>IFERROR(INDEX(楼层配置!$D$5:$D$204,MATCH($K586,楼层配置!$B$5:$B$204,0)),"")</f>
        <v>302</v>
      </c>
      <c r="M586" t="str">
        <f>IFERROR(INDEX(_角色基线!$B$2:$B$100,MATCH($B586,_角色基线!$A$2:$A$100,0)),"")</f>
        <v>陈单单</v>
      </c>
      <c r="N586" t="str">
        <f>IFERROR(INDEX(_角色基线!$C$2:$C$100,MATCH($B586,_角色基线!$A$2:$A$100,0)),"")</f>
        <v>DPS</v>
      </c>
      <c r="O586">
        <f>IFERROR(INDEX(_怪物基线!$B$2:$B$501,MATCH(INT($L586),_怪物基线!$A$2:$A$501,0)),"")</f>
        <v>489807</v>
      </c>
      <c r="P586">
        <f>IFERROR(INDEX(_怪物基线!$C$2:$C$501,MATCH(INT($L586),_怪物基线!$A$2:$A$501,0)),"")</f>
        <v>43288</v>
      </c>
      <c r="Q586">
        <f>IFERROR(INDEX(_怪物基线!$D$2:$D$501,MATCH(INT($L586),_怪物基线!$A$2:$A$501,0)),"")</f>
        <v>32666</v>
      </c>
      <c r="R586">
        <f>参数!$B$10</f>
        <v>4</v>
      </c>
      <c r="S586">
        <f>参数!$C$10</f>
        <v>1.2</v>
      </c>
      <c r="T586">
        <f>参数!$D$10</f>
        <v>1</v>
      </c>
      <c r="U586">
        <f t="shared" si="72"/>
        <v>1959228</v>
      </c>
      <c r="V586">
        <f t="shared" si="73"/>
        <v>51945.6</v>
      </c>
      <c r="W586">
        <f t="shared" si="74"/>
        <v>32666</v>
      </c>
      <c r="X586">
        <f>IFERROR(INDEX(参数!$B$5:$B$7,MATCH($N586,参数!$A$5:$A$7,0)),"")</f>
        <v>1</v>
      </c>
      <c r="Y586">
        <f>IFERROR(INDEX(参数!$C$5:$C$7,MATCH($N586,参数!$A$5:$A$7,0)),"")</f>
        <v>1.2</v>
      </c>
      <c r="Z586">
        <f>IFERROR(INDEX(参数!$D$5:$D$7,MATCH($N586,参数!$A$5:$A$7,0)),"")</f>
        <v>1</v>
      </c>
      <c r="AA586">
        <f>IFERROR(INDEX(楼层配置!$E$5:$E$204,MATCH($K586,楼层配置!$B$5:$B$204,0)),1)</f>
        <v>1.12582067235919</v>
      </c>
      <c r="AB586">
        <f>IFERROR(INDEX(楼层配置!$F$5:$F$204,MATCH($K586,楼层配置!$B$5:$B$204,0)),1)</f>
        <v>0.729834891319568</v>
      </c>
      <c r="AC586">
        <f>IFERROR(INDEX(楼层配置!$G$5:$G$204,MATCH($K586,楼层配置!$B$5:$B$204,0)),1)</f>
        <v>1</v>
      </c>
      <c r="AD586" t="str">
        <f t="shared" si="75"/>
        <v/>
      </c>
      <c r="AE586" t="str">
        <f t="shared" si="76"/>
        <v/>
      </c>
      <c r="AF586" t="str">
        <f t="shared" si="77"/>
        <v/>
      </c>
      <c r="AG586" t="str">
        <f t="shared" si="78"/>
        <v>有效</v>
      </c>
      <c r="AH586">
        <f t="shared" si="79"/>
        <v>5207933.59058333</v>
      </c>
    </row>
    <row r="587" spans="1:34">
      <c r="A587">
        <v>583</v>
      </c>
      <c r="B587">
        <v>1005</v>
      </c>
      <c r="C587">
        <v>60</v>
      </c>
      <c r="D587">
        <f>IFERROR(ROUND($U587*$X587*$AA587*参数!$B$13,0),"")</f>
        <v>2205739</v>
      </c>
      <c r="E587">
        <f>IFERROR(ROUND($V587*$Y587*$AB587*参数!$C$13,0),"")</f>
        <v>45494</v>
      </c>
      <c r="F587">
        <f>IFERROR(ROUND($W587*$Z587*$AC587*参数!$D$13,0),"")</f>
        <v>32666</v>
      </c>
      <c r="J587">
        <v>117</v>
      </c>
      <c r="K587">
        <v>117</v>
      </c>
      <c r="L587">
        <f>IFERROR(INDEX(楼层配置!$D$5:$D$204,MATCH($K587,楼层配置!$B$5:$B$204,0)),"")</f>
        <v>302</v>
      </c>
      <c r="M587" t="str">
        <f>IFERROR(INDEX(_角色基线!$B$2:$B$100,MATCH($B587,_角色基线!$A$2:$A$100,0)),"")</f>
        <v>陈单单</v>
      </c>
      <c r="N587" t="str">
        <f>IFERROR(INDEX(_角色基线!$C$2:$C$100,MATCH($B587,_角色基线!$A$2:$A$100,0)),"")</f>
        <v>DPS</v>
      </c>
      <c r="O587">
        <f>IFERROR(INDEX(_怪物基线!$B$2:$B$501,MATCH(INT($L587),_怪物基线!$A$2:$A$501,0)),"")</f>
        <v>489807</v>
      </c>
      <c r="P587">
        <f>IFERROR(INDEX(_怪物基线!$C$2:$C$501,MATCH(INT($L587),_怪物基线!$A$2:$A$501,0)),"")</f>
        <v>43288</v>
      </c>
      <c r="Q587">
        <f>IFERROR(INDEX(_怪物基线!$D$2:$D$501,MATCH(INT($L587),_怪物基线!$A$2:$A$501,0)),"")</f>
        <v>32666</v>
      </c>
      <c r="R587">
        <f>参数!$B$10</f>
        <v>4</v>
      </c>
      <c r="S587">
        <f>参数!$C$10</f>
        <v>1.2</v>
      </c>
      <c r="T587">
        <f>参数!$D$10</f>
        <v>1</v>
      </c>
      <c r="U587">
        <f t="shared" si="72"/>
        <v>1959228</v>
      </c>
      <c r="V587">
        <f t="shared" si="73"/>
        <v>51945.6</v>
      </c>
      <c r="W587">
        <f t="shared" si="74"/>
        <v>32666</v>
      </c>
      <c r="X587">
        <f>IFERROR(INDEX(参数!$B$5:$B$7,MATCH($N587,参数!$A$5:$A$7,0)),"")</f>
        <v>1</v>
      </c>
      <c r="Y587">
        <f>IFERROR(INDEX(参数!$C$5:$C$7,MATCH($N587,参数!$A$5:$A$7,0)),"")</f>
        <v>1.2</v>
      </c>
      <c r="Z587">
        <f>IFERROR(INDEX(参数!$D$5:$D$7,MATCH($N587,参数!$A$5:$A$7,0)),"")</f>
        <v>1</v>
      </c>
      <c r="AA587">
        <f>IFERROR(INDEX(楼层配置!$E$5:$E$204,MATCH($K587,楼层配置!$B$5:$B$204,0)),1)</f>
        <v>1.12582067235919</v>
      </c>
      <c r="AB587">
        <f>IFERROR(INDEX(楼层配置!$F$5:$F$204,MATCH($K587,楼层配置!$B$5:$B$204,0)),1)</f>
        <v>0.729834891319568</v>
      </c>
      <c r="AC587">
        <f>IFERROR(INDEX(楼层配置!$G$5:$G$204,MATCH($K587,楼层配置!$B$5:$B$204,0)),1)</f>
        <v>1</v>
      </c>
      <c r="AD587" t="str">
        <f t="shared" si="75"/>
        <v/>
      </c>
      <c r="AE587" t="str">
        <f t="shared" si="76"/>
        <v/>
      </c>
      <c r="AF587" t="str">
        <f t="shared" si="77"/>
        <v/>
      </c>
      <c r="AG587" t="str">
        <f t="shared" si="78"/>
        <v>有效</v>
      </c>
      <c r="AH587">
        <f t="shared" si="79"/>
        <v>5207933.59058333</v>
      </c>
    </row>
    <row r="588" spans="1:34">
      <c r="A588">
        <v>584</v>
      </c>
      <c r="B588">
        <v>1005</v>
      </c>
      <c r="C588">
        <v>60</v>
      </c>
      <c r="D588">
        <f>IFERROR(ROUND($U588*$X588*$AA588*参数!$B$13,0),"")</f>
        <v>2205739</v>
      </c>
      <c r="E588">
        <f>IFERROR(ROUND($V588*$Y588*$AB588*参数!$C$13,0),"")</f>
        <v>45494</v>
      </c>
      <c r="F588">
        <f>IFERROR(ROUND($W588*$Z588*$AC588*参数!$D$13,0),"")</f>
        <v>32666</v>
      </c>
      <c r="J588">
        <v>117</v>
      </c>
      <c r="K588">
        <v>117</v>
      </c>
      <c r="L588">
        <f>IFERROR(INDEX(楼层配置!$D$5:$D$204,MATCH($K588,楼层配置!$B$5:$B$204,0)),"")</f>
        <v>302</v>
      </c>
      <c r="M588" t="str">
        <f>IFERROR(INDEX(_角色基线!$B$2:$B$100,MATCH($B588,_角色基线!$A$2:$A$100,0)),"")</f>
        <v>陈单单</v>
      </c>
      <c r="N588" t="str">
        <f>IFERROR(INDEX(_角色基线!$C$2:$C$100,MATCH($B588,_角色基线!$A$2:$A$100,0)),"")</f>
        <v>DPS</v>
      </c>
      <c r="O588">
        <f>IFERROR(INDEX(_怪物基线!$B$2:$B$501,MATCH(INT($L588),_怪物基线!$A$2:$A$501,0)),"")</f>
        <v>489807</v>
      </c>
      <c r="P588">
        <f>IFERROR(INDEX(_怪物基线!$C$2:$C$501,MATCH(INT($L588),_怪物基线!$A$2:$A$501,0)),"")</f>
        <v>43288</v>
      </c>
      <c r="Q588">
        <f>IFERROR(INDEX(_怪物基线!$D$2:$D$501,MATCH(INT($L588),_怪物基线!$A$2:$A$501,0)),"")</f>
        <v>32666</v>
      </c>
      <c r="R588">
        <f>参数!$B$10</f>
        <v>4</v>
      </c>
      <c r="S588">
        <f>参数!$C$10</f>
        <v>1.2</v>
      </c>
      <c r="T588">
        <f>参数!$D$10</f>
        <v>1</v>
      </c>
      <c r="U588">
        <f t="shared" si="72"/>
        <v>1959228</v>
      </c>
      <c r="V588">
        <f t="shared" si="73"/>
        <v>51945.6</v>
      </c>
      <c r="W588">
        <f t="shared" si="74"/>
        <v>32666</v>
      </c>
      <c r="X588">
        <f>IFERROR(INDEX(参数!$B$5:$B$7,MATCH($N588,参数!$A$5:$A$7,0)),"")</f>
        <v>1</v>
      </c>
      <c r="Y588">
        <f>IFERROR(INDEX(参数!$C$5:$C$7,MATCH($N588,参数!$A$5:$A$7,0)),"")</f>
        <v>1.2</v>
      </c>
      <c r="Z588">
        <f>IFERROR(INDEX(参数!$D$5:$D$7,MATCH($N588,参数!$A$5:$A$7,0)),"")</f>
        <v>1</v>
      </c>
      <c r="AA588">
        <f>IFERROR(INDEX(楼层配置!$E$5:$E$204,MATCH($K588,楼层配置!$B$5:$B$204,0)),1)</f>
        <v>1.12582067235919</v>
      </c>
      <c r="AB588">
        <f>IFERROR(INDEX(楼层配置!$F$5:$F$204,MATCH($K588,楼层配置!$B$5:$B$204,0)),1)</f>
        <v>0.729834891319568</v>
      </c>
      <c r="AC588">
        <f>IFERROR(INDEX(楼层配置!$G$5:$G$204,MATCH($K588,楼层配置!$B$5:$B$204,0)),1)</f>
        <v>1</v>
      </c>
      <c r="AD588" t="str">
        <f t="shared" si="75"/>
        <v/>
      </c>
      <c r="AE588" t="str">
        <f t="shared" si="76"/>
        <v/>
      </c>
      <c r="AF588" t="str">
        <f t="shared" si="77"/>
        <v/>
      </c>
      <c r="AG588" t="str">
        <f t="shared" si="78"/>
        <v>有效</v>
      </c>
      <c r="AH588">
        <f t="shared" si="79"/>
        <v>5207933.59058333</v>
      </c>
    </row>
    <row r="589" spans="1:34">
      <c r="A589">
        <v>585</v>
      </c>
      <c r="B589">
        <v>1029</v>
      </c>
      <c r="C589">
        <v>60</v>
      </c>
      <c r="D589">
        <f>IFERROR(ROUND($U589*$X589*$AA589*参数!$B$13,0),"")</f>
        <v>2757174</v>
      </c>
      <c r="E589">
        <f>IFERROR(ROUND($V589*$Y589*$AB589*参数!$C$13,0),"")</f>
        <v>37912</v>
      </c>
      <c r="F589">
        <f>IFERROR(ROUND($W589*$Z589*$AC589*参数!$D$13,0),"")</f>
        <v>40833</v>
      </c>
      <c r="J589">
        <v>117</v>
      </c>
      <c r="K589">
        <v>117</v>
      </c>
      <c r="L589">
        <f>IFERROR(INDEX(楼层配置!$D$5:$D$204,MATCH($K589,楼层配置!$B$5:$B$204,0)),"")</f>
        <v>302</v>
      </c>
      <c r="M589" t="str">
        <f>IFERROR(INDEX(_角色基线!$B$2:$B$100,MATCH($B589,_角色基线!$A$2:$A$100,0)),"")</f>
        <v>凯兰</v>
      </c>
      <c r="N589" t="str">
        <f>IFERROR(INDEX(_角色基线!$C$2:$C$100,MATCH($B589,_角色基线!$A$2:$A$100,0)),"")</f>
        <v>Support</v>
      </c>
      <c r="O589">
        <f>IFERROR(INDEX(_怪物基线!$B$2:$B$501,MATCH(INT($L589),_怪物基线!$A$2:$A$501,0)),"")</f>
        <v>489807</v>
      </c>
      <c r="P589">
        <f>IFERROR(INDEX(_怪物基线!$C$2:$C$501,MATCH(INT($L589),_怪物基线!$A$2:$A$501,0)),"")</f>
        <v>43288</v>
      </c>
      <c r="Q589">
        <f>IFERROR(INDEX(_怪物基线!$D$2:$D$501,MATCH(INT($L589),_怪物基线!$A$2:$A$501,0)),"")</f>
        <v>32666</v>
      </c>
      <c r="R589">
        <f>参数!$B$10</f>
        <v>4</v>
      </c>
      <c r="S589">
        <f>参数!$C$10</f>
        <v>1.2</v>
      </c>
      <c r="T589">
        <f>参数!$D$10</f>
        <v>1</v>
      </c>
      <c r="U589">
        <f t="shared" si="72"/>
        <v>1959228</v>
      </c>
      <c r="V589">
        <f t="shared" si="73"/>
        <v>51945.6</v>
      </c>
      <c r="W589">
        <f t="shared" si="74"/>
        <v>32666</v>
      </c>
      <c r="X589">
        <f>IFERROR(INDEX(参数!$B$5:$B$7,MATCH($N589,参数!$A$5:$A$7,0)),"")</f>
        <v>1.25</v>
      </c>
      <c r="Y589">
        <f>IFERROR(INDEX(参数!$C$5:$C$7,MATCH($N589,参数!$A$5:$A$7,0)),"")</f>
        <v>1</v>
      </c>
      <c r="Z589">
        <f>IFERROR(INDEX(参数!$D$5:$D$7,MATCH($N589,参数!$A$5:$A$7,0)),"")</f>
        <v>1.25</v>
      </c>
      <c r="AA589">
        <f>IFERROR(INDEX(楼层配置!$E$5:$E$204,MATCH($K589,楼层配置!$B$5:$B$204,0)),1)</f>
        <v>1.12582067235919</v>
      </c>
      <c r="AB589">
        <f>IFERROR(INDEX(楼层配置!$F$5:$F$204,MATCH($K589,楼层配置!$B$5:$B$204,0)),1)</f>
        <v>0.729834891319568</v>
      </c>
      <c r="AC589">
        <f>IFERROR(INDEX(楼层配置!$G$5:$G$204,MATCH($K589,楼层配置!$B$5:$B$204,0)),1)</f>
        <v>1</v>
      </c>
      <c r="AD589" t="str">
        <f t="shared" si="75"/>
        <v/>
      </c>
      <c r="AE589" t="str">
        <f t="shared" si="76"/>
        <v/>
      </c>
      <c r="AF589" t="str">
        <f t="shared" si="77"/>
        <v/>
      </c>
      <c r="AG589" t="str">
        <f t="shared" si="78"/>
        <v>有效</v>
      </c>
      <c r="AH589">
        <f t="shared" si="79"/>
        <v>7448160.91425</v>
      </c>
    </row>
    <row r="590" spans="1:34">
      <c r="A590">
        <v>586</v>
      </c>
      <c r="B590">
        <v>1003</v>
      </c>
      <c r="C590">
        <v>60</v>
      </c>
      <c r="D590">
        <f>IFERROR(ROUND($U590*$X590*$AA590*参数!$B$13,0),"")</f>
        <v>3339466</v>
      </c>
      <c r="E590">
        <f>IFERROR(ROUND($V590*$Y590*$AB590*参数!$C$13,0),"")</f>
        <v>38180</v>
      </c>
      <c r="F590">
        <f>IFERROR(ROUND($W590*$Z590*$AC590*参数!$D$13,0),"")</f>
        <v>49214</v>
      </c>
      <c r="J590">
        <v>118</v>
      </c>
      <c r="K590">
        <v>118</v>
      </c>
      <c r="L590">
        <f>IFERROR(INDEX(楼层配置!$D$5:$D$204,MATCH($K590,楼层配置!$B$5:$B$204,0)),"")</f>
        <v>303</v>
      </c>
      <c r="M590" t="str">
        <f>IFERROR(INDEX(_角色基线!$B$2:$B$100,MATCH($B590,_角色基线!$A$2:$A$100,0)),"")</f>
        <v>塔拉夏</v>
      </c>
      <c r="N590" t="str">
        <f>IFERROR(INDEX(_角色基线!$C$2:$C$100,MATCH($B590,_角色基线!$A$2:$A$100,0)),"")</f>
        <v>Tank</v>
      </c>
      <c r="O590">
        <f>IFERROR(INDEX(_怪物基线!$B$2:$B$501,MATCH(INT($L590),_怪物基线!$A$2:$A$501,0)),"")</f>
        <v>494375</v>
      </c>
      <c r="P590">
        <f>IFERROR(INDEX(_怪物基线!$C$2:$C$501,MATCH(INT($L590),_怪物基线!$A$2:$A$501,0)),"")</f>
        <v>43594</v>
      </c>
      <c r="Q590">
        <f>IFERROR(INDEX(_怪物基线!$D$2:$D$501,MATCH(INT($L590),_怪物基线!$A$2:$A$501,0)),"")</f>
        <v>32809</v>
      </c>
      <c r="R590">
        <f>参数!$B$10</f>
        <v>4</v>
      </c>
      <c r="S590">
        <f>参数!$C$10</f>
        <v>1.2</v>
      </c>
      <c r="T590">
        <f>参数!$D$10</f>
        <v>1</v>
      </c>
      <c r="U590">
        <f t="shared" si="72"/>
        <v>1977500</v>
      </c>
      <c r="V590">
        <f t="shared" si="73"/>
        <v>52312.8</v>
      </c>
      <c r="W590">
        <f t="shared" si="74"/>
        <v>32809</v>
      </c>
      <c r="X590">
        <f>IFERROR(INDEX(参数!$B$5:$B$7,MATCH($N590,参数!$A$5:$A$7,0)),"")</f>
        <v>1.5</v>
      </c>
      <c r="Y590">
        <f>IFERROR(INDEX(参数!$C$5:$C$7,MATCH($N590,参数!$A$5:$A$7,0)),"")</f>
        <v>1</v>
      </c>
      <c r="Z590">
        <f>IFERROR(INDEX(参数!$D$5:$D$7,MATCH($N590,参数!$A$5:$A$7,0)),"")</f>
        <v>1.5</v>
      </c>
      <c r="AA590">
        <f>IFERROR(INDEX(楼层配置!$E$5:$E$204,MATCH($K590,楼层配置!$B$5:$B$204,0)),1)</f>
        <v>1.12582067235919</v>
      </c>
      <c r="AB590">
        <f>IFERROR(INDEX(楼层配置!$F$5:$F$204,MATCH($K590,楼层配置!$B$5:$B$204,0)),1)</f>
        <v>0.729834891319568</v>
      </c>
      <c r="AC590">
        <f>IFERROR(INDEX(楼层配置!$G$5:$G$204,MATCH($K590,楼层配置!$B$5:$B$204,0)),1)</f>
        <v>1</v>
      </c>
      <c r="AD590" t="str">
        <f t="shared" si="75"/>
        <v/>
      </c>
      <c r="AE590" t="str">
        <f t="shared" si="76"/>
        <v/>
      </c>
      <c r="AF590" t="str">
        <f t="shared" si="77"/>
        <v/>
      </c>
      <c r="AG590" t="str">
        <f t="shared" si="78"/>
        <v>有效</v>
      </c>
      <c r="AH590">
        <f t="shared" si="79"/>
        <v>10187319.3218333</v>
      </c>
    </row>
    <row r="591" spans="1:34">
      <c r="A591">
        <v>587</v>
      </c>
      <c r="B591">
        <v>1005</v>
      </c>
      <c r="C591">
        <v>60</v>
      </c>
      <c r="D591">
        <f>IFERROR(ROUND($U591*$X591*$AA591*参数!$B$13,0),"")</f>
        <v>2226310</v>
      </c>
      <c r="E591">
        <f>IFERROR(ROUND($V591*$Y591*$AB591*参数!$C$13,0),"")</f>
        <v>45816</v>
      </c>
      <c r="F591">
        <f>IFERROR(ROUND($W591*$Z591*$AC591*参数!$D$13,0),"")</f>
        <v>32809</v>
      </c>
      <c r="J591">
        <v>118</v>
      </c>
      <c r="K591">
        <v>118</v>
      </c>
      <c r="L591">
        <f>IFERROR(INDEX(楼层配置!$D$5:$D$204,MATCH($K591,楼层配置!$B$5:$B$204,0)),"")</f>
        <v>303</v>
      </c>
      <c r="M591" t="str">
        <f>IFERROR(INDEX(_角色基线!$B$2:$B$100,MATCH($B591,_角色基线!$A$2:$A$100,0)),"")</f>
        <v>陈单单</v>
      </c>
      <c r="N591" t="str">
        <f>IFERROR(INDEX(_角色基线!$C$2:$C$100,MATCH($B591,_角色基线!$A$2:$A$100,0)),"")</f>
        <v>DPS</v>
      </c>
      <c r="O591">
        <f>IFERROR(INDEX(_怪物基线!$B$2:$B$501,MATCH(INT($L591),_怪物基线!$A$2:$A$501,0)),"")</f>
        <v>494375</v>
      </c>
      <c r="P591">
        <f>IFERROR(INDEX(_怪物基线!$C$2:$C$501,MATCH(INT($L591),_怪物基线!$A$2:$A$501,0)),"")</f>
        <v>43594</v>
      </c>
      <c r="Q591">
        <f>IFERROR(INDEX(_怪物基线!$D$2:$D$501,MATCH(INT($L591),_怪物基线!$A$2:$A$501,0)),"")</f>
        <v>32809</v>
      </c>
      <c r="R591">
        <f>参数!$B$10</f>
        <v>4</v>
      </c>
      <c r="S591">
        <f>参数!$C$10</f>
        <v>1.2</v>
      </c>
      <c r="T591">
        <f>参数!$D$10</f>
        <v>1</v>
      </c>
      <c r="U591">
        <f t="shared" si="72"/>
        <v>1977500</v>
      </c>
      <c r="V591">
        <f t="shared" si="73"/>
        <v>52312.8</v>
      </c>
      <c r="W591">
        <f t="shared" si="74"/>
        <v>32809</v>
      </c>
      <c r="X591">
        <f>IFERROR(INDEX(参数!$B$5:$B$7,MATCH($N591,参数!$A$5:$A$7,0)),"")</f>
        <v>1</v>
      </c>
      <c r="Y591">
        <f>IFERROR(INDEX(参数!$C$5:$C$7,MATCH($N591,参数!$A$5:$A$7,0)),"")</f>
        <v>1.2</v>
      </c>
      <c r="Z591">
        <f>IFERROR(INDEX(参数!$D$5:$D$7,MATCH($N591,参数!$A$5:$A$7,0)),"")</f>
        <v>1</v>
      </c>
      <c r="AA591">
        <f>IFERROR(INDEX(楼层配置!$E$5:$E$204,MATCH($K591,楼层配置!$B$5:$B$204,0)),1)</f>
        <v>1.12582067235919</v>
      </c>
      <c r="AB591">
        <f>IFERROR(INDEX(楼层配置!$F$5:$F$204,MATCH($K591,楼层配置!$B$5:$B$204,0)),1)</f>
        <v>0.729834891319568</v>
      </c>
      <c r="AC591">
        <f>IFERROR(INDEX(楼层配置!$G$5:$G$204,MATCH($K591,楼层配置!$B$5:$B$204,0)),1)</f>
        <v>1</v>
      </c>
      <c r="AD591" t="str">
        <f t="shared" si="75"/>
        <v/>
      </c>
      <c r="AE591" t="str">
        <f t="shared" si="76"/>
        <v/>
      </c>
      <c r="AF591" t="str">
        <f t="shared" si="77"/>
        <v/>
      </c>
      <c r="AG591" t="str">
        <f t="shared" si="78"/>
        <v>有效</v>
      </c>
      <c r="AH591">
        <f t="shared" si="79"/>
        <v>5269768.53291667</v>
      </c>
    </row>
    <row r="592" spans="1:34">
      <c r="A592">
        <v>588</v>
      </c>
      <c r="B592">
        <v>1005</v>
      </c>
      <c r="C592">
        <v>60</v>
      </c>
      <c r="D592">
        <f>IFERROR(ROUND($U592*$X592*$AA592*参数!$B$13,0),"")</f>
        <v>2226310</v>
      </c>
      <c r="E592">
        <f>IFERROR(ROUND($V592*$Y592*$AB592*参数!$C$13,0),"")</f>
        <v>45816</v>
      </c>
      <c r="F592">
        <f>IFERROR(ROUND($W592*$Z592*$AC592*参数!$D$13,0),"")</f>
        <v>32809</v>
      </c>
      <c r="J592">
        <v>118</v>
      </c>
      <c r="K592">
        <v>118</v>
      </c>
      <c r="L592">
        <f>IFERROR(INDEX(楼层配置!$D$5:$D$204,MATCH($K592,楼层配置!$B$5:$B$204,0)),"")</f>
        <v>303</v>
      </c>
      <c r="M592" t="str">
        <f>IFERROR(INDEX(_角色基线!$B$2:$B$100,MATCH($B592,_角色基线!$A$2:$A$100,0)),"")</f>
        <v>陈单单</v>
      </c>
      <c r="N592" t="str">
        <f>IFERROR(INDEX(_角色基线!$C$2:$C$100,MATCH($B592,_角色基线!$A$2:$A$100,0)),"")</f>
        <v>DPS</v>
      </c>
      <c r="O592">
        <f>IFERROR(INDEX(_怪物基线!$B$2:$B$501,MATCH(INT($L592),_怪物基线!$A$2:$A$501,0)),"")</f>
        <v>494375</v>
      </c>
      <c r="P592">
        <f>IFERROR(INDEX(_怪物基线!$C$2:$C$501,MATCH(INT($L592),_怪物基线!$A$2:$A$501,0)),"")</f>
        <v>43594</v>
      </c>
      <c r="Q592">
        <f>IFERROR(INDEX(_怪物基线!$D$2:$D$501,MATCH(INT($L592),_怪物基线!$A$2:$A$501,0)),"")</f>
        <v>32809</v>
      </c>
      <c r="R592">
        <f>参数!$B$10</f>
        <v>4</v>
      </c>
      <c r="S592">
        <f>参数!$C$10</f>
        <v>1.2</v>
      </c>
      <c r="T592">
        <f>参数!$D$10</f>
        <v>1</v>
      </c>
      <c r="U592">
        <f t="shared" si="72"/>
        <v>1977500</v>
      </c>
      <c r="V592">
        <f t="shared" si="73"/>
        <v>52312.8</v>
      </c>
      <c r="W592">
        <f t="shared" si="74"/>
        <v>32809</v>
      </c>
      <c r="X592">
        <f>IFERROR(INDEX(参数!$B$5:$B$7,MATCH($N592,参数!$A$5:$A$7,0)),"")</f>
        <v>1</v>
      </c>
      <c r="Y592">
        <f>IFERROR(INDEX(参数!$C$5:$C$7,MATCH($N592,参数!$A$5:$A$7,0)),"")</f>
        <v>1.2</v>
      </c>
      <c r="Z592">
        <f>IFERROR(INDEX(参数!$D$5:$D$7,MATCH($N592,参数!$A$5:$A$7,0)),"")</f>
        <v>1</v>
      </c>
      <c r="AA592">
        <f>IFERROR(INDEX(楼层配置!$E$5:$E$204,MATCH($K592,楼层配置!$B$5:$B$204,0)),1)</f>
        <v>1.12582067235919</v>
      </c>
      <c r="AB592">
        <f>IFERROR(INDEX(楼层配置!$F$5:$F$204,MATCH($K592,楼层配置!$B$5:$B$204,0)),1)</f>
        <v>0.729834891319568</v>
      </c>
      <c r="AC592">
        <f>IFERROR(INDEX(楼层配置!$G$5:$G$204,MATCH($K592,楼层配置!$B$5:$B$204,0)),1)</f>
        <v>1</v>
      </c>
      <c r="AD592" t="str">
        <f t="shared" si="75"/>
        <v/>
      </c>
      <c r="AE592" t="str">
        <f t="shared" si="76"/>
        <v/>
      </c>
      <c r="AF592" t="str">
        <f t="shared" si="77"/>
        <v/>
      </c>
      <c r="AG592" t="str">
        <f t="shared" si="78"/>
        <v>有效</v>
      </c>
      <c r="AH592">
        <f t="shared" si="79"/>
        <v>5269768.53291667</v>
      </c>
    </row>
    <row r="593" spans="1:34">
      <c r="A593">
        <v>589</v>
      </c>
      <c r="B593">
        <v>1005</v>
      </c>
      <c r="C593">
        <v>60</v>
      </c>
      <c r="D593">
        <f>IFERROR(ROUND($U593*$X593*$AA593*参数!$B$13,0),"")</f>
        <v>2226310</v>
      </c>
      <c r="E593">
        <f>IFERROR(ROUND($V593*$Y593*$AB593*参数!$C$13,0),"")</f>
        <v>45816</v>
      </c>
      <c r="F593">
        <f>IFERROR(ROUND($W593*$Z593*$AC593*参数!$D$13,0),"")</f>
        <v>32809</v>
      </c>
      <c r="J593">
        <v>118</v>
      </c>
      <c r="K593">
        <v>118</v>
      </c>
      <c r="L593">
        <f>IFERROR(INDEX(楼层配置!$D$5:$D$204,MATCH($K593,楼层配置!$B$5:$B$204,0)),"")</f>
        <v>303</v>
      </c>
      <c r="M593" t="str">
        <f>IFERROR(INDEX(_角色基线!$B$2:$B$100,MATCH($B593,_角色基线!$A$2:$A$100,0)),"")</f>
        <v>陈单单</v>
      </c>
      <c r="N593" t="str">
        <f>IFERROR(INDEX(_角色基线!$C$2:$C$100,MATCH($B593,_角色基线!$A$2:$A$100,0)),"")</f>
        <v>DPS</v>
      </c>
      <c r="O593">
        <f>IFERROR(INDEX(_怪物基线!$B$2:$B$501,MATCH(INT($L593),_怪物基线!$A$2:$A$501,0)),"")</f>
        <v>494375</v>
      </c>
      <c r="P593">
        <f>IFERROR(INDEX(_怪物基线!$C$2:$C$501,MATCH(INT($L593),_怪物基线!$A$2:$A$501,0)),"")</f>
        <v>43594</v>
      </c>
      <c r="Q593">
        <f>IFERROR(INDEX(_怪物基线!$D$2:$D$501,MATCH(INT($L593),_怪物基线!$A$2:$A$501,0)),"")</f>
        <v>32809</v>
      </c>
      <c r="R593">
        <f>参数!$B$10</f>
        <v>4</v>
      </c>
      <c r="S593">
        <f>参数!$C$10</f>
        <v>1.2</v>
      </c>
      <c r="T593">
        <f>参数!$D$10</f>
        <v>1</v>
      </c>
      <c r="U593">
        <f t="shared" si="72"/>
        <v>1977500</v>
      </c>
      <c r="V593">
        <f t="shared" si="73"/>
        <v>52312.8</v>
      </c>
      <c r="W593">
        <f t="shared" si="74"/>
        <v>32809</v>
      </c>
      <c r="X593">
        <f>IFERROR(INDEX(参数!$B$5:$B$7,MATCH($N593,参数!$A$5:$A$7,0)),"")</f>
        <v>1</v>
      </c>
      <c r="Y593">
        <f>IFERROR(INDEX(参数!$C$5:$C$7,MATCH($N593,参数!$A$5:$A$7,0)),"")</f>
        <v>1.2</v>
      </c>
      <c r="Z593">
        <f>IFERROR(INDEX(参数!$D$5:$D$7,MATCH($N593,参数!$A$5:$A$7,0)),"")</f>
        <v>1</v>
      </c>
      <c r="AA593">
        <f>IFERROR(INDEX(楼层配置!$E$5:$E$204,MATCH($K593,楼层配置!$B$5:$B$204,0)),1)</f>
        <v>1.12582067235919</v>
      </c>
      <c r="AB593">
        <f>IFERROR(INDEX(楼层配置!$F$5:$F$204,MATCH($K593,楼层配置!$B$5:$B$204,0)),1)</f>
        <v>0.729834891319568</v>
      </c>
      <c r="AC593">
        <f>IFERROR(INDEX(楼层配置!$G$5:$G$204,MATCH($K593,楼层配置!$B$5:$B$204,0)),1)</f>
        <v>1</v>
      </c>
      <c r="AD593" t="str">
        <f t="shared" si="75"/>
        <v/>
      </c>
      <c r="AE593" t="str">
        <f t="shared" si="76"/>
        <v/>
      </c>
      <c r="AF593" t="str">
        <f t="shared" si="77"/>
        <v/>
      </c>
      <c r="AG593" t="str">
        <f t="shared" si="78"/>
        <v>有效</v>
      </c>
      <c r="AH593">
        <f t="shared" si="79"/>
        <v>5269768.53291667</v>
      </c>
    </row>
    <row r="594" spans="1:34">
      <c r="A594">
        <v>590</v>
      </c>
      <c r="B594">
        <v>1029</v>
      </c>
      <c r="C594">
        <v>60</v>
      </c>
      <c r="D594">
        <f>IFERROR(ROUND($U594*$X594*$AA594*参数!$B$13,0),"")</f>
        <v>2782888</v>
      </c>
      <c r="E594">
        <f>IFERROR(ROUND($V594*$Y594*$AB594*参数!$C$13,0),"")</f>
        <v>38180</v>
      </c>
      <c r="F594">
        <f>IFERROR(ROUND($W594*$Z594*$AC594*参数!$D$13,0),"")</f>
        <v>41011</v>
      </c>
      <c r="J594">
        <v>118</v>
      </c>
      <c r="K594">
        <v>118</v>
      </c>
      <c r="L594">
        <f>IFERROR(INDEX(楼层配置!$D$5:$D$204,MATCH($K594,楼层配置!$B$5:$B$204,0)),"")</f>
        <v>303</v>
      </c>
      <c r="M594" t="str">
        <f>IFERROR(INDEX(_角色基线!$B$2:$B$100,MATCH($B594,_角色基线!$A$2:$A$100,0)),"")</f>
        <v>凯兰</v>
      </c>
      <c r="N594" t="str">
        <f>IFERROR(INDEX(_角色基线!$C$2:$C$100,MATCH($B594,_角色基线!$A$2:$A$100,0)),"")</f>
        <v>Support</v>
      </c>
      <c r="O594">
        <f>IFERROR(INDEX(_怪物基线!$B$2:$B$501,MATCH(INT($L594),_怪物基线!$A$2:$A$501,0)),"")</f>
        <v>494375</v>
      </c>
      <c r="P594">
        <f>IFERROR(INDEX(_怪物基线!$C$2:$C$501,MATCH(INT($L594),_怪物基线!$A$2:$A$501,0)),"")</f>
        <v>43594</v>
      </c>
      <c r="Q594">
        <f>IFERROR(INDEX(_怪物基线!$D$2:$D$501,MATCH(INT($L594),_怪物基线!$A$2:$A$501,0)),"")</f>
        <v>32809</v>
      </c>
      <c r="R594">
        <f>参数!$B$10</f>
        <v>4</v>
      </c>
      <c r="S594">
        <f>参数!$C$10</f>
        <v>1.2</v>
      </c>
      <c r="T594">
        <f>参数!$D$10</f>
        <v>1</v>
      </c>
      <c r="U594">
        <f t="shared" si="72"/>
        <v>1977500</v>
      </c>
      <c r="V594">
        <f t="shared" si="73"/>
        <v>52312.8</v>
      </c>
      <c r="W594">
        <f t="shared" si="74"/>
        <v>32809</v>
      </c>
      <c r="X594">
        <f>IFERROR(INDEX(参数!$B$5:$B$7,MATCH($N594,参数!$A$5:$A$7,0)),"")</f>
        <v>1.25</v>
      </c>
      <c r="Y594">
        <f>IFERROR(INDEX(参数!$C$5:$C$7,MATCH($N594,参数!$A$5:$A$7,0)),"")</f>
        <v>1</v>
      </c>
      <c r="Z594">
        <f>IFERROR(INDEX(参数!$D$5:$D$7,MATCH($N594,参数!$A$5:$A$7,0)),"")</f>
        <v>1.25</v>
      </c>
      <c r="AA594">
        <f>IFERROR(INDEX(楼层配置!$E$5:$E$204,MATCH($K594,楼层配置!$B$5:$B$204,0)),1)</f>
        <v>1.12582067235919</v>
      </c>
      <c r="AB594">
        <f>IFERROR(INDEX(楼层配置!$F$5:$F$204,MATCH($K594,楼层配置!$B$5:$B$204,0)),1)</f>
        <v>0.729834891319568</v>
      </c>
      <c r="AC594">
        <f>IFERROR(INDEX(楼层配置!$G$5:$G$204,MATCH($K594,楼层配置!$B$5:$B$204,0)),1)</f>
        <v>1</v>
      </c>
      <c r="AD594" t="str">
        <f t="shared" si="75"/>
        <v/>
      </c>
      <c r="AE594" t="str">
        <f t="shared" si="76"/>
        <v/>
      </c>
      <c r="AF594" t="str">
        <f t="shared" si="77"/>
        <v/>
      </c>
      <c r="AG594" t="str">
        <f t="shared" si="78"/>
        <v>有效</v>
      </c>
      <c r="AH594">
        <f t="shared" si="79"/>
        <v>7538263.82366667</v>
      </c>
    </row>
    <row r="595" spans="1:34">
      <c r="A595">
        <v>591</v>
      </c>
      <c r="B595">
        <v>1003</v>
      </c>
      <c r="C595">
        <v>60</v>
      </c>
      <c r="D595">
        <f>IFERROR(ROUND($U595*$X595*$AA595*参数!$B$13,0),"")</f>
        <v>3401827</v>
      </c>
      <c r="E595">
        <f>IFERROR(ROUND($V595*$Y595*$AB595*参数!$C$13,0),"")</f>
        <v>38720</v>
      </c>
      <c r="F595">
        <f>IFERROR(ROUND($W595*$Z595*$AC595*参数!$D$13,0),"")</f>
        <v>49643</v>
      </c>
      <c r="J595">
        <v>119</v>
      </c>
      <c r="K595">
        <v>119</v>
      </c>
      <c r="L595">
        <f>IFERROR(INDEX(楼层配置!$D$5:$D$204,MATCH($K595,楼层配置!$B$5:$B$204,0)),"")</f>
        <v>305</v>
      </c>
      <c r="M595" t="str">
        <f>IFERROR(INDEX(_角色基线!$B$2:$B$100,MATCH($B595,_角色基线!$A$2:$A$100,0)),"")</f>
        <v>塔拉夏</v>
      </c>
      <c r="N595" t="str">
        <f>IFERROR(INDEX(_角色基线!$C$2:$C$100,MATCH($B595,_角色基线!$A$2:$A$100,0)),"")</f>
        <v>Tank</v>
      </c>
      <c r="O595">
        <f>IFERROR(INDEX(_怪物基线!$B$2:$B$501,MATCH(INT($L595),_怪物基线!$A$2:$A$501,0)),"")</f>
        <v>503607</v>
      </c>
      <c r="P595">
        <f>IFERROR(INDEX(_怪物基线!$C$2:$C$501,MATCH(INT($L595),_怪物基线!$A$2:$A$501,0)),"")</f>
        <v>44211</v>
      </c>
      <c r="Q595">
        <f>IFERROR(INDEX(_怪物基线!$D$2:$D$501,MATCH(INT($L595),_怪物基线!$A$2:$A$501,0)),"")</f>
        <v>33095</v>
      </c>
      <c r="R595">
        <f>参数!$B$10</f>
        <v>4</v>
      </c>
      <c r="S595">
        <f>参数!$C$10</f>
        <v>1.2</v>
      </c>
      <c r="T595">
        <f>参数!$D$10</f>
        <v>1</v>
      </c>
      <c r="U595">
        <f t="shared" si="72"/>
        <v>2014428</v>
      </c>
      <c r="V595">
        <f t="shared" si="73"/>
        <v>53053.2</v>
      </c>
      <c r="W595">
        <f t="shared" si="74"/>
        <v>33095</v>
      </c>
      <c r="X595">
        <f>IFERROR(INDEX(参数!$B$5:$B$7,MATCH($N595,参数!$A$5:$A$7,0)),"")</f>
        <v>1.5</v>
      </c>
      <c r="Y595">
        <f>IFERROR(INDEX(参数!$C$5:$C$7,MATCH($N595,参数!$A$5:$A$7,0)),"")</f>
        <v>1</v>
      </c>
      <c r="Z595">
        <f>IFERROR(INDEX(参数!$D$5:$D$7,MATCH($N595,参数!$A$5:$A$7,0)),"")</f>
        <v>1.5</v>
      </c>
      <c r="AA595">
        <f>IFERROR(INDEX(楼层配置!$E$5:$E$204,MATCH($K595,楼层配置!$B$5:$B$204,0)),1)</f>
        <v>1.12582067235919</v>
      </c>
      <c r="AB595">
        <f>IFERROR(INDEX(楼层配置!$F$5:$F$204,MATCH($K595,楼层配置!$B$5:$B$204,0)),1)</f>
        <v>0.729834891319568</v>
      </c>
      <c r="AC595">
        <f>IFERROR(INDEX(楼层配置!$G$5:$G$204,MATCH($K595,楼层配置!$B$5:$B$204,0)),1)</f>
        <v>1</v>
      </c>
      <c r="AD595" t="str">
        <f t="shared" si="75"/>
        <v/>
      </c>
      <c r="AE595" t="str">
        <f t="shared" si="76"/>
        <v/>
      </c>
      <c r="AF595" t="str">
        <f t="shared" si="77"/>
        <v/>
      </c>
      <c r="AG595" t="str">
        <f t="shared" si="78"/>
        <v>有效</v>
      </c>
      <c r="AH595">
        <f t="shared" si="79"/>
        <v>10438364.4067083</v>
      </c>
    </row>
    <row r="596" spans="1:34">
      <c r="A596">
        <v>592</v>
      </c>
      <c r="B596">
        <v>1005</v>
      </c>
      <c r="C596">
        <v>60</v>
      </c>
      <c r="D596">
        <f>IFERROR(ROUND($U596*$X596*$AA596*参数!$B$13,0),"")</f>
        <v>2267885</v>
      </c>
      <c r="E596">
        <f>IFERROR(ROUND($V596*$Y596*$AB596*参数!$C$13,0),"")</f>
        <v>46464</v>
      </c>
      <c r="F596">
        <f>IFERROR(ROUND($W596*$Z596*$AC596*参数!$D$13,0),"")</f>
        <v>33095</v>
      </c>
      <c r="J596">
        <v>119</v>
      </c>
      <c r="K596">
        <v>119</v>
      </c>
      <c r="L596">
        <f>IFERROR(INDEX(楼层配置!$D$5:$D$204,MATCH($K596,楼层配置!$B$5:$B$204,0)),"")</f>
        <v>305</v>
      </c>
      <c r="M596" t="str">
        <f>IFERROR(INDEX(_角色基线!$B$2:$B$100,MATCH($B596,_角色基线!$A$2:$A$100,0)),"")</f>
        <v>陈单单</v>
      </c>
      <c r="N596" t="str">
        <f>IFERROR(INDEX(_角色基线!$C$2:$C$100,MATCH($B596,_角色基线!$A$2:$A$100,0)),"")</f>
        <v>DPS</v>
      </c>
      <c r="O596">
        <f>IFERROR(INDEX(_怪物基线!$B$2:$B$501,MATCH(INT($L596),_怪物基线!$A$2:$A$501,0)),"")</f>
        <v>503607</v>
      </c>
      <c r="P596">
        <f>IFERROR(INDEX(_怪物基线!$C$2:$C$501,MATCH(INT($L596),_怪物基线!$A$2:$A$501,0)),"")</f>
        <v>44211</v>
      </c>
      <c r="Q596">
        <f>IFERROR(INDEX(_怪物基线!$D$2:$D$501,MATCH(INT($L596),_怪物基线!$A$2:$A$501,0)),"")</f>
        <v>33095</v>
      </c>
      <c r="R596">
        <f>参数!$B$10</f>
        <v>4</v>
      </c>
      <c r="S596">
        <f>参数!$C$10</f>
        <v>1.2</v>
      </c>
      <c r="T596">
        <f>参数!$D$10</f>
        <v>1</v>
      </c>
      <c r="U596">
        <f t="shared" si="72"/>
        <v>2014428</v>
      </c>
      <c r="V596">
        <f t="shared" si="73"/>
        <v>53053.2</v>
      </c>
      <c r="W596">
        <f t="shared" si="74"/>
        <v>33095</v>
      </c>
      <c r="X596">
        <f>IFERROR(INDEX(参数!$B$5:$B$7,MATCH($N596,参数!$A$5:$A$7,0)),"")</f>
        <v>1</v>
      </c>
      <c r="Y596">
        <f>IFERROR(INDEX(参数!$C$5:$C$7,MATCH($N596,参数!$A$5:$A$7,0)),"")</f>
        <v>1.2</v>
      </c>
      <c r="Z596">
        <f>IFERROR(INDEX(参数!$D$5:$D$7,MATCH($N596,参数!$A$5:$A$7,0)),"")</f>
        <v>1</v>
      </c>
      <c r="AA596">
        <f>IFERROR(INDEX(楼层配置!$E$5:$E$204,MATCH($K596,楼层配置!$B$5:$B$204,0)),1)</f>
        <v>1.12582067235919</v>
      </c>
      <c r="AB596">
        <f>IFERROR(INDEX(楼层配置!$F$5:$F$204,MATCH($K596,楼层配置!$B$5:$B$204,0)),1)</f>
        <v>0.729834891319568</v>
      </c>
      <c r="AC596">
        <f>IFERROR(INDEX(楼层配置!$G$5:$G$204,MATCH($K596,楼层配置!$B$5:$B$204,0)),1)</f>
        <v>1</v>
      </c>
      <c r="AD596" t="str">
        <f t="shared" si="75"/>
        <v/>
      </c>
      <c r="AE596" t="str">
        <f t="shared" si="76"/>
        <v/>
      </c>
      <c r="AF596" t="str">
        <f t="shared" si="77"/>
        <v/>
      </c>
      <c r="AG596" t="str">
        <f t="shared" si="78"/>
        <v>有效</v>
      </c>
      <c r="AH596">
        <f t="shared" si="79"/>
        <v>5395203.91979167</v>
      </c>
    </row>
    <row r="597" spans="1:34">
      <c r="A597">
        <v>593</v>
      </c>
      <c r="B597">
        <v>1005</v>
      </c>
      <c r="C597">
        <v>60</v>
      </c>
      <c r="D597">
        <f>IFERROR(ROUND($U597*$X597*$AA597*参数!$B$13,0),"")</f>
        <v>2267885</v>
      </c>
      <c r="E597">
        <f>IFERROR(ROUND($V597*$Y597*$AB597*参数!$C$13,0),"")</f>
        <v>46464</v>
      </c>
      <c r="F597">
        <f>IFERROR(ROUND($W597*$Z597*$AC597*参数!$D$13,0),"")</f>
        <v>33095</v>
      </c>
      <c r="J597">
        <v>119</v>
      </c>
      <c r="K597">
        <v>119</v>
      </c>
      <c r="L597">
        <f>IFERROR(INDEX(楼层配置!$D$5:$D$204,MATCH($K597,楼层配置!$B$5:$B$204,0)),"")</f>
        <v>305</v>
      </c>
      <c r="M597" t="str">
        <f>IFERROR(INDEX(_角色基线!$B$2:$B$100,MATCH($B597,_角色基线!$A$2:$A$100,0)),"")</f>
        <v>陈单单</v>
      </c>
      <c r="N597" t="str">
        <f>IFERROR(INDEX(_角色基线!$C$2:$C$100,MATCH($B597,_角色基线!$A$2:$A$100,0)),"")</f>
        <v>DPS</v>
      </c>
      <c r="O597">
        <f>IFERROR(INDEX(_怪物基线!$B$2:$B$501,MATCH(INT($L597),_怪物基线!$A$2:$A$501,0)),"")</f>
        <v>503607</v>
      </c>
      <c r="P597">
        <f>IFERROR(INDEX(_怪物基线!$C$2:$C$501,MATCH(INT($L597),_怪物基线!$A$2:$A$501,0)),"")</f>
        <v>44211</v>
      </c>
      <c r="Q597">
        <f>IFERROR(INDEX(_怪物基线!$D$2:$D$501,MATCH(INT($L597),_怪物基线!$A$2:$A$501,0)),"")</f>
        <v>33095</v>
      </c>
      <c r="R597">
        <f>参数!$B$10</f>
        <v>4</v>
      </c>
      <c r="S597">
        <f>参数!$C$10</f>
        <v>1.2</v>
      </c>
      <c r="T597">
        <f>参数!$D$10</f>
        <v>1</v>
      </c>
      <c r="U597">
        <f t="shared" si="72"/>
        <v>2014428</v>
      </c>
      <c r="V597">
        <f t="shared" si="73"/>
        <v>53053.2</v>
      </c>
      <c r="W597">
        <f t="shared" si="74"/>
        <v>33095</v>
      </c>
      <c r="X597">
        <f>IFERROR(INDEX(参数!$B$5:$B$7,MATCH($N597,参数!$A$5:$A$7,0)),"")</f>
        <v>1</v>
      </c>
      <c r="Y597">
        <f>IFERROR(INDEX(参数!$C$5:$C$7,MATCH($N597,参数!$A$5:$A$7,0)),"")</f>
        <v>1.2</v>
      </c>
      <c r="Z597">
        <f>IFERROR(INDEX(参数!$D$5:$D$7,MATCH($N597,参数!$A$5:$A$7,0)),"")</f>
        <v>1</v>
      </c>
      <c r="AA597">
        <f>IFERROR(INDEX(楼层配置!$E$5:$E$204,MATCH($K597,楼层配置!$B$5:$B$204,0)),1)</f>
        <v>1.12582067235919</v>
      </c>
      <c r="AB597">
        <f>IFERROR(INDEX(楼层配置!$F$5:$F$204,MATCH($K597,楼层配置!$B$5:$B$204,0)),1)</f>
        <v>0.729834891319568</v>
      </c>
      <c r="AC597">
        <f>IFERROR(INDEX(楼层配置!$G$5:$G$204,MATCH($K597,楼层配置!$B$5:$B$204,0)),1)</f>
        <v>1</v>
      </c>
      <c r="AD597" t="str">
        <f t="shared" si="75"/>
        <v/>
      </c>
      <c r="AE597" t="str">
        <f t="shared" si="76"/>
        <v/>
      </c>
      <c r="AF597" t="str">
        <f t="shared" si="77"/>
        <v/>
      </c>
      <c r="AG597" t="str">
        <f t="shared" si="78"/>
        <v>有效</v>
      </c>
      <c r="AH597">
        <f t="shared" si="79"/>
        <v>5395203.91979167</v>
      </c>
    </row>
    <row r="598" spans="1:34">
      <c r="A598">
        <v>594</v>
      </c>
      <c r="B598">
        <v>1005</v>
      </c>
      <c r="C598">
        <v>60</v>
      </c>
      <c r="D598">
        <f>IFERROR(ROUND($U598*$X598*$AA598*参数!$B$13,0),"")</f>
        <v>2267885</v>
      </c>
      <c r="E598">
        <f>IFERROR(ROUND($V598*$Y598*$AB598*参数!$C$13,0),"")</f>
        <v>46464</v>
      </c>
      <c r="F598">
        <f>IFERROR(ROUND($W598*$Z598*$AC598*参数!$D$13,0),"")</f>
        <v>33095</v>
      </c>
      <c r="J598">
        <v>119</v>
      </c>
      <c r="K598">
        <v>119</v>
      </c>
      <c r="L598">
        <f>IFERROR(INDEX(楼层配置!$D$5:$D$204,MATCH($K598,楼层配置!$B$5:$B$204,0)),"")</f>
        <v>305</v>
      </c>
      <c r="M598" t="str">
        <f>IFERROR(INDEX(_角色基线!$B$2:$B$100,MATCH($B598,_角色基线!$A$2:$A$100,0)),"")</f>
        <v>陈单单</v>
      </c>
      <c r="N598" t="str">
        <f>IFERROR(INDEX(_角色基线!$C$2:$C$100,MATCH($B598,_角色基线!$A$2:$A$100,0)),"")</f>
        <v>DPS</v>
      </c>
      <c r="O598">
        <f>IFERROR(INDEX(_怪物基线!$B$2:$B$501,MATCH(INT($L598),_怪物基线!$A$2:$A$501,0)),"")</f>
        <v>503607</v>
      </c>
      <c r="P598">
        <f>IFERROR(INDEX(_怪物基线!$C$2:$C$501,MATCH(INT($L598),_怪物基线!$A$2:$A$501,0)),"")</f>
        <v>44211</v>
      </c>
      <c r="Q598">
        <f>IFERROR(INDEX(_怪物基线!$D$2:$D$501,MATCH(INT($L598),_怪物基线!$A$2:$A$501,0)),"")</f>
        <v>33095</v>
      </c>
      <c r="R598">
        <f>参数!$B$10</f>
        <v>4</v>
      </c>
      <c r="S598">
        <f>参数!$C$10</f>
        <v>1.2</v>
      </c>
      <c r="T598">
        <f>参数!$D$10</f>
        <v>1</v>
      </c>
      <c r="U598">
        <f t="shared" si="72"/>
        <v>2014428</v>
      </c>
      <c r="V598">
        <f t="shared" si="73"/>
        <v>53053.2</v>
      </c>
      <c r="W598">
        <f t="shared" si="74"/>
        <v>33095</v>
      </c>
      <c r="X598">
        <f>IFERROR(INDEX(参数!$B$5:$B$7,MATCH($N598,参数!$A$5:$A$7,0)),"")</f>
        <v>1</v>
      </c>
      <c r="Y598">
        <f>IFERROR(INDEX(参数!$C$5:$C$7,MATCH($N598,参数!$A$5:$A$7,0)),"")</f>
        <v>1.2</v>
      </c>
      <c r="Z598">
        <f>IFERROR(INDEX(参数!$D$5:$D$7,MATCH($N598,参数!$A$5:$A$7,0)),"")</f>
        <v>1</v>
      </c>
      <c r="AA598">
        <f>IFERROR(INDEX(楼层配置!$E$5:$E$204,MATCH($K598,楼层配置!$B$5:$B$204,0)),1)</f>
        <v>1.12582067235919</v>
      </c>
      <c r="AB598">
        <f>IFERROR(INDEX(楼层配置!$F$5:$F$204,MATCH($K598,楼层配置!$B$5:$B$204,0)),1)</f>
        <v>0.729834891319568</v>
      </c>
      <c r="AC598">
        <f>IFERROR(INDEX(楼层配置!$G$5:$G$204,MATCH($K598,楼层配置!$B$5:$B$204,0)),1)</f>
        <v>1</v>
      </c>
      <c r="AD598" t="str">
        <f t="shared" si="75"/>
        <v/>
      </c>
      <c r="AE598" t="str">
        <f t="shared" si="76"/>
        <v/>
      </c>
      <c r="AF598" t="str">
        <f t="shared" si="77"/>
        <v/>
      </c>
      <c r="AG598" t="str">
        <f t="shared" si="78"/>
        <v>有效</v>
      </c>
      <c r="AH598">
        <f t="shared" si="79"/>
        <v>5395203.91979167</v>
      </c>
    </row>
    <row r="599" spans="1:34">
      <c r="A599">
        <v>595</v>
      </c>
      <c r="B599">
        <v>1029</v>
      </c>
      <c r="C599">
        <v>60</v>
      </c>
      <c r="D599">
        <f>IFERROR(ROUND($U599*$X599*$AA599*参数!$B$13,0),"")</f>
        <v>2834856</v>
      </c>
      <c r="E599">
        <f>IFERROR(ROUND($V599*$Y599*$AB599*参数!$C$13,0),"")</f>
        <v>38720</v>
      </c>
      <c r="F599">
        <f>IFERROR(ROUND($W599*$Z599*$AC599*参数!$D$13,0),"")</f>
        <v>41369</v>
      </c>
      <c r="J599">
        <v>119</v>
      </c>
      <c r="K599">
        <v>119</v>
      </c>
      <c r="L599">
        <f>IFERROR(INDEX(楼层配置!$D$5:$D$204,MATCH($K599,楼层配置!$B$5:$B$204,0)),"")</f>
        <v>305</v>
      </c>
      <c r="M599" t="str">
        <f>IFERROR(INDEX(_角色基线!$B$2:$B$100,MATCH($B599,_角色基线!$A$2:$A$100,0)),"")</f>
        <v>凯兰</v>
      </c>
      <c r="N599" t="str">
        <f>IFERROR(INDEX(_角色基线!$C$2:$C$100,MATCH($B599,_角色基线!$A$2:$A$100,0)),"")</f>
        <v>Support</v>
      </c>
      <c r="O599">
        <f>IFERROR(INDEX(_怪物基线!$B$2:$B$501,MATCH(INT($L599),_怪物基线!$A$2:$A$501,0)),"")</f>
        <v>503607</v>
      </c>
      <c r="P599">
        <f>IFERROR(INDEX(_怪物基线!$C$2:$C$501,MATCH(INT($L599),_怪物基线!$A$2:$A$501,0)),"")</f>
        <v>44211</v>
      </c>
      <c r="Q599">
        <f>IFERROR(INDEX(_怪物基线!$D$2:$D$501,MATCH(INT($L599),_怪物基线!$A$2:$A$501,0)),"")</f>
        <v>33095</v>
      </c>
      <c r="R599">
        <f>参数!$B$10</f>
        <v>4</v>
      </c>
      <c r="S599">
        <f>参数!$C$10</f>
        <v>1.2</v>
      </c>
      <c r="T599">
        <f>参数!$D$10</f>
        <v>1</v>
      </c>
      <c r="U599">
        <f t="shared" si="72"/>
        <v>2014428</v>
      </c>
      <c r="V599">
        <f t="shared" si="73"/>
        <v>53053.2</v>
      </c>
      <c r="W599">
        <f t="shared" si="74"/>
        <v>33095</v>
      </c>
      <c r="X599">
        <f>IFERROR(INDEX(参数!$B$5:$B$7,MATCH($N599,参数!$A$5:$A$7,0)),"")</f>
        <v>1.25</v>
      </c>
      <c r="Y599">
        <f>IFERROR(INDEX(参数!$C$5:$C$7,MATCH($N599,参数!$A$5:$A$7,0)),"")</f>
        <v>1</v>
      </c>
      <c r="Z599">
        <f>IFERROR(INDEX(参数!$D$5:$D$7,MATCH($N599,参数!$A$5:$A$7,0)),"")</f>
        <v>1.25</v>
      </c>
      <c r="AA599">
        <f>IFERROR(INDEX(楼层配置!$E$5:$E$204,MATCH($K599,楼层配置!$B$5:$B$204,0)),1)</f>
        <v>1.12582067235919</v>
      </c>
      <c r="AB599">
        <f>IFERROR(INDEX(楼层配置!$F$5:$F$204,MATCH($K599,楼层配置!$B$5:$B$204,0)),1)</f>
        <v>0.729834891319568</v>
      </c>
      <c r="AC599">
        <f>IFERROR(INDEX(楼层配置!$G$5:$G$204,MATCH($K599,楼层配置!$B$5:$B$204,0)),1)</f>
        <v>1</v>
      </c>
      <c r="AD599" t="str">
        <f t="shared" si="75"/>
        <v/>
      </c>
      <c r="AE599" t="str">
        <f t="shared" si="76"/>
        <v/>
      </c>
      <c r="AF599" t="str">
        <f t="shared" si="77"/>
        <v/>
      </c>
      <c r="AG599" t="str">
        <f t="shared" si="78"/>
        <v>有效</v>
      </c>
      <c r="AH599">
        <f t="shared" si="79"/>
        <v>7721320.911</v>
      </c>
    </row>
    <row r="600" spans="1:34">
      <c r="A600">
        <v>596</v>
      </c>
      <c r="B600">
        <v>1003</v>
      </c>
      <c r="C600">
        <v>60</v>
      </c>
      <c r="D600">
        <f>IFERROR(ROUND($U600*$X600*$AA600*参数!$B$13,0),"")</f>
        <v>3436069</v>
      </c>
      <c r="E600">
        <f>IFERROR(ROUND($V600*$Y600*$AB600*参数!$C$13,0),"")</f>
        <v>39067</v>
      </c>
      <c r="F600">
        <f>IFERROR(ROUND($W600*$Z600*$AC600*参数!$D$13,0),"")</f>
        <v>49857</v>
      </c>
      <c r="J600">
        <v>120</v>
      </c>
      <c r="K600">
        <v>120</v>
      </c>
      <c r="L600">
        <f>IFERROR(INDEX(楼层配置!$D$5:$D$204,MATCH($K600,楼层配置!$B$5:$B$204,0)),"")</f>
        <v>306</v>
      </c>
      <c r="M600" t="str">
        <f>IFERROR(INDEX(_角色基线!$B$2:$B$100,MATCH($B600,_角色基线!$A$2:$A$100,0)),"")</f>
        <v>塔拉夏</v>
      </c>
      <c r="N600" t="str">
        <f>IFERROR(INDEX(_角色基线!$C$2:$C$100,MATCH($B600,_角色基线!$A$2:$A$100,0)),"")</f>
        <v>Tank</v>
      </c>
      <c r="O600">
        <f>IFERROR(INDEX(_怪物基线!$B$2:$B$501,MATCH(INT($L600),_怪物基线!$A$2:$A$501,0)),"")</f>
        <v>508272</v>
      </c>
      <c r="P600">
        <f>IFERROR(INDEX(_怪物基线!$C$2:$C$501,MATCH(INT($L600),_怪物基线!$A$2:$A$501,0)),"")</f>
        <v>44522</v>
      </c>
      <c r="Q600">
        <f>IFERROR(INDEX(_怪物基线!$D$2:$D$501,MATCH(INT($L600),_怪物基线!$A$2:$A$501,0)),"")</f>
        <v>33238</v>
      </c>
      <c r="R600">
        <f>参数!$B$10</f>
        <v>4</v>
      </c>
      <c r="S600">
        <f>参数!$C$10</f>
        <v>1.2</v>
      </c>
      <c r="T600">
        <f>参数!$D$10</f>
        <v>1</v>
      </c>
      <c r="U600">
        <f t="shared" si="72"/>
        <v>2033088</v>
      </c>
      <c r="V600">
        <f t="shared" si="73"/>
        <v>53426.4</v>
      </c>
      <c r="W600">
        <f t="shared" si="74"/>
        <v>33238</v>
      </c>
      <c r="X600">
        <f>IFERROR(INDEX(参数!$B$5:$B$7,MATCH($N600,参数!$A$5:$A$7,0)),"")</f>
        <v>1.5</v>
      </c>
      <c r="Y600">
        <f>IFERROR(INDEX(参数!$C$5:$C$7,MATCH($N600,参数!$A$5:$A$7,0)),"")</f>
        <v>1</v>
      </c>
      <c r="Z600">
        <f>IFERROR(INDEX(参数!$D$5:$D$7,MATCH($N600,参数!$A$5:$A$7,0)),"")</f>
        <v>1.5</v>
      </c>
      <c r="AA600">
        <f>IFERROR(INDEX(楼层配置!$E$5:$E$204,MATCH($K600,楼层配置!$B$5:$B$204,0)),1)</f>
        <v>1.12671592412141</v>
      </c>
      <c r="AB600">
        <f>IFERROR(INDEX(楼层配置!$F$5:$F$204,MATCH($K600,楼层配置!$B$5:$B$204,0)),1)</f>
        <v>0.731229508674054</v>
      </c>
      <c r="AC600">
        <f>IFERROR(INDEX(楼层配置!$G$5:$G$204,MATCH($K600,楼层配置!$B$5:$B$204,0)),1)</f>
        <v>1</v>
      </c>
      <c r="AD600" t="str">
        <f t="shared" si="75"/>
        <v/>
      </c>
      <c r="AE600" t="str">
        <f t="shared" si="76"/>
        <v/>
      </c>
      <c r="AF600" t="str">
        <f t="shared" si="77"/>
        <v/>
      </c>
      <c r="AG600" t="str">
        <f t="shared" si="78"/>
        <v>有效</v>
      </c>
      <c r="AH600">
        <f t="shared" si="79"/>
        <v>10574072.838875</v>
      </c>
    </row>
    <row r="601" spans="1:34">
      <c r="A601">
        <v>597</v>
      </c>
      <c r="B601">
        <v>1005</v>
      </c>
      <c r="C601">
        <v>60</v>
      </c>
      <c r="D601">
        <f>IFERROR(ROUND($U601*$X601*$AA601*参数!$B$13,0),"")</f>
        <v>2290713</v>
      </c>
      <c r="E601">
        <f>IFERROR(ROUND($V601*$Y601*$AB601*参数!$C$13,0),"")</f>
        <v>46880</v>
      </c>
      <c r="F601">
        <f>IFERROR(ROUND($W601*$Z601*$AC601*参数!$D$13,0),"")</f>
        <v>33238</v>
      </c>
      <c r="J601">
        <v>120</v>
      </c>
      <c r="K601">
        <v>120</v>
      </c>
      <c r="L601">
        <f>IFERROR(INDEX(楼层配置!$D$5:$D$204,MATCH($K601,楼层配置!$B$5:$B$204,0)),"")</f>
        <v>306</v>
      </c>
      <c r="M601" t="str">
        <f>IFERROR(INDEX(_角色基线!$B$2:$B$100,MATCH($B601,_角色基线!$A$2:$A$100,0)),"")</f>
        <v>陈单单</v>
      </c>
      <c r="N601" t="str">
        <f>IFERROR(INDEX(_角色基线!$C$2:$C$100,MATCH($B601,_角色基线!$A$2:$A$100,0)),"")</f>
        <v>DPS</v>
      </c>
      <c r="O601">
        <f>IFERROR(INDEX(_怪物基线!$B$2:$B$501,MATCH(INT($L601),_怪物基线!$A$2:$A$501,0)),"")</f>
        <v>508272</v>
      </c>
      <c r="P601">
        <f>IFERROR(INDEX(_怪物基线!$C$2:$C$501,MATCH(INT($L601),_怪物基线!$A$2:$A$501,0)),"")</f>
        <v>44522</v>
      </c>
      <c r="Q601">
        <f>IFERROR(INDEX(_怪物基线!$D$2:$D$501,MATCH(INT($L601),_怪物基线!$A$2:$A$501,0)),"")</f>
        <v>33238</v>
      </c>
      <c r="R601">
        <f>参数!$B$10</f>
        <v>4</v>
      </c>
      <c r="S601">
        <f>参数!$C$10</f>
        <v>1.2</v>
      </c>
      <c r="T601">
        <f>参数!$D$10</f>
        <v>1</v>
      </c>
      <c r="U601">
        <f t="shared" si="72"/>
        <v>2033088</v>
      </c>
      <c r="V601">
        <f t="shared" si="73"/>
        <v>53426.4</v>
      </c>
      <c r="W601">
        <f t="shared" si="74"/>
        <v>33238</v>
      </c>
      <c r="X601">
        <f>IFERROR(INDEX(参数!$B$5:$B$7,MATCH($N601,参数!$A$5:$A$7,0)),"")</f>
        <v>1</v>
      </c>
      <c r="Y601">
        <f>IFERROR(INDEX(参数!$C$5:$C$7,MATCH($N601,参数!$A$5:$A$7,0)),"")</f>
        <v>1.2</v>
      </c>
      <c r="Z601">
        <f>IFERROR(INDEX(参数!$D$5:$D$7,MATCH($N601,参数!$A$5:$A$7,0)),"")</f>
        <v>1</v>
      </c>
      <c r="AA601">
        <f>IFERROR(INDEX(楼层配置!$E$5:$E$204,MATCH($K601,楼层配置!$B$5:$B$204,0)),1)</f>
        <v>1.12671592412141</v>
      </c>
      <c r="AB601">
        <f>IFERROR(INDEX(楼层配置!$F$5:$F$204,MATCH($K601,楼层配置!$B$5:$B$204,0)),1)</f>
        <v>0.731229508674054</v>
      </c>
      <c r="AC601">
        <f>IFERROR(INDEX(楼层配置!$G$5:$G$204,MATCH($K601,楼层配置!$B$5:$B$204,0)),1)</f>
        <v>1</v>
      </c>
      <c r="AD601" t="str">
        <f t="shared" si="75"/>
        <v/>
      </c>
      <c r="AE601" t="str">
        <f t="shared" si="76"/>
        <v/>
      </c>
      <c r="AF601" t="str">
        <f t="shared" si="77"/>
        <v/>
      </c>
      <c r="AG601" t="str">
        <f t="shared" si="78"/>
        <v>有效</v>
      </c>
      <c r="AH601">
        <f t="shared" si="79"/>
        <v>5463159.61225</v>
      </c>
    </row>
    <row r="602" spans="1:34">
      <c r="A602">
        <v>598</v>
      </c>
      <c r="B602">
        <v>1005</v>
      </c>
      <c r="C602">
        <v>60</v>
      </c>
      <c r="D602">
        <f>IFERROR(ROUND($U602*$X602*$AA602*参数!$B$13,0),"")</f>
        <v>2290713</v>
      </c>
      <c r="E602">
        <f>IFERROR(ROUND($V602*$Y602*$AB602*参数!$C$13,0),"")</f>
        <v>46880</v>
      </c>
      <c r="F602">
        <f>IFERROR(ROUND($W602*$Z602*$AC602*参数!$D$13,0),"")</f>
        <v>33238</v>
      </c>
      <c r="J602">
        <v>120</v>
      </c>
      <c r="K602">
        <v>120</v>
      </c>
      <c r="L602">
        <f>IFERROR(INDEX(楼层配置!$D$5:$D$204,MATCH($K602,楼层配置!$B$5:$B$204,0)),"")</f>
        <v>306</v>
      </c>
      <c r="M602" t="str">
        <f>IFERROR(INDEX(_角色基线!$B$2:$B$100,MATCH($B602,_角色基线!$A$2:$A$100,0)),"")</f>
        <v>陈单单</v>
      </c>
      <c r="N602" t="str">
        <f>IFERROR(INDEX(_角色基线!$C$2:$C$100,MATCH($B602,_角色基线!$A$2:$A$100,0)),"")</f>
        <v>DPS</v>
      </c>
      <c r="O602">
        <f>IFERROR(INDEX(_怪物基线!$B$2:$B$501,MATCH(INT($L602),_怪物基线!$A$2:$A$501,0)),"")</f>
        <v>508272</v>
      </c>
      <c r="P602">
        <f>IFERROR(INDEX(_怪物基线!$C$2:$C$501,MATCH(INT($L602),_怪物基线!$A$2:$A$501,0)),"")</f>
        <v>44522</v>
      </c>
      <c r="Q602">
        <f>IFERROR(INDEX(_怪物基线!$D$2:$D$501,MATCH(INT($L602),_怪物基线!$A$2:$A$501,0)),"")</f>
        <v>33238</v>
      </c>
      <c r="R602">
        <f>参数!$B$10</f>
        <v>4</v>
      </c>
      <c r="S602">
        <f>参数!$C$10</f>
        <v>1.2</v>
      </c>
      <c r="T602">
        <f>参数!$D$10</f>
        <v>1</v>
      </c>
      <c r="U602">
        <f t="shared" si="72"/>
        <v>2033088</v>
      </c>
      <c r="V602">
        <f t="shared" si="73"/>
        <v>53426.4</v>
      </c>
      <c r="W602">
        <f t="shared" si="74"/>
        <v>33238</v>
      </c>
      <c r="X602">
        <f>IFERROR(INDEX(参数!$B$5:$B$7,MATCH($N602,参数!$A$5:$A$7,0)),"")</f>
        <v>1</v>
      </c>
      <c r="Y602">
        <f>IFERROR(INDEX(参数!$C$5:$C$7,MATCH($N602,参数!$A$5:$A$7,0)),"")</f>
        <v>1.2</v>
      </c>
      <c r="Z602">
        <f>IFERROR(INDEX(参数!$D$5:$D$7,MATCH($N602,参数!$A$5:$A$7,0)),"")</f>
        <v>1</v>
      </c>
      <c r="AA602">
        <f>IFERROR(INDEX(楼层配置!$E$5:$E$204,MATCH($K602,楼层配置!$B$5:$B$204,0)),1)</f>
        <v>1.12671592412141</v>
      </c>
      <c r="AB602">
        <f>IFERROR(INDEX(楼层配置!$F$5:$F$204,MATCH($K602,楼层配置!$B$5:$B$204,0)),1)</f>
        <v>0.731229508674054</v>
      </c>
      <c r="AC602">
        <f>IFERROR(INDEX(楼层配置!$G$5:$G$204,MATCH($K602,楼层配置!$B$5:$B$204,0)),1)</f>
        <v>1</v>
      </c>
      <c r="AD602" t="str">
        <f t="shared" si="75"/>
        <v/>
      </c>
      <c r="AE602" t="str">
        <f t="shared" si="76"/>
        <v/>
      </c>
      <c r="AF602" t="str">
        <f t="shared" si="77"/>
        <v/>
      </c>
      <c r="AG602" t="str">
        <f t="shared" si="78"/>
        <v>有效</v>
      </c>
      <c r="AH602">
        <f t="shared" si="79"/>
        <v>5463159.61225</v>
      </c>
    </row>
    <row r="603" spans="1:34">
      <c r="A603">
        <v>599</v>
      </c>
      <c r="B603">
        <v>1005</v>
      </c>
      <c r="C603">
        <v>60</v>
      </c>
      <c r="D603">
        <f>IFERROR(ROUND($U603*$X603*$AA603*参数!$B$13,0),"")</f>
        <v>2290713</v>
      </c>
      <c r="E603">
        <f>IFERROR(ROUND($V603*$Y603*$AB603*参数!$C$13,0),"")</f>
        <v>46880</v>
      </c>
      <c r="F603">
        <f>IFERROR(ROUND($W603*$Z603*$AC603*参数!$D$13,0),"")</f>
        <v>33238</v>
      </c>
      <c r="J603">
        <v>120</v>
      </c>
      <c r="K603">
        <v>120</v>
      </c>
      <c r="L603">
        <f>IFERROR(INDEX(楼层配置!$D$5:$D$204,MATCH($K603,楼层配置!$B$5:$B$204,0)),"")</f>
        <v>306</v>
      </c>
      <c r="M603" t="str">
        <f>IFERROR(INDEX(_角色基线!$B$2:$B$100,MATCH($B603,_角色基线!$A$2:$A$100,0)),"")</f>
        <v>陈单单</v>
      </c>
      <c r="N603" t="str">
        <f>IFERROR(INDEX(_角色基线!$C$2:$C$100,MATCH($B603,_角色基线!$A$2:$A$100,0)),"")</f>
        <v>DPS</v>
      </c>
      <c r="O603">
        <f>IFERROR(INDEX(_怪物基线!$B$2:$B$501,MATCH(INT($L603),_怪物基线!$A$2:$A$501,0)),"")</f>
        <v>508272</v>
      </c>
      <c r="P603">
        <f>IFERROR(INDEX(_怪物基线!$C$2:$C$501,MATCH(INT($L603),_怪物基线!$A$2:$A$501,0)),"")</f>
        <v>44522</v>
      </c>
      <c r="Q603">
        <f>IFERROR(INDEX(_怪物基线!$D$2:$D$501,MATCH(INT($L603),_怪物基线!$A$2:$A$501,0)),"")</f>
        <v>33238</v>
      </c>
      <c r="R603">
        <f>参数!$B$10</f>
        <v>4</v>
      </c>
      <c r="S603">
        <f>参数!$C$10</f>
        <v>1.2</v>
      </c>
      <c r="T603">
        <f>参数!$D$10</f>
        <v>1</v>
      </c>
      <c r="U603">
        <f t="shared" si="72"/>
        <v>2033088</v>
      </c>
      <c r="V603">
        <f t="shared" si="73"/>
        <v>53426.4</v>
      </c>
      <c r="W603">
        <f t="shared" si="74"/>
        <v>33238</v>
      </c>
      <c r="X603">
        <f>IFERROR(INDEX(参数!$B$5:$B$7,MATCH($N603,参数!$A$5:$A$7,0)),"")</f>
        <v>1</v>
      </c>
      <c r="Y603">
        <f>IFERROR(INDEX(参数!$C$5:$C$7,MATCH($N603,参数!$A$5:$A$7,0)),"")</f>
        <v>1.2</v>
      </c>
      <c r="Z603">
        <f>IFERROR(INDEX(参数!$D$5:$D$7,MATCH($N603,参数!$A$5:$A$7,0)),"")</f>
        <v>1</v>
      </c>
      <c r="AA603">
        <f>IFERROR(INDEX(楼层配置!$E$5:$E$204,MATCH($K603,楼层配置!$B$5:$B$204,0)),1)</f>
        <v>1.12671592412141</v>
      </c>
      <c r="AB603">
        <f>IFERROR(INDEX(楼层配置!$F$5:$F$204,MATCH($K603,楼层配置!$B$5:$B$204,0)),1)</f>
        <v>0.731229508674054</v>
      </c>
      <c r="AC603">
        <f>IFERROR(INDEX(楼层配置!$G$5:$G$204,MATCH($K603,楼层配置!$B$5:$B$204,0)),1)</f>
        <v>1</v>
      </c>
      <c r="AD603" t="str">
        <f t="shared" si="75"/>
        <v/>
      </c>
      <c r="AE603" t="str">
        <f t="shared" si="76"/>
        <v/>
      </c>
      <c r="AF603" t="str">
        <f t="shared" si="77"/>
        <v/>
      </c>
      <c r="AG603" t="str">
        <f t="shared" si="78"/>
        <v>有效</v>
      </c>
      <c r="AH603">
        <f t="shared" si="79"/>
        <v>5463159.61225</v>
      </c>
    </row>
    <row r="604" spans="1:34">
      <c r="A604">
        <v>600</v>
      </c>
      <c r="B604">
        <v>1029</v>
      </c>
      <c r="C604">
        <v>60</v>
      </c>
      <c r="D604">
        <f>IFERROR(ROUND($U604*$X604*$AA604*参数!$B$13,0),"")</f>
        <v>2863391</v>
      </c>
      <c r="E604">
        <f>IFERROR(ROUND($V604*$Y604*$AB604*参数!$C$13,0),"")</f>
        <v>39067</v>
      </c>
      <c r="F604">
        <f>IFERROR(ROUND($W604*$Z604*$AC604*参数!$D$13,0),"")</f>
        <v>41548</v>
      </c>
      <c r="J604">
        <v>120</v>
      </c>
      <c r="K604">
        <v>120</v>
      </c>
      <c r="L604">
        <f>IFERROR(INDEX(楼层配置!$D$5:$D$204,MATCH($K604,楼层配置!$B$5:$B$204,0)),"")</f>
        <v>306</v>
      </c>
      <c r="M604" t="str">
        <f>IFERROR(INDEX(_角色基线!$B$2:$B$100,MATCH($B604,_角色基线!$A$2:$A$100,0)),"")</f>
        <v>凯兰</v>
      </c>
      <c r="N604" t="str">
        <f>IFERROR(INDEX(_角色基线!$C$2:$C$100,MATCH($B604,_角色基线!$A$2:$A$100,0)),"")</f>
        <v>Support</v>
      </c>
      <c r="O604">
        <f>IFERROR(INDEX(_怪物基线!$B$2:$B$501,MATCH(INT($L604),_怪物基线!$A$2:$A$501,0)),"")</f>
        <v>508272</v>
      </c>
      <c r="P604">
        <f>IFERROR(INDEX(_怪物基线!$C$2:$C$501,MATCH(INT($L604),_怪物基线!$A$2:$A$501,0)),"")</f>
        <v>44522</v>
      </c>
      <c r="Q604">
        <f>IFERROR(INDEX(_怪物基线!$D$2:$D$501,MATCH(INT($L604),_怪物基线!$A$2:$A$501,0)),"")</f>
        <v>33238</v>
      </c>
      <c r="R604">
        <f>参数!$B$10</f>
        <v>4</v>
      </c>
      <c r="S604">
        <f>参数!$C$10</f>
        <v>1.2</v>
      </c>
      <c r="T604">
        <f>参数!$D$10</f>
        <v>1</v>
      </c>
      <c r="U604">
        <f t="shared" si="72"/>
        <v>2033088</v>
      </c>
      <c r="V604">
        <f t="shared" si="73"/>
        <v>53426.4</v>
      </c>
      <c r="W604">
        <f t="shared" si="74"/>
        <v>33238</v>
      </c>
      <c r="X604">
        <f>IFERROR(INDEX(参数!$B$5:$B$7,MATCH($N604,参数!$A$5:$A$7,0)),"")</f>
        <v>1.25</v>
      </c>
      <c r="Y604">
        <f>IFERROR(INDEX(参数!$C$5:$C$7,MATCH($N604,参数!$A$5:$A$7,0)),"")</f>
        <v>1</v>
      </c>
      <c r="Z604">
        <f>IFERROR(INDEX(参数!$D$5:$D$7,MATCH($N604,参数!$A$5:$A$7,0)),"")</f>
        <v>1.25</v>
      </c>
      <c r="AA604">
        <f>IFERROR(INDEX(楼层配置!$E$5:$E$204,MATCH($K604,楼层配置!$B$5:$B$204,0)),1)</f>
        <v>1.12671592412141</v>
      </c>
      <c r="AB604">
        <f>IFERROR(INDEX(楼层配置!$F$5:$F$204,MATCH($K604,楼层配置!$B$5:$B$204,0)),1)</f>
        <v>0.731229508674054</v>
      </c>
      <c r="AC604">
        <f>IFERROR(INDEX(楼层配置!$G$5:$G$204,MATCH($K604,楼层配置!$B$5:$B$204,0)),1)</f>
        <v>1</v>
      </c>
      <c r="AD604" t="str">
        <f t="shared" si="75"/>
        <v/>
      </c>
      <c r="AE604" t="str">
        <f t="shared" si="76"/>
        <v/>
      </c>
      <c r="AF604" t="str">
        <f t="shared" si="77"/>
        <v/>
      </c>
      <c r="AG604" t="str">
        <f t="shared" si="78"/>
        <v>有效</v>
      </c>
      <c r="AH604">
        <f t="shared" si="79"/>
        <v>7820398.05283333</v>
      </c>
    </row>
    <row r="605" spans="1:34">
      <c r="A605">
        <v>601</v>
      </c>
      <c r="B605">
        <v>1003</v>
      </c>
      <c r="C605">
        <v>60</v>
      </c>
      <c r="D605">
        <f>IFERROR(ROUND($U605*$X605*$AA605*参数!$B$13,0),"")</f>
        <v>3497044</v>
      </c>
      <c r="E605">
        <f>IFERROR(ROUND($V605*$Y605*$AB605*参数!$C$13,0),"")</f>
        <v>39542</v>
      </c>
      <c r="F605">
        <f>IFERROR(ROUND($W605*$Z605*$AC605*参数!$D$13,0),"")</f>
        <v>50288</v>
      </c>
      <c r="J605">
        <v>121</v>
      </c>
      <c r="K605">
        <v>121</v>
      </c>
      <c r="L605">
        <f>IFERROR(INDEX(楼层配置!$D$5:$D$204,MATCH($K605,楼层配置!$B$5:$B$204,0)),"")</f>
        <v>308</v>
      </c>
      <c r="M605" t="str">
        <f>IFERROR(INDEX(_角色基线!$B$2:$B$100,MATCH($B605,_角色基线!$A$2:$A$100,0)),"")</f>
        <v>塔拉夏</v>
      </c>
      <c r="N605" t="str">
        <f>IFERROR(INDEX(_角色基线!$C$2:$C$100,MATCH($B605,_角色基线!$A$2:$A$100,0)),"")</f>
        <v>Tank</v>
      </c>
      <c r="O605">
        <f>IFERROR(INDEX(_怪物基线!$B$2:$B$501,MATCH(INT($L605),_怪物基线!$A$2:$A$501,0)),"")</f>
        <v>517703</v>
      </c>
      <c r="P605">
        <f>IFERROR(INDEX(_怪物基线!$C$2:$C$501,MATCH(INT($L605),_怪物基线!$A$2:$A$501,0)),"")</f>
        <v>45149</v>
      </c>
      <c r="Q605">
        <f>IFERROR(INDEX(_怪物基线!$D$2:$D$501,MATCH(INT($L605),_怪物基线!$A$2:$A$501,0)),"")</f>
        <v>33525</v>
      </c>
      <c r="R605">
        <f>参数!$B$10</f>
        <v>4</v>
      </c>
      <c r="S605">
        <f>参数!$C$10</f>
        <v>1.2</v>
      </c>
      <c r="T605">
        <f>参数!$D$10</f>
        <v>1</v>
      </c>
      <c r="U605">
        <f t="shared" si="72"/>
        <v>2070812</v>
      </c>
      <c r="V605">
        <f t="shared" si="73"/>
        <v>54178.8</v>
      </c>
      <c r="W605">
        <f t="shared" si="74"/>
        <v>33525</v>
      </c>
      <c r="X605">
        <f>IFERROR(INDEX(参数!$B$5:$B$7,MATCH($N605,参数!$A$5:$A$7,0)),"")</f>
        <v>1.5</v>
      </c>
      <c r="Y605">
        <f>IFERROR(INDEX(参数!$C$5:$C$7,MATCH($N605,参数!$A$5:$A$7,0)),"")</f>
        <v>1</v>
      </c>
      <c r="Z605">
        <f>IFERROR(INDEX(参数!$D$5:$D$7,MATCH($N605,参数!$A$5:$A$7,0)),"")</f>
        <v>1.5</v>
      </c>
      <c r="AA605">
        <f>IFERROR(INDEX(楼层配置!$E$5:$E$204,MATCH($K605,楼层配置!$B$5:$B$204,0)),1)</f>
        <v>1.12582067235919</v>
      </c>
      <c r="AB605">
        <f>IFERROR(INDEX(楼层配置!$F$5:$F$204,MATCH($K605,楼层配置!$B$5:$B$204,0)),1)</f>
        <v>0.729834891319568</v>
      </c>
      <c r="AC605">
        <f>IFERROR(INDEX(楼层配置!$G$5:$G$204,MATCH($K605,楼层配置!$B$5:$B$204,0)),1)</f>
        <v>1</v>
      </c>
      <c r="AD605" t="str">
        <f t="shared" si="75"/>
        <v/>
      </c>
      <c r="AE605" t="str">
        <f t="shared" si="76"/>
        <v/>
      </c>
      <c r="AF605" t="str">
        <f t="shared" si="77"/>
        <v/>
      </c>
      <c r="AG605" t="str">
        <f t="shared" si="78"/>
        <v>有效</v>
      </c>
      <c r="AH605">
        <f t="shared" si="79"/>
        <v>10824516.8613333</v>
      </c>
    </row>
    <row r="606" spans="1:34">
      <c r="A606">
        <v>602</v>
      </c>
      <c r="B606">
        <v>1005</v>
      </c>
      <c r="C606">
        <v>60</v>
      </c>
      <c r="D606">
        <f>IFERROR(ROUND($U606*$X606*$AA606*参数!$B$13,0),"")</f>
        <v>2331363</v>
      </c>
      <c r="E606">
        <f>IFERROR(ROUND($V606*$Y606*$AB606*参数!$C$13,0),"")</f>
        <v>47450</v>
      </c>
      <c r="F606">
        <f>IFERROR(ROUND($W606*$Z606*$AC606*参数!$D$13,0),"")</f>
        <v>33525</v>
      </c>
      <c r="J606">
        <v>121</v>
      </c>
      <c r="K606">
        <v>121</v>
      </c>
      <c r="L606">
        <f>IFERROR(INDEX(楼层配置!$D$5:$D$204,MATCH($K606,楼层配置!$B$5:$B$204,0)),"")</f>
        <v>308</v>
      </c>
      <c r="M606" t="str">
        <f>IFERROR(INDEX(_角色基线!$B$2:$B$100,MATCH($B606,_角色基线!$A$2:$A$100,0)),"")</f>
        <v>陈单单</v>
      </c>
      <c r="N606" t="str">
        <f>IFERROR(INDEX(_角色基线!$C$2:$C$100,MATCH($B606,_角色基线!$A$2:$A$100,0)),"")</f>
        <v>DPS</v>
      </c>
      <c r="O606">
        <f>IFERROR(INDEX(_怪物基线!$B$2:$B$501,MATCH(INT($L606),_怪物基线!$A$2:$A$501,0)),"")</f>
        <v>517703</v>
      </c>
      <c r="P606">
        <f>IFERROR(INDEX(_怪物基线!$C$2:$C$501,MATCH(INT($L606),_怪物基线!$A$2:$A$501,0)),"")</f>
        <v>45149</v>
      </c>
      <c r="Q606">
        <f>IFERROR(INDEX(_怪物基线!$D$2:$D$501,MATCH(INT($L606),_怪物基线!$A$2:$A$501,0)),"")</f>
        <v>33525</v>
      </c>
      <c r="R606">
        <f>参数!$B$10</f>
        <v>4</v>
      </c>
      <c r="S606">
        <f>参数!$C$10</f>
        <v>1.2</v>
      </c>
      <c r="T606">
        <f>参数!$D$10</f>
        <v>1</v>
      </c>
      <c r="U606">
        <f t="shared" si="72"/>
        <v>2070812</v>
      </c>
      <c r="V606">
        <f t="shared" si="73"/>
        <v>54178.8</v>
      </c>
      <c r="W606">
        <f t="shared" si="74"/>
        <v>33525</v>
      </c>
      <c r="X606">
        <f>IFERROR(INDEX(参数!$B$5:$B$7,MATCH($N606,参数!$A$5:$A$7,0)),"")</f>
        <v>1</v>
      </c>
      <c r="Y606">
        <f>IFERROR(INDEX(参数!$C$5:$C$7,MATCH($N606,参数!$A$5:$A$7,0)),"")</f>
        <v>1.2</v>
      </c>
      <c r="Z606">
        <f>IFERROR(INDEX(参数!$D$5:$D$7,MATCH($N606,参数!$A$5:$A$7,0)),"")</f>
        <v>1</v>
      </c>
      <c r="AA606">
        <f>IFERROR(INDEX(楼层配置!$E$5:$E$204,MATCH($K606,楼层配置!$B$5:$B$204,0)),1)</f>
        <v>1.12582067235919</v>
      </c>
      <c r="AB606">
        <f>IFERROR(INDEX(楼层配置!$F$5:$F$204,MATCH($K606,楼层配置!$B$5:$B$204,0)),1)</f>
        <v>0.729834891319568</v>
      </c>
      <c r="AC606">
        <f>IFERROR(INDEX(楼层配置!$G$5:$G$204,MATCH($K606,楼层配置!$B$5:$B$204,0)),1)</f>
        <v>1</v>
      </c>
      <c r="AD606" t="str">
        <f t="shared" si="75"/>
        <v/>
      </c>
      <c r="AE606" t="str">
        <f t="shared" si="76"/>
        <v/>
      </c>
      <c r="AF606" t="str">
        <f t="shared" si="77"/>
        <v/>
      </c>
      <c r="AG606" t="str">
        <f t="shared" si="78"/>
        <v>有效</v>
      </c>
      <c r="AH606">
        <f t="shared" si="79"/>
        <v>5587985.690625</v>
      </c>
    </row>
    <row r="607" spans="1:34">
      <c r="A607">
        <v>603</v>
      </c>
      <c r="B607">
        <v>1005</v>
      </c>
      <c r="C607">
        <v>60</v>
      </c>
      <c r="D607">
        <f>IFERROR(ROUND($U607*$X607*$AA607*参数!$B$13,0),"")</f>
        <v>2331363</v>
      </c>
      <c r="E607">
        <f>IFERROR(ROUND($V607*$Y607*$AB607*参数!$C$13,0),"")</f>
        <v>47450</v>
      </c>
      <c r="F607">
        <f>IFERROR(ROUND($W607*$Z607*$AC607*参数!$D$13,0),"")</f>
        <v>33525</v>
      </c>
      <c r="J607">
        <v>121</v>
      </c>
      <c r="K607">
        <v>121</v>
      </c>
      <c r="L607">
        <f>IFERROR(INDEX(楼层配置!$D$5:$D$204,MATCH($K607,楼层配置!$B$5:$B$204,0)),"")</f>
        <v>308</v>
      </c>
      <c r="M607" t="str">
        <f>IFERROR(INDEX(_角色基线!$B$2:$B$100,MATCH($B607,_角色基线!$A$2:$A$100,0)),"")</f>
        <v>陈单单</v>
      </c>
      <c r="N607" t="str">
        <f>IFERROR(INDEX(_角色基线!$C$2:$C$100,MATCH($B607,_角色基线!$A$2:$A$100,0)),"")</f>
        <v>DPS</v>
      </c>
      <c r="O607">
        <f>IFERROR(INDEX(_怪物基线!$B$2:$B$501,MATCH(INT($L607),_怪物基线!$A$2:$A$501,0)),"")</f>
        <v>517703</v>
      </c>
      <c r="P607">
        <f>IFERROR(INDEX(_怪物基线!$C$2:$C$501,MATCH(INT($L607),_怪物基线!$A$2:$A$501,0)),"")</f>
        <v>45149</v>
      </c>
      <c r="Q607">
        <f>IFERROR(INDEX(_怪物基线!$D$2:$D$501,MATCH(INT($L607),_怪物基线!$A$2:$A$501,0)),"")</f>
        <v>33525</v>
      </c>
      <c r="R607">
        <f>参数!$B$10</f>
        <v>4</v>
      </c>
      <c r="S607">
        <f>参数!$C$10</f>
        <v>1.2</v>
      </c>
      <c r="T607">
        <f>参数!$D$10</f>
        <v>1</v>
      </c>
      <c r="U607">
        <f t="shared" si="72"/>
        <v>2070812</v>
      </c>
      <c r="V607">
        <f t="shared" si="73"/>
        <v>54178.8</v>
      </c>
      <c r="W607">
        <f t="shared" si="74"/>
        <v>33525</v>
      </c>
      <c r="X607">
        <f>IFERROR(INDEX(参数!$B$5:$B$7,MATCH($N607,参数!$A$5:$A$7,0)),"")</f>
        <v>1</v>
      </c>
      <c r="Y607">
        <f>IFERROR(INDEX(参数!$C$5:$C$7,MATCH($N607,参数!$A$5:$A$7,0)),"")</f>
        <v>1.2</v>
      </c>
      <c r="Z607">
        <f>IFERROR(INDEX(参数!$D$5:$D$7,MATCH($N607,参数!$A$5:$A$7,0)),"")</f>
        <v>1</v>
      </c>
      <c r="AA607">
        <f>IFERROR(INDEX(楼层配置!$E$5:$E$204,MATCH($K607,楼层配置!$B$5:$B$204,0)),1)</f>
        <v>1.12582067235919</v>
      </c>
      <c r="AB607">
        <f>IFERROR(INDEX(楼层配置!$F$5:$F$204,MATCH($K607,楼层配置!$B$5:$B$204,0)),1)</f>
        <v>0.729834891319568</v>
      </c>
      <c r="AC607">
        <f>IFERROR(INDEX(楼层配置!$G$5:$G$204,MATCH($K607,楼层配置!$B$5:$B$204,0)),1)</f>
        <v>1</v>
      </c>
      <c r="AD607" t="str">
        <f t="shared" si="75"/>
        <v/>
      </c>
      <c r="AE607" t="str">
        <f t="shared" si="76"/>
        <v/>
      </c>
      <c r="AF607" t="str">
        <f t="shared" si="77"/>
        <v/>
      </c>
      <c r="AG607" t="str">
        <f t="shared" si="78"/>
        <v>有效</v>
      </c>
      <c r="AH607">
        <f t="shared" si="79"/>
        <v>5587985.690625</v>
      </c>
    </row>
    <row r="608" spans="1:34">
      <c r="A608">
        <v>604</v>
      </c>
      <c r="B608">
        <v>1005</v>
      </c>
      <c r="C608">
        <v>60</v>
      </c>
      <c r="D608">
        <f>IFERROR(ROUND($U608*$X608*$AA608*参数!$B$13,0),"")</f>
        <v>2331363</v>
      </c>
      <c r="E608">
        <f>IFERROR(ROUND($V608*$Y608*$AB608*参数!$C$13,0),"")</f>
        <v>47450</v>
      </c>
      <c r="F608">
        <f>IFERROR(ROUND($W608*$Z608*$AC608*参数!$D$13,0),"")</f>
        <v>33525</v>
      </c>
      <c r="J608">
        <v>121</v>
      </c>
      <c r="K608">
        <v>121</v>
      </c>
      <c r="L608">
        <f>IFERROR(INDEX(楼层配置!$D$5:$D$204,MATCH($K608,楼层配置!$B$5:$B$204,0)),"")</f>
        <v>308</v>
      </c>
      <c r="M608" t="str">
        <f>IFERROR(INDEX(_角色基线!$B$2:$B$100,MATCH($B608,_角色基线!$A$2:$A$100,0)),"")</f>
        <v>陈单单</v>
      </c>
      <c r="N608" t="str">
        <f>IFERROR(INDEX(_角色基线!$C$2:$C$100,MATCH($B608,_角色基线!$A$2:$A$100,0)),"")</f>
        <v>DPS</v>
      </c>
      <c r="O608">
        <f>IFERROR(INDEX(_怪物基线!$B$2:$B$501,MATCH(INT($L608),_怪物基线!$A$2:$A$501,0)),"")</f>
        <v>517703</v>
      </c>
      <c r="P608">
        <f>IFERROR(INDEX(_怪物基线!$C$2:$C$501,MATCH(INT($L608),_怪物基线!$A$2:$A$501,0)),"")</f>
        <v>45149</v>
      </c>
      <c r="Q608">
        <f>IFERROR(INDEX(_怪物基线!$D$2:$D$501,MATCH(INT($L608),_怪物基线!$A$2:$A$501,0)),"")</f>
        <v>33525</v>
      </c>
      <c r="R608">
        <f>参数!$B$10</f>
        <v>4</v>
      </c>
      <c r="S608">
        <f>参数!$C$10</f>
        <v>1.2</v>
      </c>
      <c r="T608">
        <f>参数!$D$10</f>
        <v>1</v>
      </c>
      <c r="U608">
        <f t="shared" si="72"/>
        <v>2070812</v>
      </c>
      <c r="V608">
        <f t="shared" si="73"/>
        <v>54178.8</v>
      </c>
      <c r="W608">
        <f t="shared" si="74"/>
        <v>33525</v>
      </c>
      <c r="X608">
        <f>IFERROR(INDEX(参数!$B$5:$B$7,MATCH($N608,参数!$A$5:$A$7,0)),"")</f>
        <v>1</v>
      </c>
      <c r="Y608">
        <f>IFERROR(INDEX(参数!$C$5:$C$7,MATCH($N608,参数!$A$5:$A$7,0)),"")</f>
        <v>1.2</v>
      </c>
      <c r="Z608">
        <f>IFERROR(INDEX(参数!$D$5:$D$7,MATCH($N608,参数!$A$5:$A$7,0)),"")</f>
        <v>1</v>
      </c>
      <c r="AA608">
        <f>IFERROR(INDEX(楼层配置!$E$5:$E$204,MATCH($K608,楼层配置!$B$5:$B$204,0)),1)</f>
        <v>1.12582067235919</v>
      </c>
      <c r="AB608">
        <f>IFERROR(INDEX(楼层配置!$F$5:$F$204,MATCH($K608,楼层配置!$B$5:$B$204,0)),1)</f>
        <v>0.729834891319568</v>
      </c>
      <c r="AC608">
        <f>IFERROR(INDEX(楼层配置!$G$5:$G$204,MATCH($K608,楼层配置!$B$5:$B$204,0)),1)</f>
        <v>1</v>
      </c>
      <c r="AD608" t="str">
        <f t="shared" si="75"/>
        <v/>
      </c>
      <c r="AE608" t="str">
        <f t="shared" si="76"/>
        <v/>
      </c>
      <c r="AF608" t="str">
        <f t="shared" si="77"/>
        <v/>
      </c>
      <c r="AG608" t="str">
        <f t="shared" si="78"/>
        <v>有效</v>
      </c>
      <c r="AH608">
        <f t="shared" si="79"/>
        <v>5587985.690625</v>
      </c>
    </row>
    <row r="609" spans="1:34">
      <c r="A609">
        <v>605</v>
      </c>
      <c r="B609">
        <v>1029</v>
      </c>
      <c r="C609">
        <v>60</v>
      </c>
      <c r="D609">
        <f>IFERROR(ROUND($U609*$X609*$AA609*参数!$B$13,0),"")</f>
        <v>2914204</v>
      </c>
      <c r="E609">
        <f>IFERROR(ROUND($V609*$Y609*$AB609*参数!$C$13,0),"")</f>
        <v>39542</v>
      </c>
      <c r="F609">
        <f>IFERROR(ROUND($W609*$Z609*$AC609*参数!$D$13,0),"")</f>
        <v>41906</v>
      </c>
      <c r="J609">
        <v>121</v>
      </c>
      <c r="K609">
        <v>121</v>
      </c>
      <c r="L609">
        <f>IFERROR(INDEX(楼层配置!$D$5:$D$204,MATCH($K609,楼层配置!$B$5:$B$204,0)),"")</f>
        <v>308</v>
      </c>
      <c r="M609" t="str">
        <f>IFERROR(INDEX(_角色基线!$B$2:$B$100,MATCH($B609,_角色基线!$A$2:$A$100,0)),"")</f>
        <v>凯兰</v>
      </c>
      <c r="N609" t="str">
        <f>IFERROR(INDEX(_角色基线!$C$2:$C$100,MATCH($B609,_角色基线!$A$2:$A$100,0)),"")</f>
        <v>Support</v>
      </c>
      <c r="O609">
        <f>IFERROR(INDEX(_怪物基线!$B$2:$B$501,MATCH(INT($L609),_怪物基线!$A$2:$A$501,0)),"")</f>
        <v>517703</v>
      </c>
      <c r="P609">
        <f>IFERROR(INDEX(_怪物基线!$C$2:$C$501,MATCH(INT($L609),_怪物基线!$A$2:$A$501,0)),"")</f>
        <v>45149</v>
      </c>
      <c r="Q609">
        <f>IFERROR(INDEX(_怪物基线!$D$2:$D$501,MATCH(INT($L609),_怪物基线!$A$2:$A$501,0)),"")</f>
        <v>33525</v>
      </c>
      <c r="R609">
        <f>参数!$B$10</f>
        <v>4</v>
      </c>
      <c r="S609">
        <f>参数!$C$10</f>
        <v>1.2</v>
      </c>
      <c r="T609">
        <f>参数!$D$10</f>
        <v>1</v>
      </c>
      <c r="U609">
        <f t="shared" si="72"/>
        <v>2070812</v>
      </c>
      <c r="V609">
        <f t="shared" si="73"/>
        <v>54178.8</v>
      </c>
      <c r="W609">
        <f t="shared" si="74"/>
        <v>33525</v>
      </c>
      <c r="X609">
        <f>IFERROR(INDEX(参数!$B$5:$B$7,MATCH($N609,参数!$A$5:$A$7,0)),"")</f>
        <v>1.25</v>
      </c>
      <c r="Y609">
        <f>IFERROR(INDEX(参数!$C$5:$C$7,MATCH($N609,参数!$A$5:$A$7,0)),"")</f>
        <v>1</v>
      </c>
      <c r="Z609">
        <f>IFERROR(INDEX(参数!$D$5:$D$7,MATCH($N609,参数!$A$5:$A$7,0)),"")</f>
        <v>1.25</v>
      </c>
      <c r="AA609">
        <f>IFERROR(INDEX(楼层配置!$E$5:$E$204,MATCH($K609,楼层配置!$B$5:$B$204,0)),1)</f>
        <v>1.12582067235919</v>
      </c>
      <c r="AB609">
        <f>IFERROR(INDEX(楼层配置!$F$5:$F$204,MATCH($K609,楼层配置!$B$5:$B$204,0)),1)</f>
        <v>0.729834891319568</v>
      </c>
      <c r="AC609">
        <f>IFERROR(INDEX(楼层配置!$G$5:$G$204,MATCH($K609,楼层配置!$B$5:$B$204,0)),1)</f>
        <v>1</v>
      </c>
      <c r="AD609" t="str">
        <f t="shared" si="75"/>
        <v/>
      </c>
      <c r="AE609" t="str">
        <f t="shared" si="76"/>
        <v/>
      </c>
      <c r="AF609" t="str">
        <f t="shared" si="77"/>
        <v/>
      </c>
      <c r="AG609" t="str">
        <f t="shared" si="78"/>
        <v>有效</v>
      </c>
      <c r="AH609">
        <f t="shared" si="79"/>
        <v>8002647.03433333</v>
      </c>
    </row>
    <row r="610" spans="1:34">
      <c r="A610">
        <v>606</v>
      </c>
      <c r="B610">
        <v>1003</v>
      </c>
      <c r="C610">
        <v>60</v>
      </c>
      <c r="D610">
        <f>IFERROR(ROUND($U610*$X610*$AA610*参数!$B$13,0),"")</f>
        <v>3529238</v>
      </c>
      <c r="E610">
        <f>IFERROR(ROUND($V610*$Y610*$AB610*参数!$C$13,0),"")</f>
        <v>39818</v>
      </c>
      <c r="F610">
        <f>IFERROR(ROUND($W610*$Z610*$AC610*参数!$D$13,0),"")</f>
        <v>50504</v>
      </c>
      <c r="J610">
        <v>122</v>
      </c>
      <c r="K610">
        <v>122</v>
      </c>
      <c r="L610">
        <f>IFERROR(INDEX(楼层配置!$D$5:$D$204,MATCH($K610,楼层配置!$B$5:$B$204,0)),"")</f>
        <v>309</v>
      </c>
      <c r="M610" t="str">
        <f>IFERROR(INDEX(_角色基线!$B$2:$B$100,MATCH($B610,_角色基线!$A$2:$A$100,0)),"")</f>
        <v>塔拉夏</v>
      </c>
      <c r="N610" t="str">
        <f>IFERROR(INDEX(_角色基线!$C$2:$C$100,MATCH($B610,_角色基线!$A$2:$A$100,0)),"")</f>
        <v>Tank</v>
      </c>
      <c r="O610">
        <f>IFERROR(INDEX(_怪物基线!$B$2:$B$501,MATCH(INT($L610),_怪物基线!$A$2:$A$501,0)),"")</f>
        <v>522469</v>
      </c>
      <c r="P610">
        <f>IFERROR(INDEX(_怪物基线!$C$2:$C$501,MATCH(INT($L610),_怪物基线!$A$2:$A$501,0)),"")</f>
        <v>45465</v>
      </c>
      <c r="Q610">
        <f>IFERROR(INDEX(_怪物基线!$D$2:$D$501,MATCH(INT($L610),_怪物基线!$A$2:$A$501,0)),"")</f>
        <v>33669</v>
      </c>
      <c r="R610">
        <f>参数!$B$10</f>
        <v>4</v>
      </c>
      <c r="S610">
        <f>参数!$C$10</f>
        <v>1.2</v>
      </c>
      <c r="T610">
        <f>参数!$D$10</f>
        <v>1</v>
      </c>
      <c r="U610">
        <f t="shared" si="72"/>
        <v>2089876</v>
      </c>
      <c r="V610">
        <f t="shared" si="73"/>
        <v>54558</v>
      </c>
      <c r="W610">
        <f t="shared" si="74"/>
        <v>33669</v>
      </c>
      <c r="X610">
        <f>IFERROR(INDEX(参数!$B$5:$B$7,MATCH($N610,参数!$A$5:$A$7,0)),"")</f>
        <v>1.5</v>
      </c>
      <c r="Y610">
        <f>IFERROR(INDEX(参数!$C$5:$C$7,MATCH($N610,参数!$A$5:$A$7,0)),"")</f>
        <v>1</v>
      </c>
      <c r="Z610">
        <f>IFERROR(INDEX(参数!$D$5:$D$7,MATCH($N610,参数!$A$5:$A$7,0)),"")</f>
        <v>1.5</v>
      </c>
      <c r="AA610">
        <f>IFERROR(INDEX(楼层配置!$E$5:$E$204,MATCH($K610,楼层配置!$B$5:$B$204,0)),1)</f>
        <v>1.12582067235919</v>
      </c>
      <c r="AB610">
        <f>IFERROR(INDEX(楼层配置!$F$5:$F$204,MATCH($K610,楼层配置!$B$5:$B$204,0)),1)</f>
        <v>0.729834891319568</v>
      </c>
      <c r="AC610">
        <f>IFERROR(INDEX(楼层配置!$G$5:$G$204,MATCH($K610,楼层配置!$B$5:$B$204,0)),1)</f>
        <v>1</v>
      </c>
      <c r="AD610" t="str">
        <f t="shared" si="75"/>
        <v/>
      </c>
      <c r="AE610" t="str">
        <f t="shared" si="76"/>
        <v/>
      </c>
      <c r="AF610" t="str">
        <f t="shared" si="77"/>
        <v/>
      </c>
      <c r="AG610" t="str">
        <f t="shared" si="78"/>
        <v>有效</v>
      </c>
      <c r="AH610">
        <f t="shared" si="79"/>
        <v>10955931.1646667</v>
      </c>
    </row>
    <row r="611" spans="1:34">
      <c r="A611">
        <v>607</v>
      </c>
      <c r="B611">
        <v>1005</v>
      </c>
      <c r="C611">
        <v>60</v>
      </c>
      <c r="D611">
        <f>IFERROR(ROUND($U611*$X611*$AA611*参数!$B$13,0),"")</f>
        <v>2352826</v>
      </c>
      <c r="E611">
        <f>IFERROR(ROUND($V611*$Y611*$AB611*参数!$C$13,0),"")</f>
        <v>47782</v>
      </c>
      <c r="F611">
        <f>IFERROR(ROUND($W611*$Z611*$AC611*参数!$D$13,0),"")</f>
        <v>33669</v>
      </c>
      <c r="J611">
        <v>122</v>
      </c>
      <c r="K611">
        <v>122</v>
      </c>
      <c r="L611">
        <f>IFERROR(INDEX(楼层配置!$D$5:$D$204,MATCH($K611,楼层配置!$B$5:$B$204,0)),"")</f>
        <v>309</v>
      </c>
      <c r="M611" t="str">
        <f>IFERROR(INDEX(_角色基线!$B$2:$B$100,MATCH($B611,_角色基线!$A$2:$A$100,0)),"")</f>
        <v>陈单单</v>
      </c>
      <c r="N611" t="str">
        <f>IFERROR(INDEX(_角色基线!$C$2:$C$100,MATCH($B611,_角色基线!$A$2:$A$100,0)),"")</f>
        <v>DPS</v>
      </c>
      <c r="O611">
        <f>IFERROR(INDEX(_怪物基线!$B$2:$B$501,MATCH(INT($L611),_怪物基线!$A$2:$A$501,0)),"")</f>
        <v>522469</v>
      </c>
      <c r="P611">
        <f>IFERROR(INDEX(_怪物基线!$C$2:$C$501,MATCH(INT($L611),_怪物基线!$A$2:$A$501,0)),"")</f>
        <v>45465</v>
      </c>
      <c r="Q611">
        <f>IFERROR(INDEX(_怪物基线!$D$2:$D$501,MATCH(INT($L611),_怪物基线!$A$2:$A$501,0)),"")</f>
        <v>33669</v>
      </c>
      <c r="R611">
        <f>参数!$B$10</f>
        <v>4</v>
      </c>
      <c r="S611">
        <f>参数!$C$10</f>
        <v>1.2</v>
      </c>
      <c r="T611">
        <f>参数!$D$10</f>
        <v>1</v>
      </c>
      <c r="U611">
        <f t="shared" si="72"/>
        <v>2089876</v>
      </c>
      <c r="V611">
        <f t="shared" si="73"/>
        <v>54558</v>
      </c>
      <c r="W611">
        <f t="shared" si="74"/>
        <v>33669</v>
      </c>
      <c r="X611">
        <f>IFERROR(INDEX(参数!$B$5:$B$7,MATCH($N611,参数!$A$5:$A$7,0)),"")</f>
        <v>1</v>
      </c>
      <c r="Y611">
        <f>IFERROR(INDEX(参数!$C$5:$C$7,MATCH($N611,参数!$A$5:$A$7,0)),"")</f>
        <v>1.2</v>
      </c>
      <c r="Z611">
        <f>IFERROR(INDEX(参数!$D$5:$D$7,MATCH($N611,参数!$A$5:$A$7,0)),"")</f>
        <v>1</v>
      </c>
      <c r="AA611">
        <f>IFERROR(INDEX(楼层配置!$E$5:$E$204,MATCH($K611,楼层配置!$B$5:$B$204,0)),1)</f>
        <v>1.12582067235919</v>
      </c>
      <c r="AB611">
        <f>IFERROR(INDEX(楼层配置!$F$5:$F$204,MATCH($K611,楼层配置!$B$5:$B$204,0)),1)</f>
        <v>0.729834891319568</v>
      </c>
      <c r="AC611">
        <f>IFERROR(INDEX(楼层配置!$G$5:$G$204,MATCH($K611,楼层配置!$B$5:$B$204,0)),1)</f>
        <v>1</v>
      </c>
      <c r="AD611" t="str">
        <f t="shared" si="75"/>
        <v/>
      </c>
      <c r="AE611" t="str">
        <f t="shared" si="76"/>
        <v/>
      </c>
      <c r="AF611" t="str">
        <f t="shared" si="77"/>
        <v/>
      </c>
      <c r="AG611" t="str">
        <f t="shared" si="78"/>
        <v>有效</v>
      </c>
      <c r="AH611">
        <f t="shared" si="79"/>
        <v>5653546.77475</v>
      </c>
    </row>
    <row r="612" spans="1:34">
      <c r="A612">
        <v>608</v>
      </c>
      <c r="B612">
        <v>1005</v>
      </c>
      <c r="C612">
        <v>60</v>
      </c>
      <c r="D612">
        <f>IFERROR(ROUND($U612*$X612*$AA612*参数!$B$13,0),"")</f>
        <v>2352826</v>
      </c>
      <c r="E612">
        <f>IFERROR(ROUND($V612*$Y612*$AB612*参数!$C$13,0),"")</f>
        <v>47782</v>
      </c>
      <c r="F612">
        <f>IFERROR(ROUND($W612*$Z612*$AC612*参数!$D$13,0),"")</f>
        <v>33669</v>
      </c>
      <c r="J612">
        <v>122</v>
      </c>
      <c r="K612">
        <v>122</v>
      </c>
      <c r="L612">
        <f>IFERROR(INDEX(楼层配置!$D$5:$D$204,MATCH($K612,楼层配置!$B$5:$B$204,0)),"")</f>
        <v>309</v>
      </c>
      <c r="M612" t="str">
        <f>IFERROR(INDEX(_角色基线!$B$2:$B$100,MATCH($B612,_角色基线!$A$2:$A$100,0)),"")</f>
        <v>陈单单</v>
      </c>
      <c r="N612" t="str">
        <f>IFERROR(INDEX(_角色基线!$C$2:$C$100,MATCH($B612,_角色基线!$A$2:$A$100,0)),"")</f>
        <v>DPS</v>
      </c>
      <c r="O612">
        <f>IFERROR(INDEX(_怪物基线!$B$2:$B$501,MATCH(INT($L612),_怪物基线!$A$2:$A$501,0)),"")</f>
        <v>522469</v>
      </c>
      <c r="P612">
        <f>IFERROR(INDEX(_怪物基线!$C$2:$C$501,MATCH(INT($L612),_怪物基线!$A$2:$A$501,0)),"")</f>
        <v>45465</v>
      </c>
      <c r="Q612">
        <f>IFERROR(INDEX(_怪物基线!$D$2:$D$501,MATCH(INT($L612),_怪物基线!$A$2:$A$501,0)),"")</f>
        <v>33669</v>
      </c>
      <c r="R612">
        <f>参数!$B$10</f>
        <v>4</v>
      </c>
      <c r="S612">
        <f>参数!$C$10</f>
        <v>1.2</v>
      </c>
      <c r="T612">
        <f>参数!$D$10</f>
        <v>1</v>
      </c>
      <c r="U612">
        <f t="shared" si="72"/>
        <v>2089876</v>
      </c>
      <c r="V612">
        <f t="shared" si="73"/>
        <v>54558</v>
      </c>
      <c r="W612">
        <f t="shared" si="74"/>
        <v>33669</v>
      </c>
      <c r="X612">
        <f>IFERROR(INDEX(参数!$B$5:$B$7,MATCH($N612,参数!$A$5:$A$7,0)),"")</f>
        <v>1</v>
      </c>
      <c r="Y612">
        <f>IFERROR(INDEX(参数!$C$5:$C$7,MATCH($N612,参数!$A$5:$A$7,0)),"")</f>
        <v>1.2</v>
      </c>
      <c r="Z612">
        <f>IFERROR(INDEX(参数!$D$5:$D$7,MATCH($N612,参数!$A$5:$A$7,0)),"")</f>
        <v>1</v>
      </c>
      <c r="AA612">
        <f>IFERROR(INDEX(楼层配置!$E$5:$E$204,MATCH($K612,楼层配置!$B$5:$B$204,0)),1)</f>
        <v>1.12582067235919</v>
      </c>
      <c r="AB612">
        <f>IFERROR(INDEX(楼层配置!$F$5:$F$204,MATCH($K612,楼层配置!$B$5:$B$204,0)),1)</f>
        <v>0.729834891319568</v>
      </c>
      <c r="AC612">
        <f>IFERROR(INDEX(楼层配置!$G$5:$G$204,MATCH($K612,楼层配置!$B$5:$B$204,0)),1)</f>
        <v>1</v>
      </c>
      <c r="AD612" t="str">
        <f t="shared" si="75"/>
        <v/>
      </c>
      <c r="AE612" t="str">
        <f t="shared" si="76"/>
        <v/>
      </c>
      <c r="AF612" t="str">
        <f t="shared" si="77"/>
        <v/>
      </c>
      <c r="AG612" t="str">
        <f t="shared" si="78"/>
        <v>有效</v>
      </c>
      <c r="AH612">
        <f t="shared" si="79"/>
        <v>5653546.77475</v>
      </c>
    </row>
    <row r="613" spans="1:34">
      <c r="A613">
        <v>609</v>
      </c>
      <c r="B613">
        <v>1005</v>
      </c>
      <c r="C613">
        <v>60</v>
      </c>
      <c r="D613">
        <f>IFERROR(ROUND($U613*$X613*$AA613*参数!$B$13,0),"")</f>
        <v>2352826</v>
      </c>
      <c r="E613">
        <f>IFERROR(ROUND($V613*$Y613*$AB613*参数!$C$13,0),"")</f>
        <v>47782</v>
      </c>
      <c r="F613">
        <f>IFERROR(ROUND($W613*$Z613*$AC613*参数!$D$13,0),"")</f>
        <v>33669</v>
      </c>
      <c r="J613">
        <v>122</v>
      </c>
      <c r="K613">
        <v>122</v>
      </c>
      <c r="L613">
        <f>IFERROR(INDEX(楼层配置!$D$5:$D$204,MATCH($K613,楼层配置!$B$5:$B$204,0)),"")</f>
        <v>309</v>
      </c>
      <c r="M613" t="str">
        <f>IFERROR(INDEX(_角色基线!$B$2:$B$100,MATCH($B613,_角色基线!$A$2:$A$100,0)),"")</f>
        <v>陈单单</v>
      </c>
      <c r="N613" t="str">
        <f>IFERROR(INDEX(_角色基线!$C$2:$C$100,MATCH($B613,_角色基线!$A$2:$A$100,0)),"")</f>
        <v>DPS</v>
      </c>
      <c r="O613">
        <f>IFERROR(INDEX(_怪物基线!$B$2:$B$501,MATCH(INT($L613),_怪物基线!$A$2:$A$501,0)),"")</f>
        <v>522469</v>
      </c>
      <c r="P613">
        <f>IFERROR(INDEX(_怪物基线!$C$2:$C$501,MATCH(INT($L613),_怪物基线!$A$2:$A$501,0)),"")</f>
        <v>45465</v>
      </c>
      <c r="Q613">
        <f>IFERROR(INDEX(_怪物基线!$D$2:$D$501,MATCH(INT($L613),_怪物基线!$A$2:$A$501,0)),"")</f>
        <v>33669</v>
      </c>
      <c r="R613">
        <f>参数!$B$10</f>
        <v>4</v>
      </c>
      <c r="S613">
        <f>参数!$C$10</f>
        <v>1.2</v>
      </c>
      <c r="T613">
        <f>参数!$D$10</f>
        <v>1</v>
      </c>
      <c r="U613">
        <f t="shared" si="72"/>
        <v>2089876</v>
      </c>
      <c r="V613">
        <f t="shared" si="73"/>
        <v>54558</v>
      </c>
      <c r="W613">
        <f t="shared" si="74"/>
        <v>33669</v>
      </c>
      <c r="X613">
        <f>IFERROR(INDEX(参数!$B$5:$B$7,MATCH($N613,参数!$A$5:$A$7,0)),"")</f>
        <v>1</v>
      </c>
      <c r="Y613">
        <f>IFERROR(INDEX(参数!$C$5:$C$7,MATCH($N613,参数!$A$5:$A$7,0)),"")</f>
        <v>1.2</v>
      </c>
      <c r="Z613">
        <f>IFERROR(INDEX(参数!$D$5:$D$7,MATCH($N613,参数!$A$5:$A$7,0)),"")</f>
        <v>1</v>
      </c>
      <c r="AA613">
        <f>IFERROR(INDEX(楼层配置!$E$5:$E$204,MATCH($K613,楼层配置!$B$5:$B$204,0)),1)</f>
        <v>1.12582067235919</v>
      </c>
      <c r="AB613">
        <f>IFERROR(INDEX(楼层配置!$F$5:$F$204,MATCH($K613,楼层配置!$B$5:$B$204,0)),1)</f>
        <v>0.729834891319568</v>
      </c>
      <c r="AC613">
        <f>IFERROR(INDEX(楼层配置!$G$5:$G$204,MATCH($K613,楼层配置!$B$5:$B$204,0)),1)</f>
        <v>1</v>
      </c>
      <c r="AD613" t="str">
        <f t="shared" si="75"/>
        <v/>
      </c>
      <c r="AE613" t="str">
        <f t="shared" si="76"/>
        <v/>
      </c>
      <c r="AF613" t="str">
        <f t="shared" si="77"/>
        <v/>
      </c>
      <c r="AG613" t="str">
        <f t="shared" si="78"/>
        <v>有效</v>
      </c>
      <c r="AH613">
        <f t="shared" si="79"/>
        <v>5653546.77475</v>
      </c>
    </row>
    <row r="614" spans="1:34">
      <c r="A614">
        <v>610</v>
      </c>
      <c r="B614">
        <v>1029</v>
      </c>
      <c r="C614">
        <v>60</v>
      </c>
      <c r="D614">
        <f>IFERROR(ROUND($U614*$X614*$AA614*参数!$B$13,0),"")</f>
        <v>2941032</v>
      </c>
      <c r="E614">
        <f>IFERROR(ROUND($V614*$Y614*$AB614*参数!$C$13,0),"")</f>
        <v>39818</v>
      </c>
      <c r="F614">
        <f>IFERROR(ROUND($W614*$Z614*$AC614*参数!$D$13,0),"")</f>
        <v>42086</v>
      </c>
      <c r="J614">
        <v>122</v>
      </c>
      <c r="K614">
        <v>122</v>
      </c>
      <c r="L614">
        <f>IFERROR(INDEX(楼层配置!$D$5:$D$204,MATCH($K614,楼层配置!$B$5:$B$204,0)),"")</f>
        <v>309</v>
      </c>
      <c r="M614" t="str">
        <f>IFERROR(INDEX(_角色基线!$B$2:$B$100,MATCH($B614,_角色基线!$A$2:$A$100,0)),"")</f>
        <v>凯兰</v>
      </c>
      <c r="N614" t="str">
        <f>IFERROR(INDEX(_角色基线!$C$2:$C$100,MATCH($B614,_角色基线!$A$2:$A$100,0)),"")</f>
        <v>Support</v>
      </c>
      <c r="O614">
        <f>IFERROR(INDEX(_怪物基线!$B$2:$B$501,MATCH(INT($L614),_怪物基线!$A$2:$A$501,0)),"")</f>
        <v>522469</v>
      </c>
      <c r="P614">
        <f>IFERROR(INDEX(_怪物基线!$C$2:$C$501,MATCH(INT($L614),_怪物基线!$A$2:$A$501,0)),"")</f>
        <v>45465</v>
      </c>
      <c r="Q614">
        <f>IFERROR(INDEX(_怪物基线!$D$2:$D$501,MATCH(INT($L614),_怪物基线!$A$2:$A$501,0)),"")</f>
        <v>33669</v>
      </c>
      <c r="R614">
        <f>参数!$B$10</f>
        <v>4</v>
      </c>
      <c r="S614">
        <f>参数!$C$10</f>
        <v>1.2</v>
      </c>
      <c r="T614">
        <f>参数!$D$10</f>
        <v>1</v>
      </c>
      <c r="U614">
        <f t="shared" si="72"/>
        <v>2089876</v>
      </c>
      <c r="V614">
        <f t="shared" si="73"/>
        <v>54558</v>
      </c>
      <c r="W614">
        <f t="shared" si="74"/>
        <v>33669</v>
      </c>
      <c r="X614">
        <f>IFERROR(INDEX(参数!$B$5:$B$7,MATCH($N614,参数!$A$5:$A$7,0)),"")</f>
        <v>1.25</v>
      </c>
      <c r="Y614">
        <f>IFERROR(INDEX(参数!$C$5:$C$7,MATCH($N614,参数!$A$5:$A$7,0)),"")</f>
        <v>1</v>
      </c>
      <c r="Z614">
        <f>IFERROR(INDEX(参数!$D$5:$D$7,MATCH($N614,参数!$A$5:$A$7,0)),"")</f>
        <v>1.25</v>
      </c>
      <c r="AA614">
        <f>IFERROR(INDEX(楼层配置!$E$5:$E$204,MATCH($K614,楼层配置!$B$5:$B$204,0)),1)</f>
        <v>1.12582067235919</v>
      </c>
      <c r="AB614">
        <f>IFERROR(INDEX(楼层配置!$F$5:$F$204,MATCH($K614,楼层配置!$B$5:$B$204,0)),1)</f>
        <v>0.729834891319568</v>
      </c>
      <c r="AC614">
        <f>IFERROR(INDEX(楼层配置!$G$5:$G$204,MATCH($K614,楼层配置!$B$5:$B$204,0)),1)</f>
        <v>1</v>
      </c>
      <c r="AD614" t="str">
        <f t="shared" si="75"/>
        <v/>
      </c>
      <c r="AE614" t="str">
        <f t="shared" si="76"/>
        <v/>
      </c>
      <c r="AF614" t="str">
        <f t="shared" si="77"/>
        <v/>
      </c>
      <c r="AG614" t="str">
        <f t="shared" si="78"/>
        <v>有效</v>
      </c>
      <c r="AH614">
        <f t="shared" si="79"/>
        <v>8098376.698</v>
      </c>
    </row>
    <row r="615" spans="1:34">
      <c r="A615">
        <v>611</v>
      </c>
      <c r="B615">
        <v>1003</v>
      </c>
      <c r="C615">
        <v>60</v>
      </c>
      <c r="D615">
        <f>IFERROR(ROUND($U615*$X615*$AA615*参数!$B$13,0),"")</f>
        <v>3594302</v>
      </c>
      <c r="E615">
        <f>IFERROR(ROUND($V615*$Y615*$AB615*参数!$C$13,0),"")</f>
        <v>40376</v>
      </c>
      <c r="F615">
        <f>IFERROR(ROUND($W615*$Z615*$AC615*参数!$D$13,0),"")</f>
        <v>50937</v>
      </c>
      <c r="J615">
        <v>123</v>
      </c>
      <c r="K615">
        <v>123</v>
      </c>
      <c r="L615">
        <f>IFERROR(INDEX(楼层配置!$D$5:$D$204,MATCH($K615,楼层配置!$B$5:$B$204,0)),"")</f>
        <v>311</v>
      </c>
      <c r="M615" t="str">
        <f>IFERROR(INDEX(_角色基线!$B$2:$B$100,MATCH($B615,_角色基线!$A$2:$A$100,0)),"")</f>
        <v>塔拉夏</v>
      </c>
      <c r="N615" t="str">
        <f>IFERROR(INDEX(_角色基线!$C$2:$C$100,MATCH($B615,_角色基线!$A$2:$A$100,0)),"")</f>
        <v>Tank</v>
      </c>
      <c r="O615">
        <f>IFERROR(INDEX(_怪物基线!$B$2:$B$501,MATCH(INT($L615),_怪物基线!$A$2:$A$501,0)),"")</f>
        <v>532101</v>
      </c>
      <c r="P615">
        <f>IFERROR(INDEX(_怪物基线!$C$2:$C$501,MATCH(INT($L615),_怪物基线!$A$2:$A$501,0)),"")</f>
        <v>46102</v>
      </c>
      <c r="Q615">
        <f>IFERROR(INDEX(_怪物基线!$D$2:$D$501,MATCH(INT($L615),_怪物基线!$A$2:$A$501,0)),"")</f>
        <v>33958</v>
      </c>
      <c r="R615">
        <f>参数!$B$10</f>
        <v>4</v>
      </c>
      <c r="S615">
        <f>参数!$C$10</f>
        <v>1.2</v>
      </c>
      <c r="T615">
        <f>参数!$D$10</f>
        <v>1</v>
      </c>
      <c r="U615">
        <f t="shared" si="72"/>
        <v>2128404</v>
      </c>
      <c r="V615">
        <f t="shared" si="73"/>
        <v>55322.4</v>
      </c>
      <c r="W615">
        <f t="shared" si="74"/>
        <v>33958</v>
      </c>
      <c r="X615">
        <f>IFERROR(INDEX(参数!$B$5:$B$7,MATCH($N615,参数!$A$5:$A$7,0)),"")</f>
        <v>1.5</v>
      </c>
      <c r="Y615">
        <f>IFERROR(INDEX(参数!$C$5:$C$7,MATCH($N615,参数!$A$5:$A$7,0)),"")</f>
        <v>1</v>
      </c>
      <c r="Z615">
        <f>IFERROR(INDEX(参数!$D$5:$D$7,MATCH($N615,参数!$A$5:$A$7,0)),"")</f>
        <v>1.5</v>
      </c>
      <c r="AA615">
        <f>IFERROR(INDEX(楼层配置!$E$5:$E$204,MATCH($K615,楼层配置!$B$5:$B$204,0)),1)</f>
        <v>1.12582067235919</v>
      </c>
      <c r="AB615">
        <f>IFERROR(INDEX(楼层配置!$F$5:$F$204,MATCH($K615,楼层配置!$B$5:$B$204,0)),1)</f>
        <v>0.729834891319568</v>
      </c>
      <c r="AC615">
        <f>IFERROR(INDEX(楼层配置!$G$5:$G$204,MATCH($K615,楼层配置!$B$5:$B$204,0)),1)</f>
        <v>1</v>
      </c>
      <c r="AD615" t="str">
        <f t="shared" si="75"/>
        <v/>
      </c>
      <c r="AE615" t="str">
        <f t="shared" si="76"/>
        <v/>
      </c>
      <c r="AF615" t="str">
        <f t="shared" si="77"/>
        <v/>
      </c>
      <c r="AG615" t="str">
        <f t="shared" si="78"/>
        <v>有效</v>
      </c>
      <c r="AH615">
        <f t="shared" si="79"/>
        <v>11222758.70725</v>
      </c>
    </row>
    <row r="616" spans="1:34">
      <c r="A616">
        <v>612</v>
      </c>
      <c r="B616">
        <v>1005</v>
      </c>
      <c r="C616">
        <v>60</v>
      </c>
      <c r="D616">
        <f>IFERROR(ROUND($U616*$X616*$AA616*参数!$B$13,0),"")</f>
        <v>2396201</v>
      </c>
      <c r="E616">
        <f>IFERROR(ROUND($V616*$Y616*$AB616*参数!$C$13,0),"")</f>
        <v>48451</v>
      </c>
      <c r="F616">
        <f>IFERROR(ROUND($W616*$Z616*$AC616*参数!$D$13,0),"")</f>
        <v>33958</v>
      </c>
      <c r="J616">
        <v>123</v>
      </c>
      <c r="K616">
        <v>123</v>
      </c>
      <c r="L616">
        <f>IFERROR(INDEX(楼层配置!$D$5:$D$204,MATCH($K616,楼层配置!$B$5:$B$204,0)),"")</f>
        <v>311</v>
      </c>
      <c r="M616" t="str">
        <f>IFERROR(INDEX(_角色基线!$B$2:$B$100,MATCH($B616,_角色基线!$A$2:$A$100,0)),"")</f>
        <v>陈单单</v>
      </c>
      <c r="N616" t="str">
        <f>IFERROR(INDEX(_角色基线!$C$2:$C$100,MATCH($B616,_角色基线!$A$2:$A$100,0)),"")</f>
        <v>DPS</v>
      </c>
      <c r="O616">
        <f>IFERROR(INDEX(_怪物基线!$B$2:$B$501,MATCH(INT($L616),_怪物基线!$A$2:$A$501,0)),"")</f>
        <v>532101</v>
      </c>
      <c r="P616">
        <f>IFERROR(INDEX(_怪物基线!$C$2:$C$501,MATCH(INT($L616),_怪物基线!$A$2:$A$501,0)),"")</f>
        <v>46102</v>
      </c>
      <c r="Q616">
        <f>IFERROR(INDEX(_怪物基线!$D$2:$D$501,MATCH(INT($L616),_怪物基线!$A$2:$A$501,0)),"")</f>
        <v>33958</v>
      </c>
      <c r="R616">
        <f>参数!$B$10</f>
        <v>4</v>
      </c>
      <c r="S616">
        <f>参数!$C$10</f>
        <v>1.2</v>
      </c>
      <c r="T616">
        <f>参数!$D$10</f>
        <v>1</v>
      </c>
      <c r="U616">
        <f t="shared" si="72"/>
        <v>2128404</v>
      </c>
      <c r="V616">
        <f t="shared" si="73"/>
        <v>55322.4</v>
      </c>
      <c r="W616">
        <f t="shared" si="74"/>
        <v>33958</v>
      </c>
      <c r="X616">
        <f>IFERROR(INDEX(参数!$B$5:$B$7,MATCH($N616,参数!$A$5:$A$7,0)),"")</f>
        <v>1</v>
      </c>
      <c r="Y616">
        <f>IFERROR(INDEX(参数!$C$5:$C$7,MATCH($N616,参数!$A$5:$A$7,0)),"")</f>
        <v>1.2</v>
      </c>
      <c r="Z616">
        <f>IFERROR(INDEX(参数!$D$5:$D$7,MATCH($N616,参数!$A$5:$A$7,0)),"")</f>
        <v>1</v>
      </c>
      <c r="AA616">
        <f>IFERROR(INDEX(楼层配置!$E$5:$E$204,MATCH($K616,楼层配置!$B$5:$B$204,0)),1)</f>
        <v>1.12582067235919</v>
      </c>
      <c r="AB616">
        <f>IFERROR(INDEX(楼层配置!$F$5:$F$204,MATCH($K616,楼层配置!$B$5:$B$204,0)),1)</f>
        <v>0.729834891319568</v>
      </c>
      <c r="AC616">
        <f>IFERROR(INDEX(楼层配置!$G$5:$G$204,MATCH($K616,楼层配置!$B$5:$B$204,0)),1)</f>
        <v>1</v>
      </c>
      <c r="AD616" t="str">
        <f t="shared" si="75"/>
        <v/>
      </c>
      <c r="AE616" t="str">
        <f t="shared" si="76"/>
        <v/>
      </c>
      <c r="AF616" t="str">
        <f t="shared" si="77"/>
        <v/>
      </c>
      <c r="AG616" t="str">
        <f t="shared" si="78"/>
        <v>有效</v>
      </c>
      <c r="AH616">
        <f t="shared" si="79"/>
        <v>5786625.73158333</v>
      </c>
    </row>
    <row r="617" spans="1:34">
      <c r="A617">
        <v>613</v>
      </c>
      <c r="B617">
        <v>1005</v>
      </c>
      <c r="C617">
        <v>60</v>
      </c>
      <c r="D617">
        <f>IFERROR(ROUND($U617*$X617*$AA617*参数!$B$13,0),"")</f>
        <v>2396201</v>
      </c>
      <c r="E617">
        <f>IFERROR(ROUND($V617*$Y617*$AB617*参数!$C$13,0),"")</f>
        <v>48451</v>
      </c>
      <c r="F617">
        <f>IFERROR(ROUND($W617*$Z617*$AC617*参数!$D$13,0),"")</f>
        <v>33958</v>
      </c>
      <c r="J617">
        <v>123</v>
      </c>
      <c r="K617">
        <v>123</v>
      </c>
      <c r="L617">
        <f>IFERROR(INDEX(楼层配置!$D$5:$D$204,MATCH($K617,楼层配置!$B$5:$B$204,0)),"")</f>
        <v>311</v>
      </c>
      <c r="M617" t="str">
        <f>IFERROR(INDEX(_角色基线!$B$2:$B$100,MATCH($B617,_角色基线!$A$2:$A$100,0)),"")</f>
        <v>陈单单</v>
      </c>
      <c r="N617" t="str">
        <f>IFERROR(INDEX(_角色基线!$C$2:$C$100,MATCH($B617,_角色基线!$A$2:$A$100,0)),"")</f>
        <v>DPS</v>
      </c>
      <c r="O617">
        <f>IFERROR(INDEX(_怪物基线!$B$2:$B$501,MATCH(INT($L617),_怪物基线!$A$2:$A$501,0)),"")</f>
        <v>532101</v>
      </c>
      <c r="P617">
        <f>IFERROR(INDEX(_怪物基线!$C$2:$C$501,MATCH(INT($L617),_怪物基线!$A$2:$A$501,0)),"")</f>
        <v>46102</v>
      </c>
      <c r="Q617">
        <f>IFERROR(INDEX(_怪物基线!$D$2:$D$501,MATCH(INT($L617),_怪物基线!$A$2:$A$501,0)),"")</f>
        <v>33958</v>
      </c>
      <c r="R617">
        <f>参数!$B$10</f>
        <v>4</v>
      </c>
      <c r="S617">
        <f>参数!$C$10</f>
        <v>1.2</v>
      </c>
      <c r="T617">
        <f>参数!$D$10</f>
        <v>1</v>
      </c>
      <c r="U617">
        <f t="shared" si="72"/>
        <v>2128404</v>
      </c>
      <c r="V617">
        <f t="shared" si="73"/>
        <v>55322.4</v>
      </c>
      <c r="W617">
        <f t="shared" si="74"/>
        <v>33958</v>
      </c>
      <c r="X617">
        <f>IFERROR(INDEX(参数!$B$5:$B$7,MATCH($N617,参数!$A$5:$A$7,0)),"")</f>
        <v>1</v>
      </c>
      <c r="Y617">
        <f>IFERROR(INDEX(参数!$C$5:$C$7,MATCH($N617,参数!$A$5:$A$7,0)),"")</f>
        <v>1.2</v>
      </c>
      <c r="Z617">
        <f>IFERROR(INDEX(参数!$D$5:$D$7,MATCH($N617,参数!$A$5:$A$7,0)),"")</f>
        <v>1</v>
      </c>
      <c r="AA617">
        <f>IFERROR(INDEX(楼层配置!$E$5:$E$204,MATCH($K617,楼层配置!$B$5:$B$204,0)),1)</f>
        <v>1.12582067235919</v>
      </c>
      <c r="AB617">
        <f>IFERROR(INDEX(楼层配置!$F$5:$F$204,MATCH($K617,楼层配置!$B$5:$B$204,0)),1)</f>
        <v>0.729834891319568</v>
      </c>
      <c r="AC617">
        <f>IFERROR(INDEX(楼层配置!$G$5:$G$204,MATCH($K617,楼层配置!$B$5:$B$204,0)),1)</f>
        <v>1</v>
      </c>
      <c r="AD617" t="str">
        <f t="shared" si="75"/>
        <v/>
      </c>
      <c r="AE617" t="str">
        <f t="shared" si="76"/>
        <v/>
      </c>
      <c r="AF617" t="str">
        <f t="shared" si="77"/>
        <v/>
      </c>
      <c r="AG617" t="str">
        <f t="shared" si="78"/>
        <v>有效</v>
      </c>
      <c r="AH617">
        <f t="shared" si="79"/>
        <v>5786625.73158333</v>
      </c>
    </row>
    <row r="618" spans="1:34">
      <c r="A618">
        <v>614</v>
      </c>
      <c r="B618">
        <v>1005</v>
      </c>
      <c r="C618">
        <v>60</v>
      </c>
      <c r="D618">
        <f>IFERROR(ROUND($U618*$X618*$AA618*参数!$B$13,0),"")</f>
        <v>2396201</v>
      </c>
      <c r="E618">
        <f>IFERROR(ROUND($V618*$Y618*$AB618*参数!$C$13,0),"")</f>
        <v>48451</v>
      </c>
      <c r="F618">
        <f>IFERROR(ROUND($W618*$Z618*$AC618*参数!$D$13,0),"")</f>
        <v>33958</v>
      </c>
      <c r="J618">
        <v>123</v>
      </c>
      <c r="K618">
        <v>123</v>
      </c>
      <c r="L618">
        <f>IFERROR(INDEX(楼层配置!$D$5:$D$204,MATCH($K618,楼层配置!$B$5:$B$204,0)),"")</f>
        <v>311</v>
      </c>
      <c r="M618" t="str">
        <f>IFERROR(INDEX(_角色基线!$B$2:$B$100,MATCH($B618,_角色基线!$A$2:$A$100,0)),"")</f>
        <v>陈单单</v>
      </c>
      <c r="N618" t="str">
        <f>IFERROR(INDEX(_角色基线!$C$2:$C$100,MATCH($B618,_角色基线!$A$2:$A$100,0)),"")</f>
        <v>DPS</v>
      </c>
      <c r="O618">
        <f>IFERROR(INDEX(_怪物基线!$B$2:$B$501,MATCH(INT($L618),_怪物基线!$A$2:$A$501,0)),"")</f>
        <v>532101</v>
      </c>
      <c r="P618">
        <f>IFERROR(INDEX(_怪物基线!$C$2:$C$501,MATCH(INT($L618),_怪物基线!$A$2:$A$501,0)),"")</f>
        <v>46102</v>
      </c>
      <c r="Q618">
        <f>IFERROR(INDEX(_怪物基线!$D$2:$D$501,MATCH(INT($L618),_怪物基线!$A$2:$A$501,0)),"")</f>
        <v>33958</v>
      </c>
      <c r="R618">
        <f>参数!$B$10</f>
        <v>4</v>
      </c>
      <c r="S618">
        <f>参数!$C$10</f>
        <v>1.2</v>
      </c>
      <c r="T618">
        <f>参数!$D$10</f>
        <v>1</v>
      </c>
      <c r="U618">
        <f t="shared" si="72"/>
        <v>2128404</v>
      </c>
      <c r="V618">
        <f t="shared" si="73"/>
        <v>55322.4</v>
      </c>
      <c r="W618">
        <f t="shared" si="74"/>
        <v>33958</v>
      </c>
      <c r="X618">
        <f>IFERROR(INDEX(参数!$B$5:$B$7,MATCH($N618,参数!$A$5:$A$7,0)),"")</f>
        <v>1</v>
      </c>
      <c r="Y618">
        <f>IFERROR(INDEX(参数!$C$5:$C$7,MATCH($N618,参数!$A$5:$A$7,0)),"")</f>
        <v>1.2</v>
      </c>
      <c r="Z618">
        <f>IFERROR(INDEX(参数!$D$5:$D$7,MATCH($N618,参数!$A$5:$A$7,0)),"")</f>
        <v>1</v>
      </c>
      <c r="AA618">
        <f>IFERROR(INDEX(楼层配置!$E$5:$E$204,MATCH($K618,楼层配置!$B$5:$B$204,0)),1)</f>
        <v>1.12582067235919</v>
      </c>
      <c r="AB618">
        <f>IFERROR(INDEX(楼层配置!$F$5:$F$204,MATCH($K618,楼层配置!$B$5:$B$204,0)),1)</f>
        <v>0.729834891319568</v>
      </c>
      <c r="AC618">
        <f>IFERROR(INDEX(楼层配置!$G$5:$G$204,MATCH($K618,楼层配置!$B$5:$B$204,0)),1)</f>
        <v>1</v>
      </c>
      <c r="AD618" t="str">
        <f t="shared" si="75"/>
        <v/>
      </c>
      <c r="AE618" t="str">
        <f t="shared" si="76"/>
        <v/>
      </c>
      <c r="AF618" t="str">
        <f t="shared" si="77"/>
        <v/>
      </c>
      <c r="AG618" t="str">
        <f t="shared" si="78"/>
        <v>有效</v>
      </c>
      <c r="AH618">
        <f t="shared" si="79"/>
        <v>5786625.73158333</v>
      </c>
    </row>
    <row r="619" spans="1:34">
      <c r="A619">
        <v>615</v>
      </c>
      <c r="B619">
        <v>1029</v>
      </c>
      <c r="C619">
        <v>60</v>
      </c>
      <c r="D619">
        <f>IFERROR(ROUND($U619*$X619*$AA619*参数!$B$13,0),"")</f>
        <v>2995252</v>
      </c>
      <c r="E619">
        <f>IFERROR(ROUND($V619*$Y619*$AB619*参数!$C$13,0),"")</f>
        <v>40376</v>
      </c>
      <c r="F619">
        <f>IFERROR(ROUND($W619*$Z619*$AC619*参数!$D$13,0),"")</f>
        <v>42448</v>
      </c>
      <c r="J619">
        <v>123</v>
      </c>
      <c r="K619">
        <v>123</v>
      </c>
      <c r="L619">
        <f>IFERROR(INDEX(楼层配置!$D$5:$D$204,MATCH($K619,楼层配置!$B$5:$B$204,0)),"")</f>
        <v>311</v>
      </c>
      <c r="M619" t="str">
        <f>IFERROR(INDEX(_角色基线!$B$2:$B$100,MATCH($B619,_角色基线!$A$2:$A$100,0)),"")</f>
        <v>凯兰</v>
      </c>
      <c r="N619" t="str">
        <f>IFERROR(INDEX(_角色基线!$C$2:$C$100,MATCH($B619,_角色基线!$A$2:$A$100,0)),"")</f>
        <v>Support</v>
      </c>
      <c r="O619">
        <f>IFERROR(INDEX(_怪物基线!$B$2:$B$501,MATCH(INT($L619),_怪物基线!$A$2:$A$501,0)),"")</f>
        <v>532101</v>
      </c>
      <c r="P619">
        <f>IFERROR(INDEX(_怪物基线!$C$2:$C$501,MATCH(INT($L619),_怪物基线!$A$2:$A$501,0)),"")</f>
        <v>46102</v>
      </c>
      <c r="Q619">
        <f>IFERROR(INDEX(_怪物基线!$D$2:$D$501,MATCH(INT($L619),_怪物基线!$A$2:$A$501,0)),"")</f>
        <v>33958</v>
      </c>
      <c r="R619">
        <f>参数!$B$10</f>
        <v>4</v>
      </c>
      <c r="S619">
        <f>参数!$C$10</f>
        <v>1.2</v>
      </c>
      <c r="T619">
        <f>参数!$D$10</f>
        <v>1</v>
      </c>
      <c r="U619">
        <f t="shared" si="72"/>
        <v>2128404</v>
      </c>
      <c r="V619">
        <f t="shared" si="73"/>
        <v>55322.4</v>
      </c>
      <c r="W619">
        <f t="shared" si="74"/>
        <v>33958</v>
      </c>
      <c r="X619">
        <f>IFERROR(INDEX(参数!$B$5:$B$7,MATCH($N619,参数!$A$5:$A$7,0)),"")</f>
        <v>1.25</v>
      </c>
      <c r="Y619">
        <f>IFERROR(INDEX(参数!$C$5:$C$7,MATCH($N619,参数!$A$5:$A$7,0)),"")</f>
        <v>1</v>
      </c>
      <c r="Z619">
        <f>IFERROR(INDEX(参数!$D$5:$D$7,MATCH($N619,参数!$A$5:$A$7,0)),"")</f>
        <v>1.25</v>
      </c>
      <c r="AA619">
        <f>IFERROR(INDEX(楼层配置!$E$5:$E$204,MATCH($K619,楼层配置!$B$5:$B$204,0)),1)</f>
        <v>1.12582067235919</v>
      </c>
      <c r="AB619">
        <f>IFERROR(INDEX(楼层配置!$F$5:$F$204,MATCH($K619,楼层配置!$B$5:$B$204,0)),1)</f>
        <v>0.729834891319568</v>
      </c>
      <c r="AC619">
        <f>IFERROR(INDEX(楼层配置!$G$5:$G$204,MATCH($K619,楼层配置!$B$5:$B$204,0)),1)</f>
        <v>1</v>
      </c>
      <c r="AD619" t="str">
        <f t="shared" si="75"/>
        <v/>
      </c>
      <c r="AE619" t="str">
        <f t="shared" si="76"/>
        <v/>
      </c>
      <c r="AF619" t="str">
        <f t="shared" si="77"/>
        <v/>
      </c>
      <c r="AG619" t="str">
        <f t="shared" si="78"/>
        <v>有效</v>
      </c>
      <c r="AH619">
        <f t="shared" si="79"/>
        <v>8292854.37066667</v>
      </c>
    </row>
    <row r="620" spans="1:34">
      <c r="A620">
        <v>616</v>
      </c>
      <c r="B620">
        <v>1003</v>
      </c>
      <c r="C620">
        <v>60</v>
      </c>
      <c r="D620">
        <f>IFERROR(ROUND($U620*$X620*$AA620*参数!$B$13,0),"")</f>
        <v>3627178</v>
      </c>
      <c r="E620">
        <f>IFERROR(ROUND($V620*$Y620*$AB620*参数!$C$13,0),"")</f>
        <v>40657</v>
      </c>
      <c r="F620">
        <f>IFERROR(ROUND($W620*$Z620*$AC620*参数!$D$13,0),"")</f>
        <v>51155</v>
      </c>
      <c r="J620">
        <v>124</v>
      </c>
      <c r="K620">
        <v>124</v>
      </c>
      <c r="L620">
        <f>IFERROR(INDEX(楼层配置!$D$5:$D$204,MATCH($K620,楼层配置!$B$5:$B$204,0)),"")</f>
        <v>312</v>
      </c>
      <c r="M620" t="str">
        <f>IFERROR(INDEX(_角色基线!$B$2:$B$100,MATCH($B620,_角色基线!$A$2:$A$100,0)),"")</f>
        <v>塔拉夏</v>
      </c>
      <c r="N620" t="str">
        <f>IFERROR(INDEX(_角色基线!$C$2:$C$100,MATCH($B620,_角色基线!$A$2:$A$100,0)),"")</f>
        <v>Tank</v>
      </c>
      <c r="O620">
        <f>IFERROR(INDEX(_怪物基线!$B$2:$B$501,MATCH(INT($L620),_怪物基线!$A$2:$A$501,0)),"")</f>
        <v>536968</v>
      </c>
      <c r="P620">
        <f>IFERROR(INDEX(_怪物基线!$C$2:$C$501,MATCH(INT($L620),_怪物基线!$A$2:$A$501,0)),"")</f>
        <v>46423</v>
      </c>
      <c r="Q620">
        <f>IFERROR(INDEX(_怪物基线!$D$2:$D$501,MATCH(INT($L620),_怪物基线!$A$2:$A$501,0)),"")</f>
        <v>34103</v>
      </c>
      <c r="R620">
        <f>参数!$B$10</f>
        <v>4</v>
      </c>
      <c r="S620">
        <f>参数!$C$10</f>
        <v>1.2</v>
      </c>
      <c r="T620">
        <f>参数!$D$10</f>
        <v>1</v>
      </c>
      <c r="U620">
        <f t="shared" si="72"/>
        <v>2147872</v>
      </c>
      <c r="V620">
        <f t="shared" si="73"/>
        <v>55707.6</v>
      </c>
      <c r="W620">
        <f t="shared" si="74"/>
        <v>34103</v>
      </c>
      <c r="X620">
        <f>IFERROR(INDEX(参数!$B$5:$B$7,MATCH($N620,参数!$A$5:$A$7,0)),"")</f>
        <v>1.5</v>
      </c>
      <c r="Y620">
        <f>IFERROR(INDEX(参数!$C$5:$C$7,MATCH($N620,参数!$A$5:$A$7,0)),"")</f>
        <v>1</v>
      </c>
      <c r="Z620">
        <f>IFERROR(INDEX(参数!$D$5:$D$7,MATCH($N620,参数!$A$5:$A$7,0)),"")</f>
        <v>1.5</v>
      </c>
      <c r="AA620">
        <f>IFERROR(INDEX(楼层配置!$E$5:$E$204,MATCH($K620,楼层配置!$B$5:$B$204,0)),1)</f>
        <v>1.12582067235919</v>
      </c>
      <c r="AB620">
        <f>IFERROR(INDEX(楼层配置!$F$5:$F$204,MATCH($K620,楼层配置!$B$5:$B$204,0)),1)</f>
        <v>0.729834891319568</v>
      </c>
      <c r="AC620">
        <f>IFERROR(INDEX(楼层配置!$G$5:$G$204,MATCH($K620,楼层配置!$B$5:$B$204,0)),1)</f>
        <v>1</v>
      </c>
      <c r="AD620" t="str">
        <f t="shared" si="75"/>
        <v/>
      </c>
      <c r="AE620" t="str">
        <f t="shared" si="76"/>
        <v/>
      </c>
      <c r="AF620" t="str">
        <f t="shared" si="77"/>
        <v/>
      </c>
      <c r="AG620" t="str">
        <f t="shared" si="78"/>
        <v>有效</v>
      </c>
      <c r="AH620">
        <f t="shared" si="79"/>
        <v>11358356.7745833</v>
      </c>
    </row>
    <row r="621" spans="1:34">
      <c r="A621">
        <v>617</v>
      </c>
      <c r="B621">
        <v>1005</v>
      </c>
      <c r="C621">
        <v>60</v>
      </c>
      <c r="D621">
        <f>IFERROR(ROUND($U621*$X621*$AA621*参数!$B$13,0),"")</f>
        <v>2418119</v>
      </c>
      <c r="E621">
        <f>IFERROR(ROUND($V621*$Y621*$AB621*参数!$C$13,0),"")</f>
        <v>48789</v>
      </c>
      <c r="F621">
        <f>IFERROR(ROUND($W621*$Z621*$AC621*参数!$D$13,0),"")</f>
        <v>34103</v>
      </c>
      <c r="J621">
        <v>124</v>
      </c>
      <c r="K621">
        <v>124</v>
      </c>
      <c r="L621">
        <f>IFERROR(INDEX(楼层配置!$D$5:$D$204,MATCH($K621,楼层配置!$B$5:$B$204,0)),"")</f>
        <v>312</v>
      </c>
      <c r="M621" t="str">
        <f>IFERROR(INDEX(_角色基线!$B$2:$B$100,MATCH($B621,_角色基线!$A$2:$A$100,0)),"")</f>
        <v>陈单单</v>
      </c>
      <c r="N621" t="str">
        <f>IFERROR(INDEX(_角色基线!$C$2:$C$100,MATCH($B621,_角色基线!$A$2:$A$100,0)),"")</f>
        <v>DPS</v>
      </c>
      <c r="O621">
        <f>IFERROR(INDEX(_怪物基线!$B$2:$B$501,MATCH(INT($L621),_怪物基线!$A$2:$A$501,0)),"")</f>
        <v>536968</v>
      </c>
      <c r="P621">
        <f>IFERROR(INDEX(_怪物基线!$C$2:$C$501,MATCH(INT($L621),_怪物基线!$A$2:$A$501,0)),"")</f>
        <v>46423</v>
      </c>
      <c r="Q621">
        <f>IFERROR(INDEX(_怪物基线!$D$2:$D$501,MATCH(INT($L621),_怪物基线!$A$2:$A$501,0)),"")</f>
        <v>34103</v>
      </c>
      <c r="R621">
        <f>参数!$B$10</f>
        <v>4</v>
      </c>
      <c r="S621">
        <f>参数!$C$10</f>
        <v>1.2</v>
      </c>
      <c r="T621">
        <f>参数!$D$10</f>
        <v>1</v>
      </c>
      <c r="U621">
        <f t="shared" si="72"/>
        <v>2147872</v>
      </c>
      <c r="V621">
        <f t="shared" si="73"/>
        <v>55707.6</v>
      </c>
      <c r="W621">
        <f t="shared" si="74"/>
        <v>34103</v>
      </c>
      <c r="X621">
        <f>IFERROR(INDEX(参数!$B$5:$B$7,MATCH($N621,参数!$A$5:$A$7,0)),"")</f>
        <v>1</v>
      </c>
      <c r="Y621">
        <f>IFERROR(INDEX(参数!$C$5:$C$7,MATCH($N621,参数!$A$5:$A$7,0)),"")</f>
        <v>1.2</v>
      </c>
      <c r="Z621">
        <f>IFERROR(INDEX(参数!$D$5:$D$7,MATCH($N621,参数!$A$5:$A$7,0)),"")</f>
        <v>1</v>
      </c>
      <c r="AA621">
        <f>IFERROR(INDEX(楼层配置!$E$5:$E$204,MATCH($K621,楼层配置!$B$5:$B$204,0)),1)</f>
        <v>1.12582067235919</v>
      </c>
      <c r="AB621">
        <f>IFERROR(INDEX(楼层配置!$F$5:$F$204,MATCH($K621,楼层配置!$B$5:$B$204,0)),1)</f>
        <v>0.729834891319568</v>
      </c>
      <c r="AC621">
        <f>IFERROR(INDEX(楼层配置!$G$5:$G$204,MATCH($K621,楼层配置!$B$5:$B$204,0)),1)</f>
        <v>1</v>
      </c>
      <c r="AD621" t="str">
        <f t="shared" si="75"/>
        <v/>
      </c>
      <c r="AE621" t="str">
        <f t="shared" si="76"/>
        <v/>
      </c>
      <c r="AF621" t="str">
        <f t="shared" si="77"/>
        <v/>
      </c>
      <c r="AG621" t="str">
        <f t="shared" si="78"/>
        <v>有效</v>
      </c>
      <c r="AH621">
        <f t="shared" si="79"/>
        <v>5854165.34404167</v>
      </c>
    </row>
    <row r="622" spans="1:34">
      <c r="A622">
        <v>618</v>
      </c>
      <c r="B622">
        <v>1005</v>
      </c>
      <c r="C622">
        <v>60</v>
      </c>
      <c r="D622">
        <f>IFERROR(ROUND($U622*$X622*$AA622*参数!$B$13,0),"")</f>
        <v>2418119</v>
      </c>
      <c r="E622">
        <f>IFERROR(ROUND($V622*$Y622*$AB622*参数!$C$13,0),"")</f>
        <v>48789</v>
      </c>
      <c r="F622">
        <f>IFERROR(ROUND($W622*$Z622*$AC622*参数!$D$13,0),"")</f>
        <v>34103</v>
      </c>
      <c r="J622">
        <v>124</v>
      </c>
      <c r="K622">
        <v>124</v>
      </c>
      <c r="L622">
        <f>IFERROR(INDEX(楼层配置!$D$5:$D$204,MATCH($K622,楼层配置!$B$5:$B$204,0)),"")</f>
        <v>312</v>
      </c>
      <c r="M622" t="str">
        <f>IFERROR(INDEX(_角色基线!$B$2:$B$100,MATCH($B622,_角色基线!$A$2:$A$100,0)),"")</f>
        <v>陈单单</v>
      </c>
      <c r="N622" t="str">
        <f>IFERROR(INDEX(_角色基线!$C$2:$C$100,MATCH($B622,_角色基线!$A$2:$A$100,0)),"")</f>
        <v>DPS</v>
      </c>
      <c r="O622">
        <f>IFERROR(INDEX(_怪物基线!$B$2:$B$501,MATCH(INT($L622),_怪物基线!$A$2:$A$501,0)),"")</f>
        <v>536968</v>
      </c>
      <c r="P622">
        <f>IFERROR(INDEX(_怪物基线!$C$2:$C$501,MATCH(INT($L622),_怪物基线!$A$2:$A$501,0)),"")</f>
        <v>46423</v>
      </c>
      <c r="Q622">
        <f>IFERROR(INDEX(_怪物基线!$D$2:$D$501,MATCH(INT($L622),_怪物基线!$A$2:$A$501,0)),"")</f>
        <v>34103</v>
      </c>
      <c r="R622">
        <f>参数!$B$10</f>
        <v>4</v>
      </c>
      <c r="S622">
        <f>参数!$C$10</f>
        <v>1.2</v>
      </c>
      <c r="T622">
        <f>参数!$D$10</f>
        <v>1</v>
      </c>
      <c r="U622">
        <f t="shared" si="72"/>
        <v>2147872</v>
      </c>
      <c r="V622">
        <f t="shared" si="73"/>
        <v>55707.6</v>
      </c>
      <c r="W622">
        <f t="shared" si="74"/>
        <v>34103</v>
      </c>
      <c r="X622">
        <f>IFERROR(INDEX(参数!$B$5:$B$7,MATCH($N622,参数!$A$5:$A$7,0)),"")</f>
        <v>1</v>
      </c>
      <c r="Y622">
        <f>IFERROR(INDEX(参数!$C$5:$C$7,MATCH($N622,参数!$A$5:$A$7,0)),"")</f>
        <v>1.2</v>
      </c>
      <c r="Z622">
        <f>IFERROR(INDEX(参数!$D$5:$D$7,MATCH($N622,参数!$A$5:$A$7,0)),"")</f>
        <v>1</v>
      </c>
      <c r="AA622">
        <f>IFERROR(INDEX(楼层配置!$E$5:$E$204,MATCH($K622,楼层配置!$B$5:$B$204,0)),1)</f>
        <v>1.12582067235919</v>
      </c>
      <c r="AB622">
        <f>IFERROR(INDEX(楼层配置!$F$5:$F$204,MATCH($K622,楼层配置!$B$5:$B$204,0)),1)</f>
        <v>0.729834891319568</v>
      </c>
      <c r="AC622">
        <f>IFERROR(INDEX(楼层配置!$G$5:$G$204,MATCH($K622,楼层配置!$B$5:$B$204,0)),1)</f>
        <v>1</v>
      </c>
      <c r="AD622" t="str">
        <f t="shared" si="75"/>
        <v/>
      </c>
      <c r="AE622" t="str">
        <f t="shared" si="76"/>
        <v/>
      </c>
      <c r="AF622" t="str">
        <f t="shared" si="77"/>
        <v/>
      </c>
      <c r="AG622" t="str">
        <f t="shared" si="78"/>
        <v>有效</v>
      </c>
      <c r="AH622">
        <f t="shared" si="79"/>
        <v>5854165.34404167</v>
      </c>
    </row>
    <row r="623" spans="1:34">
      <c r="A623">
        <v>619</v>
      </c>
      <c r="B623">
        <v>1005</v>
      </c>
      <c r="C623">
        <v>60</v>
      </c>
      <c r="D623">
        <f>IFERROR(ROUND($U623*$X623*$AA623*参数!$B$13,0),"")</f>
        <v>2418119</v>
      </c>
      <c r="E623">
        <f>IFERROR(ROUND($V623*$Y623*$AB623*参数!$C$13,0),"")</f>
        <v>48789</v>
      </c>
      <c r="F623">
        <f>IFERROR(ROUND($W623*$Z623*$AC623*参数!$D$13,0),"")</f>
        <v>34103</v>
      </c>
      <c r="J623">
        <v>124</v>
      </c>
      <c r="K623">
        <v>124</v>
      </c>
      <c r="L623">
        <f>IFERROR(INDEX(楼层配置!$D$5:$D$204,MATCH($K623,楼层配置!$B$5:$B$204,0)),"")</f>
        <v>312</v>
      </c>
      <c r="M623" t="str">
        <f>IFERROR(INDEX(_角色基线!$B$2:$B$100,MATCH($B623,_角色基线!$A$2:$A$100,0)),"")</f>
        <v>陈单单</v>
      </c>
      <c r="N623" t="str">
        <f>IFERROR(INDEX(_角色基线!$C$2:$C$100,MATCH($B623,_角色基线!$A$2:$A$100,0)),"")</f>
        <v>DPS</v>
      </c>
      <c r="O623">
        <f>IFERROR(INDEX(_怪物基线!$B$2:$B$501,MATCH(INT($L623),_怪物基线!$A$2:$A$501,0)),"")</f>
        <v>536968</v>
      </c>
      <c r="P623">
        <f>IFERROR(INDEX(_怪物基线!$C$2:$C$501,MATCH(INT($L623),_怪物基线!$A$2:$A$501,0)),"")</f>
        <v>46423</v>
      </c>
      <c r="Q623">
        <f>IFERROR(INDEX(_怪物基线!$D$2:$D$501,MATCH(INT($L623),_怪物基线!$A$2:$A$501,0)),"")</f>
        <v>34103</v>
      </c>
      <c r="R623">
        <f>参数!$B$10</f>
        <v>4</v>
      </c>
      <c r="S623">
        <f>参数!$C$10</f>
        <v>1.2</v>
      </c>
      <c r="T623">
        <f>参数!$D$10</f>
        <v>1</v>
      </c>
      <c r="U623">
        <f t="shared" si="72"/>
        <v>2147872</v>
      </c>
      <c r="V623">
        <f t="shared" si="73"/>
        <v>55707.6</v>
      </c>
      <c r="W623">
        <f t="shared" si="74"/>
        <v>34103</v>
      </c>
      <c r="X623">
        <f>IFERROR(INDEX(参数!$B$5:$B$7,MATCH($N623,参数!$A$5:$A$7,0)),"")</f>
        <v>1</v>
      </c>
      <c r="Y623">
        <f>IFERROR(INDEX(参数!$C$5:$C$7,MATCH($N623,参数!$A$5:$A$7,0)),"")</f>
        <v>1.2</v>
      </c>
      <c r="Z623">
        <f>IFERROR(INDEX(参数!$D$5:$D$7,MATCH($N623,参数!$A$5:$A$7,0)),"")</f>
        <v>1</v>
      </c>
      <c r="AA623">
        <f>IFERROR(INDEX(楼层配置!$E$5:$E$204,MATCH($K623,楼层配置!$B$5:$B$204,0)),1)</f>
        <v>1.12582067235919</v>
      </c>
      <c r="AB623">
        <f>IFERROR(INDEX(楼层配置!$F$5:$F$204,MATCH($K623,楼层配置!$B$5:$B$204,0)),1)</f>
        <v>0.729834891319568</v>
      </c>
      <c r="AC623">
        <f>IFERROR(INDEX(楼层配置!$G$5:$G$204,MATCH($K623,楼层配置!$B$5:$B$204,0)),1)</f>
        <v>1</v>
      </c>
      <c r="AD623" t="str">
        <f t="shared" si="75"/>
        <v/>
      </c>
      <c r="AE623" t="str">
        <f t="shared" si="76"/>
        <v/>
      </c>
      <c r="AF623" t="str">
        <f t="shared" si="77"/>
        <v/>
      </c>
      <c r="AG623" t="str">
        <f t="shared" si="78"/>
        <v>有效</v>
      </c>
      <c r="AH623">
        <f t="shared" si="79"/>
        <v>5854165.34404167</v>
      </c>
    </row>
    <row r="624" spans="1:34">
      <c r="A624">
        <v>620</v>
      </c>
      <c r="B624">
        <v>1029</v>
      </c>
      <c r="C624">
        <v>60</v>
      </c>
      <c r="D624">
        <f>IFERROR(ROUND($U624*$X624*$AA624*参数!$B$13,0),"")</f>
        <v>3022648</v>
      </c>
      <c r="E624">
        <f>IFERROR(ROUND($V624*$Y624*$AB624*参数!$C$13,0),"")</f>
        <v>40657</v>
      </c>
      <c r="F624">
        <f>IFERROR(ROUND($W624*$Z624*$AC624*参数!$D$13,0),"")</f>
        <v>42629</v>
      </c>
      <c r="J624">
        <v>124</v>
      </c>
      <c r="K624">
        <v>124</v>
      </c>
      <c r="L624">
        <f>IFERROR(INDEX(楼层配置!$D$5:$D$204,MATCH($K624,楼层配置!$B$5:$B$204,0)),"")</f>
        <v>312</v>
      </c>
      <c r="M624" t="str">
        <f>IFERROR(INDEX(_角色基线!$B$2:$B$100,MATCH($B624,_角色基线!$A$2:$A$100,0)),"")</f>
        <v>凯兰</v>
      </c>
      <c r="N624" t="str">
        <f>IFERROR(INDEX(_角色基线!$C$2:$C$100,MATCH($B624,_角色基线!$A$2:$A$100,0)),"")</f>
        <v>Support</v>
      </c>
      <c r="O624">
        <f>IFERROR(INDEX(_怪物基线!$B$2:$B$501,MATCH(INT($L624),_怪物基线!$A$2:$A$501,0)),"")</f>
        <v>536968</v>
      </c>
      <c r="P624">
        <f>IFERROR(INDEX(_怪物基线!$C$2:$C$501,MATCH(INT($L624),_怪物基线!$A$2:$A$501,0)),"")</f>
        <v>46423</v>
      </c>
      <c r="Q624">
        <f>IFERROR(INDEX(_怪物基线!$D$2:$D$501,MATCH(INT($L624),_怪物基线!$A$2:$A$501,0)),"")</f>
        <v>34103</v>
      </c>
      <c r="R624">
        <f>参数!$B$10</f>
        <v>4</v>
      </c>
      <c r="S624">
        <f>参数!$C$10</f>
        <v>1.2</v>
      </c>
      <c r="T624">
        <f>参数!$D$10</f>
        <v>1</v>
      </c>
      <c r="U624">
        <f t="shared" si="72"/>
        <v>2147872</v>
      </c>
      <c r="V624">
        <f t="shared" si="73"/>
        <v>55707.6</v>
      </c>
      <c r="W624">
        <f t="shared" si="74"/>
        <v>34103</v>
      </c>
      <c r="X624">
        <f>IFERROR(INDEX(参数!$B$5:$B$7,MATCH($N624,参数!$A$5:$A$7,0)),"")</f>
        <v>1.25</v>
      </c>
      <c r="Y624">
        <f>IFERROR(INDEX(参数!$C$5:$C$7,MATCH($N624,参数!$A$5:$A$7,0)),"")</f>
        <v>1</v>
      </c>
      <c r="Z624">
        <f>IFERROR(INDEX(参数!$D$5:$D$7,MATCH($N624,参数!$A$5:$A$7,0)),"")</f>
        <v>1.25</v>
      </c>
      <c r="AA624">
        <f>IFERROR(INDEX(楼层配置!$E$5:$E$204,MATCH($K624,楼层配置!$B$5:$B$204,0)),1)</f>
        <v>1.12582067235919</v>
      </c>
      <c r="AB624">
        <f>IFERROR(INDEX(楼层配置!$F$5:$F$204,MATCH($K624,楼层配置!$B$5:$B$204,0)),1)</f>
        <v>0.729834891319568</v>
      </c>
      <c r="AC624">
        <f>IFERROR(INDEX(楼层配置!$G$5:$G$204,MATCH($K624,楼层配置!$B$5:$B$204,0)),1)</f>
        <v>1</v>
      </c>
      <c r="AD624" t="str">
        <f t="shared" si="75"/>
        <v/>
      </c>
      <c r="AE624" t="str">
        <f t="shared" si="76"/>
        <v/>
      </c>
      <c r="AF624" t="str">
        <f t="shared" si="77"/>
        <v/>
      </c>
      <c r="AG624" t="str">
        <f t="shared" si="78"/>
        <v>有效</v>
      </c>
      <c r="AH624">
        <f t="shared" si="79"/>
        <v>8391500.56633333</v>
      </c>
    </row>
    <row r="625" spans="1:34">
      <c r="A625">
        <v>621</v>
      </c>
      <c r="B625">
        <v>1003</v>
      </c>
      <c r="C625">
        <v>60</v>
      </c>
      <c r="D625">
        <f>IFERROR(ROUND($U625*$X625*$AA625*参数!$B$13,0),"")</f>
        <v>3710882</v>
      </c>
      <c r="E625">
        <f>IFERROR(ROUND($V625*$Y625*$AB625*参数!$C$13,0),"")</f>
        <v>41047</v>
      </c>
      <c r="F625">
        <f>IFERROR(ROUND($W625*$Z625*$AC625*参数!$D$13,0),"")</f>
        <v>51590</v>
      </c>
      <c r="J625">
        <v>125</v>
      </c>
      <c r="K625">
        <v>125</v>
      </c>
      <c r="L625">
        <f>IFERROR(INDEX(楼层配置!$D$5:$D$204,MATCH($K625,楼层配置!$B$5:$B$204,0)),"")</f>
        <v>314</v>
      </c>
      <c r="M625" t="str">
        <f>IFERROR(INDEX(_角色基线!$B$2:$B$100,MATCH($B625,_角色基线!$A$2:$A$100,0)),"")</f>
        <v>塔拉夏</v>
      </c>
      <c r="N625" t="str">
        <f>IFERROR(INDEX(_角色基线!$C$2:$C$100,MATCH($B625,_角色基线!$A$2:$A$100,0)),"")</f>
        <v>Tank</v>
      </c>
      <c r="O625">
        <f>IFERROR(INDEX(_怪物基线!$B$2:$B$501,MATCH(INT($L625),_怪物基线!$A$2:$A$501,0)),"")</f>
        <v>546805</v>
      </c>
      <c r="P625">
        <f>IFERROR(INDEX(_怪物基线!$C$2:$C$501,MATCH(INT($L625),_怪物基线!$A$2:$A$501,0)),"")</f>
        <v>47071</v>
      </c>
      <c r="Q625">
        <f>IFERROR(INDEX(_怪物基线!$D$2:$D$501,MATCH(INT($L625),_怪物基线!$A$2:$A$501,0)),"")</f>
        <v>34393</v>
      </c>
      <c r="R625">
        <f>参数!$B$10</f>
        <v>4</v>
      </c>
      <c r="S625">
        <f>参数!$C$10</f>
        <v>1.2</v>
      </c>
      <c r="T625">
        <f>参数!$D$10</f>
        <v>1</v>
      </c>
      <c r="U625">
        <f t="shared" si="72"/>
        <v>2187220</v>
      </c>
      <c r="V625">
        <f t="shared" si="73"/>
        <v>56485.2</v>
      </c>
      <c r="W625">
        <f t="shared" si="74"/>
        <v>34393</v>
      </c>
      <c r="X625">
        <f>IFERROR(INDEX(参数!$B$5:$B$7,MATCH($N625,参数!$A$5:$A$7,0)),"")</f>
        <v>1.5</v>
      </c>
      <c r="Y625">
        <f>IFERROR(INDEX(参数!$C$5:$C$7,MATCH($N625,参数!$A$5:$A$7,0)),"")</f>
        <v>1</v>
      </c>
      <c r="Z625">
        <f>IFERROR(INDEX(参数!$D$5:$D$7,MATCH($N625,参数!$A$5:$A$7,0)),"")</f>
        <v>1.5</v>
      </c>
      <c r="AA625">
        <f>IFERROR(INDEX(楼层配置!$E$5:$E$204,MATCH($K625,楼层配置!$B$5:$B$204,0)),1)</f>
        <v>1.13108015591293</v>
      </c>
      <c r="AB625">
        <f>IFERROR(INDEX(楼层配置!$F$5:$F$204,MATCH($K625,楼层配置!$B$5:$B$204,0)),1)</f>
        <v>0.726679309784578</v>
      </c>
      <c r="AC625">
        <f>IFERROR(INDEX(楼层配置!$G$5:$G$204,MATCH($K625,楼层配置!$B$5:$B$204,0)),1)</f>
        <v>1</v>
      </c>
      <c r="AD625" t="str">
        <f t="shared" si="75"/>
        <v/>
      </c>
      <c r="AE625" t="str">
        <f t="shared" si="76"/>
        <v/>
      </c>
      <c r="AF625" t="str">
        <f t="shared" si="77"/>
        <v/>
      </c>
      <c r="AG625" t="str">
        <f t="shared" si="78"/>
        <v>有效</v>
      </c>
      <c r="AH625">
        <f t="shared" si="79"/>
        <v>11687732.0991667</v>
      </c>
    </row>
    <row r="626" spans="1:34">
      <c r="A626">
        <v>622</v>
      </c>
      <c r="B626">
        <v>1005</v>
      </c>
      <c r="C626">
        <v>60</v>
      </c>
      <c r="D626">
        <f>IFERROR(ROUND($U626*$X626*$AA626*参数!$B$13,0),"")</f>
        <v>2473921</v>
      </c>
      <c r="E626">
        <f>IFERROR(ROUND($V626*$Y626*$AB626*参数!$C$13,0),"")</f>
        <v>49256</v>
      </c>
      <c r="F626">
        <f>IFERROR(ROUND($W626*$Z626*$AC626*参数!$D$13,0),"")</f>
        <v>34393</v>
      </c>
      <c r="J626">
        <v>125</v>
      </c>
      <c r="K626">
        <v>125</v>
      </c>
      <c r="L626">
        <f>IFERROR(INDEX(楼层配置!$D$5:$D$204,MATCH($K626,楼层配置!$B$5:$B$204,0)),"")</f>
        <v>314</v>
      </c>
      <c r="M626" t="str">
        <f>IFERROR(INDEX(_角色基线!$B$2:$B$100,MATCH($B626,_角色基线!$A$2:$A$100,0)),"")</f>
        <v>陈单单</v>
      </c>
      <c r="N626" t="str">
        <f>IFERROR(INDEX(_角色基线!$C$2:$C$100,MATCH($B626,_角色基线!$A$2:$A$100,0)),"")</f>
        <v>DPS</v>
      </c>
      <c r="O626">
        <f>IFERROR(INDEX(_怪物基线!$B$2:$B$501,MATCH(INT($L626),_怪物基线!$A$2:$A$501,0)),"")</f>
        <v>546805</v>
      </c>
      <c r="P626">
        <f>IFERROR(INDEX(_怪物基线!$C$2:$C$501,MATCH(INT($L626),_怪物基线!$A$2:$A$501,0)),"")</f>
        <v>47071</v>
      </c>
      <c r="Q626">
        <f>IFERROR(INDEX(_怪物基线!$D$2:$D$501,MATCH(INT($L626),_怪物基线!$A$2:$A$501,0)),"")</f>
        <v>34393</v>
      </c>
      <c r="R626">
        <f>参数!$B$10</f>
        <v>4</v>
      </c>
      <c r="S626">
        <f>参数!$C$10</f>
        <v>1.2</v>
      </c>
      <c r="T626">
        <f>参数!$D$10</f>
        <v>1</v>
      </c>
      <c r="U626">
        <f t="shared" si="72"/>
        <v>2187220</v>
      </c>
      <c r="V626">
        <f t="shared" si="73"/>
        <v>56485.2</v>
      </c>
      <c r="W626">
        <f t="shared" si="74"/>
        <v>34393</v>
      </c>
      <c r="X626">
        <f>IFERROR(INDEX(参数!$B$5:$B$7,MATCH($N626,参数!$A$5:$A$7,0)),"")</f>
        <v>1</v>
      </c>
      <c r="Y626">
        <f>IFERROR(INDEX(参数!$C$5:$C$7,MATCH($N626,参数!$A$5:$A$7,0)),"")</f>
        <v>1.2</v>
      </c>
      <c r="Z626">
        <f>IFERROR(INDEX(参数!$D$5:$D$7,MATCH($N626,参数!$A$5:$A$7,0)),"")</f>
        <v>1</v>
      </c>
      <c r="AA626">
        <f>IFERROR(INDEX(楼层配置!$E$5:$E$204,MATCH($K626,楼层配置!$B$5:$B$204,0)),1)</f>
        <v>1.13108015591293</v>
      </c>
      <c r="AB626">
        <f>IFERROR(INDEX(楼层配置!$F$5:$F$204,MATCH($K626,楼层配置!$B$5:$B$204,0)),1)</f>
        <v>0.726679309784578</v>
      </c>
      <c r="AC626">
        <f>IFERROR(INDEX(楼层配置!$G$5:$G$204,MATCH($K626,楼层配置!$B$5:$B$204,0)),1)</f>
        <v>1</v>
      </c>
      <c r="AD626" t="str">
        <f t="shared" si="75"/>
        <v/>
      </c>
      <c r="AE626" t="str">
        <f t="shared" si="76"/>
        <v/>
      </c>
      <c r="AF626" t="str">
        <f t="shared" si="77"/>
        <v/>
      </c>
      <c r="AG626" t="str">
        <f t="shared" si="78"/>
        <v>有效</v>
      </c>
      <c r="AH626">
        <f t="shared" si="79"/>
        <v>6019152.87304167</v>
      </c>
    </row>
    <row r="627" spans="1:34">
      <c r="A627">
        <v>623</v>
      </c>
      <c r="B627">
        <v>1005</v>
      </c>
      <c r="C627">
        <v>60</v>
      </c>
      <c r="D627">
        <f>IFERROR(ROUND($U627*$X627*$AA627*参数!$B$13,0),"")</f>
        <v>2473921</v>
      </c>
      <c r="E627">
        <f>IFERROR(ROUND($V627*$Y627*$AB627*参数!$C$13,0),"")</f>
        <v>49256</v>
      </c>
      <c r="F627">
        <f>IFERROR(ROUND($W627*$Z627*$AC627*参数!$D$13,0),"")</f>
        <v>34393</v>
      </c>
      <c r="J627">
        <v>125</v>
      </c>
      <c r="K627">
        <v>125</v>
      </c>
      <c r="L627">
        <f>IFERROR(INDEX(楼层配置!$D$5:$D$204,MATCH($K627,楼层配置!$B$5:$B$204,0)),"")</f>
        <v>314</v>
      </c>
      <c r="M627" t="str">
        <f>IFERROR(INDEX(_角色基线!$B$2:$B$100,MATCH($B627,_角色基线!$A$2:$A$100,0)),"")</f>
        <v>陈单单</v>
      </c>
      <c r="N627" t="str">
        <f>IFERROR(INDEX(_角色基线!$C$2:$C$100,MATCH($B627,_角色基线!$A$2:$A$100,0)),"")</f>
        <v>DPS</v>
      </c>
      <c r="O627">
        <f>IFERROR(INDEX(_怪物基线!$B$2:$B$501,MATCH(INT($L627),_怪物基线!$A$2:$A$501,0)),"")</f>
        <v>546805</v>
      </c>
      <c r="P627">
        <f>IFERROR(INDEX(_怪物基线!$C$2:$C$501,MATCH(INT($L627),_怪物基线!$A$2:$A$501,0)),"")</f>
        <v>47071</v>
      </c>
      <c r="Q627">
        <f>IFERROR(INDEX(_怪物基线!$D$2:$D$501,MATCH(INT($L627),_怪物基线!$A$2:$A$501,0)),"")</f>
        <v>34393</v>
      </c>
      <c r="R627">
        <f>参数!$B$10</f>
        <v>4</v>
      </c>
      <c r="S627">
        <f>参数!$C$10</f>
        <v>1.2</v>
      </c>
      <c r="T627">
        <f>参数!$D$10</f>
        <v>1</v>
      </c>
      <c r="U627">
        <f t="shared" si="72"/>
        <v>2187220</v>
      </c>
      <c r="V627">
        <f t="shared" si="73"/>
        <v>56485.2</v>
      </c>
      <c r="W627">
        <f t="shared" si="74"/>
        <v>34393</v>
      </c>
      <c r="X627">
        <f>IFERROR(INDEX(参数!$B$5:$B$7,MATCH($N627,参数!$A$5:$A$7,0)),"")</f>
        <v>1</v>
      </c>
      <c r="Y627">
        <f>IFERROR(INDEX(参数!$C$5:$C$7,MATCH($N627,参数!$A$5:$A$7,0)),"")</f>
        <v>1.2</v>
      </c>
      <c r="Z627">
        <f>IFERROR(INDEX(参数!$D$5:$D$7,MATCH($N627,参数!$A$5:$A$7,0)),"")</f>
        <v>1</v>
      </c>
      <c r="AA627">
        <f>IFERROR(INDEX(楼层配置!$E$5:$E$204,MATCH($K627,楼层配置!$B$5:$B$204,0)),1)</f>
        <v>1.13108015591293</v>
      </c>
      <c r="AB627">
        <f>IFERROR(INDEX(楼层配置!$F$5:$F$204,MATCH($K627,楼层配置!$B$5:$B$204,0)),1)</f>
        <v>0.726679309784578</v>
      </c>
      <c r="AC627">
        <f>IFERROR(INDEX(楼层配置!$G$5:$G$204,MATCH($K627,楼层配置!$B$5:$B$204,0)),1)</f>
        <v>1</v>
      </c>
      <c r="AD627" t="str">
        <f t="shared" si="75"/>
        <v/>
      </c>
      <c r="AE627" t="str">
        <f t="shared" si="76"/>
        <v/>
      </c>
      <c r="AF627" t="str">
        <f t="shared" si="77"/>
        <v/>
      </c>
      <c r="AG627" t="str">
        <f t="shared" si="78"/>
        <v>有效</v>
      </c>
      <c r="AH627">
        <f t="shared" si="79"/>
        <v>6019152.87304167</v>
      </c>
    </row>
    <row r="628" spans="1:34">
      <c r="A628">
        <v>624</v>
      </c>
      <c r="B628">
        <v>1005</v>
      </c>
      <c r="C628">
        <v>60</v>
      </c>
      <c r="D628">
        <f>IFERROR(ROUND($U628*$X628*$AA628*参数!$B$13,0),"")</f>
        <v>2473921</v>
      </c>
      <c r="E628">
        <f>IFERROR(ROUND($V628*$Y628*$AB628*参数!$C$13,0),"")</f>
        <v>49256</v>
      </c>
      <c r="F628">
        <f>IFERROR(ROUND($W628*$Z628*$AC628*参数!$D$13,0),"")</f>
        <v>34393</v>
      </c>
      <c r="J628">
        <v>125</v>
      </c>
      <c r="K628">
        <v>125</v>
      </c>
      <c r="L628">
        <f>IFERROR(INDEX(楼层配置!$D$5:$D$204,MATCH($K628,楼层配置!$B$5:$B$204,0)),"")</f>
        <v>314</v>
      </c>
      <c r="M628" t="str">
        <f>IFERROR(INDEX(_角色基线!$B$2:$B$100,MATCH($B628,_角色基线!$A$2:$A$100,0)),"")</f>
        <v>陈单单</v>
      </c>
      <c r="N628" t="str">
        <f>IFERROR(INDEX(_角色基线!$C$2:$C$100,MATCH($B628,_角色基线!$A$2:$A$100,0)),"")</f>
        <v>DPS</v>
      </c>
      <c r="O628">
        <f>IFERROR(INDEX(_怪物基线!$B$2:$B$501,MATCH(INT($L628),_怪物基线!$A$2:$A$501,0)),"")</f>
        <v>546805</v>
      </c>
      <c r="P628">
        <f>IFERROR(INDEX(_怪物基线!$C$2:$C$501,MATCH(INT($L628),_怪物基线!$A$2:$A$501,0)),"")</f>
        <v>47071</v>
      </c>
      <c r="Q628">
        <f>IFERROR(INDEX(_怪物基线!$D$2:$D$501,MATCH(INT($L628),_怪物基线!$A$2:$A$501,0)),"")</f>
        <v>34393</v>
      </c>
      <c r="R628">
        <f>参数!$B$10</f>
        <v>4</v>
      </c>
      <c r="S628">
        <f>参数!$C$10</f>
        <v>1.2</v>
      </c>
      <c r="T628">
        <f>参数!$D$10</f>
        <v>1</v>
      </c>
      <c r="U628">
        <f t="shared" si="72"/>
        <v>2187220</v>
      </c>
      <c r="V628">
        <f t="shared" si="73"/>
        <v>56485.2</v>
      </c>
      <c r="W628">
        <f t="shared" si="74"/>
        <v>34393</v>
      </c>
      <c r="X628">
        <f>IFERROR(INDEX(参数!$B$5:$B$7,MATCH($N628,参数!$A$5:$A$7,0)),"")</f>
        <v>1</v>
      </c>
      <c r="Y628">
        <f>IFERROR(INDEX(参数!$C$5:$C$7,MATCH($N628,参数!$A$5:$A$7,0)),"")</f>
        <v>1.2</v>
      </c>
      <c r="Z628">
        <f>IFERROR(INDEX(参数!$D$5:$D$7,MATCH($N628,参数!$A$5:$A$7,0)),"")</f>
        <v>1</v>
      </c>
      <c r="AA628">
        <f>IFERROR(INDEX(楼层配置!$E$5:$E$204,MATCH($K628,楼层配置!$B$5:$B$204,0)),1)</f>
        <v>1.13108015591293</v>
      </c>
      <c r="AB628">
        <f>IFERROR(INDEX(楼层配置!$F$5:$F$204,MATCH($K628,楼层配置!$B$5:$B$204,0)),1)</f>
        <v>0.726679309784578</v>
      </c>
      <c r="AC628">
        <f>IFERROR(INDEX(楼层配置!$G$5:$G$204,MATCH($K628,楼层配置!$B$5:$B$204,0)),1)</f>
        <v>1</v>
      </c>
      <c r="AD628" t="str">
        <f t="shared" si="75"/>
        <v/>
      </c>
      <c r="AE628" t="str">
        <f t="shared" si="76"/>
        <v/>
      </c>
      <c r="AF628" t="str">
        <f t="shared" si="77"/>
        <v/>
      </c>
      <c r="AG628" t="str">
        <f t="shared" si="78"/>
        <v>有效</v>
      </c>
      <c r="AH628">
        <f t="shared" si="79"/>
        <v>6019152.87304167</v>
      </c>
    </row>
    <row r="629" spans="1:34">
      <c r="A629">
        <v>625</v>
      </c>
      <c r="B629">
        <v>1029</v>
      </c>
      <c r="C629">
        <v>60</v>
      </c>
      <c r="D629">
        <f>IFERROR(ROUND($U629*$X629*$AA629*参数!$B$13,0),"")</f>
        <v>3092401</v>
      </c>
      <c r="E629">
        <f>IFERROR(ROUND($V629*$Y629*$AB629*参数!$C$13,0),"")</f>
        <v>41047</v>
      </c>
      <c r="F629">
        <f>IFERROR(ROUND($W629*$Z629*$AC629*参数!$D$13,0),"")</f>
        <v>42991</v>
      </c>
      <c r="J629">
        <v>125</v>
      </c>
      <c r="K629">
        <v>125</v>
      </c>
      <c r="L629">
        <f>IFERROR(INDEX(楼层配置!$D$5:$D$204,MATCH($K629,楼层配置!$B$5:$B$204,0)),"")</f>
        <v>314</v>
      </c>
      <c r="M629" t="str">
        <f>IFERROR(INDEX(_角色基线!$B$2:$B$100,MATCH($B629,_角色基线!$A$2:$A$100,0)),"")</f>
        <v>凯兰</v>
      </c>
      <c r="N629" t="str">
        <f>IFERROR(INDEX(_角色基线!$C$2:$C$100,MATCH($B629,_角色基线!$A$2:$A$100,0)),"")</f>
        <v>Support</v>
      </c>
      <c r="O629">
        <f>IFERROR(INDEX(_怪物基线!$B$2:$B$501,MATCH(INT($L629),_怪物基线!$A$2:$A$501,0)),"")</f>
        <v>546805</v>
      </c>
      <c r="P629">
        <f>IFERROR(INDEX(_怪物基线!$C$2:$C$501,MATCH(INT($L629),_怪物基线!$A$2:$A$501,0)),"")</f>
        <v>47071</v>
      </c>
      <c r="Q629">
        <f>IFERROR(INDEX(_怪物基线!$D$2:$D$501,MATCH(INT($L629),_怪物基线!$A$2:$A$501,0)),"")</f>
        <v>34393</v>
      </c>
      <c r="R629">
        <f>参数!$B$10</f>
        <v>4</v>
      </c>
      <c r="S629">
        <f>参数!$C$10</f>
        <v>1.2</v>
      </c>
      <c r="T629">
        <f>参数!$D$10</f>
        <v>1</v>
      </c>
      <c r="U629">
        <f t="shared" si="72"/>
        <v>2187220</v>
      </c>
      <c r="V629">
        <f t="shared" si="73"/>
        <v>56485.2</v>
      </c>
      <c r="W629">
        <f t="shared" si="74"/>
        <v>34393</v>
      </c>
      <c r="X629">
        <f>IFERROR(INDEX(参数!$B$5:$B$7,MATCH($N629,参数!$A$5:$A$7,0)),"")</f>
        <v>1.25</v>
      </c>
      <c r="Y629">
        <f>IFERROR(INDEX(参数!$C$5:$C$7,MATCH($N629,参数!$A$5:$A$7,0)),"")</f>
        <v>1</v>
      </c>
      <c r="Z629">
        <f>IFERROR(INDEX(参数!$D$5:$D$7,MATCH($N629,参数!$A$5:$A$7,0)),"")</f>
        <v>1.25</v>
      </c>
      <c r="AA629">
        <f>IFERROR(INDEX(楼层配置!$E$5:$E$204,MATCH($K629,楼层配置!$B$5:$B$204,0)),1)</f>
        <v>1.13108015591293</v>
      </c>
      <c r="AB629">
        <f>IFERROR(INDEX(楼层配置!$F$5:$F$204,MATCH($K629,楼层配置!$B$5:$B$204,0)),1)</f>
        <v>0.726679309784578</v>
      </c>
      <c r="AC629">
        <f>IFERROR(INDEX(楼层配置!$G$5:$G$204,MATCH($K629,楼层配置!$B$5:$B$204,0)),1)</f>
        <v>1</v>
      </c>
      <c r="AD629" t="str">
        <f t="shared" si="75"/>
        <v/>
      </c>
      <c r="AE629" t="str">
        <f t="shared" si="76"/>
        <v/>
      </c>
      <c r="AF629" t="str">
        <f t="shared" si="77"/>
        <v/>
      </c>
      <c r="AG629" t="str">
        <f t="shared" si="78"/>
        <v>有效</v>
      </c>
      <c r="AH629">
        <f t="shared" si="79"/>
        <v>8631793.14129167</v>
      </c>
    </row>
    <row r="630" spans="1:34">
      <c r="A630">
        <v>626</v>
      </c>
      <c r="B630">
        <v>1003</v>
      </c>
      <c r="C630">
        <v>60</v>
      </c>
      <c r="D630">
        <f>IFERROR(ROUND($U630*$X630*$AA630*参数!$B$13,0),"")</f>
        <v>3761007</v>
      </c>
      <c r="E630">
        <f>IFERROR(ROUND($V630*$Y630*$AB630*参数!$C$13,0),"")</f>
        <v>41799</v>
      </c>
      <c r="F630">
        <f>IFERROR(ROUND($W630*$Z630*$AC630*参数!$D$13,0),"")</f>
        <v>52026</v>
      </c>
      <c r="J630">
        <v>126</v>
      </c>
      <c r="K630">
        <v>126</v>
      </c>
      <c r="L630">
        <f>IFERROR(INDEX(楼层配置!$D$5:$D$204,MATCH($K630,楼层配置!$B$5:$B$204,0)),"")</f>
        <v>316</v>
      </c>
      <c r="M630" t="str">
        <f>IFERROR(INDEX(_角色基线!$B$2:$B$100,MATCH($B630,_角色基线!$A$2:$A$100,0)),"")</f>
        <v>塔拉夏</v>
      </c>
      <c r="N630" t="str">
        <f>IFERROR(INDEX(_角色基线!$C$2:$C$100,MATCH($B630,_角色基线!$A$2:$A$100,0)),"")</f>
        <v>Tank</v>
      </c>
      <c r="O630">
        <f>IFERROR(INDEX(_怪物基线!$B$2:$B$501,MATCH(INT($L630),_怪物基线!$A$2:$A$501,0)),"")</f>
        <v>556780</v>
      </c>
      <c r="P630">
        <f>IFERROR(INDEX(_怪物基线!$C$2:$C$501,MATCH(INT($L630),_怪物基线!$A$2:$A$501,0)),"")</f>
        <v>47726</v>
      </c>
      <c r="Q630">
        <f>IFERROR(INDEX(_怪物基线!$D$2:$D$501,MATCH(INT($L630),_怪物基线!$A$2:$A$501,0)),"")</f>
        <v>34684</v>
      </c>
      <c r="R630">
        <f>参数!$B$10</f>
        <v>4</v>
      </c>
      <c r="S630">
        <f>参数!$C$10</f>
        <v>1.2</v>
      </c>
      <c r="T630">
        <f>参数!$D$10</f>
        <v>1</v>
      </c>
      <c r="U630">
        <f t="shared" si="72"/>
        <v>2227120</v>
      </c>
      <c r="V630">
        <f t="shared" si="73"/>
        <v>57271.2</v>
      </c>
      <c r="W630">
        <f t="shared" si="74"/>
        <v>34684</v>
      </c>
      <c r="X630">
        <f>IFERROR(INDEX(参数!$B$5:$B$7,MATCH($N630,参数!$A$5:$A$7,0)),"")</f>
        <v>1.5</v>
      </c>
      <c r="Y630">
        <f>IFERROR(INDEX(参数!$C$5:$C$7,MATCH($N630,参数!$A$5:$A$7,0)),"")</f>
        <v>1</v>
      </c>
      <c r="Z630">
        <f>IFERROR(INDEX(参数!$D$5:$D$7,MATCH($N630,参数!$A$5:$A$7,0)),"")</f>
        <v>1.5</v>
      </c>
      <c r="AA630">
        <f>IFERROR(INDEX(楼层配置!$E$5:$E$204,MATCH($K630,楼层配置!$B$5:$B$204,0)),1)</f>
        <v>1.12582067235919</v>
      </c>
      <c r="AB630">
        <f>IFERROR(INDEX(楼层配置!$F$5:$F$204,MATCH($K630,楼层配置!$B$5:$B$204,0)),1)</f>
        <v>0.729834891319568</v>
      </c>
      <c r="AC630">
        <f>IFERROR(INDEX(楼层配置!$G$5:$G$204,MATCH($K630,楼层配置!$B$5:$B$204,0)),1)</f>
        <v>1</v>
      </c>
      <c r="AD630" t="str">
        <f t="shared" si="75"/>
        <v/>
      </c>
      <c r="AE630" t="str">
        <f t="shared" si="76"/>
        <v/>
      </c>
      <c r="AF630" t="str">
        <f t="shared" si="77"/>
        <v/>
      </c>
      <c r="AG630" t="str">
        <f t="shared" si="78"/>
        <v>有效</v>
      </c>
      <c r="AH630">
        <f t="shared" si="79"/>
        <v>11913929.92425</v>
      </c>
    </row>
    <row r="631" spans="1:34">
      <c r="A631">
        <v>627</v>
      </c>
      <c r="B631">
        <v>1005</v>
      </c>
      <c r="C631">
        <v>60</v>
      </c>
      <c r="D631">
        <f>IFERROR(ROUND($U631*$X631*$AA631*参数!$B$13,0),"")</f>
        <v>2507338</v>
      </c>
      <c r="E631">
        <f>IFERROR(ROUND($V631*$Y631*$AB631*参数!$C$13,0),"")</f>
        <v>50158</v>
      </c>
      <c r="F631">
        <f>IFERROR(ROUND($W631*$Z631*$AC631*参数!$D$13,0),"")</f>
        <v>34684</v>
      </c>
      <c r="J631">
        <v>126</v>
      </c>
      <c r="K631">
        <v>126</v>
      </c>
      <c r="L631">
        <f>IFERROR(INDEX(楼层配置!$D$5:$D$204,MATCH($K631,楼层配置!$B$5:$B$204,0)),"")</f>
        <v>316</v>
      </c>
      <c r="M631" t="str">
        <f>IFERROR(INDEX(_角色基线!$B$2:$B$100,MATCH($B631,_角色基线!$A$2:$A$100,0)),"")</f>
        <v>陈单单</v>
      </c>
      <c r="N631" t="str">
        <f>IFERROR(INDEX(_角色基线!$C$2:$C$100,MATCH($B631,_角色基线!$A$2:$A$100,0)),"")</f>
        <v>DPS</v>
      </c>
      <c r="O631">
        <f>IFERROR(INDEX(_怪物基线!$B$2:$B$501,MATCH(INT($L631),_怪物基线!$A$2:$A$501,0)),"")</f>
        <v>556780</v>
      </c>
      <c r="P631">
        <f>IFERROR(INDEX(_怪物基线!$C$2:$C$501,MATCH(INT($L631),_怪物基线!$A$2:$A$501,0)),"")</f>
        <v>47726</v>
      </c>
      <c r="Q631">
        <f>IFERROR(INDEX(_怪物基线!$D$2:$D$501,MATCH(INT($L631),_怪物基线!$A$2:$A$501,0)),"")</f>
        <v>34684</v>
      </c>
      <c r="R631">
        <f>参数!$B$10</f>
        <v>4</v>
      </c>
      <c r="S631">
        <f>参数!$C$10</f>
        <v>1.2</v>
      </c>
      <c r="T631">
        <f>参数!$D$10</f>
        <v>1</v>
      </c>
      <c r="U631">
        <f t="shared" si="72"/>
        <v>2227120</v>
      </c>
      <c r="V631">
        <f t="shared" si="73"/>
        <v>57271.2</v>
      </c>
      <c r="W631">
        <f t="shared" si="74"/>
        <v>34684</v>
      </c>
      <c r="X631">
        <f>IFERROR(INDEX(参数!$B$5:$B$7,MATCH($N631,参数!$A$5:$A$7,0)),"")</f>
        <v>1</v>
      </c>
      <c r="Y631">
        <f>IFERROR(INDEX(参数!$C$5:$C$7,MATCH($N631,参数!$A$5:$A$7,0)),"")</f>
        <v>1.2</v>
      </c>
      <c r="Z631">
        <f>IFERROR(INDEX(参数!$D$5:$D$7,MATCH($N631,参数!$A$5:$A$7,0)),"")</f>
        <v>1</v>
      </c>
      <c r="AA631">
        <f>IFERROR(INDEX(楼层配置!$E$5:$E$204,MATCH($K631,楼层配置!$B$5:$B$204,0)),1)</f>
        <v>1.12582067235919</v>
      </c>
      <c r="AB631">
        <f>IFERROR(INDEX(楼层配置!$F$5:$F$204,MATCH($K631,楼层配置!$B$5:$B$204,0)),1)</f>
        <v>0.729834891319568</v>
      </c>
      <c r="AC631">
        <f>IFERROR(INDEX(楼层配置!$G$5:$G$204,MATCH($K631,楼层配置!$B$5:$B$204,0)),1)</f>
        <v>1</v>
      </c>
      <c r="AD631" t="str">
        <f t="shared" si="75"/>
        <v/>
      </c>
      <c r="AE631" t="str">
        <f t="shared" si="76"/>
        <v/>
      </c>
      <c r="AF631" t="str">
        <f t="shared" si="77"/>
        <v/>
      </c>
      <c r="AG631" t="str">
        <f t="shared" si="78"/>
        <v>有效</v>
      </c>
      <c r="AH631">
        <f t="shared" si="79"/>
        <v>6130859.29966667</v>
      </c>
    </row>
    <row r="632" spans="1:34">
      <c r="A632">
        <v>628</v>
      </c>
      <c r="B632">
        <v>1005</v>
      </c>
      <c r="C632">
        <v>60</v>
      </c>
      <c r="D632">
        <f>IFERROR(ROUND($U632*$X632*$AA632*参数!$B$13,0),"")</f>
        <v>2507338</v>
      </c>
      <c r="E632">
        <f>IFERROR(ROUND($V632*$Y632*$AB632*参数!$C$13,0),"")</f>
        <v>50158</v>
      </c>
      <c r="F632">
        <f>IFERROR(ROUND($W632*$Z632*$AC632*参数!$D$13,0),"")</f>
        <v>34684</v>
      </c>
      <c r="J632">
        <v>126</v>
      </c>
      <c r="K632">
        <v>126</v>
      </c>
      <c r="L632">
        <f>IFERROR(INDEX(楼层配置!$D$5:$D$204,MATCH($K632,楼层配置!$B$5:$B$204,0)),"")</f>
        <v>316</v>
      </c>
      <c r="M632" t="str">
        <f>IFERROR(INDEX(_角色基线!$B$2:$B$100,MATCH($B632,_角色基线!$A$2:$A$100,0)),"")</f>
        <v>陈单单</v>
      </c>
      <c r="N632" t="str">
        <f>IFERROR(INDEX(_角色基线!$C$2:$C$100,MATCH($B632,_角色基线!$A$2:$A$100,0)),"")</f>
        <v>DPS</v>
      </c>
      <c r="O632">
        <f>IFERROR(INDEX(_怪物基线!$B$2:$B$501,MATCH(INT($L632),_怪物基线!$A$2:$A$501,0)),"")</f>
        <v>556780</v>
      </c>
      <c r="P632">
        <f>IFERROR(INDEX(_怪物基线!$C$2:$C$501,MATCH(INT($L632),_怪物基线!$A$2:$A$501,0)),"")</f>
        <v>47726</v>
      </c>
      <c r="Q632">
        <f>IFERROR(INDEX(_怪物基线!$D$2:$D$501,MATCH(INT($L632),_怪物基线!$A$2:$A$501,0)),"")</f>
        <v>34684</v>
      </c>
      <c r="R632">
        <f>参数!$B$10</f>
        <v>4</v>
      </c>
      <c r="S632">
        <f>参数!$C$10</f>
        <v>1.2</v>
      </c>
      <c r="T632">
        <f>参数!$D$10</f>
        <v>1</v>
      </c>
      <c r="U632">
        <f t="shared" si="72"/>
        <v>2227120</v>
      </c>
      <c r="V632">
        <f t="shared" si="73"/>
        <v>57271.2</v>
      </c>
      <c r="W632">
        <f t="shared" si="74"/>
        <v>34684</v>
      </c>
      <c r="X632">
        <f>IFERROR(INDEX(参数!$B$5:$B$7,MATCH($N632,参数!$A$5:$A$7,0)),"")</f>
        <v>1</v>
      </c>
      <c r="Y632">
        <f>IFERROR(INDEX(参数!$C$5:$C$7,MATCH($N632,参数!$A$5:$A$7,0)),"")</f>
        <v>1.2</v>
      </c>
      <c r="Z632">
        <f>IFERROR(INDEX(参数!$D$5:$D$7,MATCH($N632,参数!$A$5:$A$7,0)),"")</f>
        <v>1</v>
      </c>
      <c r="AA632">
        <f>IFERROR(INDEX(楼层配置!$E$5:$E$204,MATCH($K632,楼层配置!$B$5:$B$204,0)),1)</f>
        <v>1.12582067235919</v>
      </c>
      <c r="AB632">
        <f>IFERROR(INDEX(楼层配置!$F$5:$F$204,MATCH($K632,楼层配置!$B$5:$B$204,0)),1)</f>
        <v>0.729834891319568</v>
      </c>
      <c r="AC632">
        <f>IFERROR(INDEX(楼层配置!$G$5:$G$204,MATCH($K632,楼层配置!$B$5:$B$204,0)),1)</f>
        <v>1</v>
      </c>
      <c r="AD632" t="str">
        <f t="shared" si="75"/>
        <v/>
      </c>
      <c r="AE632" t="str">
        <f t="shared" si="76"/>
        <v/>
      </c>
      <c r="AF632" t="str">
        <f t="shared" si="77"/>
        <v/>
      </c>
      <c r="AG632" t="str">
        <f t="shared" si="78"/>
        <v>有效</v>
      </c>
      <c r="AH632">
        <f t="shared" si="79"/>
        <v>6130859.29966667</v>
      </c>
    </row>
    <row r="633" spans="1:34">
      <c r="A633">
        <v>629</v>
      </c>
      <c r="B633">
        <v>1005</v>
      </c>
      <c r="C633">
        <v>60</v>
      </c>
      <c r="D633">
        <f>IFERROR(ROUND($U633*$X633*$AA633*参数!$B$13,0),"")</f>
        <v>2507338</v>
      </c>
      <c r="E633">
        <f>IFERROR(ROUND($V633*$Y633*$AB633*参数!$C$13,0),"")</f>
        <v>50158</v>
      </c>
      <c r="F633">
        <f>IFERROR(ROUND($W633*$Z633*$AC633*参数!$D$13,0),"")</f>
        <v>34684</v>
      </c>
      <c r="J633">
        <v>126</v>
      </c>
      <c r="K633">
        <v>126</v>
      </c>
      <c r="L633">
        <f>IFERROR(INDEX(楼层配置!$D$5:$D$204,MATCH($K633,楼层配置!$B$5:$B$204,0)),"")</f>
        <v>316</v>
      </c>
      <c r="M633" t="str">
        <f>IFERROR(INDEX(_角色基线!$B$2:$B$100,MATCH($B633,_角色基线!$A$2:$A$100,0)),"")</f>
        <v>陈单单</v>
      </c>
      <c r="N633" t="str">
        <f>IFERROR(INDEX(_角色基线!$C$2:$C$100,MATCH($B633,_角色基线!$A$2:$A$100,0)),"")</f>
        <v>DPS</v>
      </c>
      <c r="O633">
        <f>IFERROR(INDEX(_怪物基线!$B$2:$B$501,MATCH(INT($L633),_怪物基线!$A$2:$A$501,0)),"")</f>
        <v>556780</v>
      </c>
      <c r="P633">
        <f>IFERROR(INDEX(_怪物基线!$C$2:$C$501,MATCH(INT($L633),_怪物基线!$A$2:$A$501,0)),"")</f>
        <v>47726</v>
      </c>
      <c r="Q633">
        <f>IFERROR(INDEX(_怪物基线!$D$2:$D$501,MATCH(INT($L633),_怪物基线!$A$2:$A$501,0)),"")</f>
        <v>34684</v>
      </c>
      <c r="R633">
        <f>参数!$B$10</f>
        <v>4</v>
      </c>
      <c r="S633">
        <f>参数!$C$10</f>
        <v>1.2</v>
      </c>
      <c r="T633">
        <f>参数!$D$10</f>
        <v>1</v>
      </c>
      <c r="U633">
        <f t="shared" si="72"/>
        <v>2227120</v>
      </c>
      <c r="V633">
        <f t="shared" si="73"/>
        <v>57271.2</v>
      </c>
      <c r="W633">
        <f t="shared" si="74"/>
        <v>34684</v>
      </c>
      <c r="X633">
        <f>IFERROR(INDEX(参数!$B$5:$B$7,MATCH($N633,参数!$A$5:$A$7,0)),"")</f>
        <v>1</v>
      </c>
      <c r="Y633">
        <f>IFERROR(INDEX(参数!$C$5:$C$7,MATCH($N633,参数!$A$5:$A$7,0)),"")</f>
        <v>1.2</v>
      </c>
      <c r="Z633">
        <f>IFERROR(INDEX(参数!$D$5:$D$7,MATCH($N633,参数!$A$5:$A$7,0)),"")</f>
        <v>1</v>
      </c>
      <c r="AA633">
        <f>IFERROR(INDEX(楼层配置!$E$5:$E$204,MATCH($K633,楼层配置!$B$5:$B$204,0)),1)</f>
        <v>1.12582067235919</v>
      </c>
      <c r="AB633">
        <f>IFERROR(INDEX(楼层配置!$F$5:$F$204,MATCH($K633,楼层配置!$B$5:$B$204,0)),1)</f>
        <v>0.729834891319568</v>
      </c>
      <c r="AC633">
        <f>IFERROR(INDEX(楼层配置!$G$5:$G$204,MATCH($K633,楼层配置!$B$5:$B$204,0)),1)</f>
        <v>1</v>
      </c>
      <c r="AD633" t="str">
        <f t="shared" si="75"/>
        <v/>
      </c>
      <c r="AE633" t="str">
        <f t="shared" si="76"/>
        <v/>
      </c>
      <c r="AF633" t="str">
        <f t="shared" si="77"/>
        <v/>
      </c>
      <c r="AG633" t="str">
        <f t="shared" si="78"/>
        <v>有效</v>
      </c>
      <c r="AH633">
        <f t="shared" si="79"/>
        <v>6130859.29966667</v>
      </c>
    </row>
    <row r="634" spans="1:34">
      <c r="A634">
        <v>630</v>
      </c>
      <c r="B634">
        <v>1029</v>
      </c>
      <c r="C634">
        <v>60</v>
      </c>
      <c r="D634">
        <f>IFERROR(ROUND($U634*$X634*$AA634*参数!$B$13,0),"")</f>
        <v>3134172</v>
      </c>
      <c r="E634">
        <f>IFERROR(ROUND($V634*$Y634*$AB634*参数!$C$13,0),"")</f>
        <v>41799</v>
      </c>
      <c r="F634">
        <f>IFERROR(ROUND($W634*$Z634*$AC634*参数!$D$13,0),"")</f>
        <v>43355</v>
      </c>
      <c r="J634">
        <v>126</v>
      </c>
      <c r="K634">
        <v>126</v>
      </c>
      <c r="L634">
        <f>IFERROR(INDEX(楼层配置!$D$5:$D$204,MATCH($K634,楼层配置!$B$5:$B$204,0)),"")</f>
        <v>316</v>
      </c>
      <c r="M634" t="str">
        <f>IFERROR(INDEX(_角色基线!$B$2:$B$100,MATCH($B634,_角色基线!$A$2:$A$100,0)),"")</f>
        <v>凯兰</v>
      </c>
      <c r="N634" t="str">
        <f>IFERROR(INDEX(_角色基线!$C$2:$C$100,MATCH($B634,_角色基线!$A$2:$A$100,0)),"")</f>
        <v>Support</v>
      </c>
      <c r="O634">
        <f>IFERROR(INDEX(_怪物基线!$B$2:$B$501,MATCH(INT($L634),_怪物基线!$A$2:$A$501,0)),"")</f>
        <v>556780</v>
      </c>
      <c r="P634">
        <f>IFERROR(INDEX(_怪物基线!$C$2:$C$501,MATCH(INT($L634),_怪物基线!$A$2:$A$501,0)),"")</f>
        <v>47726</v>
      </c>
      <c r="Q634">
        <f>IFERROR(INDEX(_怪物基线!$D$2:$D$501,MATCH(INT($L634),_怪物基线!$A$2:$A$501,0)),"")</f>
        <v>34684</v>
      </c>
      <c r="R634">
        <f>参数!$B$10</f>
        <v>4</v>
      </c>
      <c r="S634">
        <f>参数!$C$10</f>
        <v>1.2</v>
      </c>
      <c r="T634">
        <f>参数!$D$10</f>
        <v>1</v>
      </c>
      <c r="U634">
        <f t="shared" si="72"/>
        <v>2227120</v>
      </c>
      <c r="V634">
        <f t="shared" si="73"/>
        <v>57271.2</v>
      </c>
      <c r="W634">
        <f t="shared" si="74"/>
        <v>34684</v>
      </c>
      <c r="X634">
        <f>IFERROR(INDEX(参数!$B$5:$B$7,MATCH($N634,参数!$A$5:$A$7,0)),"")</f>
        <v>1.25</v>
      </c>
      <c r="Y634">
        <f>IFERROR(INDEX(参数!$C$5:$C$7,MATCH($N634,参数!$A$5:$A$7,0)),"")</f>
        <v>1</v>
      </c>
      <c r="Z634">
        <f>IFERROR(INDEX(参数!$D$5:$D$7,MATCH($N634,参数!$A$5:$A$7,0)),"")</f>
        <v>1.25</v>
      </c>
      <c r="AA634">
        <f>IFERROR(INDEX(楼层配置!$E$5:$E$204,MATCH($K634,楼层配置!$B$5:$B$204,0)),1)</f>
        <v>1.12582067235919</v>
      </c>
      <c r="AB634">
        <f>IFERROR(INDEX(楼层配置!$F$5:$F$204,MATCH($K634,楼层配置!$B$5:$B$204,0)),1)</f>
        <v>0.729834891319568</v>
      </c>
      <c r="AC634">
        <f>IFERROR(INDEX(楼层配置!$G$5:$G$204,MATCH($K634,楼层配置!$B$5:$B$204,0)),1)</f>
        <v>1</v>
      </c>
      <c r="AD634" t="str">
        <f t="shared" si="75"/>
        <v/>
      </c>
      <c r="AE634" t="str">
        <f t="shared" si="76"/>
        <v/>
      </c>
      <c r="AF634" t="str">
        <f t="shared" si="77"/>
        <v/>
      </c>
      <c r="AG634" t="str">
        <f t="shared" si="78"/>
        <v>有效</v>
      </c>
      <c r="AH634">
        <f t="shared" si="79"/>
        <v>8795923.1275</v>
      </c>
    </row>
    <row r="635" spans="1:34">
      <c r="A635">
        <v>631</v>
      </c>
      <c r="B635">
        <v>1003</v>
      </c>
      <c r="C635">
        <v>60</v>
      </c>
      <c r="D635">
        <f>IFERROR(ROUND($U635*$X635*$AA635*参数!$B$13,0),"")</f>
        <v>3795051</v>
      </c>
      <c r="E635">
        <f>IFERROR(ROUND($V635*$Y635*$AB635*参数!$C$13,0),"")</f>
        <v>42088</v>
      </c>
      <c r="F635">
        <f>IFERROR(ROUND($W635*$Z635*$AC635*参数!$D$13,0),"")</f>
        <v>52244</v>
      </c>
      <c r="J635">
        <v>127</v>
      </c>
      <c r="K635">
        <v>127</v>
      </c>
      <c r="L635">
        <f>IFERROR(INDEX(楼层配置!$D$5:$D$204,MATCH($K635,楼层配置!$B$5:$B$204,0)),"")</f>
        <v>317</v>
      </c>
      <c r="M635" t="str">
        <f>IFERROR(INDEX(_角色基线!$B$2:$B$100,MATCH($B635,_角色基线!$A$2:$A$100,0)),"")</f>
        <v>塔拉夏</v>
      </c>
      <c r="N635" t="str">
        <f>IFERROR(INDEX(_角色基线!$C$2:$C$100,MATCH($B635,_角色基线!$A$2:$A$100,0)),"")</f>
        <v>Tank</v>
      </c>
      <c r="O635">
        <f>IFERROR(INDEX(_怪物基线!$B$2:$B$501,MATCH(INT($L635),_怪物基线!$A$2:$A$501,0)),"")</f>
        <v>561820</v>
      </c>
      <c r="P635">
        <f>IFERROR(INDEX(_怪物基线!$C$2:$C$501,MATCH(INT($L635),_怪物基线!$A$2:$A$501,0)),"")</f>
        <v>48056</v>
      </c>
      <c r="Q635">
        <f>IFERROR(INDEX(_怪物基线!$D$2:$D$501,MATCH(INT($L635),_怪物基线!$A$2:$A$501,0)),"")</f>
        <v>34829</v>
      </c>
      <c r="R635">
        <f>参数!$B$10</f>
        <v>4</v>
      </c>
      <c r="S635">
        <f>参数!$C$10</f>
        <v>1.2</v>
      </c>
      <c r="T635">
        <f>参数!$D$10</f>
        <v>1</v>
      </c>
      <c r="U635">
        <f t="shared" si="72"/>
        <v>2247280</v>
      </c>
      <c r="V635">
        <f t="shared" si="73"/>
        <v>57667.2</v>
      </c>
      <c r="W635">
        <f t="shared" si="74"/>
        <v>34829</v>
      </c>
      <c r="X635">
        <f>IFERROR(INDEX(参数!$B$5:$B$7,MATCH($N635,参数!$A$5:$A$7,0)),"")</f>
        <v>1.5</v>
      </c>
      <c r="Y635">
        <f>IFERROR(INDEX(参数!$C$5:$C$7,MATCH($N635,参数!$A$5:$A$7,0)),"")</f>
        <v>1</v>
      </c>
      <c r="Z635">
        <f>IFERROR(INDEX(参数!$D$5:$D$7,MATCH($N635,参数!$A$5:$A$7,0)),"")</f>
        <v>1.5</v>
      </c>
      <c r="AA635">
        <f>IFERROR(INDEX(楼层配置!$E$5:$E$204,MATCH($K635,楼层配置!$B$5:$B$204,0)),1)</f>
        <v>1.12582067235919</v>
      </c>
      <c r="AB635">
        <f>IFERROR(INDEX(楼层配置!$F$5:$F$204,MATCH($K635,楼层配置!$B$5:$B$204,0)),1)</f>
        <v>0.729834891319568</v>
      </c>
      <c r="AC635">
        <f>IFERROR(INDEX(楼层配置!$G$5:$G$204,MATCH($K635,楼层配置!$B$5:$B$204,0)),1)</f>
        <v>1</v>
      </c>
      <c r="AD635" t="str">
        <f t="shared" si="75"/>
        <v/>
      </c>
      <c r="AE635" t="str">
        <f t="shared" si="76"/>
        <v/>
      </c>
      <c r="AF635" t="str">
        <f t="shared" si="77"/>
        <v/>
      </c>
      <c r="AG635" t="str">
        <f t="shared" si="78"/>
        <v>有效</v>
      </c>
      <c r="AH635">
        <f t="shared" si="79"/>
        <v>12056244.5185</v>
      </c>
    </row>
    <row r="636" spans="1:34">
      <c r="A636">
        <v>632</v>
      </c>
      <c r="B636">
        <v>1005</v>
      </c>
      <c r="C636">
        <v>60</v>
      </c>
      <c r="D636">
        <f>IFERROR(ROUND($U636*$X636*$AA636*参数!$B$13,0),"")</f>
        <v>2530034</v>
      </c>
      <c r="E636">
        <f>IFERROR(ROUND($V636*$Y636*$AB636*参数!$C$13,0),"")</f>
        <v>50505</v>
      </c>
      <c r="F636">
        <f>IFERROR(ROUND($W636*$Z636*$AC636*参数!$D$13,0),"")</f>
        <v>34829</v>
      </c>
      <c r="J636">
        <v>127</v>
      </c>
      <c r="K636">
        <v>127</v>
      </c>
      <c r="L636">
        <f>IFERROR(INDEX(楼层配置!$D$5:$D$204,MATCH($K636,楼层配置!$B$5:$B$204,0)),"")</f>
        <v>317</v>
      </c>
      <c r="M636" t="str">
        <f>IFERROR(INDEX(_角色基线!$B$2:$B$100,MATCH($B636,_角色基线!$A$2:$A$100,0)),"")</f>
        <v>陈单单</v>
      </c>
      <c r="N636" t="str">
        <f>IFERROR(INDEX(_角色基线!$C$2:$C$100,MATCH($B636,_角色基线!$A$2:$A$100,0)),"")</f>
        <v>DPS</v>
      </c>
      <c r="O636">
        <f>IFERROR(INDEX(_怪物基线!$B$2:$B$501,MATCH(INT($L636),_怪物基线!$A$2:$A$501,0)),"")</f>
        <v>561820</v>
      </c>
      <c r="P636">
        <f>IFERROR(INDEX(_怪物基线!$C$2:$C$501,MATCH(INT($L636),_怪物基线!$A$2:$A$501,0)),"")</f>
        <v>48056</v>
      </c>
      <c r="Q636">
        <f>IFERROR(INDEX(_怪物基线!$D$2:$D$501,MATCH(INT($L636),_怪物基线!$A$2:$A$501,0)),"")</f>
        <v>34829</v>
      </c>
      <c r="R636">
        <f>参数!$B$10</f>
        <v>4</v>
      </c>
      <c r="S636">
        <f>参数!$C$10</f>
        <v>1.2</v>
      </c>
      <c r="T636">
        <f>参数!$D$10</f>
        <v>1</v>
      </c>
      <c r="U636">
        <f t="shared" si="72"/>
        <v>2247280</v>
      </c>
      <c r="V636">
        <f t="shared" si="73"/>
        <v>57667.2</v>
      </c>
      <c r="W636">
        <f t="shared" si="74"/>
        <v>34829</v>
      </c>
      <c r="X636">
        <f>IFERROR(INDEX(参数!$B$5:$B$7,MATCH($N636,参数!$A$5:$A$7,0)),"")</f>
        <v>1</v>
      </c>
      <c r="Y636">
        <f>IFERROR(INDEX(参数!$C$5:$C$7,MATCH($N636,参数!$A$5:$A$7,0)),"")</f>
        <v>1.2</v>
      </c>
      <c r="Z636">
        <f>IFERROR(INDEX(参数!$D$5:$D$7,MATCH($N636,参数!$A$5:$A$7,0)),"")</f>
        <v>1</v>
      </c>
      <c r="AA636">
        <f>IFERROR(INDEX(楼层配置!$E$5:$E$204,MATCH($K636,楼层配置!$B$5:$B$204,0)),1)</f>
        <v>1.12582067235919</v>
      </c>
      <c r="AB636">
        <f>IFERROR(INDEX(楼层配置!$F$5:$F$204,MATCH($K636,楼层配置!$B$5:$B$204,0)),1)</f>
        <v>0.729834891319568</v>
      </c>
      <c r="AC636">
        <f>IFERROR(INDEX(楼层配置!$G$5:$G$204,MATCH($K636,楼层配置!$B$5:$B$204,0)),1)</f>
        <v>1</v>
      </c>
      <c r="AD636" t="str">
        <f t="shared" si="75"/>
        <v/>
      </c>
      <c r="AE636" t="str">
        <f t="shared" si="76"/>
        <v/>
      </c>
      <c r="AF636" t="str">
        <f t="shared" si="77"/>
        <v/>
      </c>
      <c r="AG636" t="str">
        <f t="shared" si="78"/>
        <v>有效</v>
      </c>
      <c r="AH636">
        <f t="shared" si="79"/>
        <v>6201640.42441667</v>
      </c>
    </row>
    <row r="637" spans="1:34">
      <c r="A637">
        <v>633</v>
      </c>
      <c r="B637">
        <v>1005</v>
      </c>
      <c r="C637">
        <v>60</v>
      </c>
      <c r="D637">
        <f>IFERROR(ROUND($U637*$X637*$AA637*参数!$B$13,0),"")</f>
        <v>2530034</v>
      </c>
      <c r="E637">
        <f>IFERROR(ROUND($V637*$Y637*$AB637*参数!$C$13,0),"")</f>
        <v>50505</v>
      </c>
      <c r="F637">
        <f>IFERROR(ROUND($W637*$Z637*$AC637*参数!$D$13,0),"")</f>
        <v>34829</v>
      </c>
      <c r="J637">
        <v>127</v>
      </c>
      <c r="K637">
        <v>127</v>
      </c>
      <c r="L637">
        <f>IFERROR(INDEX(楼层配置!$D$5:$D$204,MATCH($K637,楼层配置!$B$5:$B$204,0)),"")</f>
        <v>317</v>
      </c>
      <c r="M637" t="str">
        <f>IFERROR(INDEX(_角色基线!$B$2:$B$100,MATCH($B637,_角色基线!$A$2:$A$100,0)),"")</f>
        <v>陈单单</v>
      </c>
      <c r="N637" t="str">
        <f>IFERROR(INDEX(_角色基线!$C$2:$C$100,MATCH($B637,_角色基线!$A$2:$A$100,0)),"")</f>
        <v>DPS</v>
      </c>
      <c r="O637">
        <f>IFERROR(INDEX(_怪物基线!$B$2:$B$501,MATCH(INT($L637),_怪物基线!$A$2:$A$501,0)),"")</f>
        <v>561820</v>
      </c>
      <c r="P637">
        <f>IFERROR(INDEX(_怪物基线!$C$2:$C$501,MATCH(INT($L637),_怪物基线!$A$2:$A$501,0)),"")</f>
        <v>48056</v>
      </c>
      <c r="Q637">
        <f>IFERROR(INDEX(_怪物基线!$D$2:$D$501,MATCH(INT($L637),_怪物基线!$A$2:$A$501,0)),"")</f>
        <v>34829</v>
      </c>
      <c r="R637">
        <f>参数!$B$10</f>
        <v>4</v>
      </c>
      <c r="S637">
        <f>参数!$C$10</f>
        <v>1.2</v>
      </c>
      <c r="T637">
        <f>参数!$D$10</f>
        <v>1</v>
      </c>
      <c r="U637">
        <f t="shared" si="72"/>
        <v>2247280</v>
      </c>
      <c r="V637">
        <f t="shared" si="73"/>
        <v>57667.2</v>
      </c>
      <c r="W637">
        <f t="shared" si="74"/>
        <v>34829</v>
      </c>
      <c r="X637">
        <f>IFERROR(INDEX(参数!$B$5:$B$7,MATCH($N637,参数!$A$5:$A$7,0)),"")</f>
        <v>1</v>
      </c>
      <c r="Y637">
        <f>IFERROR(INDEX(参数!$C$5:$C$7,MATCH($N637,参数!$A$5:$A$7,0)),"")</f>
        <v>1.2</v>
      </c>
      <c r="Z637">
        <f>IFERROR(INDEX(参数!$D$5:$D$7,MATCH($N637,参数!$A$5:$A$7,0)),"")</f>
        <v>1</v>
      </c>
      <c r="AA637">
        <f>IFERROR(INDEX(楼层配置!$E$5:$E$204,MATCH($K637,楼层配置!$B$5:$B$204,0)),1)</f>
        <v>1.12582067235919</v>
      </c>
      <c r="AB637">
        <f>IFERROR(INDEX(楼层配置!$F$5:$F$204,MATCH($K637,楼层配置!$B$5:$B$204,0)),1)</f>
        <v>0.729834891319568</v>
      </c>
      <c r="AC637">
        <f>IFERROR(INDEX(楼层配置!$G$5:$G$204,MATCH($K637,楼层配置!$B$5:$B$204,0)),1)</f>
        <v>1</v>
      </c>
      <c r="AD637" t="str">
        <f t="shared" si="75"/>
        <v/>
      </c>
      <c r="AE637" t="str">
        <f t="shared" si="76"/>
        <v/>
      </c>
      <c r="AF637" t="str">
        <f t="shared" si="77"/>
        <v/>
      </c>
      <c r="AG637" t="str">
        <f t="shared" si="78"/>
        <v>有效</v>
      </c>
      <c r="AH637">
        <f t="shared" si="79"/>
        <v>6201640.42441667</v>
      </c>
    </row>
    <row r="638" spans="1:34">
      <c r="A638">
        <v>634</v>
      </c>
      <c r="B638">
        <v>1005</v>
      </c>
      <c r="C638">
        <v>60</v>
      </c>
      <c r="D638">
        <f>IFERROR(ROUND($U638*$X638*$AA638*参数!$B$13,0),"")</f>
        <v>2530034</v>
      </c>
      <c r="E638">
        <f>IFERROR(ROUND($V638*$Y638*$AB638*参数!$C$13,0),"")</f>
        <v>50505</v>
      </c>
      <c r="F638">
        <f>IFERROR(ROUND($W638*$Z638*$AC638*参数!$D$13,0),"")</f>
        <v>34829</v>
      </c>
      <c r="J638">
        <v>127</v>
      </c>
      <c r="K638">
        <v>127</v>
      </c>
      <c r="L638">
        <f>IFERROR(INDEX(楼层配置!$D$5:$D$204,MATCH($K638,楼层配置!$B$5:$B$204,0)),"")</f>
        <v>317</v>
      </c>
      <c r="M638" t="str">
        <f>IFERROR(INDEX(_角色基线!$B$2:$B$100,MATCH($B638,_角色基线!$A$2:$A$100,0)),"")</f>
        <v>陈单单</v>
      </c>
      <c r="N638" t="str">
        <f>IFERROR(INDEX(_角色基线!$C$2:$C$100,MATCH($B638,_角色基线!$A$2:$A$100,0)),"")</f>
        <v>DPS</v>
      </c>
      <c r="O638">
        <f>IFERROR(INDEX(_怪物基线!$B$2:$B$501,MATCH(INT($L638),_怪物基线!$A$2:$A$501,0)),"")</f>
        <v>561820</v>
      </c>
      <c r="P638">
        <f>IFERROR(INDEX(_怪物基线!$C$2:$C$501,MATCH(INT($L638),_怪物基线!$A$2:$A$501,0)),"")</f>
        <v>48056</v>
      </c>
      <c r="Q638">
        <f>IFERROR(INDEX(_怪物基线!$D$2:$D$501,MATCH(INT($L638),_怪物基线!$A$2:$A$501,0)),"")</f>
        <v>34829</v>
      </c>
      <c r="R638">
        <f>参数!$B$10</f>
        <v>4</v>
      </c>
      <c r="S638">
        <f>参数!$C$10</f>
        <v>1.2</v>
      </c>
      <c r="T638">
        <f>参数!$D$10</f>
        <v>1</v>
      </c>
      <c r="U638">
        <f t="shared" si="72"/>
        <v>2247280</v>
      </c>
      <c r="V638">
        <f t="shared" si="73"/>
        <v>57667.2</v>
      </c>
      <c r="W638">
        <f t="shared" si="74"/>
        <v>34829</v>
      </c>
      <c r="X638">
        <f>IFERROR(INDEX(参数!$B$5:$B$7,MATCH($N638,参数!$A$5:$A$7,0)),"")</f>
        <v>1</v>
      </c>
      <c r="Y638">
        <f>IFERROR(INDEX(参数!$C$5:$C$7,MATCH($N638,参数!$A$5:$A$7,0)),"")</f>
        <v>1.2</v>
      </c>
      <c r="Z638">
        <f>IFERROR(INDEX(参数!$D$5:$D$7,MATCH($N638,参数!$A$5:$A$7,0)),"")</f>
        <v>1</v>
      </c>
      <c r="AA638">
        <f>IFERROR(INDEX(楼层配置!$E$5:$E$204,MATCH($K638,楼层配置!$B$5:$B$204,0)),1)</f>
        <v>1.12582067235919</v>
      </c>
      <c r="AB638">
        <f>IFERROR(INDEX(楼层配置!$F$5:$F$204,MATCH($K638,楼层配置!$B$5:$B$204,0)),1)</f>
        <v>0.729834891319568</v>
      </c>
      <c r="AC638">
        <f>IFERROR(INDEX(楼层配置!$G$5:$G$204,MATCH($K638,楼层配置!$B$5:$B$204,0)),1)</f>
        <v>1</v>
      </c>
      <c r="AD638" t="str">
        <f t="shared" si="75"/>
        <v/>
      </c>
      <c r="AE638" t="str">
        <f t="shared" si="76"/>
        <v/>
      </c>
      <c r="AF638" t="str">
        <f t="shared" si="77"/>
        <v/>
      </c>
      <c r="AG638" t="str">
        <f t="shared" si="78"/>
        <v>有效</v>
      </c>
      <c r="AH638">
        <f t="shared" si="79"/>
        <v>6201640.42441667</v>
      </c>
    </row>
    <row r="639" spans="1:34">
      <c r="A639">
        <v>635</v>
      </c>
      <c r="B639">
        <v>1029</v>
      </c>
      <c r="C639">
        <v>60</v>
      </c>
      <c r="D639">
        <f>IFERROR(ROUND($U639*$X639*$AA639*参数!$B$13,0),"")</f>
        <v>3162543</v>
      </c>
      <c r="E639">
        <f>IFERROR(ROUND($V639*$Y639*$AB639*参数!$C$13,0),"")</f>
        <v>42088</v>
      </c>
      <c r="F639">
        <f>IFERROR(ROUND($W639*$Z639*$AC639*参数!$D$13,0),"")</f>
        <v>43536</v>
      </c>
      <c r="J639">
        <v>127</v>
      </c>
      <c r="K639">
        <v>127</v>
      </c>
      <c r="L639">
        <f>IFERROR(INDEX(楼层配置!$D$5:$D$204,MATCH($K639,楼层配置!$B$5:$B$204,0)),"")</f>
        <v>317</v>
      </c>
      <c r="M639" t="str">
        <f>IFERROR(INDEX(_角色基线!$B$2:$B$100,MATCH($B639,_角色基线!$A$2:$A$100,0)),"")</f>
        <v>凯兰</v>
      </c>
      <c r="N639" t="str">
        <f>IFERROR(INDEX(_角色基线!$C$2:$C$100,MATCH($B639,_角色基线!$A$2:$A$100,0)),"")</f>
        <v>Support</v>
      </c>
      <c r="O639">
        <f>IFERROR(INDEX(_怪物基线!$B$2:$B$501,MATCH(INT($L639),_怪物基线!$A$2:$A$501,0)),"")</f>
        <v>561820</v>
      </c>
      <c r="P639">
        <f>IFERROR(INDEX(_怪物基线!$C$2:$C$501,MATCH(INT($L639),_怪物基线!$A$2:$A$501,0)),"")</f>
        <v>48056</v>
      </c>
      <c r="Q639">
        <f>IFERROR(INDEX(_怪物基线!$D$2:$D$501,MATCH(INT($L639),_怪物基线!$A$2:$A$501,0)),"")</f>
        <v>34829</v>
      </c>
      <c r="R639">
        <f>参数!$B$10</f>
        <v>4</v>
      </c>
      <c r="S639">
        <f>参数!$C$10</f>
        <v>1.2</v>
      </c>
      <c r="T639">
        <f>参数!$D$10</f>
        <v>1</v>
      </c>
      <c r="U639">
        <f t="shared" si="72"/>
        <v>2247280</v>
      </c>
      <c r="V639">
        <f t="shared" si="73"/>
        <v>57667.2</v>
      </c>
      <c r="W639">
        <f t="shared" si="74"/>
        <v>34829</v>
      </c>
      <c r="X639">
        <f>IFERROR(INDEX(参数!$B$5:$B$7,MATCH($N639,参数!$A$5:$A$7,0)),"")</f>
        <v>1.25</v>
      </c>
      <c r="Y639">
        <f>IFERROR(INDEX(参数!$C$5:$C$7,MATCH($N639,参数!$A$5:$A$7,0)),"")</f>
        <v>1</v>
      </c>
      <c r="Z639">
        <f>IFERROR(INDEX(参数!$D$5:$D$7,MATCH($N639,参数!$A$5:$A$7,0)),"")</f>
        <v>1.25</v>
      </c>
      <c r="AA639">
        <f>IFERROR(INDEX(楼层配置!$E$5:$E$204,MATCH($K639,楼层配置!$B$5:$B$204,0)),1)</f>
        <v>1.12582067235919</v>
      </c>
      <c r="AB639">
        <f>IFERROR(INDEX(楼层配置!$F$5:$F$204,MATCH($K639,楼层配置!$B$5:$B$204,0)),1)</f>
        <v>0.729834891319568</v>
      </c>
      <c r="AC639">
        <f>IFERROR(INDEX(楼层配置!$G$5:$G$204,MATCH($K639,楼层配置!$B$5:$B$204,0)),1)</f>
        <v>1</v>
      </c>
      <c r="AD639" t="str">
        <f t="shared" si="75"/>
        <v/>
      </c>
      <c r="AE639" t="str">
        <f t="shared" si="76"/>
        <v/>
      </c>
      <c r="AF639" t="str">
        <f t="shared" si="77"/>
        <v/>
      </c>
      <c r="AG639" t="str">
        <f t="shared" si="78"/>
        <v>有效</v>
      </c>
      <c r="AH639">
        <f t="shared" si="79"/>
        <v>8899396.002</v>
      </c>
    </row>
    <row r="640" spans="1:34">
      <c r="A640">
        <v>636</v>
      </c>
      <c r="B640">
        <v>1003</v>
      </c>
      <c r="C640">
        <v>60</v>
      </c>
      <c r="D640">
        <f>IFERROR(ROUND($U640*$X640*$AA640*参数!$B$13,0),"")</f>
        <v>3863850</v>
      </c>
      <c r="E640">
        <f>IFERROR(ROUND($V640*$Y640*$AB640*参数!$C$13,0),"")</f>
        <v>42670</v>
      </c>
      <c r="F640">
        <f>IFERROR(ROUND($W640*$Z640*$AC640*参数!$D$13,0),"")</f>
        <v>52683</v>
      </c>
      <c r="J640">
        <v>128</v>
      </c>
      <c r="K640">
        <v>128</v>
      </c>
      <c r="L640">
        <f>IFERROR(INDEX(楼层配置!$D$5:$D$204,MATCH($K640,楼层配置!$B$5:$B$204,0)),"")</f>
        <v>319</v>
      </c>
      <c r="M640" t="str">
        <f>IFERROR(INDEX(_角色基线!$B$2:$B$100,MATCH($B640,_角色基线!$A$2:$A$100,0)),"")</f>
        <v>塔拉夏</v>
      </c>
      <c r="N640" t="str">
        <f>IFERROR(INDEX(_角色基线!$C$2:$C$100,MATCH($B640,_角色基线!$A$2:$A$100,0)),"")</f>
        <v>Tank</v>
      </c>
      <c r="O640">
        <f>IFERROR(INDEX(_怪物基线!$B$2:$B$501,MATCH(INT($L640),_怪物基线!$A$2:$A$501,0)),"")</f>
        <v>572005</v>
      </c>
      <c r="P640">
        <f>IFERROR(INDEX(_怪物基线!$C$2:$C$501,MATCH(INT($L640),_怪物基线!$A$2:$A$501,0)),"")</f>
        <v>48721</v>
      </c>
      <c r="Q640">
        <f>IFERROR(INDEX(_怪物基线!$D$2:$D$501,MATCH(INT($L640),_怪物基线!$A$2:$A$501,0)),"")</f>
        <v>35122</v>
      </c>
      <c r="R640">
        <f>参数!$B$10</f>
        <v>4</v>
      </c>
      <c r="S640">
        <f>参数!$C$10</f>
        <v>1.2</v>
      </c>
      <c r="T640">
        <f>参数!$D$10</f>
        <v>1</v>
      </c>
      <c r="U640">
        <f t="shared" si="72"/>
        <v>2288020</v>
      </c>
      <c r="V640">
        <f t="shared" si="73"/>
        <v>58465.2</v>
      </c>
      <c r="W640">
        <f t="shared" si="74"/>
        <v>35122</v>
      </c>
      <c r="X640">
        <f>IFERROR(INDEX(参数!$B$5:$B$7,MATCH($N640,参数!$A$5:$A$7,0)),"")</f>
        <v>1.5</v>
      </c>
      <c r="Y640">
        <f>IFERROR(INDEX(参数!$C$5:$C$7,MATCH($N640,参数!$A$5:$A$7,0)),"")</f>
        <v>1</v>
      </c>
      <c r="Z640">
        <f>IFERROR(INDEX(参数!$D$5:$D$7,MATCH($N640,参数!$A$5:$A$7,0)),"")</f>
        <v>1.5</v>
      </c>
      <c r="AA640">
        <f>IFERROR(INDEX(楼层配置!$E$5:$E$204,MATCH($K640,楼层配置!$B$5:$B$204,0)),1)</f>
        <v>1.12582067235919</v>
      </c>
      <c r="AB640">
        <f>IFERROR(INDEX(楼层配置!$F$5:$F$204,MATCH($K640,楼层配置!$B$5:$B$204,0)),1)</f>
        <v>0.729834891319568</v>
      </c>
      <c r="AC640">
        <f>IFERROR(INDEX(楼层配置!$G$5:$G$204,MATCH($K640,楼层配置!$B$5:$B$204,0)),1)</f>
        <v>1</v>
      </c>
      <c r="AD640" t="str">
        <f t="shared" si="75"/>
        <v/>
      </c>
      <c r="AE640" t="str">
        <f t="shared" si="76"/>
        <v/>
      </c>
      <c r="AF640" t="str">
        <f t="shared" si="77"/>
        <v/>
      </c>
      <c r="AG640" t="str">
        <f t="shared" si="78"/>
        <v>有效</v>
      </c>
      <c r="AH640">
        <f t="shared" si="79"/>
        <v>12345483.73125</v>
      </c>
    </row>
    <row r="641" spans="1:34">
      <c r="A641">
        <v>637</v>
      </c>
      <c r="B641">
        <v>1005</v>
      </c>
      <c r="C641">
        <v>60</v>
      </c>
      <c r="D641">
        <f>IFERROR(ROUND($U641*$X641*$AA641*参数!$B$13,0),"")</f>
        <v>2575900</v>
      </c>
      <c r="E641">
        <f>IFERROR(ROUND($V641*$Y641*$AB641*参数!$C$13,0),"")</f>
        <v>51204</v>
      </c>
      <c r="F641">
        <f>IFERROR(ROUND($W641*$Z641*$AC641*参数!$D$13,0),"")</f>
        <v>35122</v>
      </c>
      <c r="J641">
        <v>128</v>
      </c>
      <c r="K641">
        <v>128</v>
      </c>
      <c r="L641">
        <f>IFERROR(INDEX(楼层配置!$D$5:$D$204,MATCH($K641,楼层配置!$B$5:$B$204,0)),"")</f>
        <v>319</v>
      </c>
      <c r="M641" t="str">
        <f>IFERROR(INDEX(_角色基线!$B$2:$B$100,MATCH($B641,_角色基线!$A$2:$A$100,0)),"")</f>
        <v>陈单单</v>
      </c>
      <c r="N641" t="str">
        <f>IFERROR(INDEX(_角色基线!$C$2:$C$100,MATCH($B641,_角色基线!$A$2:$A$100,0)),"")</f>
        <v>DPS</v>
      </c>
      <c r="O641">
        <f>IFERROR(INDEX(_怪物基线!$B$2:$B$501,MATCH(INT($L641),_怪物基线!$A$2:$A$501,0)),"")</f>
        <v>572005</v>
      </c>
      <c r="P641">
        <f>IFERROR(INDEX(_怪物基线!$C$2:$C$501,MATCH(INT($L641),_怪物基线!$A$2:$A$501,0)),"")</f>
        <v>48721</v>
      </c>
      <c r="Q641">
        <f>IFERROR(INDEX(_怪物基线!$D$2:$D$501,MATCH(INT($L641),_怪物基线!$A$2:$A$501,0)),"")</f>
        <v>35122</v>
      </c>
      <c r="R641">
        <f>参数!$B$10</f>
        <v>4</v>
      </c>
      <c r="S641">
        <f>参数!$C$10</f>
        <v>1.2</v>
      </c>
      <c r="T641">
        <f>参数!$D$10</f>
        <v>1</v>
      </c>
      <c r="U641">
        <f t="shared" si="72"/>
        <v>2288020</v>
      </c>
      <c r="V641">
        <f t="shared" si="73"/>
        <v>58465.2</v>
      </c>
      <c r="W641">
        <f t="shared" si="74"/>
        <v>35122</v>
      </c>
      <c r="X641">
        <f>IFERROR(INDEX(参数!$B$5:$B$7,MATCH($N641,参数!$A$5:$A$7,0)),"")</f>
        <v>1</v>
      </c>
      <c r="Y641">
        <f>IFERROR(INDEX(参数!$C$5:$C$7,MATCH($N641,参数!$A$5:$A$7,0)),"")</f>
        <v>1.2</v>
      </c>
      <c r="Z641">
        <f>IFERROR(INDEX(参数!$D$5:$D$7,MATCH($N641,参数!$A$5:$A$7,0)),"")</f>
        <v>1</v>
      </c>
      <c r="AA641">
        <f>IFERROR(INDEX(楼层配置!$E$5:$E$204,MATCH($K641,楼层配置!$B$5:$B$204,0)),1)</f>
        <v>1.12582067235919</v>
      </c>
      <c r="AB641">
        <f>IFERROR(INDEX(楼层配置!$F$5:$F$204,MATCH($K641,楼层配置!$B$5:$B$204,0)),1)</f>
        <v>0.729834891319568</v>
      </c>
      <c r="AC641">
        <f>IFERROR(INDEX(楼层配置!$G$5:$G$204,MATCH($K641,楼层配置!$B$5:$B$204,0)),1)</f>
        <v>1</v>
      </c>
      <c r="AD641" t="str">
        <f t="shared" si="75"/>
        <v/>
      </c>
      <c r="AE641" t="str">
        <f t="shared" si="76"/>
        <v/>
      </c>
      <c r="AF641" t="str">
        <f t="shared" si="77"/>
        <v/>
      </c>
      <c r="AG641" t="str">
        <f t="shared" si="78"/>
        <v>有效</v>
      </c>
      <c r="AH641">
        <f t="shared" si="79"/>
        <v>6345514.99166667</v>
      </c>
    </row>
    <row r="642" spans="1:34">
      <c r="A642">
        <v>638</v>
      </c>
      <c r="B642">
        <v>1005</v>
      </c>
      <c r="C642">
        <v>60</v>
      </c>
      <c r="D642">
        <f>IFERROR(ROUND($U642*$X642*$AA642*参数!$B$13,0),"")</f>
        <v>2575900</v>
      </c>
      <c r="E642">
        <f>IFERROR(ROUND($V642*$Y642*$AB642*参数!$C$13,0),"")</f>
        <v>51204</v>
      </c>
      <c r="F642">
        <f>IFERROR(ROUND($W642*$Z642*$AC642*参数!$D$13,0),"")</f>
        <v>35122</v>
      </c>
      <c r="J642">
        <v>128</v>
      </c>
      <c r="K642">
        <v>128</v>
      </c>
      <c r="L642">
        <f>IFERROR(INDEX(楼层配置!$D$5:$D$204,MATCH($K642,楼层配置!$B$5:$B$204,0)),"")</f>
        <v>319</v>
      </c>
      <c r="M642" t="str">
        <f>IFERROR(INDEX(_角色基线!$B$2:$B$100,MATCH($B642,_角色基线!$A$2:$A$100,0)),"")</f>
        <v>陈单单</v>
      </c>
      <c r="N642" t="str">
        <f>IFERROR(INDEX(_角色基线!$C$2:$C$100,MATCH($B642,_角色基线!$A$2:$A$100,0)),"")</f>
        <v>DPS</v>
      </c>
      <c r="O642">
        <f>IFERROR(INDEX(_怪物基线!$B$2:$B$501,MATCH(INT($L642),_怪物基线!$A$2:$A$501,0)),"")</f>
        <v>572005</v>
      </c>
      <c r="P642">
        <f>IFERROR(INDEX(_怪物基线!$C$2:$C$501,MATCH(INT($L642),_怪物基线!$A$2:$A$501,0)),"")</f>
        <v>48721</v>
      </c>
      <c r="Q642">
        <f>IFERROR(INDEX(_怪物基线!$D$2:$D$501,MATCH(INT($L642),_怪物基线!$A$2:$A$501,0)),"")</f>
        <v>35122</v>
      </c>
      <c r="R642">
        <f>参数!$B$10</f>
        <v>4</v>
      </c>
      <c r="S642">
        <f>参数!$C$10</f>
        <v>1.2</v>
      </c>
      <c r="T642">
        <f>参数!$D$10</f>
        <v>1</v>
      </c>
      <c r="U642">
        <f t="shared" si="72"/>
        <v>2288020</v>
      </c>
      <c r="V642">
        <f t="shared" si="73"/>
        <v>58465.2</v>
      </c>
      <c r="W642">
        <f t="shared" si="74"/>
        <v>35122</v>
      </c>
      <c r="X642">
        <f>IFERROR(INDEX(参数!$B$5:$B$7,MATCH($N642,参数!$A$5:$A$7,0)),"")</f>
        <v>1</v>
      </c>
      <c r="Y642">
        <f>IFERROR(INDEX(参数!$C$5:$C$7,MATCH($N642,参数!$A$5:$A$7,0)),"")</f>
        <v>1.2</v>
      </c>
      <c r="Z642">
        <f>IFERROR(INDEX(参数!$D$5:$D$7,MATCH($N642,参数!$A$5:$A$7,0)),"")</f>
        <v>1</v>
      </c>
      <c r="AA642">
        <f>IFERROR(INDEX(楼层配置!$E$5:$E$204,MATCH($K642,楼层配置!$B$5:$B$204,0)),1)</f>
        <v>1.12582067235919</v>
      </c>
      <c r="AB642">
        <f>IFERROR(INDEX(楼层配置!$F$5:$F$204,MATCH($K642,楼层配置!$B$5:$B$204,0)),1)</f>
        <v>0.729834891319568</v>
      </c>
      <c r="AC642">
        <f>IFERROR(INDEX(楼层配置!$G$5:$G$204,MATCH($K642,楼层配置!$B$5:$B$204,0)),1)</f>
        <v>1</v>
      </c>
      <c r="AD642" t="str">
        <f t="shared" si="75"/>
        <v/>
      </c>
      <c r="AE642" t="str">
        <f t="shared" si="76"/>
        <v/>
      </c>
      <c r="AF642" t="str">
        <f t="shared" si="77"/>
        <v/>
      </c>
      <c r="AG642" t="str">
        <f t="shared" si="78"/>
        <v>有效</v>
      </c>
      <c r="AH642">
        <f t="shared" si="79"/>
        <v>6345514.99166667</v>
      </c>
    </row>
    <row r="643" spans="1:34">
      <c r="A643">
        <v>639</v>
      </c>
      <c r="B643">
        <v>1005</v>
      </c>
      <c r="C643">
        <v>60</v>
      </c>
      <c r="D643">
        <f>IFERROR(ROUND($U643*$X643*$AA643*参数!$B$13,0),"")</f>
        <v>2575900</v>
      </c>
      <c r="E643">
        <f>IFERROR(ROUND($V643*$Y643*$AB643*参数!$C$13,0),"")</f>
        <v>51204</v>
      </c>
      <c r="F643">
        <f>IFERROR(ROUND($W643*$Z643*$AC643*参数!$D$13,0),"")</f>
        <v>35122</v>
      </c>
      <c r="J643">
        <v>128</v>
      </c>
      <c r="K643">
        <v>128</v>
      </c>
      <c r="L643">
        <f>IFERROR(INDEX(楼层配置!$D$5:$D$204,MATCH($K643,楼层配置!$B$5:$B$204,0)),"")</f>
        <v>319</v>
      </c>
      <c r="M643" t="str">
        <f>IFERROR(INDEX(_角色基线!$B$2:$B$100,MATCH($B643,_角色基线!$A$2:$A$100,0)),"")</f>
        <v>陈单单</v>
      </c>
      <c r="N643" t="str">
        <f>IFERROR(INDEX(_角色基线!$C$2:$C$100,MATCH($B643,_角色基线!$A$2:$A$100,0)),"")</f>
        <v>DPS</v>
      </c>
      <c r="O643">
        <f>IFERROR(INDEX(_怪物基线!$B$2:$B$501,MATCH(INT($L643),_怪物基线!$A$2:$A$501,0)),"")</f>
        <v>572005</v>
      </c>
      <c r="P643">
        <f>IFERROR(INDEX(_怪物基线!$C$2:$C$501,MATCH(INT($L643),_怪物基线!$A$2:$A$501,0)),"")</f>
        <v>48721</v>
      </c>
      <c r="Q643">
        <f>IFERROR(INDEX(_怪物基线!$D$2:$D$501,MATCH(INT($L643),_怪物基线!$A$2:$A$501,0)),"")</f>
        <v>35122</v>
      </c>
      <c r="R643">
        <f>参数!$B$10</f>
        <v>4</v>
      </c>
      <c r="S643">
        <f>参数!$C$10</f>
        <v>1.2</v>
      </c>
      <c r="T643">
        <f>参数!$D$10</f>
        <v>1</v>
      </c>
      <c r="U643">
        <f t="shared" si="72"/>
        <v>2288020</v>
      </c>
      <c r="V643">
        <f t="shared" si="73"/>
        <v>58465.2</v>
      </c>
      <c r="W643">
        <f t="shared" si="74"/>
        <v>35122</v>
      </c>
      <c r="X643">
        <f>IFERROR(INDEX(参数!$B$5:$B$7,MATCH($N643,参数!$A$5:$A$7,0)),"")</f>
        <v>1</v>
      </c>
      <c r="Y643">
        <f>IFERROR(INDEX(参数!$C$5:$C$7,MATCH($N643,参数!$A$5:$A$7,0)),"")</f>
        <v>1.2</v>
      </c>
      <c r="Z643">
        <f>IFERROR(INDEX(参数!$D$5:$D$7,MATCH($N643,参数!$A$5:$A$7,0)),"")</f>
        <v>1</v>
      </c>
      <c r="AA643">
        <f>IFERROR(INDEX(楼层配置!$E$5:$E$204,MATCH($K643,楼层配置!$B$5:$B$204,0)),1)</f>
        <v>1.12582067235919</v>
      </c>
      <c r="AB643">
        <f>IFERROR(INDEX(楼层配置!$F$5:$F$204,MATCH($K643,楼层配置!$B$5:$B$204,0)),1)</f>
        <v>0.729834891319568</v>
      </c>
      <c r="AC643">
        <f>IFERROR(INDEX(楼层配置!$G$5:$G$204,MATCH($K643,楼层配置!$B$5:$B$204,0)),1)</f>
        <v>1</v>
      </c>
      <c r="AD643" t="str">
        <f t="shared" si="75"/>
        <v/>
      </c>
      <c r="AE643" t="str">
        <f t="shared" si="76"/>
        <v/>
      </c>
      <c r="AF643" t="str">
        <f t="shared" si="77"/>
        <v/>
      </c>
      <c r="AG643" t="str">
        <f t="shared" si="78"/>
        <v>有效</v>
      </c>
      <c r="AH643">
        <f t="shared" si="79"/>
        <v>6345514.99166667</v>
      </c>
    </row>
    <row r="644" spans="1:34">
      <c r="A644">
        <v>640</v>
      </c>
      <c r="B644">
        <v>1029</v>
      </c>
      <c r="C644">
        <v>60</v>
      </c>
      <c r="D644">
        <f>IFERROR(ROUND($U644*$X644*$AA644*参数!$B$13,0),"")</f>
        <v>3219875</v>
      </c>
      <c r="E644">
        <f>IFERROR(ROUND($V644*$Y644*$AB644*参数!$C$13,0),"")</f>
        <v>42670</v>
      </c>
      <c r="F644">
        <f>IFERROR(ROUND($W644*$Z644*$AC644*参数!$D$13,0),"")</f>
        <v>43903</v>
      </c>
      <c r="J644">
        <v>128</v>
      </c>
      <c r="K644">
        <v>128</v>
      </c>
      <c r="L644">
        <f>IFERROR(INDEX(楼层配置!$D$5:$D$204,MATCH($K644,楼层配置!$B$5:$B$204,0)),"")</f>
        <v>319</v>
      </c>
      <c r="M644" t="str">
        <f>IFERROR(INDEX(_角色基线!$B$2:$B$100,MATCH($B644,_角色基线!$A$2:$A$100,0)),"")</f>
        <v>凯兰</v>
      </c>
      <c r="N644" t="str">
        <f>IFERROR(INDEX(_角色基线!$C$2:$C$100,MATCH($B644,_角色基线!$A$2:$A$100,0)),"")</f>
        <v>Support</v>
      </c>
      <c r="O644">
        <f>IFERROR(INDEX(_怪物基线!$B$2:$B$501,MATCH(INT($L644),_怪物基线!$A$2:$A$501,0)),"")</f>
        <v>572005</v>
      </c>
      <c r="P644">
        <f>IFERROR(INDEX(_怪物基线!$C$2:$C$501,MATCH(INT($L644),_怪物基线!$A$2:$A$501,0)),"")</f>
        <v>48721</v>
      </c>
      <c r="Q644">
        <f>IFERROR(INDEX(_怪物基线!$D$2:$D$501,MATCH(INT($L644),_怪物基线!$A$2:$A$501,0)),"")</f>
        <v>35122</v>
      </c>
      <c r="R644">
        <f>参数!$B$10</f>
        <v>4</v>
      </c>
      <c r="S644">
        <f>参数!$C$10</f>
        <v>1.2</v>
      </c>
      <c r="T644">
        <f>参数!$D$10</f>
        <v>1</v>
      </c>
      <c r="U644">
        <f t="shared" si="72"/>
        <v>2288020</v>
      </c>
      <c r="V644">
        <f t="shared" si="73"/>
        <v>58465.2</v>
      </c>
      <c r="W644">
        <f t="shared" si="74"/>
        <v>35122</v>
      </c>
      <c r="X644">
        <f>IFERROR(INDEX(参数!$B$5:$B$7,MATCH($N644,参数!$A$5:$A$7,0)),"")</f>
        <v>1.25</v>
      </c>
      <c r="Y644">
        <f>IFERROR(INDEX(参数!$C$5:$C$7,MATCH($N644,参数!$A$5:$A$7,0)),"")</f>
        <v>1</v>
      </c>
      <c r="Z644">
        <f>IFERROR(INDEX(参数!$D$5:$D$7,MATCH($N644,参数!$A$5:$A$7,0)),"")</f>
        <v>1.25</v>
      </c>
      <c r="AA644">
        <f>IFERROR(INDEX(楼层配置!$E$5:$E$204,MATCH($K644,楼层配置!$B$5:$B$204,0)),1)</f>
        <v>1.12582067235919</v>
      </c>
      <c r="AB644">
        <f>IFERROR(INDEX(楼层配置!$F$5:$F$204,MATCH($K644,楼层配置!$B$5:$B$204,0)),1)</f>
        <v>0.729834891319568</v>
      </c>
      <c r="AC644">
        <f>IFERROR(INDEX(楼层配置!$G$5:$G$204,MATCH($K644,楼层配置!$B$5:$B$204,0)),1)</f>
        <v>1</v>
      </c>
      <c r="AD644" t="str">
        <f t="shared" si="75"/>
        <v/>
      </c>
      <c r="AE644" t="str">
        <f t="shared" si="76"/>
        <v/>
      </c>
      <c r="AF644" t="str">
        <f t="shared" si="77"/>
        <v/>
      </c>
      <c r="AG644" t="str">
        <f t="shared" si="78"/>
        <v>有效</v>
      </c>
      <c r="AH644">
        <f t="shared" si="79"/>
        <v>9109965.50520833</v>
      </c>
    </row>
    <row r="645" spans="1:34">
      <c r="A645">
        <v>641</v>
      </c>
      <c r="B645">
        <v>1003</v>
      </c>
      <c r="C645">
        <v>60</v>
      </c>
      <c r="D645">
        <f>IFERROR(ROUND($U645*$X645*$AA645*参数!$B$13,0),"")</f>
        <v>3898611</v>
      </c>
      <c r="E645">
        <f>IFERROR(ROUND($V645*$Y645*$AB645*参数!$C$13,0),"")</f>
        <v>42964</v>
      </c>
      <c r="F645">
        <f>IFERROR(ROUND($W645*$Z645*$AC645*参数!$D$13,0),"")</f>
        <v>52902</v>
      </c>
      <c r="J645">
        <v>129</v>
      </c>
      <c r="K645">
        <v>129</v>
      </c>
      <c r="L645">
        <f>IFERROR(INDEX(楼层配置!$D$5:$D$204,MATCH($K645,楼层配置!$B$5:$B$204,0)),"")</f>
        <v>320</v>
      </c>
      <c r="M645" t="str">
        <f>IFERROR(INDEX(_角色基线!$B$2:$B$100,MATCH($B645,_角色基线!$A$2:$A$100,0)),"")</f>
        <v>塔拉夏</v>
      </c>
      <c r="N645" t="str">
        <f>IFERROR(INDEX(_角色基线!$C$2:$C$100,MATCH($B645,_角色基线!$A$2:$A$100,0)),"")</f>
        <v>Tank</v>
      </c>
      <c r="O645">
        <f>IFERROR(INDEX(_怪物基线!$B$2:$B$501,MATCH(INT($L645),_怪物基线!$A$2:$A$501,0)),"")</f>
        <v>577151</v>
      </c>
      <c r="P645">
        <f>IFERROR(INDEX(_怪物基线!$C$2:$C$501,MATCH(INT($L645),_怪物基线!$A$2:$A$501,0)),"")</f>
        <v>49057</v>
      </c>
      <c r="Q645">
        <f>IFERROR(INDEX(_怪物基线!$D$2:$D$501,MATCH(INT($L645),_怪物基线!$A$2:$A$501,0)),"")</f>
        <v>35268</v>
      </c>
      <c r="R645">
        <f>参数!$B$10</f>
        <v>4</v>
      </c>
      <c r="S645">
        <f>参数!$C$10</f>
        <v>1.2</v>
      </c>
      <c r="T645">
        <f>参数!$D$10</f>
        <v>1</v>
      </c>
      <c r="U645">
        <f t="shared" ref="U645:U708" si="80">IF($O645="","",$O645*$R645)</f>
        <v>2308604</v>
      </c>
      <c r="V645">
        <f t="shared" ref="V645:V708" si="81">IF($P645="","",$P645*$S645)</f>
        <v>58868.4</v>
      </c>
      <c r="W645">
        <f t="shared" ref="W645:W708" si="82">IF($Q645="","",$Q645*$T645)</f>
        <v>35268</v>
      </c>
      <c r="X645">
        <f>IFERROR(INDEX(参数!$B$5:$B$7,MATCH($N645,参数!$A$5:$A$7,0)),"")</f>
        <v>1.5</v>
      </c>
      <c r="Y645">
        <f>IFERROR(INDEX(参数!$C$5:$C$7,MATCH($N645,参数!$A$5:$A$7,0)),"")</f>
        <v>1</v>
      </c>
      <c r="Z645">
        <f>IFERROR(INDEX(参数!$D$5:$D$7,MATCH($N645,参数!$A$5:$A$7,0)),"")</f>
        <v>1.5</v>
      </c>
      <c r="AA645">
        <f>IFERROR(INDEX(楼层配置!$E$5:$E$204,MATCH($K645,楼层配置!$B$5:$B$204,0)),1)</f>
        <v>1.12582067235919</v>
      </c>
      <c r="AB645">
        <f>IFERROR(INDEX(楼层配置!$F$5:$F$204,MATCH($K645,楼层配置!$B$5:$B$204,0)),1)</f>
        <v>0.729834891319568</v>
      </c>
      <c r="AC645">
        <f>IFERROR(INDEX(楼层配置!$G$5:$G$204,MATCH($K645,楼层配置!$B$5:$B$204,0)),1)</f>
        <v>1</v>
      </c>
      <c r="AD645" t="str">
        <f t="shared" ref="AD645:AD708" si="83">IFERROR($D645/$G645-1,"")</f>
        <v/>
      </c>
      <c r="AE645" t="str">
        <f t="shared" ref="AE645:AE708" si="84">IFERROR($E645/$H645-1,"")</f>
        <v/>
      </c>
      <c r="AF645" t="str">
        <f t="shared" ref="AF645:AF708" si="85">IFERROR($F645/$I645-1,"")</f>
        <v/>
      </c>
      <c r="AG645" t="str">
        <f t="shared" ref="AG645:AG708" si="86">IF(AND($A645&gt;=1,$L645&gt;=1,$L645&lt;=500,OR($N645="Tank",$N645="DPS",$N645="Support"),ISNUMBER($D645),ISNUMBER($E645),ISNUMBER($F645)),"有效","异常")</f>
        <v>有效</v>
      </c>
      <c r="AH645">
        <f t="shared" ref="AH645:AH708" si="87">D645/(1-MIN(0.75,F645/(24000+F645)))</f>
        <v>12492124.29675</v>
      </c>
    </row>
    <row r="646" spans="1:34">
      <c r="A646">
        <v>642</v>
      </c>
      <c r="B646">
        <v>1005</v>
      </c>
      <c r="C646">
        <v>60</v>
      </c>
      <c r="D646">
        <f>IFERROR(ROUND($U646*$X646*$AA646*参数!$B$13,0),"")</f>
        <v>2599074</v>
      </c>
      <c r="E646">
        <f>IFERROR(ROUND($V646*$Y646*$AB646*参数!$C$13,0),"")</f>
        <v>51557</v>
      </c>
      <c r="F646">
        <f>IFERROR(ROUND($W646*$Z646*$AC646*参数!$D$13,0),"")</f>
        <v>35268</v>
      </c>
      <c r="J646">
        <v>129</v>
      </c>
      <c r="K646">
        <v>129</v>
      </c>
      <c r="L646">
        <f>IFERROR(INDEX(楼层配置!$D$5:$D$204,MATCH($K646,楼层配置!$B$5:$B$204,0)),"")</f>
        <v>320</v>
      </c>
      <c r="M646" t="str">
        <f>IFERROR(INDEX(_角色基线!$B$2:$B$100,MATCH($B646,_角色基线!$A$2:$A$100,0)),"")</f>
        <v>陈单单</v>
      </c>
      <c r="N646" t="str">
        <f>IFERROR(INDEX(_角色基线!$C$2:$C$100,MATCH($B646,_角色基线!$A$2:$A$100,0)),"")</f>
        <v>DPS</v>
      </c>
      <c r="O646">
        <f>IFERROR(INDEX(_怪物基线!$B$2:$B$501,MATCH(INT($L646),_怪物基线!$A$2:$A$501,0)),"")</f>
        <v>577151</v>
      </c>
      <c r="P646">
        <f>IFERROR(INDEX(_怪物基线!$C$2:$C$501,MATCH(INT($L646),_怪物基线!$A$2:$A$501,0)),"")</f>
        <v>49057</v>
      </c>
      <c r="Q646">
        <f>IFERROR(INDEX(_怪物基线!$D$2:$D$501,MATCH(INT($L646),_怪物基线!$A$2:$A$501,0)),"")</f>
        <v>35268</v>
      </c>
      <c r="R646">
        <f>参数!$B$10</f>
        <v>4</v>
      </c>
      <c r="S646">
        <f>参数!$C$10</f>
        <v>1.2</v>
      </c>
      <c r="T646">
        <f>参数!$D$10</f>
        <v>1</v>
      </c>
      <c r="U646">
        <f t="shared" si="80"/>
        <v>2308604</v>
      </c>
      <c r="V646">
        <f t="shared" si="81"/>
        <v>58868.4</v>
      </c>
      <c r="W646">
        <f t="shared" si="82"/>
        <v>35268</v>
      </c>
      <c r="X646">
        <f>IFERROR(INDEX(参数!$B$5:$B$7,MATCH($N646,参数!$A$5:$A$7,0)),"")</f>
        <v>1</v>
      </c>
      <c r="Y646">
        <f>IFERROR(INDEX(参数!$C$5:$C$7,MATCH($N646,参数!$A$5:$A$7,0)),"")</f>
        <v>1.2</v>
      </c>
      <c r="Z646">
        <f>IFERROR(INDEX(参数!$D$5:$D$7,MATCH($N646,参数!$A$5:$A$7,0)),"")</f>
        <v>1</v>
      </c>
      <c r="AA646">
        <f>IFERROR(INDEX(楼层配置!$E$5:$E$204,MATCH($K646,楼层配置!$B$5:$B$204,0)),1)</f>
        <v>1.12582067235919</v>
      </c>
      <c r="AB646">
        <f>IFERROR(INDEX(楼层配置!$F$5:$F$204,MATCH($K646,楼层配置!$B$5:$B$204,0)),1)</f>
        <v>0.729834891319568</v>
      </c>
      <c r="AC646">
        <f>IFERROR(INDEX(楼层配置!$G$5:$G$204,MATCH($K646,楼层配置!$B$5:$B$204,0)),1)</f>
        <v>1</v>
      </c>
      <c r="AD646" t="str">
        <f t="shared" si="83"/>
        <v/>
      </c>
      <c r="AE646" t="str">
        <f t="shared" si="84"/>
        <v/>
      </c>
      <c r="AF646" t="str">
        <f t="shared" si="85"/>
        <v/>
      </c>
      <c r="AG646" t="str">
        <f t="shared" si="86"/>
        <v>有效</v>
      </c>
      <c r="AH646">
        <f t="shared" si="87"/>
        <v>6418413.243</v>
      </c>
    </row>
    <row r="647" spans="1:34">
      <c r="A647">
        <v>643</v>
      </c>
      <c r="B647">
        <v>1005</v>
      </c>
      <c r="C647">
        <v>60</v>
      </c>
      <c r="D647">
        <f>IFERROR(ROUND($U647*$X647*$AA647*参数!$B$13,0),"")</f>
        <v>2599074</v>
      </c>
      <c r="E647">
        <f>IFERROR(ROUND($V647*$Y647*$AB647*参数!$C$13,0),"")</f>
        <v>51557</v>
      </c>
      <c r="F647">
        <f>IFERROR(ROUND($W647*$Z647*$AC647*参数!$D$13,0),"")</f>
        <v>35268</v>
      </c>
      <c r="J647">
        <v>129</v>
      </c>
      <c r="K647">
        <v>129</v>
      </c>
      <c r="L647">
        <f>IFERROR(INDEX(楼层配置!$D$5:$D$204,MATCH($K647,楼层配置!$B$5:$B$204,0)),"")</f>
        <v>320</v>
      </c>
      <c r="M647" t="str">
        <f>IFERROR(INDEX(_角色基线!$B$2:$B$100,MATCH($B647,_角色基线!$A$2:$A$100,0)),"")</f>
        <v>陈单单</v>
      </c>
      <c r="N647" t="str">
        <f>IFERROR(INDEX(_角色基线!$C$2:$C$100,MATCH($B647,_角色基线!$A$2:$A$100,0)),"")</f>
        <v>DPS</v>
      </c>
      <c r="O647">
        <f>IFERROR(INDEX(_怪物基线!$B$2:$B$501,MATCH(INT($L647),_怪物基线!$A$2:$A$501,0)),"")</f>
        <v>577151</v>
      </c>
      <c r="P647">
        <f>IFERROR(INDEX(_怪物基线!$C$2:$C$501,MATCH(INT($L647),_怪物基线!$A$2:$A$501,0)),"")</f>
        <v>49057</v>
      </c>
      <c r="Q647">
        <f>IFERROR(INDEX(_怪物基线!$D$2:$D$501,MATCH(INT($L647),_怪物基线!$A$2:$A$501,0)),"")</f>
        <v>35268</v>
      </c>
      <c r="R647">
        <f>参数!$B$10</f>
        <v>4</v>
      </c>
      <c r="S647">
        <f>参数!$C$10</f>
        <v>1.2</v>
      </c>
      <c r="T647">
        <f>参数!$D$10</f>
        <v>1</v>
      </c>
      <c r="U647">
        <f t="shared" si="80"/>
        <v>2308604</v>
      </c>
      <c r="V647">
        <f t="shared" si="81"/>
        <v>58868.4</v>
      </c>
      <c r="W647">
        <f t="shared" si="82"/>
        <v>35268</v>
      </c>
      <c r="X647">
        <f>IFERROR(INDEX(参数!$B$5:$B$7,MATCH($N647,参数!$A$5:$A$7,0)),"")</f>
        <v>1</v>
      </c>
      <c r="Y647">
        <f>IFERROR(INDEX(参数!$C$5:$C$7,MATCH($N647,参数!$A$5:$A$7,0)),"")</f>
        <v>1.2</v>
      </c>
      <c r="Z647">
        <f>IFERROR(INDEX(参数!$D$5:$D$7,MATCH($N647,参数!$A$5:$A$7,0)),"")</f>
        <v>1</v>
      </c>
      <c r="AA647">
        <f>IFERROR(INDEX(楼层配置!$E$5:$E$204,MATCH($K647,楼层配置!$B$5:$B$204,0)),1)</f>
        <v>1.12582067235919</v>
      </c>
      <c r="AB647">
        <f>IFERROR(INDEX(楼层配置!$F$5:$F$204,MATCH($K647,楼层配置!$B$5:$B$204,0)),1)</f>
        <v>0.729834891319568</v>
      </c>
      <c r="AC647">
        <f>IFERROR(INDEX(楼层配置!$G$5:$G$204,MATCH($K647,楼层配置!$B$5:$B$204,0)),1)</f>
        <v>1</v>
      </c>
      <c r="AD647" t="str">
        <f t="shared" si="83"/>
        <v/>
      </c>
      <c r="AE647" t="str">
        <f t="shared" si="84"/>
        <v/>
      </c>
      <c r="AF647" t="str">
        <f t="shared" si="85"/>
        <v/>
      </c>
      <c r="AG647" t="str">
        <f t="shared" si="86"/>
        <v>有效</v>
      </c>
      <c r="AH647">
        <f t="shared" si="87"/>
        <v>6418413.243</v>
      </c>
    </row>
    <row r="648" spans="1:34">
      <c r="A648">
        <v>644</v>
      </c>
      <c r="B648">
        <v>1005</v>
      </c>
      <c r="C648">
        <v>60</v>
      </c>
      <c r="D648">
        <f>IFERROR(ROUND($U648*$X648*$AA648*参数!$B$13,0),"")</f>
        <v>2599074</v>
      </c>
      <c r="E648">
        <f>IFERROR(ROUND($V648*$Y648*$AB648*参数!$C$13,0),"")</f>
        <v>51557</v>
      </c>
      <c r="F648">
        <f>IFERROR(ROUND($W648*$Z648*$AC648*参数!$D$13,0),"")</f>
        <v>35268</v>
      </c>
      <c r="J648">
        <v>129</v>
      </c>
      <c r="K648">
        <v>129</v>
      </c>
      <c r="L648">
        <f>IFERROR(INDEX(楼层配置!$D$5:$D$204,MATCH($K648,楼层配置!$B$5:$B$204,0)),"")</f>
        <v>320</v>
      </c>
      <c r="M648" t="str">
        <f>IFERROR(INDEX(_角色基线!$B$2:$B$100,MATCH($B648,_角色基线!$A$2:$A$100,0)),"")</f>
        <v>陈单单</v>
      </c>
      <c r="N648" t="str">
        <f>IFERROR(INDEX(_角色基线!$C$2:$C$100,MATCH($B648,_角色基线!$A$2:$A$100,0)),"")</f>
        <v>DPS</v>
      </c>
      <c r="O648">
        <f>IFERROR(INDEX(_怪物基线!$B$2:$B$501,MATCH(INT($L648),_怪物基线!$A$2:$A$501,0)),"")</f>
        <v>577151</v>
      </c>
      <c r="P648">
        <f>IFERROR(INDEX(_怪物基线!$C$2:$C$501,MATCH(INT($L648),_怪物基线!$A$2:$A$501,0)),"")</f>
        <v>49057</v>
      </c>
      <c r="Q648">
        <f>IFERROR(INDEX(_怪物基线!$D$2:$D$501,MATCH(INT($L648),_怪物基线!$A$2:$A$501,0)),"")</f>
        <v>35268</v>
      </c>
      <c r="R648">
        <f>参数!$B$10</f>
        <v>4</v>
      </c>
      <c r="S648">
        <f>参数!$C$10</f>
        <v>1.2</v>
      </c>
      <c r="T648">
        <f>参数!$D$10</f>
        <v>1</v>
      </c>
      <c r="U648">
        <f t="shared" si="80"/>
        <v>2308604</v>
      </c>
      <c r="V648">
        <f t="shared" si="81"/>
        <v>58868.4</v>
      </c>
      <c r="W648">
        <f t="shared" si="82"/>
        <v>35268</v>
      </c>
      <c r="X648">
        <f>IFERROR(INDEX(参数!$B$5:$B$7,MATCH($N648,参数!$A$5:$A$7,0)),"")</f>
        <v>1</v>
      </c>
      <c r="Y648">
        <f>IFERROR(INDEX(参数!$C$5:$C$7,MATCH($N648,参数!$A$5:$A$7,0)),"")</f>
        <v>1.2</v>
      </c>
      <c r="Z648">
        <f>IFERROR(INDEX(参数!$D$5:$D$7,MATCH($N648,参数!$A$5:$A$7,0)),"")</f>
        <v>1</v>
      </c>
      <c r="AA648">
        <f>IFERROR(INDEX(楼层配置!$E$5:$E$204,MATCH($K648,楼层配置!$B$5:$B$204,0)),1)</f>
        <v>1.12582067235919</v>
      </c>
      <c r="AB648">
        <f>IFERROR(INDEX(楼层配置!$F$5:$F$204,MATCH($K648,楼层配置!$B$5:$B$204,0)),1)</f>
        <v>0.729834891319568</v>
      </c>
      <c r="AC648">
        <f>IFERROR(INDEX(楼层配置!$G$5:$G$204,MATCH($K648,楼层配置!$B$5:$B$204,0)),1)</f>
        <v>1</v>
      </c>
      <c r="AD648" t="str">
        <f t="shared" si="83"/>
        <v/>
      </c>
      <c r="AE648" t="str">
        <f t="shared" si="84"/>
        <v/>
      </c>
      <c r="AF648" t="str">
        <f t="shared" si="85"/>
        <v/>
      </c>
      <c r="AG648" t="str">
        <f t="shared" si="86"/>
        <v>有效</v>
      </c>
      <c r="AH648">
        <f t="shared" si="87"/>
        <v>6418413.243</v>
      </c>
    </row>
    <row r="649" spans="1:34">
      <c r="A649">
        <v>645</v>
      </c>
      <c r="B649">
        <v>1029</v>
      </c>
      <c r="C649">
        <v>60</v>
      </c>
      <c r="D649">
        <f>IFERROR(ROUND($U649*$X649*$AA649*参数!$B$13,0),"")</f>
        <v>3248843</v>
      </c>
      <c r="E649">
        <f>IFERROR(ROUND($V649*$Y649*$AB649*参数!$C$13,0),"")</f>
        <v>42964</v>
      </c>
      <c r="F649">
        <f>IFERROR(ROUND($W649*$Z649*$AC649*参数!$D$13,0),"")</f>
        <v>44085</v>
      </c>
      <c r="J649">
        <v>129</v>
      </c>
      <c r="K649">
        <v>129</v>
      </c>
      <c r="L649">
        <f>IFERROR(INDEX(楼层配置!$D$5:$D$204,MATCH($K649,楼层配置!$B$5:$B$204,0)),"")</f>
        <v>320</v>
      </c>
      <c r="M649" t="str">
        <f>IFERROR(INDEX(_角色基线!$B$2:$B$100,MATCH($B649,_角色基线!$A$2:$A$100,0)),"")</f>
        <v>凯兰</v>
      </c>
      <c r="N649" t="str">
        <f>IFERROR(INDEX(_角色基线!$C$2:$C$100,MATCH($B649,_角色基线!$A$2:$A$100,0)),"")</f>
        <v>Support</v>
      </c>
      <c r="O649">
        <f>IFERROR(INDEX(_怪物基线!$B$2:$B$501,MATCH(INT($L649),_怪物基线!$A$2:$A$501,0)),"")</f>
        <v>577151</v>
      </c>
      <c r="P649">
        <f>IFERROR(INDEX(_怪物基线!$C$2:$C$501,MATCH(INT($L649),_怪物基线!$A$2:$A$501,0)),"")</f>
        <v>49057</v>
      </c>
      <c r="Q649">
        <f>IFERROR(INDEX(_怪物基线!$D$2:$D$501,MATCH(INT($L649),_怪物基线!$A$2:$A$501,0)),"")</f>
        <v>35268</v>
      </c>
      <c r="R649">
        <f>参数!$B$10</f>
        <v>4</v>
      </c>
      <c r="S649">
        <f>参数!$C$10</f>
        <v>1.2</v>
      </c>
      <c r="T649">
        <f>参数!$D$10</f>
        <v>1</v>
      </c>
      <c r="U649">
        <f t="shared" si="80"/>
        <v>2308604</v>
      </c>
      <c r="V649">
        <f t="shared" si="81"/>
        <v>58868.4</v>
      </c>
      <c r="W649">
        <f t="shared" si="82"/>
        <v>35268</v>
      </c>
      <c r="X649">
        <f>IFERROR(INDEX(参数!$B$5:$B$7,MATCH($N649,参数!$A$5:$A$7,0)),"")</f>
        <v>1.25</v>
      </c>
      <c r="Y649">
        <f>IFERROR(INDEX(参数!$C$5:$C$7,MATCH($N649,参数!$A$5:$A$7,0)),"")</f>
        <v>1</v>
      </c>
      <c r="Z649">
        <f>IFERROR(INDEX(参数!$D$5:$D$7,MATCH($N649,参数!$A$5:$A$7,0)),"")</f>
        <v>1.25</v>
      </c>
      <c r="AA649">
        <f>IFERROR(INDEX(楼层配置!$E$5:$E$204,MATCH($K649,楼层配置!$B$5:$B$204,0)),1)</f>
        <v>1.12582067235919</v>
      </c>
      <c r="AB649">
        <f>IFERROR(INDEX(楼层配置!$F$5:$F$204,MATCH($K649,楼层配置!$B$5:$B$204,0)),1)</f>
        <v>0.729834891319568</v>
      </c>
      <c r="AC649">
        <f>IFERROR(INDEX(楼层配置!$G$5:$G$204,MATCH($K649,楼层配置!$B$5:$B$204,0)),1)</f>
        <v>1</v>
      </c>
      <c r="AD649" t="str">
        <f t="shared" si="83"/>
        <v/>
      </c>
      <c r="AE649" t="str">
        <f t="shared" si="84"/>
        <v/>
      </c>
      <c r="AF649" t="str">
        <f t="shared" si="85"/>
        <v/>
      </c>
      <c r="AG649" t="str">
        <f t="shared" si="86"/>
        <v>有效</v>
      </c>
      <c r="AH649">
        <f t="shared" si="87"/>
        <v>9216561.485625</v>
      </c>
    </row>
    <row r="650" spans="1:34">
      <c r="A650">
        <v>646</v>
      </c>
      <c r="B650">
        <v>1003</v>
      </c>
      <c r="C650">
        <v>60</v>
      </c>
      <c r="D650">
        <f>IFERROR(ROUND($U650*$X650*$AA650*参数!$B$13,0),"")</f>
        <v>3972005</v>
      </c>
      <c r="E650">
        <f>IFERROR(ROUND($V650*$Y650*$AB650*参数!$C$13,0),"")</f>
        <v>43639</v>
      </c>
      <c r="F650">
        <f>IFERROR(ROUND($W650*$Z650*$AC650*参数!$D$13,0),"")</f>
        <v>53343</v>
      </c>
      <c r="J650">
        <v>130</v>
      </c>
      <c r="K650">
        <v>130</v>
      </c>
      <c r="L650">
        <f>IFERROR(INDEX(楼层配置!$D$5:$D$204,MATCH($K650,楼层配置!$B$5:$B$204,0)),"")</f>
        <v>322</v>
      </c>
      <c r="M650" t="str">
        <f>IFERROR(INDEX(_角色基线!$B$2:$B$100,MATCH($B650,_角色基线!$A$2:$A$100,0)),"")</f>
        <v>塔拉夏</v>
      </c>
      <c r="N650" t="str">
        <f>IFERROR(INDEX(_角色基线!$C$2:$C$100,MATCH($B650,_角色基线!$A$2:$A$100,0)),"")</f>
        <v>Tank</v>
      </c>
      <c r="O650">
        <f>IFERROR(INDEX(_怪物基线!$B$2:$B$501,MATCH(INT($L650),_怪物基线!$A$2:$A$501,0)),"")</f>
        <v>587549</v>
      </c>
      <c r="P650">
        <f>IFERROR(INDEX(_怪物基线!$C$2:$C$501,MATCH(INT($L650),_怪物基线!$A$2:$A$501,0)),"")</f>
        <v>49732</v>
      </c>
      <c r="Q650">
        <f>IFERROR(INDEX(_怪物基线!$D$2:$D$501,MATCH(INT($L650),_怪物基线!$A$2:$A$501,0)),"")</f>
        <v>35562</v>
      </c>
      <c r="R650">
        <f>参数!$B$10</f>
        <v>4</v>
      </c>
      <c r="S650">
        <f>参数!$C$10</f>
        <v>1.2</v>
      </c>
      <c r="T650">
        <f>参数!$D$10</f>
        <v>1</v>
      </c>
      <c r="U650">
        <f t="shared" si="80"/>
        <v>2350196</v>
      </c>
      <c r="V650">
        <f t="shared" si="81"/>
        <v>59678.4</v>
      </c>
      <c r="W650">
        <f t="shared" si="82"/>
        <v>35562</v>
      </c>
      <c r="X650">
        <f>IFERROR(INDEX(参数!$B$5:$B$7,MATCH($N650,参数!$A$5:$A$7,0)),"")</f>
        <v>1.5</v>
      </c>
      <c r="Y650">
        <f>IFERROR(INDEX(参数!$C$5:$C$7,MATCH($N650,参数!$A$5:$A$7,0)),"")</f>
        <v>1</v>
      </c>
      <c r="Z650">
        <f>IFERROR(INDEX(参数!$D$5:$D$7,MATCH($N650,参数!$A$5:$A$7,0)),"")</f>
        <v>1.5</v>
      </c>
      <c r="AA650">
        <f>IFERROR(INDEX(楼层配置!$E$5:$E$204,MATCH($K650,楼层配置!$B$5:$B$204,0)),1)</f>
        <v>1.12671592412141</v>
      </c>
      <c r="AB650">
        <f>IFERROR(INDEX(楼层配置!$F$5:$F$204,MATCH($K650,楼层配置!$B$5:$B$204,0)),1)</f>
        <v>0.731229508674054</v>
      </c>
      <c r="AC650">
        <f>IFERROR(INDEX(楼层配置!$G$5:$G$204,MATCH($K650,楼层配置!$B$5:$B$204,0)),1)</f>
        <v>1</v>
      </c>
      <c r="AD650" t="str">
        <f t="shared" si="83"/>
        <v/>
      </c>
      <c r="AE650" t="str">
        <f t="shared" si="84"/>
        <v/>
      </c>
      <c r="AF650" t="str">
        <f t="shared" si="85"/>
        <v/>
      </c>
      <c r="AG650" t="str">
        <f t="shared" si="86"/>
        <v>有效</v>
      </c>
      <c r="AH650">
        <f t="shared" si="87"/>
        <v>12800282.613125</v>
      </c>
    </row>
    <row r="651" spans="1:34">
      <c r="A651">
        <v>647</v>
      </c>
      <c r="B651">
        <v>1005</v>
      </c>
      <c r="C651">
        <v>60</v>
      </c>
      <c r="D651">
        <f>IFERROR(ROUND($U651*$X651*$AA651*参数!$B$13,0),"")</f>
        <v>2648003</v>
      </c>
      <c r="E651">
        <f>IFERROR(ROUND($V651*$Y651*$AB651*参数!$C$13,0),"")</f>
        <v>52366</v>
      </c>
      <c r="F651">
        <f>IFERROR(ROUND($W651*$Z651*$AC651*参数!$D$13,0),"")</f>
        <v>35562</v>
      </c>
      <c r="J651">
        <v>130</v>
      </c>
      <c r="K651">
        <v>130</v>
      </c>
      <c r="L651">
        <f>IFERROR(INDEX(楼层配置!$D$5:$D$204,MATCH($K651,楼层配置!$B$5:$B$204,0)),"")</f>
        <v>322</v>
      </c>
      <c r="M651" t="str">
        <f>IFERROR(INDEX(_角色基线!$B$2:$B$100,MATCH($B651,_角色基线!$A$2:$A$100,0)),"")</f>
        <v>陈单单</v>
      </c>
      <c r="N651" t="str">
        <f>IFERROR(INDEX(_角色基线!$C$2:$C$100,MATCH($B651,_角色基线!$A$2:$A$100,0)),"")</f>
        <v>DPS</v>
      </c>
      <c r="O651">
        <f>IFERROR(INDEX(_怪物基线!$B$2:$B$501,MATCH(INT($L651),_怪物基线!$A$2:$A$501,0)),"")</f>
        <v>587549</v>
      </c>
      <c r="P651">
        <f>IFERROR(INDEX(_怪物基线!$C$2:$C$501,MATCH(INT($L651),_怪物基线!$A$2:$A$501,0)),"")</f>
        <v>49732</v>
      </c>
      <c r="Q651">
        <f>IFERROR(INDEX(_怪物基线!$D$2:$D$501,MATCH(INT($L651),_怪物基线!$A$2:$A$501,0)),"")</f>
        <v>35562</v>
      </c>
      <c r="R651">
        <f>参数!$B$10</f>
        <v>4</v>
      </c>
      <c r="S651">
        <f>参数!$C$10</f>
        <v>1.2</v>
      </c>
      <c r="T651">
        <f>参数!$D$10</f>
        <v>1</v>
      </c>
      <c r="U651">
        <f t="shared" si="80"/>
        <v>2350196</v>
      </c>
      <c r="V651">
        <f t="shared" si="81"/>
        <v>59678.4</v>
      </c>
      <c r="W651">
        <f t="shared" si="82"/>
        <v>35562</v>
      </c>
      <c r="X651">
        <f>IFERROR(INDEX(参数!$B$5:$B$7,MATCH($N651,参数!$A$5:$A$7,0)),"")</f>
        <v>1</v>
      </c>
      <c r="Y651">
        <f>IFERROR(INDEX(参数!$C$5:$C$7,MATCH($N651,参数!$A$5:$A$7,0)),"")</f>
        <v>1.2</v>
      </c>
      <c r="Z651">
        <f>IFERROR(INDEX(参数!$D$5:$D$7,MATCH($N651,参数!$A$5:$A$7,0)),"")</f>
        <v>1</v>
      </c>
      <c r="AA651">
        <f>IFERROR(INDEX(楼层配置!$E$5:$E$204,MATCH($K651,楼层配置!$B$5:$B$204,0)),1)</f>
        <v>1.12671592412141</v>
      </c>
      <c r="AB651">
        <f>IFERROR(INDEX(楼层配置!$F$5:$F$204,MATCH($K651,楼层配置!$B$5:$B$204,0)),1)</f>
        <v>0.731229508674054</v>
      </c>
      <c r="AC651">
        <f>IFERROR(INDEX(楼层配置!$G$5:$G$204,MATCH($K651,楼层配置!$B$5:$B$204,0)),1)</f>
        <v>1</v>
      </c>
      <c r="AD651" t="str">
        <f t="shared" si="83"/>
        <v/>
      </c>
      <c r="AE651" t="str">
        <f t="shared" si="84"/>
        <v/>
      </c>
      <c r="AF651" t="str">
        <f t="shared" si="85"/>
        <v/>
      </c>
      <c r="AG651" t="str">
        <f t="shared" si="86"/>
        <v>有效</v>
      </c>
      <c r="AH651">
        <f t="shared" si="87"/>
        <v>6571681.44525</v>
      </c>
    </row>
    <row r="652" spans="1:34">
      <c r="A652">
        <v>648</v>
      </c>
      <c r="B652">
        <v>1005</v>
      </c>
      <c r="C652">
        <v>60</v>
      </c>
      <c r="D652">
        <f>IFERROR(ROUND($U652*$X652*$AA652*参数!$B$13,0),"")</f>
        <v>2648003</v>
      </c>
      <c r="E652">
        <f>IFERROR(ROUND($V652*$Y652*$AB652*参数!$C$13,0),"")</f>
        <v>52366</v>
      </c>
      <c r="F652">
        <f>IFERROR(ROUND($W652*$Z652*$AC652*参数!$D$13,0),"")</f>
        <v>35562</v>
      </c>
      <c r="J652">
        <v>130</v>
      </c>
      <c r="K652">
        <v>130</v>
      </c>
      <c r="L652">
        <f>IFERROR(INDEX(楼层配置!$D$5:$D$204,MATCH($K652,楼层配置!$B$5:$B$204,0)),"")</f>
        <v>322</v>
      </c>
      <c r="M652" t="str">
        <f>IFERROR(INDEX(_角色基线!$B$2:$B$100,MATCH($B652,_角色基线!$A$2:$A$100,0)),"")</f>
        <v>陈单单</v>
      </c>
      <c r="N652" t="str">
        <f>IFERROR(INDEX(_角色基线!$C$2:$C$100,MATCH($B652,_角色基线!$A$2:$A$100,0)),"")</f>
        <v>DPS</v>
      </c>
      <c r="O652">
        <f>IFERROR(INDEX(_怪物基线!$B$2:$B$501,MATCH(INT($L652),_怪物基线!$A$2:$A$501,0)),"")</f>
        <v>587549</v>
      </c>
      <c r="P652">
        <f>IFERROR(INDEX(_怪物基线!$C$2:$C$501,MATCH(INT($L652),_怪物基线!$A$2:$A$501,0)),"")</f>
        <v>49732</v>
      </c>
      <c r="Q652">
        <f>IFERROR(INDEX(_怪物基线!$D$2:$D$501,MATCH(INT($L652),_怪物基线!$A$2:$A$501,0)),"")</f>
        <v>35562</v>
      </c>
      <c r="R652">
        <f>参数!$B$10</f>
        <v>4</v>
      </c>
      <c r="S652">
        <f>参数!$C$10</f>
        <v>1.2</v>
      </c>
      <c r="T652">
        <f>参数!$D$10</f>
        <v>1</v>
      </c>
      <c r="U652">
        <f t="shared" si="80"/>
        <v>2350196</v>
      </c>
      <c r="V652">
        <f t="shared" si="81"/>
        <v>59678.4</v>
      </c>
      <c r="W652">
        <f t="shared" si="82"/>
        <v>35562</v>
      </c>
      <c r="X652">
        <f>IFERROR(INDEX(参数!$B$5:$B$7,MATCH($N652,参数!$A$5:$A$7,0)),"")</f>
        <v>1</v>
      </c>
      <c r="Y652">
        <f>IFERROR(INDEX(参数!$C$5:$C$7,MATCH($N652,参数!$A$5:$A$7,0)),"")</f>
        <v>1.2</v>
      </c>
      <c r="Z652">
        <f>IFERROR(INDEX(参数!$D$5:$D$7,MATCH($N652,参数!$A$5:$A$7,0)),"")</f>
        <v>1</v>
      </c>
      <c r="AA652">
        <f>IFERROR(INDEX(楼层配置!$E$5:$E$204,MATCH($K652,楼层配置!$B$5:$B$204,0)),1)</f>
        <v>1.12671592412141</v>
      </c>
      <c r="AB652">
        <f>IFERROR(INDEX(楼层配置!$F$5:$F$204,MATCH($K652,楼层配置!$B$5:$B$204,0)),1)</f>
        <v>0.731229508674054</v>
      </c>
      <c r="AC652">
        <f>IFERROR(INDEX(楼层配置!$G$5:$G$204,MATCH($K652,楼层配置!$B$5:$B$204,0)),1)</f>
        <v>1</v>
      </c>
      <c r="AD652" t="str">
        <f t="shared" si="83"/>
        <v/>
      </c>
      <c r="AE652" t="str">
        <f t="shared" si="84"/>
        <v/>
      </c>
      <c r="AF652" t="str">
        <f t="shared" si="85"/>
        <v/>
      </c>
      <c r="AG652" t="str">
        <f t="shared" si="86"/>
        <v>有效</v>
      </c>
      <c r="AH652">
        <f t="shared" si="87"/>
        <v>6571681.44525</v>
      </c>
    </row>
    <row r="653" spans="1:34">
      <c r="A653">
        <v>649</v>
      </c>
      <c r="B653">
        <v>1005</v>
      </c>
      <c r="C653">
        <v>60</v>
      </c>
      <c r="D653">
        <f>IFERROR(ROUND($U653*$X653*$AA653*参数!$B$13,0),"")</f>
        <v>2648003</v>
      </c>
      <c r="E653">
        <f>IFERROR(ROUND($V653*$Y653*$AB653*参数!$C$13,0),"")</f>
        <v>52366</v>
      </c>
      <c r="F653">
        <f>IFERROR(ROUND($W653*$Z653*$AC653*参数!$D$13,0),"")</f>
        <v>35562</v>
      </c>
      <c r="J653">
        <v>130</v>
      </c>
      <c r="K653">
        <v>130</v>
      </c>
      <c r="L653">
        <f>IFERROR(INDEX(楼层配置!$D$5:$D$204,MATCH($K653,楼层配置!$B$5:$B$204,0)),"")</f>
        <v>322</v>
      </c>
      <c r="M653" t="str">
        <f>IFERROR(INDEX(_角色基线!$B$2:$B$100,MATCH($B653,_角色基线!$A$2:$A$100,0)),"")</f>
        <v>陈单单</v>
      </c>
      <c r="N653" t="str">
        <f>IFERROR(INDEX(_角色基线!$C$2:$C$100,MATCH($B653,_角色基线!$A$2:$A$100,0)),"")</f>
        <v>DPS</v>
      </c>
      <c r="O653">
        <f>IFERROR(INDEX(_怪物基线!$B$2:$B$501,MATCH(INT($L653),_怪物基线!$A$2:$A$501,0)),"")</f>
        <v>587549</v>
      </c>
      <c r="P653">
        <f>IFERROR(INDEX(_怪物基线!$C$2:$C$501,MATCH(INT($L653),_怪物基线!$A$2:$A$501,0)),"")</f>
        <v>49732</v>
      </c>
      <c r="Q653">
        <f>IFERROR(INDEX(_怪物基线!$D$2:$D$501,MATCH(INT($L653),_怪物基线!$A$2:$A$501,0)),"")</f>
        <v>35562</v>
      </c>
      <c r="R653">
        <f>参数!$B$10</f>
        <v>4</v>
      </c>
      <c r="S653">
        <f>参数!$C$10</f>
        <v>1.2</v>
      </c>
      <c r="T653">
        <f>参数!$D$10</f>
        <v>1</v>
      </c>
      <c r="U653">
        <f t="shared" si="80"/>
        <v>2350196</v>
      </c>
      <c r="V653">
        <f t="shared" si="81"/>
        <v>59678.4</v>
      </c>
      <c r="W653">
        <f t="shared" si="82"/>
        <v>35562</v>
      </c>
      <c r="X653">
        <f>IFERROR(INDEX(参数!$B$5:$B$7,MATCH($N653,参数!$A$5:$A$7,0)),"")</f>
        <v>1</v>
      </c>
      <c r="Y653">
        <f>IFERROR(INDEX(参数!$C$5:$C$7,MATCH($N653,参数!$A$5:$A$7,0)),"")</f>
        <v>1.2</v>
      </c>
      <c r="Z653">
        <f>IFERROR(INDEX(参数!$D$5:$D$7,MATCH($N653,参数!$A$5:$A$7,0)),"")</f>
        <v>1</v>
      </c>
      <c r="AA653">
        <f>IFERROR(INDEX(楼层配置!$E$5:$E$204,MATCH($K653,楼层配置!$B$5:$B$204,0)),1)</f>
        <v>1.12671592412141</v>
      </c>
      <c r="AB653">
        <f>IFERROR(INDEX(楼层配置!$F$5:$F$204,MATCH($K653,楼层配置!$B$5:$B$204,0)),1)</f>
        <v>0.731229508674054</v>
      </c>
      <c r="AC653">
        <f>IFERROR(INDEX(楼层配置!$G$5:$G$204,MATCH($K653,楼层配置!$B$5:$B$204,0)),1)</f>
        <v>1</v>
      </c>
      <c r="AD653" t="str">
        <f t="shared" si="83"/>
        <v/>
      </c>
      <c r="AE653" t="str">
        <f t="shared" si="84"/>
        <v/>
      </c>
      <c r="AF653" t="str">
        <f t="shared" si="85"/>
        <v/>
      </c>
      <c r="AG653" t="str">
        <f t="shared" si="86"/>
        <v>有效</v>
      </c>
      <c r="AH653">
        <f t="shared" si="87"/>
        <v>6571681.44525</v>
      </c>
    </row>
    <row r="654" spans="1:34">
      <c r="A654">
        <v>650</v>
      </c>
      <c r="B654">
        <v>1029</v>
      </c>
      <c r="C654">
        <v>60</v>
      </c>
      <c r="D654">
        <f>IFERROR(ROUND($U654*$X654*$AA654*参数!$B$13,0),"")</f>
        <v>3310004</v>
      </c>
      <c r="E654">
        <f>IFERROR(ROUND($V654*$Y654*$AB654*参数!$C$13,0),"")</f>
        <v>43639</v>
      </c>
      <c r="F654">
        <f>IFERROR(ROUND($W654*$Z654*$AC654*参数!$D$13,0),"")</f>
        <v>44453</v>
      </c>
      <c r="J654">
        <v>130</v>
      </c>
      <c r="K654">
        <v>130</v>
      </c>
      <c r="L654">
        <f>IFERROR(INDEX(楼层配置!$D$5:$D$204,MATCH($K654,楼层配置!$B$5:$B$204,0)),"")</f>
        <v>322</v>
      </c>
      <c r="M654" t="str">
        <f>IFERROR(INDEX(_角色基线!$B$2:$B$100,MATCH($B654,_角色基线!$A$2:$A$100,0)),"")</f>
        <v>凯兰</v>
      </c>
      <c r="N654" t="str">
        <f>IFERROR(INDEX(_角色基线!$C$2:$C$100,MATCH($B654,_角色基线!$A$2:$A$100,0)),"")</f>
        <v>Support</v>
      </c>
      <c r="O654">
        <f>IFERROR(INDEX(_怪物基线!$B$2:$B$501,MATCH(INT($L654),_怪物基线!$A$2:$A$501,0)),"")</f>
        <v>587549</v>
      </c>
      <c r="P654">
        <f>IFERROR(INDEX(_怪物基线!$C$2:$C$501,MATCH(INT($L654),_怪物基线!$A$2:$A$501,0)),"")</f>
        <v>49732</v>
      </c>
      <c r="Q654">
        <f>IFERROR(INDEX(_怪物基线!$D$2:$D$501,MATCH(INT($L654),_怪物基线!$A$2:$A$501,0)),"")</f>
        <v>35562</v>
      </c>
      <c r="R654">
        <f>参数!$B$10</f>
        <v>4</v>
      </c>
      <c r="S654">
        <f>参数!$C$10</f>
        <v>1.2</v>
      </c>
      <c r="T654">
        <f>参数!$D$10</f>
        <v>1</v>
      </c>
      <c r="U654">
        <f t="shared" si="80"/>
        <v>2350196</v>
      </c>
      <c r="V654">
        <f t="shared" si="81"/>
        <v>59678.4</v>
      </c>
      <c r="W654">
        <f t="shared" si="82"/>
        <v>35562</v>
      </c>
      <c r="X654">
        <f>IFERROR(INDEX(参数!$B$5:$B$7,MATCH($N654,参数!$A$5:$A$7,0)),"")</f>
        <v>1.25</v>
      </c>
      <c r="Y654">
        <f>IFERROR(INDEX(参数!$C$5:$C$7,MATCH($N654,参数!$A$5:$A$7,0)),"")</f>
        <v>1</v>
      </c>
      <c r="Z654">
        <f>IFERROR(INDEX(参数!$D$5:$D$7,MATCH($N654,参数!$A$5:$A$7,0)),"")</f>
        <v>1.25</v>
      </c>
      <c r="AA654">
        <f>IFERROR(INDEX(楼层配置!$E$5:$E$204,MATCH($K654,楼层配置!$B$5:$B$204,0)),1)</f>
        <v>1.12671592412141</v>
      </c>
      <c r="AB654">
        <f>IFERROR(INDEX(楼层配置!$F$5:$F$204,MATCH($K654,楼层配置!$B$5:$B$204,0)),1)</f>
        <v>0.731229508674054</v>
      </c>
      <c r="AC654">
        <f>IFERROR(INDEX(楼层配置!$G$5:$G$204,MATCH($K654,楼层配置!$B$5:$B$204,0)),1)</f>
        <v>1</v>
      </c>
      <c r="AD654" t="str">
        <f t="shared" si="83"/>
        <v/>
      </c>
      <c r="AE654" t="str">
        <f t="shared" si="84"/>
        <v/>
      </c>
      <c r="AF654" t="str">
        <f t="shared" si="85"/>
        <v/>
      </c>
      <c r="AG654" t="str">
        <f t="shared" si="86"/>
        <v>有效</v>
      </c>
      <c r="AH654">
        <f t="shared" si="87"/>
        <v>9440820.99216667</v>
      </c>
    </row>
    <row r="655" spans="1:34">
      <c r="A655">
        <v>651</v>
      </c>
      <c r="B655">
        <v>1003</v>
      </c>
      <c r="C655">
        <v>60</v>
      </c>
      <c r="D655">
        <f>IFERROR(ROUND($U655*$X655*$AA655*参数!$B$13,0),"")</f>
        <v>4040066</v>
      </c>
      <c r="E655">
        <f>IFERROR(ROUND($V655*$Y655*$AB655*参数!$C$13,0),"")</f>
        <v>44154</v>
      </c>
      <c r="F655">
        <f>IFERROR(ROUND($W655*$Z655*$AC655*参数!$D$13,0),"")</f>
        <v>53784</v>
      </c>
      <c r="J655">
        <v>131</v>
      </c>
      <c r="K655">
        <v>131</v>
      </c>
      <c r="L655">
        <f>IFERROR(INDEX(楼层配置!$D$5:$D$204,MATCH($K655,楼层配置!$B$5:$B$204,0)),"")</f>
        <v>324</v>
      </c>
      <c r="M655" t="str">
        <f>IFERROR(INDEX(_角色基线!$B$2:$B$100,MATCH($B655,_角色基线!$A$2:$A$100,0)),"")</f>
        <v>塔拉夏</v>
      </c>
      <c r="N655" t="str">
        <f>IFERROR(INDEX(_角色基线!$C$2:$C$100,MATCH($B655,_角色基线!$A$2:$A$100,0)),"")</f>
        <v>Tank</v>
      </c>
      <c r="O655">
        <f>IFERROR(INDEX(_怪物基线!$B$2:$B$501,MATCH(INT($L655),_怪物基线!$A$2:$A$501,0)),"")</f>
        <v>598092</v>
      </c>
      <c r="P655">
        <f>IFERROR(INDEX(_怪物基线!$C$2:$C$501,MATCH(INT($L655),_怪物基线!$A$2:$A$501,0)),"")</f>
        <v>50416</v>
      </c>
      <c r="Q655">
        <f>IFERROR(INDEX(_怪物基线!$D$2:$D$501,MATCH(INT($L655),_怪物基线!$A$2:$A$501,0)),"")</f>
        <v>35856</v>
      </c>
      <c r="R655">
        <f>参数!$B$10</f>
        <v>4</v>
      </c>
      <c r="S655">
        <f>参数!$C$10</f>
        <v>1.2</v>
      </c>
      <c r="T655">
        <f>参数!$D$10</f>
        <v>1</v>
      </c>
      <c r="U655">
        <f t="shared" si="80"/>
        <v>2392368</v>
      </c>
      <c r="V655">
        <f t="shared" si="81"/>
        <v>60499.2</v>
      </c>
      <c r="W655">
        <f t="shared" si="82"/>
        <v>35856</v>
      </c>
      <c r="X655">
        <f>IFERROR(INDEX(参数!$B$5:$B$7,MATCH($N655,参数!$A$5:$A$7,0)),"")</f>
        <v>1.5</v>
      </c>
      <c r="Y655">
        <f>IFERROR(INDEX(参数!$C$5:$C$7,MATCH($N655,参数!$A$5:$A$7,0)),"")</f>
        <v>1</v>
      </c>
      <c r="Z655">
        <f>IFERROR(INDEX(参数!$D$5:$D$7,MATCH($N655,参数!$A$5:$A$7,0)),"")</f>
        <v>1.5</v>
      </c>
      <c r="AA655">
        <f>IFERROR(INDEX(楼层配置!$E$5:$E$204,MATCH($K655,楼层配置!$B$5:$B$204,0)),1)</f>
        <v>1.12582067235919</v>
      </c>
      <c r="AB655">
        <f>IFERROR(INDEX(楼层配置!$F$5:$F$204,MATCH($K655,楼层配置!$B$5:$B$204,0)),1)</f>
        <v>0.729834891319568</v>
      </c>
      <c r="AC655">
        <f>IFERROR(INDEX(楼层配置!$G$5:$G$204,MATCH($K655,楼层配置!$B$5:$B$204,0)),1)</f>
        <v>1</v>
      </c>
      <c r="AD655" t="str">
        <f t="shared" si="83"/>
        <v/>
      </c>
      <c r="AE655" t="str">
        <f t="shared" si="84"/>
        <v/>
      </c>
      <c r="AF655" t="str">
        <f t="shared" si="85"/>
        <v/>
      </c>
      <c r="AG655" t="str">
        <f t="shared" si="86"/>
        <v>有效</v>
      </c>
      <c r="AH655">
        <f t="shared" si="87"/>
        <v>13093853.906</v>
      </c>
    </row>
    <row r="656" spans="1:34">
      <c r="A656">
        <v>652</v>
      </c>
      <c r="B656">
        <v>1005</v>
      </c>
      <c r="C656">
        <v>60</v>
      </c>
      <c r="D656">
        <f>IFERROR(ROUND($U656*$X656*$AA656*参数!$B$13,0),"")</f>
        <v>2693377</v>
      </c>
      <c r="E656">
        <f>IFERROR(ROUND($V656*$Y656*$AB656*参数!$C$13,0),"")</f>
        <v>52985</v>
      </c>
      <c r="F656">
        <f>IFERROR(ROUND($W656*$Z656*$AC656*参数!$D$13,0),"")</f>
        <v>35856</v>
      </c>
      <c r="J656">
        <v>131</v>
      </c>
      <c r="K656">
        <v>131</v>
      </c>
      <c r="L656">
        <f>IFERROR(INDEX(楼层配置!$D$5:$D$204,MATCH($K656,楼层配置!$B$5:$B$204,0)),"")</f>
        <v>324</v>
      </c>
      <c r="M656" t="str">
        <f>IFERROR(INDEX(_角色基线!$B$2:$B$100,MATCH($B656,_角色基线!$A$2:$A$100,0)),"")</f>
        <v>陈单单</v>
      </c>
      <c r="N656" t="str">
        <f>IFERROR(INDEX(_角色基线!$C$2:$C$100,MATCH($B656,_角色基线!$A$2:$A$100,0)),"")</f>
        <v>DPS</v>
      </c>
      <c r="O656">
        <f>IFERROR(INDEX(_怪物基线!$B$2:$B$501,MATCH(INT($L656),_怪物基线!$A$2:$A$501,0)),"")</f>
        <v>598092</v>
      </c>
      <c r="P656">
        <f>IFERROR(INDEX(_怪物基线!$C$2:$C$501,MATCH(INT($L656),_怪物基线!$A$2:$A$501,0)),"")</f>
        <v>50416</v>
      </c>
      <c r="Q656">
        <f>IFERROR(INDEX(_怪物基线!$D$2:$D$501,MATCH(INT($L656),_怪物基线!$A$2:$A$501,0)),"")</f>
        <v>35856</v>
      </c>
      <c r="R656">
        <f>参数!$B$10</f>
        <v>4</v>
      </c>
      <c r="S656">
        <f>参数!$C$10</f>
        <v>1.2</v>
      </c>
      <c r="T656">
        <f>参数!$D$10</f>
        <v>1</v>
      </c>
      <c r="U656">
        <f t="shared" si="80"/>
        <v>2392368</v>
      </c>
      <c r="V656">
        <f t="shared" si="81"/>
        <v>60499.2</v>
      </c>
      <c r="W656">
        <f t="shared" si="82"/>
        <v>35856</v>
      </c>
      <c r="X656">
        <f>IFERROR(INDEX(参数!$B$5:$B$7,MATCH($N656,参数!$A$5:$A$7,0)),"")</f>
        <v>1</v>
      </c>
      <c r="Y656">
        <f>IFERROR(INDEX(参数!$C$5:$C$7,MATCH($N656,参数!$A$5:$A$7,0)),"")</f>
        <v>1.2</v>
      </c>
      <c r="Z656">
        <f>IFERROR(INDEX(参数!$D$5:$D$7,MATCH($N656,参数!$A$5:$A$7,0)),"")</f>
        <v>1</v>
      </c>
      <c r="AA656">
        <f>IFERROR(INDEX(楼层配置!$E$5:$E$204,MATCH($K656,楼层配置!$B$5:$B$204,0)),1)</f>
        <v>1.12582067235919</v>
      </c>
      <c r="AB656">
        <f>IFERROR(INDEX(楼层配置!$F$5:$F$204,MATCH($K656,楼层配置!$B$5:$B$204,0)),1)</f>
        <v>0.729834891319568</v>
      </c>
      <c r="AC656">
        <f>IFERROR(INDEX(楼层配置!$G$5:$G$204,MATCH($K656,楼层配置!$B$5:$B$204,0)),1)</f>
        <v>1</v>
      </c>
      <c r="AD656" t="str">
        <f t="shared" si="83"/>
        <v/>
      </c>
      <c r="AE656" t="str">
        <f t="shared" si="84"/>
        <v/>
      </c>
      <c r="AF656" t="str">
        <f t="shared" si="85"/>
        <v/>
      </c>
      <c r="AG656" t="str">
        <f t="shared" si="86"/>
        <v>有效</v>
      </c>
      <c r="AH656">
        <f t="shared" si="87"/>
        <v>6717282.238</v>
      </c>
    </row>
    <row r="657" spans="1:34">
      <c r="A657">
        <v>653</v>
      </c>
      <c r="B657">
        <v>1005</v>
      </c>
      <c r="C657">
        <v>60</v>
      </c>
      <c r="D657">
        <f>IFERROR(ROUND($U657*$X657*$AA657*参数!$B$13,0),"")</f>
        <v>2693377</v>
      </c>
      <c r="E657">
        <f>IFERROR(ROUND($V657*$Y657*$AB657*参数!$C$13,0),"")</f>
        <v>52985</v>
      </c>
      <c r="F657">
        <f>IFERROR(ROUND($W657*$Z657*$AC657*参数!$D$13,0),"")</f>
        <v>35856</v>
      </c>
      <c r="J657">
        <v>131</v>
      </c>
      <c r="K657">
        <v>131</v>
      </c>
      <c r="L657">
        <f>IFERROR(INDEX(楼层配置!$D$5:$D$204,MATCH($K657,楼层配置!$B$5:$B$204,0)),"")</f>
        <v>324</v>
      </c>
      <c r="M657" t="str">
        <f>IFERROR(INDEX(_角色基线!$B$2:$B$100,MATCH($B657,_角色基线!$A$2:$A$100,0)),"")</f>
        <v>陈单单</v>
      </c>
      <c r="N657" t="str">
        <f>IFERROR(INDEX(_角色基线!$C$2:$C$100,MATCH($B657,_角色基线!$A$2:$A$100,0)),"")</f>
        <v>DPS</v>
      </c>
      <c r="O657">
        <f>IFERROR(INDEX(_怪物基线!$B$2:$B$501,MATCH(INT($L657),_怪物基线!$A$2:$A$501,0)),"")</f>
        <v>598092</v>
      </c>
      <c r="P657">
        <f>IFERROR(INDEX(_怪物基线!$C$2:$C$501,MATCH(INT($L657),_怪物基线!$A$2:$A$501,0)),"")</f>
        <v>50416</v>
      </c>
      <c r="Q657">
        <f>IFERROR(INDEX(_怪物基线!$D$2:$D$501,MATCH(INT($L657),_怪物基线!$A$2:$A$501,0)),"")</f>
        <v>35856</v>
      </c>
      <c r="R657">
        <f>参数!$B$10</f>
        <v>4</v>
      </c>
      <c r="S657">
        <f>参数!$C$10</f>
        <v>1.2</v>
      </c>
      <c r="T657">
        <f>参数!$D$10</f>
        <v>1</v>
      </c>
      <c r="U657">
        <f t="shared" si="80"/>
        <v>2392368</v>
      </c>
      <c r="V657">
        <f t="shared" si="81"/>
        <v>60499.2</v>
      </c>
      <c r="W657">
        <f t="shared" si="82"/>
        <v>35856</v>
      </c>
      <c r="X657">
        <f>IFERROR(INDEX(参数!$B$5:$B$7,MATCH($N657,参数!$A$5:$A$7,0)),"")</f>
        <v>1</v>
      </c>
      <c r="Y657">
        <f>IFERROR(INDEX(参数!$C$5:$C$7,MATCH($N657,参数!$A$5:$A$7,0)),"")</f>
        <v>1.2</v>
      </c>
      <c r="Z657">
        <f>IFERROR(INDEX(参数!$D$5:$D$7,MATCH($N657,参数!$A$5:$A$7,0)),"")</f>
        <v>1</v>
      </c>
      <c r="AA657">
        <f>IFERROR(INDEX(楼层配置!$E$5:$E$204,MATCH($K657,楼层配置!$B$5:$B$204,0)),1)</f>
        <v>1.12582067235919</v>
      </c>
      <c r="AB657">
        <f>IFERROR(INDEX(楼层配置!$F$5:$F$204,MATCH($K657,楼层配置!$B$5:$B$204,0)),1)</f>
        <v>0.729834891319568</v>
      </c>
      <c r="AC657">
        <f>IFERROR(INDEX(楼层配置!$G$5:$G$204,MATCH($K657,楼层配置!$B$5:$B$204,0)),1)</f>
        <v>1</v>
      </c>
      <c r="AD657" t="str">
        <f t="shared" si="83"/>
        <v/>
      </c>
      <c r="AE657" t="str">
        <f t="shared" si="84"/>
        <v/>
      </c>
      <c r="AF657" t="str">
        <f t="shared" si="85"/>
        <v/>
      </c>
      <c r="AG657" t="str">
        <f t="shared" si="86"/>
        <v>有效</v>
      </c>
      <c r="AH657">
        <f t="shared" si="87"/>
        <v>6717282.238</v>
      </c>
    </row>
    <row r="658" spans="1:34">
      <c r="A658">
        <v>654</v>
      </c>
      <c r="B658">
        <v>1005</v>
      </c>
      <c r="C658">
        <v>60</v>
      </c>
      <c r="D658">
        <f>IFERROR(ROUND($U658*$X658*$AA658*参数!$B$13,0),"")</f>
        <v>2693377</v>
      </c>
      <c r="E658">
        <f>IFERROR(ROUND($V658*$Y658*$AB658*参数!$C$13,0),"")</f>
        <v>52985</v>
      </c>
      <c r="F658">
        <f>IFERROR(ROUND($W658*$Z658*$AC658*参数!$D$13,0),"")</f>
        <v>35856</v>
      </c>
      <c r="J658">
        <v>131</v>
      </c>
      <c r="K658">
        <v>131</v>
      </c>
      <c r="L658">
        <f>IFERROR(INDEX(楼层配置!$D$5:$D$204,MATCH($K658,楼层配置!$B$5:$B$204,0)),"")</f>
        <v>324</v>
      </c>
      <c r="M658" t="str">
        <f>IFERROR(INDEX(_角色基线!$B$2:$B$100,MATCH($B658,_角色基线!$A$2:$A$100,0)),"")</f>
        <v>陈单单</v>
      </c>
      <c r="N658" t="str">
        <f>IFERROR(INDEX(_角色基线!$C$2:$C$100,MATCH($B658,_角色基线!$A$2:$A$100,0)),"")</f>
        <v>DPS</v>
      </c>
      <c r="O658">
        <f>IFERROR(INDEX(_怪物基线!$B$2:$B$501,MATCH(INT($L658),_怪物基线!$A$2:$A$501,0)),"")</f>
        <v>598092</v>
      </c>
      <c r="P658">
        <f>IFERROR(INDEX(_怪物基线!$C$2:$C$501,MATCH(INT($L658),_怪物基线!$A$2:$A$501,0)),"")</f>
        <v>50416</v>
      </c>
      <c r="Q658">
        <f>IFERROR(INDEX(_怪物基线!$D$2:$D$501,MATCH(INT($L658),_怪物基线!$A$2:$A$501,0)),"")</f>
        <v>35856</v>
      </c>
      <c r="R658">
        <f>参数!$B$10</f>
        <v>4</v>
      </c>
      <c r="S658">
        <f>参数!$C$10</f>
        <v>1.2</v>
      </c>
      <c r="T658">
        <f>参数!$D$10</f>
        <v>1</v>
      </c>
      <c r="U658">
        <f t="shared" si="80"/>
        <v>2392368</v>
      </c>
      <c r="V658">
        <f t="shared" si="81"/>
        <v>60499.2</v>
      </c>
      <c r="W658">
        <f t="shared" si="82"/>
        <v>35856</v>
      </c>
      <c r="X658">
        <f>IFERROR(INDEX(参数!$B$5:$B$7,MATCH($N658,参数!$A$5:$A$7,0)),"")</f>
        <v>1</v>
      </c>
      <c r="Y658">
        <f>IFERROR(INDEX(参数!$C$5:$C$7,MATCH($N658,参数!$A$5:$A$7,0)),"")</f>
        <v>1.2</v>
      </c>
      <c r="Z658">
        <f>IFERROR(INDEX(参数!$D$5:$D$7,MATCH($N658,参数!$A$5:$A$7,0)),"")</f>
        <v>1</v>
      </c>
      <c r="AA658">
        <f>IFERROR(INDEX(楼层配置!$E$5:$E$204,MATCH($K658,楼层配置!$B$5:$B$204,0)),1)</f>
        <v>1.12582067235919</v>
      </c>
      <c r="AB658">
        <f>IFERROR(INDEX(楼层配置!$F$5:$F$204,MATCH($K658,楼层配置!$B$5:$B$204,0)),1)</f>
        <v>0.729834891319568</v>
      </c>
      <c r="AC658">
        <f>IFERROR(INDEX(楼层配置!$G$5:$G$204,MATCH($K658,楼层配置!$B$5:$B$204,0)),1)</f>
        <v>1</v>
      </c>
      <c r="AD658" t="str">
        <f t="shared" si="83"/>
        <v/>
      </c>
      <c r="AE658" t="str">
        <f t="shared" si="84"/>
        <v/>
      </c>
      <c r="AF658" t="str">
        <f t="shared" si="85"/>
        <v/>
      </c>
      <c r="AG658" t="str">
        <f t="shared" si="86"/>
        <v>有效</v>
      </c>
      <c r="AH658">
        <f t="shared" si="87"/>
        <v>6717282.238</v>
      </c>
    </row>
    <row r="659" spans="1:34">
      <c r="A659">
        <v>655</v>
      </c>
      <c r="B659">
        <v>1029</v>
      </c>
      <c r="C659">
        <v>60</v>
      </c>
      <c r="D659">
        <f>IFERROR(ROUND($U659*$X659*$AA659*参数!$B$13,0),"")</f>
        <v>3366722</v>
      </c>
      <c r="E659">
        <f>IFERROR(ROUND($V659*$Y659*$AB659*参数!$C$13,0),"")</f>
        <v>44154</v>
      </c>
      <c r="F659">
        <f>IFERROR(ROUND($W659*$Z659*$AC659*参数!$D$13,0),"")</f>
        <v>44820</v>
      </c>
      <c r="J659">
        <v>131</v>
      </c>
      <c r="K659">
        <v>131</v>
      </c>
      <c r="L659">
        <f>IFERROR(INDEX(楼层配置!$D$5:$D$204,MATCH($K659,楼层配置!$B$5:$B$204,0)),"")</f>
        <v>324</v>
      </c>
      <c r="M659" t="str">
        <f>IFERROR(INDEX(_角色基线!$B$2:$B$100,MATCH($B659,_角色基线!$A$2:$A$100,0)),"")</f>
        <v>凯兰</v>
      </c>
      <c r="N659" t="str">
        <f>IFERROR(INDEX(_角色基线!$C$2:$C$100,MATCH($B659,_角色基线!$A$2:$A$100,0)),"")</f>
        <v>Support</v>
      </c>
      <c r="O659">
        <f>IFERROR(INDEX(_怪物基线!$B$2:$B$501,MATCH(INT($L659),_怪物基线!$A$2:$A$501,0)),"")</f>
        <v>598092</v>
      </c>
      <c r="P659">
        <f>IFERROR(INDEX(_怪物基线!$C$2:$C$501,MATCH(INT($L659),_怪物基线!$A$2:$A$501,0)),"")</f>
        <v>50416</v>
      </c>
      <c r="Q659">
        <f>IFERROR(INDEX(_怪物基线!$D$2:$D$501,MATCH(INT($L659),_怪物基线!$A$2:$A$501,0)),"")</f>
        <v>35856</v>
      </c>
      <c r="R659">
        <f>参数!$B$10</f>
        <v>4</v>
      </c>
      <c r="S659">
        <f>参数!$C$10</f>
        <v>1.2</v>
      </c>
      <c r="T659">
        <f>参数!$D$10</f>
        <v>1</v>
      </c>
      <c r="U659">
        <f t="shared" si="80"/>
        <v>2392368</v>
      </c>
      <c r="V659">
        <f t="shared" si="81"/>
        <v>60499.2</v>
      </c>
      <c r="W659">
        <f t="shared" si="82"/>
        <v>35856</v>
      </c>
      <c r="X659">
        <f>IFERROR(INDEX(参数!$B$5:$B$7,MATCH($N659,参数!$A$5:$A$7,0)),"")</f>
        <v>1.25</v>
      </c>
      <c r="Y659">
        <f>IFERROR(INDEX(参数!$C$5:$C$7,MATCH($N659,参数!$A$5:$A$7,0)),"")</f>
        <v>1</v>
      </c>
      <c r="Z659">
        <f>IFERROR(INDEX(参数!$D$5:$D$7,MATCH($N659,参数!$A$5:$A$7,0)),"")</f>
        <v>1.25</v>
      </c>
      <c r="AA659">
        <f>IFERROR(INDEX(楼层配置!$E$5:$E$204,MATCH($K659,楼层配置!$B$5:$B$204,0)),1)</f>
        <v>1.12582067235919</v>
      </c>
      <c r="AB659">
        <f>IFERROR(INDEX(楼层配置!$F$5:$F$204,MATCH($K659,楼层配置!$B$5:$B$204,0)),1)</f>
        <v>0.729834891319568</v>
      </c>
      <c r="AC659">
        <f>IFERROR(INDEX(楼层配置!$G$5:$G$204,MATCH($K659,楼层配置!$B$5:$B$204,0)),1)</f>
        <v>1</v>
      </c>
      <c r="AD659" t="str">
        <f t="shared" si="83"/>
        <v/>
      </c>
      <c r="AE659" t="str">
        <f t="shared" si="84"/>
        <v/>
      </c>
      <c r="AF659" t="str">
        <f t="shared" si="85"/>
        <v/>
      </c>
      <c r="AG659" t="str">
        <f t="shared" si="86"/>
        <v>有效</v>
      </c>
      <c r="AH659">
        <f t="shared" si="87"/>
        <v>9654075.335</v>
      </c>
    </row>
    <row r="660" spans="1:34">
      <c r="A660">
        <v>656</v>
      </c>
      <c r="B660">
        <v>1003</v>
      </c>
      <c r="C660">
        <v>60</v>
      </c>
      <c r="D660">
        <f>IFERROR(ROUND($U660*$X660*$AA660*参数!$B$13,0),"")</f>
        <v>4112269</v>
      </c>
      <c r="E660">
        <f>IFERROR(ROUND($V660*$Y660*$AB660*参数!$C$13,0),"")</f>
        <v>44760</v>
      </c>
      <c r="F660">
        <f>IFERROR(ROUND($W660*$Z660*$AC660*参数!$D$13,0),"")</f>
        <v>54228</v>
      </c>
      <c r="J660">
        <v>132</v>
      </c>
      <c r="K660">
        <v>132</v>
      </c>
      <c r="L660">
        <f>IFERROR(INDEX(楼层配置!$D$5:$D$204,MATCH($K660,楼层配置!$B$5:$B$204,0)),"")</f>
        <v>326</v>
      </c>
      <c r="M660" t="str">
        <f>IFERROR(INDEX(_角色基线!$B$2:$B$100,MATCH($B660,_角色基线!$A$2:$A$100,0)),"")</f>
        <v>塔拉夏</v>
      </c>
      <c r="N660" t="str">
        <f>IFERROR(INDEX(_角色基线!$C$2:$C$100,MATCH($B660,_角色基线!$A$2:$A$100,0)),"")</f>
        <v>Tank</v>
      </c>
      <c r="O660">
        <f>IFERROR(INDEX(_怪物基线!$B$2:$B$501,MATCH(INT($L660),_怪物基线!$A$2:$A$501,0)),"")</f>
        <v>608781</v>
      </c>
      <c r="P660">
        <f>IFERROR(INDEX(_怪物基线!$C$2:$C$501,MATCH(INT($L660),_怪物基线!$A$2:$A$501,0)),"")</f>
        <v>51107</v>
      </c>
      <c r="Q660">
        <f>IFERROR(INDEX(_怪物基线!$D$2:$D$501,MATCH(INT($L660),_怪物基线!$A$2:$A$501,0)),"")</f>
        <v>36152</v>
      </c>
      <c r="R660">
        <f>参数!$B$10</f>
        <v>4</v>
      </c>
      <c r="S660">
        <f>参数!$C$10</f>
        <v>1.2</v>
      </c>
      <c r="T660">
        <f>参数!$D$10</f>
        <v>1</v>
      </c>
      <c r="U660">
        <f t="shared" si="80"/>
        <v>2435124</v>
      </c>
      <c r="V660">
        <f t="shared" si="81"/>
        <v>61328.4</v>
      </c>
      <c r="W660">
        <f t="shared" si="82"/>
        <v>36152</v>
      </c>
      <c r="X660">
        <f>IFERROR(INDEX(参数!$B$5:$B$7,MATCH($N660,参数!$A$5:$A$7,0)),"")</f>
        <v>1.5</v>
      </c>
      <c r="Y660">
        <f>IFERROR(INDEX(参数!$C$5:$C$7,MATCH($N660,参数!$A$5:$A$7,0)),"")</f>
        <v>1</v>
      </c>
      <c r="Z660">
        <f>IFERROR(INDEX(参数!$D$5:$D$7,MATCH($N660,参数!$A$5:$A$7,0)),"")</f>
        <v>1.5</v>
      </c>
      <c r="AA660">
        <f>IFERROR(INDEX(楼层配置!$E$5:$E$204,MATCH($K660,楼层配置!$B$5:$B$204,0)),1)</f>
        <v>1.12582067235919</v>
      </c>
      <c r="AB660">
        <f>IFERROR(INDEX(楼层配置!$F$5:$F$204,MATCH($K660,楼层配置!$B$5:$B$204,0)),1)</f>
        <v>0.729834891319568</v>
      </c>
      <c r="AC660">
        <f>IFERROR(INDEX(楼层配置!$G$5:$G$204,MATCH($K660,楼层配置!$B$5:$B$204,0)),1)</f>
        <v>1</v>
      </c>
      <c r="AD660" t="str">
        <f t="shared" si="83"/>
        <v/>
      </c>
      <c r="AE660" t="str">
        <f t="shared" si="84"/>
        <v/>
      </c>
      <c r="AF660" t="str">
        <f t="shared" si="85"/>
        <v/>
      </c>
      <c r="AG660" t="str">
        <f t="shared" si="86"/>
        <v>有效</v>
      </c>
      <c r="AH660">
        <f t="shared" si="87"/>
        <v>13403940.8055</v>
      </c>
    </row>
    <row r="661" spans="1:34">
      <c r="A661">
        <v>657</v>
      </c>
      <c r="B661">
        <v>1005</v>
      </c>
      <c r="C661">
        <v>60</v>
      </c>
      <c r="D661">
        <f>IFERROR(ROUND($U661*$X661*$AA661*参数!$B$13,0),"")</f>
        <v>2741513</v>
      </c>
      <c r="E661">
        <f>IFERROR(ROUND($V661*$Y661*$AB661*参数!$C$13,0),"")</f>
        <v>53712</v>
      </c>
      <c r="F661">
        <f>IFERROR(ROUND($W661*$Z661*$AC661*参数!$D$13,0),"")</f>
        <v>36152</v>
      </c>
      <c r="J661">
        <v>132</v>
      </c>
      <c r="K661">
        <v>132</v>
      </c>
      <c r="L661">
        <f>IFERROR(INDEX(楼层配置!$D$5:$D$204,MATCH($K661,楼层配置!$B$5:$B$204,0)),"")</f>
        <v>326</v>
      </c>
      <c r="M661" t="str">
        <f>IFERROR(INDEX(_角色基线!$B$2:$B$100,MATCH($B661,_角色基线!$A$2:$A$100,0)),"")</f>
        <v>陈单单</v>
      </c>
      <c r="N661" t="str">
        <f>IFERROR(INDEX(_角色基线!$C$2:$C$100,MATCH($B661,_角色基线!$A$2:$A$100,0)),"")</f>
        <v>DPS</v>
      </c>
      <c r="O661">
        <f>IFERROR(INDEX(_怪物基线!$B$2:$B$501,MATCH(INT($L661),_怪物基线!$A$2:$A$501,0)),"")</f>
        <v>608781</v>
      </c>
      <c r="P661">
        <f>IFERROR(INDEX(_怪物基线!$C$2:$C$501,MATCH(INT($L661),_怪物基线!$A$2:$A$501,0)),"")</f>
        <v>51107</v>
      </c>
      <c r="Q661">
        <f>IFERROR(INDEX(_怪物基线!$D$2:$D$501,MATCH(INT($L661),_怪物基线!$A$2:$A$501,0)),"")</f>
        <v>36152</v>
      </c>
      <c r="R661">
        <f>参数!$B$10</f>
        <v>4</v>
      </c>
      <c r="S661">
        <f>参数!$C$10</f>
        <v>1.2</v>
      </c>
      <c r="T661">
        <f>参数!$D$10</f>
        <v>1</v>
      </c>
      <c r="U661">
        <f t="shared" si="80"/>
        <v>2435124</v>
      </c>
      <c r="V661">
        <f t="shared" si="81"/>
        <v>61328.4</v>
      </c>
      <c r="W661">
        <f t="shared" si="82"/>
        <v>36152</v>
      </c>
      <c r="X661">
        <f>IFERROR(INDEX(参数!$B$5:$B$7,MATCH($N661,参数!$A$5:$A$7,0)),"")</f>
        <v>1</v>
      </c>
      <c r="Y661">
        <f>IFERROR(INDEX(参数!$C$5:$C$7,MATCH($N661,参数!$A$5:$A$7,0)),"")</f>
        <v>1.2</v>
      </c>
      <c r="Z661">
        <f>IFERROR(INDEX(参数!$D$5:$D$7,MATCH($N661,参数!$A$5:$A$7,0)),"")</f>
        <v>1</v>
      </c>
      <c r="AA661">
        <f>IFERROR(INDEX(楼层配置!$E$5:$E$204,MATCH($K661,楼层配置!$B$5:$B$204,0)),1)</f>
        <v>1.12582067235919</v>
      </c>
      <c r="AB661">
        <f>IFERROR(INDEX(楼层配置!$F$5:$F$204,MATCH($K661,楼层配置!$B$5:$B$204,0)),1)</f>
        <v>0.729834891319568</v>
      </c>
      <c r="AC661">
        <f>IFERROR(INDEX(楼层配置!$G$5:$G$204,MATCH($K661,楼层配置!$B$5:$B$204,0)),1)</f>
        <v>1</v>
      </c>
      <c r="AD661" t="str">
        <f t="shared" si="83"/>
        <v/>
      </c>
      <c r="AE661" t="str">
        <f t="shared" si="84"/>
        <v/>
      </c>
      <c r="AF661" t="str">
        <f t="shared" si="85"/>
        <v/>
      </c>
      <c r="AG661" t="str">
        <f t="shared" si="86"/>
        <v>有效</v>
      </c>
      <c r="AH661">
        <f t="shared" si="87"/>
        <v>6871145.41566667</v>
      </c>
    </row>
    <row r="662" spans="1:34">
      <c r="A662">
        <v>658</v>
      </c>
      <c r="B662">
        <v>1005</v>
      </c>
      <c r="C662">
        <v>60</v>
      </c>
      <c r="D662">
        <f>IFERROR(ROUND($U662*$X662*$AA662*参数!$B$13,0),"")</f>
        <v>2741513</v>
      </c>
      <c r="E662">
        <f>IFERROR(ROUND($V662*$Y662*$AB662*参数!$C$13,0),"")</f>
        <v>53712</v>
      </c>
      <c r="F662">
        <f>IFERROR(ROUND($W662*$Z662*$AC662*参数!$D$13,0),"")</f>
        <v>36152</v>
      </c>
      <c r="J662">
        <v>132</v>
      </c>
      <c r="K662">
        <v>132</v>
      </c>
      <c r="L662">
        <f>IFERROR(INDEX(楼层配置!$D$5:$D$204,MATCH($K662,楼层配置!$B$5:$B$204,0)),"")</f>
        <v>326</v>
      </c>
      <c r="M662" t="str">
        <f>IFERROR(INDEX(_角色基线!$B$2:$B$100,MATCH($B662,_角色基线!$A$2:$A$100,0)),"")</f>
        <v>陈单单</v>
      </c>
      <c r="N662" t="str">
        <f>IFERROR(INDEX(_角色基线!$C$2:$C$100,MATCH($B662,_角色基线!$A$2:$A$100,0)),"")</f>
        <v>DPS</v>
      </c>
      <c r="O662">
        <f>IFERROR(INDEX(_怪物基线!$B$2:$B$501,MATCH(INT($L662),_怪物基线!$A$2:$A$501,0)),"")</f>
        <v>608781</v>
      </c>
      <c r="P662">
        <f>IFERROR(INDEX(_怪物基线!$C$2:$C$501,MATCH(INT($L662),_怪物基线!$A$2:$A$501,0)),"")</f>
        <v>51107</v>
      </c>
      <c r="Q662">
        <f>IFERROR(INDEX(_怪物基线!$D$2:$D$501,MATCH(INT($L662),_怪物基线!$A$2:$A$501,0)),"")</f>
        <v>36152</v>
      </c>
      <c r="R662">
        <f>参数!$B$10</f>
        <v>4</v>
      </c>
      <c r="S662">
        <f>参数!$C$10</f>
        <v>1.2</v>
      </c>
      <c r="T662">
        <f>参数!$D$10</f>
        <v>1</v>
      </c>
      <c r="U662">
        <f t="shared" si="80"/>
        <v>2435124</v>
      </c>
      <c r="V662">
        <f t="shared" si="81"/>
        <v>61328.4</v>
      </c>
      <c r="W662">
        <f t="shared" si="82"/>
        <v>36152</v>
      </c>
      <c r="X662">
        <f>IFERROR(INDEX(参数!$B$5:$B$7,MATCH($N662,参数!$A$5:$A$7,0)),"")</f>
        <v>1</v>
      </c>
      <c r="Y662">
        <f>IFERROR(INDEX(参数!$C$5:$C$7,MATCH($N662,参数!$A$5:$A$7,0)),"")</f>
        <v>1.2</v>
      </c>
      <c r="Z662">
        <f>IFERROR(INDEX(参数!$D$5:$D$7,MATCH($N662,参数!$A$5:$A$7,0)),"")</f>
        <v>1</v>
      </c>
      <c r="AA662">
        <f>IFERROR(INDEX(楼层配置!$E$5:$E$204,MATCH($K662,楼层配置!$B$5:$B$204,0)),1)</f>
        <v>1.12582067235919</v>
      </c>
      <c r="AB662">
        <f>IFERROR(INDEX(楼层配置!$F$5:$F$204,MATCH($K662,楼层配置!$B$5:$B$204,0)),1)</f>
        <v>0.729834891319568</v>
      </c>
      <c r="AC662">
        <f>IFERROR(INDEX(楼层配置!$G$5:$G$204,MATCH($K662,楼层配置!$B$5:$B$204,0)),1)</f>
        <v>1</v>
      </c>
      <c r="AD662" t="str">
        <f t="shared" si="83"/>
        <v/>
      </c>
      <c r="AE662" t="str">
        <f t="shared" si="84"/>
        <v/>
      </c>
      <c r="AF662" t="str">
        <f t="shared" si="85"/>
        <v/>
      </c>
      <c r="AG662" t="str">
        <f t="shared" si="86"/>
        <v>有效</v>
      </c>
      <c r="AH662">
        <f t="shared" si="87"/>
        <v>6871145.41566667</v>
      </c>
    </row>
    <row r="663" spans="1:34">
      <c r="A663">
        <v>659</v>
      </c>
      <c r="B663">
        <v>1005</v>
      </c>
      <c r="C663">
        <v>60</v>
      </c>
      <c r="D663">
        <f>IFERROR(ROUND($U663*$X663*$AA663*参数!$B$13,0),"")</f>
        <v>2741513</v>
      </c>
      <c r="E663">
        <f>IFERROR(ROUND($V663*$Y663*$AB663*参数!$C$13,0),"")</f>
        <v>53712</v>
      </c>
      <c r="F663">
        <f>IFERROR(ROUND($W663*$Z663*$AC663*参数!$D$13,0),"")</f>
        <v>36152</v>
      </c>
      <c r="J663">
        <v>132</v>
      </c>
      <c r="K663">
        <v>132</v>
      </c>
      <c r="L663">
        <f>IFERROR(INDEX(楼层配置!$D$5:$D$204,MATCH($K663,楼层配置!$B$5:$B$204,0)),"")</f>
        <v>326</v>
      </c>
      <c r="M663" t="str">
        <f>IFERROR(INDEX(_角色基线!$B$2:$B$100,MATCH($B663,_角色基线!$A$2:$A$100,0)),"")</f>
        <v>陈单单</v>
      </c>
      <c r="N663" t="str">
        <f>IFERROR(INDEX(_角色基线!$C$2:$C$100,MATCH($B663,_角色基线!$A$2:$A$100,0)),"")</f>
        <v>DPS</v>
      </c>
      <c r="O663">
        <f>IFERROR(INDEX(_怪物基线!$B$2:$B$501,MATCH(INT($L663),_怪物基线!$A$2:$A$501,0)),"")</f>
        <v>608781</v>
      </c>
      <c r="P663">
        <f>IFERROR(INDEX(_怪物基线!$C$2:$C$501,MATCH(INT($L663),_怪物基线!$A$2:$A$501,0)),"")</f>
        <v>51107</v>
      </c>
      <c r="Q663">
        <f>IFERROR(INDEX(_怪物基线!$D$2:$D$501,MATCH(INT($L663),_怪物基线!$A$2:$A$501,0)),"")</f>
        <v>36152</v>
      </c>
      <c r="R663">
        <f>参数!$B$10</f>
        <v>4</v>
      </c>
      <c r="S663">
        <f>参数!$C$10</f>
        <v>1.2</v>
      </c>
      <c r="T663">
        <f>参数!$D$10</f>
        <v>1</v>
      </c>
      <c r="U663">
        <f t="shared" si="80"/>
        <v>2435124</v>
      </c>
      <c r="V663">
        <f t="shared" si="81"/>
        <v>61328.4</v>
      </c>
      <c r="W663">
        <f t="shared" si="82"/>
        <v>36152</v>
      </c>
      <c r="X663">
        <f>IFERROR(INDEX(参数!$B$5:$B$7,MATCH($N663,参数!$A$5:$A$7,0)),"")</f>
        <v>1</v>
      </c>
      <c r="Y663">
        <f>IFERROR(INDEX(参数!$C$5:$C$7,MATCH($N663,参数!$A$5:$A$7,0)),"")</f>
        <v>1.2</v>
      </c>
      <c r="Z663">
        <f>IFERROR(INDEX(参数!$D$5:$D$7,MATCH($N663,参数!$A$5:$A$7,0)),"")</f>
        <v>1</v>
      </c>
      <c r="AA663">
        <f>IFERROR(INDEX(楼层配置!$E$5:$E$204,MATCH($K663,楼层配置!$B$5:$B$204,0)),1)</f>
        <v>1.12582067235919</v>
      </c>
      <c r="AB663">
        <f>IFERROR(INDEX(楼层配置!$F$5:$F$204,MATCH($K663,楼层配置!$B$5:$B$204,0)),1)</f>
        <v>0.729834891319568</v>
      </c>
      <c r="AC663">
        <f>IFERROR(INDEX(楼层配置!$G$5:$G$204,MATCH($K663,楼层配置!$B$5:$B$204,0)),1)</f>
        <v>1</v>
      </c>
      <c r="AD663" t="str">
        <f t="shared" si="83"/>
        <v/>
      </c>
      <c r="AE663" t="str">
        <f t="shared" si="84"/>
        <v/>
      </c>
      <c r="AF663" t="str">
        <f t="shared" si="85"/>
        <v/>
      </c>
      <c r="AG663" t="str">
        <f t="shared" si="86"/>
        <v>有效</v>
      </c>
      <c r="AH663">
        <f t="shared" si="87"/>
        <v>6871145.41566667</v>
      </c>
    </row>
    <row r="664" spans="1:34">
      <c r="A664">
        <v>660</v>
      </c>
      <c r="B664">
        <v>1029</v>
      </c>
      <c r="C664">
        <v>60</v>
      </c>
      <c r="D664">
        <f>IFERROR(ROUND($U664*$X664*$AA664*参数!$B$13,0),"")</f>
        <v>3426891</v>
      </c>
      <c r="E664">
        <f>IFERROR(ROUND($V664*$Y664*$AB664*参数!$C$13,0),"")</f>
        <v>44760</v>
      </c>
      <c r="F664">
        <f>IFERROR(ROUND($W664*$Z664*$AC664*参数!$D$13,0),"")</f>
        <v>45190</v>
      </c>
      <c r="J664">
        <v>132</v>
      </c>
      <c r="K664">
        <v>132</v>
      </c>
      <c r="L664">
        <f>IFERROR(INDEX(楼层配置!$D$5:$D$204,MATCH($K664,楼层配置!$B$5:$B$204,0)),"")</f>
        <v>326</v>
      </c>
      <c r="M664" t="str">
        <f>IFERROR(INDEX(_角色基线!$B$2:$B$100,MATCH($B664,_角色基线!$A$2:$A$100,0)),"")</f>
        <v>凯兰</v>
      </c>
      <c r="N664" t="str">
        <f>IFERROR(INDEX(_角色基线!$C$2:$C$100,MATCH($B664,_角色基线!$A$2:$A$100,0)),"")</f>
        <v>Support</v>
      </c>
      <c r="O664">
        <f>IFERROR(INDEX(_怪物基线!$B$2:$B$501,MATCH(INT($L664),_怪物基线!$A$2:$A$501,0)),"")</f>
        <v>608781</v>
      </c>
      <c r="P664">
        <f>IFERROR(INDEX(_怪物基线!$C$2:$C$501,MATCH(INT($L664),_怪物基线!$A$2:$A$501,0)),"")</f>
        <v>51107</v>
      </c>
      <c r="Q664">
        <f>IFERROR(INDEX(_怪物基线!$D$2:$D$501,MATCH(INT($L664),_怪物基线!$A$2:$A$501,0)),"")</f>
        <v>36152</v>
      </c>
      <c r="R664">
        <f>参数!$B$10</f>
        <v>4</v>
      </c>
      <c r="S664">
        <f>参数!$C$10</f>
        <v>1.2</v>
      </c>
      <c r="T664">
        <f>参数!$D$10</f>
        <v>1</v>
      </c>
      <c r="U664">
        <f t="shared" si="80"/>
        <v>2435124</v>
      </c>
      <c r="V664">
        <f t="shared" si="81"/>
        <v>61328.4</v>
      </c>
      <c r="W664">
        <f t="shared" si="82"/>
        <v>36152</v>
      </c>
      <c r="X664">
        <f>IFERROR(INDEX(参数!$B$5:$B$7,MATCH($N664,参数!$A$5:$A$7,0)),"")</f>
        <v>1.25</v>
      </c>
      <c r="Y664">
        <f>IFERROR(INDEX(参数!$C$5:$C$7,MATCH($N664,参数!$A$5:$A$7,0)),"")</f>
        <v>1</v>
      </c>
      <c r="Z664">
        <f>IFERROR(INDEX(参数!$D$5:$D$7,MATCH($N664,参数!$A$5:$A$7,0)),"")</f>
        <v>1.25</v>
      </c>
      <c r="AA664">
        <f>IFERROR(INDEX(楼层配置!$E$5:$E$204,MATCH($K664,楼层配置!$B$5:$B$204,0)),1)</f>
        <v>1.12582067235919</v>
      </c>
      <c r="AB664">
        <f>IFERROR(INDEX(楼层配置!$F$5:$F$204,MATCH($K664,楼层配置!$B$5:$B$204,0)),1)</f>
        <v>0.729834891319568</v>
      </c>
      <c r="AC664">
        <f>IFERROR(INDEX(楼层配置!$G$5:$G$204,MATCH($K664,楼层配置!$B$5:$B$204,0)),1)</f>
        <v>1</v>
      </c>
      <c r="AD664" t="str">
        <f t="shared" si="83"/>
        <v/>
      </c>
      <c r="AE664" t="str">
        <f t="shared" si="84"/>
        <v/>
      </c>
      <c r="AF664" t="str">
        <f t="shared" si="85"/>
        <v/>
      </c>
      <c r="AG664" t="str">
        <f t="shared" si="86"/>
        <v>有效</v>
      </c>
      <c r="AH664">
        <f t="shared" si="87"/>
        <v>9879441.17875</v>
      </c>
    </row>
    <row r="665" spans="1:34">
      <c r="A665">
        <v>661</v>
      </c>
      <c r="B665">
        <v>1003</v>
      </c>
      <c r="C665">
        <v>60</v>
      </c>
      <c r="D665">
        <f>IFERROR(ROUND($U665*$X665*$AA665*参数!$B$13,0),"")</f>
        <v>4148739</v>
      </c>
      <c r="E665">
        <f>IFERROR(ROUND($V665*$Y665*$AB665*参数!$C$13,0),"")</f>
        <v>45064</v>
      </c>
      <c r="F665">
        <f>IFERROR(ROUND($W665*$Z665*$AC665*参数!$D$13,0),"")</f>
        <v>54450</v>
      </c>
      <c r="J665">
        <v>133</v>
      </c>
      <c r="K665">
        <v>133</v>
      </c>
      <c r="L665">
        <f>IFERROR(INDEX(楼层配置!$D$5:$D$204,MATCH($K665,楼层配置!$B$5:$B$204,0)),"")</f>
        <v>327</v>
      </c>
      <c r="M665" t="str">
        <f>IFERROR(INDEX(_角色基线!$B$2:$B$100,MATCH($B665,_角色基线!$A$2:$A$100,0)),"")</f>
        <v>塔拉夏</v>
      </c>
      <c r="N665" t="str">
        <f>IFERROR(INDEX(_角色基线!$C$2:$C$100,MATCH($B665,_角色基线!$A$2:$A$100,0)),"")</f>
        <v>Tank</v>
      </c>
      <c r="O665">
        <f>IFERROR(INDEX(_怪物基线!$B$2:$B$501,MATCH(INT($L665),_怪物基线!$A$2:$A$501,0)),"")</f>
        <v>614180</v>
      </c>
      <c r="P665">
        <f>IFERROR(INDEX(_怪物基线!$C$2:$C$501,MATCH(INT($L665),_怪物基线!$A$2:$A$501,0)),"")</f>
        <v>51455</v>
      </c>
      <c r="Q665">
        <f>IFERROR(INDEX(_怪物基线!$D$2:$D$501,MATCH(INT($L665),_怪物基线!$A$2:$A$501,0)),"")</f>
        <v>36300</v>
      </c>
      <c r="R665">
        <f>参数!$B$10</f>
        <v>4</v>
      </c>
      <c r="S665">
        <f>参数!$C$10</f>
        <v>1.2</v>
      </c>
      <c r="T665">
        <f>参数!$D$10</f>
        <v>1</v>
      </c>
      <c r="U665">
        <f t="shared" si="80"/>
        <v>2456720</v>
      </c>
      <c r="V665">
        <f t="shared" si="81"/>
        <v>61746</v>
      </c>
      <c r="W665">
        <f t="shared" si="82"/>
        <v>36300</v>
      </c>
      <c r="X665">
        <f>IFERROR(INDEX(参数!$B$5:$B$7,MATCH($N665,参数!$A$5:$A$7,0)),"")</f>
        <v>1.5</v>
      </c>
      <c r="Y665">
        <f>IFERROR(INDEX(参数!$C$5:$C$7,MATCH($N665,参数!$A$5:$A$7,0)),"")</f>
        <v>1</v>
      </c>
      <c r="Z665">
        <f>IFERROR(INDEX(参数!$D$5:$D$7,MATCH($N665,参数!$A$5:$A$7,0)),"")</f>
        <v>1.5</v>
      </c>
      <c r="AA665">
        <f>IFERROR(INDEX(楼层配置!$E$5:$E$204,MATCH($K665,楼层配置!$B$5:$B$204,0)),1)</f>
        <v>1.12582067235919</v>
      </c>
      <c r="AB665">
        <f>IFERROR(INDEX(楼层配置!$F$5:$F$204,MATCH($K665,楼层配置!$B$5:$B$204,0)),1)</f>
        <v>0.729834891319568</v>
      </c>
      <c r="AC665">
        <f>IFERROR(INDEX(楼层配置!$G$5:$G$204,MATCH($K665,楼层配置!$B$5:$B$204,0)),1)</f>
        <v>1</v>
      </c>
      <c r="AD665" t="str">
        <f t="shared" si="83"/>
        <v/>
      </c>
      <c r="AE665" t="str">
        <f t="shared" si="84"/>
        <v/>
      </c>
      <c r="AF665" t="str">
        <f t="shared" si="85"/>
        <v/>
      </c>
      <c r="AG665" t="str">
        <f t="shared" si="86"/>
        <v>有效</v>
      </c>
      <c r="AH665">
        <f t="shared" si="87"/>
        <v>13561190.60625</v>
      </c>
    </row>
    <row r="666" spans="1:34">
      <c r="A666">
        <v>662</v>
      </c>
      <c r="B666">
        <v>1005</v>
      </c>
      <c r="C666">
        <v>60</v>
      </c>
      <c r="D666">
        <f>IFERROR(ROUND($U666*$X666*$AA666*参数!$B$13,0),"")</f>
        <v>2765826</v>
      </c>
      <c r="E666">
        <f>IFERROR(ROUND($V666*$Y666*$AB666*参数!$C$13,0),"")</f>
        <v>54077</v>
      </c>
      <c r="F666">
        <f>IFERROR(ROUND($W666*$Z666*$AC666*参数!$D$13,0),"")</f>
        <v>36300</v>
      </c>
      <c r="J666">
        <v>133</v>
      </c>
      <c r="K666">
        <v>133</v>
      </c>
      <c r="L666">
        <f>IFERROR(INDEX(楼层配置!$D$5:$D$204,MATCH($K666,楼层配置!$B$5:$B$204,0)),"")</f>
        <v>327</v>
      </c>
      <c r="M666" t="str">
        <f>IFERROR(INDEX(_角色基线!$B$2:$B$100,MATCH($B666,_角色基线!$A$2:$A$100,0)),"")</f>
        <v>陈单单</v>
      </c>
      <c r="N666" t="str">
        <f>IFERROR(INDEX(_角色基线!$C$2:$C$100,MATCH($B666,_角色基线!$A$2:$A$100,0)),"")</f>
        <v>DPS</v>
      </c>
      <c r="O666">
        <f>IFERROR(INDEX(_怪物基线!$B$2:$B$501,MATCH(INT($L666),_怪物基线!$A$2:$A$501,0)),"")</f>
        <v>614180</v>
      </c>
      <c r="P666">
        <f>IFERROR(INDEX(_怪物基线!$C$2:$C$501,MATCH(INT($L666),_怪物基线!$A$2:$A$501,0)),"")</f>
        <v>51455</v>
      </c>
      <c r="Q666">
        <f>IFERROR(INDEX(_怪物基线!$D$2:$D$501,MATCH(INT($L666),_怪物基线!$A$2:$A$501,0)),"")</f>
        <v>36300</v>
      </c>
      <c r="R666">
        <f>参数!$B$10</f>
        <v>4</v>
      </c>
      <c r="S666">
        <f>参数!$C$10</f>
        <v>1.2</v>
      </c>
      <c r="T666">
        <f>参数!$D$10</f>
        <v>1</v>
      </c>
      <c r="U666">
        <f t="shared" si="80"/>
        <v>2456720</v>
      </c>
      <c r="V666">
        <f t="shared" si="81"/>
        <v>61746</v>
      </c>
      <c r="W666">
        <f t="shared" si="82"/>
        <v>36300</v>
      </c>
      <c r="X666">
        <f>IFERROR(INDEX(参数!$B$5:$B$7,MATCH($N666,参数!$A$5:$A$7,0)),"")</f>
        <v>1</v>
      </c>
      <c r="Y666">
        <f>IFERROR(INDEX(参数!$C$5:$C$7,MATCH($N666,参数!$A$5:$A$7,0)),"")</f>
        <v>1.2</v>
      </c>
      <c r="Z666">
        <f>IFERROR(INDEX(参数!$D$5:$D$7,MATCH($N666,参数!$A$5:$A$7,0)),"")</f>
        <v>1</v>
      </c>
      <c r="AA666">
        <f>IFERROR(INDEX(楼层配置!$E$5:$E$204,MATCH($K666,楼层配置!$B$5:$B$204,0)),1)</f>
        <v>1.12582067235919</v>
      </c>
      <c r="AB666">
        <f>IFERROR(INDEX(楼层配置!$F$5:$F$204,MATCH($K666,楼层配置!$B$5:$B$204,0)),1)</f>
        <v>0.729834891319568</v>
      </c>
      <c r="AC666">
        <f>IFERROR(INDEX(楼层配置!$G$5:$G$204,MATCH($K666,楼层配置!$B$5:$B$204,0)),1)</f>
        <v>1</v>
      </c>
      <c r="AD666" t="str">
        <f t="shared" si="83"/>
        <v/>
      </c>
      <c r="AE666" t="str">
        <f t="shared" si="84"/>
        <v/>
      </c>
      <c r="AF666" t="str">
        <f t="shared" si="85"/>
        <v/>
      </c>
      <c r="AG666" t="str">
        <f t="shared" si="86"/>
        <v>有效</v>
      </c>
      <c r="AH666">
        <f t="shared" si="87"/>
        <v>6949137.825</v>
      </c>
    </row>
    <row r="667" spans="1:34">
      <c r="A667">
        <v>663</v>
      </c>
      <c r="B667">
        <v>1005</v>
      </c>
      <c r="C667">
        <v>60</v>
      </c>
      <c r="D667">
        <f>IFERROR(ROUND($U667*$X667*$AA667*参数!$B$13,0),"")</f>
        <v>2765826</v>
      </c>
      <c r="E667">
        <f>IFERROR(ROUND($V667*$Y667*$AB667*参数!$C$13,0),"")</f>
        <v>54077</v>
      </c>
      <c r="F667">
        <f>IFERROR(ROUND($W667*$Z667*$AC667*参数!$D$13,0),"")</f>
        <v>36300</v>
      </c>
      <c r="J667">
        <v>133</v>
      </c>
      <c r="K667">
        <v>133</v>
      </c>
      <c r="L667">
        <f>IFERROR(INDEX(楼层配置!$D$5:$D$204,MATCH($K667,楼层配置!$B$5:$B$204,0)),"")</f>
        <v>327</v>
      </c>
      <c r="M667" t="str">
        <f>IFERROR(INDEX(_角色基线!$B$2:$B$100,MATCH($B667,_角色基线!$A$2:$A$100,0)),"")</f>
        <v>陈单单</v>
      </c>
      <c r="N667" t="str">
        <f>IFERROR(INDEX(_角色基线!$C$2:$C$100,MATCH($B667,_角色基线!$A$2:$A$100,0)),"")</f>
        <v>DPS</v>
      </c>
      <c r="O667">
        <f>IFERROR(INDEX(_怪物基线!$B$2:$B$501,MATCH(INT($L667),_怪物基线!$A$2:$A$501,0)),"")</f>
        <v>614180</v>
      </c>
      <c r="P667">
        <f>IFERROR(INDEX(_怪物基线!$C$2:$C$501,MATCH(INT($L667),_怪物基线!$A$2:$A$501,0)),"")</f>
        <v>51455</v>
      </c>
      <c r="Q667">
        <f>IFERROR(INDEX(_怪物基线!$D$2:$D$501,MATCH(INT($L667),_怪物基线!$A$2:$A$501,0)),"")</f>
        <v>36300</v>
      </c>
      <c r="R667">
        <f>参数!$B$10</f>
        <v>4</v>
      </c>
      <c r="S667">
        <f>参数!$C$10</f>
        <v>1.2</v>
      </c>
      <c r="T667">
        <f>参数!$D$10</f>
        <v>1</v>
      </c>
      <c r="U667">
        <f t="shared" si="80"/>
        <v>2456720</v>
      </c>
      <c r="V667">
        <f t="shared" si="81"/>
        <v>61746</v>
      </c>
      <c r="W667">
        <f t="shared" si="82"/>
        <v>36300</v>
      </c>
      <c r="X667">
        <f>IFERROR(INDEX(参数!$B$5:$B$7,MATCH($N667,参数!$A$5:$A$7,0)),"")</f>
        <v>1</v>
      </c>
      <c r="Y667">
        <f>IFERROR(INDEX(参数!$C$5:$C$7,MATCH($N667,参数!$A$5:$A$7,0)),"")</f>
        <v>1.2</v>
      </c>
      <c r="Z667">
        <f>IFERROR(INDEX(参数!$D$5:$D$7,MATCH($N667,参数!$A$5:$A$7,0)),"")</f>
        <v>1</v>
      </c>
      <c r="AA667">
        <f>IFERROR(INDEX(楼层配置!$E$5:$E$204,MATCH($K667,楼层配置!$B$5:$B$204,0)),1)</f>
        <v>1.12582067235919</v>
      </c>
      <c r="AB667">
        <f>IFERROR(INDEX(楼层配置!$F$5:$F$204,MATCH($K667,楼层配置!$B$5:$B$204,0)),1)</f>
        <v>0.729834891319568</v>
      </c>
      <c r="AC667">
        <f>IFERROR(INDEX(楼层配置!$G$5:$G$204,MATCH($K667,楼层配置!$B$5:$B$204,0)),1)</f>
        <v>1</v>
      </c>
      <c r="AD667" t="str">
        <f t="shared" si="83"/>
        <v/>
      </c>
      <c r="AE667" t="str">
        <f t="shared" si="84"/>
        <v/>
      </c>
      <c r="AF667" t="str">
        <f t="shared" si="85"/>
        <v/>
      </c>
      <c r="AG667" t="str">
        <f t="shared" si="86"/>
        <v>有效</v>
      </c>
      <c r="AH667">
        <f t="shared" si="87"/>
        <v>6949137.825</v>
      </c>
    </row>
    <row r="668" spans="1:34">
      <c r="A668">
        <v>664</v>
      </c>
      <c r="B668">
        <v>1005</v>
      </c>
      <c r="C668">
        <v>60</v>
      </c>
      <c r="D668">
        <f>IFERROR(ROUND($U668*$X668*$AA668*参数!$B$13,0),"")</f>
        <v>2765826</v>
      </c>
      <c r="E668">
        <f>IFERROR(ROUND($V668*$Y668*$AB668*参数!$C$13,0),"")</f>
        <v>54077</v>
      </c>
      <c r="F668">
        <f>IFERROR(ROUND($W668*$Z668*$AC668*参数!$D$13,0),"")</f>
        <v>36300</v>
      </c>
      <c r="J668">
        <v>133</v>
      </c>
      <c r="K668">
        <v>133</v>
      </c>
      <c r="L668">
        <f>IFERROR(INDEX(楼层配置!$D$5:$D$204,MATCH($K668,楼层配置!$B$5:$B$204,0)),"")</f>
        <v>327</v>
      </c>
      <c r="M668" t="str">
        <f>IFERROR(INDEX(_角色基线!$B$2:$B$100,MATCH($B668,_角色基线!$A$2:$A$100,0)),"")</f>
        <v>陈单单</v>
      </c>
      <c r="N668" t="str">
        <f>IFERROR(INDEX(_角色基线!$C$2:$C$100,MATCH($B668,_角色基线!$A$2:$A$100,0)),"")</f>
        <v>DPS</v>
      </c>
      <c r="O668">
        <f>IFERROR(INDEX(_怪物基线!$B$2:$B$501,MATCH(INT($L668),_怪物基线!$A$2:$A$501,0)),"")</f>
        <v>614180</v>
      </c>
      <c r="P668">
        <f>IFERROR(INDEX(_怪物基线!$C$2:$C$501,MATCH(INT($L668),_怪物基线!$A$2:$A$501,0)),"")</f>
        <v>51455</v>
      </c>
      <c r="Q668">
        <f>IFERROR(INDEX(_怪物基线!$D$2:$D$501,MATCH(INT($L668),_怪物基线!$A$2:$A$501,0)),"")</f>
        <v>36300</v>
      </c>
      <c r="R668">
        <f>参数!$B$10</f>
        <v>4</v>
      </c>
      <c r="S668">
        <f>参数!$C$10</f>
        <v>1.2</v>
      </c>
      <c r="T668">
        <f>参数!$D$10</f>
        <v>1</v>
      </c>
      <c r="U668">
        <f t="shared" si="80"/>
        <v>2456720</v>
      </c>
      <c r="V668">
        <f t="shared" si="81"/>
        <v>61746</v>
      </c>
      <c r="W668">
        <f t="shared" si="82"/>
        <v>36300</v>
      </c>
      <c r="X668">
        <f>IFERROR(INDEX(参数!$B$5:$B$7,MATCH($N668,参数!$A$5:$A$7,0)),"")</f>
        <v>1</v>
      </c>
      <c r="Y668">
        <f>IFERROR(INDEX(参数!$C$5:$C$7,MATCH($N668,参数!$A$5:$A$7,0)),"")</f>
        <v>1.2</v>
      </c>
      <c r="Z668">
        <f>IFERROR(INDEX(参数!$D$5:$D$7,MATCH($N668,参数!$A$5:$A$7,0)),"")</f>
        <v>1</v>
      </c>
      <c r="AA668">
        <f>IFERROR(INDEX(楼层配置!$E$5:$E$204,MATCH($K668,楼层配置!$B$5:$B$204,0)),1)</f>
        <v>1.12582067235919</v>
      </c>
      <c r="AB668">
        <f>IFERROR(INDEX(楼层配置!$F$5:$F$204,MATCH($K668,楼层配置!$B$5:$B$204,0)),1)</f>
        <v>0.729834891319568</v>
      </c>
      <c r="AC668">
        <f>IFERROR(INDEX(楼层配置!$G$5:$G$204,MATCH($K668,楼层配置!$B$5:$B$204,0)),1)</f>
        <v>1</v>
      </c>
      <c r="AD668" t="str">
        <f t="shared" si="83"/>
        <v/>
      </c>
      <c r="AE668" t="str">
        <f t="shared" si="84"/>
        <v/>
      </c>
      <c r="AF668" t="str">
        <f t="shared" si="85"/>
        <v/>
      </c>
      <c r="AG668" t="str">
        <f t="shared" si="86"/>
        <v>有效</v>
      </c>
      <c r="AH668">
        <f t="shared" si="87"/>
        <v>6949137.825</v>
      </c>
    </row>
    <row r="669" spans="1:34">
      <c r="A669">
        <v>665</v>
      </c>
      <c r="B669">
        <v>1029</v>
      </c>
      <c r="C669">
        <v>60</v>
      </c>
      <c r="D669">
        <f>IFERROR(ROUND($U669*$X669*$AA669*参数!$B$13,0),"")</f>
        <v>3457283</v>
      </c>
      <c r="E669">
        <f>IFERROR(ROUND($V669*$Y669*$AB669*参数!$C$13,0),"")</f>
        <v>45064</v>
      </c>
      <c r="F669">
        <f>IFERROR(ROUND($W669*$Z669*$AC669*参数!$D$13,0),"")</f>
        <v>45375</v>
      </c>
      <c r="J669">
        <v>133</v>
      </c>
      <c r="K669">
        <v>133</v>
      </c>
      <c r="L669">
        <f>IFERROR(INDEX(楼层配置!$D$5:$D$204,MATCH($K669,楼层配置!$B$5:$B$204,0)),"")</f>
        <v>327</v>
      </c>
      <c r="M669" t="str">
        <f>IFERROR(INDEX(_角色基线!$B$2:$B$100,MATCH($B669,_角色基线!$A$2:$A$100,0)),"")</f>
        <v>凯兰</v>
      </c>
      <c r="N669" t="str">
        <f>IFERROR(INDEX(_角色基线!$C$2:$C$100,MATCH($B669,_角色基线!$A$2:$A$100,0)),"")</f>
        <v>Support</v>
      </c>
      <c r="O669">
        <f>IFERROR(INDEX(_怪物基线!$B$2:$B$501,MATCH(INT($L669),_怪物基线!$A$2:$A$501,0)),"")</f>
        <v>614180</v>
      </c>
      <c r="P669">
        <f>IFERROR(INDEX(_怪物基线!$C$2:$C$501,MATCH(INT($L669),_怪物基线!$A$2:$A$501,0)),"")</f>
        <v>51455</v>
      </c>
      <c r="Q669">
        <f>IFERROR(INDEX(_怪物基线!$D$2:$D$501,MATCH(INT($L669),_怪物基线!$A$2:$A$501,0)),"")</f>
        <v>36300</v>
      </c>
      <c r="R669">
        <f>参数!$B$10</f>
        <v>4</v>
      </c>
      <c r="S669">
        <f>参数!$C$10</f>
        <v>1.2</v>
      </c>
      <c r="T669">
        <f>参数!$D$10</f>
        <v>1</v>
      </c>
      <c r="U669">
        <f t="shared" si="80"/>
        <v>2456720</v>
      </c>
      <c r="V669">
        <f t="shared" si="81"/>
        <v>61746</v>
      </c>
      <c r="W669">
        <f t="shared" si="82"/>
        <v>36300</v>
      </c>
      <c r="X669">
        <f>IFERROR(INDEX(参数!$B$5:$B$7,MATCH($N669,参数!$A$5:$A$7,0)),"")</f>
        <v>1.25</v>
      </c>
      <c r="Y669">
        <f>IFERROR(INDEX(参数!$C$5:$C$7,MATCH($N669,参数!$A$5:$A$7,0)),"")</f>
        <v>1</v>
      </c>
      <c r="Z669">
        <f>IFERROR(INDEX(参数!$D$5:$D$7,MATCH($N669,参数!$A$5:$A$7,0)),"")</f>
        <v>1.25</v>
      </c>
      <c r="AA669">
        <f>IFERROR(INDEX(楼层配置!$E$5:$E$204,MATCH($K669,楼层配置!$B$5:$B$204,0)),1)</f>
        <v>1.12582067235919</v>
      </c>
      <c r="AB669">
        <f>IFERROR(INDEX(楼层配置!$F$5:$F$204,MATCH($K669,楼层配置!$B$5:$B$204,0)),1)</f>
        <v>0.729834891319568</v>
      </c>
      <c r="AC669">
        <f>IFERROR(INDEX(楼层配置!$G$5:$G$204,MATCH($K669,楼层配置!$B$5:$B$204,0)),1)</f>
        <v>1</v>
      </c>
      <c r="AD669" t="str">
        <f t="shared" si="83"/>
        <v/>
      </c>
      <c r="AE669" t="str">
        <f t="shared" si="84"/>
        <v/>
      </c>
      <c r="AF669" t="str">
        <f t="shared" si="85"/>
        <v/>
      </c>
      <c r="AG669" t="str">
        <f t="shared" si="86"/>
        <v>有效</v>
      </c>
      <c r="AH669">
        <f t="shared" si="87"/>
        <v>9993708.671875</v>
      </c>
    </row>
    <row r="670" spans="1:34">
      <c r="A670">
        <v>666</v>
      </c>
      <c r="B670">
        <v>1003</v>
      </c>
      <c r="C670">
        <v>60</v>
      </c>
      <c r="D670">
        <f>IFERROR(ROUND($U670*$X670*$AA670*参数!$B$13,0),"")</f>
        <v>4222442</v>
      </c>
      <c r="E670">
        <f>IFERROR(ROUND($V670*$Y670*$AB670*参数!$C$13,0),"")</f>
        <v>45679</v>
      </c>
      <c r="F670">
        <f>IFERROR(ROUND($W670*$Z670*$AC670*参数!$D$13,0),"")</f>
        <v>54896</v>
      </c>
      <c r="J670">
        <v>134</v>
      </c>
      <c r="K670">
        <v>134</v>
      </c>
      <c r="L670">
        <f>IFERROR(INDEX(楼层配置!$D$5:$D$204,MATCH($K670,楼层配置!$B$5:$B$204,0)),"")</f>
        <v>329</v>
      </c>
      <c r="M670" t="str">
        <f>IFERROR(INDEX(_角色基线!$B$2:$B$100,MATCH($B670,_角色基线!$A$2:$A$100,0)),"")</f>
        <v>塔拉夏</v>
      </c>
      <c r="N670" t="str">
        <f>IFERROR(INDEX(_角色基线!$C$2:$C$100,MATCH($B670,_角色基线!$A$2:$A$100,0)),"")</f>
        <v>Tank</v>
      </c>
      <c r="O670">
        <f>IFERROR(INDEX(_怪物基线!$B$2:$B$501,MATCH(INT($L670),_怪物基线!$A$2:$A$501,0)),"")</f>
        <v>625091</v>
      </c>
      <c r="P670">
        <f>IFERROR(INDEX(_怪物基线!$C$2:$C$501,MATCH(INT($L670),_怪物基线!$A$2:$A$501,0)),"")</f>
        <v>52157</v>
      </c>
      <c r="Q670">
        <f>IFERROR(INDEX(_怪物基线!$D$2:$D$501,MATCH(INT($L670),_怪物基线!$A$2:$A$501,0)),"")</f>
        <v>36597</v>
      </c>
      <c r="R670">
        <f>参数!$B$10</f>
        <v>4</v>
      </c>
      <c r="S670">
        <f>参数!$C$10</f>
        <v>1.2</v>
      </c>
      <c r="T670">
        <f>参数!$D$10</f>
        <v>1</v>
      </c>
      <c r="U670">
        <f t="shared" si="80"/>
        <v>2500364</v>
      </c>
      <c r="V670">
        <f t="shared" si="81"/>
        <v>62588.4</v>
      </c>
      <c r="W670">
        <f t="shared" si="82"/>
        <v>36597</v>
      </c>
      <c r="X670">
        <f>IFERROR(INDEX(参数!$B$5:$B$7,MATCH($N670,参数!$A$5:$A$7,0)),"")</f>
        <v>1.5</v>
      </c>
      <c r="Y670">
        <f>IFERROR(INDEX(参数!$C$5:$C$7,MATCH($N670,参数!$A$5:$A$7,0)),"")</f>
        <v>1</v>
      </c>
      <c r="Z670">
        <f>IFERROR(INDEX(参数!$D$5:$D$7,MATCH($N670,参数!$A$5:$A$7,0)),"")</f>
        <v>1.5</v>
      </c>
      <c r="AA670">
        <f>IFERROR(INDEX(楼层配置!$E$5:$E$204,MATCH($K670,楼层配置!$B$5:$B$204,0)),1)</f>
        <v>1.12582067235919</v>
      </c>
      <c r="AB670">
        <f>IFERROR(INDEX(楼层配置!$F$5:$F$204,MATCH($K670,楼层配置!$B$5:$B$204,0)),1)</f>
        <v>0.729834891319568</v>
      </c>
      <c r="AC670">
        <f>IFERROR(INDEX(楼层配置!$G$5:$G$204,MATCH($K670,楼层配置!$B$5:$B$204,0)),1)</f>
        <v>1</v>
      </c>
      <c r="AD670" t="str">
        <f t="shared" si="83"/>
        <v/>
      </c>
      <c r="AE670" t="str">
        <f t="shared" si="84"/>
        <v/>
      </c>
      <c r="AF670" t="str">
        <f t="shared" si="85"/>
        <v/>
      </c>
      <c r="AG670" t="str">
        <f t="shared" si="86"/>
        <v>有效</v>
      </c>
      <c r="AH670">
        <f t="shared" si="87"/>
        <v>13880574.3346667</v>
      </c>
    </row>
    <row r="671" spans="1:34">
      <c r="A671">
        <v>667</v>
      </c>
      <c r="B671">
        <v>1005</v>
      </c>
      <c r="C671">
        <v>60</v>
      </c>
      <c r="D671">
        <f>IFERROR(ROUND($U671*$X671*$AA671*参数!$B$13,0),"")</f>
        <v>2814961</v>
      </c>
      <c r="E671">
        <f>IFERROR(ROUND($V671*$Y671*$AB671*参数!$C$13,0),"")</f>
        <v>54815</v>
      </c>
      <c r="F671">
        <f>IFERROR(ROUND($W671*$Z671*$AC671*参数!$D$13,0),"")</f>
        <v>36597</v>
      </c>
      <c r="J671">
        <v>134</v>
      </c>
      <c r="K671">
        <v>134</v>
      </c>
      <c r="L671">
        <f>IFERROR(INDEX(楼层配置!$D$5:$D$204,MATCH($K671,楼层配置!$B$5:$B$204,0)),"")</f>
        <v>329</v>
      </c>
      <c r="M671" t="str">
        <f>IFERROR(INDEX(_角色基线!$B$2:$B$100,MATCH($B671,_角色基线!$A$2:$A$100,0)),"")</f>
        <v>陈单单</v>
      </c>
      <c r="N671" t="str">
        <f>IFERROR(INDEX(_角色基线!$C$2:$C$100,MATCH($B671,_角色基线!$A$2:$A$100,0)),"")</f>
        <v>DPS</v>
      </c>
      <c r="O671">
        <f>IFERROR(INDEX(_怪物基线!$B$2:$B$501,MATCH(INT($L671),_怪物基线!$A$2:$A$501,0)),"")</f>
        <v>625091</v>
      </c>
      <c r="P671">
        <f>IFERROR(INDEX(_怪物基线!$C$2:$C$501,MATCH(INT($L671),_怪物基线!$A$2:$A$501,0)),"")</f>
        <v>52157</v>
      </c>
      <c r="Q671">
        <f>IFERROR(INDEX(_怪物基线!$D$2:$D$501,MATCH(INT($L671),_怪物基线!$A$2:$A$501,0)),"")</f>
        <v>36597</v>
      </c>
      <c r="R671">
        <f>参数!$B$10</f>
        <v>4</v>
      </c>
      <c r="S671">
        <f>参数!$C$10</f>
        <v>1.2</v>
      </c>
      <c r="T671">
        <f>参数!$D$10</f>
        <v>1</v>
      </c>
      <c r="U671">
        <f t="shared" si="80"/>
        <v>2500364</v>
      </c>
      <c r="V671">
        <f t="shared" si="81"/>
        <v>62588.4</v>
      </c>
      <c r="W671">
        <f t="shared" si="82"/>
        <v>36597</v>
      </c>
      <c r="X671">
        <f>IFERROR(INDEX(参数!$B$5:$B$7,MATCH($N671,参数!$A$5:$A$7,0)),"")</f>
        <v>1</v>
      </c>
      <c r="Y671">
        <f>IFERROR(INDEX(参数!$C$5:$C$7,MATCH($N671,参数!$A$5:$A$7,0)),"")</f>
        <v>1.2</v>
      </c>
      <c r="Z671">
        <f>IFERROR(INDEX(参数!$D$5:$D$7,MATCH($N671,参数!$A$5:$A$7,0)),"")</f>
        <v>1</v>
      </c>
      <c r="AA671">
        <f>IFERROR(INDEX(楼层配置!$E$5:$E$204,MATCH($K671,楼层配置!$B$5:$B$204,0)),1)</f>
        <v>1.12582067235919</v>
      </c>
      <c r="AB671">
        <f>IFERROR(INDEX(楼层配置!$F$5:$F$204,MATCH($K671,楼层配置!$B$5:$B$204,0)),1)</f>
        <v>0.729834891319568</v>
      </c>
      <c r="AC671">
        <f>IFERROR(INDEX(楼层配置!$G$5:$G$204,MATCH($K671,楼层配置!$B$5:$B$204,0)),1)</f>
        <v>1</v>
      </c>
      <c r="AD671" t="str">
        <f t="shared" si="83"/>
        <v/>
      </c>
      <c r="AE671" t="str">
        <f t="shared" si="84"/>
        <v/>
      </c>
      <c r="AF671" t="str">
        <f t="shared" si="85"/>
        <v/>
      </c>
      <c r="AG671" t="str">
        <f t="shared" si="86"/>
        <v>有效</v>
      </c>
      <c r="AH671">
        <f t="shared" si="87"/>
        <v>7107424.654875</v>
      </c>
    </row>
    <row r="672" spans="1:34">
      <c r="A672">
        <v>668</v>
      </c>
      <c r="B672">
        <v>1005</v>
      </c>
      <c r="C672">
        <v>60</v>
      </c>
      <c r="D672">
        <f>IFERROR(ROUND($U672*$X672*$AA672*参数!$B$13,0),"")</f>
        <v>2814961</v>
      </c>
      <c r="E672">
        <f>IFERROR(ROUND($V672*$Y672*$AB672*参数!$C$13,0),"")</f>
        <v>54815</v>
      </c>
      <c r="F672">
        <f>IFERROR(ROUND($W672*$Z672*$AC672*参数!$D$13,0),"")</f>
        <v>36597</v>
      </c>
      <c r="J672">
        <v>134</v>
      </c>
      <c r="K672">
        <v>134</v>
      </c>
      <c r="L672">
        <f>IFERROR(INDEX(楼层配置!$D$5:$D$204,MATCH($K672,楼层配置!$B$5:$B$204,0)),"")</f>
        <v>329</v>
      </c>
      <c r="M672" t="str">
        <f>IFERROR(INDEX(_角色基线!$B$2:$B$100,MATCH($B672,_角色基线!$A$2:$A$100,0)),"")</f>
        <v>陈单单</v>
      </c>
      <c r="N672" t="str">
        <f>IFERROR(INDEX(_角色基线!$C$2:$C$100,MATCH($B672,_角色基线!$A$2:$A$100,0)),"")</f>
        <v>DPS</v>
      </c>
      <c r="O672">
        <f>IFERROR(INDEX(_怪物基线!$B$2:$B$501,MATCH(INT($L672),_怪物基线!$A$2:$A$501,0)),"")</f>
        <v>625091</v>
      </c>
      <c r="P672">
        <f>IFERROR(INDEX(_怪物基线!$C$2:$C$501,MATCH(INT($L672),_怪物基线!$A$2:$A$501,0)),"")</f>
        <v>52157</v>
      </c>
      <c r="Q672">
        <f>IFERROR(INDEX(_怪物基线!$D$2:$D$501,MATCH(INT($L672),_怪物基线!$A$2:$A$501,0)),"")</f>
        <v>36597</v>
      </c>
      <c r="R672">
        <f>参数!$B$10</f>
        <v>4</v>
      </c>
      <c r="S672">
        <f>参数!$C$10</f>
        <v>1.2</v>
      </c>
      <c r="T672">
        <f>参数!$D$10</f>
        <v>1</v>
      </c>
      <c r="U672">
        <f t="shared" si="80"/>
        <v>2500364</v>
      </c>
      <c r="V672">
        <f t="shared" si="81"/>
        <v>62588.4</v>
      </c>
      <c r="W672">
        <f t="shared" si="82"/>
        <v>36597</v>
      </c>
      <c r="X672">
        <f>IFERROR(INDEX(参数!$B$5:$B$7,MATCH($N672,参数!$A$5:$A$7,0)),"")</f>
        <v>1</v>
      </c>
      <c r="Y672">
        <f>IFERROR(INDEX(参数!$C$5:$C$7,MATCH($N672,参数!$A$5:$A$7,0)),"")</f>
        <v>1.2</v>
      </c>
      <c r="Z672">
        <f>IFERROR(INDEX(参数!$D$5:$D$7,MATCH($N672,参数!$A$5:$A$7,0)),"")</f>
        <v>1</v>
      </c>
      <c r="AA672">
        <f>IFERROR(INDEX(楼层配置!$E$5:$E$204,MATCH($K672,楼层配置!$B$5:$B$204,0)),1)</f>
        <v>1.12582067235919</v>
      </c>
      <c r="AB672">
        <f>IFERROR(INDEX(楼层配置!$F$5:$F$204,MATCH($K672,楼层配置!$B$5:$B$204,0)),1)</f>
        <v>0.729834891319568</v>
      </c>
      <c r="AC672">
        <f>IFERROR(INDEX(楼层配置!$G$5:$G$204,MATCH($K672,楼层配置!$B$5:$B$204,0)),1)</f>
        <v>1</v>
      </c>
      <c r="AD672" t="str">
        <f t="shared" si="83"/>
        <v/>
      </c>
      <c r="AE672" t="str">
        <f t="shared" si="84"/>
        <v/>
      </c>
      <c r="AF672" t="str">
        <f t="shared" si="85"/>
        <v/>
      </c>
      <c r="AG672" t="str">
        <f t="shared" si="86"/>
        <v>有效</v>
      </c>
      <c r="AH672">
        <f t="shared" si="87"/>
        <v>7107424.654875</v>
      </c>
    </row>
    <row r="673" spans="1:34">
      <c r="A673">
        <v>669</v>
      </c>
      <c r="B673">
        <v>1005</v>
      </c>
      <c r="C673">
        <v>60</v>
      </c>
      <c r="D673">
        <f>IFERROR(ROUND($U673*$X673*$AA673*参数!$B$13,0),"")</f>
        <v>2814961</v>
      </c>
      <c r="E673">
        <f>IFERROR(ROUND($V673*$Y673*$AB673*参数!$C$13,0),"")</f>
        <v>54815</v>
      </c>
      <c r="F673">
        <f>IFERROR(ROUND($W673*$Z673*$AC673*参数!$D$13,0),"")</f>
        <v>36597</v>
      </c>
      <c r="J673">
        <v>134</v>
      </c>
      <c r="K673">
        <v>134</v>
      </c>
      <c r="L673">
        <f>IFERROR(INDEX(楼层配置!$D$5:$D$204,MATCH($K673,楼层配置!$B$5:$B$204,0)),"")</f>
        <v>329</v>
      </c>
      <c r="M673" t="str">
        <f>IFERROR(INDEX(_角色基线!$B$2:$B$100,MATCH($B673,_角色基线!$A$2:$A$100,0)),"")</f>
        <v>陈单单</v>
      </c>
      <c r="N673" t="str">
        <f>IFERROR(INDEX(_角色基线!$C$2:$C$100,MATCH($B673,_角色基线!$A$2:$A$100,0)),"")</f>
        <v>DPS</v>
      </c>
      <c r="O673">
        <f>IFERROR(INDEX(_怪物基线!$B$2:$B$501,MATCH(INT($L673),_怪物基线!$A$2:$A$501,0)),"")</f>
        <v>625091</v>
      </c>
      <c r="P673">
        <f>IFERROR(INDEX(_怪物基线!$C$2:$C$501,MATCH(INT($L673),_怪物基线!$A$2:$A$501,0)),"")</f>
        <v>52157</v>
      </c>
      <c r="Q673">
        <f>IFERROR(INDEX(_怪物基线!$D$2:$D$501,MATCH(INT($L673),_怪物基线!$A$2:$A$501,0)),"")</f>
        <v>36597</v>
      </c>
      <c r="R673">
        <f>参数!$B$10</f>
        <v>4</v>
      </c>
      <c r="S673">
        <f>参数!$C$10</f>
        <v>1.2</v>
      </c>
      <c r="T673">
        <f>参数!$D$10</f>
        <v>1</v>
      </c>
      <c r="U673">
        <f t="shared" si="80"/>
        <v>2500364</v>
      </c>
      <c r="V673">
        <f t="shared" si="81"/>
        <v>62588.4</v>
      </c>
      <c r="W673">
        <f t="shared" si="82"/>
        <v>36597</v>
      </c>
      <c r="X673">
        <f>IFERROR(INDEX(参数!$B$5:$B$7,MATCH($N673,参数!$A$5:$A$7,0)),"")</f>
        <v>1</v>
      </c>
      <c r="Y673">
        <f>IFERROR(INDEX(参数!$C$5:$C$7,MATCH($N673,参数!$A$5:$A$7,0)),"")</f>
        <v>1.2</v>
      </c>
      <c r="Z673">
        <f>IFERROR(INDEX(参数!$D$5:$D$7,MATCH($N673,参数!$A$5:$A$7,0)),"")</f>
        <v>1</v>
      </c>
      <c r="AA673">
        <f>IFERROR(INDEX(楼层配置!$E$5:$E$204,MATCH($K673,楼层配置!$B$5:$B$204,0)),1)</f>
        <v>1.12582067235919</v>
      </c>
      <c r="AB673">
        <f>IFERROR(INDEX(楼层配置!$F$5:$F$204,MATCH($K673,楼层配置!$B$5:$B$204,0)),1)</f>
        <v>0.729834891319568</v>
      </c>
      <c r="AC673">
        <f>IFERROR(INDEX(楼层配置!$G$5:$G$204,MATCH($K673,楼层配置!$B$5:$B$204,0)),1)</f>
        <v>1</v>
      </c>
      <c r="AD673" t="str">
        <f t="shared" si="83"/>
        <v/>
      </c>
      <c r="AE673" t="str">
        <f t="shared" si="84"/>
        <v/>
      </c>
      <c r="AF673" t="str">
        <f t="shared" si="85"/>
        <v/>
      </c>
      <c r="AG673" t="str">
        <f t="shared" si="86"/>
        <v>有效</v>
      </c>
      <c r="AH673">
        <f t="shared" si="87"/>
        <v>7107424.654875</v>
      </c>
    </row>
    <row r="674" spans="1:34">
      <c r="A674">
        <v>670</v>
      </c>
      <c r="B674">
        <v>1029</v>
      </c>
      <c r="C674">
        <v>60</v>
      </c>
      <c r="D674">
        <f>IFERROR(ROUND($U674*$X674*$AA674*参数!$B$13,0),"")</f>
        <v>3518702</v>
      </c>
      <c r="E674">
        <f>IFERROR(ROUND($V674*$Y674*$AB674*参数!$C$13,0),"")</f>
        <v>45679</v>
      </c>
      <c r="F674">
        <f>IFERROR(ROUND($W674*$Z674*$AC674*参数!$D$13,0),"")</f>
        <v>45746</v>
      </c>
      <c r="J674">
        <v>134</v>
      </c>
      <c r="K674">
        <v>134</v>
      </c>
      <c r="L674">
        <f>IFERROR(INDEX(楼层配置!$D$5:$D$204,MATCH($K674,楼层配置!$B$5:$B$204,0)),"")</f>
        <v>329</v>
      </c>
      <c r="M674" t="str">
        <f>IFERROR(INDEX(_角色基线!$B$2:$B$100,MATCH($B674,_角色基线!$A$2:$A$100,0)),"")</f>
        <v>凯兰</v>
      </c>
      <c r="N674" t="str">
        <f>IFERROR(INDEX(_角色基线!$C$2:$C$100,MATCH($B674,_角色基线!$A$2:$A$100,0)),"")</f>
        <v>Support</v>
      </c>
      <c r="O674">
        <f>IFERROR(INDEX(_怪物基线!$B$2:$B$501,MATCH(INT($L674),_怪物基线!$A$2:$A$501,0)),"")</f>
        <v>625091</v>
      </c>
      <c r="P674">
        <f>IFERROR(INDEX(_怪物基线!$C$2:$C$501,MATCH(INT($L674),_怪物基线!$A$2:$A$501,0)),"")</f>
        <v>52157</v>
      </c>
      <c r="Q674">
        <f>IFERROR(INDEX(_怪物基线!$D$2:$D$501,MATCH(INT($L674),_怪物基线!$A$2:$A$501,0)),"")</f>
        <v>36597</v>
      </c>
      <c r="R674">
        <f>参数!$B$10</f>
        <v>4</v>
      </c>
      <c r="S674">
        <f>参数!$C$10</f>
        <v>1.2</v>
      </c>
      <c r="T674">
        <f>参数!$D$10</f>
        <v>1</v>
      </c>
      <c r="U674">
        <f t="shared" si="80"/>
        <v>2500364</v>
      </c>
      <c r="V674">
        <f t="shared" si="81"/>
        <v>62588.4</v>
      </c>
      <c r="W674">
        <f t="shared" si="82"/>
        <v>36597</v>
      </c>
      <c r="X674">
        <f>IFERROR(INDEX(参数!$B$5:$B$7,MATCH($N674,参数!$A$5:$A$7,0)),"")</f>
        <v>1.25</v>
      </c>
      <c r="Y674">
        <f>IFERROR(INDEX(参数!$C$5:$C$7,MATCH($N674,参数!$A$5:$A$7,0)),"")</f>
        <v>1</v>
      </c>
      <c r="Z674">
        <f>IFERROR(INDEX(参数!$D$5:$D$7,MATCH($N674,参数!$A$5:$A$7,0)),"")</f>
        <v>1.25</v>
      </c>
      <c r="AA674">
        <f>IFERROR(INDEX(楼层配置!$E$5:$E$204,MATCH($K674,楼层配置!$B$5:$B$204,0)),1)</f>
        <v>1.12582067235919</v>
      </c>
      <c r="AB674">
        <f>IFERROR(INDEX(楼层配置!$F$5:$F$204,MATCH($K674,楼层配置!$B$5:$B$204,0)),1)</f>
        <v>0.729834891319568</v>
      </c>
      <c r="AC674">
        <f>IFERROR(INDEX(楼层配置!$G$5:$G$204,MATCH($K674,楼层配置!$B$5:$B$204,0)),1)</f>
        <v>1</v>
      </c>
      <c r="AD674" t="str">
        <f t="shared" si="83"/>
        <v/>
      </c>
      <c r="AE674" t="str">
        <f t="shared" si="84"/>
        <v/>
      </c>
      <c r="AF674" t="str">
        <f t="shared" si="85"/>
        <v/>
      </c>
      <c r="AG674" t="str">
        <f t="shared" si="86"/>
        <v>有效</v>
      </c>
      <c r="AH674">
        <f t="shared" si="87"/>
        <v>10225641.2371667</v>
      </c>
    </row>
    <row r="675" spans="1:34">
      <c r="A675">
        <v>671</v>
      </c>
      <c r="B675">
        <v>1003</v>
      </c>
      <c r="C675">
        <v>60</v>
      </c>
      <c r="D675">
        <f>IFERROR(ROUND($U675*$X675*$AA675*参数!$B$13,0),"")</f>
        <v>4317220</v>
      </c>
      <c r="E675">
        <f>IFERROR(ROUND($V675*$Y675*$AB675*参数!$C$13,0),"")</f>
        <v>46101</v>
      </c>
      <c r="F675">
        <f>IFERROR(ROUND($W675*$Z675*$AC675*参数!$D$13,0),"")</f>
        <v>55343</v>
      </c>
      <c r="J675">
        <v>135</v>
      </c>
      <c r="K675">
        <v>135</v>
      </c>
      <c r="L675">
        <f>IFERROR(INDEX(楼层配置!$D$5:$D$204,MATCH($K675,楼层配置!$B$5:$B$204,0)),"")</f>
        <v>331</v>
      </c>
      <c r="M675" t="str">
        <f>IFERROR(INDEX(_角色基线!$B$2:$B$100,MATCH($B675,_角色基线!$A$2:$A$100,0)),"")</f>
        <v>塔拉夏</v>
      </c>
      <c r="N675" t="str">
        <f>IFERROR(INDEX(_角色基线!$C$2:$C$100,MATCH($B675,_角色基线!$A$2:$A$100,0)),"")</f>
        <v>Tank</v>
      </c>
      <c r="O675">
        <f>IFERROR(INDEX(_怪物基线!$B$2:$B$501,MATCH(INT($L675),_怪物基线!$A$2:$A$501,0)),"")</f>
        <v>636150</v>
      </c>
      <c r="P675">
        <f>IFERROR(INDEX(_怪物基线!$C$2:$C$501,MATCH(INT($L675),_怪物基线!$A$2:$A$501,0)),"")</f>
        <v>52867</v>
      </c>
      <c r="Q675">
        <f>IFERROR(INDEX(_怪物基线!$D$2:$D$501,MATCH(INT($L675),_怪物基线!$A$2:$A$501,0)),"")</f>
        <v>36895</v>
      </c>
      <c r="R675">
        <f>参数!$B$10</f>
        <v>4</v>
      </c>
      <c r="S675">
        <f>参数!$C$10</f>
        <v>1.2</v>
      </c>
      <c r="T675">
        <f>参数!$D$10</f>
        <v>1</v>
      </c>
      <c r="U675">
        <f t="shared" si="80"/>
        <v>2544600</v>
      </c>
      <c r="V675">
        <f t="shared" si="81"/>
        <v>63440.4</v>
      </c>
      <c r="W675">
        <f t="shared" si="82"/>
        <v>36895</v>
      </c>
      <c r="X675">
        <f>IFERROR(INDEX(参数!$B$5:$B$7,MATCH($N675,参数!$A$5:$A$7,0)),"")</f>
        <v>1.5</v>
      </c>
      <c r="Y675">
        <f>IFERROR(INDEX(参数!$C$5:$C$7,MATCH($N675,参数!$A$5:$A$7,0)),"")</f>
        <v>1</v>
      </c>
      <c r="Z675">
        <f>IFERROR(INDEX(参数!$D$5:$D$7,MATCH($N675,参数!$A$5:$A$7,0)),"")</f>
        <v>1.5</v>
      </c>
      <c r="AA675">
        <f>IFERROR(INDEX(楼层配置!$E$5:$E$204,MATCH($K675,楼层配置!$B$5:$B$204,0)),1)</f>
        <v>1.13108015591293</v>
      </c>
      <c r="AB675">
        <f>IFERROR(INDEX(楼层配置!$F$5:$F$204,MATCH($K675,楼层配置!$B$5:$B$204,0)),1)</f>
        <v>0.726679309784578</v>
      </c>
      <c r="AC675">
        <f>IFERROR(INDEX(楼层配置!$G$5:$G$204,MATCH($K675,楼层配置!$B$5:$B$204,0)),1)</f>
        <v>1</v>
      </c>
      <c r="AD675" t="str">
        <f t="shared" si="83"/>
        <v/>
      </c>
      <c r="AE675" t="str">
        <f t="shared" si="84"/>
        <v/>
      </c>
      <c r="AF675" t="str">
        <f t="shared" si="85"/>
        <v/>
      </c>
      <c r="AG675" t="str">
        <f t="shared" si="86"/>
        <v>有效</v>
      </c>
      <c r="AH675">
        <f t="shared" si="87"/>
        <v>14272549.4358333</v>
      </c>
    </row>
    <row r="676" spans="1:34">
      <c r="A676">
        <v>672</v>
      </c>
      <c r="B676">
        <v>1005</v>
      </c>
      <c r="C676">
        <v>60</v>
      </c>
      <c r="D676">
        <f>IFERROR(ROUND($U676*$X676*$AA676*参数!$B$13,0),"")</f>
        <v>2878147</v>
      </c>
      <c r="E676">
        <f>IFERROR(ROUND($V676*$Y676*$AB676*参数!$C$13,0),"")</f>
        <v>55321</v>
      </c>
      <c r="F676">
        <f>IFERROR(ROUND($W676*$Z676*$AC676*参数!$D$13,0),"")</f>
        <v>36895</v>
      </c>
      <c r="J676">
        <v>135</v>
      </c>
      <c r="K676">
        <v>135</v>
      </c>
      <c r="L676">
        <f>IFERROR(INDEX(楼层配置!$D$5:$D$204,MATCH($K676,楼层配置!$B$5:$B$204,0)),"")</f>
        <v>331</v>
      </c>
      <c r="M676" t="str">
        <f>IFERROR(INDEX(_角色基线!$B$2:$B$100,MATCH($B676,_角色基线!$A$2:$A$100,0)),"")</f>
        <v>陈单单</v>
      </c>
      <c r="N676" t="str">
        <f>IFERROR(INDEX(_角色基线!$C$2:$C$100,MATCH($B676,_角色基线!$A$2:$A$100,0)),"")</f>
        <v>DPS</v>
      </c>
      <c r="O676">
        <f>IFERROR(INDEX(_怪物基线!$B$2:$B$501,MATCH(INT($L676),_怪物基线!$A$2:$A$501,0)),"")</f>
        <v>636150</v>
      </c>
      <c r="P676">
        <f>IFERROR(INDEX(_怪物基线!$C$2:$C$501,MATCH(INT($L676),_怪物基线!$A$2:$A$501,0)),"")</f>
        <v>52867</v>
      </c>
      <c r="Q676">
        <f>IFERROR(INDEX(_怪物基线!$D$2:$D$501,MATCH(INT($L676),_怪物基线!$A$2:$A$501,0)),"")</f>
        <v>36895</v>
      </c>
      <c r="R676">
        <f>参数!$B$10</f>
        <v>4</v>
      </c>
      <c r="S676">
        <f>参数!$C$10</f>
        <v>1.2</v>
      </c>
      <c r="T676">
        <f>参数!$D$10</f>
        <v>1</v>
      </c>
      <c r="U676">
        <f t="shared" si="80"/>
        <v>2544600</v>
      </c>
      <c r="V676">
        <f t="shared" si="81"/>
        <v>63440.4</v>
      </c>
      <c r="W676">
        <f t="shared" si="82"/>
        <v>36895</v>
      </c>
      <c r="X676">
        <f>IFERROR(INDEX(参数!$B$5:$B$7,MATCH($N676,参数!$A$5:$A$7,0)),"")</f>
        <v>1</v>
      </c>
      <c r="Y676">
        <f>IFERROR(INDEX(参数!$C$5:$C$7,MATCH($N676,参数!$A$5:$A$7,0)),"")</f>
        <v>1.2</v>
      </c>
      <c r="Z676">
        <f>IFERROR(INDEX(参数!$D$5:$D$7,MATCH($N676,参数!$A$5:$A$7,0)),"")</f>
        <v>1</v>
      </c>
      <c r="AA676">
        <f>IFERROR(INDEX(楼层配置!$E$5:$E$204,MATCH($K676,楼层配置!$B$5:$B$204,0)),1)</f>
        <v>1.13108015591293</v>
      </c>
      <c r="AB676">
        <f>IFERROR(INDEX(楼层配置!$F$5:$F$204,MATCH($K676,楼层配置!$B$5:$B$204,0)),1)</f>
        <v>0.726679309784578</v>
      </c>
      <c r="AC676">
        <f>IFERROR(INDEX(楼层配置!$G$5:$G$204,MATCH($K676,楼层配置!$B$5:$B$204,0)),1)</f>
        <v>1</v>
      </c>
      <c r="AD676" t="str">
        <f t="shared" si="83"/>
        <v/>
      </c>
      <c r="AE676" t="str">
        <f t="shared" si="84"/>
        <v/>
      </c>
      <c r="AF676" t="str">
        <f t="shared" si="85"/>
        <v/>
      </c>
      <c r="AG676" t="str">
        <f t="shared" si="86"/>
        <v>有效</v>
      </c>
      <c r="AH676">
        <f t="shared" si="87"/>
        <v>7302698.39854167</v>
      </c>
    </row>
    <row r="677" spans="1:34">
      <c r="A677">
        <v>673</v>
      </c>
      <c r="B677">
        <v>1005</v>
      </c>
      <c r="C677">
        <v>60</v>
      </c>
      <c r="D677">
        <f>IFERROR(ROUND($U677*$X677*$AA677*参数!$B$13,0),"")</f>
        <v>2878147</v>
      </c>
      <c r="E677">
        <f>IFERROR(ROUND($V677*$Y677*$AB677*参数!$C$13,0),"")</f>
        <v>55321</v>
      </c>
      <c r="F677">
        <f>IFERROR(ROUND($W677*$Z677*$AC677*参数!$D$13,0),"")</f>
        <v>36895</v>
      </c>
      <c r="J677">
        <v>135</v>
      </c>
      <c r="K677">
        <v>135</v>
      </c>
      <c r="L677">
        <f>IFERROR(INDEX(楼层配置!$D$5:$D$204,MATCH($K677,楼层配置!$B$5:$B$204,0)),"")</f>
        <v>331</v>
      </c>
      <c r="M677" t="str">
        <f>IFERROR(INDEX(_角色基线!$B$2:$B$100,MATCH($B677,_角色基线!$A$2:$A$100,0)),"")</f>
        <v>陈单单</v>
      </c>
      <c r="N677" t="str">
        <f>IFERROR(INDEX(_角色基线!$C$2:$C$100,MATCH($B677,_角色基线!$A$2:$A$100,0)),"")</f>
        <v>DPS</v>
      </c>
      <c r="O677">
        <f>IFERROR(INDEX(_怪物基线!$B$2:$B$501,MATCH(INT($L677),_怪物基线!$A$2:$A$501,0)),"")</f>
        <v>636150</v>
      </c>
      <c r="P677">
        <f>IFERROR(INDEX(_怪物基线!$C$2:$C$501,MATCH(INT($L677),_怪物基线!$A$2:$A$501,0)),"")</f>
        <v>52867</v>
      </c>
      <c r="Q677">
        <f>IFERROR(INDEX(_怪物基线!$D$2:$D$501,MATCH(INT($L677),_怪物基线!$A$2:$A$501,0)),"")</f>
        <v>36895</v>
      </c>
      <c r="R677">
        <f>参数!$B$10</f>
        <v>4</v>
      </c>
      <c r="S677">
        <f>参数!$C$10</f>
        <v>1.2</v>
      </c>
      <c r="T677">
        <f>参数!$D$10</f>
        <v>1</v>
      </c>
      <c r="U677">
        <f t="shared" si="80"/>
        <v>2544600</v>
      </c>
      <c r="V677">
        <f t="shared" si="81"/>
        <v>63440.4</v>
      </c>
      <c r="W677">
        <f t="shared" si="82"/>
        <v>36895</v>
      </c>
      <c r="X677">
        <f>IFERROR(INDEX(参数!$B$5:$B$7,MATCH($N677,参数!$A$5:$A$7,0)),"")</f>
        <v>1</v>
      </c>
      <c r="Y677">
        <f>IFERROR(INDEX(参数!$C$5:$C$7,MATCH($N677,参数!$A$5:$A$7,0)),"")</f>
        <v>1.2</v>
      </c>
      <c r="Z677">
        <f>IFERROR(INDEX(参数!$D$5:$D$7,MATCH($N677,参数!$A$5:$A$7,0)),"")</f>
        <v>1</v>
      </c>
      <c r="AA677">
        <f>IFERROR(INDEX(楼层配置!$E$5:$E$204,MATCH($K677,楼层配置!$B$5:$B$204,0)),1)</f>
        <v>1.13108015591293</v>
      </c>
      <c r="AB677">
        <f>IFERROR(INDEX(楼层配置!$F$5:$F$204,MATCH($K677,楼层配置!$B$5:$B$204,0)),1)</f>
        <v>0.726679309784578</v>
      </c>
      <c r="AC677">
        <f>IFERROR(INDEX(楼层配置!$G$5:$G$204,MATCH($K677,楼层配置!$B$5:$B$204,0)),1)</f>
        <v>1</v>
      </c>
      <c r="AD677" t="str">
        <f t="shared" si="83"/>
        <v/>
      </c>
      <c r="AE677" t="str">
        <f t="shared" si="84"/>
        <v/>
      </c>
      <c r="AF677" t="str">
        <f t="shared" si="85"/>
        <v/>
      </c>
      <c r="AG677" t="str">
        <f t="shared" si="86"/>
        <v>有效</v>
      </c>
      <c r="AH677">
        <f t="shared" si="87"/>
        <v>7302698.39854167</v>
      </c>
    </row>
    <row r="678" spans="1:34">
      <c r="A678">
        <v>674</v>
      </c>
      <c r="B678">
        <v>1005</v>
      </c>
      <c r="C678">
        <v>60</v>
      </c>
      <c r="D678">
        <f>IFERROR(ROUND($U678*$X678*$AA678*参数!$B$13,0),"")</f>
        <v>2878147</v>
      </c>
      <c r="E678">
        <f>IFERROR(ROUND($V678*$Y678*$AB678*参数!$C$13,0),"")</f>
        <v>55321</v>
      </c>
      <c r="F678">
        <f>IFERROR(ROUND($W678*$Z678*$AC678*参数!$D$13,0),"")</f>
        <v>36895</v>
      </c>
      <c r="J678">
        <v>135</v>
      </c>
      <c r="K678">
        <v>135</v>
      </c>
      <c r="L678">
        <f>IFERROR(INDEX(楼层配置!$D$5:$D$204,MATCH($K678,楼层配置!$B$5:$B$204,0)),"")</f>
        <v>331</v>
      </c>
      <c r="M678" t="str">
        <f>IFERROR(INDEX(_角色基线!$B$2:$B$100,MATCH($B678,_角色基线!$A$2:$A$100,0)),"")</f>
        <v>陈单单</v>
      </c>
      <c r="N678" t="str">
        <f>IFERROR(INDEX(_角色基线!$C$2:$C$100,MATCH($B678,_角色基线!$A$2:$A$100,0)),"")</f>
        <v>DPS</v>
      </c>
      <c r="O678">
        <f>IFERROR(INDEX(_怪物基线!$B$2:$B$501,MATCH(INT($L678),_怪物基线!$A$2:$A$501,0)),"")</f>
        <v>636150</v>
      </c>
      <c r="P678">
        <f>IFERROR(INDEX(_怪物基线!$C$2:$C$501,MATCH(INT($L678),_怪物基线!$A$2:$A$501,0)),"")</f>
        <v>52867</v>
      </c>
      <c r="Q678">
        <f>IFERROR(INDEX(_怪物基线!$D$2:$D$501,MATCH(INT($L678),_怪物基线!$A$2:$A$501,0)),"")</f>
        <v>36895</v>
      </c>
      <c r="R678">
        <f>参数!$B$10</f>
        <v>4</v>
      </c>
      <c r="S678">
        <f>参数!$C$10</f>
        <v>1.2</v>
      </c>
      <c r="T678">
        <f>参数!$D$10</f>
        <v>1</v>
      </c>
      <c r="U678">
        <f t="shared" si="80"/>
        <v>2544600</v>
      </c>
      <c r="V678">
        <f t="shared" si="81"/>
        <v>63440.4</v>
      </c>
      <c r="W678">
        <f t="shared" si="82"/>
        <v>36895</v>
      </c>
      <c r="X678">
        <f>IFERROR(INDEX(参数!$B$5:$B$7,MATCH($N678,参数!$A$5:$A$7,0)),"")</f>
        <v>1</v>
      </c>
      <c r="Y678">
        <f>IFERROR(INDEX(参数!$C$5:$C$7,MATCH($N678,参数!$A$5:$A$7,0)),"")</f>
        <v>1.2</v>
      </c>
      <c r="Z678">
        <f>IFERROR(INDEX(参数!$D$5:$D$7,MATCH($N678,参数!$A$5:$A$7,0)),"")</f>
        <v>1</v>
      </c>
      <c r="AA678">
        <f>IFERROR(INDEX(楼层配置!$E$5:$E$204,MATCH($K678,楼层配置!$B$5:$B$204,0)),1)</f>
        <v>1.13108015591293</v>
      </c>
      <c r="AB678">
        <f>IFERROR(INDEX(楼层配置!$F$5:$F$204,MATCH($K678,楼层配置!$B$5:$B$204,0)),1)</f>
        <v>0.726679309784578</v>
      </c>
      <c r="AC678">
        <f>IFERROR(INDEX(楼层配置!$G$5:$G$204,MATCH($K678,楼层配置!$B$5:$B$204,0)),1)</f>
        <v>1</v>
      </c>
      <c r="AD678" t="str">
        <f t="shared" si="83"/>
        <v/>
      </c>
      <c r="AE678" t="str">
        <f t="shared" si="84"/>
        <v/>
      </c>
      <c r="AF678" t="str">
        <f t="shared" si="85"/>
        <v/>
      </c>
      <c r="AG678" t="str">
        <f t="shared" si="86"/>
        <v>有效</v>
      </c>
      <c r="AH678">
        <f t="shared" si="87"/>
        <v>7302698.39854167</v>
      </c>
    </row>
    <row r="679" spans="1:34">
      <c r="A679">
        <v>675</v>
      </c>
      <c r="B679">
        <v>1029</v>
      </c>
      <c r="C679">
        <v>60</v>
      </c>
      <c r="D679">
        <f>IFERROR(ROUND($U679*$X679*$AA679*参数!$B$13,0),"")</f>
        <v>3597683</v>
      </c>
      <c r="E679">
        <f>IFERROR(ROUND($V679*$Y679*$AB679*参数!$C$13,0),"")</f>
        <v>46101</v>
      </c>
      <c r="F679">
        <f>IFERROR(ROUND($W679*$Z679*$AC679*参数!$D$13,0),"")</f>
        <v>46119</v>
      </c>
      <c r="J679">
        <v>135</v>
      </c>
      <c r="K679">
        <v>135</v>
      </c>
      <c r="L679">
        <f>IFERROR(INDEX(楼层配置!$D$5:$D$204,MATCH($K679,楼层配置!$B$5:$B$204,0)),"")</f>
        <v>331</v>
      </c>
      <c r="M679" t="str">
        <f>IFERROR(INDEX(_角色基线!$B$2:$B$100,MATCH($B679,_角色基线!$A$2:$A$100,0)),"")</f>
        <v>凯兰</v>
      </c>
      <c r="N679" t="str">
        <f>IFERROR(INDEX(_角色基线!$C$2:$C$100,MATCH($B679,_角色基线!$A$2:$A$100,0)),"")</f>
        <v>Support</v>
      </c>
      <c r="O679">
        <f>IFERROR(INDEX(_怪物基线!$B$2:$B$501,MATCH(INT($L679),_怪物基线!$A$2:$A$501,0)),"")</f>
        <v>636150</v>
      </c>
      <c r="P679">
        <f>IFERROR(INDEX(_怪物基线!$C$2:$C$501,MATCH(INT($L679),_怪物基线!$A$2:$A$501,0)),"")</f>
        <v>52867</v>
      </c>
      <c r="Q679">
        <f>IFERROR(INDEX(_怪物基线!$D$2:$D$501,MATCH(INT($L679),_怪物基线!$A$2:$A$501,0)),"")</f>
        <v>36895</v>
      </c>
      <c r="R679">
        <f>参数!$B$10</f>
        <v>4</v>
      </c>
      <c r="S679">
        <f>参数!$C$10</f>
        <v>1.2</v>
      </c>
      <c r="T679">
        <f>参数!$D$10</f>
        <v>1</v>
      </c>
      <c r="U679">
        <f t="shared" si="80"/>
        <v>2544600</v>
      </c>
      <c r="V679">
        <f t="shared" si="81"/>
        <v>63440.4</v>
      </c>
      <c r="W679">
        <f t="shared" si="82"/>
        <v>36895</v>
      </c>
      <c r="X679">
        <f>IFERROR(INDEX(参数!$B$5:$B$7,MATCH($N679,参数!$A$5:$A$7,0)),"")</f>
        <v>1.25</v>
      </c>
      <c r="Y679">
        <f>IFERROR(INDEX(参数!$C$5:$C$7,MATCH($N679,参数!$A$5:$A$7,0)),"")</f>
        <v>1</v>
      </c>
      <c r="Z679">
        <f>IFERROR(INDEX(参数!$D$5:$D$7,MATCH($N679,参数!$A$5:$A$7,0)),"")</f>
        <v>1.25</v>
      </c>
      <c r="AA679">
        <f>IFERROR(INDEX(楼层配置!$E$5:$E$204,MATCH($K679,楼层配置!$B$5:$B$204,0)),1)</f>
        <v>1.13108015591293</v>
      </c>
      <c r="AB679">
        <f>IFERROR(INDEX(楼层配置!$F$5:$F$204,MATCH($K679,楼层配置!$B$5:$B$204,0)),1)</f>
        <v>0.726679309784578</v>
      </c>
      <c r="AC679">
        <f>IFERROR(INDEX(楼层配置!$G$5:$G$204,MATCH($K679,楼层配置!$B$5:$B$204,0)),1)</f>
        <v>1</v>
      </c>
      <c r="AD679" t="str">
        <f t="shared" si="83"/>
        <v/>
      </c>
      <c r="AE679" t="str">
        <f t="shared" si="84"/>
        <v/>
      </c>
      <c r="AF679" t="str">
        <f t="shared" si="85"/>
        <v/>
      </c>
      <c r="AG679" t="str">
        <f t="shared" si="86"/>
        <v>有效</v>
      </c>
      <c r="AH679">
        <f t="shared" si="87"/>
        <v>10511080.594875</v>
      </c>
    </row>
    <row r="680" spans="1:34">
      <c r="A680">
        <v>676</v>
      </c>
      <c r="B680">
        <v>1003</v>
      </c>
      <c r="C680">
        <v>60</v>
      </c>
      <c r="D680">
        <f>IFERROR(ROUND($U680*$X680*$AA680*参数!$B$13,0),"")</f>
        <v>4372874</v>
      </c>
      <c r="E680">
        <f>IFERROR(ROUND($V680*$Y680*$AB680*参数!$C$13,0),"")</f>
        <v>46929</v>
      </c>
      <c r="F680">
        <f>IFERROR(ROUND($W680*$Z680*$AC680*参数!$D$13,0),"")</f>
        <v>55790</v>
      </c>
      <c r="J680">
        <v>136</v>
      </c>
      <c r="K680">
        <v>136</v>
      </c>
      <c r="L680">
        <f>IFERROR(INDEX(楼层配置!$D$5:$D$204,MATCH($K680,楼层配置!$B$5:$B$204,0)),"")</f>
        <v>333</v>
      </c>
      <c r="M680" t="str">
        <f>IFERROR(INDEX(_角色基线!$B$2:$B$100,MATCH($B680,_角色基线!$A$2:$A$100,0)),"")</f>
        <v>塔拉夏</v>
      </c>
      <c r="N680" t="str">
        <f>IFERROR(INDEX(_角色基线!$C$2:$C$100,MATCH($B680,_角色基线!$A$2:$A$100,0)),"")</f>
        <v>Tank</v>
      </c>
      <c r="O680">
        <f>IFERROR(INDEX(_怪物基线!$B$2:$B$501,MATCH(INT($L680),_怪物基线!$A$2:$A$501,0)),"")</f>
        <v>647361</v>
      </c>
      <c r="P680">
        <f>IFERROR(INDEX(_怪物基线!$C$2:$C$501,MATCH(INT($L680),_怪物基线!$A$2:$A$501,0)),"")</f>
        <v>53584</v>
      </c>
      <c r="Q680">
        <f>IFERROR(INDEX(_怪物基线!$D$2:$D$501,MATCH(INT($L680),_怪物基线!$A$2:$A$501,0)),"")</f>
        <v>37193</v>
      </c>
      <c r="R680">
        <f>参数!$B$10</f>
        <v>4</v>
      </c>
      <c r="S680">
        <f>参数!$C$10</f>
        <v>1.2</v>
      </c>
      <c r="T680">
        <f>参数!$D$10</f>
        <v>1</v>
      </c>
      <c r="U680">
        <f t="shared" si="80"/>
        <v>2589444</v>
      </c>
      <c r="V680">
        <f t="shared" si="81"/>
        <v>64300.8</v>
      </c>
      <c r="W680">
        <f t="shared" si="82"/>
        <v>37193</v>
      </c>
      <c r="X680">
        <f>IFERROR(INDEX(参数!$B$5:$B$7,MATCH($N680,参数!$A$5:$A$7,0)),"")</f>
        <v>1.5</v>
      </c>
      <c r="Y680">
        <f>IFERROR(INDEX(参数!$C$5:$C$7,MATCH($N680,参数!$A$5:$A$7,0)),"")</f>
        <v>1</v>
      </c>
      <c r="Z680">
        <f>IFERROR(INDEX(参数!$D$5:$D$7,MATCH($N680,参数!$A$5:$A$7,0)),"")</f>
        <v>1.5</v>
      </c>
      <c r="AA680">
        <f>IFERROR(INDEX(楼层配置!$E$5:$E$204,MATCH($K680,楼层配置!$B$5:$B$204,0)),1)</f>
        <v>1.12582067235919</v>
      </c>
      <c r="AB680">
        <f>IFERROR(INDEX(楼层配置!$F$5:$F$204,MATCH($K680,楼层配置!$B$5:$B$204,0)),1)</f>
        <v>0.729834891319568</v>
      </c>
      <c r="AC680">
        <f>IFERROR(INDEX(楼层配置!$G$5:$G$204,MATCH($K680,楼层配置!$B$5:$B$204,0)),1)</f>
        <v>1</v>
      </c>
      <c r="AD680" t="str">
        <f t="shared" si="83"/>
        <v/>
      </c>
      <c r="AE680" t="str">
        <f t="shared" si="84"/>
        <v/>
      </c>
      <c r="AF680" t="str">
        <f t="shared" si="85"/>
        <v/>
      </c>
      <c r="AG680" t="str">
        <f t="shared" si="86"/>
        <v>有效</v>
      </c>
      <c r="AH680">
        <f t="shared" si="87"/>
        <v>14537984.0191667</v>
      </c>
    </row>
    <row r="681" spans="1:34">
      <c r="A681">
        <v>677</v>
      </c>
      <c r="B681">
        <v>1005</v>
      </c>
      <c r="C681">
        <v>60</v>
      </c>
      <c r="D681">
        <f>IFERROR(ROUND($U681*$X681*$AA681*参数!$B$13,0),"")</f>
        <v>2915250</v>
      </c>
      <c r="E681">
        <f>IFERROR(ROUND($V681*$Y681*$AB681*参数!$C$13,0),"")</f>
        <v>56315</v>
      </c>
      <c r="F681">
        <f>IFERROR(ROUND($W681*$Z681*$AC681*参数!$D$13,0),"")</f>
        <v>37193</v>
      </c>
      <c r="J681">
        <v>136</v>
      </c>
      <c r="K681">
        <v>136</v>
      </c>
      <c r="L681">
        <f>IFERROR(INDEX(楼层配置!$D$5:$D$204,MATCH($K681,楼层配置!$B$5:$B$204,0)),"")</f>
        <v>333</v>
      </c>
      <c r="M681" t="str">
        <f>IFERROR(INDEX(_角色基线!$B$2:$B$100,MATCH($B681,_角色基线!$A$2:$A$100,0)),"")</f>
        <v>陈单单</v>
      </c>
      <c r="N681" t="str">
        <f>IFERROR(INDEX(_角色基线!$C$2:$C$100,MATCH($B681,_角色基线!$A$2:$A$100,0)),"")</f>
        <v>DPS</v>
      </c>
      <c r="O681">
        <f>IFERROR(INDEX(_怪物基线!$B$2:$B$501,MATCH(INT($L681),_怪物基线!$A$2:$A$501,0)),"")</f>
        <v>647361</v>
      </c>
      <c r="P681">
        <f>IFERROR(INDEX(_怪物基线!$C$2:$C$501,MATCH(INT($L681),_怪物基线!$A$2:$A$501,0)),"")</f>
        <v>53584</v>
      </c>
      <c r="Q681">
        <f>IFERROR(INDEX(_怪物基线!$D$2:$D$501,MATCH(INT($L681),_怪物基线!$A$2:$A$501,0)),"")</f>
        <v>37193</v>
      </c>
      <c r="R681">
        <f>参数!$B$10</f>
        <v>4</v>
      </c>
      <c r="S681">
        <f>参数!$C$10</f>
        <v>1.2</v>
      </c>
      <c r="T681">
        <f>参数!$D$10</f>
        <v>1</v>
      </c>
      <c r="U681">
        <f t="shared" si="80"/>
        <v>2589444</v>
      </c>
      <c r="V681">
        <f t="shared" si="81"/>
        <v>64300.8</v>
      </c>
      <c r="W681">
        <f t="shared" si="82"/>
        <v>37193</v>
      </c>
      <c r="X681">
        <f>IFERROR(INDEX(参数!$B$5:$B$7,MATCH($N681,参数!$A$5:$A$7,0)),"")</f>
        <v>1</v>
      </c>
      <c r="Y681">
        <f>IFERROR(INDEX(参数!$C$5:$C$7,MATCH($N681,参数!$A$5:$A$7,0)),"")</f>
        <v>1.2</v>
      </c>
      <c r="Z681">
        <f>IFERROR(INDEX(参数!$D$5:$D$7,MATCH($N681,参数!$A$5:$A$7,0)),"")</f>
        <v>1</v>
      </c>
      <c r="AA681">
        <f>IFERROR(INDEX(楼层配置!$E$5:$E$204,MATCH($K681,楼层配置!$B$5:$B$204,0)),1)</f>
        <v>1.12582067235919</v>
      </c>
      <c r="AB681">
        <f>IFERROR(INDEX(楼层配置!$F$5:$F$204,MATCH($K681,楼层配置!$B$5:$B$204,0)),1)</f>
        <v>0.729834891319568</v>
      </c>
      <c r="AC681">
        <f>IFERROR(INDEX(楼层配置!$G$5:$G$204,MATCH($K681,楼层配置!$B$5:$B$204,0)),1)</f>
        <v>1</v>
      </c>
      <c r="AD681" t="str">
        <f t="shared" si="83"/>
        <v/>
      </c>
      <c r="AE681" t="str">
        <f t="shared" si="84"/>
        <v/>
      </c>
      <c r="AF681" t="str">
        <f t="shared" si="85"/>
        <v/>
      </c>
      <c r="AG681" t="str">
        <f t="shared" si="86"/>
        <v>有效</v>
      </c>
      <c r="AH681">
        <f t="shared" si="87"/>
        <v>7433037.21875</v>
      </c>
    </row>
    <row r="682" spans="1:34">
      <c r="A682">
        <v>678</v>
      </c>
      <c r="B682">
        <v>1005</v>
      </c>
      <c r="C682">
        <v>60</v>
      </c>
      <c r="D682">
        <f>IFERROR(ROUND($U682*$X682*$AA682*参数!$B$13,0),"")</f>
        <v>2915250</v>
      </c>
      <c r="E682">
        <f>IFERROR(ROUND($V682*$Y682*$AB682*参数!$C$13,0),"")</f>
        <v>56315</v>
      </c>
      <c r="F682">
        <f>IFERROR(ROUND($W682*$Z682*$AC682*参数!$D$13,0),"")</f>
        <v>37193</v>
      </c>
      <c r="J682">
        <v>136</v>
      </c>
      <c r="K682">
        <v>136</v>
      </c>
      <c r="L682">
        <f>IFERROR(INDEX(楼层配置!$D$5:$D$204,MATCH($K682,楼层配置!$B$5:$B$204,0)),"")</f>
        <v>333</v>
      </c>
      <c r="M682" t="str">
        <f>IFERROR(INDEX(_角色基线!$B$2:$B$100,MATCH($B682,_角色基线!$A$2:$A$100,0)),"")</f>
        <v>陈单单</v>
      </c>
      <c r="N682" t="str">
        <f>IFERROR(INDEX(_角色基线!$C$2:$C$100,MATCH($B682,_角色基线!$A$2:$A$100,0)),"")</f>
        <v>DPS</v>
      </c>
      <c r="O682">
        <f>IFERROR(INDEX(_怪物基线!$B$2:$B$501,MATCH(INT($L682),_怪物基线!$A$2:$A$501,0)),"")</f>
        <v>647361</v>
      </c>
      <c r="P682">
        <f>IFERROR(INDEX(_怪物基线!$C$2:$C$501,MATCH(INT($L682),_怪物基线!$A$2:$A$501,0)),"")</f>
        <v>53584</v>
      </c>
      <c r="Q682">
        <f>IFERROR(INDEX(_怪物基线!$D$2:$D$501,MATCH(INT($L682),_怪物基线!$A$2:$A$501,0)),"")</f>
        <v>37193</v>
      </c>
      <c r="R682">
        <f>参数!$B$10</f>
        <v>4</v>
      </c>
      <c r="S682">
        <f>参数!$C$10</f>
        <v>1.2</v>
      </c>
      <c r="T682">
        <f>参数!$D$10</f>
        <v>1</v>
      </c>
      <c r="U682">
        <f t="shared" si="80"/>
        <v>2589444</v>
      </c>
      <c r="V682">
        <f t="shared" si="81"/>
        <v>64300.8</v>
      </c>
      <c r="W682">
        <f t="shared" si="82"/>
        <v>37193</v>
      </c>
      <c r="X682">
        <f>IFERROR(INDEX(参数!$B$5:$B$7,MATCH($N682,参数!$A$5:$A$7,0)),"")</f>
        <v>1</v>
      </c>
      <c r="Y682">
        <f>IFERROR(INDEX(参数!$C$5:$C$7,MATCH($N682,参数!$A$5:$A$7,0)),"")</f>
        <v>1.2</v>
      </c>
      <c r="Z682">
        <f>IFERROR(INDEX(参数!$D$5:$D$7,MATCH($N682,参数!$A$5:$A$7,0)),"")</f>
        <v>1</v>
      </c>
      <c r="AA682">
        <f>IFERROR(INDEX(楼层配置!$E$5:$E$204,MATCH($K682,楼层配置!$B$5:$B$204,0)),1)</f>
        <v>1.12582067235919</v>
      </c>
      <c r="AB682">
        <f>IFERROR(INDEX(楼层配置!$F$5:$F$204,MATCH($K682,楼层配置!$B$5:$B$204,0)),1)</f>
        <v>0.729834891319568</v>
      </c>
      <c r="AC682">
        <f>IFERROR(INDEX(楼层配置!$G$5:$G$204,MATCH($K682,楼层配置!$B$5:$B$204,0)),1)</f>
        <v>1</v>
      </c>
      <c r="AD682" t="str">
        <f t="shared" si="83"/>
        <v/>
      </c>
      <c r="AE682" t="str">
        <f t="shared" si="84"/>
        <v/>
      </c>
      <c r="AF682" t="str">
        <f t="shared" si="85"/>
        <v/>
      </c>
      <c r="AG682" t="str">
        <f t="shared" si="86"/>
        <v>有效</v>
      </c>
      <c r="AH682">
        <f t="shared" si="87"/>
        <v>7433037.21875</v>
      </c>
    </row>
    <row r="683" spans="1:34">
      <c r="A683">
        <v>679</v>
      </c>
      <c r="B683">
        <v>1005</v>
      </c>
      <c r="C683">
        <v>60</v>
      </c>
      <c r="D683">
        <f>IFERROR(ROUND($U683*$X683*$AA683*参数!$B$13,0),"")</f>
        <v>2915250</v>
      </c>
      <c r="E683">
        <f>IFERROR(ROUND($V683*$Y683*$AB683*参数!$C$13,0),"")</f>
        <v>56315</v>
      </c>
      <c r="F683">
        <f>IFERROR(ROUND($W683*$Z683*$AC683*参数!$D$13,0),"")</f>
        <v>37193</v>
      </c>
      <c r="J683">
        <v>136</v>
      </c>
      <c r="K683">
        <v>136</v>
      </c>
      <c r="L683">
        <f>IFERROR(INDEX(楼层配置!$D$5:$D$204,MATCH($K683,楼层配置!$B$5:$B$204,0)),"")</f>
        <v>333</v>
      </c>
      <c r="M683" t="str">
        <f>IFERROR(INDEX(_角色基线!$B$2:$B$100,MATCH($B683,_角色基线!$A$2:$A$100,0)),"")</f>
        <v>陈单单</v>
      </c>
      <c r="N683" t="str">
        <f>IFERROR(INDEX(_角色基线!$C$2:$C$100,MATCH($B683,_角色基线!$A$2:$A$100,0)),"")</f>
        <v>DPS</v>
      </c>
      <c r="O683">
        <f>IFERROR(INDEX(_怪物基线!$B$2:$B$501,MATCH(INT($L683),_怪物基线!$A$2:$A$501,0)),"")</f>
        <v>647361</v>
      </c>
      <c r="P683">
        <f>IFERROR(INDEX(_怪物基线!$C$2:$C$501,MATCH(INT($L683),_怪物基线!$A$2:$A$501,0)),"")</f>
        <v>53584</v>
      </c>
      <c r="Q683">
        <f>IFERROR(INDEX(_怪物基线!$D$2:$D$501,MATCH(INT($L683),_怪物基线!$A$2:$A$501,0)),"")</f>
        <v>37193</v>
      </c>
      <c r="R683">
        <f>参数!$B$10</f>
        <v>4</v>
      </c>
      <c r="S683">
        <f>参数!$C$10</f>
        <v>1.2</v>
      </c>
      <c r="T683">
        <f>参数!$D$10</f>
        <v>1</v>
      </c>
      <c r="U683">
        <f t="shared" si="80"/>
        <v>2589444</v>
      </c>
      <c r="V683">
        <f t="shared" si="81"/>
        <v>64300.8</v>
      </c>
      <c r="W683">
        <f t="shared" si="82"/>
        <v>37193</v>
      </c>
      <c r="X683">
        <f>IFERROR(INDEX(参数!$B$5:$B$7,MATCH($N683,参数!$A$5:$A$7,0)),"")</f>
        <v>1</v>
      </c>
      <c r="Y683">
        <f>IFERROR(INDEX(参数!$C$5:$C$7,MATCH($N683,参数!$A$5:$A$7,0)),"")</f>
        <v>1.2</v>
      </c>
      <c r="Z683">
        <f>IFERROR(INDEX(参数!$D$5:$D$7,MATCH($N683,参数!$A$5:$A$7,0)),"")</f>
        <v>1</v>
      </c>
      <c r="AA683">
        <f>IFERROR(INDEX(楼层配置!$E$5:$E$204,MATCH($K683,楼层配置!$B$5:$B$204,0)),1)</f>
        <v>1.12582067235919</v>
      </c>
      <c r="AB683">
        <f>IFERROR(INDEX(楼层配置!$F$5:$F$204,MATCH($K683,楼层配置!$B$5:$B$204,0)),1)</f>
        <v>0.729834891319568</v>
      </c>
      <c r="AC683">
        <f>IFERROR(INDEX(楼层配置!$G$5:$G$204,MATCH($K683,楼层配置!$B$5:$B$204,0)),1)</f>
        <v>1</v>
      </c>
      <c r="AD683" t="str">
        <f t="shared" si="83"/>
        <v/>
      </c>
      <c r="AE683" t="str">
        <f t="shared" si="84"/>
        <v/>
      </c>
      <c r="AF683" t="str">
        <f t="shared" si="85"/>
        <v/>
      </c>
      <c r="AG683" t="str">
        <f t="shared" si="86"/>
        <v>有效</v>
      </c>
      <c r="AH683">
        <f t="shared" si="87"/>
        <v>7433037.21875</v>
      </c>
    </row>
    <row r="684" spans="1:34">
      <c r="A684">
        <v>680</v>
      </c>
      <c r="B684">
        <v>1029</v>
      </c>
      <c r="C684">
        <v>60</v>
      </c>
      <c r="D684">
        <f>IFERROR(ROUND($U684*$X684*$AA684*参数!$B$13,0),"")</f>
        <v>3644062</v>
      </c>
      <c r="E684">
        <f>IFERROR(ROUND($V684*$Y684*$AB684*参数!$C$13,0),"")</f>
        <v>46929</v>
      </c>
      <c r="F684">
        <f>IFERROR(ROUND($W684*$Z684*$AC684*参数!$D$13,0),"")</f>
        <v>46491</v>
      </c>
      <c r="J684">
        <v>136</v>
      </c>
      <c r="K684">
        <v>136</v>
      </c>
      <c r="L684">
        <f>IFERROR(INDEX(楼层配置!$D$5:$D$204,MATCH($K684,楼层配置!$B$5:$B$204,0)),"")</f>
        <v>333</v>
      </c>
      <c r="M684" t="str">
        <f>IFERROR(INDEX(_角色基线!$B$2:$B$100,MATCH($B684,_角色基线!$A$2:$A$100,0)),"")</f>
        <v>凯兰</v>
      </c>
      <c r="N684" t="str">
        <f>IFERROR(INDEX(_角色基线!$C$2:$C$100,MATCH($B684,_角色基线!$A$2:$A$100,0)),"")</f>
        <v>Support</v>
      </c>
      <c r="O684">
        <f>IFERROR(INDEX(_怪物基线!$B$2:$B$501,MATCH(INT($L684),_怪物基线!$A$2:$A$501,0)),"")</f>
        <v>647361</v>
      </c>
      <c r="P684">
        <f>IFERROR(INDEX(_怪物基线!$C$2:$C$501,MATCH(INT($L684),_怪物基线!$A$2:$A$501,0)),"")</f>
        <v>53584</v>
      </c>
      <c r="Q684">
        <f>IFERROR(INDEX(_怪物基线!$D$2:$D$501,MATCH(INT($L684),_怪物基线!$A$2:$A$501,0)),"")</f>
        <v>37193</v>
      </c>
      <c r="R684">
        <f>参数!$B$10</f>
        <v>4</v>
      </c>
      <c r="S684">
        <f>参数!$C$10</f>
        <v>1.2</v>
      </c>
      <c r="T684">
        <f>参数!$D$10</f>
        <v>1</v>
      </c>
      <c r="U684">
        <f t="shared" si="80"/>
        <v>2589444</v>
      </c>
      <c r="V684">
        <f t="shared" si="81"/>
        <v>64300.8</v>
      </c>
      <c r="W684">
        <f t="shared" si="82"/>
        <v>37193</v>
      </c>
      <c r="X684">
        <f>IFERROR(INDEX(参数!$B$5:$B$7,MATCH($N684,参数!$A$5:$A$7,0)),"")</f>
        <v>1.25</v>
      </c>
      <c r="Y684">
        <f>IFERROR(INDEX(参数!$C$5:$C$7,MATCH($N684,参数!$A$5:$A$7,0)),"")</f>
        <v>1</v>
      </c>
      <c r="Z684">
        <f>IFERROR(INDEX(参数!$D$5:$D$7,MATCH($N684,参数!$A$5:$A$7,0)),"")</f>
        <v>1.25</v>
      </c>
      <c r="AA684">
        <f>IFERROR(INDEX(楼层配置!$E$5:$E$204,MATCH($K684,楼层配置!$B$5:$B$204,0)),1)</f>
        <v>1.12582067235919</v>
      </c>
      <c r="AB684">
        <f>IFERROR(INDEX(楼层配置!$F$5:$F$204,MATCH($K684,楼层配置!$B$5:$B$204,0)),1)</f>
        <v>0.729834891319568</v>
      </c>
      <c r="AC684">
        <f>IFERROR(INDEX(楼层配置!$G$5:$G$204,MATCH($K684,楼层配置!$B$5:$B$204,0)),1)</f>
        <v>1</v>
      </c>
      <c r="AD684" t="str">
        <f t="shared" si="83"/>
        <v/>
      </c>
      <c r="AE684" t="str">
        <f t="shared" si="84"/>
        <v/>
      </c>
      <c r="AF684" t="str">
        <f t="shared" si="85"/>
        <v/>
      </c>
      <c r="AG684" t="str">
        <f t="shared" si="86"/>
        <v>有效</v>
      </c>
      <c r="AH684">
        <f t="shared" si="87"/>
        <v>10703065.60175</v>
      </c>
    </row>
    <row r="685" spans="1:34">
      <c r="A685">
        <v>681</v>
      </c>
      <c r="B685">
        <v>1003</v>
      </c>
      <c r="C685">
        <v>60</v>
      </c>
      <c r="D685">
        <f>IFERROR(ROUND($U685*$X685*$AA685*参数!$B$13,0),"")</f>
        <v>4449637</v>
      </c>
      <c r="E685">
        <f>IFERROR(ROUND($V685*$Y685*$AB685*参数!$C$13,0),"")</f>
        <v>47563</v>
      </c>
      <c r="F685">
        <f>IFERROR(ROUND($W685*$Z685*$AC685*参数!$D$13,0),"")</f>
        <v>56240</v>
      </c>
      <c r="J685">
        <v>137</v>
      </c>
      <c r="K685">
        <v>137</v>
      </c>
      <c r="L685">
        <f>IFERROR(INDEX(楼层配置!$D$5:$D$204,MATCH($K685,楼层配置!$B$5:$B$204,0)),"")</f>
        <v>335</v>
      </c>
      <c r="M685" t="str">
        <f>IFERROR(INDEX(_角色基线!$B$2:$B$100,MATCH($B685,_角色基线!$A$2:$A$100,0)),"")</f>
        <v>塔拉夏</v>
      </c>
      <c r="N685" t="str">
        <f>IFERROR(INDEX(_角色基线!$C$2:$C$100,MATCH($B685,_角色基线!$A$2:$A$100,0)),"")</f>
        <v>Tank</v>
      </c>
      <c r="O685">
        <f>IFERROR(INDEX(_怪物基线!$B$2:$B$501,MATCH(INT($L685),_怪物基线!$A$2:$A$501,0)),"")</f>
        <v>658725</v>
      </c>
      <c r="P685">
        <f>IFERROR(INDEX(_怪物基线!$C$2:$C$501,MATCH(INT($L685),_怪物基线!$A$2:$A$501,0)),"")</f>
        <v>54308</v>
      </c>
      <c r="Q685">
        <f>IFERROR(INDEX(_怪物基线!$D$2:$D$501,MATCH(INT($L685),_怪物基线!$A$2:$A$501,0)),"")</f>
        <v>37493</v>
      </c>
      <c r="R685">
        <f>参数!$B$10</f>
        <v>4</v>
      </c>
      <c r="S685">
        <f>参数!$C$10</f>
        <v>1.2</v>
      </c>
      <c r="T685">
        <f>参数!$D$10</f>
        <v>1</v>
      </c>
      <c r="U685">
        <f t="shared" si="80"/>
        <v>2634900</v>
      </c>
      <c r="V685">
        <f t="shared" si="81"/>
        <v>65169.6</v>
      </c>
      <c r="W685">
        <f t="shared" si="82"/>
        <v>37493</v>
      </c>
      <c r="X685">
        <f>IFERROR(INDEX(参数!$B$5:$B$7,MATCH($N685,参数!$A$5:$A$7,0)),"")</f>
        <v>1.5</v>
      </c>
      <c r="Y685">
        <f>IFERROR(INDEX(参数!$C$5:$C$7,MATCH($N685,参数!$A$5:$A$7,0)),"")</f>
        <v>1</v>
      </c>
      <c r="Z685">
        <f>IFERROR(INDEX(参数!$D$5:$D$7,MATCH($N685,参数!$A$5:$A$7,0)),"")</f>
        <v>1.5</v>
      </c>
      <c r="AA685">
        <f>IFERROR(INDEX(楼层配置!$E$5:$E$204,MATCH($K685,楼层配置!$B$5:$B$204,0)),1)</f>
        <v>1.12582067235919</v>
      </c>
      <c r="AB685">
        <f>IFERROR(INDEX(楼层配置!$F$5:$F$204,MATCH($K685,楼层配置!$B$5:$B$204,0)),1)</f>
        <v>0.729834891319568</v>
      </c>
      <c r="AC685">
        <f>IFERROR(INDEX(楼层配置!$G$5:$G$204,MATCH($K685,楼层配置!$B$5:$B$204,0)),1)</f>
        <v>1</v>
      </c>
      <c r="AD685" t="str">
        <f t="shared" si="83"/>
        <v/>
      </c>
      <c r="AE685" t="str">
        <f t="shared" si="84"/>
        <v/>
      </c>
      <c r="AF685" t="str">
        <f t="shared" si="85"/>
        <v/>
      </c>
      <c r="AG685" t="str">
        <f t="shared" si="86"/>
        <v>有效</v>
      </c>
      <c r="AH685">
        <f t="shared" si="87"/>
        <v>14876619.7033333</v>
      </c>
    </row>
    <row r="686" spans="1:34">
      <c r="A686">
        <v>682</v>
      </c>
      <c r="B686">
        <v>1005</v>
      </c>
      <c r="C686">
        <v>60</v>
      </c>
      <c r="D686">
        <f>IFERROR(ROUND($U686*$X686*$AA686*参数!$B$13,0),"")</f>
        <v>2966425</v>
      </c>
      <c r="E686">
        <f>IFERROR(ROUND($V686*$Y686*$AB686*参数!$C$13,0),"")</f>
        <v>57076</v>
      </c>
      <c r="F686">
        <f>IFERROR(ROUND($W686*$Z686*$AC686*参数!$D$13,0),"")</f>
        <v>37493</v>
      </c>
      <c r="J686">
        <v>137</v>
      </c>
      <c r="K686">
        <v>137</v>
      </c>
      <c r="L686">
        <f>IFERROR(INDEX(楼层配置!$D$5:$D$204,MATCH($K686,楼层配置!$B$5:$B$204,0)),"")</f>
        <v>335</v>
      </c>
      <c r="M686" t="str">
        <f>IFERROR(INDEX(_角色基线!$B$2:$B$100,MATCH($B686,_角色基线!$A$2:$A$100,0)),"")</f>
        <v>陈单单</v>
      </c>
      <c r="N686" t="str">
        <f>IFERROR(INDEX(_角色基线!$C$2:$C$100,MATCH($B686,_角色基线!$A$2:$A$100,0)),"")</f>
        <v>DPS</v>
      </c>
      <c r="O686">
        <f>IFERROR(INDEX(_怪物基线!$B$2:$B$501,MATCH(INT($L686),_怪物基线!$A$2:$A$501,0)),"")</f>
        <v>658725</v>
      </c>
      <c r="P686">
        <f>IFERROR(INDEX(_怪物基线!$C$2:$C$501,MATCH(INT($L686),_怪物基线!$A$2:$A$501,0)),"")</f>
        <v>54308</v>
      </c>
      <c r="Q686">
        <f>IFERROR(INDEX(_怪物基线!$D$2:$D$501,MATCH(INT($L686),_怪物基线!$A$2:$A$501,0)),"")</f>
        <v>37493</v>
      </c>
      <c r="R686">
        <f>参数!$B$10</f>
        <v>4</v>
      </c>
      <c r="S686">
        <f>参数!$C$10</f>
        <v>1.2</v>
      </c>
      <c r="T686">
        <f>参数!$D$10</f>
        <v>1</v>
      </c>
      <c r="U686">
        <f t="shared" si="80"/>
        <v>2634900</v>
      </c>
      <c r="V686">
        <f t="shared" si="81"/>
        <v>65169.6</v>
      </c>
      <c r="W686">
        <f t="shared" si="82"/>
        <v>37493</v>
      </c>
      <c r="X686">
        <f>IFERROR(INDEX(参数!$B$5:$B$7,MATCH($N686,参数!$A$5:$A$7,0)),"")</f>
        <v>1</v>
      </c>
      <c r="Y686">
        <f>IFERROR(INDEX(参数!$C$5:$C$7,MATCH($N686,参数!$A$5:$A$7,0)),"")</f>
        <v>1.2</v>
      </c>
      <c r="Z686">
        <f>IFERROR(INDEX(参数!$D$5:$D$7,MATCH($N686,参数!$A$5:$A$7,0)),"")</f>
        <v>1</v>
      </c>
      <c r="AA686">
        <f>IFERROR(INDEX(楼层配置!$E$5:$E$204,MATCH($K686,楼层配置!$B$5:$B$204,0)),1)</f>
        <v>1.12582067235919</v>
      </c>
      <c r="AB686">
        <f>IFERROR(INDEX(楼层配置!$F$5:$F$204,MATCH($K686,楼层配置!$B$5:$B$204,0)),1)</f>
        <v>0.729834891319568</v>
      </c>
      <c r="AC686">
        <f>IFERROR(INDEX(楼层配置!$G$5:$G$204,MATCH($K686,楼层配置!$B$5:$B$204,0)),1)</f>
        <v>1</v>
      </c>
      <c r="AD686" t="str">
        <f t="shared" si="83"/>
        <v/>
      </c>
      <c r="AE686" t="str">
        <f t="shared" si="84"/>
        <v/>
      </c>
      <c r="AF686" t="str">
        <f t="shared" si="85"/>
        <v/>
      </c>
      <c r="AG686" t="str">
        <f t="shared" si="86"/>
        <v>有效</v>
      </c>
      <c r="AH686">
        <f t="shared" si="87"/>
        <v>7600598.85520833</v>
      </c>
    </row>
    <row r="687" spans="1:34">
      <c r="A687">
        <v>683</v>
      </c>
      <c r="B687">
        <v>1005</v>
      </c>
      <c r="C687">
        <v>60</v>
      </c>
      <c r="D687">
        <f>IFERROR(ROUND($U687*$X687*$AA687*参数!$B$13,0),"")</f>
        <v>2966425</v>
      </c>
      <c r="E687">
        <f>IFERROR(ROUND($V687*$Y687*$AB687*参数!$C$13,0),"")</f>
        <v>57076</v>
      </c>
      <c r="F687">
        <f>IFERROR(ROUND($W687*$Z687*$AC687*参数!$D$13,0),"")</f>
        <v>37493</v>
      </c>
      <c r="J687">
        <v>137</v>
      </c>
      <c r="K687">
        <v>137</v>
      </c>
      <c r="L687">
        <f>IFERROR(INDEX(楼层配置!$D$5:$D$204,MATCH($K687,楼层配置!$B$5:$B$204,0)),"")</f>
        <v>335</v>
      </c>
      <c r="M687" t="str">
        <f>IFERROR(INDEX(_角色基线!$B$2:$B$100,MATCH($B687,_角色基线!$A$2:$A$100,0)),"")</f>
        <v>陈单单</v>
      </c>
      <c r="N687" t="str">
        <f>IFERROR(INDEX(_角色基线!$C$2:$C$100,MATCH($B687,_角色基线!$A$2:$A$100,0)),"")</f>
        <v>DPS</v>
      </c>
      <c r="O687">
        <f>IFERROR(INDEX(_怪物基线!$B$2:$B$501,MATCH(INT($L687),_怪物基线!$A$2:$A$501,0)),"")</f>
        <v>658725</v>
      </c>
      <c r="P687">
        <f>IFERROR(INDEX(_怪物基线!$C$2:$C$501,MATCH(INT($L687),_怪物基线!$A$2:$A$501,0)),"")</f>
        <v>54308</v>
      </c>
      <c r="Q687">
        <f>IFERROR(INDEX(_怪物基线!$D$2:$D$501,MATCH(INT($L687),_怪物基线!$A$2:$A$501,0)),"")</f>
        <v>37493</v>
      </c>
      <c r="R687">
        <f>参数!$B$10</f>
        <v>4</v>
      </c>
      <c r="S687">
        <f>参数!$C$10</f>
        <v>1.2</v>
      </c>
      <c r="T687">
        <f>参数!$D$10</f>
        <v>1</v>
      </c>
      <c r="U687">
        <f t="shared" si="80"/>
        <v>2634900</v>
      </c>
      <c r="V687">
        <f t="shared" si="81"/>
        <v>65169.6</v>
      </c>
      <c r="W687">
        <f t="shared" si="82"/>
        <v>37493</v>
      </c>
      <c r="X687">
        <f>IFERROR(INDEX(参数!$B$5:$B$7,MATCH($N687,参数!$A$5:$A$7,0)),"")</f>
        <v>1</v>
      </c>
      <c r="Y687">
        <f>IFERROR(INDEX(参数!$C$5:$C$7,MATCH($N687,参数!$A$5:$A$7,0)),"")</f>
        <v>1.2</v>
      </c>
      <c r="Z687">
        <f>IFERROR(INDEX(参数!$D$5:$D$7,MATCH($N687,参数!$A$5:$A$7,0)),"")</f>
        <v>1</v>
      </c>
      <c r="AA687">
        <f>IFERROR(INDEX(楼层配置!$E$5:$E$204,MATCH($K687,楼层配置!$B$5:$B$204,0)),1)</f>
        <v>1.12582067235919</v>
      </c>
      <c r="AB687">
        <f>IFERROR(INDEX(楼层配置!$F$5:$F$204,MATCH($K687,楼层配置!$B$5:$B$204,0)),1)</f>
        <v>0.729834891319568</v>
      </c>
      <c r="AC687">
        <f>IFERROR(INDEX(楼层配置!$G$5:$G$204,MATCH($K687,楼层配置!$B$5:$B$204,0)),1)</f>
        <v>1</v>
      </c>
      <c r="AD687" t="str">
        <f t="shared" si="83"/>
        <v/>
      </c>
      <c r="AE687" t="str">
        <f t="shared" si="84"/>
        <v/>
      </c>
      <c r="AF687" t="str">
        <f t="shared" si="85"/>
        <v/>
      </c>
      <c r="AG687" t="str">
        <f t="shared" si="86"/>
        <v>有效</v>
      </c>
      <c r="AH687">
        <f t="shared" si="87"/>
        <v>7600598.85520833</v>
      </c>
    </row>
    <row r="688" spans="1:34">
      <c r="A688">
        <v>684</v>
      </c>
      <c r="B688">
        <v>1005</v>
      </c>
      <c r="C688">
        <v>60</v>
      </c>
      <c r="D688">
        <f>IFERROR(ROUND($U688*$X688*$AA688*参数!$B$13,0),"")</f>
        <v>2966425</v>
      </c>
      <c r="E688">
        <f>IFERROR(ROUND($V688*$Y688*$AB688*参数!$C$13,0),"")</f>
        <v>57076</v>
      </c>
      <c r="F688">
        <f>IFERROR(ROUND($W688*$Z688*$AC688*参数!$D$13,0),"")</f>
        <v>37493</v>
      </c>
      <c r="J688">
        <v>137</v>
      </c>
      <c r="K688">
        <v>137</v>
      </c>
      <c r="L688">
        <f>IFERROR(INDEX(楼层配置!$D$5:$D$204,MATCH($K688,楼层配置!$B$5:$B$204,0)),"")</f>
        <v>335</v>
      </c>
      <c r="M688" t="str">
        <f>IFERROR(INDEX(_角色基线!$B$2:$B$100,MATCH($B688,_角色基线!$A$2:$A$100,0)),"")</f>
        <v>陈单单</v>
      </c>
      <c r="N688" t="str">
        <f>IFERROR(INDEX(_角色基线!$C$2:$C$100,MATCH($B688,_角色基线!$A$2:$A$100,0)),"")</f>
        <v>DPS</v>
      </c>
      <c r="O688">
        <f>IFERROR(INDEX(_怪物基线!$B$2:$B$501,MATCH(INT($L688),_怪物基线!$A$2:$A$501,0)),"")</f>
        <v>658725</v>
      </c>
      <c r="P688">
        <f>IFERROR(INDEX(_怪物基线!$C$2:$C$501,MATCH(INT($L688),_怪物基线!$A$2:$A$501,0)),"")</f>
        <v>54308</v>
      </c>
      <c r="Q688">
        <f>IFERROR(INDEX(_怪物基线!$D$2:$D$501,MATCH(INT($L688),_怪物基线!$A$2:$A$501,0)),"")</f>
        <v>37493</v>
      </c>
      <c r="R688">
        <f>参数!$B$10</f>
        <v>4</v>
      </c>
      <c r="S688">
        <f>参数!$C$10</f>
        <v>1.2</v>
      </c>
      <c r="T688">
        <f>参数!$D$10</f>
        <v>1</v>
      </c>
      <c r="U688">
        <f t="shared" si="80"/>
        <v>2634900</v>
      </c>
      <c r="V688">
        <f t="shared" si="81"/>
        <v>65169.6</v>
      </c>
      <c r="W688">
        <f t="shared" si="82"/>
        <v>37493</v>
      </c>
      <c r="X688">
        <f>IFERROR(INDEX(参数!$B$5:$B$7,MATCH($N688,参数!$A$5:$A$7,0)),"")</f>
        <v>1</v>
      </c>
      <c r="Y688">
        <f>IFERROR(INDEX(参数!$C$5:$C$7,MATCH($N688,参数!$A$5:$A$7,0)),"")</f>
        <v>1.2</v>
      </c>
      <c r="Z688">
        <f>IFERROR(INDEX(参数!$D$5:$D$7,MATCH($N688,参数!$A$5:$A$7,0)),"")</f>
        <v>1</v>
      </c>
      <c r="AA688">
        <f>IFERROR(INDEX(楼层配置!$E$5:$E$204,MATCH($K688,楼层配置!$B$5:$B$204,0)),1)</f>
        <v>1.12582067235919</v>
      </c>
      <c r="AB688">
        <f>IFERROR(INDEX(楼层配置!$F$5:$F$204,MATCH($K688,楼层配置!$B$5:$B$204,0)),1)</f>
        <v>0.729834891319568</v>
      </c>
      <c r="AC688">
        <f>IFERROR(INDEX(楼层配置!$G$5:$G$204,MATCH($K688,楼层配置!$B$5:$B$204,0)),1)</f>
        <v>1</v>
      </c>
      <c r="AD688" t="str">
        <f t="shared" si="83"/>
        <v/>
      </c>
      <c r="AE688" t="str">
        <f t="shared" si="84"/>
        <v/>
      </c>
      <c r="AF688" t="str">
        <f t="shared" si="85"/>
        <v/>
      </c>
      <c r="AG688" t="str">
        <f t="shared" si="86"/>
        <v>有效</v>
      </c>
      <c r="AH688">
        <f t="shared" si="87"/>
        <v>7600598.85520833</v>
      </c>
    </row>
    <row r="689" spans="1:34">
      <c r="A689">
        <v>685</v>
      </c>
      <c r="B689">
        <v>1029</v>
      </c>
      <c r="C689">
        <v>60</v>
      </c>
      <c r="D689">
        <f>IFERROR(ROUND($U689*$X689*$AA689*参数!$B$13,0),"")</f>
        <v>3708031</v>
      </c>
      <c r="E689">
        <f>IFERROR(ROUND($V689*$Y689*$AB689*参数!$C$13,0),"")</f>
        <v>47563</v>
      </c>
      <c r="F689">
        <f>IFERROR(ROUND($W689*$Z689*$AC689*参数!$D$13,0),"")</f>
        <v>46866</v>
      </c>
      <c r="J689">
        <v>137</v>
      </c>
      <c r="K689">
        <v>137</v>
      </c>
      <c r="L689">
        <f>IFERROR(INDEX(楼层配置!$D$5:$D$204,MATCH($K689,楼层配置!$B$5:$B$204,0)),"")</f>
        <v>335</v>
      </c>
      <c r="M689" t="str">
        <f>IFERROR(INDEX(_角色基线!$B$2:$B$100,MATCH($B689,_角色基线!$A$2:$A$100,0)),"")</f>
        <v>凯兰</v>
      </c>
      <c r="N689" t="str">
        <f>IFERROR(INDEX(_角色基线!$C$2:$C$100,MATCH($B689,_角色基线!$A$2:$A$100,0)),"")</f>
        <v>Support</v>
      </c>
      <c r="O689">
        <f>IFERROR(INDEX(_怪物基线!$B$2:$B$501,MATCH(INT($L689),_怪物基线!$A$2:$A$501,0)),"")</f>
        <v>658725</v>
      </c>
      <c r="P689">
        <f>IFERROR(INDEX(_怪物基线!$C$2:$C$501,MATCH(INT($L689),_怪物基线!$A$2:$A$501,0)),"")</f>
        <v>54308</v>
      </c>
      <c r="Q689">
        <f>IFERROR(INDEX(_怪物基线!$D$2:$D$501,MATCH(INT($L689),_怪物基线!$A$2:$A$501,0)),"")</f>
        <v>37493</v>
      </c>
      <c r="R689">
        <f>参数!$B$10</f>
        <v>4</v>
      </c>
      <c r="S689">
        <f>参数!$C$10</f>
        <v>1.2</v>
      </c>
      <c r="T689">
        <f>参数!$D$10</f>
        <v>1</v>
      </c>
      <c r="U689">
        <f t="shared" si="80"/>
        <v>2634900</v>
      </c>
      <c r="V689">
        <f t="shared" si="81"/>
        <v>65169.6</v>
      </c>
      <c r="W689">
        <f t="shared" si="82"/>
        <v>37493</v>
      </c>
      <c r="X689">
        <f>IFERROR(INDEX(参数!$B$5:$B$7,MATCH($N689,参数!$A$5:$A$7,0)),"")</f>
        <v>1.25</v>
      </c>
      <c r="Y689">
        <f>IFERROR(INDEX(参数!$C$5:$C$7,MATCH($N689,参数!$A$5:$A$7,0)),"")</f>
        <v>1</v>
      </c>
      <c r="Z689">
        <f>IFERROR(INDEX(参数!$D$5:$D$7,MATCH($N689,参数!$A$5:$A$7,0)),"")</f>
        <v>1.25</v>
      </c>
      <c r="AA689">
        <f>IFERROR(INDEX(楼层配置!$E$5:$E$204,MATCH($K689,楼层配置!$B$5:$B$204,0)),1)</f>
        <v>1.12582067235919</v>
      </c>
      <c r="AB689">
        <f>IFERROR(INDEX(楼层配置!$F$5:$F$204,MATCH($K689,楼层配置!$B$5:$B$204,0)),1)</f>
        <v>0.729834891319568</v>
      </c>
      <c r="AC689">
        <f>IFERROR(INDEX(楼层配置!$G$5:$G$204,MATCH($K689,楼层配置!$B$5:$B$204,0)),1)</f>
        <v>1</v>
      </c>
      <c r="AD689" t="str">
        <f t="shared" si="83"/>
        <v/>
      </c>
      <c r="AE689" t="str">
        <f t="shared" si="84"/>
        <v/>
      </c>
      <c r="AF689" t="str">
        <f t="shared" si="85"/>
        <v/>
      </c>
      <c r="AG689" t="str">
        <f t="shared" si="86"/>
        <v>有效</v>
      </c>
      <c r="AH689">
        <f t="shared" si="87"/>
        <v>10948888.53525</v>
      </c>
    </row>
    <row r="690" spans="1:34">
      <c r="A690">
        <v>686</v>
      </c>
      <c r="B690">
        <v>1003</v>
      </c>
      <c r="C690">
        <v>60</v>
      </c>
      <c r="D690">
        <f>IFERROR(ROUND($U690*$X690*$AA690*参数!$B$13,0),"")</f>
        <v>4488404</v>
      </c>
      <c r="E690">
        <f>IFERROR(ROUND($V690*$Y690*$AB690*参数!$C$13,0),"")</f>
        <v>47883</v>
      </c>
      <c r="F690">
        <f>IFERROR(ROUND($W690*$Z690*$AC690*参数!$D$13,0),"")</f>
        <v>56465</v>
      </c>
      <c r="J690">
        <v>138</v>
      </c>
      <c r="K690">
        <v>138</v>
      </c>
      <c r="L690">
        <f>IFERROR(INDEX(楼层配置!$D$5:$D$204,MATCH($K690,楼层配置!$B$5:$B$204,0)),"")</f>
        <v>336</v>
      </c>
      <c r="M690" t="str">
        <f>IFERROR(INDEX(_角色基线!$B$2:$B$100,MATCH($B690,_角色基线!$A$2:$A$100,0)),"")</f>
        <v>塔拉夏</v>
      </c>
      <c r="N690" t="str">
        <f>IFERROR(INDEX(_角色基线!$C$2:$C$100,MATCH($B690,_角色基线!$A$2:$A$100,0)),"")</f>
        <v>Tank</v>
      </c>
      <c r="O690">
        <f>IFERROR(INDEX(_怪物基线!$B$2:$B$501,MATCH(INT($L690),_怪物基线!$A$2:$A$501,0)),"")</f>
        <v>664464</v>
      </c>
      <c r="P690">
        <f>IFERROR(INDEX(_怪物基线!$C$2:$C$501,MATCH(INT($L690),_怪物基线!$A$2:$A$501,0)),"")</f>
        <v>54673</v>
      </c>
      <c r="Q690">
        <f>IFERROR(INDEX(_怪物基线!$D$2:$D$501,MATCH(INT($L690),_怪物基线!$A$2:$A$501,0)),"")</f>
        <v>37643</v>
      </c>
      <c r="R690">
        <f>参数!$B$10</f>
        <v>4</v>
      </c>
      <c r="S690">
        <f>参数!$C$10</f>
        <v>1.2</v>
      </c>
      <c r="T690">
        <f>参数!$D$10</f>
        <v>1</v>
      </c>
      <c r="U690">
        <f t="shared" si="80"/>
        <v>2657856</v>
      </c>
      <c r="V690">
        <f t="shared" si="81"/>
        <v>65607.6</v>
      </c>
      <c r="W690">
        <f t="shared" si="82"/>
        <v>37643</v>
      </c>
      <c r="X690">
        <f>IFERROR(INDEX(参数!$B$5:$B$7,MATCH($N690,参数!$A$5:$A$7,0)),"")</f>
        <v>1.5</v>
      </c>
      <c r="Y690">
        <f>IFERROR(INDEX(参数!$C$5:$C$7,MATCH($N690,参数!$A$5:$A$7,0)),"")</f>
        <v>1</v>
      </c>
      <c r="Z690">
        <f>IFERROR(INDEX(参数!$D$5:$D$7,MATCH($N690,参数!$A$5:$A$7,0)),"")</f>
        <v>1.5</v>
      </c>
      <c r="AA690">
        <f>IFERROR(INDEX(楼层配置!$E$5:$E$204,MATCH($K690,楼层配置!$B$5:$B$204,0)),1)</f>
        <v>1.12582067235919</v>
      </c>
      <c r="AB690">
        <f>IFERROR(INDEX(楼层配置!$F$5:$F$204,MATCH($K690,楼层配置!$B$5:$B$204,0)),1)</f>
        <v>0.729834891319568</v>
      </c>
      <c r="AC690">
        <f>IFERROR(INDEX(楼层配置!$G$5:$G$204,MATCH($K690,楼层配置!$B$5:$B$204,0)),1)</f>
        <v>1</v>
      </c>
      <c r="AD690" t="str">
        <f t="shared" si="83"/>
        <v/>
      </c>
      <c r="AE690" t="str">
        <f t="shared" si="84"/>
        <v/>
      </c>
      <c r="AF690" t="str">
        <f t="shared" si="85"/>
        <v/>
      </c>
      <c r="AG690" t="str">
        <f t="shared" si="86"/>
        <v>有效</v>
      </c>
      <c r="AH690">
        <f t="shared" si="87"/>
        <v>15048309.4941667</v>
      </c>
    </row>
    <row r="691" spans="1:34">
      <c r="A691">
        <v>687</v>
      </c>
      <c r="B691">
        <v>1005</v>
      </c>
      <c r="C691">
        <v>60</v>
      </c>
      <c r="D691">
        <f>IFERROR(ROUND($U691*$X691*$AA691*参数!$B$13,0),"")</f>
        <v>2992269</v>
      </c>
      <c r="E691">
        <f>IFERROR(ROUND($V691*$Y691*$AB691*参数!$C$13,0),"")</f>
        <v>57459</v>
      </c>
      <c r="F691">
        <f>IFERROR(ROUND($W691*$Z691*$AC691*参数!$D$13,0),"")</f>
        <v>37643</v>
      </c>
      <c r="J691">
        <v>138</v>
      </c>
      <c r="K691">
        <v>138</v>
      </c>
      <c r="L691">
        <f>IFERROR(INDEX(楼层配置!$D$5:$D$204,MATCH($K691,楼层配置!$B$5:$B$204,0)),"")</f>
        <v>336</v>
      </c>
      <c r="M691" t="str">
        <f>IFERROR(INDEX(_角色基线!$B$2:$B$100,MATCH($B691,_角色基线!$A$2:$A$100,0)),"")</f>
        <v>陈单单</v>
      </c>
      <c r="N691" t="str">
        <f>IFERROR(INDEX(_角色基线!$C$2:$C$100,MATCH($B691,_角色基线!$A$2:$A$100,0)),"")</f>
        <v>DPS</v>
      </c>
      <c r="O691">
        <f>IFERROR(INDEX(_怪物基线!$B$2:$B$501,MATCH(INT($L691),_怪物基线!$A$2:$A$501,0)),"")</f>
        <v>664464</v>
      </c>
      <c r="P691">
        <f>IFERROR(INDEX(_怪物基线!$C$2:$C$501,MATCH(INT($L691),_怪物基线!$A$2:$A$501,0)),"")</f>
        <v>54673</v>
      </c>
      <c r="Q691">
        <f>IFERROR(INDEX(_怪物基线!$D$2:$D$501,MATCH(INT($L691),_怪物基线!$A$2:$A$501,0)),"")</f>
        <v>37643</v>
      </c>
      <c r="R691">
        <f>参数!$B$10</f>
        <v>4</v>
      </c>
      <c r="S691">
        <f>参数!$C$10</f>
        <v>1.2</v>
      </c>
      <c r="T691">
        <f>参数!$D$10</f>
        <v>1</v>
      </c>
      <c r="U691">
        <f t="shared" si="80"/>
        <v>2657856</v>
      </c>
      <c r="V691">
        <f t="shared" si="81"/>
        <v>65607.6</v>
      </c>
      <c r="W691">
        <f t="shared" si="82"/>
        <v>37643</v>
      </c>
      <c r="X691">
        <f>IFERROR(INDEX(参数!$B$5:$B$7,MATCH($N691,参数!$A$5:$A$7,0)),"")</f>
        <v>1</v>
      </c>
      <c r="Y691">
        <f>IFERROR(INDEX(参数!$C$5:$C$7,MATCH($N691,参数!$A$5:$A$7,0)),"")</f>
        <v>1.2</v>
      </c>
      <c r="Z691">
        <f>IFERROR(INDEX(参数!$D$5:$D$7,MATCH($N691,参数!$A$5:$A$7,0)),"")</f>
        <v>1</v>
      </c>
      <c r="AA691">
        <f>IFERROR(INDEX(楼层配置!$E$5:$E$204,MATCH($K691,楼层配置!$B$5:$B$204,0)),1)</f>
        <v>1.12582067235919</v>
      </c>
      <c r="AB691">
        <f>IFERROR(INDEX(楼层配置!$F$5:$F$204,MATCH($K691,楼层配置!$B$5:$B$204,0)),1)</f>
        <v>0.729834891319568</v>
      </c>
      <c r="AC691">
        <f>IFERROR(INDEX(楼层配置!$G$5:$G$204,MATCH($K691,楼层配置!$B$5:$B$204,0)),1)</f>
        <v>1</v>
      </c>
      <c r="AD691" t="str">
        <f t="shared" si="83"/>
        <v/>
      </c>
      <c r="AE691" t="str">
        <f t="shared" si="84"/>
        <v/>
      </c>
      <c r="AF691" t="str">
        <f t="shared" si="85"/>
        <v/>
      </c>
      <c r="AG691" t="str">
        <f t="shared" si="86"/>
        <v>有效</v>
      </c>
      <c r="AH691">
        <f t="shared" si="87"/>
        <v>7685518.248625</v>
      </c>
    </row>
    <row r="692" spans="1:34">
      <c r="A692">
        <v>688</v>
      </c>
      <c r="B692">
        <v>1005</v>
      </c>
      <c r="C692">
        <v>60</v>
      </c>
      <c r="D692">
        <f>IFERROR(ROUND($U692*$X692*$AA692*参数!$B$13,0),"")</f>
        <v>2992269</v>
      </c>
      <c r="E692">
        <f>IFERROR(ROUND($V692*$Y692*$AB692*参数!$C$13,0),"")</f>
        <v>57459</v>
      </c>
      <c r="F692">
        <f>IFERROR(ROUND($W692*$Z692*$AC692*参数!$D$13,0),"")</f>
        <v>37643</v>
      </c>
      <c r="J692">
        <v>138</v>
      </c>
      <c r="K692">
        <v>138</v>
      </c>
      <c r="L692">
        <f>IFERROR(INDEX(楼层配置!$D$5:$D$204,MATCH($K692,楼层配置!$B$5:$B$204,0)),"")</f>
        <v>336</v>
      </c>
      <c r="M692" t="str">
        <f>IFERROR(INDEX(_角色基线!$B$2:$B$100,MATCH($B692,_角色基线!$A$2:$A$100,0)),"")</f>
        <v>陈单单</v>
      </c>
      <c r="N692" t="str">
        <f>IFERROR(INDEX(_角色基线!$C$2:$C$100,MATCH($B692,_角色基线!$A$2:$A$100,0)),"")</f>
        <v>DPS</v>
      </c>
      <c r="O692">
        <f>IFERROR(INDEX(_怪物基线!$B$2:$B$501,MATCH(INT($L692),_怪物基线!$A$2:$A$501,0)),"")</f>
        <v>664464</v>
      </c>
      <c r="P692">
        <f>IFERROR(INDEX(_怪物基线!$C$2:$C$501,MATCH(INT($L692),_怪物基线!$A$2:$A$501,0)),"")</f>
        <v>54673</v>
      </c>
      <c r="Q692">
        <f>IFERROR(INDEX(_怪物基线!$D$2:$D$501,MATCH(INT($L692),_怪物基线!$A$2:$A$501,0)),"")</f>
        <v>37643</v>
      </c>
      <c r="R692">
        <f>参数!$B$10</f>
        <v>4</v>
      </c>
      <c r="S692">
        <f>参数!$C$10</f>
        <v>1.2</v>
      </c>
      <c r="T692">
        <f>参数!$D$10</f>
        <v>1</v>
      </c>
      <c r="U692">
        <f t="shared" si="80"/>
        <v>2657856</v>
      </c>
      <c r="V692">
        <f t="shared" si="81"/>
        <v>65607.6</v>
      </c>
      <c r="W692">
        <f t="shared" si="82"/>
        <v>37643</v>
      </c>
      <c r="X692">
        <f>IFERROR(INDEX(参数!$B$5:$B$7,MATCH($N692,参数!$A$5:$A$7,0)),"")</f>
        <v>1</v>
      </c>
      <c r="Y692">
        <f>IFERROR(INDEX(参数!$C$5:$C$7,MATCH($N692,参数!$A$5:$A$7,0)),"")</f>
        <v>1.2</v>
      </c>
      <c r="Z692">
        <f>IFERROR(INDEX(参数!$D$5:$D$7,MATCH($N692,参数!$A$5:$A$7,0)),"")</f>
        <v>1</v>
      </c>
      <c r="AA692">
        <f>IFERROR(INDEX(楼层配置!$E$5:$E$204,MATCH($K692,楼层配置!$B$5:$B$204,0)),1)</f>
        <v>1.12582067235919</v>
      </c>
      <c r="AB692">
        <f>IFERROR(INDEX(楼层配置!$F$5:$F$204,MATCH($K692,楼层配置!$B$5:$B$204,0)),1)</f>
        <v>0.729834891319568</v>
      </c>
      <c r="AC692">
        <f>IFERROR(INDEX(楼层配置!$G$5:$G$204,MATCH($K692,楼层配置!$B$5:$B$204,0)),1)</f>
        <v>1</v>
      </c>
      <c r="AD692" t="str">
        <f t="shared" si="83"/>
        <v/>
      </c>
      <c r="AE692" t="str">
        <f t="shared" si="84"/>
        <v/>
      </c>
      <c r="AF692" t="str">
        <f t="shared" si="85"/>
        <v/>
      </c>
      <c r="AG692" t="str">
        <f t="shared" si="86"/>
        <v>有效</v>
      </c>
      <c r="AH692">
        <f t="shared" si="87"/>
        <v>7685518.248625</v>
      </c>
    </row>
    <row r="693" spans="1:34">
      <c r="A693">
        <v>689</v>
      </c>
      <c r="B693">
        <v>1005</v>
      </c>
      <c r="C693">
        <v>60</v>
      </c>
      <c r="D693">
        <f>IFERROR(ROUND($U693*$X693*$AA693*参数!$B$13,0),"")</f>
        <v>2992269</v>
      </c>
      <c r="E693">
        <f>IFERROR(ROUND($V693*$Y693*$AB693*参数!$C$13,0),"")</f>
        <v>57459</v>
      </c>
      <c r="F693">
        <f>IFERROR(ROUND($W693*$Z693*$AC693*参数!$D$13,0),"")</f>
        <v>37643</v>
      </c>
      <c r="J693">
        <v>138</v>
      </c>
      <c r="K693">
        <v>138</v>
      </c>
      <c r="L693">
        <f>IFERROR(INDEX(楼层配置!$D$5:$D$204,MATCH($K693,楼层配置!$B$5:$B$204,0)),"")</f>
        <v>336</v>
      </c>
      <c r="M693" t="str">
        <f>IFERROR(INDEX(_角色基线!$B$2:$B$100,MATCH($B693,_角色基线!$A$2:$A$100,0)),"")</f>
        <v>陈单单</v>
      </c>
      <c r="N693" t="str">
        <f>IFERROR(INDEX(_角色基线!$C$2:$C$100,MATCH($B693,_角色基线!$A$2:$A$100,0)),"")</f>
        <v>DPS</v>
      </c>
      <c r="O693">
        <f>IFERROR(INDEX(_怪物基线!$B$2:$B$501,MATCH(INT($L693),_怪物基线!$A$2:$A$501,0)),"")</f>
        <v>664464</v>
      </c>
      <c r="P693">
        <f>IFERROR(INDEX(_怪物基线!$C$2:$C$501,MATCH(INT($L693),_怪物基线!$A$2:$A$501,0)),"")</f>
        <v>54673</v>
      </c>
      <c r="Q693">
        <f>IFERROR(INDEX(_怪物基线!$D$2:$D$501,MATCH(INT($L693),_怪物基线!$A$2:$A$501,0)),"")</f>
        <v>37643</v>
      </c>
      <c r="R693">
        <f>参数!$B$10</f>
        <v>4</v>
      </c>
      <c r="S693">
        <f>参数!$C$10</f>
        <v>1.2</v>
      </c>
      <c r="T693">
        <f>参数!$D$10</f>
        <v>1</v>
      </c>
      <c r="U693">
        <f t="shared" si="80"/>
        <v>2657856</v>
      </c>
      <c r="V693">
        <f t="shared" si="81"/>
        <v>65607.6</v>
      </c>
      <c r="W693">
        <f t="shared" si="82"/>
        <v>37643</v>
      </c>
      <c r="X693">
        <f>IFERROR(INDEX(参数!$B$5:$B$7,MATCH($N693,参数!$A$5:$A$7,0)),"")</f>
        <v>1</v>
      </c>
      <c r="Y693">
        <f>IFERROR(INDEX(参数!$C$5:$C$7,MATCH($N693,参数!$A$5:$A$7,0)),"")</f>
        <v>1.2</v>
      </c>
      <c r="Z693">
        <f>IFERROR(INDEX(参数!$D$5:$D$7,MATCH($N693,参数!$A$5:$A$7,0)),"")</f>
        <v>1</v>
      </c>
      <c r="AA693">
        <f>IFERROR(INDEX(楼层配置!$E$5:$E$204,MATCH($K693,楼层配置!$B$5:$B$204,0)),1)</f>
        <v>1.12582067235919</v>
      </c>
      <c r="AB693">
        <f>IFERROR(INDEX(楼层配置!$F$5:$F$204,MATCH($K693,楼层配置!$B$5:$B$204,0)),1)</f>
        <v>0.729834891319568</v>
      </c>
      <c r="AC693">
        <f>IFERROR(INDEX(楼层配置!$G$5:$G$204,MATCH($K693,楼层配置!$B$5:$B$204,0)),1)</f>
        <v>1</v>
      </c>
      <c r="AD693" t="str">
        <f t="shared" si="83"/>
        <v/>
      </c>
      <c r="AE693" t="str">
        <f t="shared" si="84"/>
        <v/>
      </c>
      <c r="AF693" t="str">
        <f t="shared" si="85"/>
        <v/>
      </c>
      <c r="AG693" t="str">
        <f t="shared" si="86"/>
        <v>有效</v>
      </c>
      <c r="AH693">
        <f t="shared" si="87"/>
        <v>7685518.248625</v>
      </c>
    </row>
    <row r="694" spans="1:34">
      <c r="A694">
        <v>690</v>
      </c>
      <c r="B694">
        <v>1029</v>
      </c>
      <c r="C694">
        <v>60</v>
      </c>
      <c r="D694">
        <f>IFERROR(ROUND($U694*$X694*$AA694*参数!$B$13,0),"")</f>
        <v>3740337</v>
      </c>
      <c r="E694">
        <f>IFERROR(ROUND($V694*$Y694*$AB694*参数!$C$13,0),"")</f>
        <v>47883</v>
      </c>
      <c r="F694">
        <f>IFERROR(ROUND($W694*$Z694*$AC694*参数!$D$13,0),"")</f>
        <v>47054</v>
      </c>
      <c r="J694">
        <v>138</v>
      </c>
      <c r="K694">
        <v>138</v>
      </c>
      <c r="L694">
        <f>IFERROR(INDEX(楼层配置!$D$5:$D$204,MATCH($K694,楼层配置!$B$5:$B$204,0)),"")</f>
        <v>336</v>
      </c>
      <c r="M694" t="str">
        <f>IFERROR(INDEX(_角色基线!$B$2:$B$100,MATCH($B694,_角色基线!$A$2:$A$100,0)),"")</f>
        <v>凯兰</v>
      </c>
      <c r="N694" t="str">
        <f>IFERROR(INDEX(_角色基线!$C$2:$C$100,MATCH($B694,_角色基线!$A$2:$A$100,0)),"")</f>
        <v>Support</v>
      </c>
      <c r="O694">
        <f>IFERROR(INDEX(_怪物基线!$B$2:$B$501,MATCH(INT($L694),_怪物基线!$A$2:$A$501,0)),"")</f>
        <v>664464</v>
      </c>
      <c r="P694">
        <f>IFERROR(INDEX(_怪物基线!$C$2:$C$501,MATCH(INT($L694),_怪物基线!$A$2:$A$501,0)),"")</f>
        <v>54673</v>
      </c>
      <c r="Q694">
        <f>IFERROR(INDEX(_怪物基线!$D$2:$D$501,MATCH(INT($L694),_怪物基线!$A$2:$A$501,0)),"")</f>
        <v>37643</v>
      </c>
      <c r="R694">
        <f>参数!$B$10</f>
        <v>4</v>
      </c>
      <c r="S694">
        <f>参数!$C$10</f>
        <v>1.2</v>
      </c>
      <c r="T694">
        <f>参数!$D$10</f>
        <v>1</v>
      </c>
      <c r="U694">
        <f t="shared" si="80"/>
        <v>2657856</v>
      </c>
      <c r="V694">
        <f t="shared" si="81"/>
        <v>65607.6</v>
      </c>
      <c r="W694">
        <f t="shared" si="82"/>
        <v>37643</v>
      </c>
      <c r="X694">
        <f>IFERROR(INDEX(参数!$B$5:$B$7,MATCH($N694,参数!$A$5:$A$7,0)),"")</f>
        <v>1.25</v>
      </c>
      <c r="Y694">
        <f>IFERROR(INDEX(参数!$C$5:$C$7,MATCH($N694,参数!$A$5:$A$7,0)),"")</f>
        <v>1</v>
      </c>
      <c r="Z694">
        <f>IFERROR(INDEX(参数!$D$5:$D$7,MATCH($N694,参数!$A$5:$A$7,0)),"")</f>
        <v>1.25</v>
      </c>
      <c r="AA694">
        <f>IFERROR(INDEX(楼层配置!$E$5:$E$204,MATCH($K694,楼层配置!$B$5:$B$204,0)),1)</f>
        <v>1.12582067235919</v>
      </c>
      <c r="AB694">
        <f>IFERROR(INDEX(楼层配置!$F$5:$F$204,MATCH($K694,楼层配置!$B$5:$B$204,0)),1)</f>
        <v>0.729834891319568</v>
      </c>
      <c r="AC694">
        <f>IFERROR(INDEX(楼层配置!$G$5:$G$204,MATCH($K694,楼层配置!$B$5:$B$204,0)),1)</f>
        <v>1</v>
      </c>
      <c r="AD694" t="str">
        <f t="shared" si="83"/>
        <v/>
      </c>
      <c r="AE694" t="str">
        <f t="shared" si="84"/>
        <v/>
      </c>
      <c r="AF694" t="str">
        <f t="shared" si="85"/>
        <v/>
      </c>
      <c r="AG694" t="str">
        <f t="shared" si="86"/>
        <v>有效</v>
      </c>
      <c r="AH694">
        <f t="shared" si="87"/>
        <v>11073579.38325</v>
      </c>
    </row>
    <row r="695" spans="1:34">
      <c r="A695">
        <v>691</v>
      </c>
      <c r="B695">
        <v>1003</v>
      </c>
      <c r="C695">
        <v>60</v>
      </c>
      <c r="D695">
        <f>IFERROR(ROUND($U695*$X695*$AA695*参数!$B$13,0),"")</f>
        <v>4566734</v>
      </c>
      <c r="E695">
        <f>IFERROR(ROUND($V695*$Y695*$AB695*参数!$C$13,0),"")</f>
        <v>48527</v>
      </c>
      <c r="F695">
        <f>IFERROR(ROUND($W695*$Z695*$AC695*参数!$D$13,0),"")</f>
        <v>56916</v>
      </c>
      <c r="J695">
        <v>139</v>
      </c>
      <c r="K695">
        <v>139</v>
      </c>
      <c r="L695">
        <f>IFERROR(INDEX(楼层配置!$D$5:$D$204,MATCH($K695,楼层配置!$B$5:$B$204,0)),"")</f>
        <v>338</v>
      </c>
      <c r="M695" t="str">
        <f>IFERROR(INDEX(_角色基线!$B$2:$B$100,MATCH($B695,_角色基线!$A$2:$A$100,0)),"")</f>
        <v>塔拉夏</v>
      </c>
      <c r="N695" t="str">
        <f>IFERROR(INDEX(_角色基线!$C$2:$C$100,MATCH($B695,_角色基线!$A$2:$A$100,0)),"")</f>
        <v>Tank</v>
      </c>
      <c r="O695">
        <f>IFERROR(INDEX(_怪物基线!$B$2:$B$501,MATCH(INT($L695),_怪物基线!$A$2:$A$501,0)),"")</f>
        <v>676060</v>
      </c>
      <c r="P695">
        <f>IFERROR(INDEX(_怪物基线!$C$2:$C$501,MATCH(INT($L695),_怪物基线!$A$2:$A$501,0)),"")</f>
        <v>55409</v>
      </c>
      <c r="Q695">
        <f>IFERROR(INDEX(_怪物基线!$D$2:$D$501,MATCH(INT($L695),_怪物基线!$A$2:$A$501,0)),"")</f>
        <v>37944</v>
      </c>
      <c r="R695">
        <f>参数!$B$10</f>
        <v>4</v>
      </c>
      <c r="S695">
        <f>参数!$C$10</f>
        <v>1.2</v>
      </c>
      <c r="T695">
        <f>参数!$D$10</f>
        <v>1</v>
      </c>
      <c r="U695">
        <f t="shared" si="80"/>
        <v>2704240</v>
      </c>
      <c r="V695">
        <f t="shared" si="81"/>
        <v>66490.8</v>
      </c>
      <c r="W695">
        <f t="shared" si="82"/>
        <v>37944</v>
      </c>
      <c r="X695">
        <f>IFERROR(INDEX(参数!$B$5:$B$7,MATCH($N695,参数!$A$5:$A$7,0)),"")</f>
        <v>1.5</v>
      </c>
      <c r="Y695">
        <f>IFERROR(INDEX(参数!$C$5:$C$7,MATCH($N695,参数!$A$5:$A$7,0)),"")</f>
        <v>1</v>
      </c>
      <c r="Z695">
        <f>IFERROR(INDEX(参数!$D$5:$D$7,MATCH($N695,参数!$A$5:$A$7,0)),"")</f>
        <v>1.5</v>
      </c>
      <c r="AA695">
        <f>IFERROR(INDEX(楼层配置!$E$5:$E$204,MATCH($K695,楼层配置!$B$5:$B$204,0)),1)</f>
        <v>1.12582067235919</v>
      </c>
      <c r="AB695">
        <f>IFERROR(INDEX(楼层配置!$F$5:$F$204,MATCH($K695,楼层配置!$B$5:$B$204,0)),1)</f>
        <v>0.729834891319568</v>
      </c>
      <c r="AC695">
        <f>IFERROR(INDEX(楼层配置!$G$5:$G$204,MATCH($K695,楼层配置!$B$5:$B$204,0)),1)</f>
        <v>1</v>
      </c>
      <c r="AD695" t="str">
        <f t="shared" si="83"/>
        <v/>
      </c>
      <c r="AE695" t="str">
        <f t="shared" si="84"/>
        <v/>
      </c>
      <c r="AF695" t="str">
        <f t="shared" si="85"/>
        <v/>
      </c>
      <c r="AG695" t="str">
        <f t="shared" si="86"/>
        <v>有效</v>
      </c>
      <c r="AH695">
        <f t="shared" si="87"/>
        <v>15396743.681</v>
      </c>
    </row>
    <row r="696" spans="1:34">
      <c r="A696">
        <v>692</v>
      </c>
      <c r="B696">
        <v>1005</v>
      </c>
      <c r="C696">
        <v>60</v>
      </c>
      <c r="D696">
        <f>IFERROR(ROUND($U696*$X696*$AA696*参数!$B$13,0),"")</f>
        <v>3044489</v>
      </c>
      <c r="E696">
        <f>IFERROR(ROUND($V696*$Y696*$AB696*参数!$C$13,0),"")</f>
        <v>58233</v>
      </c>
      <c r="F696">
        <f>IFERROR(ROUND($W696*$Z696*$AC696*参数!$D$13,0),"")</f>
        <v>37944</v>
      </c>
      <c r="J696">
        <v>139</v>
      </c>
      <c r="K696">
        <v>139</v>
      </c>
      <c r="L696">
        <f>IFERROR(INDEX(楼层配置!$D$5:$D$204,MATCH($K696,楼层配置!$B$5:$B$204,0)),"")</f>
        <v>338</v>
      </c>
      <c r="M696" t="str">
        <f>IFERROR(INDEX(_角色基线!$B$2:$B$100,MATCH($B696,_角色基线!$A$2:$A$100,0)),"")</f>
        <v>陈单单</v>
      </c>
      <c r="N696" t="str">
        <f>IFERROR(INDEX(_角色基线!$C$2:$C$100,MATCH($B696,_角色基线!$A$2:$A$100,0)),"")</f>
        <v>DPS</v>
      </c>
      <c r="O696">
        <f>IFERROR(INDEX(_怪物基线!$B$2:$B$501,MATCH(INT($L696),_怪物基线!$A$2:$A$501,0)),"")</f>
        <v>676060</v>
      </c>
      <c r="P696">
        <f>IFERROR(INDEX(_怪物基线!$C$2:$C$501,MATCH(INT($L696),_怪物基线!$A$2:$A$501,0)),"")</f>
        <v>55409</v>
      </c>
      <c r="Q696">
        <f>IFERROR(INDEX(_怪物基线!$D$2:$D$501,MATCH(INT($L696),_怪物基线!$A$2:$A$501,0)),"")</f>
        <v>37944</v>
      </c>
      <c r="R696">
        <f>参数!$B$10</f>
        <v>4</v>
      </c>
      <c r="S696">
        <f>参数!$C$10</f>
        <v>1.2</v>
      </c>
      <c r="T696">
        <f>参数!$D$10</f>
        <v>1</v>
      </c>
      <c r="U696">
        <f t="shared" si="80"/>
        <v>2704240</v>
      </c>
      <c r="V696">
        <f t="shared" si="81"/>
        <v>66490.8</v>
      </c>
      <c r="W696">
        <f t="shared" si="82"/>
        <v>37944</v>
      </c>
      <c r="X696">
        <f>IFERROR(INDEX(参数!$B$5:$B$7,MATCH($N696,参数!$A$5:$A$7,0)),"")</f>
        <v>1</v>
      </c>
      <c r="Y696">
        <f>IFERROR(INDEX(参数!$C$5:$C$7,MATCH($N696,参数!$A$5:$A$7,0)),"")</f>
        <v>1.2</v>
      </c>
      <c r="Z696">
        <f>IFERROR(INDEX(参数!$D$5:$D$7,MATCH($N696,参数!$A$5:$A$7,0)),"")</f>
        <v>1</v>
      </c>
      <c r="AA696">
        <f>IFERROR(INDEX(楼层配置!$E$5:$E$204,MATCH($K696,楼层配置!$B$5:$B$204,0)),1)</f>
        <v>1.12582067235919</v>
      </c>
      <c r="AB696">
        <f>IFERROR(INDEX(楼层配置!$F$5:$F$204,MATCH($K696,楼层配置!$B$5:$B$204,0)),1)</f>
        <v>0.729834891319568</v>
      </c>
      <c r="AC696">
        <f>IFERROR(INDEX(楼层配置!$G$5:$G$204,MATCH($K696,楼层配置!$B$5:$B$204,0)),1)</f>
        <v>1</v>
      </c>
      <c r="AD696" t="str">
        <f t="shared" si="83"/>
        <v/>
      </c>
      <c r="AE696" t="str">
        <f t="shared" si="84"/>
        <v/>
      </c>
      <c r="AF696" t="str">
        <f t="shared" si="85"/>
        <v/>
      </c>
      <c r="AG696" t="str">
        <f t="shared" si="86"/>
        <v>有效</v>
      </c>
      <c r="AH696">
        <f t="shared" si="87"/>
        <v>7857826.109</v>
      </c>
    </row>
    <row r="697" spans="1:34">
      <c r="A697">
        <v>693</v>
      </c>
      <c r="B697">
        <v>1005</v>
      </c>
      <c r="C697">
        <v>60</v>
      </c>
      <c r="D697">
        <f>IFERROR(ROUND($U697*$X697*$AA697*参数!$B$13,0),"")</f>
        <v>3044489</v>
      </c>
      <c r="E697">
        <f>IFERROR(ROUND($V697*$Y697*$AB697*参数!$C$13,0),"")</f>
        <v>58233</v>
      </c>
      <c r="F697">
        <f>IFERROR(ROUND($W697*$Z697*$AC697*参数!$D$13,0),"")</f>
        <v>37944</v>
      </c>
      <c r="J697">
        <v>139</v>
      </c>
      <c r="K697">
        <v>139</v>
      </c>
      <c r="L697">
        <f>IFERROR(INDEX(楼层配置!$D$5:$D$204,MATCH($K697,楼层配置!$B$5:$B$204,0)),"")</f>
        <v>338</v>
      </c>
      <c r="M697" t="str">
        <f>IFERROR(INDEX(_角色基线!$B$2:$B$100,MATCH($B697,_角色基线!$A$2:$A$100,0)),"")</f>
        <v>陈单单</v>
      </c>
      <c r="N697" t="str">
        <f>IFERROR(INDEX(_角色基线!$C$2:$C$100,MATCH($B697,_角色基线!$A$2:$A$100,0)),"")</f>
        <v>DPS</v>
      </c>
      <c r="O697">
        <f>IFERROR(INDEX(_怪物基线!$B$2:$B$501,MATCH(INT($L697),_怪物基线!$A$2:$A$501,0)),"")</f>
        <v>676060</v>
      </c>
      <c r="P697">
        <f>IFERROR(INDEX(_怪物基线!$C$2:$C$501,MATCH(INT($L697),_怪物基线!$A$2:$A$501,0)),"")</f>
        <v>55409</v>
      </c>
      <c r="Q697">
        <f>IFERROR(INDEX(_怪物基线!$D$2:$D$501,MATCH(INT($L697),_怪物基线!$A$2:$A$501,0)),"")</f>
        <v>37944</v>
      </c>
      <c r="R697">
        <f>参数!$B$10</f>
        <v>4</v>
      </c>
      <c r="S697">
        <f>参数!$C$10</f>
        <v>1.2</v>
      </c>
      <c r="T697">
        <f>参数!$D$10</f>
        <v>1</v>
      </c>
      <c r="U697">
        <f t="shared" si="80"/>
        <v>2704240</v>
      </c>
      <c r="V697">
        <f t="shared" si="81"/>
        <v>66490.8</v>
      </c>
      <c r="W697">
        <f t="shared" si="82"/>
        <v>37944</v>
      </c>
      <c r="X697">
        <f>IFERROR(INDEX(参数!$B$5:$B$7,MATCH($N697,参数!$A$5:$A$7,0)),"")</f>
        <v>1</v>
      </c>
      <c r="Y697">
        <f>IFERROR(INDEX(参数!$C$5:$C$7,MATCH($N697,参数!$A$5:$A$7,0)),"")</f>
        <v>1.2</v>
      </c>
      <c r="Z697">
        <f>IFERROR(INDEX(参数!$D$5:$D$7,MATCH($N697,参数!$A$5:$A$7,0)),"")</f>
        <v>1</v>
      </c>
      <c r="AA697">
        <f>IFERROR(INDEX(楼层配置!$E$5:$E$204,MATCH($K697,楼层配置!$B$5:$B$204,0)),1)</f>
        <v>1.12582067235919</v>
      </c>
      <c r="AB697">
        <f>IFERROR(INDEX(楼层配置!$F$5:$F$204,MATCH($K697,楼层配置!$B$5:$B$204,0)),1)</f>
        <v>0.729834891319568</v>
      </c>
      <c r="AC697">
        <f>IFERROR(INDEX(楼层配置!$G$5:$G$204,MATCH($K697,楼层配置!$B$5:$B$204,0)),1)</f>
        <v>1</v>
      </c>
      <c r="AD697" t="str">
        <f t="shared" si="83"/>
        <v/>
      </c>
      <c r="AE697" t="str">
        <f t="shared" si="84"/>
        <v/>
      </c>
      <c r="AF697" t="str">
        <f t="shared" si="85"/>
        <v/>
      </c>
      <c r="AG697" t="str">
        <f t="shared" si="86"/>
        <v>有效</v>
      </c>
      <c r="AH697">
        <f t="shared" si="87"/>
        <v>7857826.109</v>
      </c>
    </row>
    <row r="698" spans="1:34">
      <c r="A698">
        <v>694</v>
      </c>
      <c r="B698">
        <v>1005</v>
      </c>
      <c r="C698">
        <v>60</v>
      </c>
      <c r="D698">
        <f>IFERROR(ROUND($U698*$X698*$AA698*参数!$B$13,0),"")</f>
        <v>3044489</v>
      </c>
      <c r="E698">
        <f>IFERROR(ROUND($V698*$Y698*$AB698*参数!$C$13,0),"")</f>
        <v>58233</v>
      </c>
      <c r="F698">
        <f>IFERROR(ROUND($W698*$Z698*$AC698*参数!$D$13,0),"")</f>
        <v>37944</v>
      </c>
      <c r="J698">
        <v>139</v>
      </c>
      <c r="K698">
        <v>139</v>
      </c>
      <c r="L698">
        <f>IFERROR(INDEX(楼层配置!$D$5:$D$204,MATCH($K698,楼层配置!$B$5:$B$204,0)),"")</f>
        <v>338</v>
      </c>
      <c r="M698" t="str">
        <f>IFERROR(INDEX(_角色基线!$B$2:$B$100,MATCH($B698,_角色基线!$A$2:$A$100,0)),"")</f>
        <v>陈单单</v>
      </c>
      <c r="N698" t="str">
        <f>IFERROR(INDEX(_角色基线!$C$2:$C$100,MATCH($B698,_角色基线!$A$2:$A$100,0)),"")</f>
        <v>DPS</v>
      </c>
      <c r="O698">
        <f>IFERROR(INDEX(_怪物基线!$B$2:$B$501,MATCH(INT($L698),_怪物基线!$A$2:$A$501,0)),"")</f>
        <v>676060</v>
      </c>
      <c r="P698">
        <f>IFERROR(INDEX(_怪物基线!$C$2:$C$501,MATCH(INT($L698),_怪物基线!$A$2:$A$501,0)),"")</f>
        <v>55409</v>
      </c>
      <c r="Q698">
        <f>IFERROR(INDEX(_怪物基线!$D$2:$D$501,MATCH(INT($L698),_怪物基线!$A$2:$A$501,0)),"")</f>
        <v>37944</v>
      </c>
      <c r="R698">
        <f>参数!$B$10</f>
        <v>4</v>
      </c>
      <c r="S698">
        <f>参数!$C$10</f>
        <v>1.2</v>
      </c>
      <c r="T698">
        <f>参数!$D$10</f>
        <v>1</v>
      </c>
      <c r="U698">
        <f t="shared" si="80"/>
        <v>2704240</v>
      </c>
      <c r="V698">
        <f t="shared" si="81"/>
        <v>66490.8</v>
      </c>
      <c r="W698">
        <f t="shared" si="82"/>
        <v>37944</v>
      </c>
      <c r="X698">
        <f>IFERROR(INDEX(参数!$B$5:$B$7,MATCH($N698,参数!$A$5:$A$7,0)),"")</f>
        <v>1</v>
      </c>
      <c r="Y698">
        <f>IFERROR(INDEX(参数!$C$5:$C$7,MATCH($N698,参数!$A$5:$A$7,0)),"")</f>
        <v>1.2</v>
      </c>
      <c r="Z698">
        <f>IFERROR(INDEX(参数!$D$5:$D$7,MATCH($N698,参数!$A$5:$A$7,0)),"")</f>
        <v>1</v>
      </c>
      <c r="AA698">
        <f>IFERROR(INDEX(楼层配置!$E$5:$E$204,MATCH($K698,楼层配置!$B$5:$B$204,0)),1)</f>
        <v>1.12582067235919</v>
      </c>
      <c r="AB698">
        <f>IFERROR(INDEX(楼层配置!$F$5:$F$204,MATCH($K698,楼层配置!$B$5:$B$204,0)),1)</f>
        <v>0.729834891319568</v>
      </c>
      <c r="AC698">
        <f>IFERROR(INDEX(楼层配置!$G$5:$G$204,MATCH($K698,楼层配置!$B$5:$B$204,0)),1)</f>
        <v>1</v>
      </c>
      <c r="AD698" t="str">
        <f t="shared" si="83"/>
        <v/>
      </c>
      <c r="AE698" t="str">
        <f t="shared" si="84"/>
        <v/>
      </c>
      <c r="AF698" t="str">
        <f t="shared" si="85"/>
        <v/>
      </c>
      <c r="AG698" t="str">
        <f t="shared" si="86"/>
        <v>有效</v>
      </c>
      <c r="AH698">
        <f t="shared" si="87"/>
        <v>7857826.109</v>
      </c>
    </row>
    <row r="699" spans="1:34">
      <c r="A699">
        <v>695</v>
      </c>
      <c r="B699">
        <v>1029</v>
      </c>
      <c r="C699">
        <v>60</v>
      </c>
      <c r="D699">
        <f>IFERROR(ROUND($U699*$X699*$AA699*参数!$B$13,0),"")</f>
        <v>3805612</v>
      </c>
      <c r="E699">
        <f>IFERROR(ROUND($V699*$Y699*$AB699*参数!$C$13,0),"")</f>
        <v>48527</v>
      </c>
      <c r="F699">
        <f>IFERROR(ROUND($W699*$Z699*$AC699*参数!$D$13,0),"")</f>
        <v>47430</v>
      </c>
      <c r="J699">
        <v>139</v>
      </c>
      <c r="K699">
        <v>139</v>
      </c>
      <c r="L699">
        <f>IFERROR(INDEX(楼层配置!$D$5:$D$204,MATCH($K699,楼层配置!$B$5:$B$204,0)),"")</f>
        <v>338</v>
      </c>
      <c r="M699" t="str">
        <f>IFERROR(INDEX(_角色基线!$B$2:$B$100,MATCH($B699,_角色基线!$A$2:$A$100,0)),"")</f>
        <v>凯兰</v>
      </c>
      <c r="N699" t="str">
        <f>IFERROR(INDEX(_角色基线!$C$2:$C$100,MATCH($B699,_角色基线!$A$2:$A$100,0)),"")</f>
        <v>Support</v>
      </c>
      <c r="O699">
        <f>IFERROR(INDEX(_怪物基线!$B$2:$B$501,MATCH(INT($L699),_怪物基线!$A$2:$A$501,0)),"")</f>
        <v>676060</v>
      </c>
      <c r="P699">
        <f>IFERROR(INDEX(_怪物基线!$C$2:$C$501,MATCH(INT($L699),_怪物基线!$A$2:$A$501,0)),"")</f>
        <v>55409</v>
      </c>
      <c r="Q699">
        <f>IFERROR(INDEX(_怪物基线!$D$2:$D$501,MATCH(INT($L699),_怪物基线!$A$2:$A$501,0)),"")</f>
        <v>37944</v>
      </c>
      <c r="R699">
        <f>参数!$B$10</f>
        <v>4</v>
      </c>
      <c r="S699">
        <f>参数!$C$10</f>
        <v>1.2</v>
      </c>
      <c r="T699">
        <f>参数!$D$10</f>
        <v>1</v>
      </c>
      <c r="U699">
        <f t="shared" si="80"/>
        <v>2704240</v>
      </c>
      <c r="V699">
        <f t="shared" si="81"/>
        <v>66490.8</v>
      </c>
      <c r="W699">
        <f t="shared" si="82"/>
        <v>37944</v>
      </c>
      <c r="X699">
        <f>IFERROR(INDEX(参数!$B$5:$B$7,MATCH($N699,参数!$A$5:$A$7,0)),"")</f>
        <v>1.25</v>
      </c>
      <c r="Y699">
        <f>IFERROR(INDEX(参数!$C$5:$C$7,MATCH($N699,参数!$A$5:$A$7,0)),"")</f>
        <v>1</v>
      </c>
      <c r="Z699">
        <f>IFERROR(INDEX(参数!$D$5:$D$7,MATCH($N699,参数!$A$5:$A$7,0)),"")</f>
        <v>1.25</v>
      </c>
      <c r="AA699">
        <f>IFERROR(INDEX(楼层配置!$E$5:$E$204,MATCH($K699,楼层配置!$B$5:$B$204,0)),1)</f>
        <v>1.12582067235919</v>
      </c>
      <c r="AB699">
        <f>IFERROR(INDEX(楼层配置!$F$5:$F$204,MATCH($K699,楼层配置!$B$5:$B$204,0)),1)</f>
        <v>0.729834891319568</v>
      </c>
      <c r="AC699">
        <f>IFERROR(INDEX(楼层配置!$G$5:$G$204,MATCH($K699,楼层配置!$B$5:$B$204,0)),1)</f>
        <v>1</v>
      </c>
      <c r="AD699" t="str">
        <f t="shared" si="83"/>
        <v/>
      </c>
      <c r="AE699" t="str">
        <f t="shared" si="84"/>
        <v/>
      </c>
      <c r="AF699" t="str">
        <f t="shared" si="85"/>
        <v/>
      </c>
      <c r="AG699" t="str">
        <f t="shared" si="86"/>
        <v>有效</v>
      </c>
      <c r="AH699">
        <f t="shared" si="87"/>
        <v>11326452.715</v>
      </c>
    </row>
    <row r="700" spans="1:34">
      <c r="A700">
        <v>696</v>
      </c>
      <c r="B700">
        <v>1003</v>
      </c>
      <c r="C700">
        <v>60</v>
      </c>
      <c r="D700">
        <f>IFERROR(ROUND($U700*$X700*$AA700*参数!$B$13,0),"")</f>
        <v>4649812</v>
      </c>
      <c r="E700">
        <f>IFERROR(ROUND($V700*$Y700*$AB700*参数!$C$13,0),"")</f>
        <v>49274</v>
      </c>
      <c r="F700">
        <f>IFERROR(ROUND($W700*$Z700*$AC700*参数!$D$13,0),"")</f>
        <v>57369</v>
      </c>
      <c r="J700">
        <v>140</v>
      </c>
      <c r="K700">
        <v>140</v>
      </c>
      <c r="L700">
        <f>IFERROR(INDEX(楼层配置!$D$5:$D$204,MATCH($K700,楼层配置!$B$5:$B$204,0)),"")</f>
        <v>340</v>
      </c>
      <c r="M700" t="str">
        <f>IFERROR(INDEX(_角色基线!$B$2:$B$100,MATCH($B700,_角色基线!$A$2:$A$100,0)),"")</f>
        <v>塔拉夏</v>
      </c>
      <c r="N700" t="str">
        <f>IFERROR(INDEX(_角色基线!$C$2:$C$100,MATCH($B700,_角色基线!$A$2:$A$100,0)),"")</f>
        <v>Tank</v>
      </c>
      <c r="O700">
        <f>IFERROR(INDEX(_怪物基线!$B$2:$B$501,MATCH(INT($L700),_怪物基线!$A$2:$A$501,0)),"")</f>
        <v>687812</v>
      </c>
      <c r="P700">
        <f>IFERROR(INDEX(_怪物基线!$C$2:$C$501,MATCH(INT($L700),_怪物基线!$A$2:$A$501,0)),"")</f>
        <v>56154</v>
      </c>
      <c r="Q700">
        <f>IFERROR(INDEX(_怪物基线!$D$2:$D$501,MATCH(INT($L700),_怪物基线!$A$2:$A$501,0)),"")</f>
        <v>38246</v>
      </c>
      <c r="R700">
        <f>参数!$B$10</f>
        <v>4</v>
      </c>
      <c r="S700">
        <f>参数!$C$10</f>
        <v>1.2</v>
      </c>
      <c r="T700">
        <f>参数!$D$10</f>
        <v>1</v>
      </c>
      <c r="U700">
        <f t="shared" si="80"/>
        <v>2751248</v>
      </c>
      <c r="V700">
        <f t="shared" si="81"/>
        <v>67384.8</v>
      </c>
      <c r="W700">
        <f t="shared" si="82"/>
        <v>38246</v>
      </c>
      <c r="X700">
        <f>IFERROR(INDEX(参数!$B$5:$B$7,MATCH($N700,参数!$A$5:$A$7,0)),"")</f>
        <v>1.5</v>
      </c>
      <c r="Y700">
        <f>IFERROR(INDEX(参数!$C$5:$C$7,MATCH($N700,参数!$A$5:$A$7,0)),"")</f>
        <v>1</v>
      </c>
      <c r="Z700">
        <f>IFERROR(INDEX(参数!$D$5:$D$7,MATCH($N700,参数!$A$5:$A$7,0)),"")</f>
        <v>1.5</v>
      </c>
      <c r="AA700">
        <f>IFERROR(INDEX(楼层配置!$E$5:$E$204,MATCH($K700,楼层配置!$B$5:$B$204,0)),1)</f>
        <v>1.12671592412141</v>
      </c>
      <c r="AB700">
        <f>IFERROR(INDEX(楼层配置!$F$5:$F$204,MATCH($K700,楼层配置!$B$5:$B$204,0)),1)</f>
        <v>0.731229508674054</v>
      </c>
      <c r="AC700">
        <f>IFERROR(INDEX(楼层配置!$G$5:$G$204,MATCH($K700,楼层配置!$B$5:$B$204,0)),1)</f>
        <v>1</v>
      </c>
      <c r="AD700" t="str">
        <f t="shared" si="83"/>
        <v/>
      </c>
      <c r="AE700" t="str">
        <f t="shared" si="84"/>
        <v/>
      </c>
      <c r="AF700" t="str">
        <f t="shared" si="85"/>
        <v/>
      </c>
      <c r="AG700" t="str">
        <f t="shared" si="86"/>
        <v>有效</v>
      </c>
      <c r="AH700">
        <f t="shared" si="87"/>
        <v>15764606.3595</v>
      </c>
    </row>
    <row r="701" spans="1:34">
      <c r="A701">
        <v>697</v>
      </c>
      <c r="B701">
        <v>1005</v>
      </c>
      <c r="C701">
        <v>60</v>
      </c>
      <c r="D701">
        <f>IFERROR(ROUND($U701*$X701*$AA701*参数!$B$13,0),"")</f>
        <v>3099875</v>
      </c>
      <c r="E701">
        <f>IFERROR(ROUND($V701*$Y701*$AB701*参数!$C$13,0),"")</f>
        <v>59129</v>
      </c>
      <c r="F701">
        <f>IFERROR(ROUND($W701*$Z701*$AC701*参数!$D$13,0),"")</f>
        <v>38246</v>
      </c>
      <c r="J701">
        <v>140</v>
      </c>
      <c r="K701">
        <v>140</v>
      </c>
      <c r="L701">
        <f>IFERROR(INDEX(楼层配置!$D$5:$D$204,MATCH($K701,楼层配置!$B$5:$B$204,0)),"")</f>
        <v>340</v>
      </c>
      <c r="M701" t="str">
        <f>IFERROR(INDEX(_角色基线!$B$2:$B$100,MATCH($B701,_角色基线!$A$2:$A$100,0)),"")</f>
        <v>陈单单</v>
      </c>
      <c r="N701" t="str">
        <f>IFERROR(INDEX(_角色基线!$C$2:$C$100,MATCH($B701,_角色基线!$A$2:$A$100,0)),"")</f>
        <v>DPS</v>
      </c>
      <c r="O701">
        <f>IFERROR(INDEX(_怪物基线!$B$2:$B$501,MATCH(INT($L701),_怪物基线!$A$2:$A$501,0)),"")</f>
        <v>687812</v>
      </c>
      <c r="P701">
        <f>IFERROR(INDEX(_怪物基线!$C$2:$C$501,MATCH(INT($L701),_怪物基线!$A$2:$A$501,0)),"")</f>
        <v>56154</v>
      </c>
      <c r="Q701">
        <f>IFERROR(INDEX(_怪物基线!$D$2:$D$501,MATCH(INT($L701),_怪物基线!$A$2:$A$501,0)),"")</f>
        <v>38246</v>
      </c>
      <c r="R701">
        <f>参数!$B$10</f>
        <v>4</v>
      </c>
      <c r="S701">
        <f>参数!$C$10</f>
        <v>1.2</v>
      </c>
      <c r="T701">
        <f>参数!$D$10</f>
        <v>1</v>
      </c>
      <c r="U701">
        <f t="shared" si="80"/>
        <v>2751248</v>
      </c>
      <c r="V701">
        <f t="shared" si="81"/>
        <v>67384.8</v>
      </c>
      <c r="W701">
        <f t="shared" si="82"/>
        <v>38246</v>
      </c>
      <c r="X701">
        <f>IFERROR(INDEX(参数!$B$5:$B$7,MATCH($N701,参数!$A$5:$A$7,0)),"")</f>
        <v>1</v>
      </c>
      <c r="Y701">
        <f>IFERROR(INDEX(参数!$C$5:$C$7,MATCH($N701,参数!$A$5:$A$7,0)),"")</f>
        <v>1.2</v>
      </c>
      <c r="Z701">
        <f>IFERROR(INDEX(参数!$D$5:$D$7,MATCH($N701,参数!$A$5:$A$7,0)),"")</f>
        <v>1</v>
      </c>
      <c r="AA701">
        <f>IFERROR(INDEX(楼层配置!$E$5:$E$204,MATCH($K701,楼层配置!$B$5:$B$204,0)),1)</f>
        <v>1.12671592412141</v>
      </c>
      <c r="AB701">
        <f>IFERROR(INDEX(楼层配置!$F$5:$F$204,MATCH($K701,楼层配置!$B$5:$B$204,0)),1)</f>
        <v>0.731229508674054</v>
      </c>
      <c r="AC701">
        <f>IFERROR(INDEX(楼层配置!$G$5:$G$204,MATCH($K701,楼层配置!$B$5:$B$204,0)),1)</f>
        <v>1</v>
      </c>
      <c r="AD701" t="str">
        <f t="shared" si="83"/>
        <v/>
      </c>
      <c r="AE701" t="str">
        <f t="shared" si="84"/>
        <v/>
      </c>
      <c r="AF701" t="str">
        <f t="shared" si="85"/>
        <v/>
      </c>
      <c r="AG701" t="str">
        <f t="shared" si="86"/>
        <v>有效</v>
      </c>
      <c r="AH701">
        <f t="shared" si="87"/>
        <v>8039784.13541667</v>
      </c>
    </row>
    <row r="702" spans="1:34">
      <c r="A702">
        <v>698</v>
      </c>
      <c r="B702">
        <v>1005</v>
      </c>
      <c r="C702">
        <v>60</v>
      </c>
      <c r="D702">
        <f>IFERROR(ROUND($U702*$X702*$AA702*参数!$B$13,0),"")</f>
        <v>3099875</v>
      </c>
      <c r="E702">
        <f>IFERROR(ROUND($V702*$Y702*$AB702*参数!$C$13,0),"")</f>
        <v>59129</v>
      </c>
      <c r="F702">
        <f>IFERROR(ROUND($W702*$Z702*$AC702*参数!$D$13,0),"")</f>
        <v>38246</v>
      </c>
      <c r="J702">
        <v>140</v>
      </c>
      <c r="K702">
        <v>140</v>
      </c>
      <c r="L702">
        <f>IFERROR(INDEX(楼层配置!$D$5:$D$204,MATCH($K702,楼层配置!$B$5:$B$204,0)),"")</f>
        <v>340</v>
      </c>
      <c r="M702" t="str">
        <f>IFERROR(INDEX(_角色基线!$B$2:$B$100,MATCH($B702,_角色基线!$A$2:$A$100,0)),"")</f>
        <v>陈单单</v>
      </c>
      <c r="N702" t="str">
        <f>IFERROR(INDEX(_角色基线!$C$2:$C$100,MATCH($B702,_角色基线!$A$2:$A$100,0)),"")</f>
        <v>DPS</v>
      </c>
      <c r="O702">
        <f>IFERROR(INDEX(_怪物基线!$B$2:$B$501,MATCH(INT($L702),_怪物基线!$A$2:$A$501,0)),"")</f>
        <v>687812</v>
      </c>
      <c r="P702">
        <f>IFERROR(INDEX(_怪物基线!$C$2:$C$501,MATCH(INT($L702),_怪物基线!$A$2:$A$501,0)),"")</f>
        <v>56154</v>
      </c>
      <c r="Q702">
        <f>IFERROR(INDEX(_怪物基线!$D$2:$D$501,MATCH(INT($L702),_怪物基线!$A$2:$A$501,0)),"")</f>
        <v>38246</v>
      </c>
      <c r="R702">
        <f>参数!$B$10</f>
        <v>4</v>
      </c>
      <c r="S702">
        <f>参数!$C$10</f>
        <v>1.2</v>
      </c>
      <c r="T702">
        <f>参数!$D$10</f>
        <v>1</v>
      </c>
      <c r="U702">
        <f t="shared" si="80"/>
        <v>2751248</v>
      </c>
      <c r="V702">
        <f t="shared" si="81"/>
        <v>67384.8</v>
      </c>
      <c r="W702">
        <f t="shared" si="82"/>
        <v>38246</v>
      </c>
      <c r="X702">
        <f>IFERROR(INDEX(参数!$B$5:$B$7,MATCH($N702,参数!$A$5:$A$7,0)),"")</f>
        <v>1</v>
      </c>
      <c r="Y702">
        <f>IFERROR(INDEX(参数!$C$5:$C$7,MATCH($N702,参数!$A$5:$A$7,0)),"")</f>
        <v>1.2</v>
      </c>
      <c r="Z702">
        <f>IFERROR(INDEX(参数!$D$5:$D$7,MATCH($N702,参数!$A$5:$A$7,0)),"")</f>
        <v>1</v>
      </c>
      <c r="AA702">
        <f>IFERROR(INDEX(楼层配置!$E$5:$E$204,MATCH($K702,楼层配置!$B$5:$B$204,0)),1)</f>
        <v>1.12671592412141</v>
      </c>
      <c r="AB702">
        <f>IFERROR(INDEX(楼层配置!$F$5:$F$204,MATCH($K702,楼层配置!$B$5:$B$204,0)),1)</f>
        <v>0.731229508674054</v>
      </c>
      <c r="AC702">
        <f>IFERROR(INDEX(楼层配置!$G$5:$G$204,MATCH($K702,楼层配置!$B$5:$B$204,0)),1)</f>
        <v>1</v>
      </c>
      <c r="AD702" t="str">
        <f t="shared" si="83"/>
        <v/>
      </c>
      <c r="AE702" t="str">
        <f t="shared" si="84"/>
        <v/>
      </c>
      <c r="AF702" t="str">
        <f t="shared" si="85"/>
        <v/>
      </c>
      <c r="AG702" t="str">
        <f t="shared" si="86"/>
        <v>有效</v>
      </c>
      <c r="AH702">
        <f t="shared" si="87"/>
        <v>8039784.13541667</v>
      </c>
    </row>
    <row r="703" spans="1:34">
      <c r="A703">
        <v>699</v>
      </c>
      <c r="B703">
        <v>1005</v>
      </c>
      <c r="C703">
        <v>60</v>
      </c>
      <c r="D703">
        <f>IFERROR(ROUND($U703*$X703*$AA703*参数!$B$13,0),"")</f>
        <v>3099875</v>
      </c>
      <c r="E703">
        <f>IFERROR(ROUND($V703*$Y703*$AB703*参数!$C$13,0),"")</f>
        <v>59129</v>
      </c>
      <c r="F703">
        <f>IFERROR(ROUND($W703*$Z703*$AC703*参数!$D$13,0),"")</f>
        <v>38246</v>
      </c>
      <c r="J703">
        <v>140</v>
      </c>
      <c r="K703">
        <v>140</v>
      </c>
      <c r="L703">
        <f>IFERROR(INDEX(楼层配置!$D$5:$D$204,MATCH($K703,楼层配置!$B$5:$B$204,0)),"")</f>
        <v>340</v>
      </c>
      <c r="M703" t="str">
        <f>IFERROR(INDEX(_角色基线!$B$2:$B$100,MATCH($B703,_角色基线!$A$2:$A$100,0)),"")</f>
        <v>陈单单</v>
      </c>
      <c r="N703" t="str">
        <f>IFERROR(INDEX(_角色基线!$C$2:$C$100,MATCH($B703,_角色基线!$A$2:$A$100,0)),"")</f>
        <v>DPS</v>
      </c>
      <c r="O703">
        <f>IFERROR(INDEX(_怪物基线!$B$2:$B$501,MATCH(INT($L703),_怪物基线!$A$2:$A$501,0)),"")</f>
        <v>687812</v>
      </c>
      <c r="P703">
        <f>IFERROR(INDEX(_怪物基线!$C$2:$C$501,MATCH(INT($L703),_怪物基线!$A$2:$A$501,0)),"")</f>
        <v>56154</v>
      </c>
      <c r="Q703">
        <f>IFERROR(INDEX(_怪物基线!$D$2:$D$501,MATCH(INT($L703),_怪物基线!$A$2:$A$501,0)),"")</f>
        <v>38246</v>
      </c>
      <c r="R703">
        <f>参数!$B$10</f>
        <v>4</v>
      </c>
      <c r="S703">
        <f>参数!$C$10</f>
        <v>1.2</v>
      </c>
      <c r="T703">
        <f>参数!$D$10</f>
        <v>1</v>
      </c>
      <c r="U703">
        <f t="shared" si="80"/>
        <v>2751248</v>
      </c>
      <c r="V703">
        <f t="shared" si="81"/>
        <v>67384.8</v>
      </c>
      <c r="W703">
        <f t="shared" si="82"/>
        <v>38246</v>
      </c>
      <c r="X703">
        <f>IFERROR(INDEX(参数!$B$5:$B$7,MATCH($N703,参数!$A$5:$A$7,0)),"")</f>
        <v>1</v>
      </c>
      <c r="Y703">
        <f>IFERROR(INDEX(参数!$C$5:$C$7,MATCH($N703,参数!$A$5:$A$7,0)),"")</f>
        <v>1.2</v>
      </c>
      <c r="Z703">
        <f>IFERROR(INDEX(参数!$D$5:$D$7,MATCH($N703,参数!$A$5:$A$7,0)),"")</f>
        <v>1</v>
      </c>
      <c r="AA703">
        <f>IFERROR(INDEX(楼层配置!$E$5:$E$204,MATCH($K703,楼层配置!$B$5:$B$204,0)),1)</f>
        <v>1.12671592412141</v>
      </c>
      <c r="AB703">
        <f>IFERROR(INDEX(楼层配置!$F$5:$F$204,MATCH($K703,楼层配置!$B$5:$B$204,0)),1)</f>
        <v>0.731229508674054</v>
      </c>
      <c r="AC703">
        <f>IFERROR(INDEX(楼层配置!$G$5:$G$204,MATCH($K703,楼层配置!$B$5:$B$204,0)),1)</f>
        <v>1</v>
      </c>
      <c r="AD703" t="str">
        <f t="shared" si="83"/>
        <v/>
      </c>
      <c r="AE703" t="str">
        <f t="shared" si="84"/>
        <v/>
      </c>
      <c r="AF703" t="str">
        <f t="shared" si="85"/>
        <v/>
      </c>
      <c r="AG703" t="str">
        <f t="shared" si="86"/>
        <v>有效</v>
      </c>
      <c r="AH703">
        <f t="shared" si="87"/>
        <v>8039784.13541667</v>
      </c>
    </row>
    <row r="704" spans="1:34">
      <c r="A704">
        <v>700</v>
      </c>
      <c r="B704">
        <v>1029</v>
      </c>
      <c r="C704">
        <v>60</v>
      </c>
      <c r="D704">
        <f>IFERROR(ROUND($U704*$X704*$AA704*参数!$B$13,0),"")</f>
        <v>3874844</v>
      </c>
      <c r="E704">
        <f>IFERROR(ROUND($V704*$Y704*$AB704*参数!$C$13,0),"")</f>
        <v>49274</v>
      </c>
      <c r="F704">
        <f>IFERROR(ROUND($W704*$Z704*$AC704*参数!$D$13,0),"")</f>
        <v>47808</v>
      </c>
      <c r="J704">
        <v>140</v>
      </c>
      <c r="K704">
        <v>140</v>
      </c>
      <c r="L704">
        <f>IFERROR(INDEX(楼层配置!$D$5:$D$204,MATCH($K704,楼层配置!$B$5:$B$204,0)),"")</f>
        <v>340</v>
      </c>
      <c r="M704" t="str">
        <f>IFERROR(INDEX(_角色基线!$B$2:$B$100,MATCH($B704,_角色基线!$A$2:$A$100,0)),"")</f>
        <v>凯兰</v>
      </c>
      <c r="N704" t="str">
        <f>IFERROR(INDEX(_角色基线!$C$2:$C$100,MATCH($B704,_角色基线!$A$2:$A$100,0)),"")</f>
        <v>Support</v>
      </c>
      <c r="O704">
        <f>IFERROR(INDEX(_怪物基线!$B$2:$B$501,MATCH(INT($L704),_怪物基线!$A$2:$A$501,0)),"")</f>
        <v>687812</v>
      </c>
      <c r="P704">
        <f>IFERROR(INDEX(_怪物基线!$C$2:$C$501,MATCH(INT($L704),_怪物基线!$A$2:$A$501,0)),"")</f>
        <v>56154</v>
      </c>
      <c r="Q704">
        <f>IFERROR(INDEX(_怪物基线!$D$2:$D$501,MATCH(INT($L704),_怪物基线!$A$2:$A$501,0)),"")</f>
        <v>38246</v>
      </c>
      <c r="R704">
        <f>参数!$B$10</f>
        <v>4</v>
      </c>
      <c r="S704">
        <f>参数!$C$10</f>
        <v>1.2</v>
      </c>
      <c r="T704">
        <f>参数!$D$10</f>
        <v>1</v>
      </c>
      <c r="U704">
        <f t="shared" si="80"/>
        <v>2751248</v>
      </c>
      <c r="V704">
        <f t="shared" si="81"/>
        <v>67384.8</v>
      </c>
      <c r="W704">
        <f t="shared" si="82"/>
        <v>38246</v>
      </c>
      <c r="X704">
        <f>IFERROR(INDEX(参数!$B$5:$B$7,MATCH($N704,参数!$A$5:$A$7,0)),"")</f>
        <v>1.25</v>
      </c>
      <c r="Y704">
        <f>IFERROR(INDEX(参数!$C$5:$C$7,MATCH($N704,参数!$A$5:$A$7,0)),"")</f>
        <v>1</v>
      </c>
      <c r="Z704">
        <f>IFERROR(INDEX(参数!$D$5:$D$7,MATCH($N704,参数!$A$5:$A$7,0)),"")</f>
        <v>1.25</v>
      </c>
      <c r="AA704">
        <f>IFERROR(INDEX(楼层配置!$E$5:$E$204,MATCH($K704,楼层配置!$B$5:$B$204,0)),1)</f>
        <v>1.12671592412141</v>
      </c>
      <c r="AB704">
        <f>IFERROR(INDEX(楼层配置!$F$5:$F$204,MATCH($K704,楼层配置!$B$5:$B$204,0)),1)</f>
        <v>0.731229508674054</v>
      </c>
      <c r="AC704">
        <f>IFERROR(INDEX(楼层配置!$G$5:$G$204,MATCH($K704,楼层配置!$B$5:$B$204,0)),1)</f>
        <v>1</v>
      </c>
      <c r="AD704" t="str">
        <f t="shared" si="83"/>
        <v/>
      </c>
      <c r="AE704" t="str">
        <f t="shared" si="84"/>
        <v/>
      </c>
      <c r="AF704" t="str">
        <f t="shared" si="85"/>
        <v/>
      </c>
      <c r="AG704" t="str">
        <f t="shared" si="86"/>
        <v>有效</v>
      </c>
      <c r="AH704">
        <f t="shared" si="87"/>
        <v>11593533.248</v>
      </c>
    </row>
    <row r="705" spans="1:34">
      <c r="A705">
        <v>701</v>
      </c>
      <c r="B705">
        <v>1003</v>
      </c>
      <c r="C705">
        <v>60</v>
      </c>
      <c r="D705">
        <f>IFERROR(ROUND($U705*$X705*$AA705*参数!$B$13,0),"")</f>
        <v>4726569</v>
      </c>
      <c r="E705">
        <f>IFERROR(ROUND($V705*$Y705*$AB705*参数!$C$13,0),"")</f>
        <v>49838</v>
      </c>
      <c r="F705">
        <f>IFERROR(ROUND($W705*$Z705*$AC705*参数!$D$13,0),"")</f>
        <v>57822</v>
      </c>
      <c r="J705">
        <v>141</v>
      </c>
      <c r="K705">
        <v>141</v>
      </c>
      <c r="L705">
        <f>IFERROR(INDEX(楼层配置!$D$5:$D$204,MATCH($K705,楼层配置!$B$5:$B$204,0)),"")</f>
        <v>342</v>
      </c>
      <c r="M705" t="str">
        <f>IFERROR(INDEX(_角色基线!$B$2:$B$100,MATCH($B705,_角色基线!$A$2:$A$100,0)),"")</f>
        <v>塔拉夏</v>
      </c>
      <c r="N705" t="str">
        <f>IFERROR(INDEX(_角色基线!$C$2:$C$100,MATCH($B705,_角色基线!$A$2:$A$100,0)),"")</f>
        <v>Tank</v>
      </c>
      <c r="O705">
        <f>IFERROR(INDEX(_怪物基线!$B$2:$B$501,MATCH(INT($L705),_怪物基线!$A$2:$A$501,0)),"")</f>
        <v>699722</v>
      </c>
      <c r="P705">
        <f>IFERROR(INDEX(_怪物基线!$C$2:$C$501,MATCH(INT($L705),_怪物基线!$A$2:$A$501,0)),"")</f>
        <v>56905</v>
      </c>
      <c r="Q705">
        <f>IFERROR(INDEX(_怪物基线!$D$2:$D$501,MATCH(INT($L705),_怪物基线!$A$2:$A$501,0)),"")</f>
        <v>38548</v>
      </c>
      <c r="R705">
        <f>参数!$B$10</f>
        <v>4</v>
      </c>
      <c r="S705">
        <f>参数!$C$10</f>
        <v>1.2</v>
      </c>
      <c r="T705">
        <f>参数!$D$10</f>
        <v>1</v>
      </c>
      <c r="U705">
        <f t="shared" si="80"/>
        <v>2798888</v>
      </c>
      <c r="V705">
        <f t="shared" si="81"/>
        <v>68286</v>
      </c>
      <c r="W705">
        <f t="shared" si="82"/>
        <v>38548</v>
      </c>
      <c r="X705">
        <f>IFERROR(INDEX(参数!$B$5:$B$7,MATCH($N705,参数!$A$5:$A$7,0)),"")</f>
        <v>1.5</v>
      </c>
      <c r="Y705">
        <f>IFERROR(INDEX(参数!$C$5:$C$7,MATCH($N705,参数!$A$5:$A$7,0)),"")</f>
        <v>1</v>
      </c>
      <c r="Z705">
        <f>IFERROR(INDEX(参数!$D$5:$D$7,MATCH($N705,参数!$A$5:$A$7,0)),"")</f>
        <v>1.5</v>
      </c>
      <c r="AA705">
        <f>IFERROR(INDEX(楼层配置!$E$5:$E$204,MATCH($K705,楼层配置!$B$5:$B$204,0)),1)</f>
        <v>1.12582067235919</v>
      </c>
      <c r="AB705">
        <f>IFERROR(INDEX(楼层配置!$F$5:$F$204,MATCH($K705,楼层配置!$B$5:$B$204,0)),1)</f>
        <v>0.729834891319568</v>
      </c>
      <c r="AC705">
        <f>IFERROR(INDEX(楼层配置!$G$5:$G$204,MATCH($K705,楼层配置!$B$5:$B$204,0)),1)</f>
        <v>1</v>
      </c>
      <c r="AD705" t="str">
        <f t="shared" si="83"/>
        <v/>
      </c>
      <c r="AE705" t="str">
        <f t="shared" si="84"/>
        <v/>
      </c>
      <c r="AF705" t="str">
        <f t="shared" si="85"/>
        <v/>
      </c>
      <c r="AG705" t="str">
        <f t="shared" si="86"/>
        <v>有效</v>
      </c>
      <c r="AH705">
        <f t="shared" si="87"/>
        <v>16114055.36325</v>
      </c>
    </row>
    <row r="706" spans="1:34">
      <c r="A706">
        <v>702</v>
      </c>
      <c r="B706">
        <v>1005</v>
      </c>
      <c r="C706">
        <v>60</v>
      </c>
      <c r="D706">
        <f>IFERROR(ROUND($U706*$X706*$AA706*参数!$B$13,0),"")</f>
        <v>3151046</v>
      </c>
      <c r="E706">
        <f>IFERROR(ROUND($V706*$Y706*$AB706*参数!$C$13,0),"")</f>
        <v>59805</v>
      </c>
      <c r="F706">
        <f>IFERROR(ROUND($W706*$Z706*$AC706*参数!$D$13,0),"")</f>
        <v>38548</v>
      </c>
      <c r="J706">
        <v>141</v>
      </c>
      <c r="K706">
        <v>141</v>
      </c>
      <c r="L706">
        <f>IFERROR(INDEX(楼层配置!$D$5:$D$204,MATCH($K706,楼层配置!$B$5:$B$204,0)),"")</f>
        <v>342</v>
      </c>
      <c r="M706" t="str">
        <f>IFERROR(INDEX(_角色基线!$B$2:$B$100,MATCH($B706,_角色基线!$A$2:$A$100,0)),"")</f>
        <v>陈单单</v>
      </c>
      <c r="N706" t="str">
        <f>IFERROR(INDEX(_角色基线!$C$2:$C$100,MATCH($B706,_角色基线!$A$2:$A$100,0)),"")</f>
        <v>DPS</v>
      </c>
      <c r="O706">
        <f>IFERROR(INDEX(_怪物基线!$B$2:$B$501,MATCH(INT($L706),_怪物基线!$A$2:$A$501,0)),"")</f>
        <v>699722</v>
      </c>
      <c r="P706">
        <f>IFERROR(INDEX(_怪物基线!$C$2:$C$501,MATCH(INT($L706),_怪物基线!$A$2:$A$501,0)),"")</f>
        <v>56905</v>
      </c>
      <c r="Q706">
        <f>IFERROR(INDEX(_怪物基线!$D$2:$D$501,MATCH(INT($L706),_怪物基线!$A$2:$A$501,0)),"")</f>
        <v>38548</v>
      </c>
      <c r="R706">
        <f>参数!$B$10</f>
        <v>4</v>
      </c>
      <c r="S706">
        <f>参数!$C$10</f>
        <v>1.2</v>
      </c>
      <c r="T706">
        <f>参数!$D$10</f>
        <v>1</v>
      </c>
      <c r="U706">
        <f t="shared" si="80"/>
        <v>2798888</v>
      </c>
      <c r="V706">
        <f t="shared" si="81"/>
        <v>68286</v>
      </c>
      <c r="W706">
        <f t="shared" si="82"/>
        <v>38548</v>
      </c>
      <c r="X706">
        <f>IFERROR(INDEX(参数!$B$5:$B$7,MATCH($N706,参数!$A$5:$A$7,0)),"")</f>
        <v>1</v>
      </c>
      <c r="Y706">
        <f>IFERROR(INDEX(参数!$C$5:$C$7,MATCH($N706,参数!$A$5:$A$7,0)),"")</f>
        <v>1.2</v>
      </c>
      <c r="Z706">
        <f>IFERROR(INDEX(参数!$D$5:$D$7,MATCH($N706,参数!$A$5:$A$7,0)),"")</f>
        <v>1</v>
      </c>
      <c r="AA706">
        <f>IFERROR(INDEX(楼层配置!$E$5:$E$204,MATCH($K706,楼层配置!$B$5:$B$204,0)),1)</f>
        <v>1.12582067235919</v>
      </c>
      <c r="AB706">
        <f>IFERROR(INDEX(楼层配置!$F$5:$F$204,MATCH($K706,楼层配置!$B$5:$B$204,0)),1)</f>
        <v>0.729834891319568</v>
      </c>
      <c r="AC706">
        <f>IFERROR(INDEX(楼层配置!$G$5:$G$204,MATCH($K706,楼层配置!$B$5:$B$204,0)),1)</f>
        <v>1</v>
      </c>
      <c r="AD706" t="str">
        <f t="shared" si="83"/>
        <v/>
      </c>
      <c r="AE706" t="str">
        <f t="shared" si="84"/>
        <v/>
      </c>
      <c r="AF706" t="str">
        <f t="shared" si="85"/>
        <v/>
      </c>
      <c r="AG706" t="str">
        <f t="shared" si="86"/>
        <v>有效</v>
      </c>
      <c r="AH706">
        <f t="shared" si="87"/>
        <v>8212151.05033333</v>
      </c>
    </row>
    <row r="707" spans="1:34">
      <c r="A707">
        <v>703</v>
      </c>
      <c r="B707">
        <v>1005</v>
      </c>
      <c r="C707">
        <v>60</v>
      </c>
      <c r="D707">
        <f>IFERROR(ROUND($U707*$X707*$AA707*参数!$B$13,0),"")</f>
        <v>3151046</v>
      </c>
      <c r="E707">
        <f>IFERROR(ROUND($V707*$Y707*$AB707*参数!$C$13,0),"")</f>
        <v>59805</v>
      </c>
      <c r="F707">
        <f>IFERROR(ROUND($W707*$Z707*$AC707*参数!$D$13,0),"")</f>
        <v>38548</v>
      </c>
      <c r="J707">
        <v>141</v>
      </c>
      <c r="K707">
        <v>141</v>
      </c>
      <c r="L707">
        <f>IFERROR(INDEX(楼层配置!$D$5:$D$204,MATCH($K707,楼层配置!$B$5:$B$204,0)),"")</f>
        <v>342</v>
      </c>
      <c r="M707" t="str">
        <f>IFERROR(INDEX(_角色基线!$B$2:$B$100,MATCH($B707,_角色基线!$A$2:$A$100,0)),"")</f>
        <v>陈单单</v>
      </c>
      <c r="N707" t="str">
        <f>IFERROR(INDEX(_角色基线!$C$2:$C$100,MATCH($B707,_角色基线!$A$2:$A$100,0)),"")</f>
        <v>DPS</v>
      </c>
      <c r="O707">
        <f>IFERROR(INDEX(_怪物基线!$B$2:$B$501,MATCH(INT($L707),_怪物基线!$A$2:$A$501,0)),"")</f>
        <v>699722</v>
      </c>
      <c r="P707">
        <f>IFERROR(INDEX(_怪物基线!$C$2:$C$501,MATCH(INT($L707),_怪物基线!$A$2:$A$501,0)),"")</f>
        <v>56905</v>
      </c>
      <c r="Q707">
        <f>IFERROR(INDEX(_怪物基线!$D$2:$D$501,MATCH(INT($L707),_怪物基线!$A$2:$A$501,0)),"")</f>
        <v>38548</v>
      </c>
      <c r="R707">
        <f>参数!$B$10</f>
        <v>4</v>
      </c>
      <c r="S707">
        <f>参数!$C$10</f>
        <v>1.2</v>
      </c>
      <c r="T707">
        <f>参数!$D$10</f>
        <v>1</v>
      </c>
      <c r="U707">
        <f t="shared" si="80"/>
        <v>2798888</v>
      </c>
      <c r="V707">
        <f t="shared" si="81"/>
        <v>68286</v>
      </c>
      <c r="W707">
        <f t="shared" si="82"/>
        <v>38548</v>
      </c>
      <c r="X707">
        <f>IFERROR(INDEX(参数!$B$5:$B$7,MATCH($N707,参数!$A$5:$A$7,0)),"")</f>
        <v>1</v>
      </c>
      <c r="Y707">
        <f>IFERROR(INDEX(参数!$C$5:$C$7,MATCH($N707,参数!$A$5:$A$7,0)),"")</f>
        <v>1.2</v>
      </c>
      <c r="Z707">
        <f>IFERROR(INDEX(参数!$D$5:$D$7,MATCH($N707,参数!$A$5:$A$7,0)),"")</f>
        <v>1</v>
      </c>
      <c r="AA707">
        <f>IFERROR(INDEX(楼层配置!$E$5:$E$204,MATCH($K707,楼层配置!$B$5:$B$204,0)),1)</f>
        <v>1.12582067235919</v>
      </c>
      <c r="AB707">
        <f>IFERROR(INDEX(楼层配置!$F$5:$F$204,MATCH($K707,楼层配置!$B$5:$B$204,0)),1)</f>
        <v>0.729834891319568</v>
      </c>
      <c r="AC707">
        <f>IFERROR(INDEX(楼层配置!$G$5:$G$204,MATCH($K707,楼层配置!$B$5:$B$204,0)),1)</f>
        <v>1</v>
      </c>
      <c r="AD707" t="str">
        <f t="shared" si="83"/>
        <v/>
      </c>
      <c r="AE707" t="str">
        <f t="shared" si="84"/>
        <v/>
      </c>
      <c r="AF707" t="str">
        <f t="shared" si="85"/>
        <v/>
      </c>
      <c r="AG707" t="str">
        <f t="shared" si="86"/>
        <v>有效</v>
      </c>
      <c r="AH707">
        <f t="shared" si="87"/>
        <v>8212151.05033333</v>
      </c>
    </row>
    <row r="708" spans="1:34">
      <c r="A708">
        <v>704</v>
      </c>
      <c r="B708">
        <v>1005</v>
      </c>
      <c r="C708">
        <v>60</v>
      </c>
      <c r="D708">
        <f>IFERROR(ROUND($U708*$X708*$AA708*参数!$B$13,0),"")</f>
        <v>3151046</v>
      </c>
      <c r="E708">
        <f>IFERROR(ROUND($V708*$Y708*$AB708*参数!$C$13,0),"")</f>
        <v>59805</v>
      </c>
      <c r="F708">
        <f>IFERROR(ROUND($W708*$Z708*$AC708*参数!$D$13,0),"")</f>
        <v>38548</v>
      </c>
      <c r="J708">
        <v>141</v>
      </c>
      <c r="K708">
        <v>141</v>
      </c>
      <c r="L708">
        <f>IFERROR(INDEX(楼层配置!$D$5:$D$204,MATCH($K708,楼层配置!$B$5:$B$204,0)),"")</f>
        <v>342</v>
      </c>
      <c r="M708" t="str">
        <f>IFERROR(INDEX(_角色基线!$B$2:$B$100,MATCH($B708,_角色基线!$A$2:$A$100,0)),"")</f>
        <v>陈单单</v>
      </c>
      <c r="N708" t="str">
        <f>IFERROR(INDEX(_角色基线!$C$2:$C$100,MATCH($B708,_角色基线!$A$2:$A$100,0)),"")</f>
        <v>DPS</v>
      </c>
      <c r="O708">
        <f>IFERROR(INDEX(_怪物基线!$B$2:$B$501,MATCH(INT($L708),_怪物基线!$A$2:$A$501,0)),"")</f>
        <v>699722</v>
      </c>
      <c r="P708">
        <f>IFERROR(INDEX(_怪物基线!$C$2:$C$501,MATCH(INT($L708),_怪物基线!$A$2:$A$501,0)),"")</f>
        <v>56905</v>
      </c>
      <c r="Q708">
        <f>IFERROR(INDEX(_怪物基线!$D$2:$D$501,MATCH(INT($L708),_怪物基线!$A$2:$A$501,0)),"")</f>
        <v>38548</v>
      </c>
      <c r="R708">
        <f>参数!$B$10</f>
        <v>4</v>
      </c>
      <c r="S708">
        <f>参数!$C$10</f>
        <v>1.2</v>
      </c>
      <c r="T708">
        <f>参数!$D$10</f>
        <v>1</v>
      </c>
      <c r="U708">
        <f t="shared" si="80"/>
        <v>2798888</v>
      </c>
      <c r="V708">
        <f t="shared" si="81"/>
        <v>68286</v>
      </c>
      <c r="W708">
        <f t="shared" si="82"/>
        <v>38548</v>
      </c>
      <c r="X708">
        <f>IFERROR(INDEX(参数!$B$5:$B$7,MATCH($N708,参数!$A$5:$A$7,0)),"")</f>
        <v>1</v>
      </c>
      <c r="Y708">
        <f>IFERROR(INDEX(参数!$C$5:$C$7,MATCH($N708,参数!$A$5:$A$7,0)),"")</f>
        <v>1.2</v>
      </c>
      <c r="Z708">
        <f>IFERROR(INDEX(参数!$D$5:$D$7,MATCH($N708,参数!$A$5:$A$7,0)),"")</f>
        <v>1</v>
      </c>
      <c r="AA708">
        <f>IFERROR(INDEX(楼层配置!$E$5:$E$204,MATCH($K708,楼层配置!$B$5:$B$204,0)),1)</f>
        <v>1.12582067235919</v>
      </c>
      <c r="AB708">
        <f>IFERROR(INDEX(楼层配置!$F$5:$F$204,MATCH($K708,楼层配置!$B$5:$B$204,0)),1)</f>
        <v>0.729834891319568</v>
      </c>
      <c r="AC708">
        <f>IFERROR(INDEX(楼层配置!$G$5:$G$204,MATCH($K708,楼层配置!$B$5:$B$204,0)),1)</f>
        <v>1</v>
      </c>
      <c r="AD708" t="str">
        <f t="shared" si="83"/>
        <v/>
      </c>
      <c r="AE708" t="str">
        <f t="shared" si="84"/>
        <v/>
      </c>
      <c r="AF708" t="str">
        <f t="shared" si="85"/>
        <v/>
      </c>
      <c r="AG708" t="str">
        <f t="shared" si="86"/>
        <v>有效</v>
      </c>
      <c r="AH708">
        <f t="shared" si="87"/>
        <v>8212151.05033333</v>
      </c>
    </row>
    <row r="709" spans="1:34">
      <c r="A709">
        <v>705</v>
      </c>
      <c r="B709">
        <v>1029</v>
      </c>
      <c r="C709">
        <v>60</v>
      </c>
      <c r="D709">
        <f>IFERROR(ROUND($U709*$X709*$AA709*参数!$B$13,0),"")</f>
        <v>3938807</v>
      </c>
      <c r="E709">
        <f>IFERROR(ROUND($V709*$Y709*$AB709*参数!$C$13,0),"")</f>
        <v>49838</v>
      </c>
      <c r="F709">
        <f>IFERROR(ROUND($W709*$Z709*$AC709*参数!$D$13,0),"")</f>
        <v>48185</v>
      </c>
      <c r="J709">
        <v>141</v>
      </c>
      <c r="K709">
        <v>141</v>
      </c>
      <c r="L709">
        <f>IFERROR(INDEX(楼层配置!$D$5:$D$204,MATCH($K709,楼层配置!$B$5:$B$204,0)),"")</f>
        <v>342</v>
      </c>
      <c r="M709" t="str">
        <f>IFERROR(INDEX(_角色基线!$B$2:$B$100,MATCH($B709,_角色基线!$A$2:$A$100,0)),"")</f>
        <v>凯兰</v>
      </c>
      <c r="N709" t="str">
        <f>IFERROR(INDEX(_角色基线!$C$2:$C$100,MATCH($B709,_角色基线!$A$2:$A$100,0)),"")</f>
        <v>Support</v>
      </c>
      <c r="O709">
        <f>IFERROR(INDEX(_怪物基线!$B$2:$B$501,MATCH(INT($L709),_怪物基线!$A$2:$A$501,0)),"")</f>
        <v>699722</v>
      </c>
      <c r="P709">
        <f>IFERROR(INDEX(_怪物基线!$C$2:$C$501,MATCH(INT($L709),_怪物基线!$A$2:$A$501,0)),"")</f>
        <v>56905</v>
      </c>
      <c r="Q709">
        <f>IFERROR(INDEX(_怪物基线!$D$2:$D$501,MATCH(INT($L709),_怪物基线!$A$2:$A$501,0)),"")</f>
        <v>38548</v>
      </c>
      <c r="R709">
        <f>参数!$B$10</f>
        <v>4</v>
      </c>
      <c r="S709">
        <f>参数!$C$10</f>
        <v>1.2</v>
      </c>
      <c r="T709">
        <f>参数!$D$10</f>
        <v>1</v>
      </c>
      <c r="U709">
        <f t="shared" ref="U709:U772" si="88">IF($O709="","",$O709*$R709)</f>
        <v>2798888</v>
      </c>
      <c r="V709">
        <f t="shared" ref="V709:V772" si="89">IF($P709="","",$P709*$S709)</f>
        <v>68286</v>
      </c>
      <c r="W709">
        <f t="shared" ref="W709:W772" si="90">IF($Q709="","",$Q709*$T709)</f>
        <v>38548</v>
      </c>
      <c r="X709">
        <f>IFERROR(INDEX(参数!$B$5:$B$7,MATCH($N709,参数!$A$5:$A$7,0)),"")</f>
        <v>1.25</v>
      </c>
      <c r="Y709">
        <f>IFERROR(INDEX(参数!$C$5:$C$7,MATCH($N709,参数!$A$5:$A$7,0)),"")</f>
        <v>1</v>
      </c>
      <c r="Z709">
        <f>IFERROR(INDEX(参数!$D$5:$D$7,MATCH($N709,参数!$A$5:$A$7,0)),"")</f>
        <v>1.25</v>
      </c>
      <c r="AA709">
        <f>IFERROR(INDEX(楼层配置!$E$5:$E$204,MATCH($K709,楼层配置!$B$5:$B$204,0)),1)</f>
        <v>1.12582067235919</v>
      </c>
      <c r="AB709">
        <f>IFERROR(INDEX(楼层配置!$F$5:$F$204,MATCH($K709,楼层配置!$B$5:$B$204,0)),1)</f>
        <v>0.729834891319568</v>
      </c>
      <c r="AC709">
        <f>IFERROR(INDEX(楼层配置!$G$5:$G$204,MATCH($K709,楼层配置!$B$5:$B$204,0)),1)</f>
        <v>1</v>
      </c>
      <c r="AD709" t="str">
        <f t="shared" ref="AD709:AD772" si="91">IFERROR($D709/$G709-1,"")</f>
        <v/>
      </c>
      <c r="AE709" t="str">
        <f t="shared" ref="AE709:AE772" si="92">IFERROR($E709/$H709-1,"")</f>
        <v/>
      </c>
      <c r="AF709" t="str">
        <f t="shared" ref="AF709:AF772" si="93">IFERROR($F709/$I709-1,"")</f>
        <v/>
      </c>
      <c r="AG709" t="str">
        <f t="shared" ref="AG709:AG772" si="94">IF(AND($A709&gt;=1,$L709&gt;=1,$L709&lt;=500,OR($N709="Tank",$N709="DPS",$N709="Support"),ISNUMBER($D709),ISNUMBER($E709),ISNUMBER($F709)),"有效","异常")</f>
        <v>有效</v>
      </c>
      <c r="AH709">
        <f t="shared" ref="AH709:AH772" si="95">D709/(1-MIN(0.75,F709/(24000+F709)))</f>
        <v>11846782.6372917</v>
      </c>
    </row>
    <row r="710" spans="1:34">
      <c r="A710">
        <v>706</v>
      </c>
      <c r="B710">
        <v>1003</v>
      </c>
      <c r="C710">
        <v>60</v>
      </c>
      <c r="D710">
        <f>IFERROR(ROUND($U710*$X710*$AA710*参数!$B$13,0),"")</f>
        <v>4808108</v>
      </c>
      <c r="E710">
        <f>IFERROR(ROUND($V710*$Y710*$AB710*参数!$C$13,0),"")</f>
        <v>50503</v>
      </c>
      <c r="F710">
        <f>IFERROR(ROUND($W710*$Z710*$AC710*参数!$D$13,0),"")</f>
        <v>58278</v>
      </c>
      <c r="J710">
        <v>142</v>
      </c>
      <c r="K710">
        <v>142</v>
      </c>
      <c r="L710">
        <f>IFERROR(INDEX(楼层配置!$D$5:$D$204,MATCH($K710,楼层配置!$B$5:$B$204,0)),"")</f>
        <v>344</v>
      </c>
      <c r="M710" t="str">
        <f>IFERROR(INDEX(_角色基线!$B$2:$B$100,MATCH($B710,_角色基线!$A$2:$A$100,0)),"")</f>
        <v>塔拉夏</v>
      </c>
      <c r="N710" t="str">
        <f>IFERROR(INDEX(_角色基线!$C$2:$C$100,MATCH($B710,_角色基线!$A$2:$A$100,0)),"")</f>
        <v>Tank</v>
      </c>
      <c r="O710">
        <f>IFERROR(INDEX(_怪物基线!$B$2:$B$501,MATCH(INT($L710),_怪物基线!$A$2:$A$501,0)),"")</f>
        <v>711793</v>
      </c>
      <c r="P710">
        <f>IFERROR(INDEX(_怪物基线!$C$2:$C$501,MATCH(INT($L710),_怪物基线!$A$2:$A$501,0)),"")</f>
        <v>57665</v>
      </c>
      <c r="Q710">
        <f>IFERROR(INDEX(_怪物基线!$D$2:$D$501,MATCH(INT($L710),_怪物基线!$A$2:$A$501,0)),"")</f>
        <v>38852</v>
      </c>
      <c r="R710">
        <f>参数!$B$10</f>
        <v>4</v>
      </c>
      <c r="S710">
        <f>参数!$C$10</f>
        <v>1.2</v>
      </c>
      <c r="T710">
        <f>参数!$D$10</f>
        <v>1</v>
      </c>
      <c r="U710">
        <f t="shared" si="88"/>
        <v>2847172</v>
      </c>
      <c r="V710">
        <f t="shared" si="89"/>
        <v>69198</v>
      </c>
      <c r="W710">
        <f t="shared" si="90"/>
        <v>38852</v>
      </c>
      <c r="X710">
        <f>IFERROR(INDEX(参数!$B$5:$B$7,MATCH($N710,参数!$A$5:$A$7,0)),"")</f>
        <v>1.5</v>
      </c>
      <c r="Y710">
        <f>IFERROR(INDEX(参数!$C$5:$C$7,MATCH($N710,参数!$A$5:$A$7,0)),"")</f>
        <v>1</v>
      </c>
      <c r="Z710">
        <f>IFERROR(INDEX(参数!$D$5:$D$7,MATCH($N710,参数!$A$5:$A$7,0)),"")</f>
        <v>1.5</v>
      </c>
      <c r="AA710">
        <f>IFERROR(INDEX(楼层配置!$E$5:$E$204,MATCH($K710,楼层配置!$B$5:$B$204,0)),1)</f>
        <v>1.12582067235919</v>
      </c>
      <c r="AB710">
        <f>IFERROR(INDEX(楼层配置!$F$5:$F$204,MATCH($K710,楼层配置!$B$5:$B$204,0)),1)</f>
        <v>0.729834891319568</v>
      </c>
      <c r="AC710">
        <f>IFERROR(INDEX(楼层配置!$G$5:$G$204,MATCH($K710,楼层配置!$B$5:$B$204,0)),1)</f>
        <v>1</v>
      </c>
      <c r="AD710" t="str">
        <f t="shared" si="91"/>
        <v/>
      </c>
      <c r="AE710" t="str">
        <f t="shared" si="92"/>
        <v/>
      </c>
      <c r="AF710" t="str">
        <f t="shared" si="93"/>
        <v/>
      </c>
      <c r="AG710" t="str">
        <f t="shared" si="94"/>
        <v>有效</v>
      </c>
      <c r="AH710">
        <f t="shared" si="95"/>
        <v>16483396.251</v>
      </c>
    </row>
    <row r="711" spans="1:34">
      <c r="A711">
        <v>707</v>
      </c>
      <c r="B711">
        <v>1005</v>
      </c>
      <c r="C711">
        <v>60</v>
      </c>
      <c r="D711">
        <f>IFERROR(ROUND($U711*$X711*$AA711*参数!$B$13,0),"")</f>
        <v>3205405</v>
      </c>
      <c r="E711">
        <f>IFERROR(ROUND($V711*$Y711*$AB711*参数!$C$13,0),"")</f>
        <v>60604</v>
      </c>
      <c r="F711">
        <f>IFERROR(ROUND($W711*$Z711*$AC711*参数!$D$13,0),"")</f>
        <v>38852</v>
      </c>
      <c r="J711">
        <v>142</v>
      </c>
      <c r="K711">
        <v>142</v>
      </c>
      <c r="L711">
        <f>IFERROR(INDEX(楼层配置!$D$5:$D$204,MATCH($K711,楼层配置!$B$5:$B$204,0)),"")</f>
        <v>344</v>
      </c>
      <c r="M711" t="str">
        <f>IFERROR(INDEX(_角色基线!$B$2:$B$100,MATCH($B711,_角色基线!$A$2:$A$100,0)),"")</f>
        <v>陈单单</v>
      </c>
      <c r="N711" t="str">
        <f>IFERROR(INDEX(_角色基线!$C$2:$C$100,MATCH($B711,_角色基线!$A$2:$A$100,0)),"")</f>
        <v>DPS</v>
      </c>
      <c r="O711">
        <f>IFERROR(INDEX(_怪物基线!$B$2:$B$501,MATCH(INT($L711),_怪物基线!$A$2:$A$501,0)),"")</f>
        <v>711793</v>
      </c>
      <c r="P711">
        <f>IFERROR(INDEX(_怪物基线!$C$2:$C$501,MATCH(INT($L711),_怪物基线!$A$2:$A$501,0)),"")</f>
        <v>57665</v>
      </c>
      <c r="Q711">
        <f>IFERROR(INDEX(_怪物基线!$D$2:$D$501,MATCH(INT($L711),_怪物基线!$A$2:$A$501,0)),"")</f>
        <v>38852</v>
      </c>
      <c r="R711">
        <f>参数!$B$10</f>
        <v>4</v>
      </c>
      <c r="S711">
        <f>参数!$C$10</f>
        <v>1.2</v>
      </c>
      <c r="T711">
        <f>参数!$D$10</f>
        <v>1</v>
      </c>
      <c r="U711">
        <f t="shared" si="88"/>
        <v>2847172</v>
      </c>
      <c r="V711">
        <f t="shared" si="89"/>
        <v>69198</v>
      </c>
      <c r="W711">
        <f t="shared" si="90"/>
        <v>38852</v>
      </c>
      <c r="X711">
        <f>IFERROR(INDEX(参数!$B$5:$B$7,MATCH($N711,参数!$A$5:$A$7,0)),"")</f>
        <v>1</v>
      </c>
      <c r="Y711">
        <f>IFERROR(INDEX(参数!$C$5:$C$7,MATCH($N711,参数!$A$5:$A$7,0)),"")</f>
        <v>1.2</v>
      </c>
      <c r="Z711">
        <f>IFERROR(INDEX(参数!$D$5:$D$7,MATCH($N711,参数!$A$5:$A$7,0)),"")</f>
        <v>1</v>
      </c>
      <c r="AA711">
        <f>IFERROR(INDEX(楼层配置!$E$5:$E$204,MATCH($K711,楼层配置!$B$5:$B$204,0)),1)</f>
        <v>1.12582067235919</v>
      </c>
      <c r="AB711">
        <f>IFERROR(INDEX(楼层配置!$F$5:$F$204,MATCH($K711,楼层配置!$B$5:$B$204,0)),1)</f>
        <v>0.729834891319568</v>
      </c>
      <c r="AC711">
        <f>IFERROR(INDEX(楼层配置!$G$5:$G$204,MATCH($K711,楼层配置!$B$5:$B$204,0)),1)</f>
        <v>1</v>
      </c>
      <c r="AD711" t="str">
        <f t="shared" si="91"/>
        <v/>
      </c>
      <c r="AE711" t="str">
        <f t="shared" si="92"/>
        <v/>
      </c>
      <c r="AF711" t="str">
        <f t="shared" si="93"/>
        <v/>
      </c>
      <c r="AG711" t="str">
        <f t="shared" si="94"/>
        <v>有效</v>
      </c>
      <c r="AH711">
        <f t="shared" si="95"/>
        <v>8394421.46083333</v>
      </c>
    </row>
    <row r="712" spans="1:34">
      <c r="A712">
        <v>708</v>
      </c>
      <c r="B712">
        <v>1005</v>
      </c>
      <c r="C712">
        <v>60</v>
      </c>
      <c r="D712">
        <f>IFERROR(ROUND($U712*$X712*$AA712*参数!$B$13,0),"")</f>
        <v>3205405</v>
      </c>
      <c r="E712">
        <f>IFERROR(ROUND($V712*$Y712*$AB712*参数!$C$13,0),"")</f>
        <v>60604</v>
      </c>
      <c r="F712">
        <f>IFERROR(ROUND($W712*$Z712*$AC712*参数!$D$13,0),"")</f>
        <v>38852</v>
      </c>
      <c r="J712">
        <v>142</v>
      </c>
      <c r="K712">
        <v>142</v>
      </c>
      <c r="L712">
        <f>IFERROR(INDEX(楼层配置!$D$5:$D$204,MATCH($K712,楼层配置!$B$5:$B$204,0)),"")</f>
        <v>344</v>
      </c>
      <c r="M712" t="str">
        <f>IFERROR(INDEX(_角色基线!$B$2:$B$100,MATCH($B712,_角色基线!$A$2:$A$100,0)),"")</f>
        <v>陈单单</v>
      </c>
      <c r="N712" t="str">
        <f>IFERROR(INDEX(_角色基线!$C$2:$C$100,MATCH($B712,_角色基线!$A$2:$A$100,0)),"")</f>
        <v>DPS</v>
      </c>
      <c r="O712">
        <f>IFERROR(INDEX(_怪物基线!$B$2:$B$501,MATCH(INT($L712),_怪物基线!$A$2:$A$501,0)),"")</f>
        <v>711793</v>
      </c>
      <c r="P712">
        <f>IFERROR(INDEX(_怪物基线!$C$2:$C$501,MATCH(INT($L712),_怪物基线!$A$2:$A$501,0)),"")</f>
        <v>57665</v>
      </c>
      <c r="Q712">
        <f>IFERROR(INDEX(_怪物基线!$D$2:$D$501,MATCH(INT($L712),_怪物基线!$A$2:$A$501,0)),"")</f>
        <v>38852</v>
      </c>
      <c r="R712">
        <f>参数!$B$10</f>
        <v>4</v>
      </c>
      <c r="S712">
        <f>参数!$C$10</f>
        <v>1.2</v>
      </c>
      <c r="T712">
        <f>参数!$D$10</f>
        <v>1</v>
      </c>
      <c r="U712">
        <f t="shared" si="88"/>
        <v>2847172</v>
      </c>
      <c r="V712">
        <f t="shared" si="89"/>
        <v>69198</v>
      </c>
      <c r="W712">
        <f t="shared" si="90"/>
        <v>38852</v>
      </c>
      <c r="X712">
        <f>IFERROR(INDEX(参数!$B$5:$B$7,MATCH($N712,参数!$A$5:$A$7,0)),"")</f>
        <v>1</v>
      </c>
      <c r="Y712">
        <f>IFERROR(INDEX(参数!$C$5:$C$7,MATCH($N712,参数!$A$5:$A$7,0)),"")</f>
        <v>1.2</v>
      </c>
      <c r="Z712">
        <f>IFERROR(INDEX(参数!$D$5:$D$7,MATCH($N712,参数!$A$5:$A$7,0)),"")</f>
        <v>1</v>
      </c>
      <c r="AA712">
        <f>IFERROR(INDEX(楼层配置!$E$5:$E$204,MATCH($K712,楼层配置!$B$5:$B$204,0)),1)</f>
        <v>1.12582067235919</v>
      </c>
      <c r="AB712">
        <f>IFERROR(INDEX(楼层配置!$F$5:$F$204,MATCH($K712,楼层配置!$B$5:$B$204,0)),1)</f>
        <v>0.729834891319568</v>
      </c>
      <c r="AC712">
        <f>IFERROR(INDEX(楼层配置!$G$5:$G$204,MATCH($K712,楼层配置!$B$5:$B$204,0)),1)</f>
        <v>1</v>
      </c>
      <c r="AD712" t="str">
        <f t="shared" si="91"/>
        <v/>
      </c>
      <c r="AE712" t="str">
        <f t="shared" si="92"/>
        <v/>
      </c>
      <c r="AF712" t="str">
        <f t="shared" si="93"/>
        <v/>
      </c>
      <c r="AG712" t="str">
        <f t="shared" si="94"/>
        <v>有效</v>
      </c>
      <c r="AH712">
        <f t="shared" si="95"/>
        <v>8394421.46083333</v>
      </c>
    </row>
    <row r="713" spans="1:34">
      <c r="A713">
        <v>709</v>
      </c>
      <c r="B713">
        <v>1005</v>
      </c>
      <c r="C713">
        <v>60</v>
      </c>
      <c r="D713">
        <f>IFERROR(ROUND($U713*$X713*$AA713*参数!$B$13,0),"")</f>
        <v>3205405</v>
      </c>
      <c r="E713">
        <f>IFERROR(ROUND($V713*$Y713*$AB713*参数!$C$13,0),"")</f>
        <v>60604</v>
      </c>
      <c r="F713">
        <f>IFERROR(ROUND($W713*$Z713*$AC713*参数!$D$13,0),"")</f>
        <v>38852</v>
      </c>
      <c r="J713">
        <v>142</v>
      </c>
      <c r="K713">
        <v>142</v>
      </c>
      <c r="L713">
        <f>IFERROR(INDEX(楼层配置!$D$5:$D$204,MATCH($K713,楼层配置!$B$5:$B$204,0)),"")</f>
        <v>344</v>
      </c>
      <c r="M713" t="str">
        <f>IFERROR(INDEX(_角色基线!$B$2:$B$100,MATCH($B713,_角色基线!$A$2:$A$100,0)),"")</f>
        <v>陈单单</v>
      </c>
      <c r="N713" t="str">
        <f>IFERROR(INDEX(_角色基线!$C$2:$C$100,MATCH($B713,_角色基线!$A$2:$A$100,0)),"")</f>
        <v>DPS</v>
      </c>
      <c r="O713">
        <f>IFERROR(INDEX(_怪物基线!$B$2:$B$501,MATCH(INT($L713),_怪物基线!$A$2:$A$501,0)),"")</f>
        <v>711793</v>
      </c>
      <c r="P713">
        <f>IFERROR(INDEX(_怪物基线!$C$2:$C$501,MATCH(INT($L713),_怪物基线!$A$2:$A$501,0)),"")</f>
        <v>57665</v>
      </c>
      <c r="Q713">
        <f>IFERROR(INDEX(_怪物基线!$D$2:$D$501,MATCH(INT($L713),_怪物基线!$A$2:$A$501,0)),"")</f>
        <v>38852</v>
      </c>
      <c r="R713">
        <f>参数!$B$10</f>
        <v>4</v>
      </c>
      <c r="S713">
        <f>参数!$C$10</f>
        <v>1.2</v>
      </c>
      <c r="T713">
        <f>参数!$D$10</f>
        <v>1</v>
      </c>
      <c r="U713">
        <f t="shared" si="88"/>
        <v>2847172</v>
      </c>
      <c r="V713">
        <f t="shared" si="89"/>
        <v>69198</v>
      </c>
      <c r="W713">
        <f t="shared" si="90"/>
        <v>38852</v>
      </c>
      <c r="X713">
        <f>IFERROR(INDEX(参数!$B$5:$B$7,MATCH($N713,参数!$A$5:$A$7,0)),"")</f>
        <v>1</v>
      </c>
      <c r="Y713">
        <f>IFERROR(INDEX(参数!$C$5:$C$7,MATCH($N713,参数!$A$5:$A$7,0)),"")</f>
        <v>1.2</v>
      </c>
      <c r="Z713">
        <f>IFERROR(INDEX(参数!$D$5:$D$7,MATCH($N713,参数!$A$5:$A$7,0)),"")</f>
        <v>1</v>
      </c>
      <c r="AA713">
        <f>IFERROR(INDEX(楼层配置!$E$5:$E$204,MATCH($K713,楼层配置!$B$5:$B$204,0)),1)</f>
        <v>1.12582067235919</v>
      </c>
      <c r="AB713">
        <f>IFERROR(INDEX(楼层配置!$F$5:$F$204,MATCH($K713,楼层配置!$B$5:$B$204,0)),1)</f>
        <v>0.729834891319568</v>
      </c>
      <c r="AC713">
        <f>IFERROR(INDEX(楼层配置!$G$5:$G$204,MATCH($K713,楼层配置!$B$5:$B$204,0)),1)</f>
        <v>1</v>
      </c>
      <c r="AD713" t="str">
        <f t="shared" si="91"/>
        <v/>
      </c>
      <c r="AE713" t="str">
        <f t="shared" si="92"/>
        <v/>
      </c>
      <c r="AF713" t="str">
        <f t="shared" si="93"/>
        <v/>
      </c>
      <c r="AG713" t="str">
        <f t="shared" si="94"/>
        <v>有效</v>
      </c>
      <c r="AH713">
        <f t="shared" si="95"/>
        <v>8394421.46083333</v>
      </c>
    </row>
    <row r="714" spans="1:34">
      <c r="A714">
        <v>710</v>
      </c>
      <c r="B714">
        <v>1029</v>
      </c>
      <c r="C714">
        <v>60</v>
      </c>
      <c r="D714">
        <f>IFERROR(ROUND($U714*$X714*$AA714*参数!$B$13,0),"")</f>
        <v>4006756</v>
      </c>
      <c r="E714">
        <f>IFERROR(ROUND($V714*$Y714*$AB714*参数!$C$13,0),"")</f>
        <v>50503</v>
      </c>
      <c r="F714">
        <f>IFERROR(ROUND($W714*$Z714*$AC714*参数!$D$13,0),"")</f>
        <v>48565</v>
      </c>
      <c r="J714">
        <v>142</v>
      </c>
      <c r="K714">
        <v>142</v>
      </c>
      <c r="L714">
        <f>IFERROR(INDEX(楼层配置!$D$5:$D$204,MATCH($K714,楼层配置!$B$5:$B$204,0)),"")</f>
        <v>344</v>
      </c>
      <c r="M714" t="str">
        <f>IFERROR(INDEX(_角色基线!$B$2:$B$100,MATCH($B714,_角色基线!$A$2:$A$100,0)),"")</f>
        <v>凯兰</v>
      </c>
      <c r="N714" t="str">
        <f>IFERROR(INDEX(_角色基线!$C$2:$C$100,MATCH($B714,_角色基线!$A$2:$A$100,0)),"")</f>
        <v>Support</v>
      </c>
      <c r="O714">
        <f>IFERROR(INDEX(_怪物基线!$B$2:$B$501,MATCH(INT($L714),_怪物基线!$A$2:$A$501,0)),"")</f>
        <v>711793</v>
      </c>
      <c r="P714">
        <f>IFERROR(INDEX(_怪物基线!$C$2:$C$501,MATCH(INT($L714),_怪物基线!$A$2:$A$501,0)),"")</f>
        <v>57665</v>
      </c>
      <c r="Q714">
        <f>IFERROR(INDEX(_怪物基线!$D$2:$D$501,MATCH(INT($L714),_怪物基线!$A$2:$A$501,0)),"")</f>
        <v>38852</v>
      </c>
      <c r="R714">
        <f>参数!$B$10</f>
        <v>4</v>
      </c>
      <c r="S714">
        <f>参数!$C$10</f>
        <v>1.2</v>
      </c>
      <c r="T714">
        <f>参数!$D$10</f>
        <v>1</v>
      </c>
      <c r="U714">
        <f t="shared" si="88"/>
        <v>2847172</v>
      </c>
      <c r="V714">
        <f t="shared" si="89"/>
        <v>69198</v>
      </c>
      <c r="W714">
        <f t="shared" si="90"/>
        <v>38852</v>
      </c>
      <c r="X714">
        <f>IFERROR(INDEX(参数!$B$5:$B$7,MATCH($N714,参数!$A$5:$A$7,0)),"")</f>
        <v>1.25</v>
      </c>
      <c r="Y714">
        <f>IFERROR(INDEX(参数!$C$5:$C$7,MATCH($N714,参数!$A$5:$A$7,0)),"")</f>
        <v>1</v>
      </c>
      <c r="Z714">
        <f>IFERROR(INDEX(参数!$D$5:$D$7,MATCH($N714,参数!$A$5:$A$7,0)),"")</f>
        <v>1.25</v>
      </c>
      <c r="AA714">
        <f>IFERROR(INDEX(楼层配置!$E$5:$E$204,MATCH($K714,楼层配置!$B$5:$B$204,0)),1)</f>
        <v>1.12582067235919</v>
      </c>
      <c r="AB714">
        <f>IFERROR(INDEX(楼层配置!$F$5:$F$204,MATCH($K714,楼层配置!$B$5:$B$204,0)),1)</f>
        <v>0.729834891319568</v>
      </c>
      <c r="AC714">
        <f>IFERROR(INDEX(楼层配置!$G$5:$G$204,MATCH($K714,楼层配置!$B$5:$B$204,0)),1)</f>
        <v>1</v>
      </c>
      <c r="AD714" t="str">
        <f t="shared" si="91"/>
        <v/>
      </c>
      <c r="AE714" t="str">
        <f t="shared" si="92"/>
        <v/>
      </c>
      <c r="AF714" t="str">
        <f t="shared" si="93"/>
        <v/>
      </c>
      <c r="AG714" t="str">
        <f t="shared" si="94"/>
        <v>有效</v>
      </c>
      <c r="AH714">
        <f t="shared" si="95"/>
        <v>12114593.7141667</v>
      </c>
    </row>
    <row r="715" spans="1:34">
      <c r="A715">
        <v>711</v>
      </c>
      <c r="B715">
        <v>1003</v>
      </c>
      <c r="C715">
        <v>60</v>
      </c>
      <c r="D715">
        <f>IFERROR(ROUND($U715*$X715*$AA715*参数!$B$13,0),"")</f>
        <v>4890734</v>
      </c>
      <c r="E715">
        <f>IFERROR(ROUND($V715*$Y715*$AB715*参数!$C$13,0),"")</f>
        <v>51177</v>
      </c>
      <c r="F715">
        <f>IFERROR(ROUND($W715*$Z715*$AC715*参数!$D$13,0),"")</f>
        <v>58736</v>
      </c>
      <c r="J715">
        <v>143</v>
      </c>
      <c r="K715">
        <v>143</v>
      </c>
      <c r="L715">
        <f>IFERROR(INDEX(楼层配置!$D$5:$D$204,MATCH($K715,楼层配置!$B$5:$B$204,0)),"")</f>
        <v>346</v>
      </c>
      <c r="M715" t="str">
        <f>IFERROR(INDEX(_角色基线!$B$2:$B$100,MATCH($B715,_角色基线!$A$2:$A$100,0)),"")</f>
        <v>塔拉夏</v>
      </c>
      <c r="N715" t="str">
        <f>IFERROR(INDEX(_角色基线!$C$2:$C$100,MATCH($B715,_角色基线!$A$2:$A$100,0)),"")</f>
        <v>Tank</v>
      </c>
      <c r="O715">
        <f>IFERROR(INDEX(_怪物基线!$B$2:$B$501,MATCH(INT($L715),_怪物基线!$A$2:$A$501,0)),"")</f>
        <v>724025</v>
      </c>
      <c r="P715">
        <f>IFERROR(INDEX(_怪物基线!$C$2:$C$501,MATCH(INT($L715),_怪物基线!$A$2:$A$501,0)),"")</f>
        <v>58434</v>
      </c>
      <c r="Q715">
        <f>IFERROR(INDEX(_怪物基线!$D$2:$D$501,MATCH(INT($L715),_怪物基线!$A$2:$A$501,0)),"")</f>
        <v>39157</v>
      </c>
      <c r="R715">
        <f>参数!$B$10</f>
        <v>4</v>
      </c>
      <c r="S715">
        <f>参数!$C$10</f>
        <v>1.2</v>
      </c>
      <c r="T715">
        <f>参数!$D$10</f>
        <v>1</v>
      </c>
      <c r="U715">
        <f t="shared" si="88"/>
        <v>2896100</v>
      </c>
      <c r="V715">
        <f t="shared" si="89"/>
        <v>70120.8</v>
      </c>
      <c r="W715">
        <f t="shared" si="90"/>
        <v>39157</v>
      </c>
      <c r="X715">
        <f>IFERROR(INDEX(参数!$B$5:$B$7,MATCH($N715,参数!$A$5:$A$7,0)),"")</f>
        <v>1.5</v>
      </c>
      <c r="Y715">
        <f>IFERROR(INDEX(参数!$C$5:$C$7,MATCH($N715,参数!$A$5:$A$7,0)),"")</f>
        <v>1</v>
      </c>
      <c r="Z715">
        <f>IFERROR(INDEX(参数!$D$5:$D$7,MATCH($N715,参数!$A$5:$A$7,0)),"")</f>
        <v>1.5</v>
      </c>
      <c r="AA715">
        <f>IFERROR(INDEX(楼层配置!$E$5:$E$204,MATCH($K715,楼层配置!$B$5:$B$204,0)),1)</f>
        <v>1.12582067235919</v>
      </c>
      <c r="AB715">
        <f>IFERROR(INDEX(楼层配置!$F$5:$F$204,MATCH($K715,楼层配置!$B$5:$B$204,0)),1)</f>
        <v>0.729834891319568</v>
      </c>
      <c r="AC715">
        <f>IFERROR(INDEX(楼层配置!$G$5:$G$204,MATCH($K715,楼层配置!$B$5:$B$204,0)),1)</f>
        <v>1</v>
      </c>
      <c r="AD715" t="str">
        <f t="shared" si="91"/>
        <v/>
      </c>
      <c r="AE715" t="str">
        <f t="shared" si="92"/>
        <v/>
      </c>
      <c r="AF715" t="str">
        <f t="shared" si="93"/>
        <v/>
      </c>
      <c r="AG715" t="str">
        <f t="shared" si="94"/>
        <v>有效</v>
      </c>
      <c r="AH715">
        <f t="shared" si="95"/>
        <v>16859990.3426667</v>
      </c>
    </row>
    <row r="716" spans="1:34">
      <c r="A716">
        <v>712</v>
      </c>
      <c r="B716">
        <v>1005</v>
      </c>
      <c r="C716">
        <v>60</v>
      </c>
      <c r="D716">
        <f>IFERROR(ROUND($U716*$X716*$AA716*参数!$B$13,0),"")</f>
        <v>3260489</v>
      </c>
      <c r="E716">
        <f>IFERROR(ROUND($V716*$Y716*$AB716*参数!$C$13,0),"")</f>
        <v>61412</v>
      </c>
      <c r="F716">
        <f>IFERROR(ROUND($W716*$Z716*$AC716*参数!$D$13,0),"")</f>
        <v>39157</v>
      </c>
      <c r="J716">
        <v>143</v>
      </c>
      <c r="K716">
        <v>143</v>
      </c>
      <c r="L716">
        <f>IFERROR(INDEX(楼层配置!$D$5:$D$204,MATCH($K716,楼层配置!$B$5:$B$204,0)),"")</f>
        <v>346</v>
      </c>
      <c r="M716" t="str">
        <f>IFERROR(INDEX(_角色基线!$B$2:$B$100,MATCH($B716,_角色基线!$A$2:$A$100,0)),"")</f>
        <v>陈单单</v>
      </c>
      <c r="N716" t="str">
        <f>IFERROR(INDEX(_角色基线!$C$2:$C$100,MATCH($B716,_角色基线!$A$2:$A$100,0)),"")</f>
        <v>DPS</v>
      </c>
      <c r="O716">
        <f>IFERROR(INDEX(_怪物基线!$B$2:$B$501,MATCH(INT($L716),_怪物基线!$A$2:$A$501,0)),"")</f>
        <v>724025</v>
      </c>
      <c r="P716">
        <f>IFERROR(INDEX(_怪物基线!$C$2:$C$501,MATCH(INT($L716),_怪物基线!$A$2:$A$501,0)),"")</f>
        <v>58434</v>
      </c>
      <c r="Q716">
        <f>IFERROR(INDEX(_怪物基线!$D$2:$D$501,MATCH(INT($L716),_怪物基线!$A$2:$A$501,0)),"")</f>
        <v>39157</v>
      </c>
      <c r="R716">
        <f>参数!$B$10</f>
        <v>4</v>
      </c>
      <c r="S716">
        <f>参数!$C$10</f>
        <v>1.2</v>
      </c>
      <c r="T716">
        <f>参数!$D$10</f>
        <v>1</v>
      </c>
      <c r="U716">
        <f t="shared" si="88"/>
        <v>2896100</v>
      </c>
      <c r="V716">
        <f t="shared" si="89"/>
        <v>70120.8</v>
      </c>
      <c r="W716">
        <f t="shared" si="90"/>
        <v>39157</v>
      </c>
      <c r="X716">
        <f>IFERROR(INDEX(参数!$B$5:$B$7,MATCH($N716,参数!$A$5:$A$7,0)),"")</f>
        <v>1</v>
      </c>
      <c r="Y716">
        <f>IFERROR(INDEX(参数!$C$5:$C$7,MATCH($N716,参数!$A$5:$A$7,0)),"")</f>
        <v>1.2</v>
      </c>
      <c r="Z716">
        <f>IFERROR(INDEX(参数!$D$5:$D$7,MATCH($N716,参数!$A$5:$A$7,0)),"")</f>
        <v>1</v>
      </c>
      <c r="AA716">
        <f>IFERROR(INDEX(楼层配置!$E$5:$E$204,MATCH($K716,楼层配置!$B$5:$B$204,0)),1)</f>
        <v>1.12582067235919</v>
      </c>
      <c r="AB716">
        <f>IFERROR(INDEX(楼层配置!$F$5:$F$204,MATCH($K716,楼层配置!$B$5:$B$204,0)),1)</f>
        <v>0.729834891319568</v>
      </c>
      <c r="AC716">
        <f>IFERROR(INDEX(楼层配置!$G$5:$G$204,MATCH($K716,楼层配置!$B$5:$B$204,0)),1)</f>
        <v>1</v>
      </c>
      <c r="AD716" t="str">
        <f t="shared" si="91"/>
        <v/>
      </c>
      <c r="AE716" t="str">
        <f t="shared" si="92"/>
        <v/>
      </c>
      <c r="AF716" t="str">
        <f t="shared" si="93"/>
        <v/>
      </c>
      <c r="AG716" t="str">
        <f t="shared" si="94"/>
        <v>有效</v>
      </c>
      <c r="AH716">
        <f t="shared" si="95"/>
        <v>8580112.65720833</v>
      </c>
    </row>
    <row r="717" spans="1:34">
      <c r="A717">
        <v>713</v>
      </c>
      <c r="B717">
        <v>1005</v>
      </c>
      <c r="C717">
        <v>60</v>
      </c>
      <c r="D717">
        <f>IFERROR(ROUND($U717*$X717*$AA717*参数!$B$13,0),"")</f>
        <v>3260489</v>
      </c>
      <c r="E717">
        <f>IFERROR(ROUND($V717*$Y717*$AB717*参数!$C$13,0),"")</f>
        <v>61412</v>
      </c>
      <c r="F717">
        <f>IFERROR(ROUND($W717*$Z717*$AC717*参数!$D$13,0),"")</f>
        <v>39157</v>
      </c>
      <c r="J717">
        <v>143</v>
      </c>
      <c r="K717">
        <v>143</v>
      </c>
      <c r="L717">
        <f>IFERROR(INDEX(楼层配置!$D$5:$D$204,MATCH($K717,楼层配置!$B$5:$B$204,0)),"")</f>
        <v>346</v>
      </c>
      <c r="M717" t="str">
        <f>IFERROR(INDEX(_角色基线!$B$2:$B$100,MATCH($B717,_角色基线!$A$2:$A$100,0)),"")</f>
        <v>陈单单</v>
      </c>
      <c r="N717" t="str">
        <f>IFERROR(INDEX(_角色基线!$C$2:$C$100,MATCH($B717,_角色基线!$A$2:$A$100,0)),"")</f>
        <v>DPS</v>
      </c>
      <c r="O717">
        <f>IFERROR(INDEX(_怪物基线!$B$2:$B$501,MATCH(INT($L717),_怪物基线!$A$2:$A$501,0)),"")</f>
        <v>724025</v>
      </c>
      <c r="P717">
        <f>IFERROR(INDEX(_怪物基线!$C$2:$C$501,MATCH(INT($L717),_怪物基线!$A$2:$A$501,0)),"")</f>
        <v>58434</v>
      </c>
      <c r="Q717">
        <f>IFERROR(INDEX(_怪物基线!$D$2:$D$501,MATCH(INT($L717),_怪物基线!$A$2:$A$501,0)),"")</f>
        <v>39157</v>
      </c>
      <c r="R717">
        <f>参数!$B$10</f>
        <v>4</v>
      </c>
      <c r="S717">
        <f>参数!$C$10</f>
        <v>1.2</v>
      </c>
      <c r="T717">
        <f>参数!$D$10</f>
        <v>1</v>
      </c>
      <c r="U717">
        <f t="shared" si="88"/>
        <v>2896100</v>
      </c>
      <c r="V717">
        <f t="shared" si="89"/>
        <v>70120.8</v>
      </c>
      <c r="W717">
        <f t="shared" si="90"/>
        <v>39157</v>
      </c>
      <c r="X717">
        <f>IFERROR(INDEX(参数!$B$5:$B$7,MATCH($N717,参数!$A$5:$A$7,0)),"")</f>
        <v>1</v>
      </c>
      <c r="Y717">
        <f>IFERROR(INDEX(参数!$C$5:$C$7,MATCH($N717,参数!$A$5:$A$7,0)),"")</f>
        <v>1.2</v>
      </c>
      <c r="Z717">
        <f>IFERROR(INDEX(参数!$D$5:$D$7,MATCH($N717,参数!$A$5:$A$7,0)),"")</f>
        <v>1</v>
      </c>
      <c r="AA717">
        <f>IFERROR(INDEX(楼层配置!$E$5:$E$204,MATCH($K717,楼层配置!$B$5:$B$204,0)),1)</f>
        <v>1.12582067235919</v>
      </c>
      <c r="AB717">
        <f>IFERROR(INDEX(楼层配置!$F$5:$F$204,MATCH($K717,楼层配置!$B$5:$B$204,0)),1)</f>
        <v>0.729834891319568</v>
      </c>
      <c r="AC717">
        <f>IFERROR(INDEX(楼层配置!$G$5:$G$204,MATCH($K717,楼层配置!$B$5:$B$204,0)),1)</f>
        <v>1</v>
      </c>
      <c r="AD717" t="str">
        <f t="shared" si="91"/>
        <v/>
      </c>
      <c r="AE717" t="str">
        <f t="shared" si="92"/>
        <v/>
      </c>
      <c r="AF717" t="str">
        <f t="shared" si="93"/>
        <v/>
      </c>
      <c r="AG717" t="str">
        <f t="shared" si="94"/>
        <v>有效</v>
      </c>
      <c r="AH717">
        <f t="shared" si="95"/>
        <v>8580112.65720833</v>
      </c>
    </row>
    <row r="718" spans="1:34">
      <c r="A718">
        <v>714</v>
      </c>
      <c r="B718">
        <v>1005</v>
      </c>
      <c r="C718">
        <v>60</v>
      </c>
      <c r="D718">
        <f>IFERROR(ROUND($U718*$X718*$AA718*参数!$B$13,0),"")</f>
        <v>3260489</v>
      </c>
      <c r="E718">
        <f>IFERROR(ROUND($V718*$Y718*$AB718*参数!$C$13,0),"")</f>
        <v>61412</v>
      </c>
      <c r="F718">
        <f>IFERROR(ROUND($W718*$Z718*$AC718*参数!$D$13,0),"")</f>
        <v>39157</v>
      </c>
      <c r="J718">
        <v>143</v>
      </c>
      <c r="K718">
        <v>143</v>
      </c>
      <c r="L718">
        <f>IFERROR(INDEX(楼层配置!$D$5:$D$204,MATCH($K718,楼层配置!$B$5:$B$204,0)),"")</f>
        <v>346</v>
      </c>
      <c r="M718" t="str">
        <f>IFERROR(INDEX(_角色基线!$B$2:$B$100,MATCH($B718,_角色基线!$A$2:$A$100,0)),"")</f>
        <v>陈单单</v>
      </c>
      <c r="N718" t="str">
        <f>IFERROR(INDEX(_角色基线!$C$2:$C$100,MATCH($B718,_角色基线!$A$2:$A$100,0)),"")</f>
        <v>DPS</v>
      </c>
      <c r="O718">
        <f>IFERROR(INDEX(_怪物基线!$B$2:$B$501,MATCH(INT($L718),_怪物基线!$A$2:$A$501,0)),"")</f>
        <v>724025</v>
      </c>
      <c r="P718">
        <f>IFERROR(INDEX(_怪物基线!$C$2:$C$501,MATCH(INT($L718),_怪物基线!$A$2:$A$501,0)),"")</f>
        <v>58434</v>
      </c>
      <c r="Q718">
        <f>IFERROR(INDEX(_怪物基线!$D$2:$D$501,MATCH(INT($L718),_怪物基线!$A$2:$A$501,0)),"")</f>
        <v>39157</v>
      </c>
      <c r="R718">
        <f>参数!$B$10</f>
        <v>4</v>
      </c>
      <c r="S718">
        <f>参数!$C$10</f>
        <v>1.2</v>
      </c>
      <c r="T718">
        <f>参数!$D$10</f>
        <v>1</v>
      </c>
      <c r="U718">
        <f t="shared" si="88"/>
        <v>2896100</v>
      </c>
      <c r="V718">
        <f t="shared" si="89"/>
        <v>70120.8</v>
      </c>
      <c r="W718">
        <f t="shared" si="90"/>
        <v>39157</v>
      </c>
      <c r="X718">
        <f>IFERROR(INDEX(参数!$B$5:$B$7,MATCH($N718,参数!$A$5:$A$7,0)),"")</f>
        <v>1</v>
      </c>
      <c r="Y718">
        <f>IFERROR(INDEX(参数!$C$5:$C$7,MATCH($N718,参数!$A$5:$A$7,0)),"")</f>
        <v>1.2</v>
      </c>
      <c r="Z718">
        <f>IFERROR(INDEX(参数!$D$5:$D$7,MATCH($N718,参数!$A$5:$A$7,0)),"")</f>
        <v>1</v>
      </c>
      <c r="AA718">
        <f>IFERROR(INDEX(楼层配置!$E$5:$E$204,MATCH($K718,楼层配置!$B$5:$B$204,0)),1)</f>
        <v>1.12582067235919</v>
      </c>
      <c r="AB718">
        <f>IFERROR(INDEX(楼层配置!$F$5:$F$204,MATCH($K718,楼层配置!$B$5:$B$204,0)),1)</f>
        <v>0.729834891319568</v>
      </c>
      <c r="AC718">
        <f>IFERROR(INDEX(楼层配置!$G$5:$G$204,MATCH($K718,楼层配置!$B$5:$B$204,0)),1)</f>
        <v>1</v>
      </c>
      <c r="AD718" t="str">
        <f t="shared" si="91"/>
        <v/>
      </c>
      <c r="AE718" t="str">
        <f t="shared" si="92"/>
        <v/>
      </c>
      <c r="AF718" t="str">
        <f t="shared" si="93"/>
        <v/>
      </c>
      <c r="AG718" t="str">
        <f t="shared" si="94"/>
        <v>有效</v>
      </c>
      <c r="AH718">
        <f t="shared" si="95"/>
        <v>8580112.65720833</v>
      </c>
    </row>
    <row r="719" spans="1:34">
      <c r="A719">
        <v>715</v>
      </c>
      <c r="B719">
        <v>1029</v>
      </c>
      <c r="C719">
        <v>60</v>
      </c>
      <c r="D719">
        <f>IFERROR(ROUND($U719*$X719*$AA719*参数!$B$13,0),"")</f>
        <v>4075612</v>
      </c>
      <c r="E719">
        <f>IFERROR(ROUND($V719*$Y719*$AB719*参数!$C$13,0),"")</f>
        <v>51177</v>
      </c>
      <c r="F719">
        <f>IFERROR(ROUND($W719*$Z719*$AC719*参数!$D$13,0),"")</f>
        <v>48946</v>
      </c>
      <c r="J719">
        <v>143</v>
      </c>
      <c r="K719">
        <v>143</v>
      </c>
      <c r="L719">
        <f>IFERROR(INDEX(楼层配置!$D$5:$D$204,MATCH($K719,楼层配置!$B$5:$B$204,0)),"")</f>
        <v>346</v>
      </c>
      <c r="M719" t="str">
        <f>IFERROR(INDEX(_角色基线!$B$2:$B$100,MATCH($B719,_角色基线!$A$2:$A$100,0)),"")</f>
        <v>凯兰</v>
      </c>
      <c r="N719" t="str">
        <f>IFERROR(INDEX(_角色基线!$C$2:$C$100,MATCH($B719,_角色基线!$A$2:$A$100,0)),"")</f>
        <v>Support</v>
      </c>
      <c r="O719">
        <f>IFERROR(INDEX(_怪物基线!$B$2:$B$501,MATCH(INT($L719),_怪物基线!$A$2:$A$501,0)),"")</f>
        <v>724025</v>
      </c>
      <c r="P719">
        <f>IFERROR(INDEX(_怪物基线!$C$2:$C$501,MATCH(INT($L719),_怪物基线!$A$2:$A$501,0)),"")</f>
        <v>58434</v>
      </c>
      <c r="Q719">
        <f>IFERROR(INDEX(_怪物基线!$D$2:$D$501,MATCH(INT($L719),_怪物基线!$A$2:$A$501,0)),"")</f>
        <v>39157</v>
      </c>
      <c r="R719">
        <f>参数!$B$10</f>
        <v>4</v>
      </c>
      <c r="S719">
        <f>参数!$C$10</f>
        <v>1.2</v>
      </c>
      <c r="T719">
        <f>参数!$D$10</f>
        <v>1</v>
      </c>
      <c r="U719">
        <f t="shared" si="88"/>
        <v>2896100</v>
      </c>
      <c r="V719">
        <f t="shared" si="89"/>
        <v>70120.8</v>
      </c>
      <c r="W719">
        <f t="shared" si="90"/>
        <v>39157</v>
      </c>
      <c r="X719">
        <f>IFERROR(INDEX(参数!$B$5:$B$7,MATCH($N719,参数!$A$5:$A$7,0)),"")</f>
        <v>1.25</v>
      </c>
      <c r="Y719">
        <f>IFERROR(INDEX(参数!$C$5:$C$7,MATCH($N719,参数!$A$5:$A$7,0)),"")</f>
        <v>1</v>
      </c>
      <c r="Z719">
        <f>IFERROR(INDEX(参数!$D$5:$D$7,MATCH($N719,参数!$A$5:$A$7,0)),"")</f>
        <v>1.25</v>
      </c>
      <c r="AA719">
        <f>IFERROR(INDEX(楼层配置!$E$5:$E$204,MATCH($K719,楼层配置!$B$5:$B$204,0)),1)</f>
        <v>1.12582067235919</v>
      </c>
      <c r="AB719">
        <f>IFERROR(INDEX(楼层配置!$F$5:$F$204,MATCH($K719,楼层配置!$B$5:$B$204,0)),1)</f>
        <v>0.729834891319568</v>
      </c>
      <c r="AC719">
        <f>IFERROR(INDEX(楼层配置!$G$5:$G$204,MATCH($K719,楼层配置!$B$5:$B$204,0)),1)</f>
        <v>1</v>
      </c>
      <c r="AD719" t="str">
        <f t="shared" si="91"/>
        <v/>
      </c>
      <c r="AE719" t="str">
        <f t="shared" si="92"/>
        <v/>
      </c>
      <c r="AF719" t="str">
        <f t="shared" si="93"/>
        <v/>
      </c>
      <c r="AG719" t="str">
        <f t="shared" si="94"/>
        <v>有效</v>
      </c>
      <c r="AH719">
        <f t="shared" si="95"/>
        <v>12387483.0396667</v>
      </c>
    </row>
    <row r="720" spans="1:34">
      <c r="A720">
        <v>716</v>
      </c>
      <c r="B720">
        <v>1003</v>
      </c>
      <c r="C720">
        <v>60</v>
      </c>
      <c r="D720">
        <f>IFERROR(ROUND($U720*$X720*$AA720*参数!$B$13,0),"")</f>
        <v>4974461</v>
      </c>
      <c r="E720">
        <f>IFERROR(ROUND($V720*$Y720*$AB720*参数!$C$13,0),"")</f>
        <v>51856</v>
      </c>
      <c r="F720">
        <f>IFERROR(ROUND($W720*$Z720*$AC720*参数!$D$13,0),"")</f>
        <v>59193</v>
      </c>
      <c r="J720">
        <v>144</v>
      </c>
      <c r="K720">
        <v>144</v>
      </c>
      <c r="L720">
        <f>IFERROR(INDEX(楼层配置!$D$5:$D$204,MATCH($K720,楼层配置!$B$5:$B$204,0)),"")</f>
        <v>348</v>
      </c>
      <c r="M720" t="str">
        <f>IFERROR(INDEX(_角色基线!$B$2:$B$100,MATCH($B720,_角色基线!$A$2:$A$100,0)),"")</f>
        <v>塔拉夏</v>
      </c>
      <c r="N720" t="str">
        <f>IFERROR(INDEX(_角色基线!$C$2:$C$100,MATCH($B720,_角色基线!$A$2:$A$100,0)),"")</f>
        <v>Tank</v>
      </c>
      <c r="O720">
        <f>IFERROR(INDEX(_怪物基线!$B$2:$B$501,MATCH(INT($L720),_怪物基线!$A$2:$A$501,0)),"")</f>
        <v>736420</v>
      </c>
      <c r="P720">
        <f>IFERROR(INDEX(_怪物基线!$C$2:$C$501,MATCH(INT($L720),_怪物基线!$A$2:$A$501,0)),"")</f>
        <v>59210</v>
      </c>
      <c r="Q720">
        <f>IFERROR(INDEX(_怪物基线!$D$2:$D$501,MATCH(INT($L720),_怪物基线!$A$2:$A$501,0)),"")</f>
        <v>39462</v>
      </c>
      <c r="R720">
        <f>参数!$B$10</f>
        <v>4</v>
      </c>
      <c r="S720">
        <f>参数!$C$10</f>
        <v>1.2</v>
      </c>
      <c r="T720">
        <f>参数!$D$10</f>
        <v>1</v>
      </c>
      <c r="U720">
        <f t="shared" si="88"/>
        <v>2945680</v>
      </c>
      <c r="V720">
        <f t="shared" si="89"/>
        <v>71052</v>
      </c>
      <c r="W720">
        <f t="shared" si="90"/>
        <v>39462</v>
      </c>
      <c r="X720">
        <f>IFERROR(INDEX(参数!$B$5:$B$7,MATCH($N720,参数!$A$5:$A$7,0)),"")</f>
        <v>1.5</v>
      </c>
      <c r="Y720">
        <f>IFERROR(INDEX(参数!$C$5:$C$7,MATCH($N720,参数!$A$5:$A$7,0)),"")</f>
        <v>1</v>
      </c>
      <c r="Z720">
        <f>IFERROR(INDEX(参数!$D$5:$D$7,MATCH($N720,参数!$A$5:$A$7,0)),"")</f>
        <v>1.5</v>
      </c>
      <c r="AA720">
        <f>IFERROR(INDEX(楼层配置!$E$5:$E$204,MATCH($K720,楼层配置!$B$5:$B$204,0)),1)</f>
        <v>1.12582067235919</v>
      </c>
      <c r="AB720">
        <f>IFERROR(INDEX(楼层配置!$F$5:$F$204,MATCH($K720,楼层配置!$B$5:$B$204,0)),1)</f>
        <v>0.729834891319568</v>
      </c>
      <c r="AC720">
        <f>IFERROR(INDEX(楼层配置!$G$5:$G$204,MATCH($K720,楼层配置!$B$5:$B$204,0)),1)</f>
        <v>1</v>
      </c>
      <c r="AD720" t="str">
        <f t="shared" si="91"/>
        <v/>
      </c>
      <c r="AE720" t="str">
        <f t="shared" si="92"/>
        <v/>
      </c>
      <c r="AF720" t="str">
        <f t="shared" si="93"/>
        <v/>
      </c>
      <c r="AG720" t="str">
        <f t="shared" si="94"/>
        <v>有效</v>
      </c>
      <c r="AH720">
        <f t="shared" si="95"/>
        <v>17243347.248875</v>
      </c>
    </row>
    <row r="721" spans="1:34">
      <c r="A721">
        <v>717</v>
      </c>
      <c r="B721">
        <v>1005</v>
      </c>
      <c r="C721">
        <v>60</v>
      </c>
      <c r="D721">
        <f>IFERROR(ROUND($U721*$X721*$AA721*参数!$B$13,0),"")</f>
        <v>3316307</v>
      </c>
      <c r="E721">
        <f>IFERROR(ROUND($V721*$Y721*$AB721*参数!$C$13,0),"")</f>
        <v>62227</v>
      </c>
      <c r="F721">
        <f>IFERROR(ROUND($W721*$Z721*$AC721*参数!$D$13,0),"")</f>
        <v>39462</v>
      </c>
      <c r="J721">
        <v>144</v>
      </c>
      <c r="K721">
        <v>144</v>
      </c>
      <c r="L721">
        <f>IFERROR(INDEX(楼层配置!$D$5:$D$204,MATCH($K721,楼层配置!$B$5:$B$204,0)),"")</f>
        <v>348</v>
      </c>
      <c r="M721" t="str">
        <f>IFERROR(INDEX(_角色基线!$B$2:$B$100,MATCH($B721,_角色基线!$A$2:$A$100,0)),"")</f>
        <v>陈单单</v>
      </c>
      <c r="N721" t="str">
        <f>IFERROR(INDEX(_角色基线!$C$2:$C$100,MATCH($B721,_角色基线!$A$2:$A$100,0)),"")</f>
        <v>DPS</v>
      </c>
      <c r="O721">
        <f>IFERROR(INDEX(_怪物基线!$B$2:$B$501,MATCH(INT($L721),_怪物基线!$A$2:$A$501,0)),"")</f>
        <v>736420</v>
      </c>
      <c r="P721">
        <f>IFERROR(INDEX(_怪物基线!$C$2:$C$501,MATCH(INT($L721),_怪物基线!$A$2:$A$501,0)),"")</f>
        <v>59210</v>
      </c>
      <c r="Q721">
        <f>IFERROR(INDEX(_怪物基线!$D$2:$D$501,MATCH(INT($L721),_怪物基线!$A$2:$A$501,0)),"")</f>
        <v>39462</v>
      </c>
      <c r="R721">
        <f>参数!$B$10</f>
        <v>4</v>
      </c>
      <c r="S721">
        <f>参数!$C$10</f>
        <v>1.2</v>
      </c>
      <c r="T721">
        <f>参数!$D$10</f>
        <v>1</v>
      </c>
      <c r="U721">
        <f t="shared" si="88"/>
        <v>2945680</v>
      </c>
      <c r="V721">
        <f t="shared" si="89"/>
        <v>71052</v>
      </c>
      <c r="W721">
        <f t="shared" si="90"/>
        <v>39462</v>
      </c>
      <c r="X721">
        <f>IFERROR(INDEX(参数!$B$5:$B$7,MATCH($N721,参数!$A$5:$A$7,0)),"")</f>
        <v>1</v>
      </c>
      <c r="Y721">
        <f>IFERROR(INDEX(参数!$C$5:$C$7,MATCH($N721,参数!$A$5:$A$7,0)),"")</f>
        <v>1.2</v>
      </c>
      <c r="Z721">
        <f>IFERROR(INDEX(参数!$D$5:$D$7,MATCH($N721,参数!$A$5:$A$7,0)),"")</f>
        <v>1</v>
      </c>
      <c r="AA721">
        <f>IFERROR(INDEX(楼层配置!$E$5:$E$204,MATCH($K721,楼层配置!$B$5:$B$204,0)),1)</f>
        <v>1.12582067235919</v>
      </c>
      <c r="AB721">
        <f>IFERROR(INDEX(楼层配置!$F$5:$F$204,MATCH($K721,楼层配置!$B$5:$B$204,0)),1)</f>
        <v>0.729834891319568</v>
      </c>
      <c r="AC721">
        <f>IFERROR(INDEX(楼层配置!$G$5:$G$204,MATCH($K721,楼层配置!$B$5:$B$204,0)),1)</f>
        <v>1</v>
      </c>
      <c r="AD721" t="str">
        <f t="shared" si="91"/>
        <v/>
      </c>
      <c r="AE721" t="str">
        <f t="shared" si="92"/>
        <v/>
      </c>
      <c r="AF721" t="str">
        <f t="shared" si="93"/>
        <v/>
      </c>
      <c r="AG721" t="str">
        <f t="shared" si="94"/>
        <v>有效</v>
      </c>
      <c r="AH721">
        <f t="shared" si="95"/>
        <v>8769144.78475</v>
      </c>
    </row>
    <row r="722" spans="1:34">
      <c r="A722">
        <v>718</v>
      </c>
      <c r="B722">
        <v>1005</v>
      </c>
      <c r="C722">
        <v>60</v>
      </c>
      <c r="D722">
        <f>IFERROR(ROUND($U722*$X722*$AA722*参数!$B$13,0),"")</f>
        <v>3316307</v>
      </c>
      <c r="E722">
        <f>IFERROR(ROUND($V722*$Y722*$AB722*参数!$C$13,0),"")</f>
        <v>62227</v>
      </c>
      <c r="F722">
        <f>IFERROR(ROUND($W722*$Z722*$AC722*参数!$D$13,0),"")</f>
        <v>39462</v>
      </c>
      <c r="J722">
        <v>144</v>
      </c>
      <c r="K722">
        <v>144</v>
      </c>
      <c r="L722">
        <f>IFERROR(INDEX(楼层配置!$D$5:$D$204,MATCH($K722,楼层配置!$B$5:$B$204,0)),"")</f>
        <v>348</v>
      </c>
      <c r="M722" t="str">
        <f>IFERROR(INDEX(_角色基线!$B$2:$B$100,MATCH($B722,_角色基线!$A$2:$A$100,0)),"")</f>
        <v>陈单单</v>
      </c>
      <c r="N722" t="str">
        <f>IFERROR(INDEX(_角色基线!$C$2:$C$100,MATCH($B722,_角色基线!$A$2:$A$100,0)),"")</f>
        <v>DPS</v>
      </c>
      <c r="O722">
        <f>IFERROR(INDEX(_怪物基线!$B$2:$B$501,MATCH(INT($L722),_怪物基线!$A$2:$A$501,0)),"")</f>
        <v>736420</v>
      </c>
      <c r="P722">
        <f>IFERROR(INDEX(_怪物基线!$C$2:$C$501,MATCH(INT($L722),_怪物基线!$A$2:$A$501,0)),"")</f>
        <v>59210</v>
      </c>
      <c r="Q722">
        <f>IFERROR(INDEX(_怪物基线!$D$2:$D$501,MATCH(INT($L722),_怪物基线!$A$2:$A$501,0)),"")</f>
        <v>39462</v>
      </c>
      <c r="R722">
        <f>参数!$B$10</f>
        <v>4</v>
      </c>
      <c r="S722">
        <f>参数!$C$10</f>
        <v>1.2</v>
      </c>
      <c r="T722">
        <f>参数!$D$10</f>
        <v>1</v>
      </c>
      <c r="U722">
        <f t="shared" si="88"/>
        <v>2945680</v>
      </c>
      <c r="V722">
        <f t="shared" si="89"/>
        <v>71052</v>
      </c>
      <c r="W722">
        <f t="shared" si="90"/>
        <v>39462</v>
      </c>
      <c r="X722">
        <f>IFERROR(INDEX(参数!$B$5:$B$7,MATCH($N722,参数!$A$5:$A$7,0)),"")</f>
        <v>1</v>
      </c>
      <c r="Y722">
        <f>IFERROR(INDEX(参数!$C$5:$C$7,MATCH($N722,参数!$A$5:$A$7,0)),"")</f>
        <v>1.2</v>
      </c>
      <c r="Z722">
        <f>IFERROR(INDEX(参数!$D$5:$D$7,MATCH($N722,参数!$A$5:$A$7,0)),"")</f>
        <v>1</v>
      </c>
      <c r="AA722">
        <f>IFERROR(INDEX(楼层配置!$E$5:$E$204,MATCH($K722,楼层配置!$B$5:$B$204,0)),1)</f>
        <v>1.12582067235919</v>
      </c>
      <c r="AB722">
        <f>IFERROR(INDEX(楼层配置!$F$5:$F$204,MATCH($K722,楼层配置!$B$5:$B$204,0)),1)</f>
        <v>0.729834891319568</v>
      </c>
      <c r="AC722">
        <f>IFERROR(INDEX(楼层配置!$G$5:$G$204,MATCH($K722,楼层配置!$B$5:$B$204,0)),1)</f>
        <v>1</v>
      </c>
      <c r="AD722" t="str">
        <f t="shared" si="91"/>
        <v/>
      </c>
      <c r="AE722" t="str">
        <f t="shared" si="92"/>
        <v/>
      </c>
      <c r="AF722" t="str">
        <f t="shared" si="93"/>
        <v/>
      </c>
      <c r="AG722" t="str">
        <f t="shared" si="94"/>
        <v>有效</v>
      </c>
      <c r="AH722">
        <f t="shared" si="95"/>
        <v>8769144.78475</v>
      </c>
    </row>
    <row r="723" spans="1:34">
      <c r="A723">
        <v>719</v>
      </c>
      <c r="B723">
        <v>1005</v>
      </c>
      <c r="C723">
        <v>60</v>
      </c>
      <c r="D723">
        <f>IFERROR(ROUND($U723*$X723*$AA723*参数!$B$13,0),"")</f>
        <v>3316307</v>
      </c>
      <c r="E723">
        <f>IFERROR(ROUND($V723*$Y723*$AB723*参数!$C$13,0),"")</f>
        <v>62227</v>
      </c>
      <c r="F723">
        <f>IFERROR(ROUND($W723*$Z723*$AC723*参数!$D$13,0),"")</f>
        <v>39462</v>
      </c>
      <c r="J723">
        <v>144</v>
      </c>
      <c r="K723">
        <v>144</v>
      </c>
      <c r="L723">
        <f>IFERROR(INDEX(楼层配置!$D$5:$D$204,MATCH($K723,楼层配置!$B$5:$B$204,0)),"")</f>
        <v>348</v>
      </c>
      <c r="M723" t="str">
        <f>IFERROR(INDEX(_角色基线!$B$2:$B$100,MATCH($B723,_角色基线!$A$2:$A$100,0)),"")</f>
        <v>陈单单</v>
      </c>
      <c r="N723" t="str">
        <f>IFERROR(INDEX(_角色基线!$C$2:$C$100,MATCH($B723,_角色基线!$A$2:$A$100,0)),"")</f>
        <v>DPS</v>
      </c>
      <c r="O723">
        <f>IFERROR(INDEX(_怪物基线!$B$2:$B$501,MATCH(INT($L723),_怪物基线!$A$2:$A$501,0)),"")</f>
        <v>736420</v>
      </c>
      <c r="P723">
        <f>IFERROR(INDEX(_怪物基线!$C$2:$C$501,MATCH(INT($L723),_怪物基线!$A$2:$A$501,0)),"")</f>
        <v>59210</v>
      </c>
      <c r="Q723">
        <f>IFERROR(INDEX(_怪物基线!$D$2:$D$501,MATCH(INT($L723),_怪物基线!$A$2:$A$501,0)),"")</f>
        <v>39462</v>
      </c>
      <c r="R723">
        <f>参数!$B$10</f>
        <v>4</v>
      </c>
      <c r="S723">
        <f>参数!$C$10</f>
        <v>1.2</v>
      </c>
      <c r="T723">
        <f>参数!$D$10</f>
        <v>1</v>
      </c>
      <c r="U723">
        <f t="shared" si="88"/>
        <v>2945680</v>
      </c>
      <c r="V723">
        <f t="shared" si="89"/>
        <v>71052</v>
      </c>
      <c r="W723">
        <f t="shared" si="90"/>
        <v>39462</v>
      </c>
      <c r="X723">
        <f>IFERROR(INDEX(参数!$B$5:$B$7,MATCH($N723,参数!$A$5:$A$7,0)),"")</f>
        <v>1</v>
      </c>
      <c r="Y723">
        <f>IFERROR(INDEX(参数!$C$5:$C$7,MATCH($N723,参数!$A$5:$A$7,0)),"")</f>
        <v>1.2</v>
      </c>
      <c r="Z723">
        <f>IFERROR(INDEX(参数!$D$5:$D$7,MATCH($N723,参数!$A$5:$A$7,0)),"")</f>
        <v>1</v>
      </c>
      <c r="AA723">
        <f>IFERROR(INDEX(楼层配置!$E$5:$E$204,MATCH($K723,楼层配置!$B$5:$B$204,0)),1)</f>
        <v>1.12582067235919</v>
      </c>
      <c r="AB723">
        <f>IFERROR(INDEX(楼层配置!$F$5:$F$204,MATCH($K723,楼层配置!$B$5:$B$204,0)),1)</f>
        <v>0.729834891319568</v>
      </c>
      <c r="AC723">
        <f>IFERROR(INDEX(楼层配置!$G$5:$G$204,MATCH($K723,楼层配置!$B$5:$B$204,0)),1)</f>
        <v>1</v>
      </c>
      <c r="AD723" t="str">
        <f t="shared" si="91"/>
        <v/>
      </c>
      <c r="AE723" t="str">
        <f t="shared" si="92"/>
        <v/>
      </c>
      <c r="AF723" t="str">
        <f t="shared" si="93"/>
        <v/>
      </c>
      <c r="AG723" t="str">
        <f t="shared" si="94"/>
        <v>有效</v>
      </c>
      <c r="AH723">
        <f t="shared" si="95"/>
        <v>8769144.78475</v>
      </c>
    </row>
    <row r="724" spans="1:34">
      <c r="A724">
        <v>720</v>
      </c>
      <c r="B724">
        <v>1029</v>
      </c>
      <c r="C724">
        <v>60</v>
      </c>
      <c r="D724">
        <f>IFERROR(ROUND($U724*$X724*$AA724*参数!$B$13,0),"")</f>
        <v>4145384</v>
      </c>
      <c r="E724">
        <f>IFERROR(ROUND($V724*$Y724*$AB724*参数!$C$13,0),"")</f>
        <v>51856</v>
      </c>
      <c r="F724">
        <f>IFERROR(ROUND($W724*$Z724*$AC724*参数!$D$13,0),"")</f>
        <v>49328</v>
      </c>
      <c r="J724">
        <v>144</v>
      </c>
      <c r="K724">
        <v>144</v>
      </c>
      <c r="L724">
        <f>IFERROR(INDEX(楼层配置!$D$5:$D$204,MATCH($K724,楼层配置!$B$5:$B$204,0)),"")</f>
        <v>348</v>
      </c>
      <c r="M724" t="str">
        <f>IFERROR(INDEX(_角色基线!$B$2:$B$100,MATCH($B724,_角色基线!$A$2:$A$100,0)),"")</f>
        <v>凯兰</v>
      </c>
      <c r="N724" t="str">
        <f>IFERROR(INDEX(_角色基线!$C$2:$C$100,MATCH($B724,_角色基线!$A$2:$A$100,0)),"")</f>
        <v>Support</v>
      </c>
      <c r="O724">
        <f>IFERROR(INDEX(_怪物基线!$B$2:$B$501,MATCH(INT($L724),_怪物基线!$A$2:$A$501,0)),"")</f>
        <v>736420</v>
      </c>
      <c r="P724">
        <f>IFERROR(INDEX(_怪物基线!$C$2:$C$501,MATCH(INT($L724),_怪物基线!$A$2:$A$501,0)),"")</f>
        <v>59210</v>
      </c>
      <c r="Q724">
        <f>IFERROR(INDEX(_怪物基线!$D$2:$D$501,MATCH(INT($L724),_怪物基线!$A$2:$A$501,0)),"")</f>
        <v>39462</v>
      </c>
      <c r="R724">
        <f>参数!$B$10</f>
        <v>4</v>
      </c>
      <c r="S724">
        <f>参数!$C$10</f>
        <v>1.2</v>
      </c>
      <c r="T724">
        <f>参数!$D$10</f>
        <v>1</v>
      </c>
      <c r="U724">
        <f t="shared" si="88"/>
        <v>2945680</v>
      </c>
      <c r="V724">
        <f t="shared" si="89"/>
        <v>71052</v>
      </c>
      <c r="W724">
        <f t="shared" si="90"/>
        <v>39462</v>
      </c>
      <c r="X724">
        <f>IFERROR(INDEX(参数!$B$5:$B$7,MATCH($N724,参数!$A$5:$A$7,0)),"")</f>
        <v>1.25</v>
      </c>
      <c r="Y724">
        <f>IFERROR(INDEX(参数!$C$5:$C$7,MATCH($N724,参数!$A$5:$A$7,0)),"")</f>
        <v>1</v>
      </c>
      <c r="Z724">
        <f>IFERROR(INDEX(参数!$D$5:$D$7,MATCH($N724,参数!$A$5:$A$7,0)),"")</f>
        <v>1.25</v>
      </c>
      <c r="AA724">
        <f>IFERROR(INDEX(楼层配置!$E$5:$E$204,MATCH($K724,楼层配置!$B$5:$B$204,0)),1)</f>
        <v>1.12582067235919</v>
      </c>
      <c r="AB724">
        <f>IFERROR(INDEX(楼层配置!$F$5:$F$204,MATCH($K724,楼层配置!$B$5:$B$204,0)),1)</f>
        <v>0.729834891319568</v>
      </c>
      <c r="AC724">
        <f>IFERROR(INDEX(楼层配置!$G$5:$G$204,MATCH($K724,楼层配置!$B$5:$B$204,0)),1)</f>
        <v>1</v>
      </c>
      <c r="AD724" t="str">
        <f t="shared" si="91"/>
        <v/>
      </c>
      <c r="AE724" t="str">
        <f t="shared" si="92"/>
        <v/>
      </c>
      <c r="AF724" t="str">
        <f t="shared" si="93"/>
        <v/>
      </c>
      <c r="AG724" t="str">
        <f t="shared" si="94"/>
        <v>有效</v>
      </c>
      <c r="AH724">
        <f t="shared" si="95"/>
        <v>12665529.9146667</v>
      </c>
    </row>
    <row r="725" spans="1:34">
      <c r="A725">
        <v>721</v>
      </c>
      <c r="B725">
        <v>1003</v>
      </c>
      <c r="C725">
        <v>60</v>
      </c>
      <c r="D725">
        <f>IFERROR(ROUND($U725*$X725*$AA725*参数!$B$13,0),"")</f>
        <v>5082938</v>
      </c>
      <c r="E725">
        <f>IFERROR(ROUND($V725*$Y725*$AB725*参数!$C$13,0),"")</f>
        <v>52316</v>
      </c>
      <c r="F725">
        <f>IFERROR(ROUND($W725*$Z725*$AC725*参数!$D$13,0),"")</f>
        <v>59654</v>
      </c>
      <c r="J725">
        <v>145</v>
      </c>
      <c r="K725">
        <v>145</v>
      </c>
      <c r="L725">
        <f>IFERROR(INDEX(楼层配置!$D$5:$D$204,MATCH($K725,楼层配置!$B$5:$B$204,0)),"")</f>
        <v>350</v>
      </c>
      <c r="M725" t="str">
        <f>IFERROR(INDEX(_角色基线!$B$2:$B$100,MATCH($B725,_角色基线!$A$2:$A$100,0)),"")</f>
        <v>塔拉夏</v>
      </c>
      <c r="N725" t="str">
        <f>IFERROR(INDEX(_角色基线!$C$2:$C$100,MATCH($B725,_角色基线!$A$2:$A$100,0)),"")</f>
        <v>Tank</v>
      </c>
      <c r="O725">
        <f>IFERROR(INDEX(_怪物基线!$B$2:$B$501,MATCH(INT($L725),_怪物基线!$A$2:$A$501,0)),"")</f>
        <v>748980</v>
      </c>
      <c r="P725">
        <f>IFERROR(INDEX(_怪物基线!$C$2:$C$501,MATCH(INT($L725),_怪物基线!$A$2:$A$501,0)),"")</f>
        <v>59994</v>
      </c>
      <c r="Q725">
        <f>IFERROR(INDEX(_怪物基线!$D$2:$D$501,MATCH(INT($L725),_怪物基线!$A$2:$A$501,0)),"")</f>
        <v>39769</v>
      </c>
      <c r="R725">
        <f>参数!$B$10</f>
        <v>4</v>
      </c>
      <c r="S725">
        <f>参数!$C$10</f>
        <v>1.2</v>
      </c>
      <c r="T725">
        <f>参数!$D$10</f>
        <v>1</v>
      </c>
      <c r="U725">
        <f t="shared" si="88"/>
        <v>2995920</v>
      </c>
      <c r="V725">
        <f t="shared" si="89"/>
        <v>71992.8</v>
      </c>
      <c r="W725">
        <f t="shared" si="90"/>
        <v>39769</v>
      </c>
      <c r="X725">
        <f>IFERROR(INDEX(参数!$B$5:$B$7,MATCH($N725,参数!$A$5:$A$7,0)),"")</f>
        <v>1.5</v>
      </c>
      <c r="Y725">
        <f>IFERROR(INDEX(参数!$C$5:$C$7,MATCH($N725,参数!$A$5:$A$7,0)),"")</f>
        <v>1</v>
      </c>
      <c r="Z725">
        <f>IFERROR(INDEX(参数!$D$5:$D$7,MATCH($N725,参数!$A$5:$A$7,0)),"")</f>
        <v>1.5</v>
      </c>
      <c r="AA725">
        <f>IFERROR(INDEX(楼层配置!$E$5:$E$204,MATCH($K725,楼层配置!$B$5:$B$204,0)),1)</f>
        <v>1.13108015591293</v>
      </c>
      <c r="AB725">
        <f>IFERROR(INDEX(楼层配置!$F$5:$F$204,MATCH($K725,楼层配置!$B$5:$B$204,0)),1)</f>
        <v>0.726679309784578</v>
      </c>
      <c r="AC725">
        <f>IFERROR(INDEX(楼层配置!$G$5:$G$204,MATCH($K725,楼层配置!$B$5:$B$204,0)),1)</f>
        <v>1</v>
      </c>
      <c r="AD725" t="str">
        <f t="shared" si="91"/>
        <v/>
      </c>
      <c r="AE725" t="str">
        <f t="shared" si="92"/>
        <v/>
      </c>
      <c r="AF725" t="str">
        <f t="shared" si="93"/>
        <v/>
      </c>
      <c r="AG725" t="str">
        <f t="shared" si="94"/>
        <v>有效</v>
      </c>
      <c r="AH725">
        <f t="shared" si="95"/>
        <v>17717003.9771667</v>
      </c>
    </row>
    <row r="726" spans="1:34">
      <c r="A726">
        <v>722</v>
      </c>
      <c r="B726">
        <v>1005</v>
      </c>
      <c r="C726">
        <v>60</v>
      </c>
      <c r="D726">
        <f>IFERROR(ROUND($U726*$X726*$AA726*参数!$B$13,0),"")</f>
        <v>3388626</v>
      </c>
      <c r="E726">
        <f>IFERROR(ROUND($V726*$Y726*$AB726*参数!$C$13,0),"")</f>
        <v>62779</v>
      </c>
      <c r="F726">
        <f>IFERROR(ROUND($W726*$Z726*$AC726*参数!$D$13,0),"")</f>
        <v>39769</v>
      </c>
      <c r="J726">
        <v>145</v>
      </c>
      <c r="K726">
        <v>145</v>
      </c>
      <c r="L726">
        <f>IFERROR(INDEX(楼层配置!$D$5:$D$204,MATCH($K726,楼层配置!$B$5:$B$204,0)),"")</f>
        <v>350</v>
      </c>
      <c r="M726" t="str">
        <f>IFERROR(INDEX(_角色基线!$B$2:$B$100,MATCH($B726,_角色基线!$A$2:$A$100,0)),"")</f>
        <v>陈单单</v>
      </c>
      <c r="N726" t="str">
        <f>IFERROR(INDEX(_角色基线!$C$2:$C$100,MATCH($B726,_角色基线!$A$2:$A$100,0)),"")</f>
        <v>DPS</v>
      </c>
      <c r="O726">
        <f>IFERROR(INDEX(_怪物基线!$B$2:$B$501,MATCH(INT($L726),_怪物基线!$A$2:$A$501,0)),"")</f>
        <v>748980</v>
      </c>
      <c r="P726">
        <f>IFERROR(INDEX(_怪物基线!$C$2:$C$501,MATCH(INT($L726),_怪物基线!$A$2:$A$501,0)),"")</f>
        <v>59994</v>
      </c>
      <c r="Q726">
        <f>IFERROR(INDEX(_怪物基线!$D$2:$D$501,MATCH(INT($L726),_怪物基线!$A$2:$A$501,0)),"")</f>
        <v>39769</v>
      </c>
      <c r="R726">
        <f>参数!$B$10</f>
        <v>4</v>
      </c>
      <c r="S726">
        <f>参数!$C$10</f>
        <v>1.2</v>
      </c>
      <c r="T726">
        <f>参数!$D$10</f>
        <v>1</v>
      </c>
      <c r="U726">
        <f t="shared" si="88"/>
        <v>2995920</v>
      </c>
      <c r="V726">
        <f t="shared" si="89"/>
        <v>71992.8</v>
      </c>
      <c r="W726">
        <f t="shared" si="90"/>
        <v>39769</v>
      </c>
      <c r="X726">
        <f>IFERROR(INDEX(参数!$B$5:$B$7,MATCH($N726,参数!$A$5:$A$7,0)),"")</f>
        <v>1</v>
      </c>
      <c r="Y726">
        <f>IFERROR(INDEX(参数!$C$5:$C$7,MATCH($N726,参数!$A$5:$A$7,0)),"")</f>
        <v>1.2</v>
      </c>
      <c r="Z726">
        <f>IFERROR(INDEX(参数!$D$5:$D$7,MATCH($N726,参数!$A$5:$A$7,0)),"")</f>
        <v>1</v>
      </c>
      <c r="AA726">
        <f>IFERROR(INDEX(楼层配置!$E$5:$E$204,MATCH($K726,楼层配置!$B$5:$B$204,0)),1)</f>
        <v>1.13108015591293</v>
      </c>
      <c r="AB726">
        <f>IFERROR(INDEX(楼层配置!$F$5:$F$204,MATCH($K726,楼层配置!$B$5:$B$204,0)),1)</f>
        <v>0.726679309784578</v>
      </c>
      <c r="AC726">
        <f>IFERROR(INDEX(楼层配置!$G$5:$G$204,MATCH($K726,楼层配置!$B$5:$B$204,0)),1)</f>
        <v>1</v>
      </c>
      <c r="AD726" t="str">
        <f t="shared" si="91"/>
        <v/>
      </c>
      <c r="AE726" t="str">
        <f t="shared" si="92"/>
        <v/>
      </c>
      <c r="AF726" t="str">
        <f t="shared" si="93"/>
        <v/>
      </c>
      <c r="AG726" t="str">
        <f t="shared" si="94"/>
        <v>有效</v>
      </c>
      <c r="AH726">
        <f t="shared" si="95"/>
        <v>9003720.47475</v>
      </c>
    </row>
    <row r="727" spans="1:34">
      <c r="A727">
        <v>723</v>
      </c>
      <c r="B727">
        <v>1005</v>
      </c>
      <c r="C727">
        <v>60</v>
      </c>
      <c r="D727">
        <f>IFERROR(ROUND($U727*$X727*$AA727*参数!$B$13,0),"")</f>
        <v>3388626</v>
      </c>
      <c r="E727">
        <f>IFERROR(ROUND($V727*$Y727*$AB727*参数!$C$13,0),"")</f>
        <v>62779</v>
      </c>
      <c r="F727">
        <f>IFERROR(ROUND($W727*$Z727*$AC727*参数!$D$13,0),"")</f>
        <v>39769</v>
      </c>
      <c r="J727">
        <v>145</v>
      </c>
      <c r="K727">
        <v>145</v>
      </c>
      <c r="L727">
        <f>IFERROR(INDEX(楼层配置!$D$5:$D$204,MATCH($K727,楼层配置!$B$5:$B$204,0)),"")</f>
        <v>350</v>
      </c>
      <c r="M727" t="str">
        <f>IFERROR(INDEX(_角色基线!$B$2:$B$100,MATCH($B727,_角色基线!$A$2:$A$100,0)),"")</f>
        <v>陈单单</v>
      </c>
      <c r="N727" t="str">
        <f>IFERROR(INDEX(_角色基线!$C$2:$C$100,MATCH($B727,_角色基线!$A$2:$A$100,0)),"")</f>
        <v>DPS</v>
      </c>
      <c r="O727">
        <f>IFERROR(INDEX(_怪物基线!$B$2:$B$501,MATCH(INT($L727),_怪物基线!$A$2:$A$501,0)),"")</f>
        <v>748980</v>
      </c>
      <c r="P727">
        <f>IFERROR(INDEX(_怪物基线!$C$2:$C$501,MATCH(INT($L727),_怪物基线!$A$2:$A$501,0)),"")</f>
        <v>59994</v>
      </c>
      <c r="Q727">
        <f>IFERROR(INDEX(_怪物基线!$D$2:$D$501,MATCH(INT($L727),_怪物基线!$A$2:$A$501,0)),"")</f>
        <v>39769</v>
      </c>
      <c r="R727">
        <f>参数!$B$10</f>
        <v>4</v>
      </c>
      <c r="S727">
        <f>参数!$C$10</f>
        <v>1.2</v>
      </c>
      <c r="T727">
        <f>参数!$D$10</f>
        <v>1</v>
      </c>
      <c r="U727">
        <f t="shared" si="88"/>
        <v>2995920</v>
      </c>
      <c r="V727">
        <f t="shared" si="89"/>
        <v>71992.8</v>
      </c>
      <c r="W727">
        <f t="shared" si="90"/>
        <v>39769</v>
      </c>
      <c r="X727">
        <f>IFERROR(INDEX(参数!$B$5:$B$7,MATCH($N727,参数!$A$5:$A$7,0)),"")</f>
        <v>1</v>
      </c>
      <c r="Y727">
        <f>IFERROR(INDEX(参数!$C$5:$C$7,MATCH($N727,参数!$A$5:$A$7,0)),"")</f>
        <v>1.2</v>
      </c>
      <c r="Z727">
        <f>IFERROR(INDEX(参数!$D$5:$D$7,MATCH($N727,参数!$A$5:$A$7,0)),"")</f>
        <v>1</v>
      </c>
      <c r="AA727">
        <f>IFERROR(INDEX(楼层配置!$E$5:$E$204,MATCH($K727,楼层配置!$B$5:$B$204,0)),1)</f>
        <v>1.13108015591293</v>
      </c>
      <c r="AB727">
        <f>IFERROR(INDEX(楼层配置!$F$5:$F$204,MATCH($K727,楼层配置!$B$5:$B$204,0)),1)</f>
        <v>0.726679309784578</v>
      </c>
      <c r="AC727">
        <f>IFERROR(INDEX(楼层配置!$G$5:$G$204,MATCH($K727,楼层配置!$B$5:$B$204,0)),1)</f>
        <v>1</v>
      </c>
      <c r="AD727" t="str">
        <f t="shared" si="91"/>
        <v/>
      </c>
      <c r="AE727" t="str">
        <f t="shared" si="92"/>
        <v/>
      </c>
      <c r="AF727" t="str">
        <f t="shared" si="93"/>
        <v/>
      </c>
      <c r="AG727" t="str">
        <f t="shared" si="94"/>
        <v>有效</v>
      </c>
      <c r="AH727">
        <f t="shared" si="95"/>
        <v>9003720.47475</v>
      </c>
    </row>
    <row r="728" spans="1:34">
      <c r="A728">
        <v>724</v>
      </c>
      <c r="B728">
        <v>1005</v>
      </c>
      <c r="C728">
        <v>60</v>
      </c>
      <c r="D728">
        <f>IFERROR(ROUND($U728*$X728*$AA728*参数!$B$13,0),"")</f>
        <v>3388626</v>
      </c>
      <c r="E728">
        <f>IFERROR(ROUND($V728*$Y728*$AB728*参数!$C$13,0),"")</f>
        <v>62779</v>
      </c>
      <c r="F728">
        <f>IFERROR(ROUND($W728*$Z728*$AC728*参数!$D$13,0),"")</f>
        <v>39769</v>
      </c>
      <c r="J728">
        <v>145</v>
      </c>
      <c r="K728">
        <v>145</v>
      </c>
      <c r="L728">
        <f>IFERROR(INDEX(楼层配置!$D$5:$D$204,MATCH($K728,楼层配置!$B$5:$B$204,0)),"")</f>
        <v>350</v>
      </c>
      <c r="M728" t="str">
        <f>IFERROR(INDEX(_角色基线!$B$2:$B$100,MATCH($B728,_角色基线!$A$2:$A$100,0)),"")</f>
        <v>陈单单</v>
      </c>
      <c r="N728" t="str">
        <f>IFERROR(INDEX(_角色基线!$C$2:$C$100,MATCH($B728,_角色基线!$A$2:$A$100,0)),"")</f>
        <v>DPS</v>
      </c>
      <c r="O728">
        <f>IFERROR(INDEX(_怪物基线!$B$2:$B$501,MATCH(INT($L728),_怪物基线!$A$2:$A$501,0)),"")</f>
        <v>748980</v>
      </c>
      <c r="P728">
        <f>IFERROR(INDEX(_怪物基线!$C$2:$C$501,MATCH(INT($L728),_怪物基线!$A$2:$A$501,0)),"")</f>
        <v>59994</v>
      </c>
      <c r="Q728">
        <f>IFERROR(INDEX(_怪物基线!$D$2:$D$501,MATCH(INT($L728),_怪物基线!$A$2:$A$501,0)),"")</f>
        <v>39769</v>
      </c>
      <c r="R728">
        <f>参数!$B$10</f>
        <v>4</v>
      </c>
      <c r="S728">
        <f>参数!$C$10</f>
        <v>1.2</v>
      </c>
      <c r="T728">
        <f>参数!$D$10</f>
        <v>1</v>
      </c>
      <c r="U728">
        <f t="shared" si="88"/>
        <v>2995920</v>
      </c>
      <c r="V728">
        <f t="shared" si="89"/>
        <v>71992.8</v>
      </c>
      <c r="W728">
        <f t="shared" si="90"/>
        <v>39769</v>
      </c>
      <c r="X728">
        <f>IFERROR(INDEX(参数!$B$5:$B$7,MATCH($N728,参数!$A$5:$A$7,0)),"")</f>
        <v>1</v>
      </c>
      <c r="Y728">
        <f>IFERROR(INDEX(参数!$C$5:$C$7,MATCH($N728,参数!$A$5:$A$7,0)),"")</f>
        <v>1.2</v>
      </c>
      <c r="Z728">
        <f>IFERROR(INDEX(参数!$D$5:$D$7,MATCH($N728,参数!$A$5:$A$7,0)),"")</f>
        <v>1</v>
      </c>
      <c r="AA728">
        <f>IFERROR(INDEX(楼层配置!$E$5:$E$204,MATCH($K728,楼层配置!$B$5:$B$204,0)),1)</f>
        <v>1.13108015591293</v>
      </c>
      <c r="AB728">
        <f>IFERROR(INDEX(楼层配置!$F$5:$F$204,MATCH($K728,楼层配置!$B$5:$B$204,0)),1)</f>
        <v>0.726679309784578</v>
      </c>
      <c r="AC728">
        <f>IFERROR(INDEX(楼层配置!$G$5:$G$204,MATCH($K728,楼层配置!$B$5:$B$204,0)),1)</f>
        <v>1</v>
      </c>
      <c r="AD728" t="str">
        <f t="shared" si="91"/>
        <v/>
      </c>
      <c r="AE728" t="str">
        <f t="shared" si="92"/>
        <v/>
      </c>
      <c r="AF728" t="str">
        <f t="shared" si="93"/>
        <v/>
      </c>
      <c r="AG728" t="str">
        <f t="shared" si="94"/>
        <v>有效</v>
      </c>
      <c r="AH728">
        <f t="shared" si="95"/>
        <v>9003720.47475</v>
      </c>
    </row>
    <row r="729" spans="1:34">
      <c r="A729">
        <v>725</v>
      </c>
      <c r="B729">
        <v>1029</v>
      </c>
      <c r="C729">
        <v>60</v>
      </c>
      <c r="D729">
        <f>IFERROR(ROUND($U729*$X729*$AA729*参数!$B$13,0),"")</f>
        <v>4235782</v>
      </c>
      <c r="E729">
        <f>IFERROR(ROUND($V729*$Y729*$AB729*参数!$C$13,0),"")</f>
        <v>52316</v>
      </c>
      <c r="F729">
        <f>IFERROR(ROUND($W729*$Z729*$AC729*参数!$D$13,0),"")</f>
        <v>49711</v>
      </c>
      <c r="J729">
        <v>145</v>
      </c>
      <c r="K729">
        <v>145</v>
      </c>
      <c r="L729">
        <f>IFERROR(INDEX(楼层配置!$D$5:$D$204,MATCH($K729,楼层配置!$B$5:$B$204,0)),"")</f>
        <v>350</v>
      </c>
      <c r="M729" t="str">
        <f>IFERROR(INDEX(_角色基线!$B$2:$B$100,MATCH($B729,_角色基线!$A$2:$A$100,0)),"")</f>
        <v>凯兰</v>
      </c>
      <c r="N729" t="str">
        <f>IFERROR(INDEX(_角色基线!$C$2:$C$100,MATCH($B729,_角色基线!$A$2:$A$100,0)),"")</f>
        <v>Support</v>
      </c>
      <c r="O729">
        <f>IFERROR(INDEX(_怪物基线!$B$2:$B$501,MATCH(INT($L729),_怪物基线!$A$2:$A$501,0)),"")</f>
        <v>748980</v>
      </c>
      <c r="P729">
        <f>IFERROR(INDEX(_怪物基线!$C$2:$C$501,MATCH(INT($L729),_怪物基线!$A$2:$A$501,0)),"")</f>
        <v>59994</v>
      </c>
      <c r="Q729">
        <f>IFERROR(INDEX(_怪物基线!$D$2:$D$501,MATCH(INT($L729),_怪物基线!$A$2:$A$501,0)),"")</f>
        <v>39769</v>
      </c>
      <c r="R729">
        <f>参数!$B$10</f>
        <v>4</v>
      </c>
      <c r="S729">
        <f>参数!$C$10</f>
        <v>1.2</v>
      </c>
      <c r="T729">
        <f>参数!$D$10</f>
        <v>1</v>
      </c>
      <c r="U729">
        <f t="shared" si="88"/>
        <v>2995920</v>
      </c>
      <c r="V729">
        <f t="shared" si="89"/>
        <v>71992.8</v>
      </c>
      <c r="W729">
        <f t="shared" si="90"/>
        <v>39769</v>
      </c>
      <c r="X729">
        <f>IFERROR(INDEX(参数!$B$5:$B$7,MATCH($N729,参数!$A$5:$A$7,0)),"")</f>
        <v>1.25</v>
      </c>
      <c r="Y729">
        <f>IFERROR(INDEX(参数!$C$5:$C$7,MATCH($N729,参数!$A$5:$A$7,0)),"")</f>
        <v>1</v>
      </c>
      <c r="Z729">
        <f>IFERROR(INDEX(参数!$D$5:$D$7,MATCH($N729,参数!$A$5:$A$7,0)),"")</f>
        <v>1.25</v>
      </c>
      <c r="AA729">
        <f>IFERROR(INDEX(楼层配置!$E$5:$E$204,MATCH($K729,楼层配置!$B$5:$B$204,0)),1)</f>
        <v>1.13108015591293</v>
      </c>
      <c r="AB729">
        <f>IFERROR(INDEX(楼层配置!$F$5:$F$204,MATCH($K729,楼层配置!$B$5:$B$204,0)),1)</f>
        <v>0.726679309784578</v>
      </c>
      <c r="AC729">
        <f>IFERROR(INDEX(楼层配置!$G$5:$G$204,MATCH($K729,楼层配置!$B$5:$B$204,0)),1)</f>
        <v>1</v>
      </c>
      <c r="AD729" t="str">
        <f t="shared" si="91"/>
        <v/>
      </c>
      <c r="AE729" t="str">
        <f t="shared" si="92"/>
        <v/>
      </c>
      <c r="AF729" t="str">
        <f t="shared" si="93"/>
        <v/>
      </c>
      <c r="AG729" t="str">
        <f t="shared" si="94"/>
        <v>有效</v>
      </c>
      <c r="AH729">
        <f t="shared" si="95"/>
        <v>13009321.9584167</v>
      </c>
    </row>
    <row r="730" spans="1:34">
      <c r="A730">
        <v>726</v>
      </c>
      <c r="B730">
        <v>1003</v>
      </c>
      <c r="C730">
        <v>60</v>
      </c>
      <c r="D730">
        <f>IFERROR(ROUND($U730*$X730*$AA730*参数!$B$13,0),"")</f>
        <v>5145273</v>
      </c>
      <c r="E730">
        <f>IFERROR(ROUND($V730*$Y730*$AB730*参数!$C$13,0),"")</f>
        <v>53237</v>
      </c>
      <c r="F730">
        <f>IFERROR(ROUND($W730*$Z730*$AC730*参数!$D$13,0),"")</f>
        <v>60114</v>
      </c>
      <c r="J730">
        <v>146</v>
      </c>
      <c r="K730">
        <v>146</v>
      </c>
      <c r="L730">
        <f>IFERROR(INDEX(楼层配置!$D$5:$D$204,MATCH($K730,楼层配置!$B$5:$B$204,0)),"")</f>
        <v>352</v>
      </c>
      <c r="M730" t="str">
        <f>IFERROR(INDEX(_角色基线!$B$2:$B$100,MATCH($B730,_角色基线!$A$2:$A$100,0)),"")</f>
        <v>塔拉夏</v>
      </c>
      <c r="N730" t="str">
        <f>IFERROR(INDEX(_角色基线!$C$2:$C$100,MATCH($B730,_角色基线!$A$2:$A$100,0)),"")</f>
        <v>Tank</v>
      </c>
      <c r="O730">
        <f>IFERROR(INDEX(_怪物基线!$B$2:$B$501,MATCH(INT($L730),_怪物基线!$A$2:$A$501,0)),"")</f>
        <v>761707</v>
      </c>
      <c r="P730">
        <f>IFERROR(INDEX(_怪物基线!$C$2:$C$501,MATCH(INT($L730),_怪物基线!$A$2:$A$501,0)),"")</f>
        <v>60787</v>
      </c>
      <c r="Q730">
        <f>IFERROR(INDEX(_怪物基线!$D$2:$D$501,MATCH(INT($L730),_怪物基线!$A$2:$A$501,0)),"")</f>
        <v>40076</v>
      </c>
      <c r="R730">
        <f>参数!$B$10</f>
        <v>4</v>
      </c>
      <c r="S730">
        <f>参数!$C$10</f>
        <v>1.2</v>
      </c>
      <c r="T730">
        <f>参数!$D$10</f>
        <v>1</v>
      </c>
      <c r="U730">
        <f t="shared" si="88"/>
        <v>3046828</v>
      </c>
      <c r="V730">
        <f t="shared" si="89"/>
        <v>72944.4</v>
      </c>
      <c r="W730">
        <f t="shared" si="90"/>
        <v>40076</v>
      </c>
      <c r="X730">
        <f>IFERROR(INDEX(参数!$B$5:$B$7,MATCH($N730,参数!$A$5:$A$7,0)),"")</f>
        <v>1.5</v>
      </c>
      <c r="Y730">
        <f>IFERROR(INDEX(参数!$C$5:$C$7,MATCH($N730,参数!$A$5:$A$7,0)),"")</f>
        <v>1</v>
      </c>
      <c r="Z730">
        <f>IFERROR(INDEX(参数!$D$5:$D$7,MATCH($N730,参数!$A$5:$A$7,0)),"")</f>
        <v>1.5</v>
      </c>
      <c r="AA730">
        <f>IFERROR(INDEX(楼层配置!$E$5:$E$204,MATCH($K730,楼层配置!$B$5:$B$204,0)),1)</f>
        <v>1.12582067235919</v>
      </c>
      <c r="AB730">
        <f>IFERROR(INDEX(楼层配置!$F$5:$F$204,MATCH($K730,楼层配置!$B$5:$B$204,0)),1)</f>
        <v>0.729834891319568</v>
      </c>
      <c r="AC730">
        <f>IFERROR(INDEX(楼层配置!$G$5:$G$204,MATCH($K730,楼层配置!$B$5:$B$204,0)),1)</f>
        <v>1</v>
      </c>
      <c r="AD730" t="str">
        <f t="shared" si="91"/>
        <v/>
      </c>
      <c r="AE730" t="str">
        <f t="shared" si="92"/>
        <v/>
      </c>
      <c r="AF730" t="str">
        <f t="shared" si="93"/>
        <v/>
      </c>
      <c r="AG730" t="str">
        <f t="shared" si="94"/>
        <v>有效</v>
      </c>
      <c r="AH730">
        <f t="shared" si="95"/>
        <v>18032895.54675</v>
      </c>
    </row>
    <row r="731" spans="1:34">
      <c r="A731">
        <v>727</v>
      </c>
      <c r="B731">
        <v>1005</v>
      </c>
      <c r="C731">
        <v>60</v>
      </c>
      <c r="D731">
        <f>IFERROR(ROUND($U731*$X731*$AA731*参数!$B$13,0),"")</f>
        <v>3430182</v>
      </c>
      <c r="E731">
        <f>IFERROR(ROUND($V731*$Y731*$AB731*参数!$C$13,0),"")</f>
        <v>63885</v>
      </c>
      <c r="F731">
        <f>IFERROR(ROUND($W731*$Z731*$AC731*参数!$D$13,0),"")</f>
        <v>40076</v>
      </c>
      <c r="J731">
        <v>146</v>
      </c>
      <c r="K731">
        <v>146</v>
      </c>
      <c r="L731">
        <f>IFERROR(INDEX(楼层配置!$D$5:$D$204,MATCH($K731,楼层配置!$B$5:$B$204,0)),"")</f>
        <v>352</v>
      </c>
      <c r="M731" t="str">
        <f>IFERROR(INDEX(_角色基线!$B$2:$B$100,MATCH($B731,_角色基线!$A$2:$A$100,0)),"")</f>
        <v>陈单单</v>
      </c>
      <c r="N731" t="str">
        <f>IFERROR(INDEX(_角色基线!$C$2:$C$100,MATCH($B731,_角色基线!$A$2:$A$100,0)),"")</f>
        <v>DPS</v>
      </c>
      <c r="O731">
        <f>IFERROR(INDEX(_怪物基线!$B$2:$B$501,MATCH(INT($L731),_怪物基线!$A$2:$A$501,0)),"")</f>
        <v>761707</v>
      </c>
      <c r="P731">
        <f>IFERROR(INDEX(_怪物基线!$C$2:$C$501,MATCH(INT($L731),_怪物基线!$A$2:$A$501,0)),"")</f>
        <v>60787</v>
      </c>
      <c r="Q731">
        <f>IFERROR(INDEX(_怪物基线!$D$2:$D$501,MATCH(INT($L731),_怪物基线!$A$2:$A$501,0)),"")</f>
        <v>40076</v>
      </c>
      <c r="R731">
        <f>参数!$B$10</f>
        <v>4</v>
      </c>
      <c r="S731">
        <f>参数!$C$10</f>
        <v>1.2</v>
      </c>
      <c r="T731">
        <f>参数!$D$10</f>
        <v>1</v>
      </c>
      <c r="U731">
        <f t="shared" si="88"/>
        <v>3046828</v>
      </c>
      <c r="V731">
        <f t="shared" si="89"/>
        <v>72944.4</v>
      </c>
      <c r="W731">
        <f t="shared" si="90"/>
        <v>40076</v>
      </c>
      <c r="X731">
        <f>IFERROR(INDEX(参数!$B$5:$B$7,MATCH($N731,参数!$A$5:$A$7,0)),"")</f>
        <v>1</v>
      </c>
      <c r="Y731">
        <f>IFERROR(INDEX(参数!$C$5:$C$7,MATCH($N731,参数!$A$5:$A$7,0)),"")</f>
        <v>1.2</v>
      </c>
      <c r="Z731">
        <f>IFERROR(INDEX(参数!$D$5:$D$7,MATCH($N731,参数!$A$5:$A$7,0)),"")</f>
        <v>1</v>
      </c>
      <c r="AA731">
        <f>IFERROR(INDEX(楼层配置!$E$5:$E$204,MATCH($K731,楼层配置!$B$5:$B$204,0)),1)</f>
        <v>1.12582067235919</v>
      </c>
      <c r="AB731">
        <f>IFERROR(INDEX(楼层配置!$F$5:$F$204,MATCH($K731,楼层配置!$B$5:$B$204,0)),1)</f>
        <v>0.729834891319568</v>
      </c>
      <c r="AC731">
        <f>IFERROR(INDEX(楼层配置!$G$5:$G$204,MATCH($K731,楼层配置!$B$5:$B$204,0)),1)</f>
        <v>1</v>
      </c>
      <c r="AD731" t="str">
        <f t="shared" si="91"/>
        <v/>
      </c>
      <c r="AE731" t="str">
        <f t="shared" si="92"/>
        <v/>
      </c>
      <c r="AF731" t="str">
        <f t="shared" si="93"/>
        <v/>
      </c>
      <c r="AG731" t="str">
        <f t="shared" si="94"/>
        <v>有效</v>
      </c>
      <c r="AH731">
        <f t="shared" si="95"/>
        <v>9158014.243</v>
      </c>
    </row>
    <row r="732" spans="1:34">
      <c r="A732">
        <v>728</v>
      </c>
      <c r="B732">
        <v>1005</v>
      </c>
      <c r="C732">
        <v>60</v>
      </c>
      <c r="D732">
        <f>IFERROR(ROUND($U732*$X732*$AA732*参数!$B$13,0),"")</f>
        <v>3430182</v>
      </c>
      <c r="E732">
        <f>IFERROR(ROUND($V732*$Y732*$AB732*参数!$C$13,0),"")</f>
        <v>63885</v>
      </c>
      <c r="F732">
        <f>IFERROR(ROUND($W732*$Z732*$AC732*参数!$D$13,0),"")</f>
        <v>40076</v>
      </c>
      <c r="J732">
        <v>146</v>
      </c>
      <c r="K732">
        <v>146</v>
      </c>
      <c r="L732">
        <f>IFERROR(INDEX(楼层配置!$D$5:$D$204,MATCH($K732,楼层配置!$B$5:$B$204,0)),"")</f>
        <v>352</v>
      </c>
      <c r="M732" t="str">
        <f>IFERROR(INDEX(_角色基线!$B$2:$B$100,MATCH($B732,_角色基线!$A$2:$A$100,0)),"")</f>
        <v>陈单单</v>
      </c>
      <c r="N732" t="str">
        <f>IFERROR(INDEX(_角色基线!$C$2:$C$100,MATCH($B732,_角色基线!$A$2:$A$100,0)),"")</f>
        <v>DPS</v>
      </c>
      <c r="O732">
        <f>IFERROR(INDEX(_怪物基线!$B$2:$B$501,MATCH(INT($L732),_怪物基线!$A$2:$A$501,0)),"")</f>
        <v>761707</v>
      </c>
      <c r="P732">
        <f>IFERROR(INDEX(_怪物基线!$C$2:$C$501,MATCH(INT($L732),_怪物基线!$A$2:$A$501,0)),"")</f>
        <v>60787</v>
      </c>
      <c r="Q732">
        <f>IFERROR(INDEX(_怪物基线!$D$2:$D$501,MATCH(INT($L732),_怪物基线!$A$2:$A$501,0)),"")</f>
        <v>40076</v>
      </c>
      <c r="R732">
        <f>参数!$B$10</f>
        <v>4</v>
      </c>
      <c r="S732">
        <f>参数!$C$10</f>
        <v>1.2</v>
      </c>
      <c r="T732">
        <f>参数!$D$10</f>
        <v>1</v>
      </c>
      <c r="U732">
        <f t="shared" si="88"/>
        <v>3046828</v>
      </c>
      <c r="V732">
        <f t="shared" si="89"/>
        <v>72944.4</v>
      </c>
      <c r="W732">
        <f t="shared" si="90"/>
        <v>40076</v>
      </c>
      <c r="X732">
        <f>IFERROR(INDEX(参数!$B$5:$B$7,MATCH($N732,参数!$A$5:$A$7,0)),"")</f>
        <v>1</v>
      </c>
      <c r="Y732">
        <f>IFERROR(INDEX(参数!$C$5:$C$7,MATCH($N732,参数!$A$5:$A$7,0)),"")</f>
        <v>1.2</v>
      </c>
      <c r="Z732">
        <f>IFERROR(INDEX(参数!$D$5:$D$7,MATCH($N732,参数!$A$5:$A$7,0)),"")</f>
        <v>1</v>
      </c>
      <c r="AA732">
        <f>IFERROR(INDEX(楼层配置!$E$5:$E$204,MATCH($K732,楼层配置!$B$5:$B$204,0)),1)</f>
        <v>1.12582067235919</v>
      </c>
      <c r="AB732">
        <f>IFERROR(INDEX(楼层配置!$F$5:$F$204,MATCH($K732,楼层配置!$B$5:$B$204,0)),1)</f>
        <v>0.729834891319568</v>
      </c>
      <c r="AC732">
        <f>IFERROR(INDEX(楼层配置!$G$5:$G$204,MATCH($K732,楼层配置!$B$5:$B$204,0)),1)</f>
        <v>1</v>
      </c>
      <c r="AD732" t="str">
        <f t="shared" si="91"/>
        <v/>
      </c>
      <c r="AE732" t="str">
        <f t="shared" si="92"/>
        <v/>
      </c>
      <c r="AF732" t="str">
        <f t="shared" si="93"/>
        <v/>
      </c>
      <c r="AG732" t="str">
        <f t="shared" si="94"/>
        <v>有效</v>
      </c>
      <c r="AH732">
        <f t="shared" si="95"/>
        <v>9158014.243</v>
      </c>
    </row>
    <row r="733" spans="1:34">
      <c r="A733">
        <v>729</v>
      </c>
      <c r="B733">
        <v>1005</v>
      </c>
      <c r="C733">
        <v>60</v>
      </c>
      <c r="D733">
        <f>IFERROR(ROUND($U733*$X733*$AA733*参数!$B$13,0),"")</f>
        <v>3430182</v>
      </c>
      <c r="E733">
        <f>IFERROR(ROUND($V733*$Y733*$AB733*参数!$C$13,0),"")</f>
        <v>63885</v>
      </c>
      <c r="F733">
        <f>IFERROR(ROUND($W733*$Z733*$AC733*参数!$D$13,0),"")</f>
        <v>40076</v>
      </c>
      <c r="J733">
        <v>146</v>
      </c>
      <c r="K733">
        <v>146</v>
      </c>
      <c r="L733">
        <f>IFERROR(INDEX(楼层配置!$D$5:$D$204,MATCH($K733,楼层配置!$B$5:$B$204,0)),"")</f>
        <v>352</v>
      </c>
      <c r="M733" t="str">
        <f>IFERROR(INDEX(_角色基线!$B$2:$B$100,MATCH($B733,_角色基线!$A$2:$A$100,0)),"")</f>
        <v>陈单单</v>
      </c>
      <c r="N733" t="str">
        <f>IFERROR(INDEX(_角色基线!$C$2:$C$100,MATCH($B733,_角色基线!$A$2:$A$100,0)),"")</f>
        <v>DPS</v>
      </c>
      <c r="O733">
        <f>IFERROR(INDEX(_怪物基线!$B$2:$B$501,MATCH(INT($L733),_怪物基线!$A$2:$A$501,0)),"")</f>
        <v>761707</v>
      </c>
      <c r="P733">
        <f>IFERROR(INDEX(_怪物基线!$C$2:$C$501,MATCH(INT($L733),_怪物基线!$A$2:$A$501,0)),"")</f>
        <v>60787</v>
      </c>
      <c r="Q733">
        <f>IFERROR(INDEX(_怪物基线!$D$2:$D$501,MATCH(INT($L733),_怪物基线!$A$2:$A$501,0)),"")</f>
        <v>40076</v>
      </c>
      <c r="R733">
        <f>参数!$B$10</f>
        <v>4</v>
      </c>
      <c r="S733">
        <f>参数!$C$10</f>
        <v>1.2</v>
      </c>
      <c r="T733">
        <f>参数!$D$10</f>
        <v>1</v>
      </c>
      <c r="U733">
        <f t="shared" si="88"/>
        <v>3046828</v>
      </c>
      <c r="V733">
        <f t="shared" si="89"/>
        <v>72944.4</v>
      </c>
      <c r="W733">
        <f t="shared" si="90"/>
        <v>40076</v>
      </c>
      <c r="X733">
        <f>IFERROR(INDEX(参数!$B$5:$B$7,MATCH($N733,参数!$A$5:$A$7,0)),"")</f>
        <v>1</v>
      </c>
      <c r="Y733">
        <f>IFERROR(INDEX(参数!$C$5:$C$7,MATCH($N733,参数!$A$5:$A$7,0)),"")</f>
        <v>1.2</v>
      </c>
      <c r="Z733">
        <f>IFERROR(INDEX(参数!$D$5:$D$7,MATCH($N733,参数!$A$5:$A$7,0)),"")</f>
        <v>1</v>
      </c>
      <c r="AA733">
        <f>IFERROR(INDEX(楼层配置!$E$5:$E$204,MATCH($K733,楼层配置!$B$5:$B$204,0)),1)</f>
        <v>1.12582067235919</v>
      </c>
      <c r="AB733">
        <f>IFERROR(INDEX(楼层配置!$F$5:$F$204,MATCH($K733,楼层配置!$B$5:$B$204,0)),1)</f>
        <v>0.729834891319568</v>
      </c>
      <c r="AC733">
        <f>IFERROR(INDEX(楼层配置!$G$5:$G$204,MATCH($K733,楼层配置!$B$5:$B$204,0)),1)</f>
        <v>1</v>
      </c>
      <c r="AD733" t="str">
        <f t="shared" si="91"/>
        <v/>
      </c>
      <c r="AE733" t="str">
        <f t="shared" si="92"/>
        <v/>
      </c>
      <c r="AF733" t="str">
        <f t="shared" si="93"/>
        <v/>
      </c>
      <c r="AG733" t="str">
        <f t="shared" si="94"/>
        <v>有效</v>
      </c>
      <c r="AH733">
        <f t="shared" si="95"/>
        <v>9158014.243</v>
      </c>
    </row>
    <row r="734" spans="1:34">
      <c r="A734">
        <v>730</v>
      </c>
      <c r="B734">
        <v>1029</v>
      </c>
      <c r="C734">
        <v>60</v>
      </c>
      <c r="D734">
        <f>IFERROR(ROUND($U734*$X734*$AA734*参数!$B$13,0),"")</f>
        <v>4287727</v>
      </c>
      <c r="E734">
        <f>IFERROR(ROUND($V734*$Y734*$AB734*参数!$C$13,0),"")</f>
        <v>53237</v>
      </c>
      <c r="F734">
        <f>IFERROR(ROUND($W734*$Z734*$AC734*参数!$D$13,0),"")</f>
        <v>50095</v>
      </c>
      <c r="J734">
        <v>146</v>
      </c>
      <c r="K734">
        <v>146</v>
      </c>
      <c r="L734">
        <f>IFERROR(INDEX(楼层配置!$D$5:$D$204,MATCH($K734,楼层配置!$B$5:$B$204,0)),"")</f>
        <v>352</v>
      </c>
      <c r="M734" t="str">
        <f>IFERROR(INDEX(_角色基线!$B$2:$B$100,MATCH($B734,_角色基线!$A$2:$A$100,0)),"")</f>
        <v>凯兰</v>
      </c>
      <c r="N734" t="str">
        <f>IFERROR(INDEX(_角色基线!$C$2:$C$100,MATCH($B734,_角色基线!$A$2:$A$100,0)),"")</f>
        <v>Support</v>
      </c>
      <c r="O734">
        <f>IFERROR(INDEX(_怪物基线!$B$2:$B$501,MATCH(INT($L734),_怪物基线!$A$2:$A$501,0)),"")</f>
        <v>761707</v>
      </c>
      <c r="P734">
        <f>IFERROR(INDEX(_怪物基线!$C$2:$C$501,MATCH(INT($L734),_怪物基线!$A$2:$A$501,0)),"")</f>
        <v>60787</v>
      </c>
      <c r="Q734">
        <f>IFERROR(INDEX(_怪物基线!$D$2:$D$501,MATCH(INT($L734),_怪物基线!$A$2:$A$501,0)),"")</f>
        <v>40076</v>
      </c>
      <c r="R734">
        <f>参数!$B$10</f>
        <v>4</v>
      </c>
      <c r="S734">
        <f>参数!$C$10</f>
        <v>1.2</v>
      </c>
      <c r="T734">
        <f>参数!$D$10</f>
        <v>1</v>
      </c>
      <c r="U734">
        <f t="shared" si="88"/>
        <v>3046828</v>
      </c>
      <c r="V734">
        <f t="shared" si="89"/>
        <v>72944.4</v>
      </c>
      <c r="W734">
        <f t="shared" si="90"/>
        <v>40076</v>
      </c>
      <c r="X734">
        <f>IFERROR(INDEX(参数!$B$5:$B$7,MATCH($N734,参数!$A$5:$A$7,0)),"")</f>
        <v>1.25</v>
      </c>
      <c r="Y734">
        <f>IFERROR(INDEX(参数!$C$5:$C$7,MATCH($N734,参数!$A$5:$A$7,0)),"")</f>
        <v>1</v>
      </c>
      <c r="Z734">
        <f>IFERROR(INDEX(参数!$D$5:$D$7,MATCH($N734,参数!$A$5:$A$7,0)),"")</f>
        <v>1.25</v>
      </c>
      <c r="AA734">
        <f>IFERROR(INDEX(楼层配置!$E$5:$E$204,MATCH($K734,楼层配置!$B$5:$B$204,0)),1)</f>
        <v>1.12582067235919</v>
      </c>
      <c r="AB734">
        <f>IFERROR(INDEX(楼层配置!$F$5:$F$204,MATCH($K734,楼层配置!$B$5:$B$204,0)),1)</f>
        <v>0.729834891319568</v>
      </c>
      <c r="AC734">
        <f>IFERROR(INDEX(楼层配置!$G$5:$G$204,MATCH($K734,楼层配置!$B$5:$B$204,0)),1)</f>
        <v>1</v>
      </c>
      <c r="AD734" t="str">
        <f t="shared" si="91"/>
        <v/>
      </c>
      <c r="AE734" t="str">
        <f t="shared" si="92"/>
        <v/>
      </c>
      <c r="AF734" t="str">
        <f t="shared" si="93"/>
        <v/>
      </c>
      <c r="AG734" t="str">
        <f t="shared" si="94"/>
        <v>有效</v>
      </c>
      <c r="AH734">
        <f t="shared" si="95"/>
        <v>13237463.8360417</v>
      </c>
    </row>
    <row r="735" spans="1:34">
      <c r="A735">
        <v>731</v>
      </c>
      <c r="B735">
        <v>1003</v>
      </c>
      <c r="C735">
        <v>60</v>
      </c>
      <c r="D735">
        <f>IFERROR(ROUND($U735*$X735*$AA735*参数!$B$13,0),"")</f>
        <v>5232378</v>
      </c>
      <c r="E735">
        <f>IFERROR(ROUND($V735*$Y735*$AB735*参数!$C$13,0),"")</f>
        <v>53939</v>
      </c>
      <c r="F735">
        <f>IFERROR(ROUND($W735*$Z735*$AC735*参数!$D$13,0),"")</f>
        <v>60576</v>
      </c>
      <c r="J735">
        <v>147</v>
      </c>
      <c r="K735">
        <v>147</v>
      </c>
      <c r="L735">
        <f>IFERROR(INDEX(楼层配置!$D$5:$D$204,MATCH($K735,楼层配置!$B$5:$B$204,0)),"")</f>
        <v>354</v>
      </c>
      <c r="M735" t="str">
        <f>IFERROR(INDEX(_角色基线!$B$2:$B$100,MATCH($B735,_角色基线!$A$2:$A$100,0)),"")</f>
        <v>塔拉夏</v>
      </c>
      <c r="N735" t="str">
        <f>IFERROR(INDEX(_角色基线!$C$2:$C$100,MATCH($B735,_角色基线!$A$2:$A$100,0)),"")</f>
        <v>Tank</v>
      </c>
      <c r="O735">
        <f>IFERROR(INDEX(_怪物基线!$B$2:$B$501,MATCH(INT($L735),_怪物基线!$A$2:$A$501,0)),"")</f>
        <v>774602</v>
      </c>
      <c r="P735">
        <f>IFERROR(INDEX(_怪物基线!$C$2:$C$501,MATCH(INT($L735),_怪物基线!$A$2:$A$501,0)),"")</f>
        <v>61588</v>
      </c>
      <c r="Q735">
        <f>IFERROR(INDEX(_怪物基线!$D$2:$D$501,MATCH(INT($L735),_怪物基线!$A$2:$A$501,0)),"")</f>
        <v>40384</v>
      </c>
      <c r="R735">
        <f>参数!$B$10</f>
        <v>4</v>
      </c>
      <c r="S735">
        <f>参数!$C$10</f>
        <v>1.2</v>
      </c>
      <c r="T735">
        <f>参数!$D$10</f>
        <v>1</v>
      </c>
      <c r="U735">
        <f t="shared" si="88"/>
        <v>3098408</v>
      </c>
      <c r="V735">
        <f t="shared" si="89"/>
        <v>73905.6</v>
      </c>
      <c r="W735">
        <f t="shared" si="90"/>
        <v>40384</v>
      </c>
      <c r="X735">
        <f>IFERROR(INDEX(参数!$B$5:$B$7,MATCH($N735,参数!$A$5:$A$7,0)),"")</f>
        <v>1.5</v>
      </c>
      <c r="Y735">
        <f>IFERROR(INDEX(参数!$C$5:$C$7,MATCH($N735,参数!$A$5:$A$7,0)),"")</f>
        <v>1</v>
      </c>
      <c r="Z735">
        <f>IFERROR(INDEX(参数!$D$5:$D$7,MATCH($N735,参数!$A$5:$A$7,0)),"")</f>
        <v>1.5</v>
      </c>
      <c r="AA735">
        <f>IFERROR(INDEX(楼层配置!$E$5:$E$204,MATCH($K735,楼层配置!$B$5:$B$204,0)),1)</f>
        <v>1.12582067235919</v>
      </c>
      <c r="AB735">
        <f>IFERROR(INDEX(楼层配置!$F$5:$F$204,MATCH($K735,楼层配置!$B$5:$B$204,0)),1)</f>
        <v>0.729834891319568</v>
      </c>
      <c r="AC735">
        <f>IFERROR(INDEX(楼层配置!$G$5:$G$204,MATCH($K735,楼层配置!$B$5:$B$204,0)),1)</f>
        <v>1</v>
      </c>
      <c r="AD735" t="str">
        <f t="shared" si="91"/>
        <v/>
      </c>
      <c r="AE735" t="str">
        <f t="shared" si="92"/>
        <v/>
      </c>
      <c r="AF735" t="str">
        <f t="shared" si="93"/>
        <v/>
      </c>
      <c r="AG735" t="str">
        <f t="shared" si="94"/>
        <v>有效</v>
      </c>
      <c r="AH735">
        <f t="shared" si="95"/>
        <v>18438900.072</v>
      </c>
    </row>
    <row r="736" spans="1:34">
      <c r="A736">
        <v>732</v>
      </c>
      <c r="B736">
        <v>1005</v>
      </c>
      <c r="C736">
        <v>60</v>
      </c>
      <c r="D736">
        <f>IFERROR(ROUND($U736*$X736*$AA736*参数!$B$13,0),"")</f>
        <v>3488252</v>
      </c>
      <c r="E736">
        <f>IFERROR(ROUND($V736*$Y736*$AB736*参数!$C$13,0),"")</f>
        <v>64727</v>
      </c>
      <c r="F736">
        <f>IFERROR(ROUND($W736*$Z736*$AC736*参数!$D$13,0),"")</f>
        <v>40384</v>
      </c>
      <c r="J736">
        <v>147</v>
      </c>
      <c r="K736">
        <v>147</v>
      </c>
      <c r="L736">
        <f>IFERROR(INDEX(楼层配置!$D$5:$D$204,MATCH($K736,楼层配置!$B$5:$B$204,0)),"")</f>
        <v>354</v>
      </c>
      <c r="M736" t="str">
        <f>IFERROR(INDEX(_角色基线!$B$2:$B$100,MATCH($B736,_角色基线!$A$2:$A$100,0)),"")</f>
        <v>陈单单</v>
      </c>
      <c r="N736" t="str">
        <f>IFERROR(INDEX(_角色基线!$C$2:$C$100,MATCH($B736,_角色基线!$A$2:$A$100,0)),"")</f>
        <v>DPS</v>
      </c>
      <c r="O736">
        <f>IFERROR(INDEX(_怪物基线!$B$2:$B$501,MATCH(INT($L736),_怪物基线!$A$2:$A$501,0)),"")</f>
        <v>774602</v>
      </c>
      <c r="P736">
        <f>IFERROR(INDEX(_怪物基线!$C$2:$C$501,MATCH(INT($L736),_怪物基线!$A$2:$A$501,0)),"")</f>
        <v>61588</v>
      </c>
      <c r="Q736">
        <f>IFERROR(INDEX(_怪物基线!$D$2:$D$501,MATCH(INT($L736),_怪物基线!$A$2:$A$501,0)),"")</f>
        <v>40384</v>
      </c>
      <c r="R736">
        <f>参数!$B$10</f>
        <v>4</v>
      </c>
      <c r="S736">
        <f>参数!$C$10</f>
        <v>1.2</v>
      </c>
      <c r="T736">
        <f>参数!$D$10</f>
        <v>1</v>
      </c>
      <c r="U736">
        <f t="shared" si="88"/>
        <v>3098408</v>
      </c>
      <c r="V736">
        <f t="shared" si="89"/>
        <v>73905.6</v>
      </c>
      <c r="W736">
        <f t="shared" si="90"/>
        <v>40384</v>
      </c>
      <c r="X736">
        <f>IFERROR(INDEX(参数!$B$5:$B$7,MATCH($N736,参数!$A$5:$A$7,0)),"")</f>
        <v>1</v>
      </c>
      <c r="Y736">
        <f>IFERROR(INDEX(参数!$C$5:$C$7,MATCH($N736,参数!$A$5:$A$7,0)),"")</f>
        <v>1.2</v>
      </c>
      <c r="Z736">
        <f>IFERROR(INDEX(参数!$D$5:$D$7,MATCH($N736,参数!$A$5:$A$7,0)),"")</f>
        <v>1</v>
      </c>
      <c r="AA736">
        <f>IFERROR(INDEX(楼层配置!$E$5:$E$204,MATCH($K736,楼层配置!$B$5:$B$204,0)),1)</f>
        <v>1.12582067235919</v>
      </c>
      <c r="AB736">
        <f>IFERROR(INDEX(楼层配置!$F$5:$F$204,MATCH($K736,楼层配置!$B$5:$B$204,0)),1)</f>
        <v>0.729834891319568</v>
      </c>
      <c r="AC736">
        <f>IFERROR(INDEX(楼层配置!$G$5:$G$204,MATCH($K736,楼层配置!$B$5:$B$204,0)),1)</f>
        <v>1</v>
      </c>
      <c r="AD736" t="str">
        <f t="shared" si="91"/>
        <v/>
      </c>
      <c r="AE736" t="str">
        <f t="shared" si="92"/>
        <v/>
      </c>
      <c r="AF736" t="str">
        <f t="shared" si="93"/>
        <v/>
      </c>
      <c r="AG736" t="str">
        <f t="shared" si="94"/>
        <v>有效</v>
      </c>
      <c r="AH736">
        <f t="shared" si="95"/>
        <v>9357817.36533333</v>
      </c>
    </row>
    <row r="737" spans="1:34">
      <c r="A737">
        <v>733</v>
      </c>
      <c r="B737">
        <v>1005</v>
      </c>
      <c r="C737">
        <v>60</v>
      </c>
      <c r="D737">
        <f>IFERROR(ROUND($U737*$X737*$AA737*参数!$B$13,0),"")</f>
        <v>3488252</v>
      </c>
      <c r="E737">
        <f>IFERROR(ROUND($V737*$Y737*$AB737*参数!$C$13,0),"")</f>
        <v>64727</v>
      </c>
      <c r="F737">
        <f>IFERROR(ROUND($W737*$Z737*$AC737*参数!$D$13,0),"")</f>
        <v>40384</v>
      </c>
      <c r="J737">
        <v>147</v>
      </c>
      <c r="K737">
        <v>147</v>
      </c>
      <c r="L737">
        <f>IFERROR(INDEX(楼层配置!$D$5:$D$204,MATCH($K737,楼层配置!$B$5:$B$204,0)),"")</f>
        <v>354</v>
      </c>
      <c r="M737" t="str">
        <f>IFERROR(INDEX(_角色基线!$B$2:$B$100,MATCH($B737,_角色基线!$A$2:$A$100,0)),"")</f>
        <v>陈单单</v>
      </c>
      <c r="N737" t="str">
        <f>IFERROR(INDEX(_角色基线!$C$2:$C$100,MATCH($B737,_角色基线!$A$2:$A$100,0)),"")</f>
        <v>DPS</v>
      </c>
      <c r="O737">
        <f>IFERROR(INDEX(_怪物基线!$B$2:$B$501,MATCH(INT($L737),_怪物基线!$A$2:$A$501,0)),"")</f>
        <v>774602</v>
      </c>
      <c r="P737">
        <f>IFERROR(INDEX(_怪物基线!$C$2:$C$501,MATCH(INT($L737),_怪物基线!$A$2:$A$501,0)),"")</f>
        <v>61588</v>
      </c>
      <c r="Q737">
        <f>IFERROR(INDEX(_怪物基线!$D$2:$D$501,MATCH(INT($L737),_怪物基线!$A$2:$A$501,0)),"")</f>
        <v>40384</v>
      </c>
      <c r="R737">
        <f>参数!$B$10</f>
        <v>4</v>
      </c>
      <c r="S737">
        <f>参数!$C$10</f>
        <v>1.2</v>
      </c>
      <c r="T737">
        <f>参数!$D$10</f>
        <v>1</v>
      </c>
      <c r="U737">
        <f t="shared" si="88"/>
        <v>3098408</v>
      </c>
      <c r="V737">
        <f t="shared" si="89"/>
        <v>73905.6</v>
      </c>
      <c r="W737">
        <f t="shared" si="90"/>
        <v>40384</v>
      </c>
      <c r="X737">
        <f>IFERROR(INDEX(参数!$B$5:$B$7,MATCH($N737,参数!$A$5:$A$7,0)),"")</f>
        <v>1</v>
      </c>
      <c r="Y737">
        <f>IFERROR(INDEX(参数!$C$5:$C$7,MATCH($N737,参数!$A$5:$A$7,0)),"")</f>
        <v>1.2</v>
      </c>
      <c r="Z737">
        <f>IFERROR(INDEX(参数!$D$5:$D$7,MATCH($N737,参数!$A$5:$A$7,0)),"")</f>
        <v>1</v>
      </c>
      <c r="AA737">
        <f>IFERROR(INDEX(楼层配置!$E$5:$E$204,MATCH($K737,楼层配置!$B$5:$B$204,0)),1)</f>
        <v>1.12582067235919</v>
      </c>
      <c r="AB737">
        <f>IFERROR(INDEX(楼层配置!$F$5:$F$204,MATCH($K737,楼层配置!$B$5:$B$204,0)),1)</f>
        <v>0.729834891319568</v>
      </c>
      <c r="AC737">
        <f>IFERROR(INDEX(楼层配置!$G$5:$G$204,MATCH($K737,楼层配置!$B$5:$B$204,0)),1)</f>
        <v>1</v>
      </c>
      <c r="AD737" t="str">
        <f t="shared" si="91"/>
        <v/>
      </c>
      <c r="AE737" t="str">
        <f t="shared" si="92"/>
        <v/>
      </c>
      <c r="AF737" t="str">
        <f t="shared" si="93"/>
        <v/>
      </c>
      <c r="AG737" t="str">
        <f t="shared" si="94"/>
        <v>有效</v>
      </c>
      <c r="AH737">
        <f t="shared" si="95"/>
        <v>9357817.36533333</v>
      </c>
    </row>
    <row r="738" spans="1:34">
      <c r="A738">
        <v>734</v>
      </c>
      <c r="B738">
        <v>1005</v>
      </c>
      <c r="C738">
        <v>60</v>
      </c>
      <c r="D738">
        <f>IFERROR(ROUND($U738*$X738*$AA738*参数!$B$13,0),"")</f>
        <v>3488252</v>
      </c>
      <c r="E738">
        <f>IFERROR(ROUND($V738*$Y738*$AB738*参数!$C$13,0),"")</f>
        <v>64727</v>
      </c>
      <c r="F738">
        <f>IFERROR(ROUND($W738*$Z738*$AC738*参数!$D$13,0),"")</f>
        <v>40384</v>
      </c>
      <c r="J738">
        <v>147</v>
      </c>
      <c r="K738">
        <v>147</v>
      </c>
      <c r="L738">
        <f>IFERROR(INDEX(楼层配置!$D$5:$D$204,MATCH($K738,楼层配置!$B$5:$B$204,0)),"")</f>
        <v>354</v>
      </c>
      <c r="M738" t="str">
        <f>IFERROR(INDEX(_角色基线!$B$2:$B$100,MATCH($B738,_角色基线!$A$2:$A$100,0)),"")</f>
        <v>陈单单</v>
      </c>
      <c r="N738" t="str">
        <f>IFERROR(INDEX(_角色基线!$C$2:$C$100,MATCH($B738,_角色基线!$A$2:$A$100,0)),"")</f>
        <v>DPS</v>
      </c>
      <c r="O738">
        <f>IFERROR(INDEX(_怪物基线!$B$2:$B$501,MATCH(INT($L738),_怪物基线!$A$2:$A$501,0)),"")</f>
        <v>774602</v>
      </c>
      <c r="P738">
        <f>IFERROR(INDEX(_怪物基线!$C$2:$C$501,MATCH(INT($L738),_怪物基线!$A$2:$A$501,0)),"")</f>
        <v>61588</v>
      </c>
      <c r="Q738">
        <f>IFERROR(INDEX(_怪物基线!$D$2:$D$501,MATCH(INT($L738),_怪物基线!$A$2:$A$501,0)),"")</f>
        <v>40384</v>
      </c>
      <c r="R738">
        <f>参数!$B$10</f>
        <v>4</v>
      </c>
      <c r="S738">
        <f>参数!$C$10</f>
        <v>1.2</v>
      </c>
      <c r="T738">
        <f>参数!$D$10</f>
        <v>1</v>
      </c>
      <c r="U738">
        <f t="shared" si="88"/>
        <v>3098408</v>
      </c>
      <c r="V738">
        <f t="shared" si="89"/>
        <v>73905.6</v>
      </c>
      <c r="W738">
        <f t="shared" si="90"/>
        <v>40384</v>
      </c>
      <c r="X738">
        <f>IFERROR(INDEX(参数!$B$5:$B$7,MATCH($N738,参数!$A$5:$A$7,0)),"")</f>
        <v>1</v>
      </c>
      <c r="Y738">
        <f>IFERROR(INDEX(参数!$C$5:$C$7,MATCH($N738,参数!$A$5:$A$7,0)),"")</f>
        <v>1.2</v>
      </c>
      <c r="Z738">
        <f>IFERROR(INDEX(参数!$D$5:$D$7,MATCH($N738,参数!$A$5:$A$7,0)),"")</f>
        <v>1</v>
      </c>
      <c r="AA738">
        <f>IFERROR(INDEX(楼层配置!$E$5:$E$204,MATCH($K738,楼层配置!$B$5:$B$204,0)),1)</f>
        <v>1.12582067235919</v>
      </c>
      <c r="AB738">
        <f>IFERROR(INDEX(楼层配置!$F$5:$F$204,MATCH($K738,楼层配置!$B$5:$B$204,0)),1)</f>
        <v>0.729834891319568</v>
      </c>
      <c r="AC738">
        <f>IFERROR(INDEX(楼层配置!$G$5:$G$204,MATCH($K738,楼层配置!$B$5:$B$204,0)),1)</f>
        <v>1</v>
      </c>
      <c r="AD738" t="str">
        <f t="shared" si="91"/>
        <v/>
      </c>
      <c r="AE738" t="str">
        <f t="shared" si="92"/>
        <v/>
      </c>
      <c r="AF738" t="str">
        <f t="shared" si="93"/>
        <v/>
      </c>
      <c r="AG738" t="str">
        <f t="shared" si="94"/>
        <v>有效</v>
      </c>
      <c r="AH738">
        <f t="shared" si="95"/>
        <v>9357817.36533333</v>
      </c>
    </row>
    <row r="739" spans="1:34">
      <c r="A739">
        <v>735</v>
      </c>
      <c r="B739">
        <v>1029</v>
      </c>
      <c r="C739">
        <v>60</v>
      </c>
      <c r="D739">
        <f>IFERROR(ROUND($U739*$X739*$AA739*参数!$B$13,0),"")</f>
        <v>4360315</v>
      </c>
      <c r="E739">
        <f>IFERROR(ROUND($V739*$Y739*$AB739*参数!$C$13,0),"")</f>
        <v>53939</v>
      </c>
      <c r="F739">
        <f>IFERROR(ROUND($W739*$Z739*$AC739*参数!$D$13,0),"")</f>
        <v>50480</v>
      </c>
      <c r="J739">
        <v>147</v>
      </c>
      <c r="K739">
        <v>147</v>
      </c>
      <c r="L739">
        <f>IFERROR(INDEX(楼层配置!$D$5:$D$204,MATCH($K739,楼层配置!$B$5:$B$204,0)),"")</f>
        <v>354</v>
      </c>
      <c r="M739" t="str">
        <f>IFERROR(INDEX(_角色基线!$B$2:$B$100,MATCH($B739,_角色基线!$A$2:$A$100,0)),"")</f>
        <v>凯兰</v>
      </c>
      <c r="N739" t="str">
        <f>IFERROR(INDEX(_角色基线!$C$2:$C$100,MATCH($B739,_角色基线!$A$2:$A$100,0)),"")</f>
        <v>Support</v>
      </c>
      <c r="O739">
        <f>IFERROR(INDEX(_怪物基线!$B$2:$B$501,MATCH(INT($L739),_怪物基线!$A$2:$A$501,0)),"")</f>
        <v>774602</v>
      </c>
      <c r="P739">
        <f>IFERROR(INDEX(_怪物基线!$C$2:$C$501,MATCH(INT($L739),_怪物基线!$A$2:$A$501,0)),"")</f>
        <v>61588</v>
      </c>
      <c r="Q739">
        <f>IFERROR(INDEX(_怪物基线!$D$2:$D$501,MATCH(INT($L739),_怪物基线!$A$2:$A$501,0)),"")</f>
        <v>40384</v>
      </c>
      <c r="R739">
        <f>参数!$B$10</f>
        <v>4</v>
      </c>
      <c r="S739">
        <f>参数!$C$10</f>
        <v>1.2</v>
      </c>
      <c r="T739">
        <f>参数!$D$10</f>
        <v>1</v>
      </c>
      <c r="U739">
        <f t="shared" si="88"/>
        <v>3098408</v>
      </c>
      <c r="V739">
        <f t="shared" si="89"/>
        <v>73905.6</v>
      </c>
      <c r="W739">
        <f t="shared" si="90"/>
        <v>40384</v>
      </c>
      <c r="X739">
        <f>IFERROR(INDEX(参数!$B$5:$B$7,MATCH($N739,参数!$A$5:$A$7,0)),"")</f>
        <v>1.25</v>
      </c>
      <c r="Y739">
        <f>IFERROR(INDEX(参数!$C$5:$C$7,MATCH($N739,参数!$A$5:$A$7,0)),"")</f>
        <v>1</v>
      </c>
      <c r="Z739">
        <f>IFERROR(INDEX(参数!$D$5:$D$7,MATCH($N739,参数!$A$5:$A$7,0)),"")</f>
        <v>1.25</v>
      </c>
      <c r="AA739">
        <f>IFERROR(INDEX(楼层配置!$E$5:$E$204,MATCH($K739,楼层配置!$B$5:$B$204,0)),1)</f>
        <v>1.12582067235919</v>
      </c>
      <c r="AB739">
        <f>IFERROR(INDEX(楼层配置!$F$5:$F$204,MATCH($K739,楼层配置!$B$5:$B$204,0)),1)</f>
        <v>0.729834891319568</v>
      </c>
      <c r="AC739">
        <f>IFERROR(INDEX(楼层配置!$G$5:$G$204,MATCH($K739,楼层配置!$B$5:$B$204,0)),1)</f>
        <v>1</v>
      </c>
      <c r="AD739" t="str">
        <f t="shared" si="91"/>
        <v/>
      </c>
      <c r="AE739" t="str">
        <f t="shared" si="92"/>
        <v/>
      </c>
      <c r="AF739" t="str">
        <f t="shared" si="93"/>
        <v/>
      </c>
      <c r="AG739" t="str">
        <f t="shared" si="94"/>
        <v>有效</v>
      </c>
      <c r="AH739">
        <f t="shared" si="95"/>
        <v>13531510.8833333</v>
      </c>
    </row>
    <row r="740" spans="1:34">
      <c r="A740">
        <v>736</v>
      </c>
      <c r="B740">
        <v>1003</v>
      </c>
      <c r="C740">
        <v>60</v>
      </c>
      <c r="D740">
        <f>IFERROR(ROUND($U740*$X740*$AA740*参数!$B$13,0),"")</f>
        <v>5320631</v>
      </c>
      <c r="E740">
        <f>IFERROR(ROUND($V740*$Y740*$AB740*参数!$C$13,0),"")</f>
        <v>54647</v>
      </c>
      <c r="F740">
        <f>IFERROR(ROUND($W740*$Z740*$AC740*参数!$D$13,0),"")</f>
        <v>61040</v>
      </c>
      <c r="J740">
        <v>148</v>
      </c>
      <c r="K740">
        <v>148</v>
      </c>
      <c r="L740">
        <f>IFERROR(INDEX(楼层配置!$D$5:$D$204,MATCH($K740,楼层配置!$B$5:$B$204,0)),"")</f>
        <v>356</v>
      </c>
      <c r="M740" t="str">
        <f>IFERROR(INDEX(_角色基线!$B$2:$B$100,MATCH($B740,_角色基线!$A$2:$A$100,0)),"")</f>
        <v>塔拉夏</v>
      </c>
      <c r="N740" t="str">
        <f>IFERROR(INDEX(_角色基线!$C$2:$C$100,MATCH($B740,_角色基线!$A$2:$A$100,0)),"")</f>
        <v>Tank</v>
      </c>
      <c r="O740">
        <f>IFERROR(INDEX(_怪物基线!$B$2:$B$501,MATCH(INT($L740),_怪物基线!$A$2:$A$501,0)),"")</f>
        <v>787667</v>
      </c>
      <c r="P740">
        <f>IFERROR(INDEX(_怪物基线!$C$2:$C$501,MATCH(INT($L740),_怪物基线!$A$2:$A$501,0)),"")</f>
        <v>62397</v>
      </c>
      <c r="Q740">
        <f>IFERROR(INDEX(_怪物基线!$D$2:$D$501,MATCH(INT($L740),_怪物基线!$A$2:$A$501,0)),"")</f>
        <v>40693</v>
      </c>
      <c r="R740">
        <f>参数!$B$10</f>
        <v>4</v>
      </c>
      <c r="S740">
        <f>参数!$C$10</f>
        <v>1.2</v>
      </c>
      <c r="T740">
        <f>参数!$D$10</f>
        <v>1</v>
      </c>
      <c r="U740">
        <f t="shared" si="88"/>
        <v>3150668</v>
      </c>
      <c r="V740">
        <f t="shared" si="89"/>
        <v>74876.4</v>
      </c>
      <c r="W740">
        <f t="shared" si="90"/>
        <v>40693</v>
      </c>
      <c r="X740">
        <f>IFERROR(INDEX(参数!$B$5:$B$7,MATCH($N740,参数!$A$5:$A$7,0)),"")</f>
        <v>1.5</v>
      </c>
      <c r="Y740">
        <f>IFERROR(INDEX(参数!$C$5:$C$7,MATCH($N740,参数!$A$5:$A$7,0)),"")</f>
        <v>1</v>
      </c>
      <c r="Z740">
        <f>IFERROR(INDEX(参数!$D$5:$D$7,MATCH($N740,参数!$A$5:$A$7,0)),"")</f>
        <v>1.5</v>
      </c>
      <c r="AA740">
        <f>IFERROR(INDEX(楼层配置!$E$5:$E$204,MATCH($K740,楼层配置!$B$5:$B$204,0)),1)</f>
        <v>1.12582067235919</v>
      </c>
      <c r="AB740">
        <f>IFERROR(INDEX(楼层配置!$F$5:$F$204,MATCH($K740,楼层配置!$B$5:$B$204,0)),1)</f>
        <v>0.729834891319568</v>
      </c>
      <c r="AC740">
        <f>IFERROR(INDEX(楼层配置!$G$5:$G$204,MATCH($K740,楼层配置!$B$5:$B$204,0)),1)</f>
        <v>1</v>
      </c>
      <c r="AD740" t="str">
        <f t="shared" si="91"/>
        <v/>
      </c>
      <c r="AE740" t="str">
        <f t="shared" si="92"/>
        <v/>
      </c>
      <c r="AF740" t="str">
        <f t="shared" si="93"/>
        <v/>
      </c>
      <c r="AG740" t="str">
        <f t="shared" si="94"/>
        <v>有效</v>
      </c>
      <c r="AH740">
        <f t="shared" si="95"/>
        <v>18852769.1766667</v>
      </c>
    </row>
    <row r="741" spans="1:34">
      <c r="A741">
        <v>737</v>
      </c>
      <c r="B741">
        <v>1005</v>
      </c>
      <c r="C741">
        <v>60</v>
      </c>
      <c r="D741">
        <f>IFERROR(ROUND($U741*$X741*$AA741*参数!$B$13,0),"")</f>
        <v>3547087</v>
      </c>
      <c r="E741">
        <f>IFERROR(ROUND($V741*$Y741*$AB741*参数!$C$13,0),"")</f>
        <v>65577</v>
      </c>
      <c r="F741">
        <f>IFERROR(ROUND($W741*$Z741*$AC741*参数!$D$13,0),"")</f>
        <v>40693</v>
      </c>
      <c r="J741">
        <v>148</v>
      </c>
      <c r="K741">
        <v>148</v>
      </c>
      <c r="L741">
        <f>IFERROR(INDEX(楼层配置!$D$5:$D$204,MATCH($K741,楼层配置!$B$5:$B$204,0)),"")</f>
        <v>356</v>
      </c>
      <c r="M741" t="str">
        <f>IFERROR(INDEX(_角色基线!$B$2:$B$100,MATCH($B741,_角色基线!$A$2:$A$100,0)),"")</f>
        <v>陈单单</v>
      </c>
      <c r="N741" t="str">
        <f>IFERROR(INDEX(_角色基线!$C$2:$C$100,MATCH($B741,_角色基线!$A$2:$A$100,0)),"")</f>
        <v>DPS</v>
      </c>
      <c r="O741">
        <f>IFERROR(INDEX(_怪物基线!$B$2:$B$501,MATCH(INT($L741),_怪物基线!$A$2:$A$501,0)),"")</f>
        <v>787667</v>
      </c>
      <c r="P741">
        <f>IFERROR(INDEX(_怪物基线!$C$2:$C$501,MATCH(INT($L741),_怪物基线!$A$2:$A$501,0)),"")</f>
        <v>62397</v>
      </c>
      <c r="Q741">
        <f>IFERROR(INDEX(_怪物基线!$D$2:$D$501,MATCH(INT($L741),_怪物基线!$A$2:$A$501,0)),"")</f>
        <v>40693</v>
      </c>
      <c r="R741">
        <f>参数!$B$10</f>
        <v>4</v>
      </c>
      <c r="S741">
        <f>参数!$C$10</f>
        <v>1.2</v>
      </c>
      <c r="T741">
        <f>参数!$D$10</f>
        <v>1</v>
      </c>
      <c r="U741">
        <f t="shared" si="88"/>
        <v>3150668</v>
      </c>
      <c r="V741">
        <f t="shared" si="89"/>
        <v>74876.4</v>
      </c>
      <c r="W741">
        <f t="shared" si="90"/>
        <v>40693</v>
      </c>
      <c r="X741">
        <f>IFERROR(INDEX(参数!$B$5:$B$7,MATCH($N741,参数!$A$5:$A$7,0)),"")</f>
        <v>1</v>
      </c>
      <c r="Y741">
        <f>IFERROR(INDEX(参数!$C$5:$C$7,MATCH($N741,参数!$A$5:$A$7,0)),"")</f>
        <v>1.2</v>
      </c>
      <c r="Z741">
        <f>IFERROR(INDEX(参数!$D$5:$D$7,MATCH($N741,参数!$A$5:$A$7,0)),"")</f>
        <v>1</v>
      </c>
      <c r="AA741">
        <f>IFERROR(INDEX(楼层配置!$E$5:$E$204,MATCH($K741,楼层配置!$B$5:$B$204,0)),1)</f>
        <v>1.12582067235919</v>
      </c>
      <c r="AB741">
        <f>IFERROR(INDEX(楼层配置!$F$5:$F$204,MATCH($K741,楼层配置!$B$5:$B$204,0)),1)</f>
        <v>0.729834891319568</v>
      </c>
      <c r="AC741">
        <f>IFERROR(INDEX(楼层配置!$G$5:$G$204,MATCH($K741,楼层配置!$B$5:$B$204,0)),1)</f>
        <v>1</v>
      </c>
      <c r="AD741" t="str">
        <f t="shared" si="91"/>
        <v/>
      </c>
      <c r="AE741" t="str">
        <f t="shared" si="92"/>
        <v/>
      </c>
      <c r="AF741" t="str">
        <f t="shared" si="93"/>
        <v/>
      </c>
      <c r="AG741" t="str">
        <f t="shared" si="94"/>
        <v>有效</v>
      </c>
      <c r="AH741">
        <f t="shared" si="95"/>
        <v>9561320.80379167</v>
      </c>
    </row>
    <row r="742" spans="1:34">
      <c r="A742">
        <v>738</v>
      </c>
      <c r="B742">
        <v>1005</v>
      </c>
      <c r="C742">
        <v>60</v>
      </c>
      <c r="D742">
        <f>IFERROR(ROUND($U742*$X742*$AA742*参数!$B$13,0),"")</f>
        <v>3547087</v>
      </c>
      <c r="E742">
        <f>IFERROR(ROUND($V742*$Y742*$AB742*参数!$C$13,0),"")</f>
        <v>65577</v>
      </c>
      <c r="F742">
        <f>IFERROR(ROUND($W742*$Z742*$AC742*参数!$D$13,0),"")</f>
        <v>40693</v>
      </c>
      <c r="J742">
        <v>148</v>
      </c>
      <c r="K742">
        <v>148</v>
      </c>
      <c r="L742">
        <f>IFERROR(INDEX(楼层配置!$D$5:$D$204,MATCH($K742,楼层配置!$B$5:$B$204,0)),"")</f>
        <v>356</v>
      </c>
      <c r="M742" t="str">
        <f>IFERROR(INDEX(_角色基线!$B$2:$B$100,MATCH($B742,_角色基线!$A$2:$A$100,0)),"")</f>
        <v>陈单单</v>
      </c>
      <c r="N742" t="str">
        <f>IFERROR(INDEX(_角色基线!$C$2:$C$100,MATCH($B742,_角色基线!$A$2:$A$100,0)),"")</f>
        <v>DPS</v>
      </c>
      <c r="O742">
        <f>IFERROR(INDEX(_怪物基线!$B$2:$B$501,MATCH(INT($L742),_怪物基线!$A$2:$A$501,0)),"")</f>
        <v>787667</v>
      </c>
      <c r="P742">
        <f>IFERROR(INDEX(_怪物基线!$C$2:$C$501,MATCH(INT($L742),_怪物基线!$A$2:$A$501,0)),"")</f>
        <v>62397</v>
      </c>
      <c r="Q742">
        <f>IFERROR(INDEX(_怪物基线!$D$2:$D$501,MATCH(INT($L742),_怪物基线!$A$2:$A$501,0)),"")</f>
        <v>40693</v>
      </c>
      <c r="R742">
        <f>参数!$B$10</f>
        <v>4</v>
      </c>
      <c r="S742">
        <f>参数!$C$10</f>
        <v>1.2</v>
      </c>
      <c r="T742">
        <f>参数!$D$10</f>
        <v>1</v>
      </c>
      <c r="U742">
        <f t="shared" si="88"/>
        <v>3150668</v>
      </c>
      <c r="V742">
        <f t="shared" si="89"/>
        <v>74876.4</v>
      </c>
      <c r="W742">
        <f t="shared" si="90"/>
        <v>40693</v>
      </c>
      <c r="X742">
        <f>IFERROR(INDEX(参数!$B$5:$B$7,MATCH($N742,参数!$A$5:$A$7,0)),"")</f>
        <v>1</v>
      </c>
      <c r="Y742">
        <f>IFERROR(INDEX(参数!$C$5:$C$7,MATCH($N742,参数!$A$5:$A$7,0)),"")</f>
        <v>1.2</v>
      </c>
      <c r="Z742">
        <f>IFERROR(INDEX(参数!$D$5:$D$7,MATCH($N742,参数!$A$5:$A$7,0)),"")</f>
        <v>1</v>
      </c>
      <c r="AA742">
        <f>IFERROR(INDEX(楼层配置!$E$5:$E$204,MATCH($K742,楼层配置!$B$5:$B$204,0)),1)</f>
        <v>1.12582067235919</v>
      </c>
      <c r="AB742">
        <f>IFERROR(INDEX(楼层配置!$F$5:$F$204,MATCH($K742,楼层配置!$B$5:$B$204,0)),1)</f>
        <v>0.729834891319568</v>
      </c>
      <c r="AC742">
        <f>IFERROR(INDEX(楼层配置!$G$5:$G$204,MATCH($K742,楼层配置!$B$5:$B$204,0)),1)</f>
        <v>1</v>
      </c>
      <c r="AD742" t="str">
        <f t="shared" si="91"/>
        <v/>
      </c>
      <c r="AE742" t="str">
        <f t="shared" si="92"/>
        <v/>
      </c>
      <c r="AF742" t="str">
        <f t="shared" si="93"/>
        <v/>
      </c>
      <c r="AG742" t="str">
        <f t="shared" si="94"/>
        <v>有效</v>
      </c>
      <c r="AH742">
        <f t="shared" si="95"/>
        <v>9561320.80379167</v>
      </c>
    </row>
    <row r="743" spans="1:34">
      <c r="A743">
        <v>739</v>
      </c>
      <c r="B743">
        <v>1005</v>
      </c>
      <c r="C743">
        <v>60</v>
      </c>
      <c r="D743">
        <f>IFERROR(ROUND($U743*$X743*$AA743*参数!$B$13,0),"")</f>
        <v>3547087</v>
      </c>
      <c r="E743">
        <f>IFERROR(ROUND($V743*$Y743*$AB743*参数!$C$13,0),"")</f>
        <v>65577</v>
      </c>
      <c r="F743">
        <f>IFERROR(ROUND($W743*$Z743*$AC743*参数!$D$13,0),"")</f>
        <v>40693</v>
      </c>
      <c r="J743">
        <v>148</v>
      </c>
      <c r="K743">
        <v>148</v>
      </c>
      <c r="L743">
        <f>IFERROR(INDEX(楼层配置!$D$5:$D$204,MATCH($K743,楼层配置!$B$5:$B$204,0)),"")</f>
        <v>356</v>
      </c>
      <c r="M743" t="str">
        <f>IFERROR(INDEX(_角色基线!$B$2:$B$100,MATCH($B743,_角色基线!$A$2:$A$100,0)),"")</f>
        <v>陈单单</v>
      </c>
      <c r="N743" t="str">
        <f>IFERROR(INDEX(_角色基线!$C$2:$C$100,MATCH($B743,_角色基线!$A$2:$A$100,0)),"")</f>
        <v>DPS</v>
      </c>
      <c r="O743">
        <f>IFERROR(INDEX(_怪物基线!$B$2:$B$501,MATCH(INT($L743),_怪物基线!$A$2:$A$501,0)),"")</f>
        <v>787667</v>
      </c>
      <c r="P743">
        <f>IFERROR(INDEX(_怪物基线!$C$2:$C$501,MATCH(INT($L743),_怪物基线!$A$2:$A$501,0)),"")</f>
        <v>62397</v>
      </c>
      <c r="Q743">
        <f>IFERROR(INDEX(_怪物基线!$D$2:$D$501,MATCH(INT($L743),_怪物基线!$A$2:$A$501,0)),"")</f>
        <v>40693</v>
      </c>
      <c r="R743">
        <f>参数!$B$10</f>
        <v>4</v>
      </c>
      <c r="S743">
        <f>参数!$C$10</f>
        <v>1.2</v>
      </c>
      <c r="T743">
        <f>参数!$D$10</f>
        <v>1</v>
      </c>
      <c r="U743">
        <f t="shared" si="88"/>
        <v>3150668</v>
      </c>
      <c r="V743">
        <f t="shared" si="89"/>
        <v>74876.4</v>
      </c>
      <c r="W743">
        <f t="shared" si="90"/>
        <v>40693</v>
      </c>
      <c r="X743">
        <f>IFERROR(INDEX(参数!$B$5:$B$7,MATCH($N743,参数!$A$5:$A$7,0)),"")</f>
        <v>1</v>
      </c>
      <c r="Y743">
        <f>IFERROR(INDEX(参数!$C$5:$C$7,MATCH($N743,参数!$A$5:$A$7,0)),"")</f>
        <v>1.2</v>
      </c>
      <c r="Z743">
        <f>IFERROR(INDEX(参数!$D$5:$D$7,MATCH($N743,参数!$A$5:$A$7,0)),"")</f>
        <v>1</v>
      </c>
      <c r="AA743">
        <f>IFERROR(INDEX(楼层配置!$E$5:$E$204,MATCH($K743,楼层配置!$B$5:$B$204,0)),1)</f>
        <v>1.12582067235919</v>
      </c>
      <c r="AB743">
        <f>IFERROR(INDEX(楼层配置!$F$5:$F$204,MATCH($K743,楼层配置!$B$5:$B$204,0)),1)</f>
        <v>0.729834891319568</v>
      </c>
      <c r="AC743">
        <f>IFERROR(INDEX(楼层配置!$G$5:$G$204,MATCH($K743,楼层配置!$B$5:$B$204,0)),1)</f>
        <v>1</v>
      </c>
      <c r="AD743" t="str">
        <f t="shared" si="91"/>
        <v/>
      </c>
      <c r="AE743" t="str">
        <f t="shared" si="92"/>
        <v/>
      </c>
      <c r="AF743" t="str">
        <f t="shared" si="93"/>
        <v/>
      </c>
      <c r="AG743" t="str">
        <f t="shared" si="94"/>
        <v>有效</v>
      </c>
      <c r="AH743">
        <f t="shared" si="95"/>
        <v>9561320.80379167</v>
      </c>
    </row>
    <row r="744" spans="1:34">
      <c r="A744">
        <v>740</v>
      </c>
      <c r="B744">
        <v>1029</v>
      </c>
      <c r="C744">
        <v>60</v>
      </c>
      <c r="D744">
        <f>IFERROR(ROUND($U744*$X744*$AA744*参数!$B$13,0),"")</f>
        <v>4433859</v>
      </c>
      <c r="E744">
        <f>IFERROR(ROUND($V744*$Y744*$AB744*参数!$C$13,0),"")</f>
        <v>54647</v>
      </c>
      <c r="F744">
        <f>IFERROR(ROUND($W744*$Z744*$AC744*参数!$D$13,0),"")</f>
        <v>50866</v>
      </c>
      <c r="J744">
        <v>148</v>
      </c>
      <c r="K744">
        <v>148</v>
      </c>
      <c r="L744">
        <f>IFERROR(INDEX(楼层配置!$D$5:$D$204,MATCH($K744,楼层配置!$B$5:$B$204,0)),"")</f>
        <v>356</v>
      </c>
      <c r="M744" t="str">
        <f>IFERROR(INDEX(_角色基线!$B$2:$B$100,MATCH($B744,_角色基线!$A$2:$A$100,0)),"")</f>
        <v>凯兰</v>
      </c>
      <c r="N744" t="str">
        <f>IFERROR(INDEX(_角色基线!$C$2:$C$100,MATCH($B744,_角色基线!$A$2:$A$100,0)),"")</f>
        <v>Support</v>
      </c>
      <c r="O744">
        <f>IFERROR(INDEX(_怪物基线!$B$2:$B$501,MATCH(INT($L744),_怪物基线!$A$2:$A$501,0)),"")</f>
        <v>787667</v>
      </c>
      <c r="P744">
        <f>IFERROR(INDEX(_怪物基线!$C$2:$C$501,MATCH(INT($L744),_怪物基线!$A$2:$A$501,0)),"")</f>
        <v>62397</v>
      </c>
      <c r="Q744">
        <f>IFERROR(INDEX(_怪物基线!$D$2:$D$501,MATCH(INT($L744),_怪物基线!$A$2:$A$501,0)),"")</f>
        <v>40693</v>
      </c>
      <c r="R744">
        <f>参数!$B$10</f>
        <v>4</v>
      </c>
      <c r="S744">
        <f>参数!$C$10</f>
        <v>1.2</v>
      </c>
      <c r="T744">
        <f>参数!$D$10</f>
        <v>1</v>
      </c>
      <c r="U744">
        <f t="shared" si="88"/>
        <v>3150668</v>
      </c>
      <c r="V744">
        <f t="shared" si="89"/>
        <v>74876.4</v>
      </c>
      <c r="W744">
        <f t="shared" si="90"/>
        <v>40693</v>
      </c>
      <c r="X744">
        <f>IFERROR(INDEX(参数!$B$5:$B$7,MATCH($N744,参数!$A$5:$A$7,0)),"")</f>
        <v>1.25</v>
      </c>
      <c r="Y744">
        <f>IFERROR(INDEX(参数!$C$5:$C$7,MATCH($N744,参数!$A$5:$A$7,0)),"")</f>
        <v>1</v>
      </c>
      <c r="Z744">
        <f>IFERROR(INDEX(参数!$D$5:$D$7,MATCH($N744,参数!$A$5:$A$7,0)),"")</f>
        <v>1.25</v>
      </c>
      <c r="AA744">
        <f>IFERROR(INDEX(楼层配置!$E$5:$E$204,MATCH($K744,楼层配置!$B$5:$B$204,0)),1)</f>
        <v>1.12582067235919</v>
      </c>
      <c r="AB744">
        <f>IFERROR(INDEX(楼层配置!$F$5:$F$204,MATCH($K744,楼层配置!$B$5:$B$204,0)),1)</f>
        <v>0.729834891319568</v>
      </c>
      <c r="AC744">
        <f>IFERROR(INDEX(楼层配置!$G$5:$G$204,MATCH($K744,楼层配置!$B$5:$B$204,0)),1)</f>
        <v>1</v>
      </c>
      <c r="AD744" t="str">
        <f t="shared" si="91"/>
        <v/>
      </c>
      <c r="AE744" t="str">
        <f t="shared" si="92"/>
        <v/>
      </c>
      <c r="AF744" t="str">
        <f t="shared" si="93"/>
        <v/>
      </c>
      <c r="AG744" t="str">
        <f t="shared" si="94"/>
        <v>有效</v>
      </c>
      <c r="AH744">
        <f t="shared" si="95"/>
        <v>13831053.66225</v>
      </c>
    </row>
    <row r="745" spans="1:34">
      <c r="A745">
        <v>741</v>
      </c>
      <c r="B745">
        <v>1003</v>
      </c>
      <c r="C745">
        <v>60</v>
      </c>
      <c r="D745">
        <f>IFERROR(ROUND($U745*$X745*$AA745*参数!$B$13,0),"")</f>
        <v>5410039</v>
      </c>
      <c r="E745">
        <f>IFERROR(ROUND($V745*$Y745*$AB745*参数!$C$13,0),"")</f>
        <v>55364</v>
      </c>
      <c r="F745">
        <f>IFERROR(ROUND($W745*$Z745*$AC745*参数!$D$13,0),"")</f>
        <v>61505</v>
      </c>
      <c r="J745">
        <v>149</v>
      </c>
      <c r="K745">
        <v>149</v>
      </c>
      <c r="L745">
        <f>IFERROR(INDEX(楼层配置!$D$5:$D$204,MATCH($K745,楼层配置!$B$5:$B$204,0)),"")</f>
        <v>358</v>
      </c>
      <c r="M745" t="str">
        <f>IFERROR(INDEX(_角色基线!$B$2:$B$100,MATCH($B745,_角色基线!$A$2:$A$100,0)),"")</f>
        <v>塔拉夏</v>
      </c>
      <c r="N745" t="str">
        <f>IFERROR(INDEX(_角色基线!$C$2:$C$100,MATCH($B745,_角色基线!$A$2:$A$100,0)),"")</f>
        <v>Tank</v>
      </c>
      <c r="O745">
        <f>IFERROR(INDEX(_怪物基线!$B$2:$B$501,MATCH(INT($L745),_怪物基线!$A$2:$A$501,0)),"")</f>
        <v>800903</v>
      </c>
      <c r="P745">
        <f>IFERROR(INDEX(_怪物基线!$C$2:$C$501,MATCH(INT($L745),_怪物基线!$A$2:$A$501,0)),"")</f>
        <v>63215</v>
      </c>
      <c r="Q745">
        <f>IFERROR(INDEX(_怪物基线!$D$2:$D$501,MATCH(INT($L745),_怪物基线!$A$2:$A$501,0)),"")</f>
        <v>41003</v>
      </c>
      <c r="R745">
        <f>参数!$B$10</f>
        <v>4</v>
      </c>
      <c r="S745">
        <f>参数!$C$10</f>
        <v>1.2</v>
      </c>
      <c r="T745">
        <f>参数!$D$10</f>
        <v>1</v>
      </c>
      <c r="U745">
        <f t="shared" si="88"/>
        <v>3203612</v>
      </c>
      <c r="V745">
        <f t="shared" si="89"/>
        <v>75858</v>
      </c>
      <c r="W745">
        <f t="shared" si="90"/>
        <v>41003</v>
      </c>
      <c r="X745">
        <f>IFERROR(INDEX(参数!$B$5:$B$7,MATCH($N745,参数!$A$5:$A$7,0)),"")</f>
        <v>1.5</v>
      </c>
      <c r="Y745">
        <f>IFERROR(INDEX(参数!$C$5:$C$7,MATCH($N745,参数!$A$5:$A$7,0)),"")</f>
        <v>1</v>
      </c>
      <c r="Z745">
        <f>IFERROR(INDEX(参数!$D$5:$D$7,MATCH($N745,参数!$A$5:$A$7,0)),"")</f>
        <v>1.5</v>
      </c>
      <c r="AA745">
        <f>IFERROR(INDEX(楼层配置!$E$5:$E$204,MATCH($K745,楼层配置!$B$5:$B$204,0)),1)</f>
        <v>1.12582067235919</v>
      </c>
      <c r="AB745">
        <f>IFERROR(INDEX(楼层配置!$F$5:$F$204,MATCH($K745,楼层配置!$B$5:$B$204,0)),1)</f>
        <v>0.729834891319568</v>
      </c>
      <c r="AC745">
        <f>IFERROR(INDEX(楼层配置!$G$5:$G$204,MATCH($K745,楼层配置!$B$5:$B$204,0)),1)</f>
        <v>1</v>
      </c>
      <c r="AD745" t="str">
        <f t="shared" si="91"/>
        <v/>
      </c>
      <c r="AE745" t="str">
        <f t="shared" si="92"/>
        <v/>
      </c>
      <c r="AF745" t="str">
        <f t="shared" si="93"/>
        <v/>
      </c>
      <c r="AG745" t="str">
        <f t="shared" si="94"/>
        <v>有效</v>
      </c>
      <c r="AH745">
        <f t="shared" si="95"/>
        <v>19274391.0289583</v>
      </c>
    </row>
    <row r="746" spans="1:34">
      <c r="A746">
        <v>742</v>
      </c>
      <c r="B746">
        <v>1005</v>
      </c>
      <c r="C746">
        <v>60</v>
      </c>
      <c r="D746">
        <f>IFERROR(ROUND($U746*$X746*$AA746*参数!$B$13,0),"")</f>
        <v>3606693</v>
      </c>
      <c r="E746">
        <f>IFERROR(ROUND($V746*$Y746*$AB746*参数!$C$13,0),"")</f>
        <v>66437</v>
      </c>
      <c r="F746">
        <f>IFERROR(ROUND($W746*$Z746*$AC746*参数!$D$13,0),"")</f>
        <v>41003</v>
      </c>
      <c r="J746">
        <v>149</v>
      </c>
      <c r="K746">
        <v>149</v>
      </c>
      <c r="L746">
        <f>IFERROR(INDEX(楼层配置!$D$5:$D$204,MATCH($K746,楼层配置!$B$5:$B$204,0)),"")</f>
        <v>358</v>
      </c>
      <c r="M746" t="str">
        <f>IFERROR(INDEX(_角色基线!$B$2:$B$100,MATCH($B746,_角色基线!$A$2:$A$100,0)),"")</f>
        <v>陈单单</v>
      </c>
      <c r="N746" t="str">
        <f>IFERROR(INDEX(_角色基线!$C$2:$C$100,MATCH($B746,_角色基线!$A$2:$A$100,0)),"")</f>
        <v>DPS</v>
      </c>
      <c r="O746">
        <f>IFERROR(INDEX(_怪物基线!$B$2:$B$501,MATCH(INT($L746),_怪物基线!$A$2:$A$501,0)),"")</f>
        <v>800903</v>
      </c>
      <c r="P746">
        <f>IFERROR(INDEX(_怪物基线!$C$2:$C$501,MATCH(INT($L746),_怪物基线!$A$2:$A$501,0)),"")</f>
        <v>63215</v>
      </c>
      <c r="Q746">
        <f>IFERROR(INDEX(_怪物基线!$D$2:$D$501,MATCH(INT($L746),_怪物基线!$A$2:$A$501,0)),"")</f>
        <v>41003</v>
      </c>
      <c r="R746">
        <f>参数!$B$10</f>
        <v>4</v>
      </c>
      <c r="S746">
        <f>参数!$C$10</f>
        <v>1.2</v>
      </c>
      <c r="T746">
        <f>参数!$D$10</f>
        <v>1</v>
      </c>
      <c r="U746">
        <f t="shared" si="88"/>
        <v>3203612</v>
      </c>
      <c r="V746">
        <f t="shared" si="89"/>
        <v>75858</v>
      </c>
      <c r="W746">
        <f t="shared" si="90"/>
        <v>41003</v>
      </c>
      <c r="X746">
        <f>IFERROR(INDEX(参数!$B$5:$B$7,MATCH($N746,参数!$A$5:$A$7,0)),"")</f>
        <v>1</v>
      </c>
      <c r="Y746">
        <f>IFERROR(INDEX(参数!$C$5:$C$7,MATCH($N746,参数!$A$5:$A$7,0)),"")</f>
        <v>1.2</v>
      </c>
      <c r="Z746">
        <f>IFERROR(INDEX(参数!$D$5:$D$7,MATCH($N746,参数!$A$5:$A$7,0)),"")</f>
        <v>1</v>
      </c>
      <c r="AA746">
        <f>IFERROR(INDEX(楼层配置!$E$5:$E$204,MATCH($K746,楼层配置!$B$5:$B$204,0)),1)</f>
        <v>1.12582067235919</v>
      </c>
      <c r="AB746">
        <f>IFERROR(INDEX(楼层配置!$F$5:$F$204,MATCH($K746,楼层配置!$B$5:$B$204,0)),1)</f>
        <v>0.729834891319568</v>
      </c>
      <c r="AC746">
        <f>IFERROR(INDEX(楼层配置!$G$5:$G$204,MATCH($K746,楼层配置!$B$5:$B$204,0)),1)</f>
        <v>1</v>
      </c>
      <c r="AD746" t="str">
        <f t="shared" si="91"/>
        <v/>
      </c>
      <c r="AE746" t="str">
        <f t="shared" si="92"/>
        <v/>
      </c>
      <c r="AF746" t="str">
        <f t="shared" si="93"/>
        <v/>
      </c>
      <c r="AG746" t="str">
        <f t="shared" si="94"/>
        <v>有效</v>
      </c>
      <c r="AH746">
        <f t="shared" si="95"/>
        <v>9768577.711625</v>
      </c>
    </row>
    <row r="747" spans="1:34">
      <c r="A747">
        <v>743</v>
      </c>
      <c r="B747">
        <v>1005</v>
      </c>
      <c r="C747">
        <v>60</v>
      </c>
      <c r="D747">
        <f>IFERROR(ROUND($U747*$X747*$AA747*参数!$B$13,0),"")</f>
        <v>3606693</v>
      </c>
      <c r="E747">
        <f>IFERROR(ROUND($V747*$Y747*$AB747*参数!$C$13,0),"")</f>
        <v>66437</v>
      </c>
      <c r="F747">
        <f>IFERROR(ROUND($W747*$Z747*$AC747*参数!$D$13,0),"")</f>
        <v>41003</v>
      </c>
      <c r="J747">
        <v>149</v>
      </c>
      <c r="K747">
        <v>149</v>
      </c>
      <c r="L747">
        <f>IFERROR(INDEX(楼层配置!$D$5:$D$204,MATCH($K747,楼层配置!$B$5:$B$204,0)),"")</f>
        <v>358</v>
      </c>
      <c r="M747" t="str">
        <f>IFERROR(INDEX(_角色基线!$B$2:$B$100,MATCH($B747,_角色基线!$A$2:$A$100,0)),"")</f>
        <v>陈单单</v>
      </c>
      <c r="N747" t="str">
        <f>IFERROR(INDEX(_角色基线!$C$2:$C$100,MATCH($B747,_角色基线!$A$2:$A$100,0)),"")</f>
        <v>DPS</v>
      </c>
      <c r="O747">
        <f>IFERROR(INDEX(_怪物基线!$B$2:$B$501,MATCH(INT($L747),_怪物基线!$A$2:$A$501,0)),"")</f>
        <v>800903</v>
      </c>
      <c r="P747">
        <f>IFERROR(INDEX(_怪物基线!$C$2:$C$501,MATCH(INT($L747),_怪物基线!$A$2:$A$501,0)),"")</f>
        <v>63215</v>
      </c>
      <c r="Q747">
        <f>IFERROR(INDEX(_怪物基线!$D$2:$D$501,MATCH(INT($L747),_怪物基线!$A$2:$A$501,0)),"")</f>
        <v>41003</v>
      </c>
      <c r="R747">
        <f>参数!$B$10</f>
        <v>4</v>
      </c>
      <c r="S747">
        <f>参数!$C$10</f>
        <v>1.2</v>
      </c>
      <c r="T747">
        <f>参数!$D$10</f>
        <v>1</v>
      </c>
      <c r="U747">
        <f t="shared" si="88"/>
        <v>3203612</v>
      </c>
      <c r="V747">
        <f t="shared" si="89"/>
        <v>75858</v>
      </c>
      <c r="W747">
        <f t="shared" si="90"/>
        <v>41003</v>
      </c>
      <c r="X747">
        <f>IFERROR(INDEX(参数!$B$5:$B$7,MATCH($N747,参数!$A$5:$A$7,0)),"")</f>
        <v>1</v>
      </c>
      <c r="Y747">
        <f>IFERROR(INDEX(参数!$C$5:$C$7,MATCH($N747,参数!$A$5:$A$7,0)),"")</f>
        <v>1.2</v>
      </c>
      <c r="Z747">
        <f>IFERROR(INDEX(参数!$D$5:$D$7,MATCH($N747,参数!$A$5:$A$7,0)),"")</f>
        <v>1</v>
      </c>
      <c r="AA747">
        <f>IFERROR(INDEX(楼层配置!$E$5:$E$204,MATCH($K747,楼层配置!$B$5:$B$204,0)),1)</f>
        <v>1.12582067235919</v>
      </c>
      <c r="AB747">
        <f>IFERROR(INDEX(楼层配置!$F$5:$F$204,MATCH($K747,楼层配置!$B$5:$B$204,0)),1)</f>
        <v>0.729834891319568</v>
      </c>
      <c r="AC747">
        <f>IFERROR(INDEX(楼层配置!$G$5:$G$204,MATCH($K747,楼层配置!$B$5:$B$204,0)),1)</f>
        <v>1</v>
      </c>
      <c r="AD747" t="str">
        <f t="shared" si="91"/>
        <v/>
      </c>
      <c r="AE747" t="str">
        <f t="shared" si="92"/>
        <v/>
      </c>
      <c r="AF747" t="str">
        <f t="shared" si="93"/>
        <v/>
      </c>
      <c r="AG747" t="str">
        <f t="shared" si="94"/>
        <v>有效</v>
      </c>
      <c r="AH747">
        <f t="shared" si="95"/>
        <v>9768577.711625</v>
      </c>
    </row>
    <row r="748" spans="1:34">
      <c r="A748">
        <v>744</v>
      </c>
      <c r="B748">
        <v>1005</v>
      </c>
      <c r="C748">
        <v>60</v>
      </c>
      <c r="D748">
        <f>IFERROR(ROUND($U748*$X748*$AA748*参数!$B$13,0),"")</f>
        <v>3606693</v>
      </c>
      <c r="E748">
        <f>IFERROR(ROUND($V748*$Y748*$AB748*参数!$C$13,0),"")</f>
        <v>66437</v>
      </c>
      <c r="F748">
        <f>IFERROR(ROUND($W748*$Z748*$AC748*参数!$D$13,0),"")</f>
        <v>41003</v>
      </c>
      <c r="J748">
        <v>149</v>
      </c>
      <c r="K748">
        <v>149</v>
      </c>
      <c r="L748">
        <f>IFERROR(INDEX(楼层配置!$D$5:$D$204,MATCH($K748,楼层配置!$B$5:$B$204,0)),"")</f>
        <v>358</v>
      </c>
      <c r="M748" t="str">
        <f>IFERROR(INDEX(_角色基线!$B$2:$B$100,MATCH($B748,_角色基线!$A$2:$A$100,0)),"")</f>
        <v>陈单单</v>
      </c>
      <c r="N748" t="str">
        <f>IFERROR(INDEX(_角色基线!$C$2:$C$100,MATCH($B748,_角色基线!$A$2:$A$100,0)),"")</f>
        <v>DPS</v>
      </c>
      <c r="O748">
        <f>IFERROR(INDEX(_怪物基线!$B$2:$B$501,MATCH(INT($L748),_怪物基线!$A$2:$A$501,0)),"")</f>
        <v>800903</v>
      </c>
      <c r="P748">
        <f>IFERROR(INDEX(_怪物基线!$C$2:$C$501,MATCH(INT($L748),_怪物基线!$A$2:$A$501,0)),"")</f>
        <v>63215</v>
      </c>
      <c r="Q748">
        <f>IFERROR(INDEX(_怪物基线!$D$2:$D$501,MATCH(INT($L748),_怪物基线!$A$2:$A$501,0)),"")</f>
        <v>41003</v>
      </c>
      <c r="R748">
        <f>参数!$B$10</f>
        <v>4</v>
      </c>
      <c r="S748">
        <f>参数!$C$10</f>
        <v>1.2</v>
      </c>
      <c r="T748">
        <f>参数!$D$10</f>
        <v>1</v>
      </c>
      <c r="U748">
        <f t="shared" si="88"/>
        <v>3203612</v>
      </c>
      <c r="V748">
        <f t="shared" si="89"/>
        <v>75858</v>
      </c>
      <c r="W748">
        <f t="shared" si="90"/>
        <v>41003</v>
      </c>
      <c r="X748">
        <f>IFERROR(INDEX(参数!$B$5:$B$7,MATCH($N748,参数!$A$5:$A$7,0)),"")</f>
        <v>1</v>
      </c>
      <c r="Y748">
        <f>IFERROR(INDEX(参数!$C$5:$C$7,MATCH($N748,参数!$A$5:$A$7,0)),"")</f>
        <v>1.2</v>
      </c>
      <c r="Z748">
        <f>IFERROR(INDEX(参数!$D$5:$D$7,MATCH($N748,参数!$A$5:$A$7,0)),"")</f>
        <v>1</v>
      </c>
      <c r="AA748">
        <f>IFERROR(INDEX(楼层配置!$E$5:$E$204,MATCH($K748,楼层配置!$B$5:$B$204,0)),1)</f>
        <v>1.12582067235919</v>
      </c>
      <c r="AB748">
        <f>IFERROR(INDEX(楼层配置!$F$5:$F$204,MATCH($K748,楼层配置!$B$5:$B$204,0)),1)</f>
        <v>0.729834891319568</v>
      </c>
      <c r="AC748">
        <f>IFERROR(INDEX(楼层配置!$G$5:$G$204,MATCH($K748,楼层配置!$B$5:$B$204,0)),1)</f>
        <v>1</v>
      </c>
      <c r="AD748" t="str">
        <f t="shared" si="91"/>
        <v/>
      </c>
      <c r="AE748" t="str">
        <f t="shared" si="92"/>
        <v/>
      </c>
      <c r="AF748" t="str">
        <f t="shared" si="93"/>
        <v/>
      </c>
      <c r="AG748" t="str">
        <f t="shared" si="94"/>
        <v>有效</v>
      </c>
      <c r="AH748">
        <f t="shared" si="95"/>
        <v>9768577.711625</v>
      </c>
    </row>
    <row r="749" spans="1:34">
      <c r="A749">
        <v>745</v>
      </c>
      <c r="B749">
        <v>1029</v>
      </c>
      <c r="C749">
        <v>60</v>
      </c>
      <c r="D749">
        <f>IFERROR(ROUND($U749*$X749*$AA749*参数!$B$13,0),"")</f>
        <v>4508366</v>
      </c>
      <c r="E749">
        <f>IFERROR(ROUND($V749*$Y749*$AB749*参数!$C$13,0),"")</f>
        <v>55364</v>
      </c>
      <c r="F749">
        <f>IFERROR(ROUND($W749*$Z749*$AC749*参数!$D$13,0),"")</f>
        <v>51254</v>
      </c>
      <c r="J749">
        <v>149</v>
      </c>
      <c r="K749">
        <v>149</v>
      </c>
      <c r="L749">
        <f>IFERROR(INDEX(楼层配置!$D$5:$D$204,MATCH($K749,楼层配置!$B$5:$B$204,0)),"")</f>
        <v>358</v>
      </c>
      <c r="M749" t="str">
        <f>IFERROR(INDEX(_角色基线!$B$2:$B$100,MATCH($B749,_角色基线!$A$2:$A$100,0)),"")</f>
        <v>凯兰</v>
      </c>
      <c r="N749" t="str">
        <f>IFERROR(INDEX(_角色基线!$C$2:$C$100,MATCH($B749,_角色基线!$A$2:$A$100,0)),"")</f>
        <v>Support</v>
      </c>
      <c r="O749">
        <f>IFERROR(INDEX(_怪物基线!$B$2:$B$501,MATCH(INT($L749),_怪物基线!$A$2:$A$501,0)),"")</f>
        <v>800903</v>
      </c>
      <c r="P749">
        <f>IFERROR(INDEX(_怪物基线!$C$2:$C$501,MATCH(INT($L749),_怪物基线!$A$2:$A$501,0)),"")</f>
        <v>63215</v>
      </c>
      <c r="Q749">
        <f>IFERROR(INDEX(_怪物基线!$D$2:$D$501,MATCH(INT($L749),_怪物基线!$A$2:$A$501,0)),"")</f>
        <v>41003</v>
      </c>
      <c r="R749">
        <f>参数!$B$10</f>
        <v>4</v>
      </c>
      <c r="S749">
        <f>参数!$C$10</f>
        <v>1.2</v>
      </c>
      <c r="T749">
        <f>参数!$D$10</f>
        <v>1</v>
      </c>
      <c r="U749">
        <f t="shared" si="88"/>
        <v>3203612</v>
      </c>
      <c r="V749">
        <f t="shared" si="89"/>
        <v>75858</v>
      </c>
      <c r="W749">
        <f t="shared" si="90"/>
        <v>41003</v>
      </c>
      <c r="X749">
        <f>IFERROR(INDEX(参数!$B$5:$B$7,MATCH($N749,参数!$A$5:$A$7,0)),"")</f>
        <v>1.25</v>
      </c>
      <c r="Y749">
        <f>IFERROR(INDEX(参数!$C$5:$C$7,MATCH($N749,参数!$A$5:$A$7,0)),"")</f>
        <v>1</v>
      </c>
      <c r="Z749">
        <f>IFERROR(INDEX(参数!$D$5:$D$7,MATCH($N749,参数!$A$5:$A$7,0)),"")</f>
        <v>1.25</v>
      </c>
      <c r="AA749">
        <f>IFERROR(INDEX(楼层配置!$E$5:$E$204,MATCH($K749,楼层配置!$B$5:$B$204,0)),1)</f>
        <v>1.12582067235919</v>
      </c>
      <c r="AB749">
        <f>IFERROR(INDEX(楼层配置!$F$5:$F$204,MATCH($K749,楼层配置!$B$5:$B$204,0)),1)</f>
        <v>0.729834891319568</v>
      </c>
      <c r="AC749">
        <f>IFERROR(INDEX(楼层配置!$G$5:$G$204,MATCH($K749,楼层配置!$B$5:$B$204,0)),1)</f>
        <v>1</v>
      </c>
      <c r="AD749" t="str">
        <f t="shared" si="91"/>
        <v/>
      </c>
      <c r="AE749" t="str">
        <f t="shared" si="92"/>
        <v/>
      </c>
      <c r="AF749" t="str">
        <f t="shared" si="93"/>
        <v/>
      </c>
      <c r="AG749" t="str">
        <f t="shared" si="94"/>
        <v>有效</v>
      </c>
      <c r="AH749">
        <f t="shared" si="95"/>
        <v>14136357.2901667</v>
      </c>
    </row>
    <row r="750" spans="1:34">
      <c r="A750">
        <v>746</v>
      </c>
      <c r="B750">
        <v>1003</v>
      </c>
      <c r="C750">
        <v>60</v>
      </c>
      <c r="D750">
        <f>IFERROR(ROUND($U750*$X750*$AA750*参数!$B$13,0),"")</f>
        <v>5505003</v>
      </c>
      <c r="E750">
        <f>IFERROR(ROUND($V750*$Y750*$AB750*参数!$C$13,0),"")</f>
        <v>56195</v>
      </c>
      <c r="F750">
        <f>IFERROR(ROUND($W750*$Z750*$AC750*参数!$D$13,0),"")</f>
        <v>61971</v>
      </c>
      <c r="J750">
        <v>150</v>
      </c>
      <c r="K750">
        <v>150</v>
      </c>
      <c r="L750">
        <f>IFERROR(INDEX(楼层配置!$D$5:$D$204,MATCH($K750,楼层配置!$B$5:$B$204,0)),"")</f>
        <v>360</v>
      </c>
      <c r="M750" t="str">
        <f>IFERROR(INDEX(_角色基线!$B$2:$B$100,MATCH($B750,_角色基线!$A$2:$A$100,0)),"")</f>
        <v>塔拉夏</v>
      </c>
      <c r="N750" t="str">
        <f>IFERROR(INDEX(_角色基线!$C$2:$C$100,MATCH($B750,_角色基线!$A$2:$A$100,0)),"")</f>
        <v>Tank</v>
      </c>
      <c r="O750">
        <f>IFERROR(INDEX(_怪物基线!$B$2:$B$501,MATCH(INT($L750),_怪物基线!$A$2:$A$501,0)),"")</f>
        <v>814314</v>
      </c>
      <c r="P750">
        <f>IFERROR(INDEX(_怪物基线!$C$2:$C$501,MATCH(INT($L750),_怪物基线!$A$2:$A$501,0)),"")</f>
        <v>64042</v>
      </c>
      <c r="Q750">
        <f>IFERROR(INDEX(_怪物基线!$D$2:$D$501,MATCH(INT($L750),_怪物基线!$A$2:$A$501,0)),"")</f>
        <v>41314</v>
      </c>
      <c r="R750">
        <f>参数!$B$10</f>
        <v>4</v>
      </c>
      <c r="S750">
        <f>参数!$C$10</f>
        <v>1.2</v>
      </c>
      <c r="T750">
        <f>参数!$D$10</f>
        <v>1</v>
      </c>
      <c r="U750">
        <f t="shared" si="88"/>
        <v>3257256</v>
      </c>
      <c r="V750">
        <f t="shared" si="89"/>
        <v>76850.4</v>
      </c>
      <c r="W750">
        <f t="shared" si="90"/>
        <v>41314</v>
      </c>
      <c r="X750">
        <f>IFERROR(INDEX(参数!$B$5:$B$7,MATCH($N750,参数!$A$5:$A$7,0)),"")</f>
        <v>1.5</v>
      </c>
      <c r="Y750">
        <f>IFERROR(INDEX(参数!$C$5:$C$7,MATCH($N750,参数!$A$5:$A$7,0)),"")</f>
        <v>1</v>
      </c>
      <c r="Z750">
        <f>IFERROR(INDEX(参数!$D$5:$D$7,MATCH($N750,参数!$A$5:$A$7,0)),"")</f>
        <v>1.5</v>
      </c>
      <c r="AA750">
        <f>IFERROR(INDEX(楼层配置!$E$5:$E$204,MATCH($K750,楼层配置!$B$5:$B$204,0)),1)</f>
        <v>1.12671592412141</v>
      </c>
      <c r="AB750">
        <f>IFERROR(INDEX(楼层配置!$F$5:$F$204,MATCH($K750,楼层配置!$B$5:$B$204,0)),1)</f>
        <v>0.731229508674054</v>
      </c>
      <c r="AC750">
        <f>IFERROR(INDEX(楼层配置!$G$5:$G$204,MATCH($K750,楼层配置!$B$5:$B$204,0)),1)</f>
        <v>1</v>
      </c>
      <c r="AD750" t="str">
        <f t="shared" si="91"/>
        <v/>
      </c>
      <c r="AE750" t="str">
        <f t="shared" si="92"/>
        <v/>
      </c>
      <c r="AF750" t="str">
        <f t="shared" si="93"/>
        <v/>
      </c>
      <c r="AG750" t="str">
        <f t="shared" si="94"/>
        <v>有效</v>
      </c>
      <c r="AH750">
        <f t="shared" si="95"/>
        <v>19719608.871375</v>
      </c>
    </row>
    <row r="751" spans="1:34">
      <c r="A751">
        <v>747</v>
      </c>
      <c r="B751">
        <v>1005</v>
      </c>
      <c r="C751">
        <v>60</v>
      </c>
      <c r="D751">
        <f>IFERROR(ROUND($U751*$X751*$AA751*参数!$B$13,0),"")</f>
        <v>3670002</v>
      </c>
      <c r="E751">
        <f>IFERROR(ROUND($V751*$Y751*$AB751*参数!$C$13,0),"")</f>
        <v>67434</v>
      </c>
      <c r="F751">
        <f>IFERROR(ROUND($W751*$Z751*$AC751*参数!$D$13,0),"")</f>
        <v>41314</v>
      </c>
      <c r="J751">
        <v>150</v>
      </c>
      <c r="K751">
        <v>150</v>
      </c>
      <c r="L751">
        <f>IFERROR(INDEX(楼层配置!$D$5:$D$204,MATCH($K751,楼层配置!$B$5:$B$204,0)),"")</f>
        <v>360</v>
      </c>
      <c r="M751" t="str">
        <f>IFERROR(INDEX(_角色基线!$B$2:$B$100,MATCH($B751,_角色基线!$A$2:$A$100,0)),"")</f>
        <v>陈单单</v>
      </c>
      <c r="N751" t="str">
        <f>IFERROR(INDEX(_角色基线!$C$2:$C$100,MATCH($B751,_角色基线!$A$2:$A$100,0)),"")</f>
        <v>DPS</v>
      </c>
      <c r="O751">
        <f>IFERROR(INDEX(_怪物基线!$B$2:$B$501,MATCH(INT($L751),_怪物基线!$A$2:$A$501,0)),"")</f>
        <v>814314</v>
      </c>
      <c r="P751">
        <f>IFERROR(INDEX(_怪物基线!$C$2:$C$501,MATCH(INT($L751),_怪物基线!$A$2:$A$501,0)),"")</f>
        <v>64042</v>
      </c>
      <c r="Q751">
        <f>IFERROR(INDEX(_怪物基线!$D$2:$D$501,MATCH(INT($L751),_怪物基线!$A$2:$A$501,0)),"")</f>
        <v>41314</v>
      </c>
      <c r="R751">
        <f>参数!$B$10</f>
        <v>4</v>
      </c>
      <c r="S751">
        <f>参数!$C$10</f>
        <v>1.2</v>
      </c>
      <c r="T751">
        <f>参数!$D$10</f>
        <v>1</v>
      </c>
      <c r="U751">
        <f t="shared" si="88"/>
        <v>3257256</v>
      </c>
      <c r="V751">
        <f t="shared" si="89"/>
        <v>76850.4</v>
      </c>
      <c r="W751">
        <f t="shared" si="90"/>
        <v>41314</v>
      </c>
      <c r="X751">
        <f>IFERROR(INDEX(参数!$B$5:$B$7,MATCH($N751,参数!$A$5:$A$7,0)),"")</f>
        <v>1</v>
      </c>
      <c r="Y751">
        <f>IFERROR(INDEX(参数!$C$5:$C$7,MATCH($N751,参数!$A$5:$A$7,0)),"")</f>
        <v>1.2</v>
      </c>
      <c r="Z751">
        <f>IFERROR(INDEX(参数!$D$5:$D$7,MATCH($N751,参数!$A$5:$A$7,0)),"")</f>
        <v>1</v>
      </c>
      <c r="AA751">
        <f>IFERROR(INDEX(楼层配置!$E$5:$E$204,MATCH($K751,楼层配置!$B$5:$B$204,0)),1)</f>
        <v>1.12671592412141</v>
      </c>
      <c r="AB751">
        <f>IFERROR(INDEX(楼层配置!$F$5:$F$204,MATCH($K751,楼层配置!$B$5:$B$204,0)),1)</f>
        <v>0.731229508674054</v>
      </c>
      <c r="AC751">
        <f>IFERROR(INDEX(楼层配置!$G$5:$G$204,MATCH($K751,楼层配置!$B$5:$B$204,0)),1)</f>
        <v>1</v>
      </c>
      <c r="AD751" t="str">
        <f t="shared" si="91"/>
        <v/>
      </c>
      <c r="AE751" t="str">
        <f t="shared" si="92"/>
        <v/>
      </c>
      <c r="AF751" t="str">
        <f t="shared" si="93"/>
        <v/>
      </c>
      <c r="AG751" t="str">
        <f t="shared" si="94"/>
        <v>有效</v>
      </c>
      <c r="AH751">
        <f t="shared" si="95"/>
        <v>9987604.6095</v>
      </c>
    </row>
    <row r="752" spans="1:34">
      <c r="A752">
        <v>748</v>
      </c>
      <c r="B752">
        <v>1005</v>
      </c>
      <c r="C752">
        <v>60</v>
      </c>
      <c r="D752">
        <f>IFERROR(ROUND($U752*$X752*$AA752*参数!$B$13,0),"")</f>
        <v>3670002</v>
      </c>
      <c r="E752">
        <f>IFERROR(ROUND($V752*$Y752*$AB752*参数!$C$13,0),"")</f>
        <v>67434</v>
      </c>
      <c r="F752">
        <f>IFERROR(ROUND($W752*$Z752*$AC752*参数!$D$13,0),"")</f>
        <v>41314</v>
      </c>
      <c r="J752">
        <v>150</v>
      </c>
      <c r="K752">
        <v>150</v>
      </c>
      <c r="L752">
        <f>IFERROR(INDEX(楼层配置!$D$5:$D$204,MATCH($K752,楼层配置!$B$5:$B$204,0)),"")</f>
        <v>360</v>
      </c>
      <c r="M752" t="str">
        <f>IFERROR(INDEX(_角色基线!$B$2:$B$100,MATCH($B752,_角色基线!$A$2:$A$100,0)),"")</f>
        <v>陈单单</v>
      </c>
      <c r="N752" t="str">
        <f>IFERROR(INDEX(_角色基线!$C$2:$C$100,MATCH($B752,_角色基线!$A$2:$A$100,0)),"")</f>
        <v>DPS</v>
      </c>
      <c r="O752">
        <f>IFERROR(INDEX(_怪物基线!$B$2:$B$501,MATCH(INT($L752),_怪物基线!$A$2:$A$501,0)),"")</f>
        <v>814314</v>
      </c>
      <c r="P752">
        <f>IFERROR(INDEX(_怪物基线!$C$2:$C$501,MATCH(INT($L752),_怪物基线!$A$2:$A$501,0)),"")</f>
        <v>64042</v>
      </c>
      <c r="Q752">
        <f>IFERROR(INDEX(_怪物基线!$D$2:$D$501,MATCH(INT($L752),_怪物基线!$A$2:$A$501,0)),"")</f>
        <v>41314</v>
      </c>
      <c r="R752">
        <f>参数!$B$10</f>
        <v>4</v>
      </c>
      <c r="S752">
        <f>参数!$C$10</f>
        <v>1.2</v>
      </c>
      <c r="T752">
        <f>参数!$D$10</f>
        <v>1</v>
      </c>
      <c r="U752">
        <f t="shared" si="88"/>
        <v>3257256</v>
      </c>
      <c r="V752">
        <f t="shared" si="89"/>
        <v>76850.4</v>
      </c>
      <c r="W752">
        <f t="shared" si="90"/>
        <v>41314</v>
      </c>
      <c r="X752">
        <f>IFERROR(INDEX(参数!$B$5:$B$7,MATCH($N752,参数!$A$5:$A$7,0)),"")</f>
        <v>1</v>
      </c>
      <c r="Y752">
        <f>IFERROR(INDEX(参数!$C$5:$C$7,MATCH($N752,参数!$A$5:$A$7,0)),"")</f>
        <v>1.2</v>
      </c>
      <c r="Z752">
        <f>IFERROR(INDEX(参数!$D$5:$D$7,MATCH($N752,参数!$A$5:$A$7,0)),"")</f>
        <v>1</v>
      </c>
      <c r="AA752">
        <f>IFERROR(INDEX(楼层配置!$E$5:$E$204,MATCH($K752,楼层配置!$B$5:$B$204,0)),1)</f>
        <v>1.12671592412141</v>
      </c>
      <c r="AB752">
        <f>IFERROR(INDEX(楼层配置!$F$5:$F$204,MATCH($K752,楼层配置!$B$5:$B$204,0)),1)</f>
        <v>0.731229508674054</v>
      </c>
      <c r="AC752">
        <f>IFERROR(INDEX(楼层配置!$G$5:$G$204,MATCH($K752,楼层配置!$B$5:$B$204,0)),1)</f>
        <v>1</v>
      </c>
      <c r="AD752" t="str">
        <f t="shared" si="91"/>
        <v/>
      </c>
      <c r="AE752" t="str">
        <f t="shared" si="92"/>
        <v/>
      </c>
      <c r="AF752" t="str">
        <f t="shared" si="93"/>
        <v/>
      </c>
      <c r="AG752" t="str">
        <f t="shared" si="94"/>
        <v>有效</v>
      </c>
      <c r="AH752">
        <f t="shared" si="95"/>
        <v>9987604.6095</v>
      </c>
    </row>
    <row r="753" spans="1:34">
      <c r="A753">
        <v>749</v>
      </c>
      <c r="B753">
        <v>1005</v>
      </c>
      <c r="C753">
        <v>60</v>
      </c>
      <c r="D753">
        <f>IFERROR(ROUND($U753*$X753*$AA753*参数!$B$13,0),"")</f>
        <v>3670002</v>
      </c>
      <c r="E753">
        <f>IFERROR(ROUND($V753*$Y753*$AB753*参数!$C$13,0),"")</f>
        <v>67434</v>
      </c>
      <c r="F753">
        <f>IFERROR(ROUND($W753*$Z753*$AC753*参数!$D$13,0),"")</f>
        <v>41314</v>
      </c>
      <c r="J753">
        <v>150</v>
      </c>
      <c r="K753">
        <v>150</v>
      </c>
      <c r="L753">
        <f>IFERROR(INDEX(楼层配置!$D$5:$D$204,MATCH($K753,楼层配置!$B$5:$B$204,0)),"")</f>
        <v>360</v>
      </c>
      <c r="M753" t="str">
        <f>IFERROR(INDEX(_角色基线!$B$2:$B$100,MATCH($B753,_角色基线!$A$2:$A$100,0)),"")</f>
        <v>陈单单</v>
      </c>
      <c r="N753" t="str">
        <f>IFERROR(INDEX(_角色基线!$C$2:$C$100,MATCH($B753,_角色基线!$A$2:$A$100,0)),"")</f>
        <v>DPS</v>
      </c>
      <c r="O753">
        <f>IFERROR(INDEX(_怪物基线!$B$2:$B$501,MATCH(INT($L753),_怪物基线!$A$2:$A$501,0)),"")</f>
        <v>814314</v>
      </c>
      <c r="P753">
        <f>IFERROR(INDEX(_怪物基线!$C$2:$C$501,MATCH(INT($L753),_怪物基线!$A$2:$A$501,0)),"")</f>
        <v>64042</v>
      </c>
      <c r="Q753">
        <f>IFERROR(INDEX(_怪物基线!$D$2:$D$501,MATCH(INT($L753),_怪物基线!$A$2:$A$501,0)),"")</f>
        <v>41314</v>
      </c>
      <c r="R753">
        <f>参数!$B$10</f>
        <v>4</v>
      </c>
      <c r="S753">
        <f>参数!$C$10</f>
        <v>1.2</v>
      </c>
      <c r="T753">
        <f>参数!$D$10</f>
        <v>1</v>
      </c>
      <c r="U753">
        <f t="shared" si="88"/>
        <v>3257256</v>
      </c>
      <c r="V753">
        <f t="shared" si="89"/>
        <v>76850.4</v>
      </c>
      <c r="W753">
        <f t="shared" si="90"/>
        <v>41314</v>
      </c>
      <c r="X753">
        <f>IFERROR(INDEX(参数!$B$5:$B$7,MATCH($N753,参数!$A$5:$A$7,0)),"")</f>
        <v>1</v>
      </c>
      <c r="Y753">
        <f>IFERROR(INDEX(参数!$C$5:$C$7,MATCH($N753,参数!$A$5:$A$7,0)),"")</f>
        <v>1.2</v>
      </c>
      <c r="Z753">
        <f>IFERROR(INDEX(参数!$D$5:$D$7,MATCH($N753,参数!$A$5:$A$7,0)),"")</f>
        <v>1</v>
      </c>
      <c r="AA753">
        <f>IFERROR(INDEX(楼层配置!$E$5:$E$204,MATCH($K753,楼层配置!$B$5:$B$204,0)),1)</f>
        <v>1.12671592412141</v>
      </c>
      <c r="AB753">
        <f>IFERROR(INDEX(楼层配置!$F$5:$F$204,MATCH($K753,楼层配置!$B$5:$B$204,0)),1)</f>
        <v>0.731229508674054</v>
      </c>
      <c r="AC753">
        <f>IFERROR(INDEX(楼层配置!$G$5:$G$204,MATCH($K753,楼层配置!$B$5:$B$204,0)),1)</f>
        <v>1</v>
      </c>
      <c r="AD753" t="str">
        <f t="shared" si="91"/>
        <v/>
      </c>
      <c r="AE753" t="str">
        <f t="shared" si="92"/>
        <v/>
      </c>
      <c r="AF753" t="str">
        <f t="shared" si="93"/>
        <v/>
      </c>
      <c r="AG753" t="str">
        <f t="shared" si="94"/>
        <v>有效</v>
      </c>
      <c r="AH753">
        <f t="shared" si="95"/>
        <v>9987604.6095</v>
      </c>
    </row>
    <row r="754" spans="1:34">
      <c r="A754">
        <v>750</v>
      </c>
      <c r="B754">
        <v>1029</v>
      </c>
      <c r="C754">
        <v>60</v>
      </c>
      <c r="D754">
        <f>IFERROR(ROUND($U754*$X754*$AA754*参数!$B$13,0),"")</f>
        <v>4587503</v>
      </c>
      <c r="E754">
        <f>IFERROR(ROUND($V754*$Y754*$AB754*参数!$C$13,0),"")</f>
        <v>56195</v>
      </c>
      <c r="F754">
        <f>IFERROR(ROUND($W754*$Z754*$AC754*参数!$D$13,0),"")</f>
        <v>51643</v>
      </c>
      <c r="J754">
        <v>150</v>
      </c>
      <c r="K754">
        <v>150</v>
      </c>
      <c r="L754">
        <f>IFERROR(INDEX(楼层配置!$D$5:$D$204,MATCH($K754,楼层配置!$B$5:$B$204,0)),"")</f>
        <v>360</v>
      </c>
      <c r="M754" t="str">
        <f>IFERROR(INDEX(_角色基线!$B$2:$B$100,MATCH($B754,_角色基线!$A$2:$A$100,0)),"")</f>
        <v>凯兰</v>
      </c>
      <c r="N754" t="str">
        <f>IFERROR(INDEX(_角色基线!$C$2:$C$100,MATCH($B754,_角色基线!$A$2:$A$100,0)),"")</f>
        <v>Support</v>
      </c>
      <c r="O754">
        <f>IFERROR(INDEX(_怪物基线!$B$2:$B$501,MATCH(INT($L754),_怪物基线!$A$2:$A$501,0)),"")</f>
        <v>814314</v>
      </c>
      <c r="P754">
        <f>IFERROR(INDEX(_怪物基线!$C$2:$C$501,MATCH(INT($L754),_怪物基线!$A$2:$A$501,0)),"")</f>
        <v>64042</v>
      </c>
      <c r="Q754">
        <f>IFERROR(INDEX(_怪物基线!$D$2:$D$501,MATCH(INT($L754),_怪物基线!$A$2:$A$501,0)),"")</f>
        <v>41314</v>
      </c>
      <c r="R754">
        <f>参数!$B$10</f>
        <v>4</v>
      </c>
      <c r="S754">
        <f>参数!$C$10</f>
        <v>1.2</v>
      </c>
      <c r="T754">
        <f>参数!$D$10</f>
        <v>1</v>
      </c>
      <c r="U754">
        <f t="shared" si="88"/>
        <v>3257256</v>
      </c>
      <c r="V754">
        <f t="shared" si="89"/>
        <v>76850.4</v>
      </c>
      <c r="W754">
        <f t="shared" si="90"/>
        <v>41314</v>
      </c>
      <c r="X754">
        <f>IFERROR(INDEX(参数!$B$5:$B$7,MATCH($N754,参数!$A$5:$A$7,0)),"")</f>
        <v>1.25</v>
      </c>
      <c r="Y754">
        <f>IFERROR(INDEX(参数!$C$5:$C$7,MATCH($N754,参数!$A$5:$A$7,0)),"")</f>
        <v>1</v>
      </c>
      <c r="Z754">
        <f>IFERROR(INDEX(参数!$D$5:$D$7,MATCH($N754,参数!$A$5:$A$7,0)),"")</f>
        <v>1.25</v>
      </c>
      <c r="AA754">
        <f>IFERROR(INDEX(楼层配置!$E$5:$E$204,MATCH($K754,楼层配置!$B$5:$B$204,0)),1)</f>
        <v>1.12671592412141</v>
      </c>
      <c r="AB754">
        <f>IFERROR(INDEX(楼层配置!$F$5:$F$204,MATCH($K754,楼层配置!$B$5:$B$204,0)),1)</f>
        <v>0.731229508674054</v>
      </c>
      <c r="AC754">
        <f>IFERROR(INDEX(楼层配置!$G$5:$G$204,MATCH($K754,楼层配置!$B$5:$B$204,0)),1)</f>
        <v>1</v>
      </c>
      <c r="AD754" t="str">
        <f t="shared" si="91"/>
        <v/>
      </c>
      <c r="AE754" t="str">
        <f t="shared" si="92"/>
        <v/>
      </c>
      <c r="AF754" t="str">
        <f t="shared" si="93"/>
        <v/>
      </c>
      <c r="AG754" t="str">
        <f t="shared" si="94"/>
        <v>有效</v>
      </c>
      <c r="AH754">
        <f t="shared" si="95"/>
        <v>14458853.7262083</v>
      </c>
    </row>
    <row r="755" spans="1:34">
      <c r="A755">
        <v>751</v>
      </c>
      <c r="B755">
        <v>1003</v>
      </c>
      <c r="C755">
        <v>60</v>
      </c>
      <c r="D755">
        <f>IFERROR(ROUND($U755*$X755*$AA755*参数!$B$13,0),"")</f>
        <v>5592395</v>
      </c>
      <c r="E755">
        <f>IFERROR(ROUND($V755*$Y755*$AB755*参数!$C$13,0),"")</f>
        <v>56820</v>
      </c>
      <c r="F755">
        <f>IFERROR(ROUND($W755*$Z755*$AC755*参数!$D$13,0),"")</f>
        <v>62439</v>
      </c>
      <c r="J755">
        <v>151</v>
      </c>
      <c r="K755">
        <v>151</v>
      </c>
      <c r="L755">
        <f>IFERROR(INDEX(楼层配置!$D$5:$D$204,MATCH($K755,楼层配置!$B$5:$B$204,0)),"")</f>
        <v>362</v>
      </c>
      <c r="M755" t="str">
        <f>IFERROR(INDEX(_角色基线!$B$2:$B$100,MATCH($B755,_角色基线!$A$2:$A$100,0)),"")</f>
        <v>塔拉夏</v>
      </c>
      <c r="N755" t="str">
        <f>IFERROR(INDEX(_角色基线!$C$2:$C$100,MATCH($B755,_角色基线!$A$2:$A$100,0)),"")</f>
        <v>Tank</v>
      </c>
      <c r="O755">
        <f>IFERROR(INDEX(_怪物基线!$B$2:$B$501,MATCH(INT($L755),_怪物基线!$A$2:$A$501,0)),"")</f>
        <v>827899</v>
      </c>
      <c r="P755">
        <f>IFERROR(INDEX(_怪物基线!$C$2:$C$501,MATCH(INT($L755),_怪物基线!$A$2:$A$501,0)),"")</f>
        <v>64878</v>
      </c>
      <c r="Q755">
        <f>IFERROR(INDEX(_怪物基线!$D$2:$D$501,MATCH(INT($L755),_怪物基线!$A$2:$A$501,0)),"")</f>
        <v>41626</v>
      </c>
      <c r="R755">
        <f>参数!$B$10</f>
        <v>4</v>
      </c>
      <c r="S755">
        <f>参数!$C$10</f>
        <v>1.2</v>
      </c>
      <c r="T755">
        <f>参数!$D$10</f>
        <v>1</v>
      </c>
      <c r="U755">
        <f t="shared" si="88"/>
        <v>3311596</v>
      </c>
      <c r="V755">
        <f t="shared" si="89"/>
        <v>77853.6</v>
      </c>
      <c r="W755">
        <f t="shared" si="90"/>
        <v>41626</v>
      </c>
      <c r="X755">
        <f>IFERROR(INDEX(参数!$B$5:$B$7,MATCH($N755,参数!$A$5:$A$7,0)),"")</f>
        <v>1.5</v>
      </c>
      <c r="Y755">
        <f>IFERROR(INDEX(参数!$C$5:$C$7,MATCH($N755,参数!$A$5:$A$7,0)),"")</f>
        <v>1</v>
      </c>
      <c r="Z755">
        <f>IFERROR(INDEX(参数!$D$5:$D$7,MATCH($N755,参数!$A$5:$A$7,0)),"")</f>
        <v>1.5</v>
      </c>
      <c r="AA755">
        <f>IFERROR(INDEX(楼层配置!$E$5:$E$204,MATCH($K755,楼层配置!$B$5:$B$204,0)),1)</f>
        <v>1.12582067235919</v>
      </c>
      <c r="AB755">
        <f>IFERROR(INDEX(楼层配置!$F$5:$F$204,MATCH($K755,楼层配置!$B$5:$B$204,0)),1)</f>
        <v>0.729834891319568</v>
      </c>
      <c r="AC755">
        <f>IFERROR(INDEX(楼层配置!$G$5:$G$204,MATCH($K755,楼层配置!$B$5:$B$204,0)),1)</f>
        <v>1</v>
      </c>
      <c r="AD755" t="str">
        <f t="shared" si="91"/>
        <v/>
      </c>
      <c r="AE755" t="str">
        <f t="shared" si="92"/>
        <v/>
      </c>
      <c r="AF755" t="str">
        <f t="shared" si="93"/>
        <v/>
      </c>
      <c r="AG755" t="str">
        <f t="shared" si="94"/>
        <v>有效</v>
      </c>
      <c r="AH755">
        <f t="shared" si="95"/>
        <v>20141709.641875</v>
      </c>
    </row>
    <row r="756" spans="1:34">
      <c r="A756">
        <v>752</v>
      </c>
      <c r="B756">
        <v>1005</v>
      </c>
      <c r="C756">
        <v>60</v>
      </c>
      <c r="D756">
        <f>IFERROR(ROUND($U756*$X756*$AA756*参数!$B$13,0),"")</f>
        <v>3728263</v>
      </c>
      <c r="E756">
        <f>IFERROR(ROUND($V756*$Y756*$AB756*参数!$C$13,0),"")</f>
        <v>68184</v>
      </c>
      <c r="F756">
        <f>IFERROR(ROUND($W756*$Z756*$AC756*参数!$D$13,0),"")</f>
        <v>41626</v>
      </c>
      <c r="J756">
        <v>151</v>
      </c>
      <c r="K756">
        <v>151</v>
      </c>
      <c r="L756">
        <f>IFERROR(INDEX(楼层配置!$D$5:$D$204,MATCH($K756,楼层配置!$B$5:$B$204,0)),"")</f>
        <v>362</v>
      </c>
      <c r="M756" t="str">
        <f>IFERROR(INDEX(_角色基线!$B$2:$B$100,MATCH($B756,_角色基线!$A$2:$A$100,0)),"")</f>
        <v>陈单单</v>
      </c>
      <c r="N756" t="str">
        <f>IFERROR(INDEX(_角色基线!$C$2:$C$100,MATCH($B756,_角色基线!$A$2:$A$100,0)),"")</f>
        <v>DPS</v>
      </c>
      <c r="O756">
        <f>IFERROR(INDEX(_怪物基线!$B$2:$B$501,MATCH(INT($L756),_怪物基线!$A$2:$A$501,0)),"")</f>
        <v>827899</v>
      </c>
      <c r="P756">
        <f>IFERROR(INDEX(_怪物基线!$C$2:$C$501,MATCH(INT($L756),_怪物基线!$A$2:$A$501,0)),"")</f>
        <v>64878</v>
      </c>
      <c r="Q756">
        <f>IFERROR(INDEX(_怪物基线!$D$2:$D$501,MATCH(INT($L756),_怪物基线!$A$2:$A$501,0)),"")</f>
        <v>41626</v>
      </c>
      <c r="R756">
        <f>参数!$B$10</f>
        <v>4</v>
      </c>
      <c r="S756">
        <f>参数!$C$10</f>
        <v>1.2</v>
      </c>
      <c r="T756">
        <f>参数!$D$10</f>
        <v>1</v>
      </c>
      <c r="U756">
        <f t="shared" si="88"/>
        <v>3311596</v>
      </c>
      <c r="V756">
        <f t="shared" si="89"/>
        <v>77853.6</v>
      </c>
      <c r="W756">
        <f t="shared" si="90"/>
        <v>41626</v>
      </c>
      <c r="X756">
        <f>IFERROR(INDEX(参数!$B$5:$B$7,MATCH($N756,参数!$A$5:$A$7,0)),"")</f>
        <v>1</v>
      </c>
      <c r="Y756">
        <f>IFERROR(INDEX(参数!$C$5:$C$7,MATCH($N756,参数!$A$5:$A$7,0)),"")</f>
        <v>1.2</v>
      </c>
      <c r="Z756">
        <f>IFERROR(INDEX(参数!$D$5:$D$7,MATCH($N756,参数!$A$5:$A$7,0)),"")</f>
        <v>1</v>
      </c>
      <c r="AA756">
        <f>IFERROR(INDEX(楼层配置!$E$5:$E$204,MATCH($K756,楼层配置!$B$5:$B$204,0)),1)</f>
        <v>1.12582067235919</v>
      </c>
      <c r="AB756">
        <f>IFERROR(INDEX(楼层配置!$F$5:$F$204,MATCH($K756,楼层配置!$B$5:$B$204,0)),1)</f>
        <v>0.729834891319568</v>
      </c>
      <c r="AC756">
        <f>IFERROR(INDEX(楼层配置!$G$5:$G$204,MATCH($K756,楼层配置!$B$5:$B$204,0)),1)</f>
        <v>1</v>
      </c>
      <c r="AD756" t="str">
        <f t="shared" si="91"/>
        <v/>
      </c>
      <c r="AE756" t="str">
        <f t="shared" si="92"/>
        <v/>
      </c>
      <c r="AF756" t="str">
        <f t="shared" si="93"/>
        <v/>
      </c>
      <c r="AG756" t="str">
        <f t="shared" si="94"/>
        <v>有效</v>
      </c>
      <c r="AH756">
        <f t="shared" si="95"/>
        <v>10194624.4849167</v>
      </c>
    </row>
    <row r="757" spans="1:34">
      <c r="A757">
        <v>753</v>
      </c>
      <c r="B757">
        <v>1005</v>
      </c>
      <c r="C757">
        <v>60</v>
      </c>
      <c r="D757">
        <f>IFERROR(ROUND($U757*$X757*$AA757*参数!$B$13,0),"")</f>
        <v>3728263</v>
      </c>
      <c r="E757">
        <f>IFERROR(ROUND($V757*$Y757*$AB757*参数!$C$13,0),"")</f>
        <v>68184</v>
      </c>
      <c r="F757">
        <f>IFERROR(ROUND($W757*$Z757*$AC757*参数!$D$13,0),"")</f>
        <v>41626</v>
      </c>
      <c r="J757">
        <v>151</v>
      </c>
      <c r="K757">
        <v>151</v>
      </c>
      <c r="L757">
        <f>IFERROR(INDEX(楼层配置!$D$5:$D$204,MATCH($K757,楼层配置!$B$5:$B$204,0)),"")</f>
        <v>362</v>
      </c>
      <c r="M757" t="str">
        <f>IFERROR(INDEX(_角色基线!$B$2:$B$100,MATCH($B757,_角色基线!$A$2:$A$100,0)),"")</f>
        <v>陈单单</v>
      </c>
      <c r="N757" t="str">
        <f>IFERROR(INDEX(_角色基线!$C$2:$C$100,MATCH($B757,_角色基线!$A$2:$A$100,0)),"")</f>
        <v>DPS</v>
      </c>
      <c r="O757">
        <f>IFERROR(INDEX(_怪物基线!$B$2:$B$501,MATCH(INT($L757),_怪物基线!$A$2:$A$501,0)),"")</f>
        <v>827899</v>
      </c>
      <c r="P757">
        <f>IFERROR(INDEX(_怪物基线!$C$2:$C$501,MATCH(INT($L757),_怪物基线!$A$2:$A$501,0)),"")</f>
        <v>64878</v>
      </c>
      <c r="Q757">
        <f>IFERROR(INDEX(_怪物基线!$D$2:$D$501,MATCH(INT($L757),_怪物基线!$A$2:$A$501,0)),"")</f>
        <v>41626</v>
      </c>
      <c r="R757">
        <f>参数!$B$10</f>
        <v>4</v>
      </c>
      <c r="S757">
        <f>参数!$C$10</f>
        <v>1.2</v>
      </c>
      <c r="T757">
        <f>参数!$D$10</f>
        <v>1</v>
      </c>
      <c r="U757">
        <f t="shared" si="88"/>
        <v>3311596</v>
      </c>
      <c r="V757">
        <f t="shared" si="89"/>
        <v>77853.6</v>
      </c>
      <c r="W757">
        <f t="shared" si="90"/>
        <v>41626</v>
      </c>
      <c r="X757">
        <f>IFERROR(INDEX(参数!$B$5:$B$7,MATCH($N757,参数!$A$5:$A$7,0)),"")</f>
        <v>1</v>
      </c>
      <c r="Y757">
        <f>IFERROR(INDEX(参数!$C$5:$C$7,MATCH($N757,参数!$A$5:$A$7,0)),"")</f>
        <v>1.2</v>
      </c>
      <c r="Z757">
        <f>IFERROR(INDEX(参数!$D$5:$D$7,MATCH($N757,参数!$A$5:$A$7,0)),"")</f>
        <v>1</v>
      </c>
      <c r="AA757">
        <f>IFERROR(INDEX(楼层配置!$E$5:$E$204,MATCH($K757,楼层配置!$B$5:$B$204,0)),1)</f>
        <v>1.12582067235919</v>
      </c>
      <c r="AB757">
        <f>IFERROR(INDEX(楼层配置!$F$5:$F$204,MATCH($K757,楼层配置!$B$5:$B$204,0)),1)</f>
        <v>0.729834891319568</v>
      </c>
      <c r="AC757">
        <f>IFERROR(INDEX(楼层配置!$G$5:$G$204,MATCH($K757,楼层配置!$B$5:$B$204,0)),1)</f>
        <v>1</v>
      </c>
      <c r="AD757" t="str">
        <f t="shared" si="91"/>
        <v/>
      </c>
      <c r="AE757" t="str">
        <f t="shared" si="92"/>
        <v/>
      </c>
      <c r="AF757" t="str">
        <f t="shared" si="93"/>
        <v/>
      </c>
      <c r="AG757" t="str">
        <f t="shared" si="94"/>
        <v>有效</v>
      </c>
      <c r="AH757">
        <f t="shared" si="95"/>
        <v>10194624.4849167</v>
      </c>
    </row>
    <row r="758" spans="1:34">
      <c r="A758">
        <v>754</v>
      </c>
      <c r="B758">
        <v>1005</v>
      </c>
      <c r="C758">
        <v>60</v>
      </c>
      <c r="D758">
        <f>IFERROR(ROUND($U758*$X758*$AA758*参数!$B$13,0),"")</f>
        <v>3728263</v>
      </c>
      <c r="E758">
        <f>IFERROR(ROUND($V758*$Y758*$AB758*参数!$C$13,0),"")</f>
        <v>68184</v>
      </c>
      <c r="F758">
        <f>IFERROR(ROUND($W758*$Z758*$AC758*参数!$D$13,0),"")</f>
        <v>41626</v>
      </c>
      <c r="J758">
        <v>151</v>
      </c>
      <c r="K758">
        <v>151</v>
      </c>
      <c r="L758">
        <f>IFERROR(INDEX(楼层配置!$D$5:$D$204,MATCH($K758,楼层配置!$B$5:$B$204,0)),"")</f>
        <v>362</v>
      </c>
      <c r="M758" t="str">
        <f>IFERROR(INDEX(_角色基线!$B$2:$B$100,MATCH($B758,_角色基线!$A$2:$A$100,0)),"")</f>
        <v>陈单单</v>
      </c>
      <c r="N758" t="str">
        <f>IFERROR(INDEX(_角色基线!$C$2:$C$100,MATCH($B758,_角色基线!$A$2:$A$100,0)),"")</f>
        <v>DPS</v>
      </c>
      <c r="O758">
        <f>IFERROR(INDEX(_怪物基线!$B$2:$B$501,MATCH(INT($L758),_怪物基线!$A$2:$A$501,0)),"")</f>
        <v>827899</v>
      </c>
      <c r="P758">
        <f>IFERROR(INDEX(_怪物基线!$C$2:$C$501,MATCH(INT($L758),_怪物基线!$A$2:$A$501,0)),"")</f>
        <v>64878</v>
      </c>
      <c r="Q758">
        <f>IFERROR(INDEX(_怪物基线!$D$2:$D$501,MATCH(INT($L758),_怪物基线!$A$2:$A$501,0)),"")</f>
        <v>41626</v>
      </c>
      <c r="R758">
        <f>参数!$B$10</f>
        <v>4</v>
      </c>
      <c r="S758">
        <f>参数!$C$10</f>
        <v>1.2</v>
      </c>
      <c r="T758">
        <f>参数!$D$10</f>
        <v>1</v>
      </c>
      <c r="U758">
        <f t="shared" si="88"/>
        <v>3311596</v>
      </c>
      <c r="V758">
        <f t="shared" si="89"/>
        <v>77853.6</v>
      </c>
      <c r="W758">
        <f t="shared" si="90"/>
        <v>41626</v>
      </c>
      <c r="X758">
        <f>IFERROR(INDEX(参数!$B$5:$B$7,MATCH($N758,参数!$A$5:$A$7,0)),"")</f>
        <v>1</v>
      </c>
      <c r="Y758">
        <f>IFERROR(INDEX(参数!$C$5:$C$7,MATCH($N758,参数!$A$5:$A$7,0)),"")</f>
        <v>1.2</v>
      </c>
      <c r="Z758">
        <f>IFERROR(INDEX(参数!$D$5:$D$7,MATCH($N758,参数!$A$5:$A$7,0)),"")</f>
        <v>1</v>
      </c>
      <c r="AA758">
        <f>IFERROR(INDEX(楼层配置!$E$5:$E$204,MATCH($K758,楼层配置!$B$5:$B$204,0)),1)</f>
        <v>1.12582067235919</v>
      </c>
      <c r="AB758">
        <f>IFERROR(INDEX(楼层配置!$F$5:$F$204,MATCH($K758,楼层配置!$B$5:$B$204,0)),1)</f>
        <v>0.729834891319568</v>
      </c>
      <c r="AC758">
        <f>IFERROR(INDEX(楼层配置!$G$5:$G$204,MATCH($K758,楼层配置!$B$5:$B$204,0)),1)</f>
        <v>1</v>
      </c>
      <c r="AD758" t="str">
        <f t="shared" si="91"/>
        <v/>
      </c>
      <c r="AE758" t="str">
        <f t="shared" si="92"/>
        <v/>
      </c>
      <c r="AF758" t="str">
        <f t="shared" si="93"/>
        <v/>
      </c>
      <c r="AG758" t="str">
        <f t="shared" si="94"/>
        <v>有效</v>
      </c>
      <c r="AH758">
        <f t="shared" si="95"/>
        <v>10194624.4849167</v>
      </c>
    </row>
    <row r="759" spans="1:34">
      <c r="A759">
        <v>755</v>
      </c>
      <c r="B759">
        <v>1029</v>
      </c>
      <c r="C759">
        <v>60</v>
      </c>
      <c r="D759">
        <f>IFERROR(ROUND($U759*$X759*$AA759*参数!$B$13,0),"")</f>
        <v>4660329</v>
      </c>
      <c r="E759">
        <f>IFERROR(ROUND($V759*$Y759*$AB759*参数!$C$13,0),"")</f>
        <v>56820</v>
      </c>
      <c r="F759">
        <f>IFERROR(ROUND($W759*$Z759*$AC759*参数!$D$13,0),"")</f>
        <v>52033</v>
      </c>
      <c r="J759">
        <v>151</v>
      </c>
      <c r="K759">
        <v>151</v>
      </c>
      <c r="L759">
        <f>IFERROR(INDEX(楼层配置!$D$5:$D$204,MATCH($K759,楼层配置!$B$5:$B$204,0)),"")</f>
        <v>362</v>
      </c>
      <c r="M759" t="str">
        <f>IFERROR(INDEX(_角色基线!$B$2:$B$100,MATCH($B759,_角色基线!$A$2:$A$100,0)),"")</f>
        <v>凯兰</v>
      </c>
      <c r="N759" t="str">
        <f>IFERROR(INDEX(_角色基线!$C$2:$C$100,MATCH($B759,_角色基线!$A$2:$A$100,0)),"")</f>
        <v>Support</v>
      </c>
      <c r="O759">
        <f>IFERROR(INDEX(_怪物基线!$B$2:$B$501,MATCH(INT($L759),_怪物基线!$A$2:$A$501,0)),"")</f>
        <v>827899</v>
      </c>
      <c r="P759">
        <f>IFERROR(INDEX(_怪物基线!$C$2:$C$501,MATCH(INT($L759),_怪物基线!$A$2:$A$501,0)),"")</f>
        <v>64878</v>
      </c>
      <c r="Q759">
        <f>IFERROR(INDEX(_怪物基线!$D$2:$D$501,MATCH(INT($L759),_怪物基线!$A$2:$A$501,0)),"")</f>
        <v>41626</v>
      </c>
      <c r="R759">
        <f>参数!$B$10</f>
        <v>4</v>
      </c>
      <c r="S759">
        <f>参数!$C$10</f>
        <v>1.2</v>
      </c>
      <c r="T759">
        <f>参数!$D$10</f>
        <v>1</v>
      </c>
      <c r="U759">
        <f t="shared" si="88"/>
        <v>3311596</v>
      </c>
      <c r="V759">
        <f t="shared" si="89"/>
        <v>77853.6</v>
      </c>
      <c r="W759">
        <f t="shared" si="90"/>
        <v>41626</v>
      </c>
      <c r="X759">
        <f>IFERROR(INDEX(参数!$B$5:$B$7,MATCH($N759,参数!$A$5:$A$7,0)),"")</f>
        <v>1.25</v>
      </c>
      <c r="Y759">
        <f>IFERROR(INDEX(参数!$C$5:$C$7,MATCH($N759,参数!$A$5:$A$7,0)),"")</f>
        <v>1</v>
      </c>
      <c r="Z759">
        <f>IFERROR(INDEX(参数!$D$5:$D$7,MATCH($N759,参数!$A$5:$A$7,0)),"")</f>
        <v>1.25</v>
      </c>
      <c r="AA759">
        <f>IFERROR(INDEX(楼层配置!$E$5:$E$204,MATCH($K759,楼层配置!$B$5:$B$204,0)),1)</f>
        <v>1.12582067235919</v>
      </c>
      <c r="AB759">
        <f>IFERROR(INDEX(楼层配置!$F$5:$F$204,MATCH($K759,楼层配置!$B$5:$B$204,0)),1)</f>
        <v>0.729834891319568</v>
      </c>
      <c r="AC759">
        <f>IFERROR(INDEX(楼层配置!$G$5:$G$204,MATCH($K759,楼层配置!$B$5:$B$204,0)),1)</f>
        <v>1</v>
      </c>
      <c r="AD759" t="str">
        <f t="shared" si="91"/>
        <v/>
      </c>
      <c r="AE759" t="str">
        <f t="shared" si="92"/>
        <v/>
      </c>
      <c r="AF759" t="str">
        <f t="shared" si="93"/>
        <v/>
      </c>
      <c r="AG759" t="str">
        <f t="shared" si="94"/>
        <v>有效</v>
      </c>
      <c r="AH759">
        <f t="shared" si="95"/>
        <v>14764116.452375</v>
      </c>
    </row>
    <row r="760" spans="1:34">
      <c r="A760">
        <v>756</v>
      </c>
      <c r="B760">
        <v>1003</v>
      </c>
      <c r="C760">
        <v>60</v>
      </c>
      <c r="D760">
        <f>IFERROR(ROUND($U760*$X760*$AA760*参数!$B$13,0),"")</f>
        <v>5685356</v>
      </c>
      <c r="E760">
        <f>IFERROR(ROUND($V760*$Y760*$AB760*参数!$C$13,0),"")</f>
        <v>57559</v>
      </c>
      <c r="F760">
        <f>IFERROR(ROUND($W760*$Z760*$AC760*参数!$D$13,0),"")</f>
        <v>62909</v>
      </c>
      <c r="J760">
        <v>152</v>
      </c>
      <c r="K760">
        <v>152</v>
      </c>
      <c r="L760">
        <f>IFERROR(INDEX(楼层配置!$D$5:$D$204,MATCH($K760,楼层配置!$B$5:$B$204,0)),"")</f>
        <v>364</v>
      </c>
      <c r="M760" t="str">
        <f>IFERROR(INDEX(_角色基线!$B$2:$B$100,MATCH($B760,_角色基线!$A$2:$A$100,0)),"")</f>
        <v>塔拉夏</v>
      </c>
      <c r="N760" t="str">
        <f>IFERROR(INDEX(_角色基线!$C$2:$C$100,MATCH($B760,_角色基线!$A$2:$A$100,0)),"")</f>
        <v>Tank</v>
      </c>
      <c r="O760">
        <f>IFERROR(INDEX(_怪物基线!$B$2:$B$501,MATCH(INT($L760),_怪物基线!$A$2:$A$501,0)),"")</f>
        <v>841661</v>
      </c>
      <c r="P760">
        <f>IFERROR(INDEX(_怪物基线!$C$2:$C$501,MATCH(INT($L760),_怪物基线!$A$2:$A$501,0)),"")</f>
        <v>65722</v>
      </c>
      <c r="Q760">
        <f>IFERROR(INDEX(_怪物基线!$D$2:$D$501,MATCH(INT($L760),_怪物基线!$A$2:$A$501,0)),"")</f>
        <v>41939</v>
      </c>
      <c r="R760">
        <f>参数!$B$10</f>
        <v>4</v>
      </c>
      <c r="S760">
        <f>参数!$C$10</f>
        <v>1.2</v>
      </c>
      <c r="T760">
        <f>参数!$D$10</f>
        <v>1</v>
      </c>
      <c r="U760">
        <f t="shared" si="88"/>
        <v>3366644</v>
      </c>
      <c r="V760">
        <f t="shared" si="89"/>
        <v>78866.4</v>
      </c>
      <c r="W760">
        <f t="shared" si="90"/>
        <v>41939</v>
      </c>
      <c r="X760">
        <f>IFERROR(INDEX(参数!$B$5:$B$7,MATCH($N760,参数!$A$5:$A$7,0)),"")</f>
        <v>1.5</v>
      </c>
      <c r="Y760">
        <f>IFERROR(INDEX(参数!$C$5:$C$7,MATCH($N760,参数!$A$5:$A$7,0)),"")</f>
        <v>1</v>
      </c>
      <c r="Z760">
        <f>IFERROR(INDEX(参数!$D$5:$D$7,MATCH($N760,参数!$A$5:$A$7,0)),"")</f>
        <v>1.5</v>
      </c>
      <c r="AA760">
        <f>IFERROR(INDEX(楼层配置!$E$5:$E$204,MATCH($K760,楼层配置!$B$5:$B$204,0)),1)</f>
        <v>1.12582067235919</v>
      </c>
      <c r="AB760">
        <f>IFERROR(INDEX(楼层配置!$F$5:$F$204,MATCH($K760,楼层配置!$B$5:$B$204,0)),1)</f>
        <v>0.729834891319568</v>
      </c>
      <c r="AC760">
        <f>IFERROR(INDEX(楼层配置!$G$5:$G$204,MATCH($K760,楼层配置!$B$5:$B$204,0)),1)</f>
        <v>1</v>
      </c>
      <c r="AD760" t="str">
        <f t="shared" si="91"/>
        <v/>
      </c>
      <c r="AE760" t="str">
        <f t="shared" si="92"/>
        <v/>
      </c>
      <c r="AF760" t="str">
        <f t="shared" si="93"/>
        <v/>
      </c>
      <c r="AG760" t="str">
        <f t="shared" si="94"/>
        <v>有效</v>
      </c>
      <c r="AH760">
        <f t="shared" si="95"/>
        <v>20587858.5251667</v>
      </c>
    </row>
    <row r="761" spans="1:34">
      <c r="A761">
        <v>757</v>
      </c>
      <c r="B761">
        <v>1005</v>
      </c>
      <c r="C761">
        <v>60</v>
      </c>
      <c r="D761">
        <f>IFERROR(ROUND($U761*$X761*$AA761*参数!$B$13,0),"")</f>
        <v>3790237</v>
      </c>
      <c r="E761">
        <f>IFERROR(ROUND($V761*$Y761*$AB761*参数!$C$13,0),"")</f>
        <v>69071</v>
      </c>
      <c r="F761">
        <f>IFERROR(ROUND($W761*$Z761*$AC761*参数!$D$13,0),"")</f>
        <v>41939</v>
      </c>
      <c r="J761">
        <v>152</v>
      </c>
      <c r="K761">
        <v>152</v>
      </c>
      <c r="L761">
        <f>IFERROR(INDEX(楼层配置!$D$5:$D$204,MATCH($K761,楼层配置!$B$5:$B$204,0)),"")</f>
        <v>364</v>
      </c>
      <c r="M761" t="str">
        <f>IFERROR(INDEX(_角色基线!$B$2:$B$100,MATCH($B761,_角色基线!$A$2:$A$100,0)),"")</f>
        <v>陈单单</v>
      </c>
      <c r="N761" t="str">
        <f>IFERROR(INDEX(_角色基线!$C$2:$C$100,MATCH($B761,_角色基线!$A$2:$A$100,0)),"")</f>
        <v>DPS</v>
      </c>
      <c r="O761">
        <f>IFERROR(INDEX(_怪物基线!$B$2:$B$501,MATCH(INT($L761),_怪物基线!$A$2:$A$501,0)),"")</f>
        <v>841661</v>
      </c>
      <c r="P761">
        <f>IFERROR(INDEX(_怪物基线!$C$2:$C$501,MATCH(INT($L761),_怪物基线!$A$2:$A$501,0)),"")</f>
        <v>65722</v>
      </c>
      <c r="Q761">
        <f>IFERROR(INDEX(_怪物基线!$D$2:$D$501,MATCH(INT($L761),_怪物基线!$A$2:$A$501,0)),"")</f>
        <v>41939</v>
      </c>
      <c r="R761">
        <f>参数!$B$10</f>
        <v>4</v>
      </c>
      <c r="S761">
        <f>参数!$C$10</f>
        <v>1.2</v>
      </c>
      <c r="T761">
        <f>参数!$D$10</f>
        <v>1</v>
      </c>
      <c r="U761">
        <f t="shared" si="88"/>
        <v>3366644</v>
      </c>
      <c r="V761">
        <f t="shared" si="89"/>
        <v>78866.4</v>
      </c>
      <c r="W761">
        <f t="shared" si="90"/>
        <v>41939</v>
      </c>
      <c r="X761">
        <f>IFERROR(INDEX(参数!$B$5:$B$7,MATCH($N761,参数!$A$5:$A$7,0)),"")</f>
        <v>1</v>
      </c>
      <c r="Y761">
        <f>IFERROR(INDEX(参数!$C$5:$C$7,MATCH($N761,参数!$A$5:$A$7,0)),"")</f>
        <v>1.2</v>
      </c>
      <c r="Z761">
        <f>IFERROR(INDEX(参数!$D$5:$D$7,MATCH($N761,参数!$A$5:$A$7,0)),"")</f>
        <v>1</v>
      </c>
      <c r="AA761">
        <f>IFERROR(INDEX(楼层配置!$E$5:$E$204,MATCH($K761,楼层配置!$B$5:$B$204,0)),1)</f>
        <v>1.12582067235919</v>
      </c>
      <c r="AB761">
        <f>IFERROR(INDEX(楼层配置!$F$5:$F$204,MATCH($K761,楼层配置!$B$5:$B$204,0)),1)</f>
        <v>0.729834891319568</v>
      </c>
      <c r="AC761">
        <f>IFERROR(INDEX(楼层配置!$G$5:$G$204,MATCH($K761,楼层配置!$B$5:$B$204,0)),1)</f>
        <v>1</v>
      </c>
      <c r="AD761" t="str">
        <f t="shared" si="91"/>
        <v/>
      </c>
      <c r="AE761" t="str">
        <f t="shared" si="92"/>
        <v/>
      </c>
      <c r="AF761" t="str">
        <f t="shared" si="93"/>
        <v/>
      </c>
      <c r="AG761" t="str">
        <f t="shared" si="94"/>
        <v>有效</v>
      </c>
      <c r="AH761">
        <f t="shared" si="95"/>
        <v>10413518.2309583</v>
      </c>
    </row>
    <row r="762" spans="1:34">
      <c r="A762">
        <v>758</v>
      </c>
      <c r="B762">
        <v>1005</v>
      </c>
      <c r="C762">
        <v>60</v>
      </c>
      <c r="D762">
        <f>IFERROR(ROUND($U762*$X762*$AA762*参数!$B$13,0),"")</f>
        <v>3790237</v>
      </c>
      <c r="E762">
        <f>IFERROR(ROUND($V762*$Y762*$AB762*参数!$C$13,0),"")</f>
        <v>69071</v>
      </c>
      <c r="F762">
        <f>IFERROR(ROUND($W762*$Z762*$AC762*参数!$D$13,0),"")</f>
        <v>41939</v>
      </c>
      <c r="J762">
        <v>152</v>
      </c>
      <c r="K762">
        <v>152</v>
      </c>
      <c r="L762">
        <f>IFERROR(INDEX(楼层配置!$D$5:$D$204,MATCH($K762,楼层配置!$B$5:$B$204,0)),"")</f>
        <v>364</v>
      </c>
      <c r="M762" t="str">
        <f>IFERROR(INDEX(_角色基线!$B$2:$B$100,MATCH($B762,_角色基线!$A$2:$A$100,0)),"")</f>
        <v>陈单单</v>
      </c>
      <c r="N762" t="str">
        <f>IFERROR(INDEX(_角色基线!$C$2:$C$100,MATCH($B762,_角色基线!$A$2:$A$100,0)),"")</f>
        <v>DPS</v>
      </c>
      <c r="O762">
        <f>IFERROR(INDEX(_怪物基线!$B$2:$B$501,MATCH(INT($L762),_怪物基线!$A$2:$A$501,0)),"")</f>
        <v>841661</v>
      </c>
      <c r="P762">
        <f>IFERROR(INDEX(_怪物基线!$C$2:$C$501,MATCH(INT($L762),_怪物基线!$A$2:$A$501,0)),"")</f>
        <v>65722</v>
      </c>
      <c r="Q762">
        <f>IFERROR(INDEX(_怪物基线!$D$2:$D$501,MATCH(INT($L762),_怪物基线!$A$2:$A$501,0)),"")</f>
        <v>41939</v>
      </c>
      <c r="R762">
        <f>参数!$B$10</f>
        <v>4</v>
      </c>
      <c r="S762">
        <f>参数!$C$10</f>
        <v>1.2</v>
      </c>
      <c r="T762">
        <f>参数!$D$10</f>
        <v>1</v>
      </c>
      <c r="U762">
        <f t="shared" si="88"/>
        <v>3366644</v>
      </c>
      <c r="V762">
        <f t="shared" si="89"/>
        <v>78866.4</v>
      </c>
      <c r="W762">
        <f t="shared" si="90"/>
        <v>41939</v>
      </c>
      <c r="X762">
        <f>IFERROR(INDEX(参数!$B$5:$B$7,MATCH($N762,参数!$A$5:$A$7,0)),"")</f>
        <v>1</v>
      </c>
      <c r="Y762">
        <f>IFERROR(INDEX(参数!$C$5:$C$7,MATCH($N762,参数!$A$5:$A$7,0)),"")</f>
        <v>1.2</v>
      </c>
      <c r="Z762">
        <f>IFERROR(INDEX(参数!$D$5:$D$7,MATCH($N762,参数!$A$5:$A$7,0)),"")</f>
        <v>1</v>
      </c>
      <c r="AA762">
        <f>IFERROR(INDEX(楼层配置!$E$5:$E$204,MATCH($K762,楼层配置!$B$5:$B$204,0)),1)</f>
        <v>1.12582067235919</v>
      </c>
      <c r="AB762">
        <f>IFERROR(INDEX(楼层配置!$F$5:$F$204,MATCH($K762,楼层配置!$B$5:$B$204,0)),1)</f>
        <v>0.729834891319568</v>
      </c>
      <c r="AC762">
        <f>IFERROR(INDEX(楼层配置!$G$5:$G$204,MATCH($K762,楼层配置!$B$5:$B$204,0)),1)</f>
        <v>1</v>
      </c>
      <c r="AD762" t="str">
        <f t="shared" si="91"/>
        <v/>
      </c>
      <c r="AE762" t="str">
        <f t="shared" si="92"/>
        <v/>
      </c>
      <c r="AF762" t="str">
        <f t="shared" si="93"/>
        <v/>
      </c>
      <c r="AG762" t="str">
        <f t="shared" si="94"/>
        <v>有效</v>
      </c>
      <c r="AH762">
        <f t="shared" si="95"/>
        <v>10413518.2309583</v>
      </c>
    </row>
    <row r="763" spans="1:34">
      <c r="A763">
        <v>759</v>
      </c>
      <c r="B763">
        <v>1005</v>
      </c>
      <c r="C763">
        <v>60</v>
      </c>
      <c r="D763">
        <f>IFERROR(ROUND($U763*$X763*$AA763*参数!$B$13,0),"")</f>
        <v>3790237</v>
      </c>
      <c r="E763">
        <f>IFERROR(ROUND($V763*$Y763*$AB763*参数!$C$13,0),"")</f>
        <v>69071</v>
      </c>
      <c r="F763">
        <f>IFERROR(ROUND($W763*$Z763*$AC763*参数!$D$13,0),"")</f>
        <v>41939</v>
      </c>
      <c r="J763">
        <v>152</v>
      </c>
      <c r="K763">
        <v>152</v>
      </c>
      <c r="L763">
        <f>IFERROR(INDEX(楼层配置!$D$5:$D$204,MATCH($K763,楼层配置!$B$5:$B$204,0)),"")</f>
        <v>364</v>
      </c>
      <c r="M763" t="str">
        <f>IFERROR(INDEX(_角色基线!$B$2:$B$100,MATCH($B763,_角色基线!$A$2:$A$100,0)),"")</f>
        <v>陈单单</v>
      </c>
      <c r="N763" t="str">
        <f>IFERROR(INDEX(_角色基线!$C$2:$C$100,MATCH($B763,_角色基线!$A$2:$A$100,0)),"")</f>
        <v>DPS</v>
      </c>
      <c r="O763">
        <f>IFERROR(INDEX(_怪物基线!$B$2:$B$501,MATCH(INT($L763),_怪物基线!$A$2:$A$501,0)),"")</f>
        <v>841661</v>
      </c>
      <c r="P763">
        <f>IFERROR(INDEX(_怪物基线!$C$2:$C$501,MATCH(INT($L763),_怪物基线!$A$2:$A$501,0)),"")</f>
        <v>65722</v>
      </c>
      <c r="Q763">
        <f>IFERROR(INDEX(_怪物基线!$D$2:$D$501,MATCH(INT($L763),_怪物基线!$A$2:$A$501,0)),"")</f>
        <v>41939</v>
      </c>
      <c r="R763">
        <f>参数!$B$10</f>
        <v>4</v>
      </c>
      <c r="S763">
        <f>参数!$C$10</f>
        <v>1.2</v>
      </c>
      <c r="T763">
        <f>参数!$D$10</f>
        <v>1</v>
      </c>
      <c r="U763">
        <f t="shared" si="88"/>
        <v>3366644</v>
      </c>
      <c r="V763">
        <f t="shared" si="89"/>
        <v>78866.4</v>
      </c>
      <c r="W763">
        <f t="shared" si="90"/>
        <v>41939</v>
      </c>
      <c r="X763">
        <f>IFERROR(INDEX(参数!$B$5:$B$7,MATCH($N763,参数!$A$5:$A$7,0)),"")</f>
        <v>1</v>
      </c>
      <c r="Y763">
        <f>IFERROR(INDEX(参数!$C$5:$C$7,MATCH($N763,参数!$A$5:$A$7,0)),"")</f>
        <v>1.2</v>
      </c>
      <c r="Z763">
        <f>IFERROR(INDEX(参数!$D$5:$D$7,MATCH($N763,参数!$A$5:$A$7,0)),"")</f>
        <v>1</v>
      </c>
      <c r="AA763">
        <f>IFERROR(INDEX(楼层配置!$E$5:$E$204,MATCH($K763,楼层配置!$B$5:$B$204,0)),1)</f>
        <v>1.12582067235919</v>
      </c>
      <c r="AB763">
        <f>IFERROR(INDEX(楼层配置!$F$5:$F$204,MATCH($K763,楼层配置!$B$5:$B$204,0)),1)</f>
        <v>0.729834891319568</v>
      </c>
      <c r="AC763">
        <f>IFERROR(INDEX(楼层配置!$G$5:$G$204,MATCH($K763,楼层配置!$B$5:$B$204,0)),1)</f>
        <v>1</v>
      </c>
      <c r="AD763" t="str">
        <f t="shared" si="91"/>
        <v/>
      </c>
      <c r="AE763" t="str">
        <f t="shared" si="92"/>
        <v/>
      </c>
      <c r="AF763" t="str">
        <f t="shared" si="93"/>
        <v/>
      </c>
      <c r="AG763" t="str">
        <f t="shared" si="94"/>
        <v>有效</v>
      </c>
      <c r="AH763">
        <f t="shared" si="95"/>
        <v>10413518.2309583</v>
      </c>
    </row>
    <row r="764" spans="1:34">
      <c r="A764">
        <v>760</v>
      </c>
      <c r="B764">
        <v>1029</v>
      </c>
      <c r="C764">
        <v>60</v>
      </c>
      <c r="D764">
        <f>IFERROR(ROUND($U764*$X764*$AA764*参数!$B$13,0),"")</f>
        <v>4737797</v>
      </c>
      <c r="E764">
        <f>IFERROR(ROUND($V764*$Y764*$AB764*参数!$C$13,0),"")</f>
        <v>57559</v>
      </c>
      <c r="F764">
        <f>IFERROR(ROUND($W764*$Z764*$AC764*参数!$D$13,0),"")</f>
        <v>52424</v>
      </c>
      <c r="J764">
        <v>152</v>
      </c>
      <c r="K764">
        <v>152</v>
      </c>
      <c r="L764">
        <f>IFERROR(INDEX(楼层配置!$D$5:$D$204,MATCH($K764,楼层配置!$B$5:$B$204,0)),"")</f>
        <v>364</v>
      </c>
      <c r="M764" t="str">
        <f>IFERROR(INDEX(_角色基线!$B$2:$B$100,MATCH($B764,_角色基线!$A$2:$A$100,0)),"")</f>
        <v>凯兰</v>
      </c>
      <c r="N764" t="str">
        <f>IFERROR(INDEX(_角色基线!$C$2:$C$100,MATCH($B764,_角色基线!$A$2:$A$100,0)),"")</f>
        <v>Support</v>
      </c>
      <c r="O764">
        <f>IFERROR(INDEX(_怪物基线!$B$2:$B$501,MATCH(INT($L764),_怪物基线!$A$2:$A$501,0)),"")</f>
        <v>841661</v>
      </c>
      <c r="P764">
        <f>IFERROR(INDEX(_怪物基线!$C$2:$C$501,MATCH(INT($L764),_怪物基线!$A$2:$A$501,0)),"")</f>
        <v>65722</v>
      </c>
      <c r="Q764">
        <f>IFERROR(INDEX(_怪物基线!$D$2:$D$501,MATCH(INT($L764),_怪物基线!$A$2:$A$501,0)),"")</f>
        <v>41939</v>
      </c>
      <c r="R764">
        <f>参数!$B$10</f>
        <v>4</v>
      </c>
      <c r="S764">
        <f>参数!$C$10</f>
        <v>1.2</v>
      </c>
      <c r="T764">
        <f>参数!$D$10</f>
        <v>1</v>
      </c>
      <c r="U764">
        <f t="shared" si="88"/>
        <v>3366644</v>
      </c>
      <c r="V764">
        <f t="shared" si="89"/>
        <v>78866.4</v>
      </c>
      <c r="W764">
        <f t="shared" si="90"/>
        <v>41939</v>
      </c>
      <c r="X764">
        <f>IFERROR(INDEX(参数!$B$5:$B$7,MATCH($N764,参数!$A$5:$A$7,0)),"")</f>
        <v>1.25</v>
      </c>
      <c r="Y764">
        <f>IFERROR(INDEX(参数!$C$5:$C$7,MATCH($N764,参数!$A$5:$A$7,0)),"")</f>
        <v>1</v>
      </c>
      <c r="Z764">
        <f>IFERROR(INDEX(参数!$D$5:$D$7,MATCH($N764,参数!$A$5:$A$7,0)),"")</f>
        <v>1.25</v>
      </c>
      <c r="AA764">
        <f>IFERROR(INDEX(楼层配置!$E$5:$E$204,MATCH($K764,楼层配置!$B$5:$B$204,0)),1)</f>
        <v>1.12582067235919</v>
      </c>
      <c r="AB764">
        <f>IFERROR(INDEX(楼层配置!$F$5:$F$204,MATCH($K764,楼层配置!$B$5:$B$204,0)),1)</f>
        <v>0.729834891319568</v>
      </c>
      <c r="AC764">
        <f>IFERROR(INDEX(楼层配置!$G$5:$G$204,MATCH($K764,楼层配置!$B$5:$B$204,0)),1)</f>
        <v>1</v>
      </c>
      <c r="AD764" t="str">
        <f t="shared" si="91"/>
        <v/>
      </c>
      <c r="AE764" t="str">
        <f t="shared" si="92"/>
        <v/>
      </c>
      <c r="AF764" t="str">
        <f t="shared" si="93"/>
        <v/>
      </c>
      <c r="AG764" t="str">
        <f t="shared" si="94"/>
        <v>有效</v>
      </c>
      <c r="AH764">
        <f t="shared" si="95"/>
        <v>15086724.9136667</v>
      </c>
    </row>
    <row r="765" spans="1:34">
      <c r="A765">
        <v>761</v>
      </c>
      <c r="B765">
        <v>1003</v>
      </c>
      <c r="C765">
        <v>60</v>
      </c>
      <c r="D765">
        <f>IFERROR(ROUND($U765*$X765*$AA765*参数!$B$13,0),"")</f>
        <v>5827074</v>
      </c>
      <c r="E765">
        <f>IFERROR(ROUND($V765*$Y765*$AB765*参数!$C$13,0),"")</f>
        <v>58682</v>
      </c>
      <c r="F765">
        <f>IFERROR(ROUND($W765*$Z765*$AC765*参数!$D$13,0),"")</f>
        <v>63615</v>
      </c>
      <c r="J765">
        <v>153</v>
      </c>
      <c r="K765">
        <v>153</v>
      </c>
      <c r="L765">
        <f>IFERROR(INDEX(楼层配置!$D$5:$D$204,MATCH($K765,楼层配置!$B$5:$B$204,0)),"")</f>
        <v>367</v>
      </c>
      <c r="M765" t="str">
        <f>IFERROR(INDEX(_角色基线!$B$2:$B$100,MATCH($B765,_角色基线!$A$2:$A$100,0)),"")</f>
        <v>塔拉夏</v>
      </c>
      <c r="N765" t="str">
        <f>IFERROR(INDEX(_角色基线!$C$2:$C$100,MATCH($B765,_角色基线!$A$2:$A$100,0)),"")</f>
        <v>Tank</v>
      </c>
      <c r="O765">
        <f>IFERROR(INDEX(_怪物基线!$B$2:$B$501,MATCH(INT($L765),_怪物基线!$A$2:$A$501,0)),"")</f>
        <v>862641</v>
      </c>
      <c r="P765">
        <f>IFERROR(INDEX(_怪物基线!$C$2:$C$501,MATCH(INT($L765),_怪物基线!$A$2:$A$501,0)),"")</f>
        <v>67004</v>
      </c>
      <c r="Q765">
        <f>IFERROR(INDEX(_怪物基线!$D$2:$D$501,MATCH(INT($L765),_怪物基线!$A$2:$A$501,0)),"")</f>
        <v>42410</v>
      </c>
      <c r="R765">
        <f>参数!$B$10</f>
        <v>4</v>
      </c>
      <c r="S765">
        <f>参数!$C$10</f>
        <v>1.2</v>
      </c>
      <c r="T765">
        <f>参数!$D$10</f>
        <v>1</v>
      </c>
      <c r="U765">
        <f t="shared" si="88"/>
        <v>3450564</v>
      </c>
      <c r="V765">
        <f t="shared" si="89"/>
        <v>80404.8</v>
      </c>
      <c r="W765">
        <f t="shared" si="90"/>
        <v>42410</v>
      </c>
      <c r="X765">
        <f>IFERROR(INDEX(参数!$B$5:$B$7,MATCH($N765,参数!$A$5:$A$7,0)),"")</f>
        <v>1.5</v>
      </c>
      <c r="Y765">
        <f>IFERROR(INDEX(参数!$C$5:$C$7,MATCH($N765,参数!$A$5:$A$7,0)),"")</f>
        <v>1</v>
      </c>
      <c r="Z765">
        <f>IFERROR(INDEX(参数!$D$5:$D$7,MATCH($N765,参数!$A$5:$A$7,0)),"")</f>
        <v>1.5</v>
      </c>
      <c r="AA765">
        <f>IFERROR(INDEX(楼层配置!$E$5:$E$204,MATCH($K765,楼层配置!$B$5:$B$204,0)),1)</f>
        <v>1.12582067235919</v>
      </c>
      <c r="AB765">
        <f>IFERROR(INDEX(楼层配置!$F$5:$F$204,MATCH($K765,楼层配置!$B$5:$B$204,0)),1)</f>
        <v>0.729834891319568</v>
      </c>
      <c r="AC765">
        <f>IFERROR(INDEX(楼层配置!$G$5:$G$204,MATCH($K765,楼层配置!$B$5:$B$204,0)),1)</f>
        <v>1</v>
      </c>
      <c r="AD765" t="str">
        <f t="shared" si="91"/>
        <v/>
      </c>
      <c r="AE765" t="str">
        <f t="shared" si="92"/>
        <v/>
      </c>
      <c r="AF765" t="str">
        <f t="shared" si="93"/>
        <v/>
      </c>
      <c r="AG765" t="str">
        <f t="shared" si="94"/>
        <v>有效</v>
      </c>
      <c r="AH765">
        <f t="shared" si="95"/>
        <v>21272462.02125</v>
      </c>
    </row>
    <row r="766" spans="1:34">
      <c r="A766">
        <v>762</v>
      </c>
      <c r="B766">
        <v>1005</v>
      </c>
      <c r="C766">
        <v>60</v>
      </c>
      <c r="D766">
        <f>IFERROR(ROUND($U766*$X766*$AA766*参数!$B$13,0),"")</f>
        <v>3884716</v>
      </c>
      <c r="E766">
        <f>IFERROR(ROUND($V766*$Y766*$AB766*参数!$C$13,0),"")</f>
        <v>70419</v>
      </c>
      <c r="F766">
        <f>IFERROR(ROUND($W766*$Z766*$AC766*参数!$D$13,0),"")</f>
        <v>42410</v>
      </c>
      <c r="J766">
        <v>153</v>
      </c>
      <c r="K766">
        <v>153</v>
      </c>
      <c r="L766">
        <f>IFERROR(INDEX(楼层配置!$D$5:$D$204,MATCH($K766,楼层配置!$B$5:$B$204,0)),"")</f>
        <v>367</v>
      </c>
      <c r="M766" t="str">
        <f>IFERROR(INDEX(_角色基线!$B$2:$B$100,MATCH($B766,_角色基线!$A$2:$A$100,0)),"")</f>
        <v>陈单单</v>
      </c>
      <c r="N766" t="str">
        <f>IFERROR(INDEX(_角色基线!$C$2:$C$100,MATCH($B766,_角色基线!$A$2:$A$100,0)),"")</f>
        <v>DPS</v>
      </c>
      <c r="O766">
        <f>IFERROR(INDEX(_怪物基线!$B$2:$B$501,MATCH(INT($L766),_怪物基线!$A$2:$A$501,0)),"")</f>
        <v>862641</v>
      </c>
      <c r="P766">
        <f>IFERROR(INDEX(_怪物基线!$C$2:$C$501,MATCH(INT($L766),_怪物基线!$A$2:$A$501,0)),"")</f>
        <v>67004</v>
      </c>
      <c r="Q766">
        <f>IFERROR(INDEX(_怪物基线!$D$2:$D$501,MATCH(INT($L766),_怪物基线!$A$2:$A$501,0)),"")</f>
        <v>42410</v>
      </c>
      <c r="R766">
        <f>参数!$B$10</f>
        <v>4</v>
      </c>
      <c r="S766">
        <f>参数!$C$10</f>
        <v>1.2</v>
      </c>
      <c r="T766">
        <f>参数!$D$10</f>
        <v>1</v>
      </c>
      <c r="U766">
        <f t="shared" si="88"/>
        <v>3450564</v>
      </c>
      <c r="V766">
        <f t="shared" si="89"/>
        <v>80404.8</v>
      </c>
      <c r="W766">
        <f t="shared" si="90"/>
        <v>42410</v>
      </c>
      <c r="X766">
        <f>IFERROR(INDEX(参数!$B$5:$B$7,MATCH($N766,参数!$A$5:$A$7,0)),"")</f>
        <v>1</v>
      </c>
      <c r="Y766">
        <f>IFERROR(INDEX(参数!$C$5:$C$7,MATCH($N766,参数!$A$5:$A$7,0)),"")</f>
        <v>1.2</v>
      </c>
      <c r="Z766">
        <f>IFERROR(INDEX(参数!$D$5:$D$7,MATCH($N766,参数!$A$5:$A$7,0)),"")</f>
        <v>1</v>
      </c>
      <c r="AA766">
        <f>IFERROR(INDEX(楼层配置!$E$5:$E$204,MATCH($K766,楼层配置!$B$5:$B$204,0)),1)</f>
        <v>1.12582067235919</v>
      </c>
      <c r="AB766">
        <f>IFERROR(INDEX(楼层配置!$F$5:$F$204,MATCH($K766,楼层配置!$B$5:$B$204,0)),1)</f>
        <v>0.729834891319568</v>
      </c>
      <c r="AC766">
        <f>IFERROR(INDEX(楼层配置!$G$5:$G$204,MATCH($K766,楼层配置!$B$5:$B$204,0)),1)</f>
        <v>1</v>
      </c>
      <c r="AD766" t="str">
        <f t="shared" si="91"/>
        <v/>
      </c>
      <c r="AE766" t="str">
        <f t="shared" si="92"/>
        <v/>
      </c>
      <c r="AF766" t="str">
        <f t="shared" si="93"/>
        <v/>
      </c>
      <c r="AG766" t="str">
        <f t="shared" si="94"/>
        <v>有效</v>
      </c>
      <c r="AH766">
        <f t="shared" si="95"/>
        <v>10749332.8983333</v>
      </c>
    </row>
    <row r="767" spans="1:34">
      <c r="A767">
        <v>763</v>
      </c>
      <c r="B767">
        <v>1005</v>
      </c>
      <c r="C767">
        <v>60</v>
      </c>
      <c r="D767">
        <f>IFERROR(ROUND($U767*$X767*$AA767*参数!$B$13,0),"")</f>
        <v>3884716</v>
      </c>
      <c r="E767">
        <f>IFERROR(ROUND($V767*$Y767*$AB767*参数!$C$13,0),"")</f>
        <v>70419</v>
      </c>
      <c r="F767">
        <f>IFERROR(ROUND($W767*$Z767*$AC767*参数!$D$13,0),"")</f>
        <v>42410</v>
      </c>
      <c r="J767">
        <v>153</v>
      </c>
      <c r="K767">
        <v>153</v>
      </c>
      <c r="L767">
        <f>IFERROR(INDEX(楼层配置!$D$5:$D$204,MATCH($K767,楼层配置!$B$5:$B$204,0)),"")</f>
        <v>367</v>
      </c>
      <c r="M767" t="str">
        <f>IFERROR(INDEX(_角色基线!$B$2:$B$100,MATCH($B767,_角色基线!$A$2:$A$100,0)),"")</f>
        <v>陈单单</v>
      </c>
      <c r="N767" t="str">
        <f>IFERROR(INDEX(_角色基线!$C$2:$C$100,MATCH($B767,_角色基线!$A$2:$A$100,0)),"")</f>
        <v>DPS</v>
      </c>
      <c r="O767">
        <f>IFERROR(INDEX(_怪物基线!$B$2:$B$501,MATCH(INT($L767),_怪物基线!$A$2:$A$501,0)),"")</f>
        <v>862641</v>
      </c>
      <c r="P767">
        <f>IFERROR(INDEX(_怪物基线!$C$2:$C$501,MATCH(INT($L767),_怪物基线!$A$2:$A$501,0)),"")</f>
        <v>67004</v>
      </c>
      <c r="Q767">
        <f>IFERROR(INDEX(_怪物基线!$D$2:$D$501,MATCH(INT($L767),_怪物基线!$A$2:$A$501,0)),"")</f>
        <v>42410</v>
      </c>
      <c r="R767">
        <f>参数!$B$10</f>
        <v>4</v>
      </c>
      <c r="S767">
        <f>参数!$C$10</f>
        <v>1.2</v>
      </c>
      <c r="T767">
        <f>参数!$D$10</f>
        <v>1</v>
      </c>
      <c r="U767">
        <f t="shared" si="88"/>
        <v>3450564</v>
      </c>
      <c r="V767">
        <f t="shared" si="89"/>
        <v>80404.8</v>
      </c>
      <c r="W767">
        <f t="shared" si="90"/>
        <v>42410</v>
      </c>
      <c r="X767">
        <f>IFERROR(INDEX(参数!$B$5:$B$7,MATCH($N767,参数!$A$5:$A$7,0)),"")</f>
        <v>1</v>
      </c>
      <c r="Y767">
        <f>IFERROR(INDEX(参数!$C$5:$C$7,MATCH($N767,参数!$A$5:$A$7,0)),"")</f>
        <v>1.2</v>
      </c>
      <c r="Z767">
        <f>IFERROR(INDEX(参数!$D$5:$D$7,MATCH($N767,参数!$A$5:$A$7,0)),"")</f>
        <v>1</v>
      </c>
      <c r="AA767">
        <f>IFERROR(INDEX(楼层配置!$E$5:$E$204,MATCH($K767,楼层配置!$B$5:$B$204,0)),1)</f>
        <v>1.12582067235919</v>
      </c>
      <c r="AB767">
        <f>IFERROR(INDEX(楼层配置!$F$5:$F$204,MATCH($K767,楼层配置!$B$5:$B$204,0)),1)</f>
        <v>0.729834891319568</v>
      </c>
      <c r="AC767">
        <f>IFERROR(INDEX(楼层配置!$G$5:$G$204,MATCH($K767,楼层配置!$B$5:$B$204,0)),1)</f>
        <v>1</v>
      </c>
      <c r="AD767" t="str">
        <f t="shared" si="91"/>
        <v/>
      </c>
      <c r="AE767" t="str">
        <f t="shared" si="92"/>
        <v/>
      </c>
      <c r="AF767" t="str">
        <f t="shared" si="93"/>
        <v/>
      </c>
      <c r="AG767" t="str">
        <f t="shared" si="94"/>
        <v>有效</v>
      </c>
      <c r="AH767">
        <f t="shared" si="95"/>
        <v>10749332.8983333</v>
      </c>
    </row>
    <row r="768" spans="1:34">
      <c r="A768">
        <v>764</v>
      </c>
      <c r="B768">
        <v>1005</v>
      </c>
      <c r="C768">
        <v>60</v>
      </c>
      <c r="D768">
        <f>IFERROR(ROUND($U768*$X768*$AA768*参数!$B$13,0),"")</f>
        <v>3884716</v>
      </c>
      <c r="E768">
        <f>IFERROR(ROUND($V768*$Y768*$AB768*参数!$C$13,0),"")</f>
        <v>70419</v>
      </c>
      <c r="F768">
        <f>IFERROR(ROUND($W768*$Z768*$AC768*参数!$D$13,0),"")</f>
        <v>42410</v>
      </c>
      <c r="J768">
        <v>153</v>
      </c>
      <c r="K768">
        <v>153</v>
      </c>
      <c r="L768">
        <f>IFERROR(INDEX(楼层配置!$D$5:$D$204,MATCH($K768,楼层配置!$B$5:$B$204,0)),"")</f>
        <v>367</v>
      </c>
      <c r="M768" t="str">
        <f>IFERROR(INDEX(_角色基线!$B$2:$B$100,MATCH($B768,_角色基线!$A$2:$A$100,0)),"")</f>
        <v>陈单单</v>
      </c>
      <c r="N768" t="str">
        <f>IFERROR(INDEX(_角色基线!$C$2:$C$100,MATCH($B768,_角色基线!$A$2:$A$100,0)),"")</f>
        <v>DPS</v>
      </c>
      <c r="O768">
        <f>IFERROR(INDEX(_怪物基线!$B$2:$B$501,MATCH(INT($L768),_怪物基线!$A$2:$A$501,0)),"")</f>
        <v>862641</v>
      </c>
      <c r="P768">
        <f>IFERROR(INDEX(_怪物基线!$C$2:$C$501,MATCH(INT($L768),_怪物基线!$A$2:$A$501,0)),"")</f>
        <v>67004</v>
      </c>
      <c r="Q768">
        <f>IFERROR(INDEX(_怪物基线!$D$2:$D$501,MATCH(INT($L768),_怪物基线!$A$2:$A$501,0)),"")</f>
        <v>42410</v>
      </c>
      <c r="R768">
        <f>参数!$B$10</f>
        <v>4</v>
      </c>
      <c r="S768">
        <f>参数!$C$10</f>
        <v>1.2</v>
      </c>
      <c r="T768">
        <f>参数!$D$10</f>
        <v>1</v>
      </c>
      <c r="U768">
        <f t="shared" si="88"/>
        <v>3450564</v>
      </c>
      <c r="V768">
        <f t="shared" si="89"/>
        <v>80404.8</v>
      </c>
      <c r="W768">
        <f t="shared" si="90"/>
        <v>42410</v>
      </c>
      <c r="X768">
        <f>IFERROR(INDEX(参数!$B$5:$B$7,MATCH($N768,参数!$A$5:$A$7,0)),"")</f>
        <v>1</v>
      </c>
      <c r="Y768">
        <f>IFERROR(INDEX(参数!$C$5:$C$7,MATCH($N768,参数!$A$5:$A$7,0)),"")</f>
        <v>1.2</v>
      </c>
      <c r="Z768">
        <f>IFERROR(INDEX(参数!$D$5:$D$7,MATCH($N768,参数!$A$5:$A$7,0)),"")</f>
        <v>1</v>
      </c>
      <c r="AA768">
        <f>IFERROR(INDEX(楼层配置!$E$5:$E$204,MATCH($K768,楼层配置!$B$5:$B$204,0)),1)</f>
        <v>1.12582067235919</v>
      </c>
      <c r="AB768">
        <f>IFERROR(INDEX(楼层配置!$F$5:$F$204,MATCH($K768,楼层配置!$B$5:$B$204,0)),1)</f>
        <v>0.729834891319568</v>
      </c>
      <c r="AC768">
        <f>IFERROR(INDEX(楼层配置!$G$5:$G$204,MATCH($K768,楼层配置!$B$5:$B$204,0)),1)</f>
        <v>1</v>
      </c>
      <c r="AD768" t="str">
        <f t="shared" si="91"/>
        <v/>
      </c>
      <c r="AE768" t="str">
        <f t="shared" si="92"/>
        <v/>
      </c>
      <c r="AF768" t="str">
        <f t="shared" si="93"/>
        <v/>
      </c>
      <c r="AG768" t="str">
        <f t="shared" si="94"/>
        <v>有效</v>
      </c>
      <c r="AH768">
        <f t="shared" si="95"/>
        <v>10749332.8983333</v>
      </c>
    </row>
    <row r="769" spans="1:34">
      <c r="A769">
        <v>765</v>
      </c>
      <c r="B769">
        <v>1029</v>
      </c>
      <c r="C769">
        <v>60</v>
      </c>
      <c r="D769">
        <f>IFERROR(ROUND($U769*$X769*$AA769*参数!$B$13,0),"")</f>
        <v>4855895</v>
      </c>
      <c r="E769">
        <f>IFERROR(ROUND($V769*$Y769*$AB769*参数!$C$13,0),"")</f>
        <v>58682</v>
      </c>
      <c r="F769">
        <f>IFERROR(ROUND($W769*$Z769*$AC769*参数!$D$13,0),"")</f>
        <v>53013</v>
      </c>
      <c r="J769">
        <v>153</v>
      </c>
      <c r="K769">
        <v>153</v>
      </c>
      <c r="L769">
        <f>IFERROR(INDEX(楼层配置!$D$5:$D$204,MATCH($K769,楼层配置!$B$5:$B$204,0)),"")</f>
        <v>367</v>
      </c>
      <c r="M769" t="str">
        <f>IFERROR(INDEX(_角色基线!$B$2:$B$100,MATCH($B769,_角色基线!$A$2:$A$100,0)),"")</f>
        <v>凯兰</v>
      </c>
      <c r="N769" t="str">
        <f>IFERROR(INDEX(_角色基线!$C$2:$C$100,MATCH($B769,_角色基线!$A$2:$A$100,0)),"")</f>
        <v>Support</v>
      </c>
      <c r="O769">
        <f>IFERROR(INDEX(_怪物基线!$B$2:$B$501,MATCH(INT($L769),_怪物基线!$A$2:$A$501,0)),"")</f>
        <v>862641</v>
      </c>
      <c r="P769">
        <f>IFERROR(INDEX(_怪物基线!$C$2:$C$501,MATCH(INT($L769),_怪物基线!$A$2:$A$501,0)),"")</f>
        <v>67004</v>
      </c>
      <c r="Q769">
        <f>IFERROR(INDEX(_怪物基线!$D$2:$D$501,MATCH(INT($L769),_怪物基线!$A$2:$A$501,0)),"")</f>
        <v>42410</v>
      </c>
      <c r="R769">
        <f>参数!$B$10</f>
        <v>4</v>
      </c>
      <c r="S769">
        <f>参数!$C$10</f>
        <v>1.2</v>
      </c>
      <c r="T769">
        <f>参数!$D$10</f>
        <v>1</v>
      </c>
      <c r="U769">
        <f t="shared" si="88"/>
        <v>3450564</v>
      </c>
      <c r="V769">
        <f t="shared" si="89"/>
        <v>80404.8</v>
      </c>
      <c r="W769">
        <f t="shared" si="90"/>
        <v>42410</v>
      </c>
      <c r="X769">
        <f>IFERROR(INDEX(参数!$B$5:$B$7,MATCH($N769,参数!$A$5:$A$7,0)),"")</f>
        <v>1.25</v>
      </c>
      <c r="Y769">
        <f>IFERROR(INDEX(参数!$C$5:$C$7,MATCH($N769,参数!$A$5:$A$7,0)),"")</f>
        <v>1</v>
      </c>
      <c r="Z769">
        <f>IFERROR(INDEX(参数!$D$5:$D$7,MATCH($N769,参数!$A$5:$A$7,0)),"")</f>
        <v>1.25</v>
      </c>
      <c r="AA769">
        <f>IFERROR(INDEX(楼层配置!$E$5:$E$204,MATCH($K769,楼层配置!$B$5:$B$204,0)),1)</f>
        <v>1.12582067235919</v>
      </c>
      <c r="AB769">
        <f>IFERROR(INDEX(楼层配置!$F$5:$F$204,MATCH($K769,楼层配置!$B$5:$B$204,0)),1)</f>
        <v>0.729834891319568</v>
      </c>
      <c r="AC769">
        <f>IFERROR(INDEX(楼层配置!$G$5:$G$204,MATCH($K769,楼层配置!$B$5:$B$204,0)),1)</f>
        <v>1</v>
      </c>
      <c r="AD769" t="str">
        <f t="shared" si="91"/>
        <v/>
      </c>
      <c r="AE769" t="str">
        <f t="shared" si="92"/>
        <v/>
      </c>
      <c r="AF769" t="str">
        <f t="shared" si="93"/>
        <v/>
      </c>
      <c r="AG769" t="str">
        <f t="shared" si="94"/>
        <v>有效</v>
      </c>
      <c r="AH769">
        <f t="shared" si="95"/>
        <v>15581960.068125</v>
      </c>
    </row>
    <row r="770" spans="1:34">
      <c r="A770">
        <v>766</v>
      </c>
      <c r="B770">
        <v>1003</v>
      </c>
      <c r="C770">
        <v>60</v>
      </c>
      <c r="D770">
        <f>IFERROR(ROUND($U770*$X770*$AA770*参数!$B$13,0),"")</f>
        <v>5923075</v>
      </c>
      <c r="E770">
        <f>IFERROR(ROUND($V770*$Y770*$AB770*参数!$C$13,0),"")</f>
        <v>59442</v>
      </c>
      <c r="F770">
        <f>IFERROR(ROUND($W770*$Z770*$AC770*参数!$D$13,0),"")</f>
        <v>64088</v>
      </c>
      <c r="J770">
        <v>154</v>
      </c>
      <c r="K770">
        <v>154</v>
      </c>
      <c r="L770">
        <f>IFERROR(INDEX(楼层配置!$D$5:$D$204,MATCH($K770,楼层配置!$B$5:$B$204,0)),"")</f>
        <v>369</v>
      </c>
      <c r="M770" t="str">
        <f>IFERROR(INDEX(_角色基线!$B$2:$B$100,MATCH($B770,_角色基线!$A$2:$A$100,0)),"")</f>
        <v>塔拉夏</v>
      </c>
      <c r="N770" t="str">
        <f>IFERROR(INDEX(_角色基线!$C$2:$C$100,MATCH($B770,_角色基线!$A$2:$A$100,0)),"")</f>
        <v>Tank</v>
      </c>
      <c r="O770">
        <f>IFERROR(INDEX(_怪物基线!$B$2:$B$501,MATCH(INT($L770),_怪物基线!$A$2:$A$501,0)),"")</f>
        <v>876853</v>
      </c>
      <c r="P770">
        <f>IFERROR(INDEX(_怪物基线!$C$2:$C$501,MATCH(INT($L770),_怪物基线!$A$2:$A$501,0)),"")</f>
        <v>67871</v>
      </c>
      <c r="Q770">
        <f>IFERROR(INDEX(_怪物基线!$D$2:$D$501,MATCH(INT($L770),_怪物基线!$A$2:$A$501,0)),"")</f>
        <v>42725</v>
      </c>
      <c r="R770">
        <f>参数!$B$10</f>
        <v>4</v>
      </c>
      <c r="S770">
        <f>参数!$C$10</f>
        <v>1.2</v>
      </c>
      <c r="T770">
        <f>参数!$D$10</f>
        <v>1</v>
      </c>
      <c r="U770">
        <f t="shared" si="88"/>
        <v>3507412</v>
      </c>
      <c r="V770">
        <f t="shared" si="89"/>
        <v>81445.2</v>
      </c>
      <c r="W770">
        <f t="shared" si="90"/>
        <v>42725</v>
      </c>
      <c r="X770">
        <f>IFERROR(INDEX(参数!$B$5:$B$7,MATCH($N770,参数!$A$5:$A$7,0)),"")</f>
        <v>1.5</v>
      </c>
      <c r="Y770">
        <f>IFERROR(INDEX(参数!$C$5:$C$7,MATCH($N770,参数!$A$5:$A$7,0)),"")</f>
        <v>1</v>
      </c>
      <c r="Z770">
        <f>IFERROR(INDEX(参数!$D$5:$D$7,MATCH($N770,参数!$A$5:$A$7,0)),"")</f>
        <v>1.5</v>
      </c>
      <c r="AA770">
        <f>IFERROR(INDEX(楼层配置!$E$5:$E$204,MATCH($K770,楼层配置!$B$5:$B$204,0)),1)</f>
        <v>1.12582067235919</v>
      </c>
      <c r="AB770">
        <f>IFERROR(INDEX(楼层配置!$F$5:$F$204,MATCH($K770,楼层配置!$B$5:$B$204,0)),1)</f>
        <v>0.729834891319568</v>
      </c>
      <c r="AC770">
        <f>IFERROR(INDEX(楼层配置!$G$5:$G$204,MATCH($K770,楼层配置!$B$5:$B$204,0)),1)</f>
        <v>1</v>
      </c>
      <c r="AD770" t="str">
        <f t="shared" si="91"/>
        <v/>
      </c>
      <c r="AE770" t="str">
        <f t="shared" si="92"/>
        <v/>
      </c>
      <c r="AF770" t="str">
        <f t="shared" si="93"/>
        <v/>
      </c>
      <c r="AG770" t="str">
        <f t="shared" si="94"/>
        <v>有效</v>
      </c>
      <c r="AH770">
        <f t="shared" si="95"/>
        <v>21739659.6083333</v>
      </c>
    </row>
    <row r="771" spans="1:34">
      <c r="A771">
        <v>767</v>
      </c>
      <c r="B771">
        <v>1005</v>
      </c>
      <c r="C771">
        <v>60</v>
      </c>
      <c r="D771">
        <f>IFERROR(ROUND($U771*$X771*$AA771*参数!$B$13,0),"")</f>
        <v>3948717</v>
      </c>
      <c r="E771">
        <f>IFERROR(ROUND($V771*$Y771*$AB771*参数!$C$13,0),"")</f>
        <v>71330</v>
      </c>
      <c r="F771">
        <f>IFERROR(ROUND($W771*$Z771*$AC771*参数!$D$13,0),"")</f>
        <v>42725</v>
      </c>
      <c r="J771">
        <v>154</v>
      </c>
      <c r="K771">
        <v>154</v>
      </c>
      <c r="L771">
        <f>IFERROR(INDEX(楼层配置!$D$5:$D$204,MATCH($K771,楼层配置!$B$5:$B$204,0)),"")</f>
        <v>369</v>
      </c>
      <c r="M771" t="str">
        <f>IFERROR(INDEX(_角色基线!$B$2:$B$100,MATCH($B771,_角色基线!$A$2:$A$100,0)),"")</f>
        <v>陈单单</v>
      </c>
      <c r="N771" t="str">
        <f>IFERROR(INDEX(_角色基线!$C$2:$C$100,MATCH($B771,_角色基线!$A$2:$A$100,0)),"")</f>
        <v>DPS</v>
      </c>
      <c r="O771">
        <f>IFERROR(INDEX(_怪物基线!$B$2:$B$501,MATCH(INT($L771),_怪物基线!$A$2:$A$501,0)),"")</f>
        <v>876853</v>
      </c>
      <c r="P771">
        <f>IFERROR(INDEX(_怪物基线!$C$2:$C$501,MATCH(INT($L771),_怪物基线!$A$2:$A$501,0)),"")</f>
        <v>67871</v>
      </c>
      <c r="Q771">
        <f>IFERROR(INDEX(_怪物基线!$D$2:$D$501,MATCH(INT($L771),_怪物基线!$A$2:$A$501,0)),"")</f>
        <v>42725</v>
      </c>
      <c r="R771">
        <f>参数!$B$10</f>
        <v>4</v>
      </c>
      <c r="S771">
        <f>参数!$C$10</f>
        <v>1.2</v>
      </c>
      <c r="T771">
        <f>参数!$D$10</f>
        <v>1</v>
      </c>
      <c r="U771">
        <f t="shared" si="88"/>
        <v>3507412</v>
      </c>
      <c r="V771">
        <f t="shared" si="89"/>
        <v>81445.2</v>
      </c>
      <c r="W771">
        <f t="shared" si="90"/>
        <v>42725</v>
      </c>
      <c r="X771">
        <f>IFERROR(INDEX(参数!$B$5:$B$7,MATCH($N771,参数!$A$5:$A$7,0)),"")</f>
        <v>1</v>
      </c>
      <c r="Y771">
        <f>IFERROR(INDEX(参数!$C$5:$C$7,MATCH($N771,参数!$A$5:$A$7,0)),"")</f>
        <v>1.2</v>
      </c>
      <c r="Z771">
        <f>IFERROR(INDEX(参数!$D$5:$D$7,MATCH($N771,参数!$A$5:$A$7,0)),"")</f>
        <v>1</v>
      </c>
      <c r="AA771">
        <f>IFERROR(INDEX(楼层配置!$E$5:$E$204,MATCH($K771,楼层配置!$B$5:$B$204,0)),1)</f>
        <v>1.12582067235919</v>
      </c>
      <c r="AB771">
        <f>IFERROR(INDEX(楼层配置!$F$5:$F$204,MATCH($K771,楼层配置!$B$5:$B$204,0)),1)</f>
        <v>0.729834891319568</v>
      </c>
      <c r="AC771">
        <f>IFERROR(INDEX(楼层配置!$G$5:$G$204,MATCH($K771,楼层配置!$B$5:$B$204,0)),1)</f>
        <v>1</v>
      </c>
      <c r="AD771" t="str">
        <f t="shared" si="91"/>
        <v/>
      </c>
      <c r="AE771" t="str">
        <f t="shared" si="92"/>
        <v/>
      </c>
      <c r="AF771" t="str">
        <f t="shared" si="93"/>
        <v/>
      </c>
      <c r="AG771" t="str">
        <f t="shared" si="94"/>
        <v>有效</v>
      </c>
      <c r="AH771">
        <f t="shared" si="95"/>
        <v>10978255.909375</v>
      </c>
    </row>
    <row r="772" spans="1:34">
      <c r="A772">
        <v>768</v>
      </c>
      <c r="B772">
        <v>1005</v>
      </c>
      <c r="C772">
        <v>60</v>
      </c>
      <c r="D772">
        <f>IFERROR(ROUND($U772*$X772*$AA772*参数!$B$13,0),"")</f>
        <v>3948717</v>
      </c>
      <c r="E772">
        <f>IFERROR(ROUND($V772*$Y772*$AB772*参数!$C$13,0),"")</f>
        <v>71330</v>
      </c>
      <c r="F772">
        <f>IFERROR(ROUND($W772*$Z772*$AC772*参数!$D$13,0),"")</f>
        <v>42725</v>
      </c>
      <c r="J772">
        <v>154</v>
      </c>
      <c r="K772">
        <v>154</v>
      </c>
      <c r="L772">
        <f>IFERROR(INDEX(楼层配置!$D$5:$D$204,MATCH($K772,楼层配置!$B$5:$B$204,0)),"")</f>
        <v>369</v>
      </c>
      <c r="M772" t="str">
        <f>IFERROR(INDEX(_角色基线!$B$2:$B$100,MATCH($B772,_角色基线!$A$2:$A$100,0)),"")</f>
        <v>陈单单</v>
      </c>
      <c r="N772" t="str">
        <f>IFERROR(INDEX(_角色基线!$C$2:$C$100,MATCH($B772,_角色基线!$A$2:$A$100,0)),"")</f>
        <v>DPS</v>
      </c>
      <c r="O772">
        <f>IFERROR(INDEX(_怪物基线!$B$2:$B$501,MATCH(INT($L772),_怪物基线!$A$2:$A$501,0)),"")</f>
        <v>876853</v>
      </c>
      <c r="P772">
        <f>IFERROR(INDEX(_怪物基线!$C$2:$C$501,MATCH(INT($L772),_怪物基线!$A$2:$A$501,0)),"")</f>
        <v>67871</v>
      </c>
      <c r="Q772">
        <f>IFERROR(INDEX(_怪物基线!$D$2:$D$501,MATCH(INT($L772),_怪物基线!$A$2:$A$501,0)),"")</f>
        <v>42725</v>
      </c>
      <c r="R772">
        <f>参数!$B$10</f>
        <v>4</v>
      </c>
      <c r="S772">
        <f>参数!$C$10</f>
        <v>1.2</v>
      </c>
      <c r="T772">
        <f>参数!$D$10</f>
        <v>1</v>
      </c>
      <c r="U772">
        <f t="shared" si="88"/>
        <v>3507412</v>
      </c>
      <c r="V772">
        <f t="shared" si="89"/>
        <v>81445.2</v>
      </c>
      <c r="W772">
        <f t="shared" si="90"/>
        <v>42725</v>
      </c>
      <c r="X772">
        <f>IFERROR(INDEX(参数!$B$5:$B$7,MATCH($N772,参数!$A$5:$A$7,0)),"")</f>
        <v>1</v>
      </c>
      <c r="Y772">
        <f>IFERROR(INDEX(参数!$C$5:$C$7,MATCH($N772,参数!$A$5:$A$7,0)),"")</f>
        <v>1.2</v>
      </c>
      <c r="Z772">
        <f>IFERROR(INDEX(参数!$D$5:$D$7,MATCH($N772,参数!$A$5:$A$7,0)),"")</f>
        <v>1</v>
      </c>
      <c r="AA772">
        <f>IFERROR(INDEX(楼层配置!$E$5:$E$204,MATCH($K772,楼层配置!$B$5:$B$204,0)),1)</f>
        <v>1.12582067235919</v>
      </c>
      <c r="AB772">
        <f>IFERROR(INDEX(楼层配置!$F$5:$F$204,MATCH($K772,楼层配置!$B$5:$B$204,0)),1)</f>
        <v>0.729834891319568</v>
      </c>
      <c r="AC772">
        <f>IFERROR(INDEX(楼层配置!$G$5:$G$204,MATCH($K772,楼层配置!$B$5:$B$204,0)),1)</f>
        <v>1</v>
      </c>
      <c r="AD772" t="str">
        <f t="shared" si="91"/>
        <v/>
      </c>
      <c r="AE772" t="str">
        <f t="shared" si="92"/>
        <v/>
      </c>
      <c r="AF772" t="str">
        <f t="shared" si="93"/>
        <v/>
      </c>
      <c r="AG772" t="str">
        <f t="shared" si="94"/>
        <v>有效</v>
      </c>
      <c r="AH772">
        <f t="shared" si="95"/>
        <v>10978255.909375</v>
      </c>
    </row>
    <row r="773" spans="1:34">
      <c r="A773">
        <v>769</v>
      </c>
      <c r="B773">
        <v>1005</v>
      </c>
      <c r="C773">
        <v>60</v>
      </c>
      <c r="D773">
        <f>IFERROR(ROUND($U773*$X773*$AA773*参数!$B$13,0),"")</f>
        <v>3948717</v>
      </c>
      <c r="E773">
        <f>IFERROR(ROUND($V773*$Y773*$AB773*参数!$C$13,0),"")</f>
        <v>71330</v>
      </c>
      <c r="F773">
        <f>IFERROR(ROUND($W773*$Z773*$AC773*参数!$D$13,0),"")</f>
        <v>42725</v>
      </c>
      <c r="J773">
        <v>154</v>
      </c>
      <c r="K773">
        <v>154</v>
      </c>
      <c r="L773">
        <f>IFERROR(INDEX(楼层配置!$D$5:$D$204,MATCH($K773,楼层配置!$B$5:$B$204,0)),"")</f>
        <v>369</v>
      </c>
      <c r="M773" t="str">
        <f>IFERROR(INDEX(_角色基线!$B$2:$B$100,MATCH($B773,_角色基线!$A$2:$A$100,0)),"")</f>
        <v>陈单单</v>
      </c>
      <c r="N773" t="str">
        <f>IFERROR(INDEX(_角色基线!$C$2:$C$100,MATCH($B773,_角色基线!$A$2:$A$100,0)),"")</f>
        <v>DPS</v>
      </c>
      <c r="O773">
        <f>IFERROR(INDEX(_怪物基线!$B$2:$B$501,MATCH(INT($L773),_怪物基线!$A$2:$A$501,0)),"")</f>
        <v>876853</v>
      </c>
      <c r="P773">
        <f>IFERROR(INDEX(_怪物基线!$C$2:$C$501,MATCH(INT($L773),_怪物基线!$A$2:$A$501,0)),"")</f>
        <v>67871</v>
      </c>
      <c r="Q773">
        <f>IFERROR(INDEX(_怪物基线!$D$2:$D$501,MATCH(INT($L773),_怪物基线!$A$2:$A$501,0)),"")</f>
        <v>42725</v>
      </c>
      <c r="R773">
        <f>参数!$B$10</f>
        <v>4</v>
      </c>
      <c r="S773">
        <f>参数!$C$10</f>
        <v>1.2</v>
      </c>
      <c r="T773">
        <f>参数!$D$10</f>
        <v>1</v>
      </c>
      <c r="U773">
        <f t="shared" ref="U773:U836" si="96">IF($O773="","",$O773*$R773)</f>
        <v>3507412</v>
      </c>
      <c r="V773">
        <f t="shared" ref="V773:V836" si="97">IF($P773="","",$P773*$S773)</f>
        <v>81445.2</v>
      </c>
      <c r="W773">
        <f t="shared" ref="W773:W836" si="98">IF($Q773="","",$Q773*$T773)</f>
        <v>42725</v>
      </c>
      <c r="X773">
        <f>IFERROR(INDEX(参数!$B$5:$B$7,MATCH($N773,参数!$A$5:$A$7,0)),"")</f>
        <v>1</v>
      </c>
      <c r="Y773">
        <f>IFERROR(INDEX(参数!$C$5:$C$7,MATCH($N773,参数!$A$5:$A$7,0)),"")</f>
        <v>1.2</v>
      </c>
      <c r="Z773">
        <f>IFERROR(INDEX(参数!$D$5:$D$7,MATCH($N773,参数!$A$5:$A$7,0)),"")</f>
        <v>1</v>
      </c>
      <c r="AA773">
        <f>IFERROR(INDEX(楼层配置!$E$5:$E$204,MATCH($K773,楼层配置!$B$5:$B$204,0)),1)</f>
        <v>1.12582067235919</v>
      </c>
      <c r="AB773">
        <f>IFERROR(INDEX(楼层配置!$F$5:$F$204,MATCH($K773,楼层配置!$B$5:$B$204,0)),1)</f>
        <v>0.729834891319568</v>
      </c>
      <c r="AC773">
        <f>IFERROR(INDEX(楼层配置!$G$5:$G$204,MATCH($K773,楼层配置!$B$5:$B$204,0)),1)</f>
        <v>1</v>
      </c>
      <c r="AD773" t="str">
        <f t="shared" ref="AD773:AD836" si="99">IFERROR($D773/$G773-1,"")</f>
        <v/>
      </c>
      <c r="AE773" t="str">
        <f t="shared" ref="AE773:AE836" si="100">IFERROR($E773/$H773-1,"")</f>
        <v/>
      </c>
      <c r="AF773" t="str">
        <f t="shared" ref="AF773:AF836" si="101">IFERROR($F773/$I773-1,"")</f>
        <v/>
      </c>
      <c r="AG773" t="str">
        <f t="shared" ref="AG773:AG836" si="102">IF(AND($A773&gt;=1,$L773&gt;=1,$L773&lt;=500,OR($N773="Tank",$N773="DPS",$N773="Support"),ISNUMBER($D773),ISNUMBER($E773),ISNUMBER($F773)),"有效","异常")</f>
        <v>有效</v>
      </c>
      <c r="AH773">
        <f t="shared" ref="AH773:AH836" si="103">D773/(1-MIN(0.75,F773/(24000+F773)))</f>
        <v>10978255.909375</v>
      </c>
    </row>
    <row r="774" spans="1:34">
      <c r="A774">
        <v>770</v>
      </c>
      <c r="B774">
        <v>1029</v>
      </c>
      <c r="C774">
        <v>60</v>
      </c>
      <c r="D774">
        <f>IFERROR(ROUND($U774*$X774*$AA774*参数!$B$13,0),"")</f>
        <v>4935896</v>
      </c>
      <c r="E774">
        <f>IFERROR(ROUND($V774*$Y774*$AB774*参数!$C$13,0),"")</f>
        <v>59442</v>
      </c>
      <c r="F774">
        <f>IFERROR(ROUND($W774*$Z774*$AC774*参数!$D$13,0),"")</f>
        <v>53406</v>
      </c>
      <c r="J774">
        <v>154</v>
      </c>
      <c r="K774">
        <v>154</v>
      </c>
      <c r="L774">
        <f>IFERROR(INDEX(楼层配置!$D$5:$D$204,MATCH($K774,楼层配置!$B$5:$B$204,0)),"")</f>
        <v>369</v>
      </c>
      <c r="M774" t="str">
        <f>IFERROR(INDEX(_角色基线!$B$2:$B$100,MATCH($B774,_角色基线!$A$2:$A$100,0)),"")</f>
        <v>凯兰</v>
      </c>
      <c r="N774" t="str">
        <f>IFERROR(INDEX(_角色基线!$C$2:$C$100,MATCH($B774,_角色基线!$A$2:$A$100,0)),"")</f>
        <v>Support</v>
      </c>
      <c r="O774">
        <f>IFERROR(INDEX(_怪物基线!$B$2:$B$501,MATCH(INT($L774),_怪物基线!$A$2:$A$501,0)),"")</f>
        <v>876853</v>
      </c>
      <c r="P774">
        <f>IFERROR(INDEX(_怪物基线!$C$2:$C$501,MATCH(INT($L774),_怪物基线!$A$2:$A$501,0)),"")</f>
        <v>67871</v>
      </c>
      <c r="Q774">
        <f>IFERROR(INDEX(_怪物基线!$D$2:$D$501,MATCH(INT($L774),_怪物基线!$A$2:$A$501,0)),"")</f>
        <v>42725</v>
      </c>
      <c r="R774">
        <f>参数!$B$10</f>
        <v>4</v>
      </c>
      <c r="S774">
        <f>参数!$C$10</f>
        <v>1.2</v>
      </c>
      <c r="T774">
        <f>参数!$D$10</f>
        <v>1</v>
      </c>
      <c r="U774">
        <f t="shared" si="96"/>
        <v>3507412</v>
      </c>
      <c r="V774">
        <f t="shared" si="97"/>
        <v>81445.2</v>
      </c>
      <c r="W774">
        <f t="shared" si="98"/>
        <v>42725</v>
      </c>
      <c r="X774">
        <f>IFERROR(INDEX(参数!$B$5:$B$7,MATCH($N774,参数!$A$5:$A$7,0)),"")</f>
        <v>1.25</v>
      </c>
      <c r="Y774">
        <f>IFERROR(INDEX(参数!$C$5:$C$7,MATCH($N774,参数!$A$5:$A$7,0)),"")</f>
        <v>1</v>
      </c>
      <c r="Z774">
        <f>IFERROR(INDEX(参数!$D$5:$D$7,MATCH($N774,参数!$A$5:$A$7,0)),"")</f>
        <v>1.25</v>
      </c>
      <c r="AA774">
        <f>IFERROR(INDEX(楼层配置!$E$5:$E$204,MATCH($K774,楼层配置!$B$5:$B$204,0)),1)</f>
        <v>1.12582067235919</v>
      </c>
      <c r="AB774">
        <f>IFERROR(INDEX(楼层配置!$F$5:$F$204,MATCH($K774,楼层配置!$B$5:$B$204,0)),1)</f>
        <v>0.729834891319568</v>
      </c>
      <c r="AC774">
        <f>IFERROR(INDEX(楼层配置!$G$5:$G$204,MATCH($K774,楼层配置!$B$5:$B$204,0)),1)</f>
        <v>1</v>
      </c>
      <c r="AD774" t="str">
        <f t="shared" si="99"/>
        <v/>
      </c>
      <c r="AE774" t="str">
        <f t="shared" si="100"/>
        <v/>
      </c>
      <c r="AF774" t="str">
        <f t="shared" si="101"/>
        <v/>
      </c>
      <c r="AG774" t="str">
        <f t="shared" si="102"/>
        <v>有效</v>
      </c>
      <c r="AH774">
        <f t="shared" si="103"/>
        <v>15919498.574</v>
      </c>
    </row>
    <row r="775" spans="1:34">
      <c r="A775">
        <v>771</v>
      </c>
      <c r="B775">
        <v>1003</v>
      </c>
      <c r="C775">
        <v>60</v>
      </c>
      <c r="D775">
        <f>IFERROR(ROUND($U775*$X775*$AA775*参数!$B$13,0),"")</f>
        <v>6048444</v>
      </c>
      <c r="E775">
        <f>IFERROR(ROUND($V775*$Y775*$AB775*参数!$C$13,0),"")</f>
        <v>59948</v>
      </c>
      <c r="F775">
        <f>IFERROR(ROUND($W775*$Z775*$AC775*参数!$D$13,0),"")</f>
        <v>64562</v>
      </c>
      <c r="J775">
        <v>155</v>
      </c>
      <c r="K775">
        <v>155</v>
      </c>
      <c r="L775">
        <f>IFERROR(INDEX(楼层配置!$D$5:$D$204,MATCH($K775,楼层配置!$B$5:$B$204,0)),"")</f>
        <v>371</v>
      </c>
      <c r="M775" t="str">
        <f>IFERROR(INDEX(_角色基线!$B$2:$B$100,MATCH($B775,_角色基线!$A$2:$A$100,0)),"")</f>
        <v>塔拉夏</v>
      </c>
      <c r="N775" t="str">
        <f>IFERROR(INDEX(_角色基线!$C$2:$C$100,MATCH($B775,_角色基线!$A$2:$A$100,0)),"")</f>
        <v>Tank</v>
      </c>
      <c r="O775">
        <f>IFERROR(INDEX(_怪物基线!$B$2:$B$501,MATCH(INT($L775),_怪物基线!$A$2:$A$501,0)),"")</f>
        <v>891249</v>
      </c>
      <c r="P775">
        <f>IFERROR(INDEX(_怪物基线!$C$2:$C$501,MATCH(INT($L775),_怪物基线!$A$2:$A$501,0)),"")</f>
        <v>68746</v>
      </c>
      <c r="Q775">
        <f>IFERROR(INDEX(_怪物基线!$D$2:$D$501,MATCH(INT($L775),_怪物基线!$A$2:$A$501,0)),"")</f>
        <v>43041</v>
      </c>
      <c r="R775">
        <f>参数!$B$10</f>
        <v>4</v>
      </c>
      <c r="S775">
        <f>参数!$C$10</f>
        <v>1.2</v>
      </c>
      <c r="T775">
        <f>参数!$D$10</f>
        <v>1</v>
      </c>
      <c r="U775">
        <f t="shared" si="96"/>
        <v>3564996</v>
      </c>
      <c r="V775">
        <f t="shared" si="97"/>
        <v>82495.2</v>
      </c>
      <c r="W775">
        <f t="shared" si="98"/>
        <v>43041</v>
      </c>
      <c r="X775">
        <f>IFERROR(INDEX(参数!$B$5:$B$7,MATCH($N775,参数!$A$5:$A$7,0)),"")</f>
        <v>1.5</v>
      </c>
      <c r="Y775">
        <f>IFERROR(INDEX(参数!$C$5:$C$7,MATCH($N775,参数!$A$5:$A$7,0)),"")</f>
        <v>1</v>
      </c>
      <c r="Z775">
        <f>IFERROR(INDEX(参数!$D$5:$D$7,MATCH($N775,参数!$A$5:$A$7,0)),"")</f>
        <v>1.5</v>
      </c>
      <c r="AA775">
        <f>IFERROR(INDEX(楼层配置!$E$5:$E$204,MATCH($K775,楼层配置!$B$5:$B$204,0)),1)</f>
        <v>1.13108015591293</v>
      </c>
      <c r="AB775">
        <f>IFERROR(INDEX(楼层配置!$F$5:$F$204,MATCH($K775,楼层配置!$B$5:$B$204,0)),1)</f>
        <v>0.726679309784578</v>
      </c>
      <c r="AC775">
        <f>IFERROR(INDEX(楼层配置!$G$5:$G$204,MATCH($K775,楼层配置!$B$5:$B$204,0)),1)</f>
        <v>1</v>
      </c>
      <c r="AD775" t="str">
        <f t="shared" si="99"/>
        <v/>
      </c>
      <c r="AE775" t="str">
        <f t="shared" si="100"/>
        <v/>
      </c>
      <c r="AF775" t="str">
        <f t="shared" si="101"/>
        <v/>
      </c>
      <c r="AG775" t="str">
        <f t="shared" si="102"/>
        <v>有效</v>
      </c>
      <c r="AH775">
        <f t="shared" si="103"/>
        <v>22319262.397</v>
      </c>
    </row>
    <row r="776" spans="1:34">
      <c r="A776">
        <v>772</v>
      </c>
      <c r="B776">
        <v>1005</v>
      </c>
      <c r="C776">
        <v>60</v>
      </c>
      <c r="D776">
        <f>IFERROR(ROUND($U776*$X776*$AA776*参数!$B$13,0),"")</f>
        <v>4032296</v>
      </c>
      <c r="E776">
        <f>IFERROR(ROUND($V776*$Y776*$AB776*参数!$C$13,0),"")</f>
        <v>71937</v>
      </c>
      <c r="F776">
        <f>IFERROR(ROUND($W776*$Z776*$AC776*参数!$D$13,0),"")</f>
        <v>43041</v>
      </c>
      <c r="J776">
        <v>155</v>
      </c>
      <c r="K776">
        <v>155</v>
      </c>
      <c r="L776">
        <f>IFERROR(INDEX(楼层配置!$D$5:$D$204,MATCH($K776,楼层配置!$B$5:$B$204,0)),"")</f>
        <v>371</v>
      </c>
      <c r="M776" t="str">
        <f>IFERROR(INDEX(_角色基线!$B$2:$B$100,MATCH($B776,_角色基线!$A$2:$A$100,0)),"")</f>
        <v>陈单单</v>
      </c>
      <c r="N776" t="str">
        <f>IFERROR(INDEX(_角色基线!$C$2:$C$100,MATCH($B776,_角色基线!$A$2:$A$100,0)),"")</f>
        <v>DPS</v>
      </c>
      <c r="O776">
        <f>IFERROR(INDEX(_怪物基线!$B$2:$B$501,MATCH(INT($L776),_怪物基线!$A$2:$A$501,0)),"")</f>
        <v>891249</v>
      </c>
      <c r="P776">
        <f>IFERROR(INDEX(_怪物基线!$C$2:$C$501,MATCH(INT($L776),_怪物基线!$A$2:$A$501,0)),"")</f>
        <v>68746</v>
      </c>
      <c r="Q776">
        <f>IFERROR(INDEX(_怪物基线!$D$2:$D$501,MATCH(INT($L776),_怪物基线!$A$2:$A$501,0)),"")</f>
        <v>43041</v>
      </c>
      <c r="R776">
        <f>参数!$B$10</f>
        <v>4</v>
      </c>
      <c r="S776">
        <f>参数!$C$10</f>
        <v>1.2</v>
      </c>
      <c r="T776">
        <f>参数!$D$10</f>
        <v>1</v>
      </c>
      <c r="U776">
        <f t="shared" si="96"/>
        <v>3564996</v>
      </c>
      <c r="V776">
        <f t="shared" si="97"/>
        <v>82495.2</v>
      </c>
      <c r="W776">
        <f t="shared" si="98"/>
        <v>43041</v>
      </c>
      <c r="X776">
        <f>IFERROR(INDEX(参数!$B$5:$B$7,MATCH($N776,参数!$A$5:$A$7,0)),"")</f>
        <v>1</v>
      </c>
      <c r="Y776">
        <f>IFERROR(INDEX(参数!$C$5:$C$7,MATCH($N776,参数!$A$5:$A$7,0)),"")</f>
        <v>1.2</v>
      </c>
      <c r="Z776">
        <f>IFERROR(INDEX(参数!$D$5:$D$7,MATCH($N776,参数!$A$5:$A$7,0)),"")</f>
        <v>1</v>
      </c>
      <c r="AA776">
        <f>IFERROR(INDEX(楼层配置!$E$5:$E$204,MATCH($K776,楼层配置!$B$5:$B$204,0)),1)</f>
        <v>1.13108015591293</v>
      </c>
      <c r="AB776">
        <f>IFERROR(INDEX(楼层配置!$F$5:$F$204,MATCH($K776,楼层配置!$B$5:$B$204,0)),1)</f>
        <v>0.726679309784578</v>
      </c>
      <c r="AC776">
        <f>IFERROR(INDEX(楼层配置!$G$5:$G$204,MATCH($K776,楼层配置!$B$5:$B$204,0)),1)</f>
        <v>1</v>
      </c>
      <c r="AD776" t="str">
        <f t="shared" si="99"/>
        <v/>
      </c>
      <c r="AE776" t="str">
        <f t="shared" si="100"/>
        <v/>
      </c>
      <c r="AF776" t="str">
        <f t="shared" si="101"/>
        <v/>
      </c>
      <c r="AG776" t="str">
        <f t="shared" si="102"/>
        <v>有效</v>
      </c>
      <c r="AH776">
        <f t="shared" si="103"/>
        <v>11263714.839</v>
      </c>
    </row>
    <row r="777" spans="1:34">
      <c r="A777">
        <v>773</v>
      </c>
      <c r="B777">
        <v>1005</v>
      </c>
      <c r="C777">
        <v>60</v>
      </c>
      <c r="D777">
        <f>IFERROR(ROUND($U777*$X777*$AA777*参数!$B$13,0),"")</f>
        <v>4032296</v>
      </c>
      <c r="E777">
        <f>IFERROR(ROUND($V777*$Y777*$AB777*参数!$C$13,0),"")</f>
        <v>71937</v>
      </c>
      <c r="F777">
        <f>IFERROR(ROUND($W777*$Z777*$AC777*参数!$D$13,0),"")</f>
        <v>43041</v>
      </c>
      <c r="J777">
        <v>155</v>
      </c>
      <c r="K777">
        <v>155</v>
      </c>
      <c r="L777">
        <f>IFERROR(INDEX(楼层配置!$D$5:$D$204,MATCH($K777,楼层配置!$B$5:$B$204,0)),"")</f>
        <v>371</v>
      </c>
      <c r="M777" t="str">
        <f>IFERROR(INDEX(_角色基线!$B$2:$B$100,MATCH($B777,_角色基线!$A$2:$A$100,0)),"")</f>
        <v>陈单单</v>
      </c>
      <c r="N777" t="str">
        <f>IFERROR(INDEX(_角色基线!$C$2:$C$100,MATCH($B777,_角色基线!$A$2:$A$100,0)),"")</f>
        <v>DPS</v>
      </c>
      <c r="O777">
        <f>IFERROR(INDEX(_怪物基线!$B$2:$B$501,MATCH(INT($L777),_怪物基线!$A$2:$A$501,0)),"")</f>
        <v>891249</v>
      </c>
      <c r="P777">
        <f>IFERROR(INDEX(_怪物基线!$C$2:$C$501,MATCH(INT($L777),_怪物基线!$A$2:$A$501,0)),"")</f>
        <v>68746</v>
      </c>
      <c r="Q777">
        <f>IFERROR(INDEX(_怪物基线!$D$2:$D$501,MATCH(INT($L777),_怪物基线!$A$2:$A$501,0)),"")</f>
        <v>43041</v>
      </c>
      <c r="R777">
        <f>参数!$B$10</f>
        <v>4</v>
      </c>
      <c r="S777">
        <f>参数!$C$10</f>
        <v>1.2</v>
      </c>
      <c r="T777">
        <f>参数!$D$10</f>
        <v>1</v>
      </c>
      <c r="U777">
        <f t="shared" si="96"/>
        <v>3564996</v>
      </c>
      <c r="V777">
        <f t="shared" si="97"/>
        <v>82495.2</v>
      </c>
      <c r="W777">
        <f t="shared" si="98"/>
        <v>43041</v>
      </c>
      <c r="X777">
        <f>IFERROR(INDEX(参数!$B$5:$B$7,MATCH($N777,参数!$A$5:$A$7,0)),"")</f>
        <v>1</v>
      </c>
      <c r="Y777">
        <f>IFERROR(INDEX(参数!$C$5:$C$7,MATCH($N777,参数!$A$5:$A$7,0)),"")</f>
        <v>1.2</v>
      </c>
      <c r="Z777">
        <f>IFERROR(INDEX(参数!$D$5:$D$7,MATCH($N777,参数!$A$5:$A$7,0)),"")</f>
        <v>1</v>
      </c>
      <c r="AA777">
        <f>IFERROR(INDEX(楼层配置!$E$5:$E$204,MATCH($K777,楼层配置!$B$5:$B$204,0)),1)</f>
        <v>1.13108015591293</v>
      </c>
      <c r="AB777">
        <f>IFERROR(INDEX(楼层配置!$F$5:$F$204,MATCH($K777,楼层配置!$B$5:$B$204,0)),1)</f>
        <v>0.726679309784578</v>
      </c>
      <c r="AC777">
        <f>IFERROR(INDEX(楼层配置!$G$5:$G$204,MATCH($K777,楼层配置!$B$5:$B$204,0)),1)</f>
        <v>1</v>
      </c>
      <c r="AD777" t="str">
        <f t="shared" si="99"/>
        <v/>
      </c>
      <c r="AE777" t="str">
        <f t="shared" si="100"/>
        <v/>
      </c>
      <c r="AF777" t="str">
        <f t="shared" si="101"/>
        <v/>
      </c>
      <c r="AG777" t="str">
        <f t="shared" si="102"/>
        <v>有效</v>
      </c>
      <c r="AH777">
        <f t="shared" si="103"/>
        <v>11263714.839</v>
      </c>
    </row>
    <row r="778" spans="1:34">
      <c r="A778">
        <v>774</v>
      </c>
      <c r="B778">
        <v>1005</v>
      </c>
      <c r="C778">
        <v>60</v>
      </c>
      <c r="D778">
        <f>IFERROR(ROUND($U778*$X778*$AA778*参数!$B$13,0),"")</f>
        <v>4032296</v>
      </c>
      <c r="E778">
        <f>IFERROR(ROUND($V778*$Y778*$AB778*参数!$C$13,0),"")</f>
        <v>71937</v>
      </c>
      <c r="F778">
        <f>IFERROR(ROUND($W778*$Z778*$AC778*参数!$D$13,0),"")</f>
        <v>43041</v>
      </c>
      <c r="J778">
        <v>155</v>
      </c>
      <c r="K778">
        <v>155</v>
      </c>
      <c r="L778">
        <f>IFERROR(INDEX(楼层配置!$D$5:$D$204,MATCH($K778,楼层配置!$B$5:$B$204,0)),"")</f>
        <v>371</v>
      </c>
      <c r="M778" t="str">
        <f>IFERROR(INDEX(_角色基线!$B$2:$B$100,MATCH($B778,_角色基线!$A$2:$A$100,0)),"")</f>
        <v>陈单单</v>
      </c>
      <c r="N778" t="str">
        <f>IFERROR(INDEX(_角色基线!$C$2:$C$100,MATCH($B778,_角色基线!$A$2:$A$100,0)),"")</f>
        <v>DPS</v>
      </c>
      <c r="O778">
        <f>IFERROR(INDEX(_怪物基线!$B$2:$B$501,MATCH(INT($L778),_怪物基线!$A$2:$A$501,0)),"")</f>
        <v>891249</v>
      </c>
      <c r="P778">
        <f>IFERROR(INDEX(_怪物基线!$C$2:$C$501,MATCH(INT($L778),_怪物基线!$A$2:$A$501,0)),"")</f>
        <v>68746</v>
      </c>
      <c r="Q778">
        <f>IFERROR(INDEX(_怪物基线!$D$2:$D$501,MATCH(INT($L778),_怪物基线!$A$2:$A$501,0)),"")</f>
        <v>43041</v>
      </c>
      <c r="R778">
        <f>参数!$B$10</f>
        <v>4</v>
      </c>
      <c r="S778">
        <f>参数!$C$10</f>
        <v>1.2</v>
      </c>
      <c r="T778">
        <f>参数!$D$10</f>
        <v>1</v>
      </c>
      <c r="U778">
        <f t="shared" si="96"/>
        <v>3564996</v>
      </c>
      <c r="V778">
        <f t="shared" si="97"/>
        <v>82495.2</v>
      </c>
      <c r="W778">
        <f t="shared" si="98"/>
        <v>43041</v>
      </c>
      <c r="X778">
        <f>IFERROR(INDEX(参数!$B$5:$B$7,MATCH($N778,参数!$A$5:$A$7,0)),"")</f>
        <v>1</v>
      </c>
      <c r="Y778">
        <f>IFERROR(INDEX(参数!$C$5:$C$7,MATCH($N778,参数!$A$5:$A$7,0)),"")</f>
        <v>1.2</v>
      </c>
      <c r="Z778">
        <f>IFERROR(INDEX(参数!$D$5:$D$7,MATCH($N778,参数!$A$5:$A$7,0)),"")</f>
        <v>1</v>
      </c>
      <c r="AA778">
        <f>IFERROR(INDEX(楼层配置!$E$5:$E$204,MATCH($K778,楼层配置!$B$5:$B$204,0)),1)</f>
        <v>1.13108015591293</v>
      </c>
      <c r="AB778">
        <f>IFERROR(INDEX(楼层配置!$F$5:$F$204,MATCH($K778,楼层配置!$B$5:$B$204,0)),1)</f>
        <v>0.726679309784578</v>
      </c>
      <c r="AC778">
        <f>IFERROR(INDEX(楼层配置!$G$5:$G$204,MATCH($K778,楼层配置!$B$5:$B$204,0)),1)</f>
        <v>1</v>
      </c>
      <c r="AD778" t="str">
        <f t="shared" si="99"/>
        <v/>
      </c>
      <c r="AE778" t="str">
        <f t="shared" si="100"/>
        <v/>
      </c>
      <c r="AF778" t="str">
        <f t="shared" si="101"/>
        <v/>
      </c>
      <c r="AG778" t="str">
        <f t="shared" si="102"/>
        <v>有效</v>
      </c>
      <c r="AH778">
        <f t="shared" si="103"/>
        <v>11263714.839</v>
      </c>
    </row>
    <row r="779" spans="1:34">
      <c r="A779">
        <v>775</v>
      </c>
      <c r="B779">
        <v>1029</v>
      </c>
      <c r="C779">
        <v>60</v>
      </c>
      <c r="D779">
        <f>IFERROR(ROUND($U779*$X779*$AA779*参数!$B$13,0),"")</f>
        <v>5040370</v>
      </c>
      <c r="E779">
        <f>IFERROR(ROUND($V779*$Y779*$AB779*参数!$C$13,0),"")</f>
        <v>59948</v>
      </c>
      <c r="F779">
        <f>IFERROR(ROUND($W779*$Z779*$AC779*参数!$D$13,0),"")</f>
        <v>53801</v>
      </c>
      <c r="J779">
        <v>155</v>
      </c>
      <c r="K779">
        <v>155</v>
      </c>
      <c r="L779">
        <f>IFERROR(INDEX(楼层配置!$D$5:$D$204,MATCH($K779,楼层配置!$B$5:$B$204,0)),"")</f>
        <v>371</v>
      </c>
      <c r="M779" t="str">
        <f>IFERROR(INDEX(_角色基线!$B$2:$B$100,MATCH($B779,_角色基线!$A$2:$A$100,0)),"")</f>
        <v>凯兰</v>
      </c>
      <c r="N779" t="str">
        <f>IFERROR(INDEX(_角色基线!$C$2:$C$100,MATCH($B779,_角色基线!$A$2:$A$100,0)),"")</f>
        <v>Support</v>
      </c>
      <c r="O779">
        <f>IFERROR(INDEX(_怪物基线!$B$2:$B$501,MATCH(INT($L779),_怪物基线!$A$2:$A$501,0)),"")</f>
        <v>891249</v>
      </c>
      <c r="P779">
        <f>IFERROR(INDEX(_怪物基线!$C$2:$C$501,MATCH(INT($L779),_怪物基线!$A$2:$A$501,0)),"")</f>
        <v>68746</v>
      </c>
      <c r="Q779">
        <f>IFERROR(INDEX(_怪物基线!$D$2:$D$501,MATCH(INT($L779),_怪物基线!$A$2:$A$501,0)),"")</f>
        <v>43041</v>
      </c>
      <c r="R779">
        <f>参数!$B$10</f>
        <v>4</v>
      </c>
      <c r="S779">
        <f>参数!$C$10</f>
        <v>1.2</v>
      </c>
      <c r="T779">
        <f>参数!$D$10</f>
        <v>1</v>
      </c>
      <c r="U779">
        <f t="shared" si="96"/>
        <v>3564996</v>
      </c>
      <c r="V779">
        <f t="shared" si="97"/>
        <v>82495.2</v>
      </c>
      <c r="W779">
        <f t="shared" si="98"/>
        <v>43041</v>
      </c>
      <c r="X779">
        <f>IFERROR(INDEX(参数!$B$5:$B$7,MATCH($N779,参数!$A$5:$A$7,0)),"")</f>
        <v>1.25</v>
      </c>
      <c r="Y779">
        <f>IFERROR(INDEX(参数!$C$5:$C$7,MATCH($N779,参数!$A$5:$A$7,0)),"")</f>
        <v>1</v>
      </c>
      <c r="Z779">
        <f>IFERROR(INDEX(参数!$D$5:$D$7,MATCH($N779,参数!$A$5:$A$7,0)),"")</f>
        <v>1.25</v>
      </c>
      <c r="AA779">
        <f>IFERROR(INDEX(楼层配置!$E$5:$E$204,MATCH($K779,楼层配置!$B$5:$B$204,0)),1)</f>
        <v>1.13108015591293</v>
      </c>
      <c r="AB779">
        <f>IFERROR(INDEX(楼层配置!$F$5:$F$204,MATCH($K779,楼层配置!$B$5:$B$204,0)),1)</f>
        <v>0.726679309784578</v>
      </c>
      <c r="AC779">
        <f>IFERROR(INDEX(楼层配置!$G$5:$G$204,MATCH($K779,楼层配置!$B$5:$B$204,0)),1)</f>
        <v>1</v>
      </c>
      <c r="AD779" t="str">
        <f t="shared" si="99"/>
        <v/>
      </c>
      <c r="AE779" t="str">
        <f t="shared" si="100"/>
        <v/>
      </c>
      <c r="AF779" t="str">
        <f t="shared" si="101"/>
        <v/>
      </c>
      <c r="AG779" t="str">
        <f t="shared" si="102"/>
        <v>有效</v>
      </c>
      <c r="AH779">
        <f t="shared" si="103"/>
        <v>16339409.4320833</v>
      </c>
    </row>
    <row r="780" spans="1:34">
      <c r="A780">
        <v>776</v>
      </c>
      <c r="B780">
        <v>1003</v>
      </c>
      <c r="C780">
        <v>60</v>
      </c>
      <c r="D780">
        <f>IFERROR(ROUND($U780*$X780*$AA780*参数!$B$13,0),"")</f>
        <v>6118820</v>
      </c>
      <c r="E780">
        <f>IFERROR(ROUND($V780*$Y780*$AB780*参数!$C$13,0),"")</f>
        <v>60982</v>
      </c>
      <c r="F780">
        <f>IFERROR(ROUND($W780*$Z780*$AC780*参数!$D$13,0),"")</f>
        <v>65036</v>
      </c>
      <c r="J780">
        <v>156</v>
      </c>
      <c r="K780">
        <v>156</v>
      </c>
      <c r="L780">
        <f>IFERROR(INDEX(楼层配置!$D$5:$D$204,MATCH($K780,楼层配置!$B$5:$B$204,0)),"")</f>
        <v>373</v>
      </c>
      <c r="M780" t="str">
        <f>IFERROR(INDEX(_角色基线!$B$2:$B$100,MATCH($B780,_角色基线!$A$2:$A$100,0)),"")</f>
        <v>塔拉夏</v>
      </c>
      <c r="N780" t="str">
        <f>IFERROR(INDEX(_角色基线!$C$2:$C$100,MATCH($B780,_角色基线!$A$2:$A$100,0)),"")</f>
        <v>Tank</v>
      </c>
      <c r="O780">
        <f>IFERROR(INDEX(_怪物基线!$B$2:$B$501,MATCH(INT($L780),_怪物基线!$A$2:$A$501,0)),"")</f>
        <v>905831</v>
      </c>
      <c r="P780">
        <f>IFERROR(INDEX(_怪物基线!$C$2:$C$501,MATCH(INT($L780),_怪物基线!$A$2:$A$501,0)),"")</f>
        <v>69630</v>
      </c>
      <c r="Q780">
        <f>IFERROR(INDEX(_怪物基线!$D$2:$D$501,MATCH(INT($L780),_怪物基线!$A$2:$A$501,0)),"")</f>
        <v>43357</v>
      </c>
      <c r="R780">
        <f>参数!$B$10</f>
        <v>4</v>
      </c>
      <c r="S780">
        <f>参数!$C$10</f>
        <v>1.2</v>
      </c>
      <c r="T780">
        <f>参数!$D$10</f>
        <v>1</v>
      </c>
      <c r="U780">
        <f t="shared" si="96"/>
        <v>3623324</v>
      </c>
      <c r="V780">
        <f t="shared" si="97"/>
        <v>83556</v>
      </c>
      <c r="W780">
        <f t="shared" si="98"/>
        <v>43357</v>
      </c>
      <c r="X780">
        <f>IFERROR(INDEX(参数!$B$5:$B$7,MATCH($N780,参数!$A$5:$A$7,0)),"")</f>
        <v>1.5</v>
      </c>
      <c r="Y780">
        <f>IFERROR(INDEX(参数!$C$5:$C$7,MATCH($N780,参数!$A$5:$A$7,0)),"")</f>
        <v>1</v>
      </c>
      <c r="Z780">
        <f>IFERROR(INDEX(参数!$D$5:$D$7,MATCH($N780,参数!$A$5:$A$7,0)),"")</f>
        <v>1.5</v>
      </c>
      <c r="AA780">
        <f>IFERROR(INDEX(楼层配置!$E$5:$E$204,MATCH($K780,楼层配置!$B$5:$B$204,0)),1)</f>
        <v>1.12582067235919</v>
      </c>
      <c r="AB780">
        <f>IFERROR(INDEX(楼层配置!$F$5:$F$204,MATCH($K780,楼层配置!$B$5:$B$204,0)),1)</f>
        <v>0.729834891319568</v>
      </c>
      <c r="AC780">
        <f>IFERROR(INDEX(楼层配置!$G$5:$G$204,MATCH($K780,楼层配置!$B$5:$B$204,0)),1)</f>
        <v>1</v>
      </c>
      <c r="AD780" t="str">
        <f t="shared" si="99"/>
        <v/>
      </c>
      <c r="AE780" t="str">
        <f t="shared" si="100"/>
        <v/>
      </c>
      <c r="AF780" t="str">
        <f t="shared" si="101"/>
        <v/>
      </c>
      <c r="AG780" t="str">
        <f t="shared" si="102"/>
        <v>有效</v>
      </c>
      <c r="AH780">
        <f t="shared" si="103"/>
        <v>22699802.3966667</v>
      </c>
    </row>
    <row r="781" spans="1:34">
      <c r="A781">
        <v>777</v>
      </c>
      <c r="B781">
        <v>1005</v>
      </c>
      <c r="C781">
        <v>60</v>
      </c>
      <c r="D781">
        <f>IFERROR(ROUND($U781*$X781*$AA781*参数!$B$13,0),"")</f>
        <v>4079213</v>
      </c>
      <c r="E781">
        <f>IFERROR(ROUND($V781*$Y781*$AB781*参数!$C$13,0),"")</f>
        <v>73179</v>
      </c>
      <c r="F781">
        <f>IFERROR(ROUND($W781*$Z781*$AC781*参数!$D$13,0),"")</f>
        <v>43357</v>
      </c>
      <c r="J781">
        <v>156</v>
      </c>
      <c r="K781">
        <v>156</v>
      </c>
      <c r="L781">
        <f>IFERROR(INDEX(楼层配置!$D$5:$D$204,MATCH($K781,楼层配置!$B$5:$B$204,0)),"")</f>
        <v>373</v>
      </c>
      <c r="M781" t="str">
        <f>IFERROR(INDEX(_角色基线!$B$2:$B$100,MATCH($B781,_角色基线!$A$2:$A$100,0)),"")</f>
        <v>陈单单</v>
      </c>
      <c r="N781" t="str">
        <f>IFERROR(INDEX(_角色基线!$C$2:$C$100,MATCH($B781,_角色基线!$A$2:$A$100,0)),"")</f>
        <v>DPS</v>
      </c>
      <c r="O781">
        <f>IFERROR(INDEX(_怪物基线!$B$2:$B$501,MATCH(INT($L781),_怪物基线!$A$2:$A$501,0)),"")</f>
        <v>905831</v>
      </c>
      <c r="P781">
        <f>IFERROR(INDEX(_怪物基线!$C$2:$C$501,MATCH(INT($L781),_怪物基线!$A$2:$A$501,0)),"")</f>
        <v>69630</v>
      </c>
      <c r="Q781">
        <f>IFERROR(INDEX(_怪物基线!$D$2:$D$501,MATCH(INT($L781),_怪物基线!$A$2:$A$501,0)),"")</f>
        <v>43357</v>
      </c>
      <c r="R781">
        <f>参数!$B$10</f>
        <v>4</v>
      </c>
      <c r="S781">
        <f>参数!$C$10</f>
        <v>1.2</v>
      </c>
      <c r="T781">
        <f>参数!$D$10</f>
        <v>1</v>
      </c>
      <c r="U781">
        <f t="shared" si="96"/>
        <v>3623324</v>
      </c>
      <c r="V781">
        <f t="shared" si="97"/>
        <v>83556</v>
      </c>
      <c r="W781">
        <f t="shared" si="98"/>
        <v>43357</v>
      </c>
      <c r="X781">
        <f>IFERROR(INDEX(参数!$B$5:$B$7,MATCH($N781,参数!$A$5:$A$7,0)),"")</f>
        <v>1</v>
      </c>
      <c r="Y781">
        <f>IFERROR(INDEX(参数!$C$5:$C$7,MATCH($N781,参数!$A$5:$A$7,0)),"")</f>
        <v>1.2</v>
      </c>
      <c r="Z781">
        <f>IFERROR(INDEX(参数!$D$5:$D$7,MATCH($N781,参数!$A$5:$A$7,0)),"")</f>
        <v>1</v>
      </c>
      <c r="AA781">
        <f>IFERROR(INDEX(楼层配置!$E$5:$E$204,MATCH($K781,楼层配置!$B$5:$B$204,0)),1)</f>
        <v>1.12582067235919</v>
      </c>
      <c r="AB781">
        <f>IFERROR(INDEX(楼层配置!$F$5:$F$204,MATCH($K781,楼层配置!$B$5:$B$204,0)),1)</f>
        <v>0.729834891319568</v>
      </c>
      <c r="AC781">
        <f>IFERROR(INDEX(楼层配置!$G$5:$G$204,MATCH($K781,楼层配置!$B$5:$B$204,0)),1)</f>
        <v>1</v>
      </c>
      <c r="AD781" t="str">
        <f t="shared" si="99"/>
        <v/>
      </c>
      <c r="AE781" t="str">
        <f t="shared" si="100"/>
        <v/>
      </c>
      <c r="AF781" t="str">
        <f t="shared" si="101"/>
        <v/>
      </c>
      <c r="AG781" t="str">
        <f t="shared" si="102"/>
        <v>有效</v>
      </c>
      <c r="AH781">
        <f t="shared" si="103"/>
        <v>11448481.2517083</v>
      </c>
    </row>
    <row r="782" spans="1:34">
      <c r="A782">
        <v>778</v>
      </c>
      <c r="B782">
        <v>1005</v>
      </c>
      <c r="C782">
        <v>60</v>
      </c>
      <c r="D782">
        <f>IFERROR(ROUND($U782*$X782*$AA782*参数!$B$13,0),"")</f>
        <v>4079213</v>
      </c>
      <c r="E782">
        <f>IFERROR(ROUND($V782*$Y782*$AB782*参数!$C$13,0),"")</f>
        <v>73179</v>
      </c>
      <c r="F782">
        <f>IFERROR(ROUND($W782*$Z782*$AC782*参数!$D$13,0),"")</f>
        <v>43357</v>
      </c>
      <c r="J782">
        <v>156</v>
      </c>
      <c r="K782">
        <v>156</v>
      </c>
      <c r="L782">
        <f>IFERROR(INDEX(楼层配置!$D$5:$D$204,MATCH($K782,楼层配置!$B$5:$B$204,0)),"")</f>
        <v>373</v>
      </c>
      <c r="M782" t="str">
        <f>IFERROR(INDEX(_角色基线!$B$2:$B$100,MATCH($B782,_角色基线!$A$2:$A$100,0)),"")</f>
        <v>陈单单</v>
      </c>
      <c r="N782" t="str">
        <f>IFERROR(INDEX(_角色基线!$C$2:$C$100,MATCH($B782,_角色基线!$A$2:$A$100,0)),"")</f>
        <v>DPS</v>
      </c>
      <c r="O782">
        <f>IFERROR(INDEX(_怪物基线!$B$2:$B$501,MATCH(INT($L782),_怪物基线!$A$2:$A$501,0)),"")</f>
        <v>905831</v>
      </c>
      <c r="P782">
        <f>IFERROR(INDEX(_怪物基线!$C$2:$C$501,MATCH(INT($L782),_怪物基线!$A$2:$A$501,0)),"")</f>
        <v>69630</v>
      </c>
      <c r="Q782">
        <f>IFERROR(INDEX(_怪物基线!$D$2:$D$501,MATCH(INT($L782),_怪物基线!$A$2:$A$501,0)),"")</f>
        <v>43357</v>
      </c>
      <c r="R782">
        <f>参数!$B$10</f>
        <v>4</v>
      </c>
      <c r="S782">
        <f>参数!$C$10</f>
        <v>1.2</v>
      </c>
      <c r="T782">
        <f>参数!$D$10</f>
        <v>1</v>
      </c>
      <c r="U782">
        <f t="shared" si="96"/>
        <v>3623324</v>
      </c>
      <c r="V782">
        <f t="shared" si="97"/>
        <v>83556</v>
      </c>
      <c r="W782">
        <f t="shared" si="98"/>
        <v>43357</v>
      </c>
      <c r="X782">
        <f>IFERROR(INDEX(参数!$B$5:$B$7,MATCH($N782,参数!$A$5:$A$7,0)),"")</f>
        <v>1</v>
      </c>
      <c r="Y782">
        <f>IFERROR(INDEX(参数!$C$5:$C$7,MATCH($N782,参数!$A$5:$A$7,0)),"")</f>
        <v>1.2</v>
      </c>
      <c r="Z782">
        <f>IFERROR(INDEX(参数!$D$5:$D$7,MATCH($N782,参数!$A$5:$A$7,0)),"")</f>
        <v>1</v>
      </c>
      <c r="AA782">
        <f>IFERROR(INDEX(楼层配置!$E$5:$E$204,MATCH($K782,楼层配置!$B$5:$B$204,0)),1)</f>
        <v>1.12582067235919</v>
      </c>
      <c r="AB782">
        <f>IFERROR(INDEX(楼层配置!$F$5:$F$204,MATCH($K782,楼层配置!$B$5:$B$204,0)),1)</f>
        <v>0.729834891319568</v>
      </c>
      <c r="AC782">
        <f>IFERROR(INDEX(楼层配置!$G$5:$G$204,MATCH($K782,楼层配置!$B$5:$B$204,0)),1)</f>
        <v>1</v>
      </c>
      <c r="AD782" t="str">
        <f t="shared" si="99"/>
        <v/>
      </c>
      <c r="AE782" t="str">
        <f t="shared" si="100"/>
        <v/>
      </c>
      <c r="AF782" t="str">
        <f t="shared" si="101"/>
        <v/>
      </c>
      <c r="AG782" t="str">
        <f t="shared" si="102"/>
        <v>有效</v>
      </c>
      <c r="AH782">
        <f t="shared" si="103"/>
        <v>11448481.2517083</v>
      </c>
    </row>
    <row r="783" spans="1:34">
      <c r="A783">
        <v>779</v>
      </c>
      <c r="B783">
        <v>1005</v>
      </c>
      <c r="C783">
        <v>60</v>
      </c>
      <c r="D783">
        <f>IFERROR(ROUND($U783*$X783*$AA783*参数!$B$13,0),"")</f>
        <v>4079213</v>
      </c>
      <c r="E783">
        <f>IFERROR(ROUND($V783*$Y783*$AB783*参数!$C$13,0),"")</f>
        <v>73179</v>
      </c>
      <c r="F783">
        <f>IFERROR(ROUND($W783*$Z783*$AC783*参数!$D$13,0),"")</f>
        <v>43357</v>
      </c>
      <c r="J783">
        <v>156</v>
      </c>
      <c r="K783">
        <v>156</v>
      </c>
      <c r="L783">
        <f>IFERROR(INDEX(楼层配置!$D$5:$D$204,MATCH($K783,楼层配置!$B$5:$B$204,0)),"")</f>
        <v>373</v>
      </c>
      <c r="M783" t="str">
        <f>IFERROR(INDEX(_角色基线!$B$2:$B$100,MATCH($B783,_角色基线!$A$2:$A$100,0)),"")</f>
        <v>陈单单</v>
      </c>
      <c r="N783" t="str">
        <f>IFERROR(INDEX(_角色基线!$C$2:$C$100,MATCH($B783,_角色基线!$A$2:$A$100,0)),"")</f>
        <v>DPS</v>
      </c>
      <c r="O783">
        <f>IFERROR(INDEX(_怪物基线!$B$2:$B$501,MATCH(INT($L783),_怪物基线!$A$2:$A$501,0)),"")</f>
        <v>905831</v>
      </c>
      <c r="P783">
        <f>IFERROR(INDEX(_怪物基线!$C$2:$C$501,MATCH(INT($L783),_怪物基线!$A$2:$A$501,0)),"")</f>
        <v>69630</v>
      </c>
      <c r="Q783">
        <f>IFERROR(INDEX(_怪物基线!$D$2:$D$501,MATCH(INT($L783),_怪物基线!$A$2:$A$501,0)),"")</f>
        <v>43357</v>
      </c>
      <c r="R783">
        <f>参数!$B$10</f>
        <v>4</v>
      </c>
      <c r="S783">
        <f>参数!$C$10</f>
        <v>1.2</v>
      </c>
      <c r="T783">
        <f>参数!$D$10</f>
        <v>1</v>
      </c>
      <c r="U783">
        <f t="shared" si="96"/>
        <v>3623324</v>
      </c>
      <c r="V783">
        <f t="shared" si="97"/>
        <v>83556</v>
      </c>
      <c r="W783">
        <f t="shared" si="98"/>
        <v>43357</v>
      </c>
      <c r="X783">
        <f>IFERROR(INDEX(参数!$B$5:$B$7,MATCH($N783,参数!$A$5:$A$7,0)),"")</f>
        <v>1</v>
      </c>
      <c r="Y783">
        <f>IFERROR(INDEX(参数!$C$5:$C$7,MATCH($N783,参数!$A$5:$A$7,0)),"")</f>
        <v>1.2</v>
      </c>
      <c r="Z783">
        <f>IFERROR(INDEX(参数!$D$5:$D$7,MATCH($N783,参数!$A$5:$A$7,0)),"")</f>
        <v>1</v>
      </c>
      <c r="AA783">
        <f>IFERROR(INDEX(楼层配置!$E$5:$E$204,MATCH($K783,楼层配置!$B$5:$B$204,0)),1)</f>
        <v>1.12582067235919</v>
      </c>
      <c r="AB783">
        <f>IFERROR(INDEX(楼层配置!$F$5:$F$204,MATCH($K783,楼层配置!$B$5:$B$204,0)),1)</f>
        <v>0.729834891319568</v>
      </c>
      <c r="AC783">
        <f>IFERROR(INDEX(楼层配置!$G$5:$G$204,MATCH($K783,楼层配置!$B$5:$B$204,0)),1)</f>
        <v>1</v>
      </c>
      <c r="AD783" t="str">
        <f t="shared" si="99"/>
        <v/>
      </c>
      <c r="AE783" t="str">
        <f t="shared" si="100"/>
        <v/>
      </c>
      <c r="AF783" t="str">
        <f t="shared" si="101"/>
        <v/>
      </c>
      <c r="AG783" t="str">
        <f t="shared" si="102"/>
        <v>有效</v>
      </c>
      <c r="AH783">
        <f t="shared" si="103"/>
        <v>11448481.2517083</v>
      </c>
    </row>
    <row r="784" spans="1:34">
      <c r="A784">
        <v>780</v>
      </c>
      <c r="B784">
        <v>1029</v>
      </c>
      <c r="C784">
        <v>60</v>
      </c>
      <c r="D784">
        <f>IFERROR(ROUND($U784*$X784*$AA784*参数!$B$13,0),"")</f>
        <v>5099016</v>
      </c>
      <c r="E784">
        <f>IFERROR(ROUND($V784*$Y784*$AB784*参数!$C$13,0),"")</f>
        <v>60982</v>
      </c>
      <c r="F784">
        <f>IFERROR(ROUND($W784*$Z784*$AC784*参数!$D$13,0),"")</f>
        <v>54196</v>
      </c>
      <c r="J784">
        <v>156</v>
      </c>
      <c r="K784">
        <v>156</v>
      </c>
      <c r="L784">
        <f>IFERROR(INDEX(楼层配置!$D$5:$D$204,MATCH($K784,楼层配置!$B$5:$B$204,0)),"")</f>
        <v>373</v>
      </c>
      <c r="M784" t="str">
        <f>IFERROR(INDEX(_角色基线!$B$2:$B$100,MATCH($B784,_角色基线!$A$2:$A$100,0)),"")</f>
        <v>凯兰</v>
      </c>
      <c r="N784" t="str">
        <f>IFERROR(INDEX(_角色基线!$C$2:$C$100,MATCH($B784,_角色基线!$A$2:$A$100,0)),"")</f>
        <v>Support</v>
      </c>
      <c r="O784">
        <f>IFERROR(INDEX(_怪物基线!$B$2:$B$501,MATCH(INT($L784),_怪物基线!$A$2:$A$501,0)),"")</f>
        <v>905831</v>
      </c>
      <c r="P784">
        <f>IFERROR(INDEX(_怪物基线!$C$2:$C$501,MATCH(INT($L784),_怪物基线!$A$2:$A$501,0)),"")</f>
        <v>69630</v>
      </c>
      <c r="Q784">
        <f>IFERROR(INDEX(_怪物基线!$D$2:$D$501,MATCH(INT($L784),_怪物基线!$A$2:$A$501,0)),"")</f>
        <v>43357</v>
      </c>
      <c r="R784">
        <f>参数!$B$10</f>
        <v>4</v>
      </c>
      <c r="S784">
        <f>参数!$C$10</f>
        <v>1.2</v>
      </c>
      <c r="T784">
        <f>参数!$D$10</f>
        <v>1</v>
      </c>
      <c r="U784">
        <f t="shared" si="96"/>
        <v>3623324</v>
      </c>
      <c r="V784">
        <f t="shared" si="97"/>
        <v>83556</v>
      </c>
      <c r="W784">
        <f t="shared" si="98"/>
        <v>43357</v>
      </c>
      <c r="X784">
        <f>IFERROR(INDEX(参数!$B$5:$B$7,MATCH($N784,参数!$A$5:$A$7,0)),"")</f>
        <v>1.25</v>
      </c>
      <c r="Y784">
        <f>IFERROR(INDEX(参数!$C$5:$C$7,MATCH($N784,参数!$A$5:$A$7,0)),"")</f>
        <v>1</v>
      </c>
      <c r="Z784">
        <f>IFERROR(INDEX(参数!$D$5:$D$7,MATCH($N784,参数!$A$5:$A$7,0)),"")</f>
        <v>1.25</v>
      </c>
      <c r="AA784">
        <f>IFERROR(INDEX(楼层配置!$E$5:$E$204,MATCH($K784,楼层配置!$B$5:$B$204,0)),1)</f>
        <v>1.12582067235919</v>
      </c>
      <c r="AB784">
        <f>IFERROR(INDEX(楼层配置!$F$5:$F$204,MATCH($K784,楼层配置!$B$5:$B$204,0)),1)</f>
        <v>0.729834891319568</v>
      </c>
      <c r="AC784">
        <f>IFERROR(INDEX(楼层配置!$G$5:$G$204,MATCH($K784,楼层配置!$B$5:$B$204,0)),1)</f>
        <v>1</v>
      </c>
      <c r="AD784" t="str">
        <f t="shared" si="99"/>
        <v/>
      </c>
      <c r="AE784" t="str">
        <f t="shared" si="100"/>
        <v/>
      </c>
      <c r="AF784" t="str">
        <f t="shared" si="101"/>
        <v/>
      </c>
      <c r="AG784" t="str">
        <f t="shared" si="102"/>
        <v>有效</v>
      </c>
      <c r="AH784">
        <f t="shared" si="103"/>
        <v>16613443.964</v>
      </c>
    </row>
    <row r="785" spans="1:34">
      <c r="A785">
        <v>781</v>
      </c>
      <c r="B785">
        <v>1003</v>
      </c>
      <c r="C785">
        <v>60</v>
      </c>
      <c r="D785">
        <f>IFERROR(ROUND($U785*$X785*$AA785*参数!$B$13,0),"")</f>
        <v>6218576</v>
      </c>
      <c r="E785">
        <f>IFERROR(ROUND($V785*$Y785*$AB785*参数!$C$13,0),"")</f>
        <v>61766</v>
      </c>
      <c r="F785">
        <f>IFERROR(ROUND($W785*$Z785*$AC785*参数!$D$13,0),"")</f>
        <v>65513</v>
      </c>
      <c r="J785">
        <v>157</v>
      </c>
      <c r="K785">
        <v>157</v>
      </c>
      <c r="L785">
        <f>IFERROR(INDEX(楼层配置!$D$5:$D$204,MATCH($K785,楼层配置!$B$5:$B$204,0)),"")</f>
        <v>375</v>
      </c>
      <c r="M785" t="str">
        <f>IFERROR(INDEX(_角色基线!$B$2:$B$100,MATCH($B785,_角色基线!$A$2:$A$100,0)),"")</f>
        <v>塔拉夏</v>
      </c>
      <c r="N785" t="str">
        <f>IFERROR(INDEX(_角色基线!$C$2:$C$100,MATCH($B785,_角色基线!$A$2:$A$100,0)),"")</f>
        <v>Tank</v>
      </c>
      <c r="O785">
        <f>IFERROR(INDEX(_怪物基线!$B$2:$B$501,MATCH(INT($L785),_怪物基线!$A$2:$A$501,0)),"")</f>
        <v>920599</v>
      </c>
      <c r="P785">
        <f>IFERROR(INDEX(_怪物基线!$C$2:$C$501,MATCH(INT($L785),_怪物基线!$A$2:$A$501,0)),"")</f>
        <v>70525</v>
      </c>
      <c r="Q785">
        <f>IFERROR(INDEX(_怪物基线!$D$2:$D$501,MATCH(INT($L785),_怪物基线!$A$2:$A$501,0)),"")</f>
        <v>43675</v>
      </c>
      <c r="R785">
        <f>参数!$B$10</f>
        <v>4</v>
      </c>
      <c r="S785">
        <f>参数!$C$10</f>
        <v>1.2</v>
      </c>
      <c r="T785">
        <f>参数!$D$10</f>
        <v>1</v>
      </c>
      <c r="U785">
        <f t="shared" si="96"/>
        <v>3682396</v>
      </c>
      <c r="V785">
        <f t="shared" si="97"/>
        <v>84630</v>
      </c>
      <c r="W785">
        <f t="shared" si="98"/>
        <v>43675</v>
      </c>
      <c r="X785">
        <f>IFERROR(INDEX(参数!$B$5:$B$7,MATCH($N785,参数!$A$5:$A$7,0)),"")</f>
        <v>1.5</v>
      </c>
      <c r="Y785">
        <f>IFERROR(INDEX(参数!$C$5:$C$7,MATCH($N785,参数!$A$5:$A$7,0)),"")</f>
        <v>1</v>
      </c>
      <c r="Z785">
        <f>IFERROR(INDEX(参数!$D$5:$D$7,MATCH($N785,参数!$A$5:$A$7,0)),"")</f>
        <v>1.5</v>
      </c>
      <c r="AA785">
        <f>IFERROR(INDEX(楼层配置!$E$5:$E$204,MATCH($K785,楼层配置!$B$5:$B$204,0)),1)</f>
        <v>1.12582067235919</v>
      </c>
      <c r="AB785">
        <f>IFERROR(INDEX(楼层配置!$F$5:$F$204,MATCH($K785,楼层配置!$B$5:$B$204,0)),1)</f>
        <v>0.729834891319568</v>
      </c>
      <c r="AC785">
        <f>IFERROR(INDEX(楼层配置!$G$5:$G$204,MATCH($K785,楼层配置!$B$5:$B$204,0)),1)</f>
        <v>1</v>
      </c>
      <c r="AD785" t="str">
        <f t="shared" si="99"/>
        <v/>
      </c>
      <c r="AE785" t="str">
        <f t="shared" si="100"/>
        <v/>
      </c>
      <c r="AF785" t="str">
        <f t="shared" si="101"/>
        <v/>
      </c>
      <c r="AG785" t="str">
        <f t="shared" si="102"/>
        <v>有效</v>
      </c>
      <c r="AH785">
        <f t="shared" si="103"/>
        <v>23193474.7286667</v>
      </c>
    </row>
    <row r="786" spans="1:34">
      <c r="A786">
        <v>782</v>
      </c>
      <c r="B786">
        <v>1005</v>
      </c>
      <c r="C786">
        <v>60</v>
      </c>
      <c r="D786">
        <f>IFERROR(ROUND($U786*$X786*$AA786*参数!$B$13,0),"")</f>
        <v>4145718</v>
      </c>
      <c r="E786">
        <f>IFERROR(ROUND($V786*$Y786*$AB786*参数!$C$13,0),"")</f>
        <v>74119</v>
      </c>
      <c r="F786">
        <f>IFERROR(ROUND($W786*$Z786*$AC786*参数!$D$13,0),"")</f>
        <v>43675</v>
      </c>
      <c r="J786">
        <v>157</v>
      </c>
      <c r="K786">
        <v>157</v>
      </c>
      <c r="L786">
        <f>IFERROR(INDEX(楼层配置!$D$5:$D$204,MATCH($K786,楼层配置!$B$5:$B$204,0)),"")</f>
        <v>375</v>
      </c>
      <c r="M786" t="str">
        <f>IFERROR(INDEX(_角色基线!$B$2:$B$100,MATCH($B786,_角色基线!$A$2:$A$100,0)),"")</f>
        <v>陈单单</v>
      </c>
      <c r="N786" t="str">
        <f>IFERROR(INDEX(_角色基线!$C$2:$C$100,MATCH($B786,_角色基线!$A$2:$A$100,0)),"")</f>
        <v>DPS</v>
      </c>
      <c r="O786">
        <f>IFERROR(INDEX(_怪物基线!$B$2:$B$501,MATCH(INT($L786),_怪物基线!$A$2:$A$501,0)),"")</f>
        <v>920599</v>
      </c>
      <c r="P786">
        <f>IFERROR(INDEX(_怪物基线!$C$2:$C$501,MATCH(INT($L786),_怪物基线!$A$2:$A$501,0)),"")</f>
        <v>70525</v>
      </c>
      <c r="Q786">
        <f>IFERROR(INDEX(_怪物基线!$D$2:$D$501,MATCH(INT($L786),_怪物基线!$A$2:$A$501,0)),"")</f>
        <v>43675</v>
      </c>
      <c r="R786">
        <f>参数!$B$10</f>
        <v>4</v>
      </c>
      <c r="S786">
        <f>参数!$C$10</f>
        <v>1.2</v>
      </c>
      <c r="T786">
        <f>参数!$D$10</f>
        <v>1</v>
      </c>
      <c r="U786">
        <f t="shared" si="96"/>
        <v>3682396</v>
      </c>
      <c r="V786">
        <f t="shared" si="97"/>
        <v>84630</v>
      </c>
      <c r="W786">
        <f t="shared" si="98"/>
        <v>43675</v>
      </c>
      <c r="X786">
        <f>IFERROR(INDEX(参数!$B$5:$B$7,MATCH($N786,参数!$A$5:$A$7,0)),"")</f>
        <v>1</v>
      </c>
      <c r="Y786">
        <f>IFERROR(INDEX(参数!$C$5:$C$7,MATCH($N786,参数!$A$5:$A$7,0)),"")</f>
        <v>1.2</v>
      </c>
      <c r="Z786">
        <f>IFERROR(INDEX(参数!$D$5:$D$7,MATCH($N786,参数!$A$5:$A$7,0)),"")</f>
        <v>1</v>
      </c>
      <c r="AA786">
        <f>IFERROR(INDEX(楼层配置!$E$5:$E$204,MATCH($K786,楼层配置!$B$5:$B$204,0)),1)</f>
        <v>1.12582067235919</v>
      </c>
      <c r="AB786">
        <f>IFERROR(INDEX(楼层配置!$F$5:$F$204,MATCH($K786,楼层配置!$B$5:$B$204,0)),1)</f>
        <v>0.729834891319568</v>
      </c>
      <c r="AC786">
        <f>IFERROR(INDEX(楼层配置!$G$5:$G$204,MATCH($K786,楼层配置!$B$5:$B$204,0)),1)</f>
        <v>1</v>
      </c>
      <c r="AD786" t="str">
        <f t="shared" si="99"/>
        <v/>
      </c>
      <c r="AE786" t="str">
        <f t="shared" si="100"/>
        <v/>
      </c>
      <c r="AF786" t="str">
        <f t="shared" si="101"/>
        <v/>
      </c>
      <c r="AG786" t="str">
        <f t="shared" si="102"/>
        <v>有效</v>
      </c>
      <c r="AH786">
        <f t="shared" si="103"/>
        <v>11690061.06875</v>
      </c>
    </row>
    <row r="787" spans="1:34">
      <c r="A787">
        <v>783</v>
      </c>
      <c r="B787">
        <v>1005</v>
      </c>
      <c r="C787">
        <v>60</v>
      </c>
      <c r="D787">
        <f>IFERROR(ROUND($U787*$X787*$AA787*参数!$B$13,0),"")</f>
        <v>4145718</v>
      </c>
      <c r="E787">
        <f>IFERROR(ROUND($V787*$Y787*$AB787*参数!$C$13,0),"")</f>
        <v>74119</v>
      </c>
      <c r="F787">
        <f>IFERROR(ROUND($W787*$Z787*$AC787*参数!$D$13,0),"")</f>
        <v>43675</v>
      </c>
      <c r="J787">
        <v>157</v>
      </c>
      <c r="K787">
        <v>157</v>
      </c>
      <c r="L787">
        <f>IFERROR(INDEX(楼层配置!$D$5:$D$204,MATCH($K787,楼层配置!$B$5:$B$204,0)),"")</f>
        <v>375</v>
      </c>
      <c r="M787" t="str">
        <f>IFERROR(INDEX(_角色基线!$B$2:$B$100,MATCH($B787,_角色基线!$A$2:$A$100,0)),"")</f>
        <v>陈单单</v>
      </c>
      <c r="N787" t="str">
        <f>IFERROR(INDEX(_角色基线!$C$2:$C$100,MATCH($B787,_角色基线!$A$2:$A$100,0)),"")</f>
        <v>DPS</v>
      </c>
      <c r="O787">
        <f>IFERROR(INDEX(_怪物基线!$B$2:$B$501,MATCH(INT($L787),_怪物基线!$A$2:$A$501,0)),"")</f>
        <v>920599</v>
      </c>
      <c r="P787">
        <f>IFERROR(INDEX(_怪物基线!$C$2:$C$501,MATCH(INT($L787),_怪物基线!$A$2:$A$501,0)),"")</f>
        <v>70525</v>
      </c>
      <c r="Q787">
        <f>IFERROR(INDEX(_怪物基线!$D$2:$D$501,MATCH(INT($L787),_怪物基线!$A$2:$A$501,0)),"")</f>
        <v>43675</v>
      </c>
      <c r="R787">
        <f>参数!$B$10</f>
        <v>4</v>
      </c>
      <c r="S787">
        <f>参数!$C$10</f>
        <v>1.2</v>
      </c>
      <c r="T787">
        <f>参数!$D$10</f>
        <v>1</v>
      </c>
      <c r="U787">
        <f t="shared" si="96"/>
        <v>3682396</v>
      </c>
      <c r="V787">
        <f t="shared" si="97"/>
        <v>84630</v>
      </c>
      <c r="W787">
        <f t="shared" si="98"/>
        <v>43675</v>
      </c>
      <c r="X787">
        <f>IFERROR(INDEX(参数!$B$5:$B$7,MATCH($N787,参数!$A$5:$A$7,0)),"")</f>
        <v>1</v>
      </c>
      <c r="Y787">
        <f>IFERROR(INDEX(参数!$C$5:$C$7,MATCH($N787,参数!$A$5:$A$7,0)),"")</f>
        <v>1.2</v>
      </c>
      <c r="Z787">
        <f>IFERROR(INDEX(参数!$D$5:$D$7,MATCH($N787,参数!$A$5:$A$7,0)),"")</f>
        <v>1</v>
      </c>
      <c r="AA787">
        <f>IFERROR(INDEX(楼层配置!$E$5:$E$204,MATCH($K787,楼层配置!$B$5:$B$204,0)),1)</f>
        <v>1.12582067235919</v>
      </c>
      <c r="AB787">
        <f>IFERROR(INDEX(楼层配置!$F$5:$F$204,MATCH($K787,楼层配置!$B$5:$B$204,0)),1)</f>
        <v>0.729834891319568</v>
      </c>
      <c r="AC787">
        <f>IFERROR(INDEX(楼层配置!$G$5:$G$204,MATCH($K787,楼层配置!$B$5:$B$204,0)),1)</f>
        <v>1</v>
      </c>
      <c r="AD787" t="str">
        <f t="shared" si="99"/>
        <v/>
      </c>
      <c r="AE787" t="str">
        <f t="shared" si="100"/>
        <v/>
      </c>
      <c r="AF787" t="str">
        <f t="shared" si="101"/>
        <v/>
      </c>
      <c r="AG787" t="str">
        <f t="shared" si="102"/>
        <v>有效</v>
      </c>
      <c r="AH787">
        <f t="shared" si="103"/>
        <v>11690061.06875</v>
      </c>
    </row>
    <row r="788" spans="1:34">
      <c r="A788">
        <v>784</v>
      </c>
      <c r="B788">
        <v>1005</v>
      </c>
      <c r="C788">
        <v>60</v>
      </c>
      <c r="D788">
        <f>IFERROR(ROUND($U788*$X788*$AA788*参数!$B$13,0),"")</f>
        <v>4145718</v>
      </c>
      <c r="E788">
        <f>IFERROR(ROUND($V788*$Y788*$AB788*参数!$C$13,0),"")</f>
        <v>74119</v>
      </c>
      <c r="F788">
        <f>IFERROR(ROUND($W788*$Z788*$AC788*参数!$D$13,0),"")</f>
        <v>43675</v>
      </c>
      <c r="J788">
        <v>157</v>
      </c>
      <c r="K788">
        <v>157</v>
      </c>
      <c r="L788">
        <f>IFERROR(INDEX(楼层配置!$D$5:$D$204,MATCH($K788,楼层配置!$B$5:$B$204,0)),"")</f>
        <v>375</v>
      </c>
      <c r="M788" t="str">
        <f>IFERROR(INDEX(_角色基线!$B$2:$B$100,MATCH($B788,_角色基线!$A$2:$A$100,0)),"")</f>
        <v>陈单单</v>
      </c>
      <c r="N788" t="str">
        <f>IFERROR(INDEX(_角色基线!$C$2:$C$100,MATCH($B788,_角色基线!$A$2:$A$100,0)),"")</f>
        <v>DPS</v>
      </c>
      <c r="O788">
        <f>IFERROR(INDEX(_怪物基线!$B$2:$B$501,MATCH(INT($L788),_怪物基线!$A$2:$A$501,0)),"")</f>
        <v>920599</v>
      </c>
      <c r="P788">
        <f>IFERROR(INDEX(_怪物基线!$C$2:$C$501,MATCH(INT($L788),_怪物基线!$A$2:$A$501,0)),"")</f>
        <v>70525</v>
      </c>
      <c r="Q788">
        <f>IFERROR(INDEX(_怪物基线!$D$2:$D$501,MATCH(INT($L788),_怪物基线!$A$2:$A$501,0)),"")</f>
        <v>43675</v>
      </c>
      <c r="R788">
        <f>参数!$B$10</f>
        <v>4</v>
      </c>
      <c r="S788">
        <f>参数!$C$10</f>
        <v>1.2</v>
      </c>
      <c r="T788">
        <f>参数!$D$10</f>
        <v>1</v>
      </c>
      <c r="U788">
        <f t="shared" si="96"/>
        <v>3682396</v>
      </c>
      <c r="V788">
        <f t="shared" si="97"/>
        <v>84630</v>
      </c>
      <c r="W788">
        <f t="shared" si="98"/>
        <v>43675</v>
      </c>
      <c r="X788">
        <f>IFERROR(INDEX(参数!$B$5:$B$7,MATCH($N788,参数!$A$5:$A$7,0)),"")</f>
        <v>1</v>
      </c>
      <c r="Y788">
        <f>IFERROR(INDEX(参数!$C$5:$C$7,MATCH($N788,参数!$A$5:$A$7,0)),"")</f>
        <v>1.2</v>
      </c>
      <c r="Z788">
        <f>IFERROR(INDEX(参数!$D$5:$D$7,MATCH($N788,参数!$A$5:$A$7,0)),"")</f>
        <v>1</v>
      </c>
      <c r="AA788">
        <f>IFERROR(INDEX(楼层配置!$E$5:$E$204,MATCH($K788,楼层配置!$B$5:$B$204,0)),1)</f>
        <v>1.12582067235919</v>
      </c>
      <c r="AB788">
        <f>IFERROR(INDEX(楼层配置!$F$5:$F$204,MATCH($K788,楼层配置!$B$5:$B$204,0)),1)</f>
        <v>0.729834891319568</v>
      </c>
      <c r="AC788">
        <f>IFERROR(INDEX(楼层配置!$G$5:$G$204,MATCH($K788,楼层配置!$B$5:$B$204,0)),1)</f>
        <v>1</v>
      </c>
      <c r="AD788" t="str">
        <f t="shared" si="99"/>
        <v/>
      </c>
      <c r="AE788" t="str">
        <f t="shared" si="100"/>
        <v/>
      </c>
      <c r="AF788" t="str">
        <f t="shared" si="101"/>
        <v/>
      </c>
      <c r="AG788" t="str">
        <f t="shared" si="102"/>
        <v>有效</v>
      </c>
      <c r="AH788">
        <f t="shared" si="103"/>
        <v>11690061.06875</v>
      </c>
    </row>
    <row r="789" spans="1:34">
      <c r="A789">
        <v>785</v>
      </c>
      <c r="B789">
        <v>1029</v>
      </c>
      <c r="C789">
        <v>60</v>
      </c>
      <c r="D789">
        <f>IFERROR(ROUND($U789*$X789*$AA789*参数!$B$13,0),"")</f>
        <v>5182147</v>
      </c>
      <c r="E789">
        <f>IFERROR(ROUND($V789*$Y789*$AB789*参数!$C$13,0),"")</f>
        <v>61766</v>
      </c>
      <c r="F789">
        <f>IFERROR(ROUND($W789*$Z789*$AC789*参数!$D$13,0),"")</f>
        <v>54594</v>
      </c>
      <c r="J789">
        <v>157</v>
      </c>
      <c r="K789">
        <v>157</v>
      </c>
      <c r="L789">
        <f>IFERROR(INDEX(楼层配置!$D$5:$D$204,MATCH($K789,楼层配置!$B$5:$B$204,0)),"")</f>
        <v>375</v>
      </c>
      <c r="M789" t="str">
        <f>IFERROR(INDEX(_角色基线!$B$2:$B$100,MATCH($B789,_角色基线!$A$2:$A$100,0)),"")</f>
        <v>凯兰</v>
      </c>
      <c r="N789" t="str">
        <f>IFERROR(INDEX(_角色基线!$C$2:$C$100,MATCH($B789,_角色基线!$A$2:$A$100,0)),"")</f>
        <v>Support</v>
      </c>
      <c r="O789">
        <f>IFERROR(INDEX(_怪物基线!$B$2:$B$501,MATCH(INT($L789),_怪物基线!$A$2:$A$501,0)),"")</f>
        <v>920599</v>
      </c>
      <c r="P789">
        <f>IFERROR(INDEX(_怪物基线!$C$2:$C$501,MATCH(INT($L789),_怪物基线!$A$2:$A$501,0)),"")</f>
        <v>70525</v>
      </c>
      <c r="Q789">
        <f>IFERROR(INDEX(_怪物基线!$D$2:$D$501,MATCH(INT($L789),_怪物基线!$A$2:$A$501,0)),"")</f>
        <v>43675</v>
      </c>
      <c r="R789">
        <f>参数!$B$10</f>
        <v>4</v>
      </c>
      <c r="S789">
        <f>参数!$C$10</f>
        <v>1.2</v>
      </c>
      <c r="T789">
        <f>参数!$D$10</f>
        <v>1</v>
      </c>
      <c r="U789">
        <f t="shared" si="96"/>
        <v>3682396</v>
      </c>
      <c r="V789">
        <f t="shared" si="97"/>
        <v>84630</v>
      </c>
      <c r="W789">
        <f t="shared" si="98"/>
        <v>43675</v>
      </c>
      <c r="X789">
        <f>IFERROR(INDEX(参数!$B$5:$B$7,MATCH($N789,参数!$A$5:$A$7,0)),"")</f>
        <v>1.25</v>
      </c>
      <c r="Y789">
        <f>IFERROR(INDEX(参数!$C$5:$C$7,MATCH($N789,参数!$A$5:$A$7,0)),"")</f>
        <v>1</v>
      </c>
      <c r="Z789">
        <f>IFERROR(INDEX(参数!$D$5:$D$7,MATCH($N789,参数!$A$5:$A$7,0)),"")</f>
        <v>1.25</v>
      </c>
      <c r="AA789">
        <f>IFERROR(INDEX(楼层配置!$E$5:$E$204,MATCH($K789,楼层配置!$B$5:$B$204,0)),1)</f>
        <v>1.12582067235919</v>
      </c>
      <c r="AB789">
        <f>IFERROR(INDEX(楼层配置!$F$5:$F$204,MATCH($K789,楼层配置!$B$5:$B$204,0)),1)</f>
        <v>0.729834891319568</v>
      </c>
      <c r="AC789">
        <f>IFERROR(INDEX(楼层配置!$G$5:$G$204,MATCH($K789,楼层配置!$B$5:$B$204,0)),1)</f>
        <v>1</v>
      </c>
      <c r="AD789" t="str">
        <f t="shared" si="99"/>
        <v/>
      </c>
      <c r="AE789" t="str">
        <f t="shared" si="100"/>
        <v/>
      </c>
      <c r="AF789" t="str">
        <f t="shared" si="101"/>
        <v/>
      </c>
      <c r="AG789" t="str">
        <f t="shared" si="102"/>
        <v>有效</v>
      </c>
      <c r="AH789">
        <f t="shared" si="103"/>
        <v>16970235.88825</v>
      </c>
    </row>
    <row r="790" spans="1:34">
      <c r="A790">
        <v>786</v>
      </c>
      <c r="B790">
        <v>1003</v>
      </c>
      <c r="C790">
        <v>60</v>
      </c>
      <c r="D790">
        <f>IFERROR(ROUND($U790*$X790*$AA790*参数!$B$13,0),"")</f>
        <v>6370603</v>
      </c>
      <c r="E790">
        <f>IFERROR(ROUND($V790*$Y790*$AB790*参数!$C$13,0),"")</f>
        <v>62955</v>
      </c>
      <c r="F790">
        <f>IFERROR(ROUND($W790*$Z790*$AC790*参数!$D$13,0),"")</f>
        <v>66231</v>
      </c>
      <c r="J790">
        <v>158</v>
      </c>
      <c r="K790">
        <v>158</v>
      </c>
      <c r="L790">
        <f>IFERROR(INDEX(楼层配置!$D$5:$D$204,MATCH($K790,楼层配置!$B$5:$B$204,0)),"")</f>
        <v>378</v>
      </c>
      <c r="M790" t="str">
        <f>IFERROR(INDEX(_角色基线!$B$2:$B$100,MATCH($B790,_角色基线!$A$2:$A$100,0)),"")</f>
        <v>塔拉夏</v>
      </c>
      <c r="N790" t="str">
        <f>IFERROR(INDEX(_角色基线!$C$2:$C$100,MATCH($B790,_角色基线!$A$2:$A$100,0)),"")</f>
        <v>Tank</v>
      </c>
      <c r="O790">
        <f>IFERROR(INDEX(_怪物基线!$B$2:$B$501,MATCH(INT($L790),_怪物基线!$A$2:$A$501,0)),"")</f>
        <v>943105</v>
      </c>
      <c r="P790">
        <f>IFERROR(INDEX(_怪物基线!$C$2:$C$501,MATCH(INT($L790),_怪物基线!$A$2:$A$501,0)),"")</f>
        <v>71883</v>
      </c>
      <c r="Q790">
        <f>IFERROR(INDEX(_怪物基线!$D$2:$D$501,MATCH(INT($L790),_怪物基线!$A$2:$A$501,0)),"")</f>
        <v>44154</v>
      </c>
      <c r="R790">
        <f>参数!$B$10</f>
        <v>4</v>
      </c>
      <c r="S790">
        <f>参数!$C$10</f>
        <v>1.2</v>
      </c>
      <c r="T790">
        <f>参数!$D$10</f>
        <v>1</v>
      </c>
      <c r="U790">
        <f t="shared" si="96"/>
        <v>3772420</v>
      </c>
      <c r="V790">
        <f t="shared" si="97"/>
        <v>86259.6</v>
      </c>
      <c r="W790">
        <f t="shared" si="98"/>
        <v>44154</v>
      </c>
      <c r="X790">
        <f>IFERROR(INDEX(参数!$B$5:$B$7,MATCH($N790,参数!$A$5:$A$7,0)),"")</f>
        <v>1.5</v>
      </c>
      <c r="Y790">
        <f>IFERROR(INDEX(参数!$C$5:$C$7,MATCH($N790,参数!$A$5:$A$7,0)),"")</f>
        <v>1</v>
      </c>
      <c r="Z790">
        <f>IFERROR(INDEX(参数!$D$5:$D$7,MATCH($N790,参数!$A$5:$A$7,0)),"")</f>
        <v>1.5</v>
      </c>
      <c r="AA790">
        <f>IFERROR(INDEX(楼层配置!$E$5:$E$204,MATCH($K790,楼层配置!$B$5:$B$204,0)),1)</f>
        <v>1.12582067235919</v>
      </c>
      <c r="AB790">
        <f>IFERROR(INDEX(楼层配置!$F$5:$F$204,MATCH($K790,楼层配置!$B$5:$B$204,0)),1)</f>
        <v>0.729834891319568</v>
      </c>
      <c r="AC790">
        <f>IFERROR(INDEX(楼层配置!$G$5:$G$204,MATCH($K790,楼层配置!$B$5:$B$204,0)),1)</f>
        <v>1</v>
      </c>
      <c r="AD790" t="str">
        <f t="shared" si="99"/>
        <v/>
      </c>
      <c r="AE790" t="str">
        <f t="shared" si="100"/>
        <v/>
      </c>
      <c r="AF790" t="str">
        <f t="shared" si="101"/>
        <v/>
      </c>
      <c r="AG790" t="str">
        <f t="shared" si="102"/>
        <v>有效</v>
      </c>
      <c r="AH790">
        <f t="shared" si="103"/>
        <v>23951078.303875</v>
      </c>
    </row>
    <row r="791" spans="1:34">
      <c r="A791">
        <v>787</v>
      </c>
      <c r="B791">
        <v>1005</v>
      </c>
      <c r="C791">
        <v>60</v>
      </c>
      <c r="D791">
        <f>IFERROR(ROUND($U791*$X791*$AA791*参数!$B$13,0),"")</f>
        <v>4247068</v>
      </c>
      <c r="E791">
        <f>IFERROR(ROUND($V791*$Y791*$AB791*参数!$C$13,0),"")</f>
        <v>75546</v>
      </c>
      <c r="F791">
        <f>IFERROR(ROUND($W791*$Z791*$AC791*参数!$D$13,0),"")</f>
        <v>44154</v>
      </c>
      <c r="J791">
        <v>158</v>
      </c>
      <c r="K791">
        <v>158</v>
      </c>
      <c r="L791">
        <f>IFERROR(INDEX(楼层配置!$D$5:$D$204,MATCH($K791,楼层配置!$B$5:$B$204,0)),"")</f>
        <v>378</v>
      </c>
      <c r="M791" t="str">
        <f>IFERROR(INDEX(_角色基线!$B$2:$B$100,MATCH($B791,_角色基线!$A$2:$A$100,0)),"")</f>
        <v>陈单单</v>
      </c>
      <c r="N791" t="str">
        <f>IFERROR(INDEX(_角色基线!$C$2:$C$100,MATCH($B791,_角色基线!$A$2:$A$100,0)),"")</f>
        <v>DPS</v>
      </c>
      <c r="O791">
        <f>IFERROR(INDEX(_怪物基线!$B$2:$B$501,MATCH(INT($L791),_怪物基线!$A$2:$A$501,0)),"")</f>
        <v>943105</v>
      </c>
      <c r="P791">
        <f>IFERROR(INDEX(_怪物基线!$C$2:$C$501,MATCH(INT($L791),_怪物基线!$A$2:$A$501,0)),"")</f>
        <v>71883</v>
      </c>
      <c r="Q791">
        <f>IFERROR(INDEX(_怪物基线!$D$2:$D$501,MATCH(INT($L791),_怪物基线!$A$2:$A$501,0)),"")</f>
        <v>44154</v>
      </c>
      <c r="R791">
        <f>参数!$B$10</f>
        <v>4</v>
      </c>
      <c r="S791">
        <f>参数!$C$10</f>
        <v>1.2</v>
      </c>
      <c r="T791">
        <f>参数!$D$10</f>
        <v>1</v>
      </c>
      <c r="U791">
        <f t="shared" si="96"/>
        <v>3772420</v>
      </c>
      <c r="V791">
        <f t="shared" si="97"/>
        <v>86259.6</v>
      </c>
      <c r="W791">
        <f t="shared" si="98"/>
        <v>44154</v>
      </c>
      <c r="X791">
        <f>IFERROR(INDEX(参数!$B$5:$B$7,MATCH($N791,参数!$A$5:$A$7,0)),"")</f>
        <v>1</v>
      </c>
      <c r="Y791">
        <f>IFERROR(INDEX(参数!$C$5:$C$7,MATCH($N791,参数!$A$5:$A$7,0)),"")</f>
        <v>1.2</v>
      </c>
      <c r="Z791">
        <f>IFERROR(INDEX(参数!$D$5:$D$7,MATCH($N791,参数!$A$5:$A$7,0)),"")</f>
        <v>1</v>
      </c>
      <c r="AA791">
        <f>IFERROR(INDEX(楼层配置!$E$5:$E$204,MATCH($K791,楼层配置!$B$5:$B$204,0)),1)</f>
        <v>1.12582067235919</v>
      </c>
      <c r="AB791">
        <f>IFERROR(INDEX(楼层配置!$F$5:$F$204,MATCH($K791,楼层配置!$B$5:$B$204,0)),1)</f>
        <v>0.729834891319568</v>
      </c>
      <c r="AC791">
        <f>IFERROR(INDEX(楼层配置!$G$5:$G$204,MATCH($K791,楼层配置!$B$5:$B$204,0)),1)</f>
        <v>1</v>
      </c>
      <c r="AD791" t="str">
        <f t="shared" si="99"/>
        <v/>
      </c>
      <c r="AE791" t="str">
        <f t="shared" si="100"/>
        <v/>
      </c>
      <c r="AF791" t="str">
        <f t="shared" si="101"/>
        <v/>
      </c>
      <c r="AG791" t="str">
        <f t="shared" si="102"/>
        <v>有效</v>
      </c>
      <c r="AH791">
        <f t="shared" si="103"/>
        <v>12060611.353</v>
      </c>
    </row>
    <row r="792" spans="1:34">
      <c r="A792">
        <v>788</v>
      </c>
      <c r="B792">
        <v>1005</v>
      </c>
      <c r="C792">
        <v>60</v>
      </c>
      <c r="D792">
        <f>IFERROR(ROUND($U792*$X792*$AA792*参数!$B$13,0),"")</f>
        <v>4247068</v>
      </c>
      <c r="E792">
        <f>IFERROR(ROUND($V792*$Y792*$AB792*参数!$C$13,0),"")</f>
        <v>75546</v>
      </c>
      <c r="F792">
        <f>IFERROR(ROUND($W792*$Z792*$AC792*参数!$D$13,0),"")</f>
        <v>44154</v>
      </c>
      <c r="J792">
        <v>158</v>
      </c>
      <c r="K792">
        <v>158</v>
      </c>
      <c r="L792">
        <f>IFERROR(INDEX(楼层配置!$D$5:$D$204,MATCH($K792,楼层配置!$B$5:$B$204,0)),"")</f>
        <v>378</v>
      </c>
      <c r="M792" t="str">
        <f>IFERROR(INDEX(_角色基线!$B$2:$B$100,MATCH($B792,_角色基线!$A$2:$A$100,0)),"")</f>
        <v>陈单单</v>
      </c>
      <c r="N792" t="str">
        <f>IFERROR(INDEX(_角色基线!$C$2:$C$100,MATCH($B792,_角色基线!$A$2:$A$100,0)),"")</f>
        <v>DPS</v>
      </c>
      <c r="O792">
        <f>IFERROR(INDEX(_怪物基线!$B$2:$B$501,MATCH(INT($L792),_怪物基线!$A$2:$A$501,0)),"")</f>
        <v>943105</v>
      </c>
      <c r="P792">
        <f>IFERROR(INDEX(_怪物基线!$C$2:$C$501,MATCH(INT($L792),_怪物基线!$A$2:$A$501,0)),"")</f>
        <v>71883</v>
      </c>
      <c r="Q792">
        <f>IFERROR(INDEX(_怪物基线!$D$2:$D$501,MATCH(INT($L792),_怪物基线!$A$2:$A$501,0)),"")</f>
        <v>44154</v>
      </c>
      <c r="R792">
        <f>参数!$B$10</f>
        <v>4</v>
      </c>
      <c r="S792">
        <f>参数!$C$10</f>
        <v>1.2</v>
      </c>
      <c r="T792">
        <f>参数!$D$10</f>
        <v>1</v>
      </c>
      <c r="U792">
        <f t="shared" si="96"/>
        <v>3772420</v>
      </c>
      <c r="V792">
        <f t="shared" si="97"/>
        <v>86259.6</v>
      </c>
      <c r="W792">
        <f t="shared" si="98"/>
        <v>44154</v>
      </c>
      <c r="X792">
        <f>IFERROR(INDEX(参数!$B$5:$B$7,MATCH($N792,参数!$A$5:$A$7,0)),"")</f>
        <v>1</v>
      </c>
      <c r="Y792">
        <f>IFERROR(INDEX(参数!$C$5:$C$7,MATCH($N792,参数!$A$5:$A$7,0)),"")</f>
        <v>1.2</v>
      </c>
      <c r="Z792">
        <f>IFERROR(INDEX(参数!$D$5:$D$7,MATCH($N792,参数!$A$5:$A$7,0)),"")</f>
        <v>1</v>
      </c>
      <c r="AA792">
        <f>IFERROR(INDEX(楼层配置!$E$5:$E$204,MATCH($K792,楼层配置!$B$5:$B$204,0)),1)</f>
        <v>1.12582067235919</v>
      </c>
      <c r="AB792">
        <f>IFERROR(INDEX(楼层配置!$F$5:$F$204,MATCH($K792,楼层配置!$B$5:$B$204,0)),1)</f>
        <v>0.729834891319568</v>
      </c>
      <c r="AC792">
        <f>IFERROR(INDEX(楼层配置!$G$5:$G$204,MATCH($K792,楼层配置!$B$5:$B$204,0)),1)</f>
        <v>1</v>
      </c>
      <c r="AD792" t="str">
        <f t="shared" si="99"/>
        <v/>
      </c>
      <c r="AE792" t="str">
        <f t="shared" si="100"/>
        <v/>
      </c>
      <c r="AF792" t="str">
        <f t="shared" si="101"/>
        <v/>
      </c>
      <c r="AG792" t="str">
        <f t="shared" si="102"/>
        <v>有效</v>
      </c>
      <c r="AH792">
        <f t="shared" si="103"/>
        <v>12060611.353</v>
      </c>
    </row>
    <row r="793" spans="1:34">
      <c r="A793">
        <v>789</v>
      </c>
      <c r="B793">
        <v>1005</v>
      </c>
      <c r="C793">
        <v>60</v>
      </c>
      <c r="D793">
        <f>IFERROR(ROUND($U793*$X793*$AA793*参数!$B$13,0),"")</f>
        <v>4247068</v>
      </c>
      <c r="E793">
        <f>IFERROR(ROUND($V793*$Y793*$AB793*参数!$C$13,0),"")</f>
        <v>75546</v>
      </c>
      <c r="F793">
        <f>IFERROR(ROUND($W793*$Z793*$AC793*参数!$D$13,0),"")</f>
        <v>44154</v>
      </c>
      <c r="J793">
        <v>158</v>
      </c>
      <c r="K793">
        <v>158</v>
      </c>
      <c r="L793">
        <f>IFERROR(INDEX(楼层配置!$D$5:$D$204,MATCH($K793,楼层配置!$B$5:$B$204,0)),"")</f>
        <v>378</v>
      </c>
      <c r="M793" t="str">
        <f>IFERROR(INDEX(_角色基线!$B$2:$B$100,MATCH($B793,_角色基线!$A$2:$A$100,0)),"")</f>
        <v>陈单单</v>
      </c>
      <c r="N793" t="str">
        <f>IFERROR(INDEX(_角色基线!$C$2:$C$100,MATCH($B793,_角色基线!$A$2:$A$100,0)),"")</f>
        <v>DPS</v>
      </c>
      <c r="O793">
        <f>IFERROR(INDEX(_怪物基线!$B$2:$B$501,MATCH(INT($L793),_怪物基线!$A$2:$A$501,0)),"")</f>
        <v>943105</v>
      </c>
      <c r="P793">
        <f>IFERROR(INDEX(_怪物基线!$C$2:$C$501,MATCH(INT($L793),_怪物基线!$A$2:$A$501,0)),"")</f>
        <v>71883</v>
      </c>
      <c r="Q793">
        <f>IFERROR(INDEX(_怪物基线!$D$2:$D$501,MATCH(INT($L793),_怪物基线!$A$2:$A$501,0)),"")</f>
        <v>44154</v>
      </c>
      <c r="R793">
        <f>参数!$B$10</f>
        <v>4</v>
      </c>
      <c r="S793">
        <f>参数!$C$10</f>
        <v>1.2</v>
      </c>
      <c r="T793">
        <f>参数!$D$10</f>
        <v>1</v>
      </c>
      <c r="U793">
        <f t="shared" si="96"/>
        <v>3772420</v>
      </c>
      <c r="V793">
        <f t="shared" si="97"/>
        <v>86259.6</v>
      </c>
      <c r="W793">
        <f t="shared" si="98"/>
        <v>44154</v>
      </c>
      <c r="X793">
        <f>IFERROR(INDEX(参数!$B$5:$B$7,MATCH($N793,参数!$A$5:$A$7,0)),"")</f>
        <v>1</v>
      </c>
      <c r="Y793">
        <f>IFERROR(INDEX(参数!$C$5:$C$7,MATCH($N793,参数!$A$5:$A$7,0)),"")</f>
        <v>1.2</v>
      </c>
      <c r="Z793">
        <f>IFERROR(INDEX(参数!$D$5:$D$7,MATCH($N793,参数!$A$5:$A$7,0)),"")</f>
        <v>1</v>
      </c>
      <c r="AA793">
        <f>IFERROR(INDEX(楼层配置!$E$5:$E$204,MATCH($K793,楼层配置!$B$5:$B$204,0)),1)</f>
        <v>1.12582067235919</v>
      </c>
      <c r="AB793">
        <f>IFERROR(INDEX(楼层配置!$F$5:$F$204,MATCH($K793,楼层配置!$B$5:$B$204,0)),1)</f>
        <v>0.729834891319568</v>
      </c>
      <c r="AC793">
        <f>IFERROR(INDEX(楼层配置!$G$5:$G$204,MATCH($K793,楼层配置!$B$5:$B$204,0)),1)</f>
        <v>1</v>
      </c>
      <c r="AD793" t="str">
        <f t="shared" si="99"/>
        <v/>
      </c>
      <c r="AE793" t="str">
        <f t="shared" si="100"/>
        <v/>
      </c>
      <c r="AF793" t="str">
        <f t="shared" si="101"/>
        <v/>
      </c>
      <c r="AG793" t="str">
        <f t="shared" si="102"/>
        <v>有效</v>
      </c>
      <c r="AH793">
        <f t="shared" si="103"/>
        <v>12060611.353</v>
      </c>
    </row>
    <row r="794" spans="1:34">
      <c r="A794">
        <v>790</v>
      </c>
      <c r="B794">
        <v>1029</v>
      </c>
      <c r="C794">
        <v>60</v>
      </c>
      <c r="D794">
        <f>IFERROR(ROUND($U794*$X794*$AA794*参数!$B$13,0),"")</f>
        <v>5308836</v>
      </c>
      <c r="E794">
        <f>IFERROR(ROUND($V794*$Y794*$AB794*参数!$C$13,0),"")</f>
        <v>62955</v>
      </c>
      <c r="F794">
        <f>IFERROR(ROUND($W794*$Z794*$AC794*参数!$D$13,0),"")</f>
        <v>55193</v>
      </c>
      <c r="J794">
        <v>158</v>
      </c>
      <c r="K794">
        <v>158</v>
      </c>
      <c r="L794">
        <f>IFERROR(INDEX(楼层配置!$D$5:$D$204,MATCH($K794,楼层配置!$B$5:$B$204,0)),"")</f>
        <v>378</v>
      </c>
      <c r="M794" t="str">
        <f>IFERROR(INDEX(_角色基线!$B$2:$B$100,MATCH($B794,_角色基线!$A$2:$A$100,0)),"")</f>
        <v>凯兰</v>
      </c>
      <c r="N794" t="str">
        <f>IFERROR(INDEX(_角色基线!$C$2:$C$100,MATCH($B794,_角色基线!$A$2:$A$100,0)),"")</f>
        <v>Support</v>
      </c>
      <c r="O794">
        <f>IFERROR(INDEX(_怪物基线!$B$2:$B$501,MATCH(INT($L794),_怪物基线!$A$2:$A$501,0)),"")</f>
        <v>943105</v>
      </c>
      <c r="P794">
        <f>IFERROR(INDEX(_怪物基线!$C$2:$C$501,MATCH(INT($L794),_怪物基线!$A$2:$A$501,0)),"")</f>
        <v>71883</v>
      </c>
      <c r="Q794">
        <f>IFERROR(INDEX(_怪物基线!$D$2:$D$501,MATCH(INT($L794),_怪物基线!$A$2:$A$501,0)),"")</f>
        <v>44154</v>
      </c>
      <c r="R794">
        <f>参数!$B$10</f>
        <v>4</v>
      </c>
      <c r="S794">
        <f>参数!$C$10</f>
        <v>1.2</v>
      </c>
      <c r="T794">
        <f>参数!$D$10</f>
        <v>1</v>
      </c>
      <c r="U794">
        <f t="shared" si="96"/>
        <v>3772420</v>
      </c>
      <c r="V794">
        <f t="shared" si="97"/>
        <v>86259.6</v>
      </c>
      <c r="W794">
        <f t="shared" si="98"/>
        <v>44154</v>
      </c>
      <c r="X794">
        <f>IFERROR(INDEX(参数!$B$5:$B$7,MATCH($N794,参数!$A$5:$A$7,0)),"")</f>
        <v>1.25</v>
      </c>
      <c r="Y794">
        <f>IFERROR(INDEX(参数!$C$5:$C$7,MATCH($N794,参数!$A$5:$A$7,0)),"")</f>
        <v>1</v>
      </c>
      <c r="Z794">
        <f>IFERROR(INDEX(参数!$D$5:$D$7,MATCH($N794,参数!$A$5:$A$7,0)),"")</f>
        <v>1.25</v>
      </c>
      <c r="AA794">
        <f>IFERROR(INDEX(楼层配置!$E$5:$E$204,MATCH($K794,楼层配置!$B$5:$B$204,0)),1)</f>
        <v>1.12582067235919</v>
      </c>
      <c r="AB794">
        <f>IFERROR(INDEX(楼层配置!$F$5:$F$204,MATCH($K794,楼层配置!$B$5:$B$204,0)),1)</f>
        <v>0.729834891319568</v>
      </c>
      <c r="AC794">
        <f>IFERROR(INDEX(楼层配置!$G$5:$G$204,MATCH($K794,楼层配置!$B$5:$B$204,0)),1)</f>
        <v>1</v>
      </c>
      <c r="AD794" t="str">
        <f t="shared" si="99"/>
        <v/>
      </c>
      <c r="AE794" t="str">
        <f t="shared" si="100"/>
        <v/>
      </c>
      <c r="AF794" t="str">
        <f t="shared" si="101"/>
        <v/>
      </c>
      <c r="AG794" t="str">
        <f t="shared" si="102"/>
        <v>有效</v>
      </c>
      <c r="AH794">
        <f t="shared" si="103"/>
        <v>17517610.3895</v>
      </c>
    </row>
    <row r="795" spans="1:34">
      <c r="A795">
        <v>791</v>
      </c>
      <c r="B795">
        <v>1003</v>
      </c>
      <c r="C795">
        <v>60</v>
      </c>
      <c r="D795">
        <f>IFERROR(ROUND($U795*$X795*$AA795*参数!$B$13,0),"")</f>
        <v>6473575</v>
      </c>
      <c r="E795">
        <f>IFERROR(ROUND($V795*$Y795*$AB795*参数!$C$13,0),"")</f>
        <v>63758</v>
      </c>
      <c r="F795">
        <f>IFERROR(ROUND($W795*$Z795*$AC795*参数!$D$13,0),"")</f>
        <v>66711</v>
      </c>
      <c r="J795">
        <v>159</v>
      </c>
      <c r="K795">
        <v>159</v>
      </c>
      <c r="L795">
        <f>IFERROR(INDEX(楼层配置!$D$5:$D$204,MATCH($K795,楼层配置!$B$5:$B$204,0)),"")</f>
        <v>380</v>
      </c>
      <c r="M795" t="str">
        <f>IFERROR(INDEX(_角色基线!$B$2:$B$100,MATCH($B795,_角色基线!$A$2:$A$100,0)),"")</f>
        <v>塔拉夏</v>
      </c>
      <c r="N795" t="str">
        <f>IFERROR(INDEX(_角色基线!$C$2:$C$100,MATCH($B795,_角色基线!$A$2:$A$100,0)),"")</f>
        <v>Tank</v>
      </c>
      <c r="O795">
        <f>IFERROR(INDEX(_怪物基线!$B$2:$B$501,MATCH(INT($L795),_怪物基线!$A$2:$A$501,0)),"")</f>
        <v>958349</v>
      </c>
      <c r="P795">
        <f>IFERROR(INDEX(_怪物基线!$C$2:$C$501,MATCH(INT($L795),_怪物基线!$A$2:$A$501,0)),"")</f>
        <v>72800</v>
      </c>
      <c r="Q795">
        <f>IFERROR(INDEX(_怪物基线!$D$2:$D$501,MATCH(INT($L795),_怪物基线!$A$2:$A$501,0)),"")</f>
        <v>44474</v>
      </c>
      <c r="R795">
        <f>参数!$B$10</f>
        <v>4</v>
      </c>
      <c r="S795">
        <f>参数!$C$10</f>
        <v>1.2</v>
      </c>
      <c r="T795">
        <f>参数!$D$10</f>
        <v>1</v>
      </c>
      <c r="U795">
        <f t="shared" si="96"/>
        <v>3833396</v>
      </c>
      <c r="V795">
        <f t="shared" si="97"/>
        <v>87360</v>
      </c>
      <c r="W795">
        <f t="shared" si="98"/>
        <v>44474</v>
      </c>
      <c r="X795">
        <f>IFERROR(INDEX(参数!$B$5:$B$7,MATCH($N795,参数!$A$5:$A$7,0)),"")</f>
        <v>1.5</v>
      </c>
      <c r="Y795">
        <f>IFERROR(INDEX(参数!$C$5:$C$7,MATCH($N795,参数!$A$5:$A$7,0)),"")</f>
        <v>1</v>
      </c>
      <c r="Z795">
        <f>IFERROR(INDEX(参数!$D$5:$D$7,MATCH($N795,参数!$A$5:$A$7,0)),"")</f>
        <v>1.5</v>
      </c>
      <c r="AA795">
        <f>IFERROR(INDEX(楼层配置!$E$5:$E$204,MATCH($K795,楼层配置!$B$5:$B$204,0)),1)</f>
        <v>1.12582067235919</v>
      </c>
      <c r="AB795">
        <f>IFERROR(INDEX(楼层配置!$F$5:$F$204,MATCH($K795,楼层配置!$B$5:$B$204,0)),1)</f>
        <v>0.729834891319568</v>
      </c>
      <c r="AC795">
        <f>IFERROR(INDEX(楼层配置!$G$5:$G$204,MATCH($K795,楼层配置!$B$5:$B$204,0)),1)</f>
        <v>1</v>
      </c>
      <c r="AD795" t="str">
        <f t="shared" si="99"/>
        <v/>
      </c>
      <c r="AE795" t="str">
        <f t="shared" si="100"/>
        <v/>
      </c>
      <c r="AF795" t="str">
        <f t="shared" si="101"/>
        <v/>
      </c>
      <c r="AG795" t="str">
        <f t="shared" si="102"/>
        <v>有效</v>
      </c>
      <c r="AH795">
        <f t="shared" si="103"/>
        <v>24467685.909375</v>
      </c>
    </row>
    <row r="796" spans="1:34">
      <c r="A796">
        <v>792</v>
      </c>
      <c r="B796">
        <v>1005</v>
      </c>
      <c r="C796">
        <v>60</v>
      </c>
      <c r="D796">
        <f>IFERROR(ROUND($U796*$X796*$AA796*参数!$B$13,0),"")</f>
        <v>4315716</v>
      </c>
      <c r="E796">
        <f>IFERROR(ROUND($V796*$Y796*$AB796*参数!$C$13,0),"")</f>
        <v>76510</v>
      </c>
      <c r="F796">
        <f>IFERROR(ROUND($W796*$Z796*$AC796*参数!$D$13,0),"")</f>
        <v>44474</v>
      </c>
      <c r="J796">
        <v>159</v>
      </c>
      <c r="K796">
        <v>159</v>
      </c>
      <c r="L796">
        <f>IFERROR(INDEX(楼层配置!$D$5:$D$204,MATCH($K796,楼层配置!$B$5:$B$204,0)),"")</f>
        <v>380</v>
      </c>
      <c r="M796" t="str">
        <f>IFERROR(INDEX(_角色基线!$B$2:$B$100,MATCH($B796,_角色基线!$A$2:$A$100,0)),"")</f>
        <v>陈单单</v>
      </c>
      <c r="N796" t="str">
        <f>IFERROR(INDEX(_角色基线!$C$2:$C$100,MATCH($B796,_角色基线!$A$2:$A$100,0)),"")</f>
        <v>DPS</v>
      </c>
      <c r="O796">
        <f>IFERROR(INDEX(_怪物基线!$B$2:$B$501,MATCH(INT($L796),_怪物基线!$A$2:$A$501,0)),"")</f>
        <v>958349</v>
      </c>
      <c r="P796">
        <f>IFERROR(INDEX(_怪物基线!$C$2:$C$501,MATCH(INT($L796),_怪物基线!$A$2:$A$501,0)),"")</f>
        <v>72800</v>
      </c>
      <c r="Q796">
        <f>IFERROR(INDEX(_怪物基线!$D$2:$D$501,MATCH(INT($L796),_怪物基线!$A$2:$A$501,0)),"")</f>
        <v>44474</v>
      </c>
      <c r="R796">
        <f>参数!$B$10</f>
        <v>4</v>
      </c>
      <c r="S796">
        <f>参数!$C$10</f>
        <v>1.2</v>
      </c>
      <c r="T796">
        <f>参数!$D$10</f>
        <v>1</v>
      </c>
      <c r="U796">
        <f t="shared" si="96"/>
        <v>3833396</v>
      </c>
      <c r="V796">
        <f t="shared" si="97"/>
        <v>87360</v>
      </c>
      <c r="W796">
        <f t="shared" si="98"/>
        <v>44474</v>
      </c>
      <c r="X796">
        <f>IFERROR(INDEX(参数!$B$5:$B$7,MATCH($N796,参数!$A$5:$A$7,0)),"")</f>
        <v>1</v>
      </c>
      <c r="Y796">
        <f>IFERROR(INDEX(参数!$C$5:$C$7,MATCH($N796,参数!$A$5:$A$7,0)),"")</f>
        <v>1.2</v>
      </c>
      <c r="Z796">
        <f>IFERROR(INDEX(参数!$D$5:$D$7,MATCH($N796,参数!$A$5:$A$7,0)),"")</f>
        <v>1</v>
      </c>
      <c r="AA796">
        <f>IFERROR(INDEX(楼层配置!$E$5:$E$204,MATCH($K796,楼层配置!$B$5:$B$204,0)),1)</f>
        <v>1.12582067235919</v>
      </c>
      <c r="AB796">
        <f>IFERROR(INDEX(楼层配置!$F$5:$F$204,MATCH($K796,楼层配置!$B$5:$B$204,0)),1)</f>
        <v>0.729834891319568</v>
      </c>
      <c r="AC796">
        <f>IFERROR(INDEX(楼层配置!$G$5:$G$204,MATCH($K796,楼层配置!$B$5:$B$204,0)),1)</f>
        <v>1</v>
      </c>
      <c r="AD796" t="str">
        <f t="shared" si="99"/>
        <v/>
      </c>
      <c r="AE796" t="str">
        <f t="shared" si="100"/>
        <v/>
      </c>
      <c r="AF796" t="str">
        <f t="shared" si="101"/>
        <v/>
      </c>
      <c r="AG796" t="str">
        <f t="shared" si="102"/>
        <v>有效</v>
      </c>
      <c r="AH796">
        <f t="shared" si="103"/>
        <v>12313097.391</v>
      </c>
    </row>
    <row r="797" spans="1:34">
      <c r="A797">
        <v>793</v>
      </c>
      <c r="B797">
        <v>1005</v>
      </c>
      <c r="C797">
        <v>60</v>
      </c>
      <c r="D797">
        <f>IFERROR(ROUND($U797*$X797*$AA797*参数!$B$13,0),"")</f>
        <v>4315716</v>
      </c>
      <c r="E797">
        <f>IFERROR(ROUND($V797*$Y797*$AB797*参数!$C$13,0),"")</f>
        <v>76510</v>
      </c>
      <c r="F797">
        <f>IFERROR(ROUND($W797*$Z797*$AC797*参数!$D$13,0),"")</f>
        <v>44474</v>
      </c>
      <c r="J797">
        <v>159</v>
      </c>
      <c r="K797">
        <v>159</v>
      </c>
      <c r="L797">
        <f>IFERROR(INDEX(楼层配置!$D$5:$D$204,MATCH($K797,楼层配置!$B$5:$B$204,0)),"")</f>
        <v>380</v>
      </c>
      <c r="M797" t="str">
        <f>IFERROR(INDEX(_角色基线!$B$2:$B$100,MATCH($B797,_角色基线!$A$2:$A$100,0)),"")</f>
        <v>陈单单</v>
      </c>
      <c r="N797" t="str">
        <f>IFERROR(INDEX(_角色基线!$C$2:$C$100,MATCH($B797,_角色基线!$A$2:$A$100,0)),"")</f>
        <v>DPS</v>
      </c>
      <c r="O797">
        <f>IFERROR(INDEX(_怪物基线!$B$2:$B$501,MATCH(INT($L797),_怪物基线!$A$2:$A$501,0)),"")</f>
        <v>958349</v>
      </c>
      <c r="P797">
        <f>IFERROR(INDEX(_怪物基线!$C$2:$C$501,MATCH(INT($L797),_怪物基线!$A$2:$A$501,0)),"")</f>
        <v>72800</v>
      </c>
      <c r="Q797">
        <f>IFERROR(INDEX(_怪物基线!$D$2:$D$501,MATCH(INT($L797),_怪物基线!$A$2:$A$501,0)),"")</f>
        <v>44474</v>
      </c>
      <c r="R797">
        <f>参数!$B$10</f>
        <v>4</v>
      </c>
      <c r="S797">
        <f>参数!$C$10</f>
        <v>1.2</v>
      </c>
      <c r="T797">
        <f>参数!$D$10</f>
        <v>1</v>
      </c>
      <c r="U797">
        <f t="shared" si="96"/>
        <v>3833396</v>
      </c>
      <c r="V797">
        <f t="shared" si="97"/>
        <v>87360</v>
      </c>
      <c r="W797">
        <f t="shared" si="98"/>
        <v>44474</v>
      </c>
      <c r="X797">
        <f>IFERROR(INDEX(参数!$B$5:$B$7,MATCH($N797,参数!$A$5:$A$7,0)),"")</f>
        <v>1</v>
      </c>
      <c r="Y797">
        <f>IFERROR(INDEX(参数!$C$5:$C$7,MATCH($N797,参数!$A$5:$A$7,0)),"")</f>
        <v>1.2</v>
      </c>
      <c r="Z797">
        <f>IFERROR(INDEX(参数!$D$5:$D$7,MATCH($N797,参数!$A$5:$A$7,0)),"")</f>
        <v>1</v>
      </c>
      <c r="AA797">
        <f>IFERROR(INDEX(楼层配置!$E$5:$E$204,MATCH($K797,楼层配置!$B$5:$B$204,0)),1)</f>
        <v>1.12582067235919</v>
      </c>
      <c r="AB797">
        <f>IFERROR(INDEX(楼层配置!$F$5:$F$204,MATCH($K797,楼层配置!$B$5:$B$204,0)),1)</f>
        <v>0.729834891319568</v>
      </c>
      <c r="AC797">
        <f>IFERROR(INDEX(楼层配置!$G$5:$G$204,MATCH($K797,楼层配置!$B$5:$B$204,0)),1)</f>
        <v>1</v>
      </c>
      <c r="AD797" t="str">
        <f t="shared" si="99"/>
        <v/>
      </c>
      <c r="AE797" t="str">
        <f t="shared" si="100"/>
        <v/>
      </c>
      <c r="AF797" t="str">
        <f t="shared" si="101"/>
        <v/>
      </c>
      <c r="AG797" t="str">
        <f t="shared" si="102"/>
        <v>有效</v>
      </c>
      <c r="AH797">
        <f t="shared" si="103"/>
        <v>12313097.391</v>
      </c>
    </row>
    <row r="798" spans="1:34">
      <c r="A798">
        <v>794</v>
      </c>
      <c r="B798">
        <v>1005</v>
      </c>
      <c r="C798">
        <v>60</v>
      </c>
      <c r="D798">
        <f>IFERROR(ROUND($U798*$X798*$AA798*参数!$B$13,0),"")</f>
        <v>4315716</v>
      </c>
      <c r="E798">
        <f>IFERROR(ROUND($V798*$Y798*$AB798*参数!$C$13,0),"")</f>
        <v>76510</v>
      </c>
      <c r="F798">
        <f>IFERROR(ROUND($W798*$Z798*$AC798*参数!$D$13,0),"")</f>
        <v>44474</v>
      </c>
      <c r="J798">
        <v>159</v>
      </c>
      <c r="K798">
        <v>159</v>
      </c>
      <c r="L798">
        <f>IFERROR(INDEX(楼层配置!$D$5:$D$204,MATCH($K798,楼层配置!$B$5:$B$204,0)),"")</f>
        <v>380</v>
      </c>
      <c r="M798" t="str">
        <f>IFERROR(INDEX(_角色基线!$B$2:$B$100,MATCH($B798,_角色基线!$A$2:$A$100,0)),"")</f>
        <v>陈单单</v>
      </c>
      <c r="N798" t="str">
        <f>IFERROR(INDEX(_角色基线!$C$2:$C$100,MATCH($B798,_角色基线!$A$2:$A$100,0)),"")</f>
        <v>DPS</v>
      </c>
      <c r="O798">
        <f>IFERROR(INDEX(_怪物基线!$B$2:$B$501,MATCH(INT($L798),_怪物基线!$A$2:$A$501,0)),"")</f>
        <v>958349</v>
      </c>
      <c r="P798">
        <f>IFERROR(INDEX(_怪物基线!$C$2:$C$501,MATCH(INT($L798),_怪物基线!$A$2:$A$501,0)),"")</f>
        <v>72800</v>
      </c>
      <c r="Q798">
        <f>IFERROR(INDEX(_怪物基线!$D$2:$D$501,MATCH(INT($L798),_怪物基线!$A$2:$A$501,0)),"")</f>
        <v>44474</v>
      </c>
      <c r="R798">
        <f>参数!$B$10</f>
        <v>4</v>
      </c>
      <c r="S798">
        <f>参数!$C$10</f>
        <v>1.2</v>
      </c>
      <c r="T798">
        <f>参数!$D$10</f>
        <v>1</v>
      </c>
      <c r="U798">
        <f t="shared" si="96"/>
        <v>3833396</v>
      </c>
      <c r="V798">
        <f t="shared" si="97"/>
        <v>87360</v>
      </c>
      <c r="W798">
        <f t="shared" si="98"/>
        <v>44474</v>
      </c>
      <c r="X798">
        <f>IFERROR(INDEX(参数!$B$5:$B$7,MATCH($N798,参数!$A$5:$A$7,0)),"")</f>
        <v>1</v>
      </c>
      <c r="Y798">
        <f>IFERROR(INDEX(参数!$C$5:$C$7,MATCH($N798,参数!$A$5:$A$7,0)),"")</f>
        <v>1.2</v>
      </c>
      <c r="Z798">
        <f>IFERROR(INDEX(参数!$D$5:$D$7,MATCH($N798,参数!$A$5:$A$7,0)),"")</f>
        <v>1</v>
      </c>
      <c r="AA798">
        <f>IFERROR(INDEX(楼层配置!$E$5:$E$204,MATCH($K798,楼层配置!$B$5:$B$204,0)),1)</f>
        <v>1.12582067235919</v>
      </c>
      <c r="AB798">
        <f>IFERROR(INDEX(楼层配置!$F$5:$F$204,MATCH($K798,楼层配置!$B$5:$B$204,0)),1)</f>
        <v>0.729834891319568</v>
      </c>
      <c r="AC798">
        <f>IFERROR(INDEX(楼层配置!$G$5:$G$204,MATCH($K798,楼层配置!$B$5:$B$204,0)),1)</f>
        <v>1</v>
      </c>
      <c r="AD798" t="str">
        <f t="shared" si="99"/>
        <v/>
      </c>
      <c r="AE798" t="str">
        <f t="shared" si="100"/>
        <v/>
      </c>
      <c r="AF798" t="str">
        <f t="shared" si="101"/>
        <v/>
      </c>
      <c r="AG798" t="str">
        <f t="shared" si="102"/>
        <v>有效</v>
      </c>
      <c r="AH798">
        <f t="shared" si="103"/>
        <v>12313097.391</v>
      </c>
    </row>
    <row r="799" spans="1:34">
      <c r="A799">
        <v>795</v>
      </c>
      <c r="B799">
        <v>1029</v>
      </c>
      <c r="C799">
        <v>60</v>
      </c>
      <c r="D799">
        <f>IFERROR(ROUND($U799*$X799*$AA799*参数!$B$13,0),"")</f>
        <v>5394646</v>
      </c>
      <c r="E799">
        <f>IFERROR(ROUND($V799*$Y799*$AB799*参数!$C$13,0),"")</f>
        <v>63758</v>
      </c>
      <c r="F799">
        <f>IFERROR(ROUND($W799*$Z799*$AC799*参数!$D$13,0),"")</f>
        <v>55593</v>
      </c>
      <c r="J799">
        <v>159</v>
      </c>
      <c r="K799">
        <v>159</v>
      </c>
      <c r="L799">
        <f>IFERROR(INDEX(楼层配置!$D$5:$D$204,MATCH($K799,楼层配置!$B$5:$B$204,0)),"")</f>
        <v>380</v>
      </c>
      <c r="M799" t="str">
        <f>IFERROR(INDEX(_角色基线!$B$2:$B$100,MATCH($B799,_角色基线!$A$2:$A$100,0)),"")</f>
        <v>凯兰</v>
      </c>
      <c r="N799" t="str">
        <f>IFERROR(INDEX(_角色基线!$C$2:$C$100,MATCH($B799,_角色基线!$A$2:$A$100,0)),"")</f>
        <v>Support</v>
      </c>
      <c r="O799">
        <f>IFERROR(INDEX(_怪物基线!$B$2:$B$501,MATCH(INT($L799),_怪物基线!$A$2:$A$501,0)),"")</f>
        <v>958349</v>
      </c>
      <c r="P799">
        <f>IFERROR(INDEX(_怪物基线!$C$2:$C$501,MATCH(INT($L799),_怪物基线!$A$2:$A$501,0)),"")</f>
        <v>72800</v>
      </c>
      <c r="Q799">
        <f>IFERROR(INDEX(_怪物基线!$D$2:$D$501,MATCH(INT($L799),_怪物基线!$A$2:$A$501,0)),"")</f>
        <v>44474</v>
      </c>
      <c r="R799">
        <f>参数!$B$10</f>
        <v>4</v>
      </c>
      <c r="S799">
        <f>参数!$C$10</f>
        <v>1.2</v>
      </c>
      <c r="T799">
        <f>参数!$D$10</f>
        <v>1</v>
      </c>
      <c r="U799">
        <f t="shared" si="96"/>
        <v>3833396</v>
      </c>
      <c r="V799">
        <f t="shared" si="97"/>
        <v>87360</v>
      </c>
      <c r="W799">
        <f t="shared" si="98"/>
        <v>44474</v>
      </c>
      <c r="X799">
        <f>IFERROR(INDEX(参数!$B$5:$B$7,MATCH($N799,参数!$A$5:$A$7,0)),"")</f>
        <v>1.25</v>
      </c>
      <c r="Y799">
        <f>IFERROR(INDEX(参数!$C$5:$C$7,MATCH($N799,参数!$A$5:$A$7,0)),"")</f>
        <v>1</v>
      </c>
      <c r="Z799">
        <f>IFERROR(INDEX(参数!$D$5:$D$7,MATCH($N799,参数!$A$5:$A$7,0)),"")</f>
        <v>1.25</v>
      </c>
      <c r="AA799">
        <f>IFERROR(INDEX(楼层配置!$E$5:$E$204,MATCH($K799,楼层配置!$B$5:$B$204,0)),1)</f>
        <v>1.12582067235919</v>
      </c>
      <c r="AB799">
        <f>IFERROR(INDEX(楼层配置!$F$5:$F$204,MATCH($K799,楼层配置!$B$5:$B$204,0)),1)</f>
        <v>0.729834891319568</v>
      </c>
      <c r="AC799">
        <f>IFERROR(INDEX(楼层配置!$G$5:$G$204,MATCH($K799,楼层配置!$B$5:$B$204,0)),1)</f>
        <v>1</v>
      </c>
      <c r="AD799" t="str">
        <f t="shared" si="99"/>
        <v/>
      </c>
      <c r="AE799" t="str">
        <f t="shared" si="100"/>
        <v/>
      </c>
      <c r="AF799" t="str">
        <f t="shared" si="101"/>
        <v/>
      </c>
      <c r="AG799" t="str">
        <f t="shared" si="102"/>
        <v>有效</v>
      </c>
      <c r="AH799">
        <f t="shared" si="103"/>
        <v>17890669.12825</v>
      </c>
    </row>
    <row r="800" spans="1:34">
      <c r="A800">
        <v>796</v>
      </c>
      <c r="B800">
        <v>1003</v>
      </c>
      <c r="C800">
        <v>60</v>
      </c>
      <c r="D800">
        <f>IFERROR(ROUND($U800*$X800*$AA800*参数!$B$13,0),"")</f>
        <v>6583081</v>
      </c>
      <c r="E800">
        <f>IFERROR(ROUND($V800*$Y800*$AB800*参数!$C$13,0),"")</f>
        <v>64694</v>
      </c>
      <c r="F800">
        <f>IFERROR(ROUND($W800*$Z800*$AC800*参数!$D$13,0),"")</f>
        <v>67193</v>
      </c>
      <c r="J800">
        <v>160</v>
      </c>
      <c r="K800">
        <v>160</v>
      </c>
      <c r="L800">
        <f>IFERROR(INDEX(楼层配置!$D$5:$D$204,MATCH($K800,楼层配置!$B$5:$B$204,0)),"")</f>
        <v>382</v>
      </c>
      <c r="M800" t="str">
        <f>IFERROR(INDEX(_角色基线!$B$2:$B$100,MATCH($B800,_角色基线!$A$2:$A$100,0)),"")</f>
        <v>塔拉夏</v>
      </c>
      <c r="N800" t="str">
        <f>IFERROR(INDEX(_角色基线!$C$2:$C$100,MATCH($B800,_角色基线!$A$2:$A$100,0)),"")</f>
        <v>Tank</v>
      </c>
      <c r="O800">
        <f>IFERROR(INDEX(_怪物基线!$B$2:$B$501,MATCH(INT($L800),_怪物基线!$A$2:$A$501,0)),"")</f>
        <v>973786</v>
      </c>
      <c r="P800">
        <f>IFERROR(INDEX(_怪物基线!$C$2:$C$501,MATCH(INT($L800),_怪物基线!$A$2:$A$501,0)),"")</f>
        <v>73727</v>
      </c>
      <c r="Q800">
        <f>IFERROR(INDEX(_怪物基线!$D$2:$D$501,MATCH(INT($L800),_怪物基线!$A$2:$A$501,0)),"")</f>
        <v>44795</v>
      </c>
      <c r="R800">
        <f>参数!$B$10</f>
        <v>4</v>
      </c>
      <c r="S800">
        <f>参数!$C$10</f>
        <v>1.2</v>
      </c>
      <c r="T800">
        <f>参数!$D$10</f>
        <v>1</v>
      </c>
      <c r="U800">
        <f t="shared" si="96"/>
        <v>3895144</v>
      </c>
      <c r="V800">
        <f t="shared" si="97"/>
        <v>88472.4</v>
      </c>
      <c r="W800">
        <f t="shared" si="98"/>
        <v>44795</v>
      </c>
      <c r="X800">
        <f>IFERROR(INDEX(参数!$B$5:$B$7,MATCH($N800,参数!$A$5:$A$7,0)),"")</f>
        <v>1.5</v>
      </c>
      <c r="Y800">
        <f>IFERROR(INDEX(参数!$C$5:$C$7,MATCH($N800,参数!$A$5:$A$7,0)),"")</f>
        <v>1</v>
      </c>
      <c r="Z800">
        <f>IFERROR(INDEX(参数!$D$5:$D$7,MATCH($N800,参数!$A$5:$A$7,0)),"")</f>
        <v>1.5</v>
      </c>
      <c r="AA800">
        <f>IFERROR(INDEX(楼层配置!$E$5:$E$204,MATCH($K800,楼层配置!$B$5:$B$204,0)),1)</f>
        <v>1.12671592412141</v>
      </c>
      <c r="AB800">
        <f>IFERROR(INDEX(楼层配置!$F$5:$F$204,MATCH($K800,楼层配置!$B$5:$B$204,0)),1)</f>
        <v>0.731229508674054</v>
      </c>
      <c r="AC800">
        <f>IFERROR(INDEX(楼层配置!$G$5:$G$204,MATCH($K800,楼层配置!$B$5:$B$204,0)),1)</f>
        <v>1</v>
      </c>
      <c r="AD800" t="str">
        <f t="shared" si="99"/>
        <v/>
      </c>
      <c r="AE800" t="str">
        <f t="shared" si="100"/>
        <v/>
      </c>
      <c r="AF800" t="str">
        <f t="shared" si="101"/>
        <v/>
      </c>
      <c r="AG800" t="str">
        <f t="shared" si="102"/>
        <v>有效</v>
      </c>
      <c r="AH800">
        <f t="shared" si="103"/>
        <v>25013787.7347083</v>
      </c>
    </row>
    <row r="801" spans="1:34">
      <c r="A801">
        <v>797</v>
      </c>
      <c r="B801">
        <v>1005</v>
      </c>
      <c r="C801">
        <v>60</v>
      </c>
      <c r="D801">
        <f>IFERROR(ROUND($U801*$X801*$AA801*参数!$B$13,0),"")</f>
        <v>4388721</v>
      </c>
      <c r="E801">
        <f>IFERROR(ROUND($V801*$Y801*$AB801*参数!$C$13,0),"")</f>
        <v>77632</v>
      </c>
      <c r="F801">
        <f>IFERROR(ROUND($W801*$Z801*$AC801*参数!$D$13,0),"")</f>
        <v>44795</v>
      </c>
      <c r="J801">
        <v>160</v>
      </c>
      <c r="K801">
        <v>160</v>
      </c>
      <c r="L801">
        <f>IFERROR(INDEX(楼层配置!$D$5:$D$204,MATCH($K801,楼层配置!$B$5:$B$204,0)),"")</f>
        <v>382</v>
      </c>
      <c r="M801" t="str">
        <f>IFERROR(INDEX(_角色基线!$B$2:$B$100,MATCH($B801,_角色基线!$A$2:$A$100,0)),"")</f>
        <v>陈单单</v>
      </c>
      <c r="N801" t="str">
        <f>IFERROR(INDEX(_角色基线!$C$2:$C$100,MATCH($B801,_角色基线!$A$2:$A$100,0)),"")</f>
        <v>DPS</v>
      </c>
      <c r="O801">
        <f>IFERROR(INDEX(_怪物基线!$B$2:$B$501,MATCH(INT($L801),_怪物基线!$A$2:$A$501,0)),"")</f>
        <v>973786</v>
      </c>
      <c r="P801">
        <f>IFERROR(INDEX(_怪物基线!$C$2:$C$501,MATCH(INT($L801),_怪物基线!$A$2:$A$501,0)),"")</f>
        <v>73727</v>
      </c>
      <c r="Q801">
        <f>IFERROR(INDEX(_怪物基线!$D$2:$D$501,MATCH(INT($L801),_怪物基线!$A$2:$A$501,0)),"")</f>
        <v>44795</v>
      </c>
      <c r="R801">
        <f>参数!$B$10</f>
        <v>4</v>
      </c>
      <c r="S801">
        <f>参数!$C$10</f>
        <v>1.2</v>
      </c>
      <c r="T801">
        <f>参数!$D$10</f>
        <v>1</v>
      </c>
      <c r="U801">
        <f t="shared" si="96"/>
        <v>3895144</v>
      </c>
      <c r="V801">
        <f t="shared" si="97"/>
        <v>88472.4</v>
      </c>
      <c r="W801">
        <f t="shared" si="98"/>
        <v>44795</v>
      </c>
      <c r="X801">
        <f>IFERROR(INDEX(参数!$B$5:$B$7,MATCH($N801,参数!$A$5:$A$7,0)),"")</f>
        <v>1</v>
      </c>
      <c r="Y801">
        <f>IFERROR(INDEX(参数!$C$5:$C$7,MATCH($N801,参数!$A$5:$A$7,0)),"")</f>
        <v>1.2</v>
      </c>
      <c r="Z801">
        <f>IFERROR(INDEX(参数!$D$5:$D$7,MATCH($N801,参数!$A$5:$A$7,0)),"")</f>
        <v>1</v>
      </c>
      <c r="AA801">
        <f>IFERROR(INDEX(楼层配置!$E$5:$E$204,MATCH($K801,楼层配置!$B$5:$B$204,0)),1)</f>
        <v>1.12671592412141</v>
      </c>
      <c r="AB801">
        <f>IFERROR(INDEX(楼层配置!$F$5:$F$204,MATCH($K801,楼层配置!$B$5:$B$204,0)),1)</f>
        <v>0.731229508674054</v>
      </c>
      <c r="AC801">
        <f>IFERROR(INDEX(楼层配置!$G$5:$G$204,MATCH($K801,楼层配置!$B$5:$B$204,0)),1)</f>
        <v>1</v>
      </c>
      <c r="AD801" t="str">
        <f t="shared" si="99"/>
        <v/>
      </c>
      <c r="AE801" t="str">
        <f t="shared" si="100"/>
        <v/>
      </c>
      <c r="AF801" t="str">
        <f t="shared" si="101"/>
        <v/>
      </c>
      <c r="AG801" t="str">
        <f t="shared" si="102"/>
        <v>有效</v>
      </c>
      <c r="AH801">
        <f t="shared" si="103"/>
        <v>12580085.883125</v>
      </c>
    </row>
    <row r="802" spans="1:34">
      <c r="A802">
        <v>798</v>
      </c>
      <c r="B802">
        <v>1005</v>
      </c>
      <c r="C802">
        <v>60</v>
      </c>
      <c r="D802">
        <f>IFERROR(ROUND($U802*$X802*$AA802*参数!$B$13,0),"")</f>
        <v>4388721</v>
      </c>
      <c r="E802">
        <f>IFERROR(ROUND($V802*$Y802*$AB802*参数!$C$13,0),"")</f>
        <v>77632</v>
      </c>
      <c r="F802">
        <f>IFERROR(ROUND($W802*$Z802*$AC802*参数!$D$13,0),"")</f>
        <v>44795</v>
      </c>
      <c r="J802">
        <v>160</v>
      </c>
      <c r="K802">
        <v>160</v>
      </c>
      <c r="L802">
        <f>IFERROR(INDEX(楼层配置!$D$5:$D$204,MATCH($K802,楼层配置!$B$5:$B$204,0)),"")</f>
        <v>382</v>
      </c>
      <c r="M802" t="str">
        <f>IFERROR(INDEX(_角色基线!$B$2:$B$100,MATCH($B802,_角色基线!$A$2:$A$100,0)),"")</f>
        <v>陈单单</v>
      </c>
      <c r="N802" t="str">
        <f>IFERROR(INDEX(_角色基线!$C$2:$C$100,MATCH($B802,_角色基线!$A$2:$A$100,0)),"")</f>
        <v>DPS</v>
      </c>
      <c r="O802">
        <f>IFERROR(INDEX(_怪物基线!$B$2:$B$501,MATCH(INT($L802),_怪物基线!$A$2:$A$501,0)),"")</f>
        <v>973786</v>
      </c>
      <c r="P802">
        <f>IFERROR(INDEX(_怪物基线!$C$2:$C$501,MATCH(INT($L802),_怪物基线!$A$2:$A$501,0)),"")</f>
        <v>73727</v>
      </c>
      <c r="Q802">
        <f>IFERROR(INDEX(_怪物基线!$D$2:$D$501,MATCH(INT($L802),_怪物基线!$A$2:$A$501,0)),"")</f>
        <v>44795</v>
      </c>
      <c r="R802">
        <f>参数!$B$10</f>
        <v>4</v>
      </c>
      <c r="S802">
        <f>参数!$C$10</f>
        <v>1.2</v>
      </c>
      <c r="T802">
        <f>参数!$D$10</f>
        <v>1</v>
      </c>
      <c r="U802">
        <f t="shared" si="96"/>
        <v>3895144</v>
      </c>
      <c r="V802">
        <f t="shared" si="97"/>
        <v>88472.4</v>
      </c>
      <c r="W802">
        <f t="shared" si="98"/>
        <v>44795</v>
      </c>
      <c r="X802">
        <f>IFERROR(INDEX(参数!$B$5:$B$7,MATCH($N802,参数!$A$5:$A$7,0)),"")</f>
        <v>1</v>
      </c>
      <c r="Y802">
        <f>IFERROR(INDEX(参数!$C$5:$C$7,MATCH($N802,参数!$A$5:$A$7,0)),"")</f>
        <v>1.2</v>
      </c>
      <c r="Z802">
        <f>IFERROR(INDEX(参数!$D$5:$D$7,MATCH($N802,参数!$A$5:$A$7,0)),"")</f>
        <v>1</v>
      </c>
      <c r="AA802">
        <f>IFERROR(INDEX(楼层配置!$E$5:$E$204,MATCH($K802,楼层配置!$B$5:$B$204,0)),1)</f>
        <v>1.12671592412141</v>
      </c>
      <c r="AB802">
        <f>IFERROR(INDEX(楼层配置!$F$5:$F$204,MATCH($K802,楼层配置!$B$5:$B$204,0)),1)</f>
        <v>0.731229508674054</v>
      </c>
      <c r="AC802">
        <f>IFERROR(INDEX(楼层配置!$G$5:$G$204,MATCH($K802,楼层配置!$B$5:$B$204,0)),1)</f>
        <v>1</v>
      </c>
      <c r="AD802" t="str">
        <f t="shared" si="99"/>
        <v/>
      </c>
      <c r="AE802" t="str">
        <f t="shared" si="100"/>
        <v/>
      </c>
      <c r="AF802" t="str">
        <f t="shared" si="101"/>
        <v/>
      </c>
      <c r="AG802" t="str">
        <f t="shared" si="102"/>
        <v>有效</v>
      </c>
      <c r="AH802">
        <f t="shared" si="103"/>
        <v>12580085.883125</v>
      </c>
    </row>
    <row r="803" spans="1:34">
      <c r="A803">
        <v>799</v>
      </c>
      <c r="B803">
        <v>1005</v>
      </c>
      <c r="C803">
        <v>60</v>
      </c>
      <c r="D803">
        <f>IFERROR(ROUND($U803*$X803*$AA803*参数!$B$13,0),"")</f>
        <v>4388721</v>
      </c>
      <c r="E803">
        <f>IFERROR(ROUND($V803*$Y803*$AB803*参数!$C$13,0),"")</f>
        <v>77632</v>
      </c>
      <c r="F803">
        <f>IFERROR(ROUND($W803*$Z803*$AC803*参数!$D$13,0),"")</f>
        <v>44795</v>
      </c>
      <c r="J803">
        <v>160</v>
      </c>
      <c r="K803">
        <v>160</v>
      </c>
      <c r="L803">
        <f>IFERROR(INDEX(楼层配置!$D$5:$D$204,MATCH($K803,楼层配置!$B$5:$B$204,0)),"")</f>
        <v>382</v>
      </c>
      <c r="M803" t="str">
        <f>IFERROR(INDEX(_角色基线!$B$2:$B$100,MATCH($B803,_角色基线!$A$2:$A$100,0)),"")</f>
        <v>陈单单</v>
      </c>
      <c r="N803" t="str">
        <f>IFERROR(INDEX(_角色基线!$C$2:$C$100,MATCH($B803,_角色基线!$A$2:$A$100,0)),"")</f>
        <v>DPS</v>
      </c>
      <c r="O803">
        <f>IFERROR(INDEX(_怪物基线!$B$2:$B$501,MATCH(INT($L803),_怪物基线!$A$2:$A$501,0)),"")</f>
        <v>973786</v>
      </c>
      <c r="P803">
        <f>IFERROR(INDEX(_怪物基线!$C$2:$C$501,MATCH(INT($L803),_怪物基线!$A$2:$A$501,0)),"")</f>
        <v>73727</v>
      </c>
      <c r="Q803">
        <f>IFERROR(INDEX(_怪物基线!$D$2:$D$501,MATCH(INT($L803),_怪物基线!$A$2:$A$501,0)),"")</f>
        <v>44795</v>
      </c>
      <c r="R803">
        <f>参数!$B$10</f>
        <v>4</v>
      </c>
      <c r="S803">
        <f>参数!$C$10</f>
        <v>1.2</v>
      </c>
      <c r="T803">
        <f>参数!$D$10</f>
        <v>1</v>
      </c>
      <c r="U803">
        <f t="shared" si="96"/>
        <v>3895144</v>
      </c>
      <c r="V803">
        <f t="shared" si="97"/>
        <v>88472.4</v>
      </c>
      <c r="W803">
        <f t="shared" si="98"/>
        <v>44795</v>
      </c>
      <c r="X803">
        <f>IFERROR(INDEX(参数!$B$5:$B$7,MATCH($N803,参数!$A$5:$A$7,0)),"")</f>
        <v>1</v>
      </c>
      <c r="Y803">
        <f>IFERROR(INDEX(参数!$C$5:$C$7,MATCH($N803,参数!$A$5:$A$7,0)),"")</f>
        <v>1.2</v>
      </c>
      <c r="Z803">
        <f>IFERROR(INDEX(参数!$D$5:$D$7,MATCH($N803,参数!$A$5:$A$7,0)),"")</f>
        <v>1</v>
      </c>
      <c r="AA803">
        <f>IFERROR(INDEX(楼层配置!$E$5:$E$204,MATCH($K803,楼层配置!$B$5:$B$204,0)),1)</f>
        <v>1.12671592412141</v>
      </c>
      <c r="AB803">
        <f>IFERROR(INDEX(楼层配置!$F$5:$F$204,MATCH($K803,楼层配置!$B$5:$B$204,0)),1)</f>
        <v>0.731229508674054</v>
      </c>
      <c r="AC803">
        <f>IFERROR(INDEX(楼层配置!$G$5:$G$204,MATCH($K803,楼层配置!$B$5:$B$204,0)),1)</f>
        <v>1</v>
      </c>
      <c r="AD803" t="str">
        <f t="shared" si="99"/>
        <v/>
      </c>
      <c r="AE803" t="str">
        <f t="shared" si="100"/>
        <v/>
      </c>
      <c r="AF803" t="str">
        <f t="shared" si="101"/>
        <v/>
      </c>
      <c r="AG803" t="str">
        <f t="shared" si="102"/>
        <v>有效</v>
      </c>
      <c r="AH803">
        <f t="shared" si="103"/>
        <v>12580085.883125</v>
      </c>
    </row>
    <row r="804" spans="1:34">
      <c r="A804">
        <v>800</v>
      </c>
      <c r="B804">
        <v>1029</v>
      </c>
      <c r="C804">
        <v>60</v>
      </c>
      <c r="D804">
        <f>IFERROR(ROUND($U804*$X804*$AA804*参数!$B$13,0),"")</f>
        <v>5485901</v>
      </c>
      <c r="E804">
        <f>IFERROR(ROUND($V804*$Y804*$AB804*参数!$C$13,0),"")</f>
        <v>64694</v>
      </c>
      <c r="F804">
        <f>IFERROR(ROUND($W804*$Z804*$AC804*参数!$D$13,0),"")</f>
        <v>55994</v>
      </c>
      <c r="J804">
        <v>160</v>
      </c>
      <c r="K804">
        <v>160</v>
      </c>
      <c r="L804">
        <f>IFERROR(INDEX(楼层配置!$D$5:$D$204,MATCH($K804,楼层配置!$B$5:$B$204,0)),"")</f>
        <v>382</v>
      </c>
      <c r="M804" t="str">
        <f>IFERROR(INDEX(_角色基线!$B$2:$B$100,MATCH($B804,_角色基线!$A$2:$A$100,0)),"")</f>
        <v>凯兰</v>
      </c>
      <c r="N804" t="str">
        <f>IFERROR(INDEX(_角色基线!$C$2:$C$100,MATCH($B804,_角色基线!$A$2:$A$100,0)),"")</f>
        <v>Support</v>
      </c>
      <c r="O804">
        <f>IFERROR(INDEX(_怪物基线!$B$2:$B$501,MATCH(INT($L804),_怪物基线!$A$2:$A$501,0)),"")</f>
        <v>973786</v>
      </c>
      <c r="P804">
        <f>IFERROR(INDEX(_怪物基线!$C$2:$C$501,MATCH(INT($L804),_怪物基线!$A$2:$A$501,0)),"")</f>
        <v>73727</v>
      </c>
      <c r="Q804">
        <f>IFERROR(INDEX(_怪物基线!$D$2:$D$501,MATCH(INT($L804),_怪物基线!$A$2:$A$501,0)),"")</f>
        <v>44795</v>
      </c>
      <c r="R804">
        <f>参数!$B$10</f>
        <v>4</v>
      </c>
      <c r="S804">
        <f>参数!$C$10</f>
        <v>1.2</v>
      </c>
      <c r="T804">
        <f>参数!$D$10</f>
        <v>1</v>
      </c>
      <c r="U804">
        <f t="shared" si="96"/>
        <v>3895144</v>
      </c>
      <c r="V804">
        <f t="shared" si="97"/>
        <v>88472.4</v>
      </c>
      <c r="W804">
        <f t="shared" si="98"/>
        <v>44795</v>
      </c>
      <c r="X804">
        <f>IFERROR(INDEX(参数!$B$5:$B$7,MATCH($N804,参数!$A$5:$A$7,0)),"")</f>
        <v>1.25</v>
      </c>
      <c r="Y804">
        <f>IFERROR(INDEX(参数!$C$5:$C$7,MATCH($N804,参数!$A$5:$A$7,0)),"")</f>
        <v>1</v>
      </c>
      <c r="Z804">
        <f>IFERROR(INDEX(参数!$D$5:$D$7,MATCH($N804,参数!$A$5:$A$7,0)),"")</f>
        <v>1.25</v>
      </c>
      <c r="AA804">
        <f>IFERROR(INDEX(楼层配置!$E$5:$E$204,MATCH($K804,楼层配置!$B$5:$B$204,0)),1)</f>
        <v>1.12671592412141</v>
      </c>
      <c r="AB804">
        <f>IFERROR(INDEX(楼层配置!$F$5:$F$204,MATCH($K804,楼层配置!$B$5:$B$204,0)),1)</f>
        <v>0.731229508674054</v>
      </c>
      <c r="AC804">
        <f>IFERROR(INDEX(楼层配置!$G$5:$G$204,MATCH($K804,楼层配置!$B$5:$B$204,0)),1)</f>
        <v>1</v>
      </c>
      <c r="AD804" t="str">
        <f t="shared" si="99"/>
        <v/>
      </c>
      <c r="AE804" t="str">
        <f t="shared" si="100"/>
        <v/>
      </c>
      <c r="AF804" t="str">
        <f t="shared" si="101"/>
        <v/>
      </c>
      <c r="AG804" t="str">
        <f t="shared" si="102"/>
        <v>有效</v>
      </c>
      <c r="AH804">
        <f t="shared" si="103"/>
        <v>18284965.1914167</v>
      </c>
    </row>
    <row r="805" spans="1:34">
      <c r="A805">
        <v>801</v>
      </c>
      <c r="B805">
        <v>1003</v>
      </c>
      <c r="C805">
        <v>60</v>
      </c>
      <c r="D805">
        <f>IFERROR(ROUND($U805*$X805*$AA805*参数!$B$13,0),"")</f>
        <v>6683450</v>
      </c>
      <c r="E805">
        <f>IFERROR(ROUND($V805*$Y805*$AB805*参数!$C$13,0),"")</f>
        <v>65391</v>
      </c>
      <c r="F805">
        <f>IFERROR(ROUND($W805*$Z805*$AC805*参数!$D$13,0),"")</f>
        <v>67674</v>
      </c>
      <c r="J805">
        <v>161</v>
      </c>
      <c r="K805">
        <v>161</v>
      </c>
      <c r="L805">
        <f>IFERROR(INDEX(楼层配置!$D$5:$D$204,MATCH($K805,楼层配置!$B$5:$B$204,0)),"")</f>
        <v>384</v>
      </c>
      <c r="M805" t="str">
        <f>IFERROR(INDEX(_角色基线!$B$2:$B$100,MATCH($B805,_角色基线!$A$2:$A$100,0)),"")</f>
        <v>塔拉夏</v>
      </c>
      <c r="N805" t="str">
        <f>IFERROR(INDEX(_角色基线!$C$2:$C$100,MATCH($B805,_角色基线!$A$2:$A$100,0)),"")</f>
        <v>Tank</v>
      </c>
      <c r="O805">
        <f>IFERROR(INDEX(_怪物基线!$B$2:$B$501,MATCH(INT($L805),_怪物基线!$A$2:$A$501,0)),"")</f>
        <v>989419</v>
      </c>
      <c r="P805">
        <f>IFERROR(INDEX(_怪物基线!$C$2:$C$501,MATCH(INT($L805),_怪物基线!$A$2:$A$501,0)),"")</f>
        <v>74664</v>
      </c>
      <c r="Q805">
        <f>IFERROR(INDEX(_怪物基线!$D$2:$D$501,MATCH(INT($L805),_怪物基线!$A$2:$A$501,0)),"")</f>
        <v>45116</v>
      </c>
      <c r="R805">
        <f>参数!$B$10</f>
        <v>4</v>
      </c>
      <c r="S805">
        <f>参数!$C$10</f>
        <v>1.2</v>
      </c>
      <c r="T805">
        <f>参数!$D$10</f>
        <v>1</v>
      </c>
      <c r="U805">
        <f t="shared" si="96"/>
        <v>3957676</v>
      </c>
      <c r="V805">
        <f t="shared" si="97"/>
        <v>89596.8</v>
      </c>
      <c r="W805">
        <f t="shared" si="98"/>
        <v>45116</v>
      </c>
      <c r="X805">
        <f>IFERROR(INDEX(参数!$B$5:$B$7,MATCH($N805,参数!$A$5:$A$7,0)),"")</f>
        <v>1.5</v>
      </c>
      <c r="Y805">
        <f>IFERROR(INDEX(参数!$C$5:$C$7,MATCH($N805,参数!$A$5:$A$7,0)),"")</f>
        <v>1</v>
      </c>
      <c r="Z805">
        <f>IFERROR(INDEX(参数!$D$5:$D$7,MATCH($N805,参数!$A$5:$A$7,0)),"")</f>
        <v>1.5</v>
      </c>
      <c r="AA805">
        <f>IFERROR(INDEX(楼层配置!$E$5:$E$204,MATCH($K805,楼层配置!$B$5:$B$204,0)),1)</f>
        <v>1.12582067235919</v>
      </c>
      <c r="AB805">
        <f>IFERROR(INDEX(楼层配置!$F$5:$F$204,MATCH($K805,楼层配置!$B$5:$B$204,0)),1)</f>
        <v>0.729834891319568</v>
      </c>
      <c r="AC805">
        <f>IFERROR(INDEX(楼层配置!$G$5:$G$204,MATCH($K805,楼层配置!$B$5:$B$204,0)),1)</f>
        <v>1</v>
      </c>
      <c r="AD805" t="str">
        <f t="shared" si="99"/>
        <v/>
      </c>
      <c r="AE805" t="str">
        <f t="shared" si="100"/>
        <v/>
      </c>
      <c r="AF805" t="str">
        <f t="shared" si="101"/>
        <v/>
      </c>
      <c r="AG805" t="str">
        <f t="shared" si="102"/>
        <v>有效</v>
      </c>
      <c r="AH805">
        <f t="shared" si="103"/>
        <v>25529108.1375</v>
      </c>
    </row>
    <row r="806" spans="1:34">
      <c r="A806">
        <v>802</v>
      </c>
      <c r="B806">
        <v>1005</v>
      </c>
      <c r="C806">
        <v>60</v>
      </c>
      <c r="D806">
        <f>IFERROR(ROUND($U806*$X806*$AA806*参数!$B$13,0),"")</f>
        <v>4455633</v>
      </c>
      <c r="E806">
        <f>IFERROR(ROUND($V806*$Y806*$AB806*参数!$C$13,0),"")</f>
        <v>78469</v>
      </c>
      <c r="F806">
        <f>IFERROR(ROUND($W806*$Z806*$AC806*参数!$D$13,0),"")</f>
        <v>45116</v>
      </c>
      <c r="J806">
        <v>161</v>
      </c>
      <c r="K806">
        <v>161</v>
      </c>
      <c r="L806">
        <f>IFERROR(INDEX(楼层配置!$D$5:$D$204,MATCH($K806,楼层配置!$B$5:$B$204,0)),"")</f>
        <v>384</v>
      </c>
      <c r="M806" t="str">
        <f>IFERROR(INDEX(_角色基线!$B$2:$B$100,MATCH($B806,_角色基线!$A$2:$A$100,0)),"")</f>
        <v>陈单单</v>
      </c>
      <c r="N806" t="str">
        <f>IFERROR(INDEX(_角色基线!$C$2:$C$100,MATCH($B806,_角色基线!$A$2:$A$100,0)),"")</f>
        <v>DPS</v>
      </c>
      <c r="O806">
        <f>IFERROR(INDEX(_怪物基线!$B$2:$B$501,MATCH(INT($L806),_怪物基线!$A$2:$A$501,0)),"")</f>
        <v>989419</v>
      </c>
      <c r="P806">
        <f>IFERROR(INDEX(_怪物基线!$C$2:$C$501,MATCH(INT($L806),_怪物基线!$A$2:$A$501,0)),"")</f>
        <v>74664</v>
      </c>
      <c r="Q806">
        <f>IFERROR(INDEX(_怪物基线!$D$2:$D$501,MATCH(INT($L806),_怪物基线!$A$2:$A$501,0)),"")</f>
        <v>45116</v>
      </c>
      <c r="R806">
        <f>参数!$B$10</f>
        <v>4</v>
      </c>
      <c r="S806">
        <f>参数!$C$10</f>
        <v>1.2</v>
      </c>
      <c r="T806">
        <f>参数!$D$10</f>
        <v>1</v>
      </c>
      <c r="U806">
        <f t="shared" si="96"/>
        <v>3957676</v>
      </c>
      <c r="V806">
        <f t="shared" si="97"/>
        <v>89596.8</v>
      </c>
      <c r="W806">
        <f t="shared" si="98"/>
        <v>45116</v>
      </c>
      <c r="X806">
        <f>IFERROR(INDEX(参数!$B$5:$B$7,MATCH($N806,参数!$A$5:$A$7,0)),"")</f>
        <v>1</v>
      </c>
      <c r="Y806">
        <f>IFERROR(INDEX(参数!$C$5:$C$7,MATCH($N806,参数!$A$5:$A$7,0)),"")</f>
        <v>1.2</v>
      </c>
      <c r="Z806">
        <f>IFERROR(INDEX(参数!$D$5:$D$7,MATCH($N806,参数!$A$5:$A$7,0)),"")</f>
        <v>1</v>
      </c>
      <c r="AA806">
        <f>IFERROR(INDEX(楼层配置!$E$5:$E$204,MATCH($K806,楼层配置!$B$5:$B$204,0)),1)</f>
        <v>1.12582067235919</v>
      </c>
      <c r="AB806">
        <f>IFERROR(INDEX(楼层配置!$F$5:$F$204,MATCH($K806,楼层配置!$B$5:$B$204,0)),1)</f>
        <v>0.729834891319568</v>
      </c>
      <c r="AC806">
        <f>IFERROR(INDEX(楼层配置!$G$5:$G$204,MATCH($K806,楼层配置!$B$5:$B$204,0)),1)</f>
        <v>1</v>
      </c>
      <c r="AD806" t="str">
        <f t="shared" si="99"/>
        <v/>
      </c>
      <c r="AE806" t="str">
        <f t="shared" si="100"/>
        <v/>
      </c>
      <c r="AF806" t="str">
        <f t="shared" si="101"/>
        <v/>
      </c>
      <c r="AG806" t="str">
        <f t="shared" si="102"/>
        <v>有效</v>
      </c>
      <c r="AH806">
        <f t="shared" si="103"/>
        <v>12831480.4345</v>
      </c>
    </row>
    <row r="807" spans="1:34">
      <c r="A807">
        <v>803</v>
      </c>
      <c r="B807">
        <v>1005</v>
      </c>
      <c r="C807">
        <v>60</v>
      </c>
      <c r="D807">
        <f>IFERROR(ROUND($U807*$X807*$AA807*参数!$B$13,0),"")</f>
        <v>4455633</v>
      </c>
      <c r="E807">
        <f>IFERROR(ROUND($V807*$Y807*$AB807*参数!$C$13,0),"")</f>
        <v>78469</v>
      </c>
      <c r="F807">
        <f>IFERROR(ROUND($W807*$Z807*$AC807*参数!$D$13,0),"")</f>
        <v>45116</v>
      </c>
      <c r="J807">
        <v>161</v>
      </c>
      <c r="K807">
        <v>161</v>
      </c>
      <c r="L807">
        <f>IFERROR(INDEX(楼层配置!$D$5:$D$204,MATCH($K807,楼层配置!$B$5:$B$204,0)),"")</f>
        <v>384</v>
      </c>
      <c r="M807" t="str">
        <f>IFERROR(INDEX(_角色基线!$B$2:$B$100,MATCH($B807,_角色基线!$A$2:$A$100,0)),"")</f>
        <v>陈单单</v>
      </c>
      <c r="N807" t="str">
        <f>IFERROR(INDEX(_角色基线!$C$2:$C$100,MATCH($B807,_角色基线!$A$2:$A$100,0)),"")</f>
        <v>DPS</v>
      </c>
      <c r="O807">
        <f>IFERROR(INDEX(_怪物基线!$B$2:$B$501,MATCH(INT($L807),_怪物基线!$A$2:$A$501,0)),"")</f>
        <v>989419</v>
      </c>
      <c r="P807">
        <f>IFERROR(INDEX(_怪物基线!$C$2:$C$501,MATCH(INT($L807),_怪物基线!$A$2:$A$501,0)),"")</f>
        <v>74664</v>
      </c>
      <c r="Q807">
        <f>IFERROR(INDEX(_怪物基线!$D$2:$D$501,MATCH(INT($L807),_怪物基线!$A$2:$A$501,0)),"")</f>
        <v>45116</v>
      </c>
      <c r="R807">
        <f>参数!$B$10</f>
        <v>4</v>
      </c>
      <c r="S807">
        <f>参数!$C$10</f>
        <v>1.2</v>
      </c>
      <c r="T807">
        <f>参数!$D$10</f>
        <v>1</v>
      </c>
      <c r="U807">
        <f t="shared" si="96"/>
        <v>3957676</v>
      </c>
      <c r="V807">
        <f t="shared" si="97"/>
        <v>89596.8</v>
      </c>
      <c r="W807">
        <f t="shared" si="98"/>
        <v>45116</v>
      </c>
      <c r="X807">
        <f>IFERROR(INDEX(参数!$B$5:$B$7,MATCH($N807,参数!$A$5:$A$7,0)),"")</f>
        <v>1</v>
      </c>
      <c r="Y807">
        <f>IFERROR(INDEX(参数!$C$5:$C$7,MATCH($N807,参数!$A$5:$A$7,0)),"")</f>
        <v>1.2</v>
      </c>
      <c r="Z807">
        <f>IFERROR(INDEX(参数!$D$5:$D$7,MATCH($N807,参数!$A$5:$A$7,0)),"")</f>
        <v>1</v>
      </c>
      <c r="AA807">
        <f>IFERROR(INDEX(楼层配置!$E$5:$E$204,MATCH($K807,楼层配置!$B$5:$B$204,0)),1)</f>
        <v>1.12582067235919</v>
      </c>
      <c r="AB807">
        <f>IFERROR(INDEX(楼层配置!$F$5:$F$204,MATCH($K807,楼层配置!$B$5:$B$204,0)),1)</f>
        <v>0.729834891319568</v>
      </c>
      <c r="AC807">
        <f>IFERROR(INDEX(楼层配置!$G$5:$G$204,MATCH($K807,楼层配置!$B$5:$B$204,0)),1)</f>
        <v>1</v>
      </c>
      <c r="AD807" t="str">
        <f t="shared" si="99"/>
        <v/>
      </c>
      <c r="AE807" t="str">
        <f t="shared" si="100"/>
        <v/>
      </c>
      <c r="AF807" t="str">
        <f t="shared" si="101"/>
        <v/>
      </c>
      <c r="AG807" t="str">
        <f t="shared" si="102"/>
        <v>有效</v>
      </c>
      <c r="AH807">
        <f t="shared" si="103"/>
        <v>12831480.4345</v>
      </c>
    </row>
    <row r="808" spans="1:34">
      <c r="A808">
        <v>804</v>
      </c>
      <c r="B808">
        <v>1005</v>
      </c>
      <c r="C808">
        <v>60</v>
      </c>
      <c r="D808">
        <f>IFERROR(ROUND($U808*$X808*$AA808*参数!$B$13,0),"")</f>
        <v>4455633</v>
      </c>
      <c r="E808">
        <f>IFERROR(ROUND($V808*$Y808*$AB808*参数!$C$13,0),"")</f>
        <v>78469</v>
      </c>
      <c r="F808">
        <f>IFERROR(ROUND($W808*$Z808*$AC808*参数!$D$13,0),"")</f>
        <v>45116</v>
      </c>
      <c r="J808">
        <v>161</v>
      </c>
      <c r="K808">
        <v>161</v>
      </c>
      <c r="L808">
        <f>IFERROR(INDEX(楼层配置!$D$5:$D$204,MATCH($K808,楼层配置!$B$5:$B$204,0)),"")</f>
        <v>384</v>
      </c>
      <c r="M808" t="str">
        <f>IFERROR(INDEX(_角色基线!$B$2:$B$100,MATCH($B808,_角色基线!$A$2:$A$100,0)),"")</f>
        <v>陈单单</v>
      </c>
      <c r="N808" t="str">
        <f>IFERROR(INDEX(_角色基线!$C$2:$C$100,MATCH($B808,_角色基线!$A$2:$A$100,0)),"")</f>
        <v>DPS</v>
      </c>
      <c r="O808">
        <f>IFERROR(INDEX(_怪物基线!$B$2:$B$501,MATCH(INT($L808),_怪物基线!$A$2:$A$501,0)),"")</f>
        <v>989419</v>
      </c>
      <c r="P808">
        <f>IFERROR(INDEX(_怪物基线!$C$2:$C$501,MATCH(INT($L808),_怪物基线!$A$2:$A$501,0)),"")</f>
        <v>74664</v>
      </c>
      <c r="Q808">
        <f>IFERROR(INDEX(_怪物基线!$D$2:$D$501,MATCH(INT($L808),_怪物基线!$A$2:$A$501,0)),"")</f>
        <v>45116</v>
      </c>
      <c r="R808">
        <f>参数!$B$10</f>
        <v>4</v>
      </c>
      <c r="S808">
        <f>参数!$C$10</f>
        <v>1.2</v>
      </c>
      <c r="T808">
        <f>参数!$D$10</f>
        <v>1</v>
      </c>
      <c r="U808">
        <f t="shared" si="96"/>
        <v>3957676</v>
      </c>
      <c r="V808">
        <f t="shared" si="97"/>
        <v>89596.8</v>
      </c>
      <c r="W808">
        <f t="shared" si="98"/>
        <v>45116</v>
      </c>
      <c r="X808">
        <f>IFERROR(INDEX(参数!$B$5:$B$7,MATCH($N808,参数!$A$5:$A$7,0)),"")</f>
        <v>1</v>
      </c>
      <c r="Y808">
        <f>IFERROR(INDEX(参数!$C$5:$C$7,MATCH($N808,参数!$A$5:$A$7,0)),"")</f>
        <v>1.2</v>
      </c>
      <c r="Z808">
        <f>IFERROR(INDEX(参数!$D$5:$D$7,MATCH($N808,参数!$A$5:$A$7,0)),"")</f>
        <v>1</v>
      </c>
      <c r="AA808">
        <f>IFERROR(INDEX(楼层配置!$E$5:$E$204,MATCH($K808,楼层配置!$B$5:$B$204,0)),1)</f>
        <v>1.12582067235919</v>
      </c>
      <c r="AB808">
        <f>IFERROR(INDEX(楼层配置!$F$5:$F$204,MATCH($K808,楼层配置!$B$5:$B$204,0)),1)</f>
        <v>0.729834891319568</v>
      </c>
      <c r="AC808">
        <f>IFERROR(INDEX(楼层配置!$G$5:$G$204,MATCH($K808,楼层配置!$B$5:$B$204,0)),1)</f>
        <v>1</v>
      </c>
      <c r="AD808" t="str">
        <f t="shared" si="99"/>
        <v/>
      </c>
      <c r="AE808" t="str">
        <f t="shared" si="100"/>
        <v/>
      </c>
      <c r="AF808" t="str">
        <f t="shared" si="101"/>
        <v/>
      </c>
      <c r="AG808" t="str">
        <f t="shared" si="102"/>
        <v>有效</v>
      </c>
      <c r="AH808">
        <f t="shared" si="103"/>
        <v>12831480.4345</v>
      </c>
    </row>
    <row r="809" spans="1:34">
      <c r="A809">
        <v>805</v>
      </c>
      <c r="B809">
        <v>1029</v>
      </c>
      <c r="C809">
        <v>60</v>
      </c>
      <c r="D809">
        <f>IFERROR(ROUND($U809*$X809*$AA809*参数!$B$13,0),"")</f>
        <v>5569542</v>
      </c>
      <c r="E809">
        <f>IFERROR(ROUND($V809*$Y809*$AB809*参数!$C$13,0),"")</f>
        <v>65391</v>
      </c>
      <c r="F809">
        <f>IFERROR(ROUND($W809*$Z809*$AC809*参数!$D$13,0),"")</f>
        <v>56395</v>
      </c>
      <c r="J809">
        <v>161</v>
      </c>
      <c r="K809">
        <v>161</v>
      </c>
      <c r="L809">
        <f>IFERROR(INDEX(楼层配置!$D$5:$D$204,MATCH($K809,楼层配置!$B$5:$B$204,0)),"")</f>
        <v>384</v>
      </c>
      <c r="M809" t="str">
        <f>IFERROR(INDEX(_角色基线!$B$2:$B$100,MATCH($B809,_角色基线!$A$2:$A$100,0)),"")</f>
        <v>凯兰</v>
      </c>
      <c r="N809" t="str">
        <f>IFERROR(INDEX(_角色基线!$C$2:$C$100,MATCH($B809,_角色基线!$A$2:$A$100,0)),"")</f>
        <v>Support</v>
      </c>
      <c r="O809">
        <f>IFERROR(INDEX(_怪物基线!$B$2:$B$501,MATCH(INT($L809),_怪物基线!$A$2:$A$501,0)),"")</f>
        <v>989419</v>
      </c>
      <c r="P809">
        <f>IFERROR(INDEX(_怪物基线!$C$2:$C$501,MATCH(INT($L809),_怪物基线!$A$2:$A$501,0)),"")</f>
        <v>74664</v>
      </c>
      <c r="Q809">
        <f>IFERROR(INDEX(_怪物基线!$D$2:$D$501,MATCH(INT($L809),_怪物基线!$A$2:$A$501,0)),"")</f>
        <v>45116</v>
      </c>
      <c r="R809">
        <f>参数!$B$10</f>
        <v>4</v>
      </c>
      <c r="S809">
        <f>参数!$C$10</f>
        <v>1.2</v>
      </c>
      <c r="T809">
        <f>参数!$D$10</f>
        <v>1</v>
      </c>
      <c r="U809">
        <f t="shared" si="96"/>
        <v>3957676</v>
      </c>
      <c r="V809">
        <f t="shared" si="97"/>
        <v>89596.8</v>
      </c>
      <c r="W809">
        <f t="shared" si="98"/>
        <v>45116</v>
      </c>
      <c r="X809">
        <f>IFERROR(INDEX(参数!$B$5:$B$7,MATCH($N809,参数!$A$5:$A$7,0)),"")</f>
        <v>1.25</v>
      </c>
      <c r="Y809">
        <f>IFERROR(INDEX(参数!$C$5:$C$7,MATCH($N809,参数!$A$5:$A$7,0)),"")</f>
        <v>1</v>
      </c>
      <c r="Z809">
        <f>IFERROR(INDEX(参数!$D$5:$D$7,MATCH($N809,参数!$A$5:$A$7,0)),"")</f>
        <v>1.25</v>
      </c>
      <c r="AA809">
        <f>IFERROR(INDEX(楼层配置!$E$5:$E$204,MATCH($K809,楼层配置!$B$5:$B$204,0)),1)</f>
        <v>1.12582067235919</v>
      </c>
      <c r="AB809">
        <f>IFERROR(INDEX(楼层配置!$F$5:$F$204,MATCH($K809,楼层配置!$B$5:$B$204,0)),1)</f>
        <v>0.729834891319568</v>
      </c>
      <c r="AC809">
        <f>IFERROR(INDEX(楼层配置!$G$5:$G$204,MATCH($K809,楼层配置!$B$5:$B$204,0)),1)</f>
        <v>1</v>
      </c>
      <c r="AD809" t="str">
        <f t="shared" si="99"/>
        <v/>
      </c>
      <c r="AE809" t="str">
        <f t="shared" si="100"/>
        <v/>
      </c>
      <c r="AF809" t="str">
        <f t="shared" si="101"/>
        <v/>
      </c>
      <c r="AG809" t="str">
        <f t="shared" si="102"/>
        <v>有效</v>
      </c>
      <c r="AH809">
        <f t="shared" si="103"/>
        <v>18656805.37875</v>
      </c>
    </row>
    <row r="810" spans="1:34">
      <c r="A810">
        <v>806</v>
      </c>
      <c r="B810">
        <v>1003</v>
      </c>
      <c r="C810">
        <v>60</v>
      </c>
      <c r="D810">
        <f>IFERROR(ROUND($U810*$X810*$AA810*参数!$B$13,0),"")</f>
        <v>6844352</v>
      </c>
      <c r="E810">
        <f>IFERROR(ROUND($V810*$Y810*$AB810*参数!$C$13,0),"")</f>
        <v>66636</v>
      </c>
      <c r="F810">
        <f>IFERROR(ROUND($W810*$Z810*$AC810*参数!$D$13,0),"")</f>
        <v>68402</v>
      </c>
      <c r="J810">
        <v>162</v>
      </c>
      <c r="K810">
        <v>162</v>
      </c>
      <c r="L810">
        <f>IFERROR(INDEX(楼层配置!$D$5:$D$204,MATCH($K810,楼层配置!$B$5:$B$204,0)),"")</f>
        <v>387</v>
      </c>
      <c r="M810" t="str">
        <f>IFERROR(INDEX(_角色基线!$B$2:$B$100,MATCH($B810,_角色基线!$A$2:$A$100,0)),"")</f>
        <v>塔拉夏</v>
      </c>
      <c r="N810" t="str">
        <f>IFERROR(INDEX(_角色基线!$C$2:$C$100,MATCH($B810,_角色基线!$A$2:$A$100,0)),"")</f>
        <v>Tank</v>
      </c>
      <c r="O810">
        <f>IFERROR(INDEX(_怪物基线!$B$2:$B$501,MATCH(INT($L810),_怪物基线!$A$2:$A$501,0)),"")</f>
        <v>1013239</v>
      </c>
      <c r="P810">
        <f>IFERROR(INDEX(_怪物基线!$C$2:$C$501,MATCH(INT($L810),_怪物基线!$A$2:$A$501,0)),"")</f>
        <v>76086</v>
      </c>
      <c r="Q810">
        <f>IFERROR(INDEX(_怪物基线!$D$2:$D$501,MATCH(INT($L810),_怪物基线!$A$2:$A$501,0)),"")</f>
        <v>45601</v>
      </c>
      <c r="R810">
        <f>参数!$B$10</f>
        <v>4</v>
      </c>
      <c r="S810">
        <f>参数!$C$10</f>
        <v>1.2</v>
      </c>
      <c r="T810">
        <f>参数!$D$10</f>
        <v>1</v>
      </c>
      <c r="U810">
        <f t="shared" si="96"/>
        <v>4052956</v>
      </c>
      <c r="V810">
        <f t="shared" si="97"/>
        <v>91303.2</v>
      </c>
      <c r="W810">
        <f t="shared" si="98"/>
        <v>45601</v>
      </c>
      <c r="X810">
        <f>IFERROR(INDEX(参数!$B$5:$B$7,MATCH($N810,参数!$A$5:$A$7,0)),"")</f>
        <v>1.5</v>
      </c>
      <c r="Y810">
        <f>IFERROR(INDEX(参数!$C$5:$C$7,MATCH($N810,参数!$A$5:$A$7,0)),"")</f>
        <v>1</v>
      </c>
      <c r="Z810">
        <f>IFERROR(INDEX(参数!$D$5:$D$7,MATCH($N810,参数!$A$5:$A$7,0)),"")</f>
        <v>1.5</v>
      </c>
      <c r="AA810">
        <f>IFERROR(INDEX(楼层配置!$E$5:$E$204,MATCH($K810,楼层配置!$B$5:$B$204,0)),1)</f>
        <v>1.12582067235919</v>
      </c>
      <c r="AB810">
        <f>IFERROR(INDEX(楼层配置!$F$5:$F$204,MATCH($K810,楼层配置!$B$5:$B$204,0)),1)</f>
        <v>0.729834891319568</v>
      </c>
      <c r="AC810">
        <f>IFERROR(INDEX(楼层配置!$G$5:$G$204,MATCH($K810,楼层配置!$B$5:$B$204,0)),1)</f>
        <v>1</v>
      </c>
      <c r="AD810" t="str">
        <f t="shared" si="99"/>
        <v/>
      </c>
      <c r="AE810" t="str">
        <f t="shared" si="100"/>
        <v/>
      </c>
      <c r="AF810" t="str">
        <f t="shared" si="101"/>
        <v/>
      </c>
      <c r="AG810" t="str">
        <f t="shared" si="102"/>
        <v>有效</v>
      </c>
      <c r="AH810">
        <f t="shared" si="103"/>
        <v>26351325.5626667</v>
      </c>
    </row>
    <row r="811" spans="1:34">
      <c r="A811">
        <v>807</v>
      </c>
      <c r="B811">
        <v>1005</v>
      </c>
      <c r="C811">
        <v>60</v>
      </c>
      <c r="D811">
        <f>IFERROR(ROUND($U811*$X811*$AA811*参数!$B$13,0),"")</f>
        <v>4562902</v>
      </c>
      <c r="E811">
        <f>IFERROR(ROUND($V811*$Y811*$AB811*参数!$C$13,0),"")</f>
        <v>79964</v>
      </c>
      <c r="F811">
        <f>IFERROR(ROUND($W811*$Z811*$AC811*参数!$D$13,0),"")</f>
        <v>45601</v>
      </c>
      <c r="J811">
        <v>162</v>
      </c>
      <c r="K811">
        <v>162</v>
      </c>
      <c r="L811">
        <f>IFERROR(INDEX(楼层配置!$D$5:$D$204,MATCH($K811,楼层配置!$B$5:$B$204,0)),"")</f>
        <v>387</v>
      </c>
      <c r="M811" t="str">
        <f>IFERROR(INDEX(_角色基线!$B$2:$B$100,MATCH($B811,_角色基线!$A$2:$A$100,0)),"")</f>
        <v>陈单单</v>
      </c>
      <c r="N811" t="str">
        <f>IFERROR(INDEX(_角色基线!$C$2:$C$100,MATCH($B811,_角色基线!$A$2:$A$100,0)),"")</f>
        <v>DPS</v>
      </c>
      <c r="O811">
        <f>IFERROR(INDEX(_怪物基线!$B$2:$B$501,MATCH(INT($L811),_怪物基线!$A$2:$A$501,0)),"")</f>
        <v>1013239</v>
      </c>
      <c r="P811">
        <f>IFERROR(INDEX(_怪物基线!$C$2:$C$501,MATCH(INT($L811),_怪物基线!$A$2:$A$501,0)),"")</f>
        <v>76086</v>
      </c>
      <c r="Q811">
        <f>IFERROR(INDEX(_怪物基线!$D$2:$D$501,MATCH(INT($L811),_怪物基线!$A$2:$A$501,0)),"")</f>
        <v>45601</v>
      </c>
      <c r="R811">
        <f>参数!$B$10</f>
        <v>4</v>
      </c>
      <c r="S811">
        <f>参数!$C$10</f>
        <v>1.2</v>
      </c>
      <c r="T811">
        <f>参数!$D$10</f>
        <v>1</v>
      </c>
      <c r="U811">
        <f t="shared" si="96"/>
        <v>4052956</v>
      </c>
      <c r="V811">
        <f t="shared" si="97"/>
        <v>91303.2</v>
      </c>
      <c r="W811">
        <f t="shared" si="98"/>
        <v>45601</v>
      </c>
      <c r="X811">
        <f>IFERROR(INDEX(参数!$B$5:$B$7,MATCH($N811,参数!$A$5:$A$7,0)),"")</f>
        <v>1</v>
      </c>
      <c r="Y811">
        <f>IFERROR(INDEX(参数!$C$5:$C$7,MATCH($N811,参数!$A$5:$A$7,0)),"")</f>
        <v>1.2</v>
      </c>
      <c r="Z811">
        <f>IFERROR(INDEX(参数!$D$5:$D$7,MATCH($N811,参数!$A$5:$A$7,0)),"")</f>
        <v>1</v>
      </c>
      <c r="AA811">
        <f>IFERROR(INDEX(楼层配置!$E$5:$E$204,MATCH($K811,楼层配置!$B$5:$B$204,0)),1)</f>
        <v>1.12582067235919</v>
      </c>
      <c r="AB811">
        <f>IFERROR(INDEX(楼层配置!$F$5:$F$204,MATCH($K811,楼层配置!$B$5:$B$204,0)),1)</f>
        <v>0.729834891319568</v>
      </c>
      <c r="AC811">
        <f>IFERROR(INDEX(楼层配置!$G$5:$G$204,MATCH($K811,楼层配置!$B$5:$B$204,0)),1)</f>
        <v>1</v>
      </c>
      <c r="AD811" t="str">
        <f t="shared" si="99"/>
        <v/>
      </c>
      <c r="AE811" t="str">
        <f t="shared" si="100"/>
        <v/>
      </c>
      <c r="AF811" t="str">
        <f t="shared" si="101"/>
        <v/>
      </c>
      <c r="AG811" t="str">
        <f t="shared" si="102"/>
        <v>有效</v>
      </c>
      <c r="AH811">
        <f t="shared" si="103"/>
        <v>13232605.9209167</v>
      </c>
    </row>
    <row r="812" spans="1:34">
      <c r="A812">
        <v>808</v>
      </c>
      <c r="B812">
        <v>1005</v>
      </c>
      <c r="C812">
        <v>60</v>
      </c>
      <c r="D812">
        <f>IFERROR(ROUND($U812*$X812*$AA812*参数!$B$13,0),"")</f>
        <v>4562902</v>
      </c>
      <c r="E812">
        <f>IFERROR(ROUND($V812*$Y812*$AB812*参数!$C$13,0),"")</f>
        <v>79964</v>
      </c>
      <c r="F812">
        <f>IFERROR(ROUND($W812*$Z812*$AC812*参数!$D$13,0),"")</f>
        <v>45601</v>
      </c>
      <c r="J812">
        <v>162</v>
      </c>
      <c r="K812">
        <v>162</v>
      </c>
      <c r="L812">
        <f>IFERROR(INDEX(楼层配置!$D$5:$D$204,MATCH($K812,楼层配置!$B$5:$B$204,0)),"")</f>
        <v>387</v>
      </c>
      <c r="M812" t="str">
        <f>IFERROR(INDEX(_角色基线!$B$2:$B$100,MATCH($B812,_角色基线!$A$2:$A$100,0)),"")</f>
        <v>陈单单</v>
      </c>
      <c r="N812" t="str">
        <f>IFERROR(INDEX(_角色基线!$C$2:$C$100,MATCH($B812,_角色基线!$A$2:$A$100,0)),"")</f>
        <v>DPS</v>
      </c>
      <c r="O812">
        <f>IFERROR(INDEX(_怪物基线!$B$2:$B$501,MATCH(INT($L812),_怪物基线!$A$2:$A$501,0)),"")</f>
        <v>1013239</v>
      </c>
      <c r="P812">
        <f>IFERROR(INDEX(_怪物基线!$C$2:$C$501,MATCH(INT($L812),_怪物基线!$A$2:$A$501,0)),"")</f>
        <v>76086</v>
      </c>
      <c r="Q812">
        <f>IFERROR(INDEX(_怪物基线!$D$2:$D$501,MATCH(INT($L812),_怪物基线!$A$2:$A$501,0)),"")</f>
        <v>45601</v>
      </c>
      <c r="R812">
        <f>参数!$B$10</f>
        <v>4</v>
      </c>
      <c r="S812">
        <f>参数!$C$10</f>
        <v>1.2</v>
      </c>
      <c r="T812">
        <f>参数!$D$10</f>
        <v>1</v>
      </c>
      <c r="U812">
        <f t="shared" si="96"/>
        <v>4052956</v>
      </c>
      <c r="V812">
        <f t="shared" si="97"/>
        <v>91303.2</v>
      </c>
      <c r="W812">
        <f t="shared" si="98"/>
        <v>45601</v>
      </c>
      <c r="X812">
        <f>IFERROR(INDEX(参数!$B$5:$B$7,MATCH($N812,参数!$A$5:$A$7,0)),"")</f>
        <v>1</v>
      </c>
      <c r="Y812">
        <f>IFERROR(INDEX(参数!$C$5:$C$7,MATCH($N812,参数!$A$5:$A$7,0)),"")</f>
        <v>1.2</v>
      </c>
      <c r="Z812">
        <f>IFERROR(INDEX(参数!$D$5:$D$7,MATCH($N812,参数!$A$5:$A$7,0)),"")</f>
        <v>1</v>
      </c>
      <c r="AA812">
        <f>IFERROR(INDEX(楼层配置!$E$5:$E$204,MATCH($K812,楼层配置!$B$5:$B$204,0)),1)</f>
        <v>1.12582067235919</v>
      </c>
      <c r="AB812">
        <f>IFERROR(INDEX(楼层配置!$F$5:$F$204,MATCH($K812,楼层配置!$B$5:$B$204,0)),1)</f>
        <v>0.729834891319568</v>
      </c>
      <c r="AC812">
        <f>IFERROR(INDEX(楼层配置!$G$5:$G$204,MATCH($K812,楼层配置!$B$5:$B$204,0)),1)</f>
        <v>1</v>
      </c>
      <c r="AD812" t="str">
        <f t="shared" si="99"/>
        <v/>
      </c>
      <c r="AE812" t="str">
        <f t="shared" si="100"/>
        <v/>
      </c>
      <c r="AF812" t="str">
        <f t="shared" si="101"/>
        <v/>
      </c>
      <c r="AG812" t="str">
        <f t="shared" si="102"/>
        <v>有效</v>
      </c>
      <c r="AH812">
        <f t="shared" si="103"/>
        <v>13232605.9209167</v>
      </c>
    </row>
    <row r="813" spans="1:34">
      <c r="A813">
        <v>809</v>
      </c>
      <c r="B813">
        <v>1005</v>
      </c>
      <c r="C813">
        <v>60</v>
      </c>
      <c r="D813">
        <f>IFERROR(ROUND($U813*$X813*$AA813*参数!$B$13,0),"")</f>
        <v>4562902</v>
      </c>
      <c r="E813">
        <f>IFERROR(ROUND($V813*$Y813*$AB813*参数!$C$13,0),"")</f>
        <v>79964</v>
      </c>
      <c r="F813">
        <f>IFERROR(ROUND($W813*$Z813*$AC813*参数!$D$13,0),"")</f>
        <v>45601</v>
      </c>
      <c r="J813">
        <v>162</v>
      </c>
      <c r="K813">
        <v>162</v>
      </c>
      <c r="L813">
        <f>IFERROR(INDEX(楼层配置!$D$5:$D$204,MATCH($K813,楼层配置!$B$5:$B$204,0)),"")</f>
        <v>387</v>
      </c>
      <c r="M813" t="str">
        <f>IFERROR(INDEX(_角色基线!$B$2:$B$100,MATCH($B813,_角色基线!$A$2:$A$100,0)),"")</f>
        <v>陈单单</v>
      </c>
      <c r="N813" t="str">
        <f>IFERROR(INDEX(_角色基线!$C$2:$C$100,MATCH($B813,_角色基线!$A$2:$A$100,0)),"")</f>
        <v>DPS</v>
      </c>
      <c r="O813">
        <f>IFERROR(INDEX(_怪物基线!$B$2:$B$501,MATCH(INT($L813),_怪物基线!$A$2:$A$501,0)),"")</f>
        <v>1013239</v>
      </c>
      <c r="P813">
        <f>IFERROR(INDEX(_怪物基线!$C$2:$C$501,MATCH(INT($L813),_怪物基线!$A$2:$A$501,0)),"")</f>
        <v>76086</v>
      </c>
      <c r="Q813">
        <f>IFERROR(INDEX(_怪物基线!$D$2:$D$501,MATCH(INT($L813),_怪物基线!$A$2:$A$501,0)),"")</f>
        <v>45601</v>
      </c>
      <c r="R813">
        <f>参数!$B$10</f>
        <v>4</v>
      </c>
      <c r="S813">
        <f>参数!$C$10</f>
        <v>1.2</v>
      </c>
      <c r="T813">
        <f>参数!$D$10</f>
        <v>1</v>
      </c>
      <c r="U813">
        <f t="shared" si="96"/>
        <v>4052956</v>
      </c>
      <c r="V813">
        <f t="shared" si="97"/>
        <v>91303.2</v>
      </c>
      <c r="W813">
        <f t="shared" si="98"/>
        <v>45601</v>
      </c>
      <c r="X813">
        <f>IFERROR(INDEX(参数!$B$5:$B$7,MATCH($N813,参数!$A$5:$A$7,0)),"")</f>
        <v>1</v>
      </c>
      <c r="Y813">
        <f>IFERROR(INDEX(参数!$C$5:$C$7,MATCH($N813,参数!$A$5:$A$7,0)),"")</f>
        <v>1.2</v>
      </c>
      <c r="Z813">
        <f>IFERROR(INDEX(参数!$D$5:$D$7,MATCH($N813,参数!$A$5:$A$7,0)),"")</f>
        <v>1</v>
      </c>
      <c r="AA813">
        <f>IFERROR(INDEX(楼层配置!$E$5:$E$204,MATCH($K813,楼层配置!$B$5:$B$204,0)),1)</f>
        <v>1.12582067235919</v>
      </c>
      <c r="AB813">
        <f>IFERROR(INDEX(楼层配置!$F$5:$F$204,MATCH($K813,楼层配置!$B$5:$B$204,0)),1)</f>
        <v>0.729834891319568</v>
      </c>
      <c r="AC813">
        <f>IFERROR(INDEX(楼层配置!$G$5:$G$204,MATCH($K813,楼层配置!$B$5:$B$204,0)),1)</f>
        <v>1</v>
      </c>
      <c r="AD813" t="str">
        <f t="shared" si="99"/>
        <v/>
      </c>
      <c r="AE813" t="str">
        <f t="shared" si="100"/>
        <v/>
      </c>
      <c r="AF813" t="str">
        <f t="shared" si="101"/>
        <v/>
      </c>
      <c r="AG813" t="str">
        <f t="shared" si="102"/>
        <v>有效</v>
      </c>
      <c r="AH813">
        <f t="shared" si="103"/>
        <v>13232605.9209167</v>
      </c>
    </row>
    <row r="814" spans="1:34">
      <c r="A814">
        <v>810</v>
      </c>
      <c r="B814">
        <v>1029</v>
      </c>
      <c r="C814">
        <v>60</v>
      </c>
      <c r="D814">
        <f>IFERROR(ROUND($U814*$X814*$AA814*参数!$B$13,0),"")</f>
        <v>5703627</v>
      </c>
      <c r="E814">
        <f>IFERROR(ROUND($V814*$Y814*$AB814*参数!$C$13,0),"")</f>
        <v>66636</v>
      </c>
      <c r="F814">
        <f>IFERROR(ROUND($W814*$Z814*$AC814*参数!$D$13,0),"")</f>
        <v>57001</v>
      </c>
      <c r="J814">
        <v>162</v>
      </c>
      <c r="K814">
        <v>162</v>
      </c>
      <c r="L814">
        <f>IFERROR(INDEX(楼层配置!$D$5:$D$204,MATCH($K814,楼层配置!$B$5:$B$204,0)),"")</f>
        <v>387</v>
      </c>
      <c r="M814" t="str">
        <f>IFERROR(INDEX(_角色基线!$B$2:$B$100,MATCH($B814,_角色基线!$A$2:$A$100,0)),"")</f>
        <v>凯兰</v>
      </c>
      <c r="N814" t="str">
        <f>IFERROR(INDEX(_角色基线!$C$2:$C$100,MATCH($B814,_角色基线!$A$2:$A$100,0)),"")</f>
        <v>Support</v>
      </c>
      <c r="O814">
        <f>IFERROR(INDEX(_怪物基线!$B$2:$B$501,MATCH(INT($L814),_怪物基线!$A$2:$A$501,0)),"")</f>
        <v>1013239</v>
      </c>
      <c r="P814">
        <f>IFERROR(INDEX(_怪物基线!$C$2:$C$501,MATCH(INT($L814),_怪物基线!$A$2:$A$501,0)),"")</f>
        <v>76086</v>
      </c>
      <c r="Q814">
        <f>IFERROR(INDEX(_怪物基线!$D$2:$D$501,MATCH(INT($L814),_怪物基线!$A$2:$A$501,0)),"")</f>
        <v>45601</v>
      </c>
      <c r="R814">
        <f>参数!$B$10</f>
        <v>4</v>
      </c>
      <c r="S814">
        <f>参数!$C$10</f>
        <v>1.2</v>
      </c>
      <c r="T814">
        <f>参数!$D$10</f>
        <v>1</v>
      </c>
      <c r="U814">
        <f t="shared" si="96"/>
        <v>4052956</v>
      </c>
      <c r="V814">
        <f t="shared" si="97"/>
        <v>91303.2</v>
      </c>
      <c r="W814">
        <f t="shared" si="98"/>
        <v>45601</v>
      </c>
      <c r="X814">
        <f>IFERROR(INDEX(参数!$B$5:$B$7,MATCH($N814,参数!$A$5:$A$7,0)),"")</f>
        <v>1.25</v>
      </c>
      <c r="Y814">
        <f>IFERROR(INDEX(参数!$C$5:$C$7,MATCH($N814,参数!$A$5:$A$7,0)),"")</f>
        <v>1</v>
      </c>
      <c r="Z814">
        <f>IFERROR(INDEX(参数!$D$5:$D$7,MATCH($N814,参数!$A$5:$A$7,0)),"")</f>
        <v>1.25</v>
      </c>
      <c r="AA814">
        <f>IFERROR(INDEX(楼层配置!$E$5:$E$204,MATCH($K814,楼层配置!$B$5:$B$204,0)),1)</f>
        <v>1.12582067235919</v>
      </c>
      <c r="AB814">
        <f>IFERROR(INDEX(楼层配置!$F$5:$F$204,MATCH($K814,楼层配置!$B$5:$B$204,0)),1)</f>
        <v>0.729834891319568</v>
      </c>
      <c r="AC814">
        <f>IFERROR(INDEX(楼层配置!$G$5:$G$204,MATCH($K814,楼层配置!$B$5:$B$204,0)),1)</f>
        <v>1</v>
      </c>
      <c r="AD814" t="str">
        <f t="shared" si="99"/>
        <v/>
      </c>
      <c r="AE814" t="str">
        <f t="shared" si="100"/>
        <v/>
      </c>
      <c r="AF814" t="str">
        <f t="shared" si="101"/>
        <v/>
      </c>
      <c r="AG814" t="str">
        <f t="shared" si="102"/>
        <v>有效</v>
      </c>
      <c r="AH814">
        <f t="shared" si="103"/>
        <v>19249978.776125</v>
      </c>
    </row>
    <row r="815" spans="1:34">
      <c r="A815">
        <v>811</v>
      </c>
      <c r="B815">
        <v>1003</v>
      </c>
      <c r="C815">
        <v>60</v>
      </c>
      <c r="D815">
        <f>IFERROR(ROUND($U815*$X815*$AA815*参数!$B$13,0),"")</f>
        <v>6953309</v>
      </c>
      <c r="E815">
        <f>IFERROR(ROUND($V815*$Y815*$AB815*参数!$C$13,0),"")</f>
        <v>67479</v>
      </c>
      <c r="F815">
        <f>IFERROR(ROUND($W815*$Z815*$AC815*参数!$D$13,0),"")</f>
        <v>68888</v>
      </c>
      <c r="J815">
        <v>163</v>
      </c>
      <c r="K815">
        <v>163</v>
      </c>
      <c r="L815">
        <f>IFERROR(INDEX(楼层配置!$D$5:$D$204,MATCH($K815,楼层配置!$B$5:$B$204,0)),"")</f>
        <v>389</v>
      </c>
      <c r="M815" t="str">
        <f>IFERROR(INDEX(_角色基线!$B$2:$B$100,MATCH($B815,_角色基线!$A$2:$A$100,0)),"")</f>
        <v>塔拉夏</v>
      </c>
      <c r="N815" t="str">
        <f>IFERROR(INDEX(_角色基线!$C$2:$C$100,MATCH($B815,_角色基线!$A$2:$A$100,0)),"")</f>
        <v>Tank</v>
      </c>
      <c r="O815">
        <f>IFERROR(INDEX(_怪物基线!$B$2:$B$501,MATCH(INT($L815),_怪物基线!$A$2:$A$501,0)),"")</f>
        <v>1029369</v>
      </c>
      <c r="P815">
        <f>IFERROR(INDEX(_怪物基线!$C$2:$C$501,MATCH(INT($L815),_怪物基线!$A$2:$A$501,0)),"")</f>
        <v>77048</v>
      </c>
      <c r="Q815">
        <f>IFERROR(INDEX(_怪物基线!$D$2:$D$501,MATCH(INT($L815),_怪物基线!$A$2:$A$501,0)),"")</f>
        <v>45925</v>
      </c>
      <c r="R815">
        <f>参数!$B$10</f>
        <v>4</v>
      </c>
      <c r="S815">
        <f>参数!$C$10</f>
        <v>1.2</v>
      </c>
      <c r="T815">
        <f>参数!$D$10</f>
        <v>1</v>
      </c>
      <c r="U815">
        <f t="shared" si="96"/>
        <v>4117476</v>
      </c>
      <c r="V815">
        <f t="shared" si="97"/>
        <v>92457.6</v>
      </c>
      <c r="W815">
        <f t="shared" si="98"/>
        <v>45925</v>
      </c>
      <c r="X815">
        <f>IFERROR(INDEX(参数!$B$5:$B$7,MATCH($N815,参数!$A$5:$A$7,0)),"")</f>
        <v>1.5</v>
      </c>
      <c r="Y815">
        <f>IFERROR(INDEX(参数!$C$5:$C$7,MATCH($N815,参数!$A$5:$A$7,0)),"")</f>
        <v>1</v>
      </c>
      <c r="Z815">
        <f>IFERROR(INDEX(参数!$D$5:$D$7,MATCH($N815,参数!$A$5:$A$7,0)),"")</f>
        <v>1.5</v>
      </c>
      <c r="AA815">
        <f>IFERROR(INDEX(楼层配置!$E$5:$E$204,MATCH($K815,楼层配置!$B$5:$B$204,0)),1)</f>
        <v>1.12582067235919</v>
      </c>
      <c r="AB815">
        <f>IFERROR(INDEX(楼层配置!$F$5:$F$204,MATCH($K815,楼层配置!$B$5:$B$204,0)),1)</f>
        <v>0.729834891319568</v>
      </c>
      <c r="AC815">
        <f>IFERROR(INDEX(楼层配置!$G$5:$G$204,MATCH($K815,楼层配置!$B$5:$B$204,0)),1)</f>
        <v>1</v>
      </c>
      <c r="AD815" t="str">
        <f t="shared" si="99"/>
        <v/>
      </c>
      <c r="AE815" t="str">
        <f t="shared" si="100"/>
        <v/>
      </c>
      <c r="AF815" t="str">
        <f t="shared" si="101"/>
        <v/>
      </c>
      <c r="AG815" t="str">
        <f t="shared" si="102"/>
        <v>有效</v>
      </c>
      <c r="AH815">
        <f t="shared" si="103"/>
        <v>26911623.5996667</v>
      </c>
    </row>
    <row r="816" spans="1:34">
      <c r="A816">
        <v>812</v>
      </c>
      <c r="B816">
        <v>1005</v>
      </c>
      <c r="C816">
        <v>60</v>
      </c>
      <c r="D816">
        <f>IFERROR(ROUND($U816*$X816*$AA816*参数!$B$13,0),"")</f>
        <v>4635540</v>
      </c>
      <c r="E816">
        <f>IFERROR(ROUND($V816*$Y816*$AB816*参数!$C$13,0),"")</f>
        <v>80975</v>
      </c>
      <c r="F816">
        <f>IFERROR(ROUND($W816*$Z816*$AC816*参数!$D$13,0),"")</f>
        <v>45925</v>
      </c>
      <c r="J816">
        <v>163</v>
      </c>
      <c r="K816">
        <v>163</v>
      </c>
      <c r="L816">
        <f>IFERROR(INDEX(楼层配置!$D$5:$D$204,MATCH($K816,楼层配置!$B$5:$B$204,0)),"")</f>
        <v>389</v>
      </c>
      <c r="M816" t="str">
        <f>IFERROR(INDEX(_角色基线!$B$2:$B$100,MATCH($B816,_角色基线!$A$2:$A$100,0)),"")</f>
        <v>陈单单</v>
      </c>
      <c r="N816" t="str">
        <f>IFERROR(INDEX(_角色基线!$C$2:$C$100,MATCH($B816,_角色基线!$A$2:$A$100,0)),"")</f>
        <v>DPS</v>
      </c>
      <c r="O816">
        <f>IFERROR(INDEX(_怪物基线!$B$2:$B$501,MATCH(INT($L816),_怪物基线!$A$2:$A$501,0)),"")</f>
        <v>1029369</v>
      </c>
      <c r="P816">
        <f>IFERROR(INDEX(_怪物基线!$C$2:$C$501,MATCH(INT($L816),_怪物基线!$A$2:$A$501,0)),"")</f>
        <v>77048</v>
      </c>
      <c r="Q816">
        <f>IFERROR(INDEX(_怪物基线!$D$2:$D$501,MATCH(INT($L816),_怪物基线!$A$2:$A$501,0)),"")</f>
        <v>45925</v>
      </c>
      <c r="R816">
        <f>参数!$B$10</f>
        <v>4</v>
      </c>
      <c r="S816">
        <f>参数!$C$10</f>
        <v>1.2</v>
      </c>
      <c r="T816">
        <f>参数!$D$10</f>
        <v>1</v>
      </c>
      <c r="U816">
        <f t="shared" si="96"/>
        <v>4117476</v>
      </c>
      <c r="V816">
        <f t="shared" si="97"/>
        <v>92457.6</v>
      </c>
      <c r="W816">
        <f t="shared" si="98"/>
        <v>45925</v>
      </c>
      <c r="X816">
        <f>IFERROR(INDEX(参数!$B$5:$B$7,MATCH($N816,参数!$A$5:$A$7,0)),"")</f>
        <v>1</v>
      </c>
      <c r="Y816">
        <f>IFERROR(INDEX(参数!$C$5:$C$7,MATCH($N816,参数!$A$5:$A$7,0)),"")</f>
        <v>1.2</v>
      </c>
      <c r="Z816">
        <f>IFERROR(INDEX(参数!$D$5:$D$7,MATCH($N816,参数!$A$5:$A$7,0)),"")</f>
        <v>1</v>
      </c>
      <c r="AA816">
        <f>IFERROR(INDEX(楼层配置!$E$5:$E$204,MATCH($K816,楼层配置!$B$5:$B$204,0)),1)</f>
        <v>1.12582067235919</v>
      </c>
      <c r="AB816">
        <f>IFERROR(INDEX(楼层配置!$F$5:$F$204,MATCH($K816,楼层配置!$B$5:$B$204,0)),1)</f>
        <v>0.729834891319568</v>
      </c>
      <c r="AC816">
        <f>IFERROR(INDEX(楼层配置!$G$5:$G$204,MATCH($K816,楼层配置!$B$5:$B$204,0)),1)</f>
        <v>1</v>
      </c>
      <c r="AD816" t="str">
        <f t="shared" si="99"/>
        <v/>
      </c>
      <c r="AE816" t="str">
        <f t="shared" si="100"/>
        <v/>
      </c>
      <c r="AF816" t="str">
        <f t="shared" si="101"/>
        <v/>
      </c>
      <c r="AG816" t="str">
        <f t="shared" si="102"/>
        <v>有效</v>
      </c>
      <c r="AH816">
        <f t="shared" si="103"/>
        <v>13505838.9375</v>
      </c>
    </row>
    <row r="817" spans="1:34">
      <c r="A817">
        <v>813</v>
      </c>
      <c r="B817">
        <v>1005</v>
      </c>
      <c r="C817">
        <v>60</v>
      </c>
      <c r="D817">
        <f>IFERROR(ROUND($U817*$X817*$AA817*参数!$B$13,0),"")</f>
        <v>4635540</v>
      </c>
      <c r="E817">
        <f>IFERROR(ROUND($V817*$Y817*$AB817*参数!$C$13,0),"")</f>
        <v>80975</v>
      </c>
      <c r="F817">
        <f>IFERROR(ROUND($W817*$Z817*$AC817*参数!$D$13,0),"")</f>
        <v>45925</v>
      </c>
      <c r="J817">
        <v>163</v>
      </c>
      <c r="K817">
        <v>163</v>
      </c>
      <c r="L817">
        <f>IFERROR(INDEX(楼层配置!$D$5:$D$204,MATCH($K817,楼层配置!$B$5:$B$204,0)),"")</f>
        <v>389</v>
      </c>
      <c r="M817" t="str">
        <f>IFERROR(INDEX(_角色基线!$B$2:$B$100,MATCH($B817,_角色基线!$A$2:$A$100,0)),"")</f>
        <v>陈单单</v>
      </c>
      <c r="N817" t="str">
        <f>IFERROR(INDEX(_角色基线!$C$2:$C$100,MATCH($B817,_角色基线!$A$2:$A$100,0)),"")</f>
        <v>DPS</v>
      </c>
      <c r="O817">
        <f>IFERROR(INDEX(_怪物基线!$B$2:$B$501,MATCH(INT($L817),_怪物基线!$A$2:$A$501,0)),"")</f>
        <v>1029369</v>
      </c>
      <c r="P817">
        <f>IFERROR(INDEX(_怪物基线!$C$2:$C$501,MATCH(INT($L817),_怪物基线!$A$2:$A$501,0)),"")</f>
        <v>77048</v>
      </c>
      <c r="Q817">
        <f>IFERROR(INDEX(_怪物基线!$D$2:$D$501,MATCH(INT($L817),_怪物基线!$A$2:$A$501,0)),"")</f>
        <v>45925</v>
      </c>
      <c r="R817">
        <f>参数!$B$10</f>
        <v>4</v>
      </c>
      <c r="S817">
        <f>参数!$C$10</f>
        <v>1.2</v>
      </c>
      <c r="T817">
        <f>参数!$D$10</f>
        <v>1</v>
      </c>
      <c r="U817">
        <f t="shared" si="96"/>
        <v>4117476</v>
      </c>
      <c r="V817">
        <f t="shared" si="97"/>
        <v>92457.6</v>
      </c>
      <c r="W817">
        <f t="shared" si="98"/>
        <v>45925</v>
      </c>
      <c r="X817">
        <f>IFERROR(INDEX(参数!$B$5:$B$7,MATCH($N817,参数!$A$5:$A$7,0)),"")</f>
        <v>1</v>
      </c>
      <c r="Y817">
        <f>IFERROR(INDEX(参数!$C$5:$C$7,MATCH($N817,参数!$A$5:$A$7,0)),"")</f>
        <v>1.2</v>
      </c>
      <c r="Z817">
        <f>IFERROR(INDEX(参数!$D$5:$D$7,MATCH($N817,参数!$A$5:$A$7,0)),"")</f>
        <v>1</v>
      </c>
      <c r="AA817">
        <f>IFERROR(INDEX(楼层配置!$E$5:$E$204,MATCH($K817,楼层配置!$B$5:$B$204,0)),1)</f>
        <v>1.12582067235919</v>
      </c>
      <c r="AB817">
        <f>IFERROR(INDEX(楼层配置!$F$5:$F$204,MATCH($K817,楼层配置!$B$5:$B$204,0)),1)</f>
        <v>0.729834891319568</v>
      </c>
      <c r="AC817">
        <f>IFERROR(INDEX(楼层配置!$G$5:$G$204,MATCH($K817,楼层配置!$B$5:$B$204,0)),1)</f>
        <v>1</v>
      </c>
      <c r="AD817" t="str">
        <f t="shared" si="99"/>
        <v/>
      </c>
      <c r="AE817" t="str">
        <f t="shared" si="100"/>
        <v/>
      </c>
      <c r="AF817" t="str">
        <f t="shared" si="101"/>
        <v/>
      </c>
      <c r="AG817" t="str">
        <f t="shared" si="102"/>
        <v>有效</v>
      </c>
      <c r="AH817">
        <f t="shared" si="103"/>
        <v>13505838.9375</v>
      </c>
    </row>
    <row r="818" spans="1:34">
      <c r="A818">
        <v>814</v>
      </c>
      <c r="B818">
        <v>1005</v>
      </c>
      <c r="C818">
        <v>60</v>
      </c>
      <c r="D818">
        <f>IFERROR(ROUND($U818*$X818*$AA818*参数!$B$13,0),"")</f>
        <v>4635540</v>
      </c>
      <c r="E818">
        <f>IFERROR(ROUND($V818*$Y818*$AB818*参数!$C$13,0),"")</f>
        <v>80975</v>
      </c>
      <c r="F818">
        <f>IFERROR(ROUND($W818*$Z818*$AC818*参数!$D$13,0),"")</f>
        <v>45925</v>
      </c>
      <c r="J818">
        <v>163</v>
      </c>
      <c r="K818">
        <v>163</v>
      </c>
      <c r="L818">
        <f>IFERROR(INDEX(楼层配置!$D$5:$D$204,MATCH($K818,楼层配置!$B$5:$B$204,0)),"")</f>
        <v>389</v>
      </c>
      <c r="M818" t="str">
        <f>IFERROR(INDEX(_角色基线!$B$2:$B$100,MATCH($B818,_角色基线!$A$2:$A$100,0)),"")</f>
        <v>陈单单</v>
      </c>
      <c r="N818" t="str">
        <f>IFERROR(INDEX(_角色基线!$C$2:$C$100,MATCH($B818,_角色基线!$A$2:$A$100,0)),"")</f>
        <v>DPS</v>
      </c>
      <c r="O818">
        <f>IFERROR(INDEX(_怪物基线!$B$2:$B$501,MATCH(INT($L818),_怪物基线!$A$2:$A$501,0)),"")</f>
        <v>1029369</v>
      </c>
      <c r="P818">
        <f>IFERROR(INDEX(_怪物基线!$C$2:$C$501,MATCH(INT($L818),_怪物基线!$A$2:$A$501,0)),"")</f>
        <v>77048</v>
      </c>
      <c r="Q818">
        <f>IFERROR(INDEX(_怪物基线!$D$2:$D$501,MATCH(INT($L818),_怪物基线!$A$2:$A$501,0)),"")</f>
        <v>45925</v>
      </c>
      <c r="R818">
        <f>参数!$B$10</f>
        <v>4</v>
      </c>
      <c r="S818">
        <f>参数!$C$10</f>
        <v>1.2</v>
      </c>
      <c r="T818">
        <f>参数!$D$10</f>
        <v>1</v>
      </c>
      <c r="U818">
        <f t="shared" si="96"/>
        <v>4117476</v>
      </c>
      <c r="V818">
        <f t="shared" si="97"/>
        <v>92457.6</v>
      </c>
      <c r="W818">
        <f t="shared" si="98"/>
        <v>45925</v>
      </c>
      <c r="X818">
        <f>IFERROR(INDEX(参数!$B$5:$B$7,MATCH($N818,参数!$A$5:$A$7,0)),"")</f>
        <v>1</v>
      </c>
      <c r="Y818">
        <f>IFERROR(INDEX(参数!$C$5:$C$7,MATCH($N818,参数!$A$5:$A$7,0)),"")</f>
        <v>1.2</v>
      </c>
      <c r="Z818">
        <f>IFERROR(INDEX(参数!$D$5:$D$7,MATCH($N818,参数!$A$5:$A$7,0)),"")</f>
        <v>1</v>
      </c>
      <c r="AA818">
        <f>IFERROR(INDEX(楼层配置!$E$5:$E$204,MATCH($K818,楼层配置!$B$5:$B$204,0)),1)</f>
        <v>1.12582067235919</v>
      </c>
      <c r="AB818">
        <f>IFERROR(INDEX(楼层配置!$F$5:$F$204,MATCH($K818,楼层配置!$B$5:$B$204,0)),1)</f>
        <v>0.729834891319568</v>
      </c>
      <c r="AC818">
        <f>IFERROR(INDEX(楼层配置!$G$5:$G$204,MATCH($K818,楼层配置!$B$5:$B$204,0)),1)</f>
        <v>1</v>
      </c>
      <c r="AD818" t="str">
        <f t="shared" si="99"/>
        <v/>
      </c>
      <c r="AE818" t="str">
        <f t="shared" si="100"/>
        <v/>
      </c>
      <c r="AF818" t="str">
        <f t="shared" si="101"/>
        <v/>
      </c>
      <c r="AG818" t="str">
        <f t="shared" si="102"/>
        <v>有效</v>
      </c>
      <c r="AH818">
        <f t="shared" si="103"/>
        <v>13505838.9375</v>
      </c>
    </row>
    <row r="819" spans="1:34">
      <c r="A819">
        <v>815</v>
      </c>
      <c r="B819">
        <v>1029</v>
      </c>
      <c r="C819">
        <v>60</v>
      </c>
      <c r="D819">
        <f>IFERROR(ROUND($U819*$X819*$AA819*参数!$B$13,0),"")</f>
        <v>5794424</v>
      </c>
      <c r="E819">
        <f>IFERROR(ROUND($V819*$Y819*$AB819*参数!$C$13,0),"")</f>
        <v>67479</v>
      </c>
      <c r="F819">
        <f>IFERROR(ROUND($W819*$Z819*$AC819*参数!$D$13,0),"")</f>
        <v>57406</v>
      </c>
      <c r="J819">
        <v>163</v>
      </c>
      <c r="K819">
        <v>163</v>
      </c>
      <c r="L819">
        <f>IFERROR(INDEX(楼层配置!$D$5:$D$204,MATCH($K819,楼层配置!$B$5:$B$204,0)),"")</f>
        <v>389</v>
      </c>
      <c r="M819" t="str">
        <f>IFERROR(INDEX(_角色基线!$B$2:$B$100,MATCH($B819,_角色基线!$A$2:$A$100,0)),"")</f>
        <v>凯兰</v>
      </c>
      <c r="N819" t="str">
        <f>IFERROR(INDEX(_角色基线!$C$2:$C$100,MATCH($B819,_角色基线!$A$2:$A$100,0)),"")</f>
        <v>Support</v>
      </c>
      <c r="O819">
        <f>IFERROR(INDEX(_怪物基线!$B$2:$B$501,MATCH(INT($L819),_怪物基线!$A$2:$A$501,0)),"")</f>
        <v>1029369</v>
      </c>
      <c r="P819">
        <f>IFERROR(INDEX(_怪物基线!$C$2:$C$501,MATCH(INT($L819),_怪物基线!$A$2:$A$501,0)),"")</f>
        <v>77048</v>
      </c>
      <c r="Q819">
        <f>IFERROR(INDEX(_怪物基线!$D$2:$D$501,MATCH(INT($L819),_怪物基线!$A$2:$A$501,0)),"")</f>
        <v>45925</v>
      </c>
      <c r="R819">
        <f>参数!$B$10</f>
        <v>4</v>
      </c>
      <c r="S819">
        <f>参数!$C$10</f>
        <v>1.2</v>
      </c>
      <c r="T819">
        <f>参数!$D$10</f>
        <v>1</v>
      </c>
      <c r="U819">
        <f t="shared" si="96"/>
        <v>4117476</v>
      </c>
      <c r="V819">
        <f t="shared" si="97"/>
        <v>92457.6</v>
      </c>
      <c r="W819">
        <f t="shared" si="98"/>
        <v>45925</v>
      </c>
      <c r="X819">
        <f>IFERROR(INDEX(参数!$B$5:$B$7,MATCH($N819,参数!$A$5:$A$7,0)),"")</f>
        <v>1.25</v>
      </c>
      <c r="Y819">
        <f>IFERROR(INDEX(参数!$C$5:$C$7,MATCH($N819,参数!$A$5:$A$7,0)),"")</f>
        <v>1</v>
      </c>
      <c r="Z819">
        <f>IFERROR(INDEX(参数!$D$5:$D$7,MATCH($N819,参数!$A$5:$A$7,0)),"")</f>
        <v>1.25</v>
      </c>
      <c r="AA819">
        <f>IFERROR(INDEX(楼层配置!$E$5:$E$204,MATCH($K819,楼层配置!$B$5:$B$204,0)),1)</f>
        <v>1.12582067235919</v>
      </c>
      <c r="AB819">
        <f>IFERROR(INDEX(楼层配置!$F$5:$F$204,MATCH($K819,楼层配置!$B$5:$B$204,0)),1)</f>
        <v>0.729834891319568</v>
      </c>
      <c r="AC819">
        <f>IFERROR(INDEX(楼层配置!$G$5:$G$204,MATCH($K819,楼层配置!$B$5:$B$204,0)),1)</f>
        <v>1</v>
      </c>
      <c r="AD819" t="str">
        <f t="shared" si="99"/>
        <v/>
      </c>
      <c r="AE819" t="str">
        <f t="shared" si="100"/>
        <v/>
      </c>
      <c r="AF819" t="str">
        <f t="shared" si="101"/>
        <v/>
      </c>
      <c r="AG819" t="str">
        <f t="shared" si="102"/>
        <v>有效</v>
      </c>
      <c r="AH819">
        <f t="shared" si="103"/>
        <v>19654203.3393333</v>
      </c>
    </row>
    <row r="820" spans="1:34">
      <c r="A820">
        <v>816</v>
      </c>
      <c r="B820">
        <v>1003</v>
      </c>
      <c r="C820">
        <v>60</v>
      </c>
      <c r="D820">
        <f>IFERROR(ROUND($U820*$X820*$AA820*参数!$B$13,0),"")</f>
        <v>7119312</v>
      </c>
      <c r="E820">
        <f>IFERROR(ROUND($V820*$Y820*$AB820*参数!$C$13,0),"")</f>
        <v>68757</v>
      </c>
      <c r="F820">
        <f>IFERROR(ROUND($W820*$Z820*$AC820*参数!$D$13,0),"")</f>
        <v>69620</v>
      </c>
      <c r="J820">
        <v>164</v>
      </c>
      <c r="K820">
        <v>164</v>
      </c>
      <c r="L820">
        <f>IFERROR(INDEX(楼层配置!$D$5:$D$204,MATCH($K820,楼层配置!$B$5:$B$204,0)),"")</f>
        <v>392</v>
      </c>
      <c r="M820" t="str">
        <f>IFERROR(INDEX(_角色基线!$B$2:$B$100,MATCH($B820,_角色基线!$A$2:$A$100,0)),"")</f>
        <v>塔拉夏</v>
      </c>
      <c r="N820" t="str">
        <f>IFERROR(INDEX(_角色基线!$C$2:$C$100,MATCH($B820,_角色基线!$A$2:$A$100,0)),"")</f>
        <v>Tank</v>
      </c>
      <c r="O820">
        <f>IFERROR(INDEX(_怪物基线!$B$2:$B$501,MATCH(INT($L820),_怪物基线!$A$2:$A$501,0)),"")</f>
        <v>1053944</v>
      </c>
      <c r="P820">
        <f>IFERROR(INDEX(_怪物基线!$C$2:$C$501,MATCH(INT($L820),_怪物基线!$A$2:$A$501,0)),"")</f>
        <v>78508</v>
      </c>
      <c r="Q820">
        <f>IFERROR(INDEX(_怪物基线!$D$2:$D$501,MATCH(INT($L820),_怪物基线!$A$2:$A$501,0)),"")</f>
        <v>46413</v>
      </c>
      <c r="R820">
        <f>参数!$B$10</f>
        <v>4</v>
      </c>
      <c r="S820">
        <f>参数!$C$10</f>
        <v>1.2</v>
      </c>
      <c r="T820">
        <f>参数!$D$10</f>
        <v>1</v>
      </c>
      <c r="U820">
        <f t="shared" si="96"/>
        <v>4215776</v>
      </c>
      <c r="V820">
        <f t="shared" si="97"/>
        <v>94209.6</v>
      </c>
      <c r="W820">
        <f t="shared" si="98"/>
        <v>46413</v>
      </c>
      <c r="X820">
        <f>IFERROR(INDEX(参数!$B$5:$B$7,MATCH($N820,参数!$A$5:$A$7,0)),"")</f>
        <v>1.5</v>
      </c>
      <c r="Y820">
        <f>IFERROR(INDEX(参数!$C$5:$C$7,MATCH($N820,参数!$A$5:$A$7,0)),"")</f>
        <v>1</v>
      </c>
      <c r="Z820">
        <f>IFERROR(INDEX(参数!$D$5:$D$7,MATCH($N820,参数!$A$5:$A$7,0)),"")</f>
        <v>1.5</v>
      </c>
      <c r="AA820">
        <f>IFERROR(INDEX(楼层配置!$E$5:$E$204,MATCH($K820,楼层配置!$B$5:$B$204,0)),1)</f>
        <v>1.12582067235919</v>
      </c>
      <c r="AB820">
        <f>IFERROR(INDEX(楼层配置!$F$5:$F$204,MATCH($K820,楼层配置!$B$5:$B$204,0)),1)</f>
        <v>0.729834891319568</v>
      </c>
      <c r="AC820">
        <f>IFERROR(INDEX(楼层配置!$G$5:$G$204,MATCH($K820,楼层配置!$B$5:$B$204,0)),1)</f>
        <v>1</v>
      </c>
      <c r="AD820" t="str">
        <f t="shared" si="99"/>
        <v/>
      </c>
      <c r="AE820" t="str">
        <f t="shared" si="100"/>
        <v/>
      </c>
      <c r="AF820" t="str">
        <f t="shared" si="101"/>
        <v/>
      </c>
      <c r="AG820" t="str">
        <f t="shared" si="102"/>
        <v>有效</v>
      </c>
      <c r="AH820">
        <f t="shared" si="103"/>
        <v>27771249.56</v>
      </c>
    </row>
    <row r="821" spans="1:34">
      <c r="A821">
        <v>817</v>
      </c>
      <c r="B821">
        <v>1005</v>
      </c>
      <c r="C821">
        <v>60</v>
      </c>
      <c r="D821">
        <f>IFERROR(ROUND($U821*$X821*$AA821*参数!$B$13,0),"")</f>
        <v>4746208</v>
      </c>
      <c r="E821">
        <f>IFERROR(ROUND($V821*$Y821*$AB821*参数!$C$13,0),"")</f>
        <v>82509</v>
      </c>
      <c r="F821">
        <f>IFERROR(ROUND($W821*$Z821*$AC821*参数!$D$13,0),"")</f>
        <v>46413</v>
      </c>
      <c r="J821">
        <v>164</v>
      </c>
      <c r="K821">
        <v>164</v>
      </c>
      <c r="L821">
        <f>IFERROR(INDEX(楼层配置!$D$5:$D$204,MATCH($K821,楼层配置!$B$5:$B$204,0)),"")</f>
        <v>392</v>
      </c>
      <c r="M821" t="str">
        <f>IFERROR(INDEX(_角色基线!$B$2:$B$100,MATCH($B821,_角色基线!$A$2:$A$100,0)),"")</f>
        <v>陈单单</v>
      </c>
      <c r="N821" t="str">
        <f>IFERROR(INDEX(_角色基线!$C$2:$C$100,MATCH($B821,_角色基线!$A$2:$A$100,0)),"")</f>
        <v>DPS</v>
      </c>
      <c r="O821">
        <f>IFERROR(INDEX(_怪物基线!$B$2:$B$501,MATCH(INT($L821),_怪物基线!$A$2:$A$501,0)),"")</f>
        <v>1053944</v>
      </c>
      <c r="P821">
        <f>IFERROR(INDEX(_怪物基线!$C$2:$C$501,MATCH(INT($L821),_怪物基线!$A$2:$A$501,0)),"")</f>
        <v>78508</v>
      </c>
      <c r="Q821">
        <f>IFERROR(INDEX(_怪物基线!$D$2:$D$501,MATCH(INT($L821),_怪物基线!$A$2:$A$501,0)),"")</f>
        <v>46413</v>
      </c>
      <c r="R821">
        <f>参数!$B$10</f>
        <v>4</v>
      </c>
      <c r="S821">
        <f>参数!$C$10</f>
        <v>1.2</v>
      </c>
      <c r="T821">
        <f>参数!$D$10</f>
        <v>1</v>
      </c>
      <c r="U821">
        <f t="shared" si="96"/>
        <v>4215776</v>
      </c>
      <c r="V821">
        <f t="shared" si="97"/>
        <v>94209.6</v>
      </c>
      <c r="W821">
        <f t="shared" si="98"/>
        <v>46413</v>
      </c>
      <c r="X821">
        <f>IFERROR(INDEX(参数!$B$5:$B$7,MATCH($N821,参数!$A$5:$A$7,0)),"")</f>
        <v>1</v>
      </c>
      <c r="Y821">
        <f>IFERROR(INDEX(参数!$C$5:$C$7,MATCH($N821,参数!$A$5:$A$7,0)),"")</f>
        <v>1.2</v>
      </c>
      <c r="Z821">
        <f>IFERROR(INDEX(参数!$D$5:$D$7,MATCH($N821,参数!$A$5:$A$7,0)),"")</f>
        <v>1</v>
      </c>
      <c r="AA821">
        <f>IFERROR(INDEX(楼层配置!$E$5:$E$204,MATCH($K821,楼层配置!$B$5:$B$204,0)),1)</f>
        <v>1.12582067235919</v>
      </c>
      <c r="AB821">
        <f>IFERROR(INDEX(楼层配置!$F$5:$F$204,MATCH($K821,楼层配置!$B$5:$B$204,0)),1)</f>
        <v>0.729834891319568</v>
      </c>
      <c r="AC821">
        <f>IFERROR(INDEX(楼层配置!$G$5:$G$204,MATCH($K821,楼层配置!$B$5:$B$204,0)),1)</f>
        <v>1</v>
      </c>
      <c r="AD821" t="str">
        <f t="shared" si="99"/>
        <v/>
      </c>
      <c r="AE821" t="str">
        <f t="shared" si="100"/>
        <v/>
      </c>
      <c r="AF821" t="str">
        <f t="shared" si="101"/>
        <v/>
      </c>
      <c r="AG821" t="str">
        <f t="shared" si="102"/>
        <v>有效</v>
      </c>
      <c r="AH821">
        <f t="shared" si="103"/>
        <v>13924780.996</v>
      </c>
    </row>
    <row r="822" spans="1:34">
      <c r="A822">
        <v>818</v>
      </c>
      <c r="B822">
        <v>1005</v>
      </c>
      <c r="C822">
        <v>60</v>
      </c>
      <c r="D822">
        <f>IFERROR(ROUND($U822*$X822*$AA822*参数!$B$13,0),"")</f>
        <v>4746208</v>
      </c>
      <c r="E822">
        <f>IFERROR(ROUND($V822*$Y822*$AB822*参数!$C$13,0),"")</f>
        <v>82509</v>
      </c>
      <c r="F822">
        <f>IFERROR(ROUND($W822*$Z822*$AC822*参数!$D$13,0),"")</f>
        <v>46413</v>
      </c>
      <c r="J822">
        <v>164</v>
      </c>
      <c r="K822">
        <v>164</v>
      </c>
      <c r="L822">
        <f>IFERROR(INDEX(楼层配置!$D$5:$D$204,MATCH($K822,楼层配置!$B$5:$B$204,0)),"")</f>
        <v>392</v>
      </c>
      <c r="M822" t="str">
        <f>IFERROR(INDEX(_角色基线!$B$2:$B$100,MATCH($B822,_角色基线!$A$2:$A$100,0)),"")</f>
        <v>陈单单</v>
      </c>
      <c r="N822" t="str">
        <f>IFERROR(INDEX(_角色基线!$C$2:$C$100,MATCH($B822,_角色基线!$A$2:$A$100,0)),"")</f>
        <v>DPS</v>
      </c>
      <c r="O822">
        <f>IFERROR(INDEX(_怪物基线!$B$2:$B$501,MATCH(INT($L822),_怪物基线!$A$2:$A$501,0)),"")</f>
        <v>1053944</v>
      </c>
      <c r="P822">
        <f>IFERROR(INDEX(_怪物基线!$C$2:$C$501,MATCH(INT($L822),_怪物基线!$A$2:$A$501,0)),"")</f>
        <v>78508</v>
      </c>
      <c r="Q822">
        <f>IFERROR(INDEX(_怪物基线!$D$2:$D$501,MATCH(INT($L822),_怪物基线!$A$2:$A$501,0)),"")</f>
        <v>46413</v>
      </c>
      <c r="R822">
        <f>参数!$B$10</f>
        <v>4</v>
      </c>
      <c r="S822">
        <f>参数!$C$10</f>
        <v>1.2</v>
      </c>
      <c r="T822">
        <f>参数!$D$10</f>
        <v>1</v>
      </c>
      <c r="U822">
        <f t="shared" si="96"/>
        <v>4215776</v>
      </c>
      <c r="V822">
        <f t="shared" si="97"/>
        <v>94209.6</v>
      </c>
      <c r="W822">
        <f t="shared" si="98"/>
        <v>46413</v>
      </c>
      <c r="X822">
        <f>IFERROR(INDEX(参数!$B$5:$B$7,MATCH($N822,参数!$A$5:$A$7,0)),"")</f>
        <v>1</v>
      </c>
      <c r="Y822">
        <f>IFERROR(INDEX(参数!$C$5:$C$7,MATCH($N822,参数!$A$5:$A$7,0)),"")</f>
        <v>1.2</v>
      </c>
      <c r="Z822">
        <f>IFERROR(INDEX(参数!$D$5:$D$7,MATCH($N822,参数!$A$5:$A$7,0)),"")</f>
        <v>1</v>
      </c>
      <c r="AA822">
        <f>IFERROR(INDEX(楼层配置!$E$5:$E$204,MATCH($K822,楼层配置!$B$5:$B$204,0)),1)</f>
        <v>1.12582067235919</v>
      </c>
      <c r="AB822">
        <f>IFERROR(INDEX(楼层配置!$F$5:$F$204,MATCH($K822,楼层配置!$B$5:$B$204,0)),1)</f>
        <v>0.729834891319568</v>
      </c>
      <c r="AC822">
        <f>IFERROR(INDEX(楼层配置!$G$5:$G$204,MATCH($K822,楼层配置!$B$5:$B$204,0)),1)</f>
        <v>1</v>
      </c>
      <c r="AD822" t="str">
        <f t="shared" si="99"/>
        <v/>
      </c>
      <c r="AE822" t="str">
        <f t="shared" si="100"/>
        <v/>
      </c>
      <c r="AF822" t="str">
        <f t="shared" si="101"/>
        <v/>
      </c>
      <c r="AG822" t="str">
        <f t="shared" si="102"/>
        <v>有效</v>
      </c>
      <c r="AH822">
        <f t="shared" si="103"/>
        <v>13924780.996</v>
      </c>
    </row>
    <row r="823" spans="1:34">
      <c r="A823">
        <v>819</v>
      </c>
      <c r="B823">
        <v>1005</v>
      </c>
      <c r="C823">
        <v>60</v>
      </c>
      <c r="D823">
        <f>IFERROR(ROUND($U823*$X823*$AA823*参数!$B$13,0),"")</f>
        <v>4746208</v>
      </c>
      <c r="E823">
        <f>IFERROR(ROUND($V823*$Y823*$AB823*参数!$C$13,0),"")</f>
        <v>82509</v>
      </c>
      <c r="F823">
        <f>IFERROR(ROUND($W823*$Z823*$AC823*参数!$D$13,0),"")</f>
        <v>46413</v>
      </c>
      <c r="J823">
        <v>164</v>
      </c>
      <c r="K823">
        <v>164</v>
      </c>
      <c r="L823">
        <f>IFERROR(INDEX(楼层配置!$D$5:$D$204,MATCH($K823,楼层配置!$B$5:$B$204,0)),"")</f>
        <v>392</v>
      </c>
      <c r="M823" t="str">
        <f>IFERROR(INDEX(_角色基线!$B$2:$B$100,MATCH($B823,_角色基线!$A$2:$A$100,0)),"")</f>
        <v>陈单单</v>
      </c>
      <c r="N823" t="str">
        <f>IFERROR(INDEX(_角色基线!$C$2:$C$100,MATCH($B823,_角色基线!$A$2:$A$100,0)),"")</f>
        <v>DPS</v>
      </c>
      <c r="O823">
        <f>IFERROR(INDEX(_怪物基线!$B$2:$B$501,MATCH(INT($L823),_怪物基线!$A$2:$A$501,0)),"")</f>
        <v>1053944</v>
      </c>
      <c r="P823">
        <f>IFERROR(INDEX(_怪物基线!$C$2:$C$501,MATCH(INT($L823),_怪物基线!$A$2:$A$501,0)),"")</f>
        <v>78508</v>
      </c>
      <c r="Q823">
        <f>IFERROR(INDEX(_怪物基线!$D$2:$D$501,MATCH(INT($L823),_怪物基线!$A$2:$A$501,0)),"")</f>
        <v>46413</v>
      </c>
      <c r="R823">
        <f>参数!$B$10</f>
        <v>4</v>
      </c>
      <c r="S823">
        <f>参数!$C$10</f>
        <v>1.2</v>
      </c>
      <c r="T823">
        <f>参数!$D$10</f>
        <v>1</v>
      </c>
      <c r="U823">
        <f t="shared" si="96"/>
        <v>4215776</v>
      </c>
      <c r="V823">
        <f t="shared" si="97"/>
        <v>94209.6</v>
      </c>
      <c r="W823">
        <f t="shared" si="98"/>
        <v>46413</v>
      </c>
      <c r="X823">
        <f>IFERROR(INDEX(参数!$B$5:$B$7,MATCH($N823,参数!$A$5:$A$7,0)),"")</f>
        <v>1</v>
      </c>
      <c r="Y823">
        <f>IFERROR(INDEX(参数!$C$5:$C$7,MATCH($N823,参数!$A$5:$A$7,0)),"")</f>
        <v>1.2</v>
      </c>
      <c r="Z823">
        <f>IFERROR(INDEX(参数!$D$5:$D$7,MATCH($N823,参数!$A$5:$A$7,0)),"")</f>
        <v>1</v>
      </c>
      <c r="AA823">
        <f>IFERROR(INDEX(楼层配置!$E$5:$E$204,MATCH($K823,楼层配置!$B$5:$B$204,0)),1)</f>
        <v>1.12582067235919</v>
      </c>
      <c r="AB823">
        <f>IFERROR(INDEX(楼层配置!$F$5:$F$204,MATCH($K823,楼层配置!$B$5:$B$204,0)),1)</f>
        <v>0.729834891319568</v>
      </c>
      <c r="AC823">
        <f>IFERROR(INDEX(楼层配置!$G$5:$G$204,MATCH($K823,楼层配置!$B$5:$B$204,0)),1)</f>
        <v>1</v>
      </c>
      <c r="AD823" t="str">
        <f t="shared" si="99"/>
        <v/>
      </c>
      <c r="AE823" t="str">
        <f t="shared" si="100"/>
        <v/>
      </c>
      <c r="AF823" t="str">
        <f t="shared" si="101"/>
        <v/>
      </c>
      <c r="AG823" t="str">
        <f t="shared" si="102"/>
        <v>有效</v>
      </c>
      <c r="AH823">
        <f t="shared" si="103"/>
        <v>13924780.996</v>
      </c>
    </row>
    <row r="824" spans="1:34">
      <c r="A824">
        <v>820</v>
      </c>
      <c r="B824">
        <v>1029</v>
      </c>
      <c r="C824">
        <v>60</v>
      </c>
      <c r="D824">
        <f>IFERROR(ROUND($U824*$X824*$AA824*参数!$B$13,0),"")</f>
        <v>5932760</v>
      </c>
      <c r="E824">
        <f>IFERROR(ROUND($V824*$Y824*$AB824*参数!$C$13,0),"")</f>
        <v>68757</v>
      </c>
      <c r="F824">
        <f>IFERROR(ROUND($W824*$Z824*$AC824*参数!$D$13,0),"")</f>
        <v>58016</v>
      </c>
      <c r="J824">
        <v>164</v>
      </c>
      <c r="K824">
        <v>164</v>
      </c>
      <c r="L824">
        <f>IFERROR(INDEX(楼层配置!$D$5:$D$204,MATCH($K824,楼层配置!$B$5:$B$204,0)),"")</f>
        <v>392</v>
      </c>
      <c r="M824" t="str">
        <f>IFERROR(INDEX(_角色基线!$B$2:$B$100,MATCH($B824,_角色基线!$A$2:$A$100,0)),"")</f>
        <v>凯兰</v>
      </c>
      <c r="N824" t="str">
        <f>IFERROR(INDEX(_角色基线!$C$2:$C$100,MATCH($B824,_角色基线!$A$2:$A$100,0)),"")</f>
        <v>Support</v>
      </c>
      <c r="O824">
        <f>IFERROR(INDEX(_怪物基线!$B$2:$B$501,MATCH(INT($L824),_怪物基线!$A$2:$A$501,0)),"")</f>
        <v>1053944</v>
      </c>
      <c r="P824">
        <f>IFERROR(INDEX(_怪物基线!$C$2:$C$501,MATCH(INT($L824),_怪物基线!$A$2:$A$501,0)),"")</f>
        <v>78508</v>
      </c>
      <c r="Q824">
        <f>IFERROR(INDEX(_怪物基线!$D$2:$D$501,MATCH(INT($L824),_怪物基线!$A$2:$A$501,0)),"")</f>
        <v>46413</v>
      </c>
      <c r="R824">
        <f>参数!$B$10</f>
        <v>4</v>
      </c>
      <c r="S824">
        <f>参数!$C$10</f>
        <v>1.2</v>
      </c>
      <c r="T824">
        <f>参数!$D$10</f>
        <v>1</v>
      </c>
      <c r="U824">
        <f t="shared" si="96"/>
        <v>4215776</v>
      </c>
      <c r="V824">
        <f t="shared" si="97"/>
        <v>94209.6</v>
      </c>
      <c r="W824">
        <f t="shared" si="98"/>
        <v>46413</v>
      </c>
      <c r="X824">
        <f>IFERROR(INDEX(参数!$B$5:$B$7,MATCH($N824,参数!$A$5:$A$7,0)),"")</f>
        <v>1.25</v>
      </c>
      <c r="Y824">
        <f>IFERROR(INDEX(参数!$C$5:$C$7,MATCH($N824,参数!$A$5:$A$7,0)),"")</f>
        <v>1</v>
      </c>
      <c r="Z824">
        <f>IFERROR(INDEX(参数!$D$5:$D$7,MATCH($N824,参数!$A$5:$A$7,0)),"")</f>
        <v>1.25</v>
      </c>
      <c r="AA824">
        <f>IFERROR(INDEX(楼层配置!$E$5:$E$204,MATCH($K824,楼层配置!$B$5:$B$204,0)),1)</f>
        <v>1.12582067235919</v>
      </c>
      <c r="AB824">
        <f>IFERROR(INDEX(楼层配置!$F$5:$F$204,MATCH($K824,楼层配置!$B$5:$B$204,0)),1)</f>
        <v>0.729834891319568</v>
      </c>
      <c r="AC824">
        <f>IFERROR(INDEX(楼层配置!$G$5:$G$204,MATCH($K824,楼层配置!$B$5:$B$204,0)),1)</f>
        <v>1</v>
      </c>
      <c r="AD824" t="str">
        <f t="shared" si="99"/>
        <v/>
      </c>
      <c r="AE824" t="str">
        <f t="shared" si="100"/>
        <v/>
      </c>
      <c r="AF824" t="str">
        <f t="shared" si="101"/>
        <v/>
      </c>
      <c r="AG824" t="str">
        <f t="shared" si="102"/>
        <v>有效</v>
      </c>
      <c r="AH824">
        <f t="shared" si="103"/>
        <v>20274218.5066667</v>
      </c>
    </row>
    <row r="825" spans="1:34">
      <c r="A825">
        <v>821</v>
      </c>
      <c r="B825">
        <v>1003</v>
      </c>
      <c r="C825">
        <v>60</v>
      </c>
      <c r="D825">
        <f>IFERROR(ROUND($U825*$X825*$AA825*参数!$B$13,0),"")</f>
        <v>7265498</v>
      </c>
      <c r="E825">
        <f>IFERROR(ROUND($V825*$Y825*$AB825*参数!$C$13,0),"")</f>
        <v>69320</v>
      </c>
      <c r="F825">
        <f>IFERROR(ROUND($W825*$Z825*$AC825*参数!$D$13,0),"")</f>
        <v>70109</v>
      </c>
      <c r="J825">
        <v>165</v>
      </c>
      <c r="K825">
        <v>165</v>
      </c>
      <c r="L825">
        <f>IFERROR(INDEX(楼层配置!$D$5:$D$204,MATCH($K825,楼层配置!$B$5:$B$204,0)),"")</f>
        <v>394</v>
      </c>
      <c r="M825" t="str">
        <f>IFERROR(INDEX(_角色基线!$B$2:$B$100,MATCH($B825,_角色基线!$A$2:$A$100,0)),"")</f>
        <v>塔拉夏</v>
      </c>
      <c r="N825" t="str">
        <f>IFERROR(INDEX(_角色基线!$C$2:$C$100,MATCH($B825,_角色基线!$A$2:$A$100,0)),"")</f>
        <v>Tank</v>
      </c>
      <c r="O825">
        <f>IFERROR(INDEX(_怪物基线!$B$2:$B$501,MATCH(INT($L825),_怪物基线!$A$2:$A$501,0)),"")</f>
        <v>1070584</v>
      </c>
      <c r="P825">
        <f>IFERROR(INDEX(_怪物基线!$C$2:$C$501,MATCH(INT($L825),_怪物基线!$A$2:$A$501,0)),"")</f>
        <v>79494</v>
      </c>
      <c r="Q825">
        <f>IFERROR(INDEX(_怪物基线!$D$2:$D$501,MATCH(INT($L825),_怪物基线!$A$2:$A$501,0)),"")</f>
        <v>46739</v>
      </c>
      <c r="R825">
        <f>参数!$B$10</f>
        <v>4</v>
      </c>
      <c r="S825">
        <f>参数!$C$10</f>
        <v>1.2</v>
      </c>
      <c r="T825">
        <f>参数!$D$10</f>
        <v>1</v>
      </c>
      <c r="U825">
        <f t="shared" si="96"/>
        <v>4282336</v>
      </c>
      <c r="V825">
        <f t="shared" si="97"/>
        <v>95392.8</v>
      </c>
      <c r="W825">
        <f t="shared" si="98"/>
        <v>46739</v>
      </c>
      <c r="X825">
        <f>IFERROR(INDEX(参数!$B$5:$B$7,MATCH($N825,参数!$A$5:$A$7,0)),"")</f>
        <v>1.5</v>
      </c>
      <c r="Y825">
        <f>IFERROR(INDEX(参数!$C$5:$C$7,MATCH($N825,参数!$A$5:$A$7,0)),"")</f>
        <v>1</v>
      </c>
      <c r="Z825">
        <f>IFERROR(INDEX(参数!$D$5:$D$7,MATCH($N825,参数!$A$5:$A$7,0)),"")</f>
        <v>1.5</v>
      </c>
      <c r="AA825">
        <f>IFERROR(INDEX(楼层配置!$E$5:$E$204,MATCH($K825,楼层配置!$B$5:$B$204,0)),1)</f>
        <v>1.13108015591293</v>
      </c>
      <c r="AB825">
        <f>IFERROR(INDEX(楼层配置!$F$5:$F$204,MATCH($K825,楼层配置!$B$5:$B$204,0)),1)</f>
        <v>0.726679309784578</v>
      </c>
      <c r="AC825">
        <f>IFERROR(INDEX(楼层配置!$G$5:$G$204,MATCH($K825,楼层配置!$B$5:$B$204,0)),1)</f>
        <v>1</v>
      </c>
      <c r="AD825" t="str">
        <f t="shared" si="99"/>
        <v/>
      </c>
      <c r="AE825" t="str">
        <f t="shared" si="100"/>
        <v/>
      </c>
      <c r="AF825" t="str">
        <f t="shared" si="101"/>
        <v/>
      </c>
      <c r="AG825" t="str">
        <f t="shared" si="102"/>
        <v>有效</v>
      </c>
      <c r="AH825">
        <f t="shared" si="103"/>
        <v>28489531.3034167</v>
      </c>
    </row>
    <row r="826" spans="1:34">
      <c r="A826">
        <v>822</v>
      </c>
      <c r="B826">
        <v>1005</v>
      </c>
      <c r="C826">
        <v>60</v>
      </c>
      <c r="D826">
        <f>IFERROR(ROUND($U826*$X826*$AA826*参数!$B$13,0),"")</f>
        <v>4843665</v>
      </c>
      <c r="E826">
        <f>IFERROR(ROUND($V826*$Y826*$AB826*参数!$C$13,0),"")</f>
        <v>83184</v>
      </c>
      <c r="F826">
        <f>IFERROR(ROUND($W826*$Z826*$AC826*参数!$D$13,0),"")</f>
        <v>46739</v>
      </c>
      <c r="J826">
        <v>165</v>
      </c>
      <c r="K826">
        <v>165</v>
      </c>
      <c r="L826">
        <f>IFERROR(INDEX(楼层配置!$D$5:$D$204,MATCH($K826,楼层配置!$B$5:$B$204,0)),"")</f>
        <v>394</v>
      </c>
      <c r="M826" t="str">
        <f>IFERROR(INDEX(_角色基线!$B$2:$B$100,MATCH($B826,_角色基线!$A$2:$A$100,0)),"")</f>
        <v>陈单单</v>
      </c>
      <c r="N826" t="str">
        <f>IFERROR(INDEX(_角色基线!$C$2:$C$100,MATCH($B826,_角色基线!$A$2:$A$100,0)),"")</f>
        <v>DPS</v>
      </c>
      <c r="O826">
        <f>IFERROR(INDEX(_怪物基线!$B$2:$B$501,MATCH(INT($L826),_怪物基线!$A$2:$A$501,0)),"")</f>
        <v>1070584</v>
      </c>
      <c r="P826">
        <f>IFERROR(INDEX(_怪物基线!$C$2:$C$501,MATCH(INT($L826),_怪物基线!$A$2:$A$501,0)),"")</f>
        <v>79494</v>
      </c>
      <c r="Q826">
        <f>IFERROR(INDEX(_怪物基线!$D$2:$D$501,MATCH(INT($L826),_怪物基线!$A$2:$A$501,0)),"")</f>
        <v>46739</v>
      </c>
      <c r="R826">
        <f>参数!$B$10</f>
        <v>4</v>
      </c>
      <c r="S826">
        <f>参数!$C$10</f>
        <v>1.2</v>
      </c>
      <c r="T826">
        <f>参数!$D$10</f>
        <v>1</v>
      </c>
      <c r="U826">
        <f t="shared" si="96"/>
        <v>4282336</v>
      </c>
      <c r="V826">
        <f t="shared" si="97"/>
        <v>95392.8</v>
      </c>
      <c r="W826">
        <f t="shared" si="98"/>
        <v>46739</v>
      </c>
      <c r="X826">
        <f>IFERROR(INDEX(参数!$B$5:$B$7,MATCH($N826,参数!$A$5:$A$7,0)),"")</f>
        <v>1</v>
      </c>
      <c r="Y826">
        <f>IFERROR(INDEX(参数!$C$5:$C$7,MATCH($N826,参数!$A$5:$A$7,0)),"")</f>
        <v>1.2</v>
      </c>
      <c r="Z826">
        <f>IFERROR(INDEX(参数!$D$5:$D$7,MATCH($N826,参数!$A$5:$A$7,0)),"")</f>
        <v>1</v>
      </c>
      <c r="AA826">
        <f>IFERROR(INDEX(楼层配置!$E$5:$E$204,MATCH($K826,楼层配置!$B$5:$B$204,0)),1)</f>
        <v>1.13108015591293</v>
      </c>
      <c r="AB826">
        <f>IFERROR(INDEX(楼层配置!$F$5:$F$204,MATCH($K826,楼层配置!$B$5:$B$204,0)),1)</f>
        <v>0.726679309784578</v>
      </c>
      <c r="AC826">
        <f>IFERROR(INDEX(楼层配置!$G$5:$G$204,MATCH($K826,楼层配置!$B$5:$B$204,0)),1)</f>
        <v>1</v>
      </c>
      <c r="AD826" t="str">
        <f t="shared" si="99"/>
        <v/>
      </c>
      <c r="AE826" t="str">
        <f t="shared" si="100"/>
        <v/>
      </c>
      <c r="AF826" t="str">
        <f t="shared" si="101"/>
        <v/>
      </c>
      <c r="AG826" t="str">
        <f t="shared" si="102"/>
        <v>有效</v>
      </c>
      <c r="AH826">
        <f t="shared" si="103"/>
        <v>14276500.768125</v>
      </c>
    </row>
    <row r="827" spans="1:34">
      <c r="A827">
        <v>823</v>
      </c>
      <c r="B827">
        <v>1005</v>
      </c>
      <c r="C827">
        <v>60</v>
      </c>
      <c r="D827">
        <f>IFERROR(ROUND($U827*$X827*$AA827*参数!$B$13,0),"")</f>
        <v>4843665</v>
      </c>
      <c r="E827">
        <f>IFERROR(ROUND($V827*$Y827*$AB827*参数!$C$13,0),"")</f>
        <v>83184</v>
      </c>
      <c r="F827">
        <f>IFERROR(ROUND($W827*$Z827*$AC827*参数!$D$13,0),"")</f>
        <v>46739</v>
      </c>
      <c r="J827">
        <v>165</v>
      </c>
      <c r="K827">
        <v>165</v>
      </c>
      <c r="L827">
        <f>IFERROR(INDEX(楼层配置!$D$5:$D$204,MATCH($K827,楼层配置!$B$5:$B$204,0)),"")</f>
        <v>394</v>
      </c>
      <c r="M827" t="str">
        <f>IFERROR(INDEX(_角色基线!$B$2:$B$100,MATCH($B827,_角色基线!$A$2:$A$100,0)),"")</f>
        <v>陈单单</v>
      </c>
      <c r="N827" t="str">
        <f>IFERROR(INDEX(_角色基线!$C$2:$C$100,MATCH($B827,_角色基线!$A$2:$A$100,0)),"")</f>
        <v>DPS</v>
      </c>
      <c r="O827">
        <f>IFERROR(INDEX(_怪物基线!$B$2:$B$501,MATCH(INT($L827),_怪物基线!$A$2:$A$501,0)),"")</f>
        <v>1070584</v>
      </c>
      <c r="P827">
        <f>IFERROR(INDEX(_怪物基线!$C$2:$C$501,MATCH(INT($L827),_怪物基线!$A$2:$A$501,0)),"")</f>
        <v>79494</v>
      </c>
      <c r="Q827">
        <f>IFERROR(INDEX(_怪物基线!$D$2:$D$501,MATCH(INT($L827),_怪物基线!$A$2:$A$501,0)),"")</f>
        <v>46739</v>
      </c>
      <c r="R827">
        <f>参数!$B$10</f>
        <v>4</v>
      </c>
      <c r="S827">
        <f>参数!$C$10</f>
        <v>1.2</v>
      </c>
      <c r="T827">
        <f>参数!$D$10</f>
        <v>1</v>
      </c>
      <c r="U827">
        <f t="shared" si="96"/>
        <v>4282336</v>
      </c>
      <c r="V827">
        <f t="shared" si="97"/>
        <v>95392.8</v>
      </c>
      <c r="W827">
        <f t="shared" si="98"/>
        <v>46739</v>
      </c>
      <c r="X827">
        <f>IFERROR(INDEX(参数!$B$5:$B$7,MATCH($N827,参数!$A$5:$A$7,0)),"")</f>
        <v>1</v>
      </c>
      <c r="Y827">
        <f>IFERROR(INDEX(参数!$C$5:$C$7,MATCH($N827,参数!$A$5:$A$7,0)),"")</f>
        <v>1.2</v>
      </c>
      <c r="Z827">
        <f>IFERROR(INDEX(参数!$D$5:$D$7,MATCH($N827,参数!$A$5:$A$7,0)),"")</f>
        <v>1</v>
      </c>
      <c r="AA827">
        <f>IFERROR(INDEX(楼层配置!$E$5:$E$204,MATCH($K827,楼层配置!$B$5:$B$204,0)),1)</f>
        <v>1.13108015591293</v>
      </c>
      <c r="AB827">
        <f>IFERROR(INDEX(楼层配置!$F$5:$F$204,MATCH($K827,楼层配置!$B$5:$B$204,0)),1)</f>
        <v>0.726679309784578</v>
      </c>
      <c r="AC827">
        <f>IFERROR(INDEX(楼层配置!$G$5:$G$204,MATCH($K827,楼层配置!$B$5:$B$204,0)),1)</f>
        <v>1</v>
      </c>
      <c r="AD827" t="str">
        <f t="shared" si="99"/>
        <v/>
      </c>
      <c r="AE827" t="str">
        <f t="shared" si="100"/>
        <v/>
      </c>
      <c r="AF827" t="str">
        <f t="shared" si="101"/>
        <v/>
      </c>
      <c r="AG827" t="str">
        <f t="shared" si="102"/>
        <v>有效</v>
      </c>
      <c r="AH827">
        <f t="shared" si="103"/>
        <v>14276500.768125</v>
      </c>
    </row>
    <row r="828" spans="1:34">
      <c r="A828">
        <v>824</v>
      </c>
      <c r="B828">
        <v>1005</v>
      </c>
      <c r="C828">
        <v>60</v>
      </c>
      <c r="D828">
        <f>IFERROR(ROUND($U828*$X828*$AA828*参数!$B$13,0),"")</f>
        <v>4843665</v>
      </c>
      <c r="E828">
        <f>IFERROR(ROUND($V828*$Y828*$AB828*参数!$C$13,0),"")</f>
        <v>83184</v>
      </c>
      <c r="F828">
        <f>IFERROR(ROUND($W828*$Z828*$AC828*参数!$D$13,0),"")</f>
        <v>46739</v>
      </c>
      <c r="J828">
        <v>165</v>
      </c>
      <c r="K828">
        <v>165</v>
      </c>
      <c r="L828">
        <f>IFERROR(INDEX(楼层配置!$D$5:$D$204,MATCH($K828,楼层配置!$B$5:$B$204,0)),"")</f>
        <v>394</v>
      </c>
      <c r="M828" t="str">
        <f>IFERROR(INDEX(_角色基线!$B$2:$B$100,MATCH($B828,_角色基线!$A$2:$A$100,0)),"")</f>
        <v>陈单单</v>
      </c>
      <c r="N828" t="str">
        <f>IFERROR(INDEX(_角色基线!$C$2:$C$100,MATCH($B828,_角色基线!$A$2:$A$100,0)),"")</f>
        <v>DPS</v>
      </c>
      <c r="O828">
        <f>IFERROR(INDEX(_怪物基线!$B$2:$B$501,MATCH(INT($L828),_怪物基线!$A$2:$A$501,0)),"")</f>
        <v>1070584</v>
      </c>
      <c r="P828">
        <f>IFERROR(INDEX(_怪物基线!$C$2:$C$501,MATCH(INT($L828),_怪物基线!$A$2:$A$501,0)),"")</f>
        <v>79494</v>
      </c>
      <c r="Q828">
        <f>IFERROR(INDEX(_怪物基线!$D$2:$D$501,MATCH(INT($L828),_怪物基线!$A$2:$A$501,0)),"")</f>
        <v>46739</v>
      </c>
      <c r="R828">
        <f>参数!$B$10</f>
        <v>4</v>
      </c>
      <c r="S828">
        <f>参数!$C$10</f>
        <v>1.2</v>
      </c>
      <c r="T828">
        <f>参数!$D$10</f>
        <v>1</v>
      </c>
      <c r="U828">
        <f t="shared" si="96"/>
        <v>4282336</v>
      </c>
      <c r="V828">
        <f t="shared" si="97"/>
        <v>95392.8</v>
      </c>
      <c r="W828">
        <f t="shared" si="98"/>
        <v>46739</v>
      </c>
      <c r="X828">
        <f>IFERROR(INDEX(参数!$B$5:$B$7,MATCH($N828,参数!$A$5:$A$7,0)),"")</f>
        <v>1</v>
      </c>
      <c r="Y828">
        <f>IFERROR(INDEX(参数!$C$5:$C$7,MATCH($N828,参数!$A$5:$A$7,0)),"")</f>
        <v>1.2</v>
      </c>
      <c r="Z828">
        <f>IFERROR(INDEX(参数!$D$5:$D$7,MATCH($N828,参数!$A$5:$A$7,0)),"")</f>
        <v>1</v>
      </c>
      <c r="AA828">
        <f>IFERROR(INDEX(楼层配置!$E$5:$E$204,MATCH($K828,楼层配置!$B$5:$B$204,0)),1)</f>
        <v>1.13108015591293</v>
      </c>
      <c r="AB828">
        <f>IFERROR(INDEX(楼层配置!$F$5:$F$204,MATCH($K828,楼层配置!$B$5:$B$204,0)),1)</f>
        <v>0.726679309784578</v>
      </c>
      <c r="AC828">
        <f>IFERROR(INDEX(楼层配置!$G$5:$G$204,MATCH($K828,楼层配置!$B$5:$B$204,0)),1)</f>
        <v>1</v>
      </c>
      <c r="AD828" t="str">
        <f t="shared" si="99"/>
        <v/>
      </c>
      <c r="AE828" t="str">
        <f t="shared" si="100"/>
        <v/>
      </c>
      <c r="AF828" t="str">
        <f t="shared" si="101"/>
        <v/>
      </c>
      <c r="AG828" t="str">
        <f t="shared" si="102"/>
        <v>有效</v>
      </c>
      <c r="AH828">
        <f t="shared" si="103"/>
        <v>14276500.768125</v>
      </c>
    </row>
    <row r="829" spans="1:34">
      <c r="A829">
        <v>825</v>
      </c>
      <c r="B829">
        <v>1029</v>
      </c>
      <c r="C829">
        <v>60</v>
      </c>
      <c r="D829">
        <f>IFERROR(ROUND($U829*$X829*$AA829*参数!$B$13,0),"")</f>
        <v>6054582</v>
      </c>
      <c r="E829">
        <f>IFERROR(ROUND($V829*$Y829*$AB829*参数!$C$13,0),"")</f>
        <v>69320</v>
      </c>
      <c r="F829">
        <f>IFERROR(ROUND($W829*$Z829*$AC829*参数!$D$13,0),"")</f>
        <v>58424</v>
      </c>
      <c r="J829">
        <v>165</v>
      </c>
      <c r="K829">
        <v>165</v>
      </c>
      <c r="L829">
        <f>IFERROR(INDEX(楼层配置!$D$5:$D$204,MATCH($K829,楼层配置!$B$5:$B$204,0)),"")</f>
        <v>394</v>
      </c>
      <c r="M829" t="str">
        <f>IFERROR(INDEX(_角色基线!$B$2:$B$100,MATCH($B829,_角色基线!$A$2:$A$100,0)),"")</f>
        <v>凯兰</v>
      </c>
      <c r="N829" t="str">
        <f>IFERROR(INDEX(_角色基线!$C$2:$C$100,MATCH($B829,_角色基线!$A$2:$A$100,0)),"")</f>
        <v>Support</v>
      </c>
      <c r="O829">
        <f>IFERROR(INDEX(_怪物基线!$B$2:$B$501,MATCH(INT($L829),_怪物基线!$A$2:$A$501,0)),"")</f>
        <v>1070584</v>
      </c>
      <c r="P829">
        <f>IFERROR(INDEX(_怪物基线!$C$2:$C$501,MATCH(INT($L829),_怪物基线!$A$2:$A$501,0)),"")</f>
        <v>79494</v>
      </c>
      <c r="Q829">
        <f>IFERROR(INDEX(_怪物基线!$D$2:$D$501,MATCH(INT($L829),_怪物基线!$A$2:$A$501,0)),"")</f>
        <v>46739</v>
      </c>
      <c r="R829">
        <f>参数!$B$10</f>
        <v>4</v>
      </c>
      <c r="S829">
        <f>参数!$C$10</f>
        <v>1.2</v>
      </c>
      <c r="T829">
        <f>参数!$D$10</f>
        <v>1</v>
      </c>
      <c r="U829">
        <f t="shared" si="96"/>
        <v>4282336</v>
      </c>
      <c r="V829">
        <f t="shared" si="97"/>
        <v>95392.8</v>
      </c>
      <c r="W829">
        <f t="shared" si="98"/>
        <v>46739</v>
      </c>
      <c r="X829">
        <f>IFERROR(INDEX(参数!$B$5:$B$7,MATCH($N829,参数!$A$5:$A$7,0)),"")</f>
        <v>1.25</v>
      </c>
      <c r="Y829">
        <f>IFERROR(INDEX(参数!$C$5:$C$7,MATCH($N829,参数!$A$5:$A$7,0)),"")</f>
        <v>1</v>
      </c>
      <c r="Z829">
        <f>IFERROR(INDEX(参数!$D$5:$D$7,MATCH($N829,参数!$A$5:$A$7,0)),"")</f>
        <v>1.25</v>
      </c>
      <c r="AA829">
        <f>IFERROR(INDEX(楼层配置!$E$5:$E$204,MATCH($K829,楼层配置!$B$5:$B$204,0)),1)</f>
        <v>1.13108015591293</v>
      </c>
      <c r="AB829">
        <f>IFERROR(INDEX(楼层配置!$F$5:$F$204,MATCH($K829,楼层配置!$B$5:$B$204,0)),1)</f>
        <v>0.726679309784578</v>
      </c>
      <c r="AC829">
        <f>IFERROR(INDEX(楼层配置!$G$5:$G$204,MATCH($K829,楼层配置!$B$5:$B$204,0)),1)</f>
        <v>1</v>
      </c>
      <c r="AD829" t="str">
        <f t="shared" si="99"/>
        <v/>
      </c>
      <c r="AE829" t="str">
        <f t="shared" si="100"/>
        <v/>
      </c>
      <c r="AF829" t="str">
        <f t="shared" si="101"/>
        <v/>
      </c>
      <c r="AG829" t="str">
        <f t="shared" si="102"/>
        <v>有效</v>
      </c>
      <c r="AH829">
        <f t="shared" si="103"/>
        <v>20793452.782</v>
      </c>
    </row>
    <row r="830" spans="1:34">
      <c r="A830">
        <v>826</v>
      </c>
      <c r="B830">
        <v>1003</v>
      </c>
      <c r="C830">
        <v>60</v>
      </c>
      <c r="D830">
        <f>IFERROR(ROUND($U830*$X830*$AA830*参数!$B$13,0),"")</f>
        <v>7345507</v>
      </c>
      <c r="E830">
        <f>IFERROR(ROUND($V830*$Y830*$AB830*参数!$C$13,0),"")</f>
        <v>70493</v>
      </c>
      <c r="F830">
        <f>IFERROR(ROUND($W830*$Z830*$AC830*参数!$D$13,0),"")</f>
        <v>70601</v>
      </c>
      <c r="J830">
        <v>166</v>
      </c>
      <c r="K830">
        <v>166</v>
      </c>
      <c r="L830">
        <f>IFERROR(INDEX(楼层配置!$D$5:$D$204,MATCH($K830,楼层配置!$B$5:$B$204,0)),"")</f>
        <v>396</v>
      </c>
      <c r="M830" t="str">
        <f>IFERROR(INDEX(_角色基线!$B$2:$B$100,MATCH($B830,_角色基线!$A$2:$A$100,0)),"")</f>
        <v>塔拉夏</v>
      </c>
      <c r="N830" t="str">
        <f>IFERROR(INDEX(_角色基线!$C$2:$C$100,MATCH($B830,_角色基线!$A$2:$A$100,0)),"")</f>
        <v>Tank</v>
      </c>
      <c r="O830">
        <f>IFERROR(INDEX(_怪物基线!$B$2:$B$501,MATCH(INT($L830),_怪物基线!$A$2:$A$501,0)),"")</f>
        <v>1087430</v>
      </c>
      <c r="P830">
        <f>IFERROR(INDEX(_怪物基线!$C$2:$C$501,MATCH(INT($L830),_怪物基线!$A$2:$A$501,0)),"")</f>
        <v>80490</v>
      </c>
      <c r="Q830">
        <f>IFERROR(INDEX(_怪物基线!$D$2:$D$501,MATCH(INT($L830),_怪物基线!$A$2:$A$501,0)),"")</f>
        <v>47067</v>
      </c>
      <c r="R830">
        <f>参数!$B$10</f>
        <v>4</v>
      </c>
      <c r="S830">
        <f>参数!$C$10</f>
        <v>1.2</v>
      </c>
      <c r="T830">
        <f>参数!$D$10</f>
        <v>1</v>
      </c>
      <c r="U830">
        <f t="shared" si="96"/>
        <v>4349720</v>
      </c>
      <c r="V830">
        <f t="shared" si="97"/>
        <v>96588</v>
      </c>
      <c r="W830">
        <f t="shared" si="98"/>
        <v>47067</v>
      </c>
      <c r="X830">
        <f>IFERROR(INDEX(参数!$B$5:$B$7,MATCH($N830,参数!$A$5:$A$7,0)),"")</f>
        <v>1.5</v>
      </c>
      <c r="Y830">
        <f>IFERROR(INDEX(参数!$C$5:$C$7,MATCH($N830,参数!$A$5:$A$7,0)),"")</f>
        <v>1</v>
      </c>
      <c r="Z830">
        <f>IFERROR(INDEX(参数!$D$5:$D$7,MATCH($N830,参数!$A$5:$A$7,0)),"")</f>
        <v>1.5</v>
      </c>
      <c r="AA830">
        <f>IFERROR(INDEX(楼层配置!$E$5:$E$204,MATCH($K830,楼层配置!$B$5:$B$204,0)),1)</f>
        <v>1.12582067235919</v>
      </c>
      <c r="AB830">
        <f>IFERROR(INDEX(楼层配置!$F$5:$F$204,MATCH($K830,楼层配置!$B$5:$B$204,0)),1)</f>
        <v>0.729834891319568</v>
      </c>
      <c r="AC830">
        <f>IFERROR(INDEX(楼层配置!$G$5:$G$204,MATCH($K830,楼层配置!$B$5:$B$204,0)),1)</f>
        <v>1</v>
      </c>
      <c r="AD830" t="str">
        <f t="shared" si="99"/>
        <v/>
      </c>
      <c r="AE830" t="str">
        <f t="shared" si="100"/>
        <v/>
      </c>
      <c r="AF830" t="str">
        <f t="shared" si="101"/>
        <v/>
      </c>
      <c r="AG830" t="str">
        <f t="shared" si="102"/>
        <v>有效</v>
      </c>
      <c r="AH830">
        <f t="shared" si="103"/>
        <v>28953846.1544583</v>
      </c>
    </row>
    <row r="831" spans="1:34">
      <c r="A831">
        <v>827</v>
      </c>
      <c r="B831">
        <v>1005</v>
      </c>
      <c r="C831">
        <v>60</v>
      </c>
      <c r="D831">
        <f>IFERROR(ROUND($U831*$X831*$AA831*参数!$B$13,0),"")</f>
        <v>4897005</v>
      </c>
      <c r="E831">
        <f>IFERROR(ROUND($V831*$Y831*$AB831*参数!$C$13,0),"")</f>
        <v>84592</v>
      </c>
      <c r="F831">
        <f>IFERROR(ROUND($W831*$Z831*$AC831*参数!$D$13,0),"")</f>
        <v>47067</v>
      </c>
      <c r="J831">
        <v>166</v>
      </c>
      <c r="K831">
        <v>166</v>
      </c>
      <c r="L831">
        <f>IFERROR(INDEX(楼层配置!$D$5:$D$204,MATCH($K831,楼层配置!$B$5:$B$204,0)),"")</f>
        <v>396</v>
      </c>
      <c r="M831" t="str">
        <f>IFERROR(INDEX(_角色基线!$B$2:$B$100,MATCH($B831,_角色基线!$A$2:$A$100,0)),"")</f>
        <v>陈单单</v>
      </c>
      <c r="N831" t="str">
        <f>IFERROR(INDEX(_角色基线!$C$2:$C$100,MATCH($B831,_角色基线!$A$2:$A$100,0)),"")</f>
        <v>DPS</v>
      </c>
      <c r="O831">
        <f>IFERROR(INDEX(_怪物基线!$B$2:$B$501,MATCH(INT($L831),_怪物基线!$A$2:$A$501,0)),"")</f>
        <v>1087430</v>
      </c>
      <c r="P831">
        <f>IFERROR(INDEX(_怪物基线!$C$2:$C$501,MATCH(INT($L831),_怪物基线!$A$2:$A$501,0)),"")</f>
        <v>80490</v>
      </c>
      <c r="Q831">
        <f>IFERROR(INDEX(_怪物基线!$D$2:$D$501,MATCH(INT($L831),_怪物基线!$A$2:$A$501,0)),"")</f>
        <v>47067</v>
      </c>
      <c r="R831">
        <f>参数!$B$10</f>
        <v>4</v>
      </c>
      <c r="S831">
        <f>参数!$C$10</f>
        <v>1.2</v>
      </c>
      <c r="T831">
        <f>参数!$D$10</f>
        <v>1</v>
      </c>
      <c r="U831">
        <f t="shared" si="96"/>
        <v>4349720</v>
      </c>
      <c r="V831">
        <f t="shared" si="97"/>
        <v>96588</v>
      </c>
      <c r="W831">
        <f t="shared" si="98"/>
        <v>47067</v>
      </c>
      <c r="X831">
        <f>IFERROR(INDEX(参数!$B$5:$B$7,MATCH($N831,参数!$A$5:$A$7,0)),"")</f>
        <v>1</v>
      </c>
      <c r="Y831">
        <f>IFERROR(INDEX(参数!$C$5:$C$7,MATCH($N831,参数!$A$5:$A$7,0)),"")</f>
        <v>1.2</v>
      </c>
      <c r="Z831">
        <f>IFERROR(INDEX(参数!$D$5:$D$7,MATCH($N831,参数!$A$5:$A$7,0)),"")</f>
        <v>1</v>
      </c>
      <c r="AA831">
        <f>IFERROR(INDEX(楼层配置!$E$5:$E$204,MATCH($K831,楼层配置!$B$5:$B$204,0)),1)</f>
        <v>1.12582067235919</v>
      </c>
      <c r="AB831">
        <f>IFERROR(INDEX(楼层配置!$F$5:$F$204,MATCH($K831,楼层配置!$B$5:$B$204,0)),1)</f>
        <v>0.729834891319568</v>
      </c>
      <c r="AC831">
        <f>IFERROR(INDEX(楼层配置!$G$5:$G$204,MATCH($K831,楼层配置!$B$5:$B$204,0)),1)</f>
        <v>1</v>
      </c>
      <c r="AD831" t="str">
        <f t="shared" si="99"/>
        <v/>
      </c>
      <c r="AE831" t="str">
        <f t="shared" si="100"/>
        <v/>
      </c>
      <c r="AF831" t="str">
        <f t="shared" si="101"/>
        <v/>
      </c>
      <c r="AG831" t="str">
        <f t="shared" si="102"/>
        <v>有效</v>
      </c>
      <c r="AH831">
        <f t="shared" si="103"/>
        <v>14500643.930625</v>
      </c>
    </row>
    <row r="832" spans="1:34">
      <c r="A832">
        <v>828</v>
      </c>
      <c r="B832">
        <v>1005</v>
      </c>
      <c r="C832">
        <v>60</v>
      </c>
      <c r="D832">
        <f>IFERROR(ROUND($U832*$X832*$AA832*参数!$B$13,0),"")</f>
        <v>4897005</v>
      </c>
      <c r="E832">
        <f>IFERROR(ROUND($V832*$Y832*$AB832*参数!$C$13,0),"")</f>
        <v>84592</v>
      </c>
      <c r="F832">
        <f>IFERROR(ROUND($W832*$Z832*$AC832*参数!$D$13,0),"")</f>
        <v>47067</v>
      </c>
      <c r="J832">
        <v>166</v>
      </c>
      <c r="K832">
        <v>166</v>
      </c>
      <c r="L832">
        <f>IFERROR(INDEX(楼层配置!$D$5:$D$204,MATCH($K832,楼层配置!$B$5:$B$204,0)),"")</f>
        <v>396</v>
      </c>
      <c r="M832" t="str">
        <f>IFERROR(INDEX(_角色基线!$B$2:$B$100,MATCH($B832,_角色基线!$A$2:$A$100,0)),"")</f>
        <v>陈单单</v>
      </c>
      <c r="N832" t="str">
        <f>IFERROR(INDEX(_角色基线!$C$2:$C$100,MATCH($B832,_角色基线!$A$2:$A$100,0)),"")</f>
        <v>DPS</v>
      </c>
      <c r="O832">
        <f>IFERROR(INDEX(_怪物基线!$B$2:$B$501,MATCH(INT($L832),_怪物基线!$A$2:$A$501,0)),"")</f>
        <v>1087430</v>
      </c>
      <c r="P832">
        <f>IFERROR(INDEX(_怪物基线!$C$2:$C$501,MATCH(INT($L832),_怪物基线!$A$2:$A$501,0)),"")</f>
        <v>80490</v>
      </c>
      <c r="Q832">
        <f>IFERROR(INDEX(_怪物基线!$D$2:$D$501,MATCH(INT($L832),_怪物基线!$A$2:$A$501,0)),"")</f>
        <v>47067</v>
      </c>
      <c r="R832">
        <f>参数!$B$10</f>
        <v>4</v>
      </c>
      <c r="S832">
        <f>参数!$C$10</f>
        <v>1.2</v>
      </c>
      <c r="T832">
        <f>参数!$D$10</f>
        <v>1</v>
      </c>
      <c r="U832">
        <f t="shared" si="96"/>
        <v>4349720</v>
      </c>
      <c r="V832">
        <f t="shared" si="97"/>
        <v>96588</v>
      </c>
      <c r="W832">
        <f t="shared" si="98"/>
        <v>47067</v>
      </c>
      <c r="X832">
        <f>IFERROR(INDEX(参数!$B$5:$B$7,MATCH($N832,参数!$A$5:$A$7,0)),"")</f>
        <v>1</v>
      </c>
      <c r="Y832">
        <f>IFERROR(INDEX(参数!$C$5:$C$7,MATCH($N832,参数!$A$5:$A$7,0)),"")</f>
        <v>1.2</v>
      </c>
      <c r="Z832">
        <f>IFERROR(INDEX(参数!$D$5:$D$7,MATCH($N832,参数!$A$5:$A$7,0)),"")</f>
        <v>1</v>
      </c>
      <c r="AA832">
        <f>IFERROR(INDEX(楼层配置!$E$5:$E$204,MATCH($K832,楼层配置!$B$5:$B$204,0)),1)</f>
        <v>1.12582067235919</v>
      </c>
      <c r="AB832">
        <f>IFERROR(INDEX(楼层配置!$F$5:$F$204,MATCH($K832,楼层配置!$B$5:$B$204,0)),1)</f>
        <v>0.729834891319568</v>
      </c>
      <c r="AC832">
        <f>IFERROR(INDEX(楼层配置!$G$5:$G$204,MATCH($K832,楼层配置!$B$5:$B$204,0)),1)</f>
        <v>1</v>
      </c>
      <c r="AD832" t="str">
        <f t="shared" si="99"/>
        <v/>
      </c>
      <c r="AE832" t="str">
        <f t="shared" si="100"/>
        <v/>
      </c>
      <c r="AF832" t="str">
        <f t="shared" si="101"/>
        <v/>
      </c>
      <c r="AG832" t="str">
        <f t="shared" si="102"/>
        <v>有效</v>
      </c>
      <c r="AH832">
        <f t="shared" si="103"/>
        <v>14500643.930625</v>
      </c>
    </row>
    <row r="833" spans="1:34">
      <c r="A833">
        <v>829</v>
      </c>
      <c r="B833">
        <v>1005</v>
      </c>
      <c r="C833">
        <v>60</v>
      </c>
      <c r="D833">
        <f>IFERROR(ROUND($U833*$X833*$AA833*参数!$B$13,0),"")</f>
        <v>4897005</v>
      </c>
      <c r="E833">
        <f>IFERROR(ROUND($V833*$Y833*$AB833*参数!$C$13,0),"")</f>
        <v>84592</v>
      </c>
      <c r="F833">
        <f>IFERROR(ROUND($W833*$Z833*$AC833*参数!$D$13,0),"")</f>
        <v>47067</v>
      </c>
      <c r="J833">
        <v>166</v>
      </c>
      <c r="K833">
        <v>166</v>
      </c>
      <c r="L833">
        <f>IFERROR(INDEX(楼层配置!$D$5:$D$204,MATCH($K833,楼层配置!$B$5:$B$204,0)),"")</f>
        <v>396</v>
      </c>
      <c r="M833" t="str">
        <f>IFERROR(INDEX(_角色基线!$B$2:$B$100,MATCH($B833,_角色基线!$A$2:$A$100,0)),"")</f>
        <v>陈单单</v>
      </c>
      <c r="N833" t="str">
        <f>IFERROR(INDEX(_角色基线!$C$2:$C$100,MATCH($B833,_角色基线!$A$2:$A$100,0)),"")</f>
        <v>DPS</v>
      </c>
      <c r="O833">
        <f>IFERROR(INDEX(_怪物基线!$B$2:$B$501,MATCH(INT($L833),_怪物基线!$A$2:$A$501,0)),"")</f>
        <v>1087430</v>
      </c>
      <c r="P833">
        <f>IFERROR(INDEX(_怪物基线!$C$2:$C$501,MATCH(INT($L833),_怪物基线!$A$2:$A$501,0)),"")</f>
        <v>80490</v>
      </c>
      <c r="Q833">
        <f>IFERROR(INDEX(_怪物基线!$D$2:$D$501,MATCH(INT($L833),_怪物基线!$A$2:$A$501,0)),"")</f>
        <v>47067</v>
      </c>
      <c r="R833">
        <f>参数!$B$10</f>
        <v>4</v>
      </c>
      <c r="S833">
        <f>参数!$C$10</f>
        <v>1.2</v>
      </c>
      <c r="T833">
        <f>参数!$D$10</f>
        <v>1</v>
      </c>
      <c r="U833">
        <f t="shared" si="96"/>
        <v>4349720</v>
      </c>
      <c r="V833">
        <f t="shared" si="97"/>
        <v>96588</v>
      </c>
      <c r="W833">
        <f t="shared" si="98"/>
        <v>47067</v>
      </c>
      <c r="X833">
        <f>IFERROR(INDEX(参数!$B$5:$B$7,MATCH($N833,参数!$A$5:$A$7,0)),"")</f>
        <v>1</v>
      </c>
      <c r="Y833">
        <f>IFERROR(INDEX(参数!$C$5:$C$7,MATCH($N833,参数!$A$5:$A$7,0)),"")</f>
        <v>1.2</v>
      </c>
      <c r="Z833">
        <f>IFERROR(INDEX(参数!$D$5:$D$7,MATCH($N833,参数!$A$5:$A$7,0)),"")</f>
        <v>1</v>
      </c>
      <c r="AA833">
        <f>IFERROR(INDEX(楼层配置!$E$5:$E$204,MATCH($K833,楼层配置!$B$5:$B$204,0)),1)</f>
        <v>1.12582067235919</v>
      </c>
      <c r="AB833">
        <f>IFERROR(INDEX(楼层配置!$F$5:$F$204,MATCH($K833,楼层配置!$B$5:$B$204,0)),1)</f>
        <v>0.729834891319568</v>
      </c>
      <c r="AC833">
        <f>IFERROR(INDEX(楼层配置!$G$5:$G$204,MATCH($K833,楼层配置!$B$5:$B$204,0)),1)</f>
        <v>1</v>
      </c>
      <c r="AD833" t="str">
        <f t="shared" si="99"/>
        <v/>
      </c>
      <c r="AE833" t="str">
        <f t="shared" si="100"/>
        <v/>
      </c>
      <c r="AF833" t="str">
        <f t="shared" si="101"/>
        <v/>
      </c>
      <c r="AG833" t="str">
        <f t="shared" si="102"/>
        <v>有效</v>
      </c>
      <c r="AH833">
        <f t="shared" si="103"/>
        <v>14500643.930625</v>
      </c>
    </row>
    <row r="834" spans="1:34">
      <c r="A834">
        <v>830</v>
      </c>
      <c r="B834">
        <v>1029</v>
      </c>
      <c r="C834">
        <v>60</v>
      </c>
      <c r="D834">
        <f>IFERROR(ROUND($U834*$X834*$AA834*参数!$B$13,0),"")</f>
        <v>6121256</v>
      </c>
      <c r="E834">
        <f>IFERROR(ROUND($V834*$Y834*$AB834*参数!$C$13,0),"")</f>
        <v>70493</v>
      </c>
      <c r="F834">
        <f>IFERROR(ROUND($W834*$Z834*$AC834*参数!$D$13,0),"")</f>
        <v>58834</v>
      </c>
      <c r="J834">
        <v>166</v>
      </c>
      <c r="K834">
        <v>166</v>
      </c>
      <c r="L834">
        <f>IFERROR(INDEX(楼层配置!$D$5:$D$204,MATCH($K834,楼层配置!$B$5:$B$204,0)),"")</f>
        <v>396</v>
      </c>
      <c r="M834" t="str">
        <f>IFERROR(INDEX(_角色基线!$B$2:$B$100,MATCH($B834,_角色基线!$A$2:$A$100,0)),"")</f>
        <v>凯兰</v>
      </c>
      <c r="N834" t="str">
        <f>IFERROR(INDEX(_角色基线!$C$2:$C$100,MATCH($B834,_角色基线!$A$2:$A$100,0)),"")</f>
        <v>Support</v>
      </c>
      <c r="O834">
        <f>IFERROR(INDEX(_怪物基线!$B$2:$B$501,MATCH(INT($L834),_怪物基线!$A$2:$A$501,0)),"")</f>
        <v>1087430</v>
      </c>
      <c r="P834">
        <f>IFERROR(INDEX(_怪物基线!$C$2:$C$501,MATCH(INT($L834),_怪物基线!$A$2:$A$501,0)),"")</f>
        <v>80490</v>
      </c>
      <c r="Q834">
        <f>IFERROR(INDEX(_怪物基线!$D$2:$D$501,MATCH(INT($L834),_怪物基线!$A$2:$A$501,0)),"")</f>
        <v>47067</v>
      </c>
      <c r="R834">
        <f>参数!$B$10</f>
        <v>4</v>
      </c>
      <c r="S834">
        <f>参数!$C$10</f>
        <v>1.2</v>
      </c>
      <c r="T834">
        <f>参数!$D$10</f>
        <v>1</v>
      </c>
      <c r="U834">
        <f t="shared" si="96"/>
        <v>4349720</v>
      </c>
      <c r="V834">
        <f t="shared" si="97"/>
        <v>96588</v>
      </c>
      <c r="W834">
        <f t="shared" si="98"/>
        <v>47067</v>
      </c>
      <c r="X834">
        <f>IFERROR(INDEX(参数!$B$5:$B$7,MATCH($N834,参数!$A$5:$A$7,0)),"")</f>
        <v>1.25</v>
      </c>
      <c r="Y834">
        <f>IFERROR(INDEX(参数!$C$5:$C$7,MATCH($N834,参数!$A$5:$A$7,0)),"")</f>
        <v>1</v>
      </c>
      <c r="Z834">
        <f>IFERROR(INDEX(参数!$D$5:$D$7,MATCH($N834,参数!$A$5:$A$7,0)),"")</f>
        <v>1.25</v>
      </c>
      <c r="AA834">
        <f>IFERROR(INDEX(楼层配置!$E$5:$E$204,MATCH($K834,楼层配置!$B$5:$B$204,0)),1)</f>
        <v>1.12582067235919</v>
      </c>
      <c r="AB834">
        <f>IFERROR(INDEX(楼层配置!$F$5:$F$204,MATCH($K834,楼层配置!$B$5:$B$204,0)),1)</f>
        <v>0.729834891319568</v>
      </c>
      <c r="AC834">
        <f>IFERROR(INDEX(楼层配置!$G$5:$G$204,MATCH($K834,楼层配置!$B$5:$B$204,0)),1)</f>
        <v>1</v>
      </c>
      <c r="AD834" t="str">
        <f t="shared" si="99"/>
        <v/>
      </c>
      <c r="AE834" t="str">
        <f t="shared" si="100"/>
        <v/>
      </c>
      <c r="AF834" t="str">
        <f t="shared" si="101"/>
        <v/>
      </c>
      <c r="AG834" t="str">
        <f t="shared" si="102"/>
        <v>有效</v>
      </c>
      <c r="AH834">
        <f t="shared" si="103"/>
        <v>21127004.9793333</v>
      </c>
    </row>
    <row r="835" spans="1:34">
      <c r="A835">
        <v>831</v>
      </c>
      <c r="B835">
        <v>1003</v>
      </c>
      <c r="C835">
        <v>60</v>
      </c>
      <c r="D835">
        <f>IFERROR(ROUND($U835*$X835*$AA835*参数!$B$13,0),"")</f>
        <v>7518865</v>
      </c>
      <c r="E835">
        <f>IFERROR(ROUND($V835*$Y835*$AB835*参数!$C$13,0),"")</f>
        <v>71819</v>
      </c>
      <c r="F835">
        <f>IFERROR(ROUND($W835*$Z835*$AC835*参数!$D$13,0),"")</f>
        <v>71339</v>
      </c>
      <c r="J835">
        <v>167</v>
      </c>
      <c r="K835">
        <v>167</v>
      </c>
      <c r="L835">
        <f>IFERROR(INDEX(楼层配置!$D$5:$D$204,MATCH($K835,楼层配置!$B$5:$B$204,0)),"")</f>
        <v>399</v>
      </c>
      <c r="M835" t="str">
        <f>IFERROR(INDEX(_角色基线!$B$2:$B$100,MATCH($B835,_角色基线!$A$2:$A$100,0)),"")</f>
        <v>塔拉夏</v>
      </c>
      <c r="N835" t="str">
        <f>IFERROR(INDEX(_角色基线!$C$2:$C$100,MATCH($B835,_角色基线!$A$2:$A$100,0)),"")</f>
        <v>Tank</v>
      </c>
      <c r="O835">
        <f>IFERROR(INDEX(_怪物基线!$B$2:$B$501,MATCH(INT($L835),_怪物基线!$A$2:$A$501,0)),"")</f>
        <v>1113094</v>
      </c>
      <c r="P835">
        <f>IFERROR(INDEX(_怪物基线!$C$2:$C$501,MATCH(INT($L835),_怪物基线!$A$2:$A$501,0)),"")</f>
        <v>82004</v>
      </c>
      <c r="Q835">
        <f>IFERROR(INDEX(_怪物基线!$D$2:$D$501,MATCH(INT($L835),_怪物基线!$A$2:$A$501,0)),"")</f>
        <v>47559</v>
      </c>
      <c r="R835">
        <f>参数!$B$10</f>
        <v>4</v>
      </c>
      <c r="S835">
        <f>参数!$C$10</f>
        <v>1.2</v>
      </c>
      <c r="T835">
        <f>参数!$D$10</f>
        <v>1</v>
      </c>
      <c r="U835">
        <f t="shared" si="96"/>
        <v>4452376</v>
      </c>
      <c r="V835">
        <f t="shared" si="97"/>
        <v>98404.8</v>
      </c>
      <c r="W835">
        <f t="shared" si="98"/>
        <v>47559</v>
      </c>
      <c r="X835">
        <f>IFERROR(INDEX(参数!$B$5:$B$7,MATCH($N835,参数!$A$5:$A$7,0)),"")</f>
        <v>1.5</v>
      </c>
      <c r="Y835">
        <f>IFERROR(INDEX(参数!$C$5:$C$7,MATCH($N835,参数!$A$5:$A$7,0)),"")</f>
        <v>1</v>
      </c>
      <c r="Z835">
        <f>IFERROR(INDEX(参数!$D$5:$D$7,MATCH($N835,参数!$A$5:$A$7,0)),"")</f>
        <v>1.5</v>
      </c>
      <c r="AA835">
        <f>IFERROR(INDEX(楼层配置!$E$5:$E$204,MATCH($K835,楼层配置!$B$5:$B$204,0)),1)</f>
        <v>1.12582067235919</v>
      </c>
      <c r="AB835">
        <f>IFERROR(INDEX(楼层配置!$F$5:$F$204,MATCH($K835,楼层配置!$B$5:$B$204,0)),1)</f>
        <v>0.729834891319568</v>
      </c>
      <c r="AC835">
        <f>IFERROR(INDEX(楼层配置!$G$5:$G$204,MATCH($K835,楼层配置!$B$5:$B$204,0)),1)</f>
        <v>1</v>
      </c>
      <c r="AD835" t="str">
        <f t="shared" si="99"/>
        <v/>
      </c>
      <c r="AE835" t="str">
        <f t="shared" si="100"/>
        <v/>
      </c>
      <c r="AF835" t="str">
        <f t="shared" si="101"/>
        <v/>
      </c>
      <c r="AG835" t="str">
        <f t="shared" si="102"/>
        <v>有效</v>
      </c>
      <c r="AH835">
        <f t="shared" si="103"/>
        <v>29868377.9264583</v>
      </c>
    </row>
    <row r="836" spans="1:34">
      <c r="A836">
        <v>832</v>
      </c>
      <c r="B836">
        <v>1005</v>
      </c>
      <c r="C836">
        <v>60</v>
      </c>
      <c r="D836">
        <f>IFERROR(ROUND($U836*$X836*$AA836*参数!$B$13,0),"")</f>
        <v>5012577</v>
      </c>
      <c r="E836">
        <f>IFERROR(ROUND($V836*$Y836*$AB836*参数!$C$13,0),"")</f>
        <v>86183</v>
      </c>
      <c r="F836">
        <f>IFERROR(ROUND($W836*$Z836*$AC836*参数!$D$13,0),"")</f>
        <v>47559</v>
      </c>
      <c r="J836">
        <v>167</v>
      </c>
      <c r="K836">
        <v>167</v>
      </c>
      <c r="L836">
        <f>IFERROR(INDEX(楼层配置!$D$5:$D$204,MATCH($K836,楼层配置!$B$5:$B$204,0)),"")</f>
        <v>399</v>
      </c>
      <c r="M836" t="str">
        <f>IFERROR(INDEX(_角色基线!$B$2:$B$100,MATCH($B836,_角色基线!$A$2:$A$100,0)),"")</f>
        <v>陈单单</v>
      </c>
      <c r="N836" t="str">
        <f>IFERROR(INDEX(_角色基线!$C$2:$C$100,MATCH($B836,_角色基线!$A$2:$A$100,0)),"")</f>
        <v>DPS</v>
      </c>
      <c r="O836">
        <f>IFERROR(INDEX(_怪物基线!$B$2:$B$501,MATCH(INT($L836),_怪物基线!$A$2:$A$501,0)),"")</f>
        <v>1113094</v>
      </c>
      <c r="P836">
        <f>IFERROR(INDEX(_怪物基线!$C$2:$C$501,MATCH(INT($L836),_怪物基线!$A$2:$A$501,0)),"")</f>
        <v>82004</v>
      </c>
      <c r="Q836">
        <f>IFERROR(INDEX(_怪物基线!$D$2:$D$501,MATCH(INT($L836),_怪物基线!$A$2:$A$501,0)),"")</f>
        <v>47559</v>
      </c>
      <c r="R836">
        <f>参数!$B$10</f>
        <v>4</v>
      </c>
      <c r="S836">
        <f>参数!$C$10</f>
        <v>1.2</v>
      </c>
      <c r="T836">
        <f>参数!$D$10</f>
        <v>1</v>
      </c>
      <c r="U836">
        <f t="shared" si="96"/>
        <v>4452376</v>
      </c>
      <c r="V836">
        <f t="shared" si="97"/>
        <v>98404.8</v>
      </c>
      <c r="W836">
        <f t="shared" si="98"/>
        <v>47559</v>
      </c>
      <c r="X836">
        <f>IFERROR(INDEX(参数!$B$5:$B$7,MATCH($N836,参数!$A$5:$A$7,0)),"")</f>
        <v>1</v>
      </c>
      <c r="Y836">
        <f>IFERROR(INDEX(参数!$C$5:$C$7,MATCH($N836,参数!$A$5:$A$7,0)),"")</f>
        <v>1.2</v>
      </c>
      <c r="Z836">
        <f>IFERROR(INDEX(参数!$D$5:$D$7,MATCH($N836,参数!$A$5:$A$7,0)),"")</f>
        <v>1</v>
      </c>
      <c r="AA836">
        <f>IFERROR(INDEX(楼层配置!$E$5:$E$204,MATCH($K836,楼层配置!$B$5:$B$204,0)),1)</f>
        <v>1.12582067235919</v>
      </c>
      <c r="AB836">
        <f>IFERROR(INDEX(楼层配置!$F$5:$F$204,MATCH($K836,楼层配置!$B$5:$B$204,0)),1)</f>
        <v>0.729834891319568</v>
      </c>
      <c r="AC836">
        <f>IFERROR(INDEX(楼层配置!$G$5:$G$204,MATCH($K836,楼层配置!$B$5:$B$204,0)),1)</f>
        <v>1</v>
      </c>
      <c r="AD836" t="str">
        <f t="shared" si="99"/>
        <v/>
      </c>
      <c r="AE836" t="str">
        <f t="shared" si="100"/>
        <v/>
      </c>
      <c r="AF836" t="str">
        <f t="shared" si="101"/>
        <v/>
      </c>
      <c r="AG836" t="str">
        <f t="shared" si="102"/>
        <v>有效</v>
      </c>
      <c r="AH836">
        <f t="shared" si="103"/>
        <v>14945624.897625</v>
      </c>
    </row>
    <row r="837" spans="1:34">
      <c r="A837">
        <v>833</v>
      </c>
      <c r="B837">
        <v>1005</v>
      </c>
      <c r="C837">
        <v>60</v>
      </c>
      <c r="D837">
        <f>IFERROR(ROUND($U837*$X837*$AA837*参数!$B$13,0),"")</f>
        <v>5012577</v>
      </c>
      <c r="E837">
        <f>IFERROR(ROUND($V837*$Y837*$AB837*参数!$C$13,0),"")</f>
        <v>86183</v>
      </c>
      <c r="F837">
        <f>IFERROR(ROUND($W837*$Z837*$AC837*参数!$D$13,0),"")</f>
        <v>47559</v>
      </c>
      <c r="J837">
        <v>167</v>
      </c>
      <c r="K837">
        <v>167</v>
      </c>
      <c r="L837">
        <f>IFERROR(INDEX(楼层配置!$D$5:$D$204,MATCH($K837,楼层配置!$B$5:$B$204,0)),"")</f>
        <v>399</v>
      </c>
      <c r="M837" t="str">
        <f>IFERROR(INDEX(_角色基线!$B$2:$B$100,MATCH($B837,_角色基线!$A$2:$A$100,0)),"")</f>
        <v>陈单单</v>
      </c>
      <c r="N837" t="str">
        <f>IFERROR(INDEX(_角色基线!$C$2:$C$100,MATCH($B837,_角色基线!$A$2:$A$100,0)),"")</f>
        <v>DPS</v>
      </c>
      <c r="O837">
        <f>IFERROR(INDEX(_怪物基线!$B$2:$B$501,MATCH(INT($L837),_怪物基线!$A$2:$A$501,0)),"")</f>
        <v>1113094</v>
      </c>
      <c r="P837">
        <f>IFERROR(INDEX(_怪物基线!$C$2:$C$501,MATCH(INT($L837),_怪物基线!$A$2:$A$501,0)),"")</f>
        <v>82004</v>
      </c>
      <c r="Q837">
        <f>IFERROR(INDEX(_怪物基线!$D$2:$D$501,MATCH(INT($L837),_怪物基线!$A$2:$A$501,0)),"")</f>
        <v>47559</v>
      </c>
      <c r="R837">
        <f>参数!$B$10</f>
        <v>4</v>
      </c>
      <c r="S837">
        <f>参数!$C$10</f>
        <v>1.2</v>
      </c>
      <c r="T837">
        <f>参数!$D$10</f>
        <v>1</v>
      </c>
      <c r="U837">
        <f t="shared" ref="U837:U900" si="104">IF($O837="","",$O837*$R837)</f>
        <v>4452376</v>
      </c>
      <c r="V837">
        <f t="shared" ref="V837:V900" si="105">IF($P837="","",$P837*$S837)</f>
        <v>98404.8</v>
      </c>
      <c r="W837">
        <f t="shared" ref="W837:W900" si="106">IF($Q837="","",$Q837*$T837)</f>
        <v>47559</v>
      </c>
      <c r="X837">
        <f>IFERROR(INDEX(参数!$B$5:$B$7,MATCH($N837,参数!$A$5:$A$7,0)),"")</f>
        <v>1</v>
      </c>
      <c r="Y837">
        <f>IFERROR(INDEX(参数!$C$5:$C$7,MATCH($N837,参数!$A$5:$A$7,0)),"")</f>
        <v>1.2</v>
      </c>
      <c r="Z837">
        <f>IFERROR(INDEX(参数!$D$5:$D$7,MATCH($N837,参数!$A$5:$A$7,0)),"")</f>
        <v>1</v>
      </c>
      <c r="AA837">
        <f>IFERROR(INDEX(楼层配置!$E$5:$E$204,MATCH($K837,楼层配置!$B$5:$B$204,0)),1)</f>
        <v>1.12582067235919</v>
      </c>
      <c r="AB837">
        <f>IFERROR(INDEX(楼层配置!$F$5:$F$204,MATCH($K837,楼层配置!$B$5:$B$204,0)),1)</f>
        <v>0.729834891319568</v>
      </c>
      <c r="AC837">
        <f>IFERROR(INDEX(楼层配置!$G$5:$G$204,MATCH($K837,楼层配置!$B$5:$B$204,0)),1)</f>
        <v>1</v>
      </c>
      <c r="AD837" t="str">
        <f t="shared" ref="AD837:AD900" si="107">IFERROR($D837/$G837-1,"")</f>
        <v/>
      </c>
      <c r="AE837" t="str">
        <f t="shared" ref="AE837:AE900" si="108">IFERROR($E837/$H837-1,"")</f>
        <v/>
      </c>
      <c r="AF837" t="str">
        <f t="shared" ref="AF837:AF900" si="109">IFERROR($F837/$I837-1,"")</f>
        <v/>
      </c>
      <c r="AG837" t="str">
        <f t="shared" ref="AG837:AG900" si="110">IF(AND($A837&gt;=1,$L837&gt;=1,$L837&lt;=500,OR($N837="Tank",$N837="DPS",$N837="Support"),ISNUMBER($D837),ISNUMBER($E837),ISNUMBER($F837)),"有效","异常")</f>
        <v>有效</v>
      </c>
      <c r="AH837">
        <f t="shared" ref="AH837:AH900" si="111">D837/(1-MIN(0.75,F837/(24000+F837)))</f>
        <v>14945624.897625</v>
      </c>
    </row>
    <row r="838" spans="1:34">
      <c r="A838">
        <v>834</v>
      </c>
      <c r="B838">
        <v>1005</v>
      </c>
      <c r="C838">
        <v>60</v>
      </c>
      <c r="D838">
        <f>IFERROR(ROUND($U838*$X838*$AA838*参数!$B$13,0),"")</f>
        <v>5012577</v>
      </c>
      <c r="E838">
        <f>IFERROR(ROUND($V838*$Y838*$AB838*参数!$C$13,0),"")</f>
        <v>86183</v>
      </c>
      <c r="F838">
        <f>IFERROR(ROUND($W838*$Z838*$AC838*参数!$D$13,0),"")</f>
        <v>47559</v>
      </c>
      <c r="J838">
        <v>167</v>
      </c>
      <c r="K838">
        <v>167</v>
      </c>
      <c r="L838">
        <f>IFERROR(INDEX(楼层配置!$D$5:$D$204,MATCH($K838,楼层配置!$B$5:$B$204,0)),"")</f>
        <v>399</v>
      </c>
      <c r="M838" t="str">
        <f>IFERROR(INDEX(_角色基线!$B$2:$B$100,MATCH($B838,_角色基线!$A$2:$A$100,0)),"")</f>
        <v>陈单单</v>
      </c>
      <c r="N838" t="str">
        <f>IFERROR(INDEX(_角色基线!$C$2:$C$100,MATCH($B838,_角色基线!$A$2:$A$100,0)),"")</f>
        <v>DPS</v>
      </c>
      <c r="O838">
        <f>IFERROR(INDEX(_怪物基线!$B$2:$B$501,MATCH(INT($L838),_怪物基线!$A$2:$A$501,0)),"")</f>
        <v>1113094</v>
      </c>
      <c r="P838">
        <f>IFERROR(INDEX(_怪物基线!$C$2:$C$501,MATCH(INT($L838),_怪物基线!$A$2:$A$501,0)),"")</f>
        <v>82004</v>
      </c>
      <c r="Q838">
        <f>IFERROR(INDEX(_怪物基线!$D$2:$D$501,MATCH(INT($L838),_怪物基线!$A$2:$A$501,0)),"")</f>
        <v>47559</v>
      </c>
      <c r="R838">
        <f>参数!$B$10</f>
        <v>4</v>
      </c>
      <c r="S838">
        <f>参数!$C$10</f>
        <v>1.2</v>
      </c>
      <c r="T838">
        <f>参数!$D$10</f>
        <v>1</v>
      </c>
      <c r="U838">
        <f t="shared" si="104"/>
        <v>4452376</v>
      </c>
      <c r="V838">
        <f t="shared" si="105"/>
        <v>98404.8</v>
      </c>
      <c r="W838">
        <f t="shared" si="106"/>
        <v>47559</v>
      </c>
      <c r="X838">
        <f>IFERROR(INDEX(参数!$B$5:$B$7,MATCH($N838,参数!$A$5:$A$7,0)),"")</f>
        <v>1</v>
      </c>
      <c r="Y838">
        <f>IFERROR(INDEX(参数!$C$5:$C$7,MATCH($N838,参数!$A$5:$A$7,0)),"")</f>
        <v>1.2</v>
      </c>
      <c r="Z838">
        <f>IFERROR(INDEX(参数!$D$5:$D$7,MATCH($N838,参数!$A$5:$A$7,0)),"")</f>
        <v>1</v>
      </c>
      <c r="AA838">
        <f>IFERROR(INDEX(楼层配置!$E$5:$E$204,MATCH($K838,楼层配置!$B$5:$B$204,0)),1)</f>
        <v>1.12582067235919</v>
      </c>
      <c r="AB838">
        <f>IFERROR(INDEX(楼层配置!$F$5:$F$204,MATCH($K838,楼层配置!$B$5:$B$204,0)),1)</f>
        <v>0.729834891319568</v>
      </c>
      <c r="AC838">
        <f>IFERROR(INDEX(楼层配置!$G$5:$G$204,MATCH($K838,楼层配置!$B$5:$B$204,0)),1)</f>
        <v>1</v>
      </c>
      <c r="AD838" t="str">
        <f t="shared" si="107"/>
        <v/>
      </c>
      <c r="AE838" t="str">
        <f t="shared" si="108"/>
        <v/>
      </c>
      <c r="AF838" t="str">
        <f t="shared" si="109"/>
        <v/>
      </c>
      <c r="AG838" t="str">
        <f t="shared" si="110"/>
        <v>有效</v>
      </c>
      <c r="AH838">
        <f t="shared" si="111"/>
        <v>14945624.897625</v>
      </c>
    </row>
    <row r="839" spans="1:34">
      <c r="A839">
        <v>835</v>
      </c>
      <c r="B839">
        <v>1029</v>
      </c>
      <c r="C839">
        <v>60</v>
      </c>
      <c r="D839">
        <f>IFERROR(ROUND($U839*$X839*$AA839*参数!$B$13,0),"")</f>
        <v>6265721</v>
      </c>
      <c r="E839">
        <f>IFERROR(ROUND($V839*$Y839*$AB839*参数!$C$13,0),"")</f>
        <v>71819</v>
      </c>
      <c r="F839">
        <f>IFERROR(ROUND($W839*$Z839*$AC839*参数!$D$13,0),"")</f>
        <v>59449</v>
      </c>
      <c r="J839">
        <v>167</v>
      </c>
      <c r="K839">
        <v>167</v>
      </c>
      <c r="L839">
        <f>IFERROR(INDEX(楼层配置!$D$5:$D$204,MATCH($K839,楼层配置!$B$5:$B$204,0)),"")</f>
        <v>399</v>
      </c>
      <c r="M839" t="str">
        <f>IFERROR(INDEX(_角色基线!$B$2:$B$100,MATCH($B839,_角色基线!$A$2:$A$100,0)),"")</f>
        <v>凯兰</v>
      </c>
      <c r="N839" t="str">
        <f>IFERROR(INDEX(_角色基线!$C$2:$C$100,MATCH($B839,_角色基线!$A$2:$A$100,0)),"")</f>
        <v>Support</v>
      </c>
      <c r="O839">
        <f>IFERROR(INDEX(_怪物基线!$B$2:$B$501,MATCH(INT($L839),_怪物基线!$A$2:$A$501,0)),"")</f>
        <v>1113094</v>
      </c>
      <c r="P839">
        <f>IFERROR(INDEX(_怪物基线!$C$2:$C$501,MATCH(INT($L839),_怪物基线!$A$2:$A$501,0)),"")</f>
        <v>82004</v>
      </c>
      <c r="Q839">
        <f>IFERROR(INDEX(_怪物基线!$D$2:$D$501,MATCH(INT($L839),_怪物基线!$A$2:$A$501,0)),"")</f>
        <v>47559</v>
      </c>
      <c r="R839">
        <f>参数!$B$10</f>
        <v>4</v>
      </c>
      <c r="S839">
        <f>参数!$C$10</f>
        <v>1.2</v>
      </c>
      <c r="T839">
        <f>参数!$D$10</f>
        <v>1</v>
      </c>
      <c r="U839">
        <f t="shared" si="104"/>
        <v>4452376</v>
      </c>
      <c r="V839">
        <f t="shared" si="105"/>
        <v>98404.8</v>
      </c>
      <c r="W839">
        <f t="shared" si="106"/>
        <v>47559</v>
      </c>
      <c r="X839">
        <f>IFERROR(INDEX(参数!$B$5:$B$7,MATCH($N839,参数!$A$5:$A$7,0)),"")</f>
        <v>1.25</v>
      </c>
      <c r="Y839">
        <f>IFERROR(INDEX(参数!$C$5:$C$7,MATCH($N839,参数!$A$5:$A$7,0)),"")</f>
        <v>1</v>
      </c>
      <c r="Z839">
        <f>IFERROR(INDEX(参数!$D$5:$D$7,MATCH($N839,参数!$A$5:$A$7,0)),"")</f>
        <v>1.25</v>
      </c>
      <c r="AA839">
        <f>IFERROR(INDEX(楼层配置!$E$5:$E$204,MATCH($K839,楼层配置!$B$5:$B$204,0)),1)</f>
        <v>1.12582067235919</v>
      </c>
      <c r="AB839">
        <f>IFERROR(INDEX(楼层配置!$F$5:$F$204,MATCH($K839,楼层配置!$B$5:$B$204,0)),1)</f>
        <v>0.729834891319568</v>
      </c>
      <c r="AC839">
        <f>IFERROR(INDEX(楼层配置!$G$5:$G$204,MATCH($K839,楼层配置!$B$5:$B$204,0)),1)</f>
        <v>1</v>
      </c>
      <c r="AD839" t="str">
        <f t="shared" si="107"/>
        <v/>
      </c>
      <c r="AE839" t="str">
        <f t="shared" si="108"/>
        <v/>
      </c>
      <c r="AF839" t="str">
        <f t="shared" si="109"/>
        <v/>
      </c>
      <c r="AG839" t="str">
        <f t="shared" si="110"/>
        <v>有效</v>
      </c>
      <c r="AH839">
        <f t="shared" si="111"/>
        <v>21786172.9887083</v>
      </c>
    </row>
    <row r="840" spans="1:34">
      <c r="A840">
        <v>836</v>
      </c>
      <c r="B840">
        <v>1003</v>
      </c>
      <c r="C840">
        <v>60</v>
      </c>
      <c r="D840">
        <f>IFERROR(ROUND($U840*$X840*$AA840*参数!$B$13,0),"")</f>
        <v>7636225</v>
      </c>
      <c r="E840">
        <f>IFERROR(ROUND($V840*$Y840*$AB840*参数!$C$13,0),"")</f>
        <v>72714</v>
      </c>
      <c r="F840">
        <f>IFERROR(ROUND($W840*$Z840*$AC840*参数!$D$13,0),"")</f>
        <v>71834</v>
      </c>
      <c r="J840">
        <v>168</v>
      </c>
      <c r="K840">
        <v>168</v>
      </c>
      <c r="L840">
        <f>IFERROR(INDEX(楼层配置!$D$5:$D$204,MATCH($K840,楼层配置!$B$5:$B$204,0)),"")</f>
        <v>401</v>
      </c>
      <c r="M840" t="str">
        <f>IFERROR(INDEX(_角色基线!$B$2:$B$100,MATCH($B840,_角色基线!$A$2:$A$100,0)),"")</f>
        <v>塔拉夏</v>
      </c>
      <c r="N840" t="str">
        <f>IFERROR(INDEX(_角色基线!$C$2:$C$100,MATCH($B840,_角色基线!$A$2:$A$100,0)),"")</f>
        <v>Tank</v>
      </c>
      <c r="O840">
        <f>IFERROR(INDEX(_怪物基线!$B$2:$B$501,MATCH(INT($L840),_怪物基线!$A$2:$A$501,0)),"")</f>
        <v>1130468</v>
      </c>
      <c r="P840">
        <f>IFERROR(INDEX(_怪物基线!$C$2:$C$501,MATCH(INT($L840),_怪物基线!$A$2:$A$501,0)),"")</f>
        <v>83026</v>
      </c>
      <c r="Q840">
        <f>IFERROR(INDEX(_怪物基线!$D$2:$D$501,MATCH(INT($L840),_怪物基线!$A$2:$A$501,0)),"")</f>
        <v>47889</v>
      </c>
      <c r="R840">
        <f>参数!$B$10</f>
        <v>4</v>
      </c>
      <c r="S840">
        <f>参数!$C$10</f>
        <v>1.2</v>
      </c>
      <c r="T840">
        <f>参数!$D$10</f>
        <v>1</v>
      </c>
      <c r="U840">
        <f t="shared" si="104"/>
        <v>4521872</v>
      </c>
      <c r="V840">
        <f t="shared" si="105"/>
        <v>99631.2</v>
      </c>
      <c r="W840">
        <f t="shared" si="106"/>
        <v>47889</v>
      </c>
      <c r="X840">
        <f>IFERROR(INDEX(参数!$B$5:$B$7,MATCH($N840,参数!$A$5:$A$7,0)),"")</f>
        <v>1.5</v>
      </c>
      <c r="Y840">
        <f>IFERROR(INDEX(参数!$C$5:$C$7,MATCH($N840,参数!$A$5:$A$7,0)),"")</f>
        <v>1</v>
      </c>
      <c r="Z840">
        <f>IFERROR(INDEX(参数!$D$5:$D$7,MATCH($N840,参数!$A$5:$A$7,0)),"")</f>
        <v>1.5</v>
      </c>
      <c r="AA840">
        <f>IFERROR(INDEX(楼层配置!$E$5:$E$204,MATCH($K840,楼层配置!$B$5:$B$204,0)),1)</f>
        <v>1.12582067235919</v>
      </c>
      <c r="AB840">
        <f>IFERROR(INDEX(楼层配置!$F$5:$F$204,MATCH($K840,楼层配置!$B$5:$B$204,0)),1)</f>
        <v>0.729834891319568</v>
      </c>
      <c r="AC840">
        <f>IFERROR(INDEX(楼层配置!$G$5:$G$204,MATCH($K840,楼层配置!$B$5:$B$204,0)),1)</f>
        <v>1</v>
      </c>
      <c r="AD840" t="str">
        <f t="shared" si="107"/>
        <v/>
      </c>
      <c r="AE840" t="str">
        <f t="shared" si="108"/>
        <v/>
      </c>
      <c r="AF840" t="str">
        <f t="shared" si="109"/>
        <v/>
      </c>
      <c r="AG840" t="str">
        <f t="shared" si="110"/>
        <v>有效</v>
      </c>
      <c r="AH840">
        <f t="shared" si="111"/>
        <v>30492082.7770833</v>
      </c>
    </row>
    <row r="841" spans="1:34">
      <c r="A841">
        <v>837</v>
      </c>
      <c r="B841">
        <v>1005</v>
      </c>
      <c r="C841">
        <v>60</v>
      </c>
      <c r="D841">
        <f>IFERROR(ROUND($U841*$X841*$AA841*参数!$B$13,0),"")</f>
        <v>5090817</v>
      </c>
      <c r="E841">
        <f>IFERROR(ROUND($V841*$Y841*$AB841*参数!$C$13,0),"")</f>
        <v>87257</v>
      </c>
      <c r="F841">
        <f>IFERROR(ROUND($W841*$Z841*$AC841*参数!$D$13,0),"")</f>
        <v>47889</v>
      </c>
      <c r="J841">
        <v>168</v>
      </c>
      <c r="K841">
        <v>168</v>
      </c>
      <c r="L841">
        <f>IFERROR(INDEX(楼层配置!$D$5:$D$204,MATCH($K841,楼层配置!$B$5:$B$204,0)),"")</f>
        <v>401</v>
      </c>
      <c r="M841" t="str">
        <f>IFERROR(INDEX(_角色基线!$B$2:$B$100,MATCH($B841,_角色基线!$A$2:$A$100,0)),"")</f>
        <v>陈单单</v>
      </c>
      <c r="N841" t="str">
        <f>IFERROR(INDEX(_角色基线!$C$2:$C$100,MATCH($B841,_角色基线!$A$2:$A$100,0)),"")</f>
        <v>DPS</v>
      </c>
      <c r="O841">
        <f>IFERROR(INDEX(_怪物基线!$B$2:$B$501,MATCH(INT($L841),_怪物基线!$A$2:$A$501,0)),"")</f>
        <v>1130468</v>
      </c>
      <c r="P841">
        <f>IFERROR(INDEX(_怪物基线!$C$2:$C$501,MATCH(INT($L841),_怪物基线!$A$2:$A$501,0)),"")</f>
        <v>83026</v>
      </c>
      <c r="Q841">
        <f>IFERROR(INDEX(_怪物基线!$D$2:$D$501,MATCH(INT($L841),_怪物基线!$A$2:$A$501,0)),"")</f>
        <v>47889</v>
      </c>
      <c r="R841">
        <f>参数!$B$10</f>
        <v>4</v>
      </c>
      <c r="S841">
        <f>参数!$C$10</f>
        <v>1.2</v>
      </c>
      <c r="T841">
        <f>参数!$D$10</f>
        <v>1</v>
      </c>
      <c r="U841">
        <f t="shared" si="104"/>
        <v>4521872</v>
      </c>
      <c r="V841">
        <f t="shared" si="105"/>
        <v>99631.2</v>
      </c>
      <c r="W841">
        <f t="shared" si="106"/>
        <v>47889</v>
      </c>
      <c r="X841">
        <f>IFERROR(INDEX(参数!$B$5:$B$7,MATCH($N841,参数!$A$5:$A$7,0)),"")</f>
        <v>1</v>
      </c>
      <c r="Y841">
        <f>IFERROR(INDEX(参数!$C$5:$C$7,MATCH($N841,参数!$A$5:$A$7,0)),"")</f>
        <v>1.2</v>
      </c>
      <c r="Z841">
        <f>IFERROR(INDEX(参数!$D$5:$D$7,MATCH($N841,参数!$A$5:$A$7,0)),"")</f>
        <v>1</v>
      </c>
      <c r="AA841">
        <f>IFERROR(INDEX(楼层配置!$E$5:$E$204,MATCH($K841,楼层配置!$B$5:$B$204,0)),1)</f>
        <v>1.12582067235919</v>
      </c>
      <c r="AB841">
        <f>IFERROR(INDEX(楼层配置!$F$5:$F$204,MATCH($K841,楼层配置!$B$5:$B$204,0)),1)</f>
        <v>0.729834891319568</v>
      </c>
      <c r="AC841">
        <f>IFERROR(INDEX(楼层配置!$G$5:$G$204,MATCH($K841,楼层配置!$B$5:$B$204,0)),1)</f>
        <v>1</v>
      </c>
      <c r="AD841" t="str">
        <f t="shared" si="107"/>
        <v/>
      </c>
      <c r="AE841" t="str">
        <f t="shared" si="108"/>
        <v/>
      </c>
      <c r="AF841" t="str">
        <f t="shared" si="109"/>
        <v/>
      </c>
      <c r="AG841" t="str">
        <f t="shared" si="110"/>
        <v>有效</v>
      </c>
      <c r="AH841">
        <f t="shared" si="111"/>
        <v>15248905.971375</v>
      </c>
    </row>
    <row r="842" spans="1:34">
      <c r="A842">
        <v>838</v>
      </c>
      <c r="B842">
        <v>1005</v>
      </c>
      <c r="C842">
        <v>60</v>
      </c>
      <c r="D842">
        <f>IFERROR(ROUND($U842*$X842*$AA842*参数!$B$13,0),"")</f>
        <v>5090817</v>
      </c>
      <c r="E842">
        <f>IFERROR(ROUND($V842*$Y842*$AB842*参数!$C$13,0),"")</f>
        <v>87257</v>
      </c>
      <c r="F842">
        <f>IFERROR(ROUND($W842*$Z842*$AC842*参数!$D$13,0),"")</f>
        <v>47889</v>
      </c>
      <c r="J842">
        <v>168</v>
      </c>
      <c r="K842">
        <v>168</v>
      </c>
      <c r="L842">
        <f>IFERROR(INDEX(楼层配置!$D$5:$D$204,MATCH($K842,楼层配置!$B$5:$B$204,0)),"")</f>
        <v>401</v>
      </c>
      <c r="M842" t="str">
        <f>IFERROR(INDEX(_角色基线!$B$2:$B$100,MATCH($B842,_角色基线!$A$2:$A$100,0)),"")</f>
        <v>陈单单</v>
      </c>
      <c r="N842" t="str">
        <f>IFERROR(INDEX(_角色基线!$C$2:$C$100,MATCH($B842,_角色基线!$A$2:$A$100,0)),"")</f>
        <v>DPS</v>
      </c>
      <c r="O842">
        <f>IFERROR(INDEX(_怪物基线!$B$2:$B$501,MATCH(INT($L842),_怪物基线!$A$2:$A$501,0)),"")</f>
        <v>1130468</v>
      </c>
      <c r="P842">
        <f>IFERROR(INDEX(_怪物基线!$C$2:$C$501,MATCH(INT($L842),_怪物基线!$A$2:$A$501,0)),"")</f>
        <v>83026</v>
      </c>
      <c r="Q842">
        <f>IFERROR(INDEX(_怪物基线!$D$2:$D$501,MATCH(INT($L842),_怪物基线!$A$2:$A$501,0)),"")</f>
        <v>47889</v>
      </c>
      <c r="R842">
        <f>参数!$B$10</f>
        <v>4</v>
      </c>
      <c r="S842">
        <f>参数!$C$10</f>
        <v>1.2</v>
      </c>
      <c r="T842">
        <f>参数!$D$10</f>
        <v>1</v>
      </c>
      <c r="U842">
        <f t="shared" si="104"/>
        <v>4521872</v>
      </c>
      <c r="V842">
        <f t="shared" si="105"/>
        <v>99631.2</v>
      </c>
      <c r="W842">
        <f t="shared" si="106"/>
        <v>47889</v>
      </c>
      <c r="X842">
        <f>IFERROR(INDEX(参数!$B$5:$B$7,MATCH($N842,参数!$A$5:$A$7,0)),"")</f>
        <v>1</v>
      </c>
      <c r="Y842">
        <f>IFERROR(INDEX(参数!$C$5:$C$7,MATCH($N842,参数!$A$5:$A$7,0)),"")</f>
        <v>1.2</v>
      </c>
      <c r="Z842">
        <f>IFERROR(INDEX(参数!$D$5:$D$7,MATCH($N842,参数!$A$5:$A$7,0)),"")</f>
        <v>1</v>
      </c>
      <c r="AA842">
        <f>IFERROR(INDEX(楼层配置!$E$5:$E$204,MATCH($K842,楼层配置!$B$5:$B$204,0)),1)</f>
        <v>1.12582067235919</v>
      </c>
      <c r="AB842">
        <f>IFERROR(INDEX(楼层配置!$F$5:$F$204,MATCH($K842,楼层配置!$B$5:$B$204,0)),1)</f>
        <v>0.729834891319568</v>
      </c>
      <c r="AC842">
        <f>IFERROR(INDEX(楼层配置!$G$5:$G$204,MATCH($K842,楼层配置!$B$5:$B$204,0)),1)</f>
        <v>1</v>
      </c>
      <c r="AD842" t="str">
        <f t="shared" si="107"/>
        <v/>
      </c>
      <c r="AE842" t="str">
        <f t="shared" si="108"/>
        <v/>
      </c>
      <c r="AF842" t="str">
        <f t="shared" si="109"/>
        <v/>
      </c>
      <c r="AG842" t="str">
        <f t="shared" si="110"/>
        <v>有效</v>
      </c>
      <c r="AH842">
        <f t="shared" si="111"/>
        <v>15248905.971375</v>
      </c>
    </row>
    <row r="843" spans="1:34">
      <c r="A843">
        <v>839</v>
      </c>
      <c r="B843">
        <v>1005</v>
      </c>
      <c r="C843">
        <v>60</v>
      </c>
      <c r="D843">
        <f>IFERROR(ROUND($U843*$X843*$AA843*参数!$B$13,0),"")</f>
        <v>5090817</v>
      </c>
      <c r="E843">
        <f>IFERROR(ROUND($V843*$Y843*$AB843*参数!$C$13,0),"")</f>
        <v>87257</v>
      </c>
      <c r="F843">
        <f>IFERROR(ROUND($W843*$Z843*$AC843*参数!$D$13,0),"")</f>
        <v>47889</v>
      </c>
      <c r="J843">
        <v>168</v>
      </c>
      <c r="K843">
        <v>168</v>
      </c>
      <c r="L843">
        <f>IFERROR(INDEX(楼层配置!$D$5:$D$204,MATCH($K843,楼层配置!$B$5:$B$204,0)),"")</f>
        <v>401</v>
      </c>
      <c r="M843" t="str">
        <f>IFERROR(INDEX(_角色基线!$B$2:$B$100,MATCH($B843,_角色基线!$A$2:$A$100,0)),"")</f>
        <v>陈单单</v>
      </c>
      <c r="N843" t="str">
        <f>IFERROR(INDEX(_角色基线!$C$2:$C$100,MATCH($B843,_角色基线!$A$2:$A$100,0)),"")</f>
        <v>DPS</v>
      </c>
      <c r="O843">
        <f>IFERROR(INDEX(_怪物基线!$B$2:$B$501,MATCH(INT($L843),_怪物基线!$A$2:$A$501,0)),"")</f>
        <v>1130468</v>
      </c>
      <c r="P843">
        <f>IFERROR(INDEX(_怪物基线!$C$2:$C$501,MATCH(INT($L843),_怪物基线!$A$2:$A$501,0)),"")</f>
        <v>83026</v>
      </c>
      <c r="Q843">
        <f>IFERROR(INDEX(_怪物基线!$D$2:$D$501,MATCH(INT($L843),_怪物基线!$A$2:$A$501,0)),"")</f>
        <v>47889</v>
      </c>
      <c r="R843">
        <f>参数!$B$10</f>
        <v>4</v>
      </c>
      <c r="S843">
        <f>参数!$C$10</f>
        <v>1.2</v>
      </c>
      <c r="T843">
        <f>参数!$D$10</f>
        <v>1</v>
      </c>
      <c r="U843">
        <f t="shared" si="104"/>
        <v>4521872</v>
      </c>
      <c r="V843">
        <f t="shared" si="105"/>
        <v>99631.2</v>
      </c>
      <c r="W843">
        <f t="shared" si="106"/>
        <v>47889</v>
      </c>
      <c r="X843">
        <f>IFERROR(INDEX(参数!$B$5:$B$7,MATCH($N843,参数!$A$5:$A$7,0)),"")</f>
        <v>1</v>
      </c>
      <c r="Y843">
        <f>IFERROR(INDEX(参数!$C$5:$C$7,MATCH($N843,参数!$A$5:$A$7,0)),"")</f>
        <v>1.2</v>
      </c>
      <c r="Z843">
        <f>IFERROR(INDEX(参数!$D$5:$D$7,MATCH($N843,参数!$A$5:$A$7,0)),"")</f>
        <v>1</v>
      </c>
      <c r="AA843">
        <f>IFERROR(INDEX(楼层配置!$E$5:$E$204,MATCH($K843,楼层配置!$B$5:$B$204,0)),1)</f>
        <v>1.12582067235919</v>
      </c>
      <c r="AB843">
        <f>IFERROR(INDEX(楼层配置!$F$5:$F$204,MATCH($K843,楼层配置!$B$5:$B$204,0)),1)</f>
        <v>0.729834891319568</v>
      </c>
      <c r="AC843">
        <f>IFERROR(INDEX(楼层配置!$G$5:$G$204,MATCH($K843,楼层配置!$B$5:$B$204,0)),1)</f>
        <v>1</v>
      </c>
      <c r="AD843" t="str">
        <f t="shared" si="107"/>
        <v/>
      </c>
      <c r="AE843" t="str">
        <f t="shared" si="108"/>
        <v/>
      </c>
      <c r="AF843" t="str">
        <f t="shared" si="109"/>
        <v/>
      </c>
      <c r="AG843" t="str">
        <f t="shared" si="110"/>
        <v>有效</v>
      </c>
      <c r="AH843">
        <f t="shared" si="111"/>
        <v>15248905.971375</v>
      </c>
    </row>
    <row r="844" spans="1:34">
      <c r="A844">
        <v>840</v>
      </c>
      <c r="B844">
        <v>1029</v>
      </c>
      <c r="C844">
        <v>60</v>
      </c>
      <c r="D844">
        <f>IFERROR(ROUND($U844*$X844*$AA844*参数!$B$13,0),"")</f>
        <v>6363521</v>
      </c>
      <c r="E844">
        <f>IFERROR(ROUND($V844*$Y844*$AB844*参数!$C$13,0),"")</f>
        <v>72714</v>
      </c>
      <c r="F844">
        <f>IFERROR(ROUND($W844*$Z844*$AC844*参数!$D$13,0),"")</f>
        <v>59861</v>
      </c>
      <c r="J844">
        <v>168</v>
      </c>
      <c r="K844">
        <v>168</v>
      </c>
      <c r="L844">
        <f>IFERROR(INDEX(楼层配置!$D$5:$D$204,MATCH($K844,楼层配置!$B$5:$B$204,0)),"")</f>
        <v>401</v>
      </c>
      <c r="M844" t="str">
        <f>IFERROR(INDEX(_角色基线!$B$2:$B$100,MATCH($B844,_角色基线!$A$2:$A$100,0)),"")</f>
        <v>凯兰</v>
      </c>
      <c r="N844" t="str">
        <f>IFERROR(INDEX(_角色基线!$C$2:$C$100,MATCH($B844,_角色基线!$A$2:$A$100,0)),"")</f>
        <v>Support</v>
      </c>
      <c r="O844">
        <f>IFERROR(INDEX(_怪物基线!$B$2:$B$501,MATCH(INT($L844),_怪物基线!$A$2:$A$501,0)),"")</f>
        <v>1130468</v>
      </c>
      <c r="P844">
        <f>IFERROR(INDEX(_怪物基线!$C$2:$C$501,MATCH(INT($L844),_怪物基线!$A$2:$A$501,0)),"")</f>
        <v>83026</v>
      </c>
      <c r="Q844">
        <f>IFERROR(INDEX(_怪物基线!$D$2:$D$501,MATCH(INT($L844),_怪物基线!$A$2:$A$501,0)),"")</f>
        <v>47889</v>
      </c>
      <c r="R844">
        <f>参数!$B$10</f>
        <v>4</v>
      </c>
      <c r="S844">
        <f>参数!$C$10</f>
        <v>1.2</v>
      </c>
      <c r="T844">
        <f>参数!$D$10</f>
        <v>1</v>
      </c>
      <c r="U844">
        <f t="shared" si="104"/>
        <v>4521872</v>
      </c>
      <c r="V844">
        <f t="shared" si="105"/>
        <v>99631.2</v>
      </c>
      <c r="W844">
        <f t="shared" si="106"/>
        <v>47889</v>
      </c>
      <c r="X844">
        <f>IFERROR(INDEX(参数!$B$5:$B$7,MATCH($N844,参数!$A$5:$A$7,0)),"")</f>
        <v>1.25</v>
      </c>
      <c r="Y844">
        <f>IFERROR(INDEX(参数!$C$5:$C$7,MATCH($N844,参数!$A$5:$A$7,0)),"")</f>
        <v>1</v>
      </c>
      <c r="Z844">
        <f>IFERROR(INDEX(参数!$D$5:$D$7,MATCH($N844,参数!$A$5:$A$7,0)),"")</f>
        <v>1.25</v>
      </c>
      <c r="AA844">
        <f>IFERROR(INDEX(楼层配置!$E$5:$E$204,MATCH($K844,楼层配置!$B$5:$B$204,0)),1)</f>
        <v>1.12582067235919</v>
      </c>
      <c r="AB844">
        <f>IFERROR(INDEX(楼层配置!$F$5:$F$204,MATCH($K844,楼层配置!$B$5:$B$204,0)),1)</f>
        <v>0.729834891319568</v>
      </c>
      <c r="AC844">
        <f>IFERROR(INDEX(楼层配置!$G$5:$G$204,MATCH($K844,楼层配置!$B$5:$B$204,0)),1)</f>
        <v>1</v>
      </c>
      <c r="AD844" t="str">
        <f t="shared" si="107"/>
        <v/>
      </c>
      <c r="AE844" t="str">
        <f t="shared" si="108"/>
        <v/>
      </c>
      <c r="AF844" t="str">
        <f t="shared" si="109"/>
        <v/>
      </c>
      <c r="AG844" t="str">
        <f t="shared" si="110"/>
        <v>有效</v>
      </c>
      <c r="AH844">
        <f t="shared" si="111"/>
        <v>22235468.1075417</v>
      </c>
    </row>
    <row r="845" spans="1:34">
      <c r="A845">
        <v>841</v>
      </c>
      <c r="B845">
        <v>1003</v>
      </c>
      <c r="C845">
        <v>60</v>
      </c>
      <c r="D845">
        <f>IFERROR(ROUND($U845*$X845*$AA845*参数!$B$13,0),"")</f>
        <v>7814981</v>
      </c>
      <c r="E845">
        <f>IFERROR(ROUND($V845*$Y845*$AB845*参数!$C$13,0),"")</f>
        <v>74074</v>
      </c>
      <c r="F845">
        <f>IFERROR(ROUND($W845*$Z845*$AC845*参数!$D$13,0),"")</f>
        <v>72578</v>
      </c>
      <c r="J845">
        <v>169</v>
      </c>
      <c r="K845">
        <v>169</v>
      </c>
      <c r="L845">
        <f>IFERROR(INDEX(楼层配置!$D$5:$D$204,MATCH($K845,楼层配置!$B$5:$B$204,0)),"")</f>
        <v>404</v>
      </c>
      <c r="M845" t="str">
        <f>IFERROR(INDEX(_角色基线!$B$2:$B$100,MATCH($B845,_角色基线!$A$2:$A$100,0)),"")</f>
        <v>塔拉夏</v>
      </c>
      <c r="N845" t="str">
        <f>IFERROR(INDEX(_角色基线!$C$2:$C$100,MATCH($B845,_角色基线!$A$2:$A$100,0)),"")</f>
        <v>Tank</v>
      </c>
      <c r="O845">
        <f>IFERROR(INDEX(_怪物基线!$B$2:$B$501,MATCH(INT($L845),_怪物基线!$A$2:$A$501,0)),"")</f>
        <v>1156931</v>
      </c>
      <c r="P845">
        <f>IFERROR(INDEX(_怪物基线!$C$2:$C$501,MATCH(INT($L845),_怪物基线!$A$2:$A$501,0)),"")</f>
        <v>84579</v>
      </c>
      <c r="Q845">
        <f>IFERROR(INDEX(_怪物基线!$D$2:$D$501,MATCH(INT($L845),_怪物基线!$A$2:$A$501,0)),"")</f>
        <v>48385</v>
      </c>
      <c r="R845">
        <f>参数!$B$10</f>
        <v>4</v>
      </c>
      <c r="S845">
        <f>参数!$C$10</f>
        <v>1.2</v>
      </c>
      <c r="T845">
        <f>参数!$D$10</f>
        <v>1</v>
      </c>
      <c r="U845">
        <f t="shared" si="104"/>
        <v>4627724</v>
      </c>
      <c r="V845">
        <f t="shared" si="105"/>
        <v>101494.8</v>
      </c>
      <c r="W845">
        <f t="shared" si="106"/>
        <v>48385</v>
      </c>
      <c r="X845">
        <f>IFERROR(INDEX(参数!$B$5:$B$7,MATCH($N845,参数!$A$5:$A$7,0)),"")</f>
        <v>1.5</v>
      </c>
      <c r="Y845">
        <f>IFERROR(INDEX(参数!$C$5:$C$7,MATCH($N845,参数!$A$5:$A$7,0)),"")</f>
        <v>1</v>
      </c>
      <c r="Z845">
        <f>IFERROR(INDEX(参数!$D$5:$D$7,MATCH($N845,参数!$A$5:$A$7,0)),"")</f>
        <v>1.5</v>
      </c>
      <c r="AA845">
        <f>IFERROR(INDEX(楼层配置!$E$5:$E$204,MATCH($K845,楼层配置!$B$5:$B$204,0)),1)</f>
        <v>1.12582067235919</v>
      </c>
      <c r="AB845">
        <f>IFERROR(INDEX(楼层配置!$F$5:$F$204,MATCH($K845,楼层配置!$B$5:$B$204,0)),1)</f>
        <v>0.729834891319568</v>
      </c>
      <c r="AC845">
        <f>IFERROR(INDEX(楼层配置!$G$5:$G$204,MATCH($K845,楼层配置!$B$5:$B$204,0)),1)</f>
        <v>1</v>
      </c>
      <c r="AD845" t="str">
        <f t="shared" si="107"/>
        <v/>
      </c>
      <c r="AE845" t="str">
        <f t="shared" si="108"/>
        <v/>
      </c>
      <c r="AF845" t="str">
        <f t="shared" si="109"/>
        <v/>
      </c>
      <c r="AG845" t="str">
        <f t="shared" si="110"/>
        <v>有效</v>
      </c>
      <c r="AH845">
        <f t="shared" si="111"/>
        <v>31259924</v>
      </c>
    </row>
    <row r="846" spans="1:34">
      <c r="A846">
        <v>842</v>
      </c>
      <c r="B846">
        <v>1005</v>
      </c>
      <c r="C846">
        <v>60</v>
      </c>
      <c r="D846">
        <f>IFERROR(ROUND($U846*$X846*$AA846*参数!$B$13,0),"")</f>
        <v>5209987</v>
      </c>
      <c r="E846">
        <f>IFERROR(ROUND($V846*$Y846*$AB846*参数!$C$13,0),"")</f>
        <v>88889</v>
      </c>
      <c r="F846">
        <f>IFERROR(ROUND($W846*$Z846*$AC846*参数!$D$13,0),"")</f>
        <v>48385</v>
      </c>
      <c r="J846">
        <v>169</v>
      </c>
      <c r="K846">
        <v>169</v>
      </c>
      <c r="L846">
        <f>IFERROR(INDEX(楼层配置!$D$5:$D$204,MATCH($K846,楼层配置!$B$5:$B$204,0)),"")</f>
        <v>404</v>
      </c>
      <c r="M846" t="str">
        <f>IFERROR(INDEX(_角色基线!$B$2:$B$100,MATCH($B846,_角色基线!$A$2:$A$100,0)),"")</f>
        <v>陈单单</v>
      </c>
      <c r="N846" t="str">
        <f>IFERROR(INDEX(_角色基线!$C$2:$C$100,MATCH($B846,_角色基线!$A$2:$A$100,0)),"")</f>
        <v>DPS</v>
      </c>
      <c r="O846">
        <f>IFERROR(INDEX(_怪物基线!$B$2:$B$501,MATCH(INT($L846),_怪物基线!$A$2:$A$501,0)),"")</f>
        <v>1156931</v>
      </c>
      <c r="P846">
        <f>IFERROR(INDEX(_怪物基线!$C$2:$C$501,MATCH(INT($L846),_怪物基线!$A$2:$A$501,0)),"")</f>
        <v>84579</v>
      </c>
      <c r="Q846">
        <f>IFERROR(INDEX(_怪物基线!$D$2:$D$501,MATCH(INT($L846),_怪物基线!$A$2:$A$501,0)),"")</f>
        <v>48385</v>
      </c>
      <c r="R846">
        <f>参数!$B$10</f>
        <v>4</v>
      </c>
      <c r="S846">
        <f>参数!$C$10</f>
        <v>1.2</v>
      </c>
      <c r="T846">
        <f>参数!$D$10</f>
        <v>1</v>
      </c>
      <c r="U846">
        <f t="shared" si="104"/>
        <v>4627724</v>
      </c>
      <c r="V846">
        <f t="shared" si="105"/>
        <v>101494.8</v>
      </c>
      <c r="W846">
        <f t="shared" si="106"/>
        <v>48385</v>
      </c>
      <c r="X846">
        <f>IFERROR(INDEX(参数!$B$5:$B$7,MATCH($N846,参数!$A$5:$A$7,0)),"")</f>
        <v>1</v>
      </c>
      <c r="Y846">
        <f>IFERROR(INDEX(参数!$C$5:$C$7,MATCH($N846,参数!$A$5:$A$7,0)),"")</f>
        <v>1.2</v>
      </c>
      <c r="Z846">
        <f>IFERROR(INDEX(参数!$D$5:$D$7,MATCH($N846,参数!$A$5:$A$7,0)),"")</f>
        <v>1</v>
      </c>
      <c r="AA846">
        <f>IFERROR(INDEX(楼层配置!$E$5:$E$204,MATCH($K846,楼层配置!$B$5:$B$204,0)),1)</f>
        <v>1.12582067235919</v>
      </c>
      <c r="AB846">
        <f>IFERROR(INDEX(楼层配置!$F$5:$F$204,MATCH($K846,楼层配置!$B$5:$B$204,0)),1)</f>
        <v>0.729834891319568</v>
      </c>
      <c r="AC846">
        <f>IFERROR(INDEX(楼层配置!$G$5:$G$204,MATCH($K846,楼层配置!$B$5:$B$204,0)),1)</f>
        <v>1</v>
      </c>
      <c r="AD846" t="str">
        <f t="shared" si="107"/>
        <v/>
      </c>
      <c r="AE846" t="str">
        <f t="shared" si="108"/>
        <v/>
      </c>
      <c r="AF846" t="str">
        <f t="shared" si="109"/>
        <v/>
      </c>
      <c r="AG846" t="str">
        <f t="shared" si="110"/>
        <v>有效</v>
      </c>
      <c r="AH846">
        <f t="shared" si="111"/>
        <v>15713537.8747917</v>
      </c>
    </row>
    <row r="847" spans="1:34">
      <c r="A847">
        <v>843</v>
      </c>
      <c r="B847">
        <v>1005</v>
      </c>
      <c r="C847">
        <v>60</v>
      </c>
      <c r="D847">
        <f>IFERROR(ROUND($U847*$X847*$AA847*参数!$B$13,0),"")</f>
        <v>5209987</v>
      </c>
      <c r="E847">
        <f>IFERROR(ROUND($V847*$Y847*$AB847*参数!$C$13,0),"")</f>
        <v>88889</v>
      </c>
      <c r="F847">
        <f>IFERROR(ROUND($W847*$Z847*$AC847*参数!$D$13,0),"")</f>
        <v>48385</v>
      </c>
      <c r="J847">
        <v>169</v>
      </c>
      <c r="K847">
        <v>169</v>
      </c>
      <c r="L847">
        <f>IFERROR(INDEX(楼层配置!$D$5:$D$204,MATCH($K847,楼层配置!$B$5:$B$204,0)),"")</f>
        <v>404</v>
      </c>
      <c r="M847" t="str">
        <f>IFERROR(INDEX(_角色基线!$B$2:$B$100,MATCH($B847,_角色基线!$A$2:$A$100,0)),"")</f>
        <v>陈单单</v>
      </c>
      <c r="N847" t="str">
        <f>IFERROR(INDEX(_角色基线!$C$2:$C$100,MATCH($B847,_角色基线!$A$2:$A$100,0)),"")</f>
        <v>DPS</v>
      </c>
      <c r="O847">
        <f>IFERROR(INDEX(_怪物基线!$B$2:$B$501,MATCH(INT($L847),_怪物基线!$A$2:$A$501,0)),"")</f>
        <v>1156931</v>
      </c>
      <c r="P847">
        <f>IFERROR(INDEX(_怪物基线!$C$2:$C$501,MATCH(INT($L847),_怪物基线!$A$2:$A$501,0)),"")</f>
        <v>84579</v>
      </c>
      <c r="Q847">
        <f>IFERROR(INDEX(_怪物基线!$D$2:$D$501,MATCH(INT($L847),_怪物基线!$A$2:$A$501,0)),"")</f>
        <v>48385</v>
      </c>
      <c r="R847">
        <f>参数!$B$10</f>
        <v>4</v>
      </c>
      <c r="S847">
        <f>参数!$C$10</f>
        <v>1.2</v>
      </c>
      <c r="T847">
        <f>参数!$D$10</f>
        <v>1</v>
      </c>
      <c r="U847">
        <f t="shared" si="104"/>
        <v>4627724</v>
      </c>
      <c r="V847">
        <f t="shared" si="105"/>
        <v>101494.8</v>
      </c>
      <c r="W847">
        <f t="shared" si="106"/>
        <v>48385</v>
      </c>
      <c r="X847">
        <f>IFERROR(INDEX(参数!$B$5:$B$7,MATCH($N847,参数!$A$5:$A$7,0)),"")</f>
        <v>1</v>
      </c>
      <c r="Y847">
        <f>IFERROR(INDEX(参数!$C$5:$C$7,MATCH($N847,参数!$A$5:$A$7,0)),"")</f>
        <v>1.2</v>
      </c>
      <c r="Z847">
        <f>IFERROR(INDEX(参数!$D$5:$D$7,MATCH($N847,参数!$A$5:$A$7,0)),"")</f>
        <v>1</v>
      </c>
      <c r="AA847">
        <f>IFERROR(INDEX(楼层配置!$E$5:$E$204,MATCH($K847,楼层配置!$B$5:$B$204,0)),1)</f>
        <v>1.12582067235919</v>
      </c>
      <c r="AB847">
        <f>IFERROR(INDEX(楼层配置!$F$5:$F$204,MATCH($K847,楼层配置!$B$5:$B$204,0)),1)</f>
        <v>0.729834891319568</v>
      </c>
      <c r="AC847">
        <f>IFERROR(INDEX(楼层配置!$G$5:$G$204,MATCH($K847,楼层配置!$B$5:$B$204,0)),1)</f>
        <v>1</v>
      </c>
      <c r="AD847" t="str">
        <f t="shared" si="107"/>
        <v/>
      </c>
      <c r="AE847" t="str">
        <f t="shared" si="108"/>
        <v/>
      </c>
      <c r="AF847" t="str">
        <f t="shared" si="109"/>
        <v/>
      </c>
      <c r="AG847" t="str">
        <f t="shared" si="110"/>
        <v>有效</v>
      </c>
      <c r="AH847">
        <f t="shared" si="111"/>
        <v>15713537.8747917</v>
      </c>
    </row>
    <row r="848" spans="1:34">
      <c r="A848">
        <v>844</v>
      </c>
      <c r="B848">
        <v>1005</v>
      </c>
      <c r="C848">
        <v>60</v>
      </c>
      <c r="D848">
        <f>IFERROR(ROUND($U848*$X848*$AA848*参数!$B$13,0),"")</f>
        <v>5209987</v>
      </c>
      <c r="E848">
        <f>IFERROR(ROUND($V848*$Y848*$AB848*参数!$C$13,0),"")</f>
        <v>88889</v>
      </c>
      <c r="F848">
        <f>IFERROR(ROUND($W848*$Z848*$AC848*参数!$D$13,0),"")</f>
        <v>48385</v>
      </c>
      <c r="J848">
        <v>169</v>
      </c>
      <c r="K848">
        <v>169</v>
      </c>
      <c r="L848">
        <f>IFERROR(INDEX(楼层配置!$D$5:$D$204,MATCH($K848,楼层配置!$B$5:$B$204,0)),"")</f>
        <v>404</v>
      </c>
      <c r="M848" t="str">
        <f>IFERROR(INDEX(_角色基线!$B$2:$B$100,MATCH($B848,_角色基线!$A$2:$A$100,0)),"")</f>
        <v>陈单单</v>
      </c>
      <c r="N848" t="str">
        <f>IFERROR(INDEX(_角色基线!$C$2:$C$100,MATCH($B848,_角色基线!$A$2:$A$100,0)),"")</f>
        <v>DPS</v>
      </c>
      <c r="O848">
        <f>IFERROR(INDEX(_怪物基线!$B$2:$B$501,MATCH(INT($L848),_怪物基线!$A$2:$A$501,0)),"")</f>
        <v>1156931</v>
      </c>
      <c r="P848">
        <f>IFERROR(INDEX(_怪物基线!$C$2:$C$501,MATCH(INT($L848),_怪物基线!$A$2:$A$501,0)),"")</f>
        <v>84579</v>
      </c>
      <c r="Q848">
        <f>IFERROR(INDEX(_怪物基线!$D$2:$D$501,MATCH(INT($L848),_怪物基线!$A$2:$A$501,0)),"")</f>
        <v>48385</v>
      </c>
      <c r="R848">
        <f>参数!$B$10</f>
        <v>4</v>
      </c>
      <c r="S848">
        <f>参数!$C$10</f>
        <v>1.2</v>
      </c>
      <c r="T848">
        <f>参数!$D$10</f>
        <v>1</v>
      </c>
      <c r="U848">
        <f t="shared" si="104"/>
        <v>4627724</v>
      </c>
      <c r="V848">
        <f t="shared" si="105"/>
        <v>101494.8</v>
      </c>
      <c r="W848">
        <f t="shared" si="106"/>
        <v>48385</v>
      </c>
      <c r="X848">
        <f>IFERROR(INDEX(参数!$B$5:$B$7,MATCH($N848,参数!$A$5:$A$7,0)),"")</f>
        <v>1</v>
      </c>
      <c r="Y848">
        <f>IFERROR(INDEX(参数!$C$5:$C$7,MATCH($N848,参数!$A$5:$A$7,0)),"")</f>
        <v>1.2</v>
      </c>
      <c r="Z848">
        <f>IFERROR(INDEX(参数!$D$5:$D$7,MATCH($N848,参数!$A$5:$A$7,0)),"")</f>
        <v>1</v>
      </c>
      <c r="AA848">
        <f>IFERROR(INDEX(楼层配置!$E$5:$E$204,MATCH($K848,楼层配置!$B$5:$B$204,0)),1)</f>
        <v>1.12582067235919</v>
      </c>
      <c r="AB848">
        <f>IFERROR(INDEX(楼层配置!$F$5:$F$204,MATCH($K848,楼层配置!$B$5:$B$204,0)),1)</f>
        <v>0.729834891319568</v>
      </c>
      <c r="AC848">
        <f>IFERROR(INDEX(楼层配置!$G$5:$G$204,MATCH($K848,楼层配置!$B$5:$B$204,0)),1)</f>
        <v>1</v>
      </c>
      <c r="AD848" t="str">
        <f t="shared" si="107"/>
        <v/>
      </c>
      <c r="AE848" t="str">
        <f t="shared" si="108"/>
        <v/>
      </c>
      <c r="AF848" t="str">
        <f t="shared" si="109"/>
        <v/>
      </c>
      <c r="AG848" t="str">
        <f t="shared" si="110"/>
        <v>有效</v>
      </c>
      <c r="AH848">
        <f t="shared" si="111"/>
        <v>15713537.8747917</v>
      </c>
    </row>
    <row r="849" spans="1:34">
      <c r="A849">
        <v>845</v>
      </c>
      <c r="B849">
        <v>1029</v>
      </c>
      <c r="C849">
        <v>60</v>
      </c>
      <c r="D849">
        <f>IFERROR(ROUND($U849*$X849*$AA849*参数!$B$13,0),"")</f>
        <v>6512484</v>
      </c>
      <c r="E849">
        <f>IFERROR(ROUND($V849*$Y849*$AB849*参数!$C$13,0),"")</f>
        <v>74074</v>
      </c>
      <c r="F849">
        <f>IFERROR(ROUND($W849*$Z849*$AC849*参数!$D$13,0),"")</f>
        <v>60481</v>
      </c>
      <c r="J849">
        <v>169</v>
      </c>
      <c r="K849">
        <v>169</v>
      </c>
      <c r="L849">
        <f>IFERROR(INDEX(楼层配置!$D$5:$D$204,MATCH($K849,楼层配置!$B$5:$B$204,0)),"")</f>
        <v>404</v>
      </c>
      <c r="M849" t="str">
        <f>IFERROR(INDEX(_角色基线!$B$2:$B$100,MATCH($B849,_角色基线!$A$2:$A$100,0)),"")</f>
        <v>凯兰</v>
      </c>
      <c r="N849" t="str">
        <f>IFERROR(INDEX(_角色基线!$C$2:$C$100,MATCH($B849,_角色基线!$A$2:$A$100,0)),"")</f>
        <v>Support</v>
      </c>
      <c r="O849">
        <f>IFERROR(INDEX(_怪物基线!$B$2:$B$501,MATCH(INT($L849),_怪物基线!$A$2:$A$501,0)),"")</f>
        <v>1156931</v>
      </c>
      <c r="P849">
        <f>IFERROR(INDEX(_怪物基线!$C$2:$C$501,MATCH(INT($L849),_怪物基线!$A$2:$A$501,0)),"")</f>
        <v>84579</v>
      </c>
      <c r="Q849">
        <f>IFERROR(INDEX(_怪物基线!$D$2:$D$501,MATCH(INT($L849),_怪物基线!$A$2:$A$501,0)),"")</f>
        <v>48385</v>
      </c>
      <c r="R849">
        <f>参数!$B$10</f>
        <v>4</v>
      </c>
      <c r="S849">
        <f>参数!$C$10</f>
        <v>1.2</v>
      </c>
      <c r="T849">
        <f>参数!$D$10</f>
        <v>1</v>
      </c>
      <c r="U849">
        <f t="shared" si="104"/>
        <v>4627724</v>
      </c>
      <c r="V849">
        <f t="shared" si="105"/>
        <v>101494.8</v>
      </c>
      <c r="W849">
        <f t="shared" si="106"/>
        <v>48385</v>
      </c>
      <c r="X849">
        <f>IFERROR(INDEX(参数!$B$5:$B$7,MATCH($N849,参数!$A$5:$A$7,0)),"")</f>
        <v>1.25</v>
      </c>
      <c r="Y849">
        <f>IFERROR(INDEX(参数!$C$5:$C$7,MATCH($N849,参数!$A$5:$A$7,0)),"")</f>
        <v>1</v>
      </c>
      <c r="Z849">
        <f>IFERROR(INDEX(参数!$D$5:$D$7,MATCH($N849,参数!$A$5:$A$7,0)),"")</f>
        <v>1.25</v>
      </c>
      <c r="AA849">
        <f>IFERROR(INDEX(楼层配置!$E$5:$E$204,MATCH($K849,楼层配置!$B$5:$B$204,0)),1)</f>
        <v>1.12582067235919</v>
      </c>
      <c r="AB849">
        <f>IFERROR(INDEX(楼层配置!$F$5:$F$204,MATCH($K849,楼层配置!$B$5:$B$204,0)),1)</f>
        <v>0.729834891319568</v>
      </c>
      <c r="AC849">
        <f>IFERROR(INDEX(楼层配置!$G$5:$G$204,MATCH($K849,楼层配置!$B$5:$B$204,0)),1)</f>
        <v>1</v>
      </c>
      <c r="AD849" t="str">
        <f t="shared" si="107"/>
        <v/>
      </c>
      <c r="AE849" t="str">
        <f t="shared" si="108"/>
        <v/>
      </c>
      <c r="AF849" t="str">
        <f t="shared" si="109"/>
        <v/>
      </c>
      <c r="AG849" t="str">
        <f t="shared" si="110"/>
        <v>有效</v>
      </c>
      <c r="AH849">
        <f t="shared" si="111"/>
        <v>22924215.0335</v>
      </c>
    </row>
    <row r="850" spans="1:34">
      <c r="A850">
        <v>846</v>
      </c>
      <c r="B850">
        <v>1003</v>
      </c>
      <c r="C850">
        <v>60</v>
      </c>
      <c r="D850">
        <f>IFERROR(ROUND($U850*$X850*$AA850*参数!$B$13,0),"")</f>
        <v>7942306</v>
      </c>
      <c r="E850">
        <f>IFERROR(ROUND($V850*$Y850*$AB850*参数!$C$13,0),"")</f>
        <v>75136</v>
      </c>
      <c r="F850">
        <f>IFERROR(ROUND($W850*$Z850*$AC850*参数!$D$13,0),"")</f>
        <v>73076</v>
      </c>
      <c r="J850">
        <v>170</v>
      </c>
      <c r="K850">
        <v>170</v>
      </c>
      <c r="L850">
        <f>IFERROR(INDEX(楼层配置!$D$5:$D$204,MATCH($K850,楼层配置!$B$5:$B$204,0)),"")</f>
        <v>406</v>
      </c>
      <c r="M850" t="str">
        <f>IFERROR(INDEX(_角色基线!$B$2:$B$100,MATCH($B850,_角色基线!$A$2:$A$100,0)),"")</f>
        <v>塔拉夏</v>
      </c>
      <c r="N850" t="str">
        <f>IFERROR(INDEX(_角色基线!$C$2:$C$100,MATCH($B850,_角色基线!$A$2:$A$100,0)),"")</f>
        <v>Tank</v>
      </c>
      <c r="O850">
        <f>IFERROR(INDEX(_怪物基线!$B$2:$B$501,MATCH(INT($L850),_怪物基线!$A$2:$A$501,0)),"")</f>
        <v>1174846</v>
      </c>
      <c r="P850">
        <f>IFERROR(INDEX(_怪物基线!$C$2:$C$501,MATCH(INT($L850),_怪物基线!$A$2:$A$501,0)),"")</f>
        <v>85628</v>
      </c>
      <c r="Q850">
        <f>IFERROR(INDEX(_怪物基线!$D$2:$D$501,MATCH(INT($L850),_怪物基线!$A$2:$A$501,0)),"")</f>
        <v>48717</v>
      </c>
      <c r="R850">
        <f>参数!$B$10</f>
        <v>4</v>
      </c>
      <c r="S850">
        <f>参数!$C$10</f>
        <v>1.2</v>
      </c>
      <c r="T850">
        <f>参数!$D$10</f>
        <v>1</v>
      </c>
      <c r="U850">
        <f t="shared" si="104"/>
        <v>4699384</v>
      </c>
      <c r="V850">
        <f t="shared" si="105"/>
        <v>102753.6</v>
      </c>
      <c r="W850">
        <f t="shared" si="106"/>
        <v>48717</v>
      </c>
      <c r="X850">
        <f>IFERROR(INDEX(参数!$B$5:$B$7,MATCH($N850,参数!$A$5:$A$7,0)),"")</f>
        <v>1.5</v>
      </c>
      <c r="Y850">
        <f>IFERROR(INDEX(参数!$C$5:$C$7,MATCH($N850,参数!$A$5:$A$7,0)),"")</f>
        <v>1</v>
      </c>
      <c r="Z850">
        <f>IFERROR(INDEX(参数!$D$5:$D$7,MATCH($N850,参数!$A$5:$A$7,0)),"")</f>
        <v>1.5</v>
      </c>
      <c r="AA850">
        <f>IFERROR(INDEX(楼层配置!$E$5:$E$204,MATCH($K850,楼层配置!$B$5:$B$204,0)),1)</f>
        <v>1.12671592412141</v>
      </c>
      <c r="AB850">
        <f>IFERROR(INDEX(楼层配置!$F$5:$F$204,MATCH($K850,楼层配置!$B$5:$B$204,0)),1)</f>
        <v>0.731229508674054</v>
      </c>
      <c r="AC850">
        <f>IFERROR(INDEX(楼层配置!$G$5:$G$204,MATCH($K850,楼层配置!$B$5:$B$204,0)),1)</f>
        <v>1</v>
      </c>
      <c r="AD850" t="str">
        <f t="shared" si="107"/>
        <v/>
      </c>
      <c r="AE850" t="str">
        <f t="shared" si="108"/>
        <v/>
      </c>
      <c r="AF850" t="str">
        <f t="shared" si="109"/>
        <v/>
      </c>
      <c r="AG850" t="str">
        <f t="shared" si="110"/>
        <v>有效</v>
      </c>
      <c r="AH850">
        <f t="shared" si="111"/>
        <v>31769224</v>
      </c>
    </row>
    <row r="851" spans="1:34">
      <c r="A851">
        <v>847</v>
      </c>
      <c r="B851">
        <v>1005</v>
      </c>
      <c r="C851">
        <v>60</v>
      </c>
      <c r="D851">
        <f>IFERROR(ROUND($U851*$X851*$AA851*参数!$B$13,0),"")</f>
        <v>5294871</v>
      </c>
      <c r="E851">
        <f>IFERROR(ROUND($V851*$Y851*$AB851*参数!$C$13,0),"")</f>
        <v>90164</v>
      </c>
      <c r="F851">
        <f>IFERROR(ROUND($W851*$Z851*$AC851*参数!$D$13,0),"")</f>
        <v>48717</v>
      </c>
      <c r="J851">
        <v>170</v>
      </c>
      <c r="K851">
        <v>170</v>
      </c>
      <c r="L851">
        <f>IFERROR(INDEX(楼层配置!$D$5:$D$204,MATCH($K851,楼层配置!$B$5:$B$204,0)),"")</f>
        <v>406</v>
      </c>
      <c r="M851" t="str">
        <f>IFERROR(INDEX(_角色基线!$B$2:$B$100,MATCH($B851,_角色基线!$A$2:$A$100,0)),"")</f>
        <v>陈单单</v>
      </c>
      <c r="N851" t="str">
        <f>IFERROR(INDEX(_角色基线!$C$2:$C$100,MATCH($B851,_角色基线!$A$2:$A$100,0)),"")</f>
        <v>DPS</v>
      </c>
      <c r="O851">
        <f>IFERROR(INDEX(_怪物基线!$B$2:$B$501,MATCH(INT($L851),_怪物基线!$A$2:$A$501,0)),"")</f>
        <v>1174846</v>
      </c>
      <c r="P851">
        <f>IFERROR(INDEX(_怪物基线!$C$2:$C$501,MATCH(INT($L851),_怪物基线!$A$2:$A$501,0)),"")</f>
        <v>85628</v>
      </c>
      <c r="Q851">
        <f>IFERROR(INDEX(_怪物基线!$D$2:$D$501,MATCH(INT($L851),_怪物基线!$A$2:$A$501,0)),"")</f>
        <v>48717</v>
      </c>
      <c r="R851">
        <f>参数!$B$10</f>
        <v>4</v>
      </c>
      <c r="S851">
        <f>参数!$C$10</f>
        <v>1.2</v>
      </c>
      <c r="T851">
        <f>参数!$D$10</f>
        <v>1</v>
      </c>
      <c r="U851">
        <f t="shared" si="104"/>
        <v>4699384</v>
      </c>
      <c r="V851">
        <f t="shared" si="105"/>
        <v>102753.6</v>
      </c>
      <c r="W851">
        <f t="shared" si="106"/>
        <v>48717</v>
      </c>
      <c r="X851">
        <f>IFERROR(INDEX(参数!$B$5:$B$7,MATCH($N851,参数!$A$5:$A$7,0)),"")</f>
        <v>1</v>
      </c>
      <c r="Y851">
        <f>IFERROR(INDEX(参数!$C$5:$C$7,MATCH($N851,参数!$A$5:$A$7,0)),"")</f>
        <v>1.2</v>
      </c>
      <c r="Z851">
        <f>IFERROR(INDEX(参数!$D$5:$D$7,MATCH($N851,参数!$A$5:$A$7,0)),"")</f>
        <v>1</v>
      </c>
      <c r="AA851">
        <f>IFERROR(INDEX(楼层配置!$E$5:$E$204,MATCH($K851,楼层配置!$B$5:$B$204,0)),1)</f>
        <v>1.12671592412141</v>
      </c>
      <c r="AB851">
        <f>IFERROR(INDEX(楼层配置!$F$5:$F$204,MATCH($K851,楼层配置!$B$5:$B$204,0)),1)</f>
        <v>0.731229508674054</v>
      </c>
      <c r="AC851">
        <f>IFERROR(INDEX(楼层配置!$G$5:$G$204,MATCH($K851,楼层配置!$B$5:$B$204,0)),1)</f>
        <v>1</v>
      </c>
      <c r="AD851" t="str">
        <f t="shared" si="107"/>
        <v/>
      </c>
      <c r="AE851" t="str">
        <f t="shared" si="108"/>
        <v/>
      </c>
      <c r="AF851" t="str">
        <f t="shared" si="109"/>
        <v/>
      </c>
      <c r="AG851" t="str">
        <f t="shared" si="110"/>
        <v>有效</v>
      </c>
      <c r="AH851">
        <f t="shared" si="111"/>
        <v>16042797.271125</v>
      </c>
    </row>
    <row r="852" spans="1:34">
      <c r="A852">
        <v>848</v>
      </c>
      <c r="B852">
        <v>1005</v>
      </c>
      <c r="C852">
        <v>60</v>
      </c>
      <c r="D852">
        <f>IFERROR(ROUND($U852*$X852*$AA852*参数!$B$13,0),"")</f>
        <v>5294871</v>
      </c>
      <c r="E852">
        <f>IFERROR(ROUND($V852*$Y852*$AB852*参数!$C$13,0),"")</f>
        <v>90164</v>
      </c>
      <c r="F852">
        <f>IFERROR(ROUND($W852*$Z852*$AC852*参数!$D$13,0),"")</f>
        <v>48717</v>
      </c>
      <c r="J852">
        <v>170</v>
      </c>
      <c r="K852">
        <v>170</v>
      </c>
      <c r="L852">
        <f>IFERROR(INDEX(楼层配置!$D$5:$D$204,MATCH($K852,楼层配置!$B$5:$B$204,0)),"")</f>
        <v>406</v>
      </c>
      <c r="M852" t="str">
        <f>IFERROR(INDEX(_角色基线!$B$2:$B$100,MATCH($B852,_角色基线!$A$2:$A$100,0)),"")</f>
        <v>陈单单</v>
      </c>
      <c r="N852" t="str">
        <f>IFERROR(INDEX(_角色基线!$C$2:$C$100,MATCH($B852,_角色基线!$A$2:$A$100,0)),"")</f>
        <v>DPS</v>
      </c>
      <c r="O852">
        <f>IFERROR(INDEX(_怪物基线!$B$2:$B$501,MATCH(INT($L852),_怪物基线!$A$2:$A$501,0)),"")</f>
        <v>1174846</v>
      </c>
      <c r="P852">
        <f>IFERROR(INDEX(_怪物基线!$C$2:$C$501,MATCH(INT($L852),_怪物基线!$A$2:$A$501,0)),"")</f>
        <v>85628</v>
      </c>
      <c r="Q852">
        <f>IFERROR(INDEX(_怪物基线!$D$2:$D$501,MATCH(INT($L852),_怪物基线!$A$2:$A$501,0)),"")</f>
        <v>48717</v>
      </c>
      <c r="R852">
        <f>参数!$B$10</f>
        <v>4</v>
      </c>
      <c r="S852">
        <f>参数!$C$10</f>
        <v>1.2</v>
      </c>
      <c r="T852">
        <f>参数!$D$10</f>
        <v>1</v>
      </c>
      <c r="U852">
        <f t="shared" si="104"/>
        <v>4699384</v>
      </c>
      <c r="V852">
        <f t="shared" si="105"/>
        <v>102753.6</v>
      </c>
      <c r="W852">
        <f t="shared" si="106"/>
        <v>48717</v>
      </c>
      <c r="X852">
        <f>IFERROR(INDEX(参数!$B$5:$B$7,MATCH($N852,参数!$A$5:$A$7,0)),"")</f>
        <v>1</v>
      </c>
      <c r="Y852">
        <f>IFERROR(INDEX(参数!$C$5:$C$7,MATCH($N852,参数!$A$5:$A$7,0)),"")</f>
        <v>1.2</v>
      </c>
      <c r="Z852">
        <f>IFERROR(INDEX(参数!$D$5:$D$7,MATCH($N852,参数!$A$5:$A$7,0)),"")</f>
        <v>1</v>
      </c>
      <c r="AA852">
        <f>IFERROR(INDEX(楼层配置!$E$5:$E$204,MATCH($K852,楼层配置!$B$5:$B$204,0)),1)</f>
        <v>1.12671592412141</v>
      </c>
      <c r="AB852">
        <f>IFERROR(INDEX(楼层配置!$F$5:$F$204,MATCH($K852,楼层配置!$B$5:$B$204,0)),1)</f>
        <v>0.731229508674054</v>
      </c>
      <c r="AC852">
        <f>IFERROR(INDEX(楼层配置!$G$5:$G$204,MATCH($K852,楼层配置!$B$5:$B$204,0)),1)</f>
        <v>1</v>
      </c>
      <c r="AD852" t="str">
        <f t="shared" si="107"/>
        <v/>
      </c>
      <c r="AE852" t="str">
        <f t="shared" si="108"/>
        <v/>
      </c>
      <c r="AF852" t="str">
        <f t="shared" si="109"/>
        <v/>
      </c>
      <c r="AG852" t="str">
        <f t="shared" si="110"/>
        <v>有效</v>
      </c>
      <c r="AH852">
        <f t="shared" si="111"/>
        <v>16042797.271125</v>
      </c>
    </row>
    <row r="853" spans="1:34">
      <c r="A853">
        <v>849</v>
      </c>
      <c r="B853">
        <v>1005</v>
      </c>
      <c r="C853">
        <v>60</v>
      </c>
      <c r="D853">
        <f>IFERROR(ROUND($U853*$X853*$AA853*参数!$B$13,0),"")</f>
        <v>5294871</v>
      </c>
      <c r="E853">
        <f>IFERROR(ROUND($V853*$Y853*$AB853*参数!$C$13,0),"")</f>
        <v>90164</v>
      </c>
      <c r="F853">
        <f>IFERROR(ROUND($W853*$Z853*$AC853*参数!$D$13,0),"")</f>
        <v>48717</v>
      </c>
      <c r="J853">
        <v>170</v>
      </c>
      <c r="K853">
        <v>170</v>
      </c>
      <c r="L853">
        <f>IFERROR(INDEX(楼层配置!$D$5:$D$204,MATCH($K853,楼层配置!$B$5:$B$204,0)),"")</f>
        <v>406</v>
      </c>
      <c r="M853" t="str">
        <f>IFERROR(INDEX(_角色基线!$B$2:$B$100,MATCH($B853,_角色基线!$A$2:$A$100,0)),"")</f>
        <v>陈单单</v>
      </c>
      <c r="N853" t="str">
        <f>IFERROR(INDEX(_角色基线!$C$2:$C$100,MATCH($B853,_角色基线!$A$2:$A$100,0)),"")</f>
        <v>DPS</v>
      </c>
      <c r="O853">
        <f>IFERROR(INDEX(_怪物基线!$B$2:$B$501,MATCH(INT($L853),_怪物基线!$A$2:$A$501,0)),"")</f>
        <v>1174846</v>
      </c>
      <c r="P853">
        <f>IFERROR(INDEX(_怪物基线!$C$2:$C$501,MATCH(INT($L853),_怪物基线!$A$2:$A$501,0)),"")</f>
        <v>85628</v>
      </c>
      <c r="Q853">
        <f>IFERROR(INDEX(_怪物基线!$D$2:$D$501,MATCH(INT($L853),_怪物基线!$A$2:$A$501,0)),"")</f>
        <v>48717</v>
      </c>
      <c r="R853">
        <f>参数!$B$10</f>
        <v>4</v>
      </c>
      <c r="S853">
        <f>参数!$C$10</f>
        <v>1.2</v>
      </c>
      <c r="T853">
        <f>参数!$D$10</f>
        <v>1</v>
      </c>
      <c r="U853">
        <f t="shared" si="104"/>
        <v>4699384</v>
      </c>
      <c r="V853">
        <f t="shared" si="105"/>
        <v>102753.6</v>
      </c>
      <c r="W853">
        <f t="shared" si="106"/>
        <v>48717</v>
      </c>
      <c r="X853">
        <f>IFERROR(INDEX(参数!$B$5:$B$7,MATCH($N853,参数!$A$5:$A$7,0)),"")</f>
        <v>1</v>
      </c>
      <c r="Y853">
        <f>IFERROR(INDEX(参数!$C$5:$C$7,MATCH($N853,参数!$A$5:$A$7,0)),"")</f>
        <v>1.2</v>
      </c>
      <c r="Z853">
        <f>IFERROR(INDEX(参数!$D$5:$D$7,MATCH($N853,参数!$A$5:$A$7,0)),"")</f>
        <v>1</v>
      </c>
      <c r="AA853">
        <f>IFERROR(INDEX(楼层配置!$E$5:$E$204,MATCH($K853,楼层配置!$B$5:$B$204,0)),1)</f>
        <v>1.12671592412141</v>
      </c>
      <c r="AB853">
        <f>IFERROR(INDEX(楼层配置!$F$5:$F$204,MATCH($K853,楼层配置!$B$5:$B$204,0)),1)</f>
        <v>0.731229508674054</v>
      </c>
      <c r="AC853">
        <f>IFERROR(INDEX(楼层配置!$G$5:$G$204,MATCH($K853,楼层配置!$B$5:$B$204,0)),1)</f>
        <v>1</v>
      </c>
      <c r="AD853" t="str">
        <f t="shared" si="107"/>
        <v/>
      </c>
      <c r="AE853" t="str">
        <f t="shared" si="108"/>
        <v/>
      </c>
      <c r="AF853" t="str">
        <f t="shared" si="109"/>
        <v/>
      </c>
      <c r="AG853" t="str">
        <f t="shared" si="110"/>
        <v>有效</v>
      </c>
      <c r="AH853">
        <f t="shared" si="111"/>
        <v>16042797.271125</v>
      </c>
    </row>
    <row r="854" spans="1:34">
      <c r="A854">
        <v>850</v>
      </c>
      <c r="B854">
        <v>1029</v>
      </c>
      <c r="C854">
        <v>60</v>
      </c>
      <c r="D854">
        <f>IFERROR(ROUND($U854*$X854*$AA854*参数!$B$13,0),"")</f>
        <v>6618588</v>
      </c>
      <c r="E854">
        <f>IFERROR(ROUND($V854*$Y854*$AB854*参数!$C$13,0),"")</f>
        <v>75136</v>
      </c>
      <c r="F854">
        <f>IFERROR(ROUND($W854*$Z854*$AC854*参数!$D$13,0),"")</f>
        <v>60896</v>
      </c>
      <c r="J854">
        <v>170</v>
      </c>
      <c r="K854">
        <v>170</v>
      </c>
      <c r="L854">
        <f>IFERROR(INDEX(楼层配置!$D$5:$D$204,MATCH($K854,楼层配置!$B$5:$B$204,0)),"")</f>
        <v>406</v>
      </c>
      <c r="M854" t="str">
        <f>IFERROR(INDEX(_角色基线!$B$2:$B$100,MATCH($B854,_角色基线!$A$2:$A$100,0)),"")</f>
        <v>凯兰</v>
      </c>
      <c r="N854" t="str">
        <f>IFERROR(INDEX(_角色基线!$C$2:$C$100,MATCH($B854,_角色基线!$A$2:$A$100,0)),"")</f>
        <v>Support</v>
      </c>
      <c r="O854">
        <f>IFERROR(INDEX(_怪物基线!$B$2:$B$501,MATCH(INT($L854),_怪物基线!$A$2:$A$501,0)),"")</f>
        <v>1174846</v>
      </c>
      <c r="P854">
        <f>IFERROR(INDEX(_怪物基线!$C$2:$C$501,MATCH(INT($L854),_怪物基线!$A$2:$A$501,0)),"")</f>
        <v>85628</v>
      </c>
      <c r="Q854">
        <f>IFERROR(INDEX(_怪物基线!$D$2:$D$501,MATCH(INT($L854),_怪物基线!$A$2:$A$501,0)),"")</f>
        <v>48717</v>
      </c>
      <c r="R854">
        <f>参数!$B$10</f>
        <v>4</v>
      </c>
      <c r="S854">
        <f>参数!$C$10</f>
        <v>1.2</v>
      </c>
      <c r="T854">
        <f>参数!$D$10</f>
        <v>1</v>
      </c>
      <c r="U854">
        <f t="shared" si="104"/>
        <v>4699384</v>
      </c>
      <c r="V854">
        <f t="shared" si="105"/>
        <v>102753.6</v>
      </c>
      <c r="W854">
        <f t="shared" si="106"/>
        <v>48717</v>
      </c>
      <c r="X854">
        <f>IFERROR(INDEX(参数!$B$5:$B$7,MATCH($N854,参数!$A$5:$A$7,0)),"")</f>
        <v>1.25</v>
      </c>
      <c r="Y854">
        <f>IFERROR(INDEX(参数!$C$5:$C$7,MATCH($N854,参数!$A$5:$A$7,0)),"")</f>
        <v>1</v>
      </c>
      <c r="Z854">
        <f>IFERROR(INDEX(参数!$D$5:$D$7,MATCH($N854,参数!$A$5:$A$7,0)),"")</f>
        <v>1.25</v>
      </c>
      <c r="AA854">
        <f>IFERROR(INDEX(楼层配置!$E$5:$E$204,MATCH($K854,楼层配置!$B$5:$B$204,0)),1)</f>
        <v>1.12671592412141</v>
      </c>
      <c r="AB854">
        <f>IFERROR(INDEX(楼层配置!$F$5:$F$204,MATCH($K854,楼层配置!$B$5:$B$204,0)),1)</f>
        <v>0.731229508674054</v>
      </c>
      <c r="AC854">
        <f>IFERROR(INDEX(楼层配置!$G$5:$G$204,MATCH($K854,楼层配置!$B$5:$B$204,0)),1)</f>
        <v>1</v>
      </c>
      <c r="AD854" t="str">
        <f t="shared" si="107"/>
        <v/>
      </c>
      <c r="AE854" t="str">
        <f t="shared" si="108"/>
        <v/>
      </c>
      <c r="AF854" t="str">
        <f t="shared" si="109"/>
        <v/>
      </c>
      <c r="AG854" t="str">
        <f t="shared" si="110"/>
        <v>有效</v>
      </c>
      <c r="AH854">
        <f t="shared" si="111"/>
        <v>23412151.952</v>
      </c>
    </row>
    <row r="855" spans="1:34">
      <c r="A855">
        <v>851</v>
      </c>
      <c r="B855">
        <v>1003</v>
      </c>
      <c r="C855">
        <v>60</v>
      </c>
      <c r="D855">
        <f>IFERROR(ROUND($U855*$X855*$AA855*参数!$B$13,0),"")</f>
        <v>8120290</v>
      </c>
      <c r="E855">
        <f>IFERROR(ROUND($V855*$Y855*$AB855*参数!$C$13,0),"")</f>
        <v>76388</v>
      </c>
      <c r="F855">
        <f>IFERROR(ROUND($W855*$Z855*$AC855*参数!$D$13,0),"")</f>
        <v>73824</v>
      </c>
      <c r="J855">
        <v>171</v>
      </c>
      <c r="K855">
        <v>171</v>
      </c>
      <c r="L855">
        <f>IFERROR(INDEX(楼层配置!$D$5:$D$204,MATCH($K855,楼层配置!$B$5:$B$204,0)),"")</f>
        <v>409</v>
      </c>
      <c r="M855" t="str">
        <f>IFERROR(INDEX(_角色基线!$B$2:$B$100,MATCH($B855,_角色基线!$A$2:$A$100,0)),"")</f>
        <v>塔拉夏</v>
      </c>
      <c r="N855" t="str">
        <f>IFERROR(INDEX(_角色基线!$C$2:$C$100,MATCH($B855,_角色基线!$A$2:$A$100,0)),"")</f>
        <v>Tank</v>
      </c>
      <c r="O855">
        <f>IFERROR(INDEX(_怪物基线!$B$2:$B$501,MATCH(INT($L855),_怪物基线!$A$2:$A$501,0)),"")</f>
        <v>1202129</v>
      </c>
      <c r="P855">
        <f>IFERROR(INDEX(_怪物基线!$C$2:$C$501,MATCH(INT($L855),_怪物基线!$A$2:$A$501,0)),"")</f>
        <v>87221</v>
      </c>
      <c r="Q855">
        <f>IFERROR(INDEX(_怪物基线!$D$2:$D$501,MATCH(INT($L855),_怪物基线!$A$2:$A$501,0)),"")</f>
        <v>49216</v>
      </c>
      <c r="R855">
        <f>参数!$B$10</f>
        <v>4</v>
      </c>
      <c r="S855">
        <f>参数!$C$10</f>
        <v>1.2</v>
      </c>
      <c r="T855">
        <f>参数!$D$10</f>
        <v>1</v>
      </c>
      <c r="U855">
        <f t="shared" si="104"/>
        <v>4808516</v>
      </c>
      <c r="V855">
        <f t="shared" si="105"/>
        <v>104665.2</v>
      </c>
      <c r="W855">
        <f t="shared" si="106"/>
        <v>49216</v>
      </c>
      <c r="X855">
        <f>IFERROR(INDEX(参数!$B$5:$B$7,MATCH($N855,参数!$A$5:$A$7,0)),"")</f>
        <v>1.5</v>
      </c>
      <c r="Y855">
        <f>IFERROR(INDEX(参数!$C$5:$C$7,MATCH($N855,参数!$A$5:$A$7,0)),"")</f>
        <v>1</v>
      </c>
      <c r="Z855">
        <f>IFERROR(INDEX(参数!$D$5:$D$7,MATCH($N855,参数!$A$5:$A$7,0)),"")</f>
        <v>1.5</v>
      </c>
      <c r="AA855">
        <f>IFERROR(INDEX(楼层配置!$E$5:$E$204,MATCH($K855,楼层配置!$B$5:$B$204,0)),1)</f>
        <v>1.12582067235919</v>
      </c>
      <c r="AB855">
        <f>IFERROR(INDEX(楼层配置!$F$5:$F$204,MATCH($K855,楼层配置!$B$5:$B$204,0)),1)</f>
        <v>0.729834891319568</v>
      </c>
      <c r="AC855">
        <f>IFERROR(INDEX(楼层配置!$G$5:$G$204,MATCH($K855,楼层配置!$B$5:$B$204,0)),1)</f>
        <v>1</v>
      </c>
      <c r="AD855" t="str">
        <f t="shared" si="107"/>
        <v/>
      </c>
      <c r="AE855" t="str">
        <f t="shared" si="108"/>
        <v/>
      </c>
      <c r="AF855" t="str">
        <f t="shared" si="109"/>
        <v/>
      </c>
      <c r="AG855" t="str">
        <f t="shared" si="110"/>
        <v>有效</v>
      </c>
      <c r="AH855">
        <f t="shared" si="111"/>
        <v>32481160</v>
      </c>
    </row>
    <row r="856" spans="1:34">
      <c r="A856">
        <v>852</v>
      </c>
      <c r="B856">
        <v>1005</v>
      </c>
      <c r="C856">
        <v>60</v>
      </c>
      <c r="D856">
        <f>IFERROR(ROUND($U856*$X856*$AA856*参数!$B$13,0),"")</f>
        <v>5413527</v>
      </c>
      <c r="E856">
        <f>IFERROR(ROUND($V856*$Y856*$AB856*参数!$C$13,0),"")</f>
        <v>91666</v>
      </c>
      <c r="F856">
        <f>IFERROR(ROUND($W856*$Z856*$AC856*参数!$D$13,0),"")</f>
        <v>49216</v>
      </c>
      <c r="J856">
        <v>171</v>
      </c>
      <c r="K856">
        <v>171</v>
      </c>
      <c r="L856">
        <f>IFERROR(INDEX(楼层配置!$D$5:$D$204,MATCH($K856,楼层配置!$B$5:$B$204,0)),"")</f>
        <v>409</v>
      </c>
      <c r="M856" t="str">
        <f>IFERROR(INDEX(_角色基线!$B$2:$B$100,MATCH($B856,_角色基线!$A$2:$A$100,0)),"")</f>
        <v>陈单单</v>
      </c>
      <c r="N856" t="str">
        <f>IFERROR(INDEX(_角色基线!$C$2:$C$100,MATCH($B856,_角色基线!$A$2:$A$100,0)),"")</f>
        <v>DPS</v>
      </c>
      <c r="O856">
        <f>IFERROR(INDEX(_怪物基线!$B$2:$B$501,MATCH(INT($L856),_怪物基线!$A$2:$A$501,0)),"")</f>
        <v>1202129</v>
      </c>
      <c r="P856">
        <f>IFERROR(INDEX(_怪物基线!$C$2:$C$501,MATCH(INT($L856),_怪物基线!$A$2:$A$501,0)),"")</f>
        <v>87221</v>
      </c>
      <c r="Q856">
        <f>IFERROR(INDEX(_怪物基线!$D$2:$D$501,MATCH(INT($L856),_怪物基线!$A$2:$A$501,0)),"")</f>
        <v>49216</v>
      </c>
      <c r="R856">
        <f>参数!$B$10</f>
        <v>4</v>
      </c>
      <c r="S856">
        <f>参数!$C$10</f>
        <v>1.2</v>
      </c>
      <c r="T856">
        <f>参数!$D$10</f>
        <v>1</v>
      </c>
      <c r="U856">
        <f t="shared" si="104"/>
        <v>4808516</v>
      </c>
      <c r="V856">
        <f t="shared" si="105"/>
        <v>104665.2</v>
      </c>
      <c r="W856">
        <f t="shared" si="106"/>
        <v>49216</v>
      </c>
      <c r="X856">
        <f>IFERROR(INDEX(参数!$B$5:$B$7,MATCH($N856,参数!$A$5:$A$7,0)),"")</f>
        <v>1</v>
      </c>
      <c r="Y856">
        <f>IFERROR(INDEX(参数!$C$5:$C$7,MATCH($N856,参数!$A$5:$A$7,0)),"")</f>
        <v>1.2</v>
      </c>
      <c r="Z856">
        <f>IFERROR(INDEX(参数!$D$5:$D$7,MATCH($N856,参数!$A$5:$A$7,0)),"")</f>
        <v>1</v>
      </c>
      <c r="AA856">
        <f>IFERROR(INDEX(楼层配置!$E$5:$E$204,MATCH($K856,楼层配置!$B$5:$B$204,0)),1)</f>
        <v>1.12582067235919</v>
      </c>
      <c r="AB856">
        <f>IFERROR(INDEX(楼层配置!$F$5:$F$204,MATCH($K856,楼层配置!$B$5:$B$204,0)),1)</f>
        <v>0.729834891319568</v>
      </c>
      <c r="AC856">
        <f>IFERROR(INDEX(楼层配置!$G$5:$G$204,MATCH($K856,楼层配置!$B$5:$B$204,0)),1)</f>
        <v>1</v>
      </c>
      <c r="AD856" t="str">
        <f t="shared" si="107"/>
        <v/>
      </c>
      <c r="AE856" t="str">
        <f t="shared" si="108"/>
        <v/>
      </c>
      <c r="AF856" t="str">
        <f t="shared" si="109"/>
        <v/>
      </c>
      <c r="AG856" t="str">
        <f t="shared" si="110"/>
        <v>有效</v>
      </c>
      <c r="AH856">
        <f t="shared" si="111"/>
        <v>16514866.368</v>
      </c>
    </row>
    <row r="857" spans="1:34">
      <c r="A857">
        <v>853</v>
      </c>
      <c r="B857">
        <v>1005</v>
      </c>
      <c r="C857">
        <v>60</v>
      </c>
      <c r="D857">
        <f>IFERROR(ROUND($U857*$X857*$AA857*参数!$B$13,0),"")</f>
        <v>5413527</v>
      </c>
      <c r="E857">
        <f>IFERROR(ROUND($V857*$Y857*$AB857*参数!$C$13,0),"")</f>
        <v>91666</v>
      </c>
      <c r="F857">
        <f>IFERROR(ROUND($W857*$Z857*$AC857*参数!$D$13,0),"")</f>
        <v>49216</v>
      </c>
      <c r="J857">
        <v>171</v>
      </c>
      <c r="K857">
        <v>171</v>
      </c>
      <c r="L857">
        <f>IFERROR(INDEX(楼层配置!$D$5:$D$204,MATCH($K857,楼层配置!$B$5:$B$204,0)),"")</f>
        <v>409</v>
      </c>
      <c r="M857" t="str">
        <f>IFERROR(INDEX(_角色基线!$B$2:$B$100,MATCH($B857,_角色基线!$A$2:$A$100,0)),"")</f>
        <v>陈单单</v>
      </c>
      <c r="N857" t="str">
        <f>IFERROR(INDEX(_角色基线!$C$2:$C$100,MATCH($B857,_角色基线!$A$2:$A$100,0)),"")</f>
        <v>DPS</v>
      </c>
      <c r="O857">
        <f>IFERROR(INDEX(_怪物基线!$B$2:$B$501,MATCH(INT($L857),_怪物基线!$A$2:$A$501,0)),"")</f>
        <v>1202129</v>
      </c>
      <c r="P857">
        <f>IFERROR(INDEX(_怪物基线!$C$2:$C$501,MATCH(INT($L857),_怪物基线!$A$2:$A$501,0)),"")</f>
        <v>87221</v>
      </c>
      <c r="Q857">
        <f>IFERROR(INDEX(_怪物基线!$D$2:$D$501,MATCH(INT($L857),_怪物基线!$A$2:$A$501,0)),"")</f>
        <v>49216</v>
      </c>
      <c r="R857">
        <f>参数!$B$10</f>
        <v>4</v>
      </c>
      <c r="S857">
        <f>参数!$C$10</f>
        <v>1.2</v>
      </c>
      <c r="T857">
        <f>参数!$D$10</f>
        <v>1</v>
      </c>
      <c r="U857">
        <f t="shared" si="104"/>
        <v>4808516</v>
      </c>
      <c r="V857">
        <f t="shared" si="105"/>
        <v>104665.2</v>
      </c>
      <c r="W857">
        <f t="shared" si="106"/>
        <v>49216</v>
      </c>
      <c r="X857">
        <f>IFERROR(INDEX(参数!$B$5:$B$7,MATCH($N857,参数!$A$5:$A$7,0)),"")</f>
        <v>1</v>
      </c>
      <c r="Y857">
        <f>IFERROR(INDEX(参数!$C$5:$C$7,MATCH($N857,参数!$A$5:$A$7,0)),"")</f>
        <v>1.2</v>
      </c>
      <c r="Z857">
        <f>IFERROR(INDEX(参数!$D$5:$D$7,MATCH($N857,参数!$A$5:$A$7,0)),"")</f>
        <v>1</v>
      </c>
      <c r="AA857">
        <f>IFERROR(INDEX(楼层配置!$E$5:$E$204,MATCH($K857,楼层配置!$B$5:$B$204,0)),1)</f>
        <v>1.12582067235919</v>
      </c>
      <c r="AB857">
        <f>IFERROR(INDEX(楼层配置!$F$5:$F$204,MATCH($K857,楼层配置!$B$5:$B$204,0)),1)</f>
        <v>0.729834891319568</v>
      </c>
      <c r="AC857">
        <f>IFERROR(INDEX(楼层配置!$G$5:$G$204,MATCH($K857,楼层配置!$B$5:$B$204,0)),1)</f>
        <v>1</v>
      </c>
      <c r="AD857" t="str">
        <f t="shared" si="107"/>
        <v/>
      </c>
      <c r="AE857" t="str">
        <f t="shared" si="108"/>
        <v/>
      </c>
      <c r="AF857" t="str">
        <f t="shared" si="109"/>
        <v/>
      </c>
      <c r="AG857" t="str">
        <f t="shared" si="110"/>
        <v>有效</v>
      </c>
      <c r="AH857">
        <f t="shared" si="111"/>
        <v>16514866.368</v>
      </c>
    </row>
    <row r="858" spans="1:34">
      <c r="A858">
        <v>854</v>
      </c>
      <c r="B858">
        <v>1005</v>
      </c>
      <c r="C858">
        <v>60</v>
      </c>
      <c r="D858">
        <f>IFERROR(ROUND($U858*$X858*$AA858*参数!$B$13,0),"")</f>
        <v>5413527</v>
      </c>
      <c r="E858">
        <f>IFERROR(ROUND($V858*$Y858*$AB858*参数!$C$13,0),"")</f>
        <v>91666</v>
      </c>
      <c r="F858">
        <f>IFERROR(ROUND($W858*$Z858*$AC858*参数!$D$13,0),"")</f>
        <v>49216</v>
      </c>
      <c r="J858">
        <v>171</v>
      </c>
      <c r="K858">
        <v>171</v>
      </c>
      <c r="L858">
        <f>IFERROR(INDEX(楼层配置!$D$5:$D$204,MATCH($K858,楼层配置!$B$5:$B$204,0)),"")</f>
        <v>409</v>
      </c>
      <c r="M858" t="str">
        <f>IFERROR(INDEX(_角色基线!$B$2:$B$100,MATCH($B858,_角色基线!$A$2:$A$100,0)),"")</f>
        <v>陈单单</v>
      </c>
      <c r="N858" t="str">
        <f>IFERROR(INDEX(_角色基线!$C$2:$C$100,MATCH($B858,_角色基线!$A$2:$A$100,0)),"")</f>
        <v>DPS</v>
      </c>
      <c r="O858">
        <f>IFERROR(INDEX(_怪物基线!$B$2:$B$501,MATCH(INT($L858),_怪物基线!$A$2:$A$501,0)),"")</f>
        <v>1202129</v>
      </c>
      <c r="P858">
        <f>IFERROR(INDEX(_怪物基线!$C$2:$C$501,MATCH(INT($L858),_怪物基线!$A$2:$A$501,0)),"")</f>
        <v>87221</v>
      </c>
      <c r="Q858">
        <f>IFERROR(INDEX(_怪物基线!$D$2:$D$501,MATCH(INT($L858),_怪物基线!$A$2:$A$501,0)),"")</f>
        <v>49216</v>
      </c>
      <c r="R858">
        <f>参数!$B$10</f>
        <v>4</v>
      </c>
      <c r="S858">
        <f>参数!$C$10</f>
        <v>1.2</v>
      </c>
      <c r="T858">
        <f>参数!$D$10</f>
        <v>1</v>
      </c>
      <c r="U858">
        <f t="shared" si="104"/>
        <v>4808516</v>
      </c>
      <c r="V858">
        <f t="shared" si="105"/>
        <v>104665.2</v>
      </c>
      <c r="W858">
        <f t="shared" si="106"/>
        <v>49216</v>
      </c>
      <c r="X858">
        <f>IFERROR(INDEX(参数!$B$5:$B$7,MATCH($N858,参数!$A$5:$A$7,0)),"")</f>
        <v>1</v>
      </c>
      <c r="Y858">
        <f>IFERROR(INDEX(参数!$C$5:$C$7,MATCH($N858,参数!$A$5:$A$7,0)),"")</f>
        <v>1.2</v>
      </c>
      <c r="Z858">
        <f>IFERROR(INDEX(参数!$D$5:$D$7,MATCH($N858,参数!$A$5:$A$7,0)),"")</f>
        <v>1</v>
      </c>
      <c r="AA858">
        <f>IFERROR(INDEX(楼层配置!$E$5:$E$204,MATCH($K858,楼层配置!$B$5:$B$204,0)),1)</f>
        <v>1.12582067235919</v>
      </c>
      <c r="AB858">
        <f>IFERROR(INDEX(楼层配置!$F$5:$F$204,MATCH($K858,楼层配置!$B$5:$B$204,0)),1)</f>
        <v>0.729834891319568</v>
      </c>
      <c r="AC858">
        <f>IFERROR(INDEX(楼层配置!$G$5:$G$204,MATCH($K858,楼层配置!$B$5:$B$204,0)),1)</f>
        <v>1</v>
      </c>
      <c r="AD858" t="str">
        <f t="shared" si="107"/>
        <v/>
      </c>
      <c r="AE858" t="str">
        <f t="shared" si="108"/>
        <v/>
      </c>
      <c r="AF858" t="str">
        <f t="shared" si="109"/>
        <v/>
      </c>
      <c r="AG858" t="str">
        <f t="shared" si="110"/>
        <v>有效</v>
      </c>
      <c r="AH858">
        <f t="shared" si="111"/>
        <v>16514866.368</v>
      </c>
    </row>
    <row r="859" spans="1:34">
      <c r="A859">
        <v>855</v>
      </c>
      <c r="B859">
        <v>1029</v>
      </c>
      <c r="C859">
        <v>60</v>
      </c>
      <c r="D859">
        <f>IFERROR(ROUND($U859*$X859*$AA859*参数!$B$13,0),"")</f>
        <v>6766908</v>
      </c>
      <c r="E859">
        <f>IFERROR(ROUND($V859*$Y859*$AB859*参数!$C$13,0),"")</f>
        <v>76388</v>
      </c>
      <c r="F859">
        <f>IFERROR(ROUND($W859*$Z859*$AC859*参数!$D$13,0),"")</f>
        <v>61520</v>
      </c>
      <c r="J859">
        <v>171</v>
      </c>
      <c r="K859">
        <v>171</v>
      </c>
      <c r="L859">
        <f>IFERROR(INDEX(楼层配置!$D$5:$D$204,MATCH($K859,楼层配置!$B$5:$B$204,0)),"")</f>
        <v>409</v>
      </c>
      <c r="M859" t="str">
        <f>IFERROR(INDEX(_角色基线!$B$2:$B$100,MATCH($B859,_角色基线!$A$2:$A$100,0)),"")</f>
        <v>凯兰</v>
      </c>
      <c r="N859" t="str">
        <f>IFERROR(INDEX(_角色基线!$C$2:$C$100,MATCH($B859,_角色基线!$A$2:$A$100,0)),"")</f>
        <v>Support</v>
      </c>
      <c r="O859">
        <f>IFERROR(INDEX(_怪物基线!$B$2:$B$501,MATCH(INT($L859),_怪物基线!$A$2:$A$501,0)),"")</f>
        <v>1202129</v>
      </c>
      <c r="P859">
        <f>IFERROR(INDEX(_怪物基线!$C$2:$C$501,MATCH(INT($L859),_怪物基线!$A$2:$A$501,0)),"")</f>
        <v>87221</v>
      </c>
      <c r="Q859">
        <f>IFERROR(INDEX(_怪物基线!$D$2:$D$501,MATCH(INT($L859),_怪物基线!$A$2:$A$501,0)),"")</f>
        <v>49216</v>
      </c>
      <c r="R859">
        <f>参数!$B$10</f>
        <v>4</v>
      </c>
      <c r="S859">
        <f>参数!$C$10</f>
        <v>1.2</v>
      </c>
      <c r="T859">
        <f>参数!$D$10</f>
        <v>1</v>
      </c>
      <c r="U859">
        <f t="shared" si="104"/>
        <v>4808516</v>
      </c>
      <c r="V859">
        <f t="shared" si="105"/>
        <v>104665.2</v>
      </c>
      <c r="W859">
        <f t="shared" si="106"/>
        <v>49216</v>
      </c>
      <c r="X859">
        <f>IFERROR(INDEX(参数!$B$5:$B$7,MATCH($N859,参数!$A$5:$A$7,0)),"")</f>
        <v>1.25</v>
      </c>
      <c r="Y859">
        <f>IFERROR(INDEX(参数!$C$5:$C$7,MATCH($N859,参数!$A$5:$A$7,0)),"")</f>
        <v>1</v>
      </c>
      <c r="Z859">
        <f>IFERROR(INDEX(参数!$D$5:$D$7,MATCH($N859,参数!$A$5:$A$7,0)),"")</f>
        <v>1.25</v>
      </c>
      <c r="AA859">
        <f>IFERROR(INDEX(楼层配置!$E$5:$E$204,MATCH($K859,楼层配置!$B$5:$B$204,0)),1)</f>
        <v>1.12582067235919</v>
      </c>
      <c r="AB859">
        <f>IFERROR(INDEX(楼层配置!$F$5:$F$204,MATCH($K859,楼层配置!$B$5:$B$204,0)),1)</f>
        <v>0.729834891319568</v>
      </c>
      <c r="AC859">
        <f>IFERROR(INDEX(楼层配置!$G$5:$G$204,MATCH($K859,楼层配置!$B$5:$B$204,0)),1)</f>
        <v>1</v>
      </c>
      <c r="AD859" t="str">
        <f t="shared" si="107"/>
        <v/>
      </c>
      <c r="AE859" t="str">
        <f t="shared" si="108"/>
        <v/>
      </c>
      <c r="AF859" t="str">
        <f t="shared" si="109"/>
        <v/>
      </c>
      <c r="AG859" t="str">
        <f t="shared" si="110"/>
        <v>有效</v>
      </c>
      <c r="AH859">
        <f t="shared" si="111"/>
        <v>24112748.84</v>
      </c>
    </row>
    <row r="860" spans="1:34">
      <c r="A860">
        <v>856</v>
      </c>
      <c r="B860">
        <v>1003</v>
      </c>
      <c r="C860">
        <v>60</v>
      </c>
      <c r="D860">
        <f>IFERROR(ROUND($U860*$X860*$AA860*参数!$B$13,0),"")</f>
        <v>8245040</v>
      </c>
      <c r="E860">
        <f>IFERROR(ROUND($V860*$Y860*$AB860*参数!$C$13,0),"")</f>
        <v>77330</v>
      </c>
      <c r="F860">
        <f>IFERROR(ROUND($W860*$Z860*$AC860*参数!$D$13,0),"")</f>
        <v>74325</v>
      </c>
      <c r="J860">
        <v>172</v>
      </c>
      <c r="K860">
        <v>172</v>
      </c>
      <c r="L860">
        <f>IFERROR(INDEX(楼层配置!$D$5:$D$204,MATCH($K860,楼层配置!$B$5:$B$204,0)),"")</f>
        <v>411</v>
      </c>
      <c r="M860" t="str">
        <f>IFERROR(INDEX(_角色基线!$B$2:$B$100,MATCH($B860,_角色基线!$A$2:$A$100,0)),"")</f>
        <v>塔拉夏</v>
      </c>
      <c r="N860" t="str">
        <f>IFERROR(INDEX(_角色基线!$C$2:$C$100,MATCH($B860,_角色基线!$A$2:$A$100,0)),"")</f>
        <v>Tank</v>
      </c>
      <c r="O860">
        <f>IFERROR(INDEX(_怪物基线!$B$2:$B$501,MATCH(INT($L860),_怪物基线!$A$2:$A$501,0)),"")</f>
        <v>1220597</v>
      </c>
      <c r="P860">
        <f>IFERROR(INDEX(_怪物基线!$C$2:$C$501,MATCH(INT($L860),_怪物基线!$A$2:$A$501,0)),"")</f>
        <v>88296</v>
      </c>
      <c r="Q860">
        <f>IFERROR(INDEX(_怪物基线!$D$2:$D$501,MATCH(INT($L860),_怪物基线!$A$2:$A$501,0)),"")</f>
        <v>49550</v>
      </c>
      <c r="R860">
        <f>参数!$B$10</f>
        <v>4</v>
      </c>
      <c r="S860">
        <f>参数!$C$10</f>
        <v>1.2</v>
      </c>
      <c r="T860">
        <f>参数!$D$10</f>
        <v>1</v>
      </c>
      <c r="U860">
        <f t="shared" si="104"/>
        <v>4882388</v>
      </c>
      <c r="V860">
        <f t="shared" si="105"/>
        <v>105955.2</v>
      </c>
      <c r="W860">
        <f t="shared" si="106"/>
        <v>49550</v>
      </c>
      <c r="X860">
        <f>IFERROR(INDEX(参数!$B$5:$B$7,MATCH($N860,参数!$A$5:$A$7,0)),"")</f>
        <v>1.5</v>
      </c>
      <c r="Y860">
        <f>IFERROR(INDEX(参数!$C$5:$C$7,MATCH($N860,参数!$A$5:$A$7,0)),"")</f>
        <v>1</v>
      </c>
      <c r="Z860">
        <f>IFERROR(INDEX(参数!$D$5:$D$7,MATCH($N860,参数!$A$5:$A$7,0)),"")</f>
        <v>1.5</v>
      </c>
      <c r="AA860">
        <f>IFERROR(INDEX(楼层配置!$E$5:$E$204,MATCH($K860,楼层配置!$B$5:$B$204,0)),1)</f>
        <v>1.12582067235919</v>
      </c>
      <c r="AB860">
        <f>IFERROR(INDEX(楼层配置!$F$5:$F$204,MATCH($K860,楼层配置!$B$5:$B$204,0)),1)</f>
        <v>0.729834891319568</v>
      </c>
      <c r="AC860">
        <f>IFERROR(INDEX(楼层配置!$G$5:$G$204,MATCH($K860,楼层配置!$B$5:$B$204,0)),1)</f>
        <v>1</v>
      </c>
      <c r="AD860" t="str">
        <f t="shared" si="107"/>
        <v/>
      </c>
      <c r="AE860" t="str">
        <f t="shared" si="108"/>
        <v/>
      </c>
      <c r="AF860" t="str">
        <f t="shared" si="109"/>
        <v/>
      </c>
      <c r="AG860" t="str">
        <f t="shared" si="110"/>
        <v>有效</v>
      </c>
      <c r="AH860">
        <f t="shared" si="111"/>
        <v>32980160</v>
      </c>
    </row>
    <row r="861" spans="1:34">
      <c r="A861">
        <v>857</v>
      </c>
      <c r="B861">
        <v>1005</v>
      </c>
      <c r="C861">
        <v>60</v>
      </c>
      <c r="D861">
        <f>IFERROR(ROUND($U861*$X861*$AA861*参数!$B$13,0),"")</f>
        <v>5496693</v>
      </c>
      <c r="E861">
        <f>IFERROR(ROUND($V861*$Y861*$AB861*参数!$C$13,0),"")</f>
        <v>92796</v>
      </c>
      <c r="F861">
        <f>IFERROR(ROUND($W861*$Z861*$AC861*参数!$D$13,0),"")</f>
        <v>49550</v>
      </c>
      <c r="J861">
        <v>172</v>
      </c>
      <c r="K861">
        <v>172</v>
      </c>
      <c r="L861">
        <f>IFERROR(INDEX(楼层配置!$D$5:$D$204,MATCH($K861,楼层配置!$B$5:$B$204,0)),"")</f>
        <v>411</v>
      </c>
      <c r="M861" t="str">
        <f>IFERROR(INDEX(_角色基线!$B$2:$B$100,MATCH($B861,_角色基线!$A$2:$A$100,0)),"")</f>
        <v>陈单单</v>
      </c>
      <c r="N861" t="str">
        <f>IFERROR(INDEX(_角色基线!$C$2:$C$100,MATCH($B861,_角色基线!$A$2:$A$100,0)),"")</f>
        <v>DPS</v>
      </c>
      <c r="O861">
        <f>IFERROR(INDEX(_怪物基线!$B$2:$B$501,MATCH(INT($L861),_怪物基线!$A$2:$A$501,0)),"")</f>
        <v>1220597</v>
      </c>
      <c r="P861">
        <f>IFERROR(INDEX(_怪物基线!$C$2:$C$501,MATCH(INT($L861),_怪物基线!$A$2:$A$501,0)),"")</f>
        <v>88296</v>
      </c>
      <c r="Q861">
        <f>IFERROR(INDEX(_怪物基线!$D$2:$D$501,MATCH(INT($L861),_怪物基线!$A$2:$A$501,0)),"")</f>
        <v>49550</v>
      </c>
      <c r="R861">
        <f>参数!$B$10</f>
        <v>4</v>
      </c>
      <c r="S861">
        <f>参数!$C$10</f>
        <v>1.2</v>
      </c>
      <c r="T861">
        <f>参数!$D$10</f>
        <v>1</v>
      </c>
      <c r="U861">
        <f t="shared" si="104"/>
        <v>4882388</v>
      </c>
      <c r="V861">
        <f t="shared" si="105"/>
        <v>105955.2</v>
      </c>
      <c r="W861">
        <f t="shared" si="106"/>
        <v>49550</v>
      </c>
      <c r="X861">
        <f>IFERROR(INDEX(参数!$B$5:$B$7,MATCH($N861,参数!$A$5:$A$7,0)),"")</f>
        <v>1</v>
      </c>
      <c r="Y861">
        <f>IFERROR(INDEX(参数!$C$5:$C$7,MATCH($N861,参数!$A$5:$A$7,0)),"")</f>
        <v>1.2</v>
      </c>
      <c r="Z861">
        <f>IFERROR(INDEX(参数!$D$5:$D$7,MATCH($N861,参数!$A$5:$A$7,0)),"")</f>
        <v>1</v>
      </c>
      <c r="AA861">
        <f>IFERROR(INDEX(楼层配置!$E$5:$E$204,MATCH($K861,楼层配置!$B$5:$B$204,0)),1)</f>
        <v>1.12582067235919</v>
      </c>
      <c r="AB861">
        <f>IFERROR(INDEX(楼层配置!$F$5:$F$204,MATCH($K861,楼层配置!$B$5:$B$204,0)),1)</f>
        <v>0.729834891319568</v>
      </c>
      <c r="AC861">
        <f>IFERROR(INDEX(楼层配置!$G$5:$G$204,MATCH($K861,楼层配置!$B$5:$B$204,0)),1)</f>
        <v>1</v>
      </c>
      <c r="AD861" t="str">
        <f t="shared" si="107"/>
        <v/>
      </c>
      <c r="AE861" t="str">
        <f t="shared" si="108"/>
        <v/>
      </c>
      <c r="AF861" t="str">
        <f t="shared" si="109"/>
        <v/>
      </c>
      <c r="AG861" t="str">
        <f t="shared" si="110"/>
        <v>有效</v>
      </c>
      <c r="AH861">
        <f t="shared" si="111"/>
        <v>16845073.75625</v>
      </c>
    </row>
    <row r="862" spans="1:34">
      <c r="A862">
        <v>858</v>
      </c>
      <c r="B862">
        <v>1005</v>
      </c>
      <c r="C862">
        <v>60</v>
      </c>
      <c r="D862">
        <f>IFERROR(ROUND($U862*$X862*$AA862*参数!$B$13,0),"")</f>
        <v>5496693</v>
      </c>
      <c r="E862">
        <f>IFERROR(ROUND($V862*$Y862*$AB862*参数!$C$13,0),"")</f>
        <v>92796</v>
      </c>
      <c r="F862">
        <f>IFERROR(ROUND($W862*$Z862*$AC862*参数!$D$13,0),"")</f>
        <v>49550</v>
      </c>
      <c r="J862">
        <v>172</v>
      </c>
      <c r="K862">
        <v>172</v>
      </c>
      <c r="L862">
        <f>IFERROR(INDEX(楼层配置!$D$5:$D$204,MATCH($K862,楼层配置!$B$5:$B$204,0)),"")</f>
        <v>411</v>
      </c>
      <c r="M862" t="str">
        <f>IFERROR(INDEX(_角色基线!$B$2:$B$100,MATCH($B862,_角色基线!$A$2:$A$100,0)),"")</f>
        <v>陈单单</v>
      </c>
      <c r="N862" t="str">
        <f>IFERROR(INDEX(_角色基线!$C$2:$C$100,MATCH($B862,_角色基线!$A$2:$A$100,0)),"")</f>
        <v>DPS</v>
      </c>
      <c r="O862">
        <f>IFERROR(INDEX(_怪物基线!$B$2:$B$501,MATCH(INT($L862),_怪物基线!$A$2:$A$501,0)),"")</f>
        <v>1220597</v>
      </c>
      <c r="P862">
        <f>IFERROR(INDEX(_怪物基线!$C$2:$C$501,MATCH(INT($L862),_怪物基线!$A$2:$A$501,0)),"")</f>
        <v>88296</v>
      </c>
      <c r="Q862">
        <f>IFERROR(INDEX(_怪物基线!$D$2:$D$501,MATCH(INT($L862),_怪物基线!$A$2:$A$501,0)),"")</f>
        <v>49550</v>
      </c>
      <c r="R862">
        <f>参数!$B$10</f>
        <v>4</v>
      </c>
      <c r="S862">
        <f>参数!$C$10</f>
        <v>1.2</v>
      </c>
      <c r="T862">
        <f>参数!$D$10</f>
        <v>1</v>
      </c>
      <c r="U862">
        <f t="shared" si="104"/>
        <v>4882388</v>
      </c>
      <c r="V862">
        <f t="shared" si="105"/>
        <v>105955.2</v>
      </c>
      <c r="W862">
        <f t="shared" si="106"/>
        <v>49550</v>
      </c>
      <c r="X862">
        <f>IFERROR(INDEX(参数!$B$5:$B$7,MATCH($N862,参数!$A$5:$A$7,0)),"")</f>
        <v>1</v>
      </c>
      <c r="Y862">
        <f>IFERROR(INDEX(参数!$C$5:$C$7,MATCH($N862,参数!$A$5:$A$7,0)),"")</f>
        <v>1.2</v>
      </c>
      <c r="Z862">
        <f>IFERROR(INDEX(参数!$D$5:$D$7,MATCH($N862,参数!$A$5:$A$7,0)),"")</f>
        <v>1</v>
      </c>
      <c r="AA862">
        <f>IFERROR(INDEX(楼层配置!$E$5:$E$204,MATCH($K862,楼层配置!$B$5:$B$204,0)),1)</f>
        <v>1.12582067235919</v>
      </c>
      <c r="AB862">
        <f>IFERROR(INDEX(楼层配置!$F$5:$F$204,MATCH($K862,楼层配置!$B$5:$B$204,0)),1)</f>
        <v>0.729834891319568</v>
      </c>
      <c r="AC862">
        <f>IFERROR(INDEX(楼层配置!$G$5:$G$204,MATCH($K862,楼层配置!$B$5:$B$204,0)),1)</f>
        <v>1</v>
      </c>
      <c r="AD862" t="str">
        <f t="shared" si="107"/>
        <v/>
      </c>
      <c r="AE862" t="str">
        <f t="shared" si="108"/>
        <v/>
      </c>
      <c r="AF862" t="str">
        <f t="shared" si="109"/>
        <v/>
      </c>
      <c r="AG862" t="str">
        <f t="shared" si="110"/>
        <v>有效</v>
      </c>
      <c r="AH862">
        <f t="shared" si="111"/>
        <v>16845073.75625</v>
      </c>
    </row>
    <row r="863" spans="1:34">
      <c r="A863">
        <v>859</v>
      </c>
      <c r="B863">
        <v>1005</v>
      </c>
      <c r="C863">
        <v>60</v>
      </c>
      <c r="D863">
        <f>IFERROR(ROUND($U863*$X863*$AA863*参数!$B$13,0),"")</f>
        <v>5496693</v>
      </c>
      <c r="E863">
        <f>IFERROR(ROUND($V863*$Y863*$AB863*参数!$C$13,0),"")</f>
        <v>92796</v>
      </c>
      <c r="F863">
        <f>IFERROR(ROUND($W863*$Z863*$AC863*参数!$D$13,0),"")</f>
        <v>49550</v>
      </c>
      <c r="J863">
        <v>172</v>
      </c>
      <c r="K863">
        <v>172</v>
      </c>
      <c r="L863">
        <f>IFERROR(INDEX(楼层配置!$D$5:$D$204,MATCH($K863,楼层配置!$B$5:$B$204,0)),"")</f>
        <v>411</v>
      </c>
      <c r="M863" t="str">
        <f>IFERROR(INDEX(_角色基线!$B$2:$B$100,MATCH($B863,_角色基线!$A$2:$A$100,0)),"")</f>
        <v>陈单单</v>
      </c>
      <c r="N863" t="str">
        <f>IFERROR(INDEX(_角色基线!$C$2:$C$100,MATCH($B863,_角色基线!$A$2:$A$100,0)),"")</f>
        <v>DPS</v>
      </c>
      <c r="O863">
        <f>IFERROR(INDEX(_怪物基线!$B$2:$B$501,MATCH(INT($L863),_怪物基线!$A$2:$A$501,0)),"")</f>
        <v>1220597</v>
      </c>
      <c r="P863">
        <f>IFERROR(INDEX(_怪物基线!$C$2:$C$501,MATCH(INT($L863),_怪物基线!$A$2:$A$501,0)),"")</f>
        <v>88296</v>
      </c>
      <c r="Q863">
        <f>IFERROR(INDEX(_怪物基线!$D$2:$D$501,MATCH(INT($L863),_怪物基线!$A$2:$A$501,0)),"")</f>
        <v>49550</v>
      </c>
      <c r="R863">
        <f>参数!$B$10</f>
        <v>4</v>
      </c>
      <c r="S863">
        <f>参数!$C$10</f>
        <v>1.2</v>
      </c>
      <c r="T863">
        <f>参数!$D$10</f>
        <v>1</v>
      </c>
      <c r="U863">
        <f t="shared" si="104"/>
        <v>4882388</v>
      </c>
      <c r="V863">
        <f t="shared" si="105"/>
        <v>105955.2</v>
      </c>
      <c r="W863">
        <f t="shared" si="106"/>
        <v>49550</v>
      </c>
      <c r="X863">
        <f>IFERROR(INDEX(参数!$B$5:$B$7,MATCH($N863,参数!$A$5:$A$7,0)),"")</f>
        <v>1</v>
      </c>
      <c r="Y863">
        <f>IFERROR(INDEX(参数!$C$5:$C$7,MATCH($N863,参数!$A$5:$A$7,0)),"")</f>
        <v>1.2</v>
      </c>
      <c r="Z863">
        <f>IFERROR(INDEX(参数!$D$5:$D$7,MATCH($N863,参数!$A$5:$A$7,0)),"")</f>
        <v>1</v>
      </c>
      <c r="AA863">
        <f>IFERROR(INDEX(楼层配置!$E$5:$E$204,MATCH($K863,楼层配置!$B$5:$B$204,0)),1)</f>
        <v>1.12582067235919</v>
      </c>
      <c r="AB863">
        <f>IFERROR(INDEX(楼层配置!$F$5:$F$204,MATCH($K863,楼层配置!$B$5:$B$204,0)),1)</f>
        <v>0.729834891319568</v>
      </c>
      <c r="AC863">
        <f>IFERROR(INDEX(楼层配置!$G$5:$G$204,MATCH($K863,楼层配置!$B$5:$B$204,0)),1)</f>
        <v>1</v>
      </c>
      <c r="AD863" t="str">
        <f t="shared" si="107"/>
        <v/>
      </c>
      <c r="AE863" t="str">
        <f t="shared" si="108"/>
        <v/>
      </c>
      <c r="AF863" t="str">
        <f t="shared" si="109"/>
        <v/>
      </c>
      <c r="AG863" t="str">
        <f t="shared" si="110"/>
        <v>有效</v>
      </c>
      <c r="AH863">
        <f t="shared" si="111"/>
        <v>16845073.75625</v>
      </c>
    </row>
    <row r="864" spans="1:34">
      <c r="A864">
        <v>860</v>
      </c>
      <c r="B864">
        <v>1029</v>
      </c>
      <c r="C864">
        <v>60</v>
      </c>
      <c r="D864">
        <f>IFERROR(ROUND($U864*$X864*$AA864*参数!$B$13,0),"")</f>
        <v>6870867</v>
      </c>
      <c r="E864">
        <f>IFERROR(ROUND($V864*$Y864*$AB864*参数!$C$13,0),"")</f>
        <v>77330</v>
      </c>
      <c r="F864">
        <f>IFERROR(ROUND($W864*$Z864*$AC864*参数!$D$13,0),"")</f>
        <v>61938</v>
      </c>
      <c r="J864">
        <v>172</v>
      </c>
      <c r="K864">
        <v>172</v>
      </c>
      <c r="L864">
        <f>IFERROR(INDEX(楼层配置!$D$5:$D$204,MATCH($K864,楼层配置!$B$5:$B$204,0)),"")</f>
        <v>411</v>
      </c>
      <c r="M864" t="str">
        <f>IFERROR(INDEX(_角色基线!$B$2:$B$100,MATCH($B864,_角色基线!$A$2:$A$100,0)),"")</f>
        <v>凯兰</v>
      </c>
      <c r="N864" t="str">
        <f>IFERROR(INDEX(_角色基线!$C$2:$C$100,MATCH($B864,_角色基线!$A$2:$A$100,0)),"")</f>
        <v>Support</v>
      </c>
      <c r="O864">
        <f>IFERROR(INDEX(_怪物基线!$B$2:$B$501,MATCH(INT($L864),_怪物基线!$A$2:$A$501,0)),"")</f>
        <v>1220597</v>
      </c>
      <c r="P864">
        <f>IFERROR(INDEX(_怪物基线!$C$2:$C$501,MATCH(INT($L864),_怪物基线!$A$2:$A$501,0)),"")</f>
        <v>88296</v>
      </c>
      <c r="Q864">
        <f>IFERROR(INDEX(_怪物基线!$D$2:$D$501,MATCH(INT($L864),_怪物基线!$A$2:$A$501,0)),"")</f>
        <v>49550</v>
      </c>
      <c r="R864">
        <f>参数!$B$10</f>
        <v>4</v>
      </c>
      <c r="S864">
        <f>参数!$C$10</f>
        <v>1.2</v>
      </c>
      <c r="T864">
        <f>参数!$D$10</f>
        <v>1</v>
      </c>
      <c r="U864">
        <f t="shared" si="104"/>
        <v>4882388</v>
      </c>
      <c r="V864">
        <f t="shared" si="105"/>
        <v>105955.2</v>
      </c>
      <c r="W864">
        <f t="shared" si="106"/>
        <v>49550</v>
      </c>
      <c r="X864">
        <f>IFERROR(INDEX(参数!$B$5:$B$7,MATCH($N864,参数!$A$5:$A$7,0)),"")</f>
        <v>1.25</v>
      </c>
      <c r="Y864">
        <f>IFERROR(INDEX(参数!$C$5:$C$7,MATCH($N864,参数!$A$5:$A$7,0)),"")</f>
        <v>1</v>
      </c>
      <c r="Z864">
        <f>IFERROR(INDEX(参数!$D$5:$D$7,MATCH($N864,参数!$A$5:$A$7,0)),"")</f>
        <v>1.25</v>
      </c>
      <c r="AA864">
        <f>IFERROR(INDEX(楼层配置!$E$5:$E$204,MATCH($K864,楼层配置!$B$5:$B$204,0)),1)</f>
        <v>1.12582067235919</v>
      </c>
      <c r="AB864">
        <f>IFERROR(INDEX(楼层配置!$F$5:$F$204,MATCH($K864,楼层配置!$B$5:$B$204,0)),1)</f>
        <v>0.729834891319568</v>
      </c>
      <c r="AC864">
        <f>IFERROR(INDEX(楼层配置!$G$5:$G$204,MATCH($K864,楼层配置!$B$5:$B$204,0)),1)</f>
        <v>1</v>
      </c>
      <c r="AD864" t="str">
        <f t="shared" si="107"/>
        <v/>
      </c>
      <c r="AE864" t="str">
        <f t="shared" si="108"/>
        <v/>
      </c>
      <c r="AF864" t="str">
        <f t="shared" si="109"/>
        <v/>
      </c>
      <c r="AG864" t="str">
        <f t="shared" si="110"/>
        <v>有效</v>
      </c>
      <c r="AH864">
        <f t="shared" si="111"/>
        <v>24602857.01025</v>
      </c>
    </row>
    <row r="865" spans="1:34">
      <c r="A865">
        <v>861</v>
      </c>
      <c r="B865">
        <v>1003</v>
      </c>
      <c r="C865">
        <v>60</v>
      </c>
      <c r="D865">
        <f>IFERROR(ROUND($U865*$X865*$AA865*参数!$B$13,0),"")</f>
        <v>8435009</v>
      </c>
      <c r="E865">
        <f>IFERROR(ROUND($V865*$Y865*$AB865*参数!$C$13,0),"")</f>
        <v>78762</v>
      </c>
      <c r="F865">
        <f>IFERROR(ROUND($W865*$Z865*$AC865*参数!$D$13,0),"")</f>
        <v>75080</v>
      </c>
      <c r="J865">
        <v>173</v>
      </c>
      <c r="K865">
        <v>173</v>
      </c>
      <c r="L865">
        <f>IFERROR(INDEX(楼层配置!$D$5:$D$204,MATCH($K865,楼层配置!$B$5:$B$204,0)),"")</f>
        <v>414</v>
      </c>
      <c r="M865" t="str">
        <f>IFERROR(INDEX(_角色基线!$B$2:$B$100,MATCH($B865,_角色基线!$A$2:$A$100,0)),"")</f>
        <v>塔拉夏</v>
      </c>
      <c r="N865" t="str">
        <f>IFERROR(INDEX(_角色基线!$C$2:$C$100,MATCH($B865,_角色基线!$A$2:$A$100,0)),"")</f>
        <v>Tank</v>
      </c>
      <c r="O865">
        <f>IFERROR(INDEX(_怪物基线!$B$2:$B$501,MATCH(INT($L865),_怪物基线!$A$2:$A$501,0)),"")</f>
        <v>1248720</v>
      </c>
      <c r="P865">
        <f>IFERROR(INDEX(_怪物基线!$C$2:$C$501,MATCH(INT($L865),_怪物基线!$A$2:$A$501,0)),"")</f>
        <v>89931</v>
      </c>
      <c r="Q865">
        <f>IFERROR(INDEX(_怪物基线!$D$2:$D$501,MATCH(INT($L865),_怪物基线!$A$2:$A$501,0)),"")</f>
        <v>50053</v>
      </c>
      <c r="R865">
        <f>参数!$B$10</f>
        <v>4</v>
      </c>
      <c r="S865">
        <f>参数!$C$10</f>
        <v>1.2</v>
      </c>
      <c r="T865">
        <f>参数!$D$10</f>
        <v>1</v>
      </c>
      <c r="U865">
        <f t="shared" si="104"/>
        <v>4994880</v>
      </c>
      <c r="V865">
        <f t="shared" si="105"/>
        <v>107917.2</v>
      </c>
      <c r="W865">
        <f t="shared" si="106"/>
        <v>50053</v>
      </c>
      <c r="X865">
        <f>IFERROR(INDEX(参数!$B$5:$B$7,MATCH($N865,参数!$A$5:$A$7,0)),"")</f>
        <v>1.5</v>
      </c>
      <c r="Y865">
        <f>IFERROR(INDEX(参数!$C$5:$C$7,MATCH($N865,参数!$A$5:$A$7,0)),"")</f>
        <v>1</v>
      </c>
      <c r="Z865">
        <f>IFERROR(INDEX(参数!$D$5:$D$7,MATCH($N865,参数!$A$5:$A$7,0)),"")</f>
        <v>1.5</v>
      </c>
      <c r="AA865">
        <f>IFERROR(INDEX(楼层配置!$E$5:$E$204,MATCH($K865,楼层配置!$B$5:$B$204,0)),1)</f>
        <v>1.12582067235919</v>
      </c>
      <c r="AB865">
        <f>IFERROR(INDEX(楼层配置!$F$5:$F$204,MATCH($K865,楼层配置!$B$5:$B$204,0)),1)</f>
        <v>0.729834891319568</v>
      </c>
      <c r="AC865">
        <f>IFERROR(INDEX(楼层配置!$G$5:$G$204,MATCH($K865,楼层配置!$B$5:$B$204,0)),1)</f>
        <v>1</v>
      </c>
      <c r="AD865" t="str">
        <f t="shared" si="107"/>
        <v/>
      </c>
      <c r="AE865" t="str">
        <f t="shared" si="108"/>
        <v/>
      </c>
      <c r="AF865" t="str">
        <f t="shared" si="109"/>
        <v/>
      </c>
      <c r="AG865" t="str">
        <f t="shared" si="110"/>
        <v>有效</v>
      </c>
      <c r="AH865">
        <f t="shared" si="111"/>
        <v>33740036</v>
      </c>
    </row>
    <row r="866" spans="1:34">
      <c r="A866">
        <v>862</v>
      </c>
      <c r="B866">
        <v>1005</v>
      </c>
      <c r="C866">
        <v>60</v>
      </c>
      <c r="D866">
        <f>IFERROR(ROUND($U866*$X866*$AA866*参数!$B$13,0),"")</f>
        <v>5623339</v>
      </c>
      <c r="E866">
        <f>IFERROR(ROUND($V866*$Y866*$AB866*参数!$C$13,0),"")</f>
        <v>94514</v>
      </c>
      <c r="F866">
        <f>IFERROR(ROUND($W866*$Z866*$AC866*参数!$D$13,0),"")</f>
        <v>50053</v>
      </c>
      <c r="J866">
        <v>173</v>
      </c>
      <c r="K866">
        <v>173</v>
      </c>
      <c r="L866">
        <f>IFERROR(INDEX(楼层配置!$D$5:$D$204,MATCH($K866,楼层配置!$B$5:$B$204,0)),"")</f>
        <v>414</v>
      </c>
      <c r="M866" t="str">
        <f>IFERROR(INDEX(_角色基线!$B$2:$B$100,MATCH($B866,_角色基线!$A$2:$A$100,0)),"")</f>
        <v>陈单单</v>
      </c>
      <c r="N866" t="str">
        <f>IFERROR(INDEX(_角色基线!$C$2:$C$100,MATCH($B866,_角色基线!$A$2:$A$100,0)),"")</f>
        <v>DPS</v>
      </c>
      <c r="O866">
        <f>IFERROR(INDEX(_怪物基线!$B$2:$B$501,MATCH(INT($L866),_怪物基线!$A$2:$A$501,0)),"")</f>
        <v>1248720</v>
      </c>
      <c r="P866">
        <f>IFERROR(INDEX(_怪物基线!$C$2:$C$501,MATCH(INT($L866),_怪物基线!$A$2:$A$501,0)),"")</f>
        <v>89931</v>
      </c>
      <c r="Q866">
        <f>IFERROR(INDEX(_怪物基线!$D$2:$D$501,MATCH(INT($L866),_怪物基线!$A$2:$A$501,0)),"")</f>
        <v>50053</v>
      </c>
      <c r="R866">
        <f>参数!$B$10</f>
        <v>4</v>
      </c>
      <c r="S866">
        <f>参数!$C$10</f>
        <v>1.2</v>
      </c>
      <c r="T866">
        <f>参数!$D$10</f>
        <v>1</v>
      </c>
      <c r="U866">
        <f t="shared" si="104"/>
        <v>4994880</v>
      </c>
      <c r="V866">
        <f t="shared" si="105"/>
        <v>107917.2</v>
      </c>
      <c r="W866">
        <f t="shared" si="106"/>
        <v>50053</v>
      </c>
      <c r="X866">
        <f>IFERROR(INDEX(参数!$B$5:$B$7,MATCH($N866,参数!$A$5:$A$7,0)),"")</f>
        <v>1</v>
      </c>
      <c r="Y866">
        <f>IFERROR(INDEX(参数!$C$5:$C$7,MATCH($N866,参数!$A$5:$A$7,0)),"")</f>
        <v>1.2</v>
      </c>
      <c r="Z866">
        <f>IFERROR(INDEX(参数!$D$5:$D$7,MATCH($N866,参数!$A$5:$A$7,0)),"")</f>
        <v>1</v>
      </c>
      <c r="AA866">
        <f>IFERROR(INDEX(楼层配置!$E$5:$E$204,MATCH($K866,楼层配置!$B$5:$B$204,0)),1)</f>
        <v>1.12582067235919</v>
      </c>
      <c r="AB866">
        <f>IFERROR(INDEX(楼层配置!$F$5:$F$204,MATCH($K866,楼层配置!$B$5:$B$204,0)),1)</f>
        <v>0.729834891319568</v>
      </c>
      <c r="AC866">
        <f>IFERROR(INDEX(楼层配置!$G$5:$G$204,MATCH($K866,楼层配置!$B$5:$B$204,0)),1)</f>
        <v>1</v>
      </c>
      <c r="AD866" t="str">
        <f t="shared" si="107"/>
        <v/>
      </c>
      <c r="AE866" t="str">
        <f t="shared" si="108"/>
        <v/>
      </c>
      <c r="AF866" t="str">
        <f t="shared" si="109"/>
        <v/>
      </c>
      <c r="AG866" t="str">
        <f t="shared" si="110"/>
        <v>有效</v>
      </c>
      <c r="AH866">
        <f t="shared" si="111"/>
        <v>17351046.7902917</v>
      </c>
    </row>
    <row r="867" spans="1:34">
      <c r="A867">
        <v>863</v>
      </c>
      <c r="B867">
        <v>1005</v>
      </c>
      <c r="C867">
        <v>60</v>
      </c>
      <c r="D867">
        <f>IFERROR(ROUND($U867*$X867*$AA867*参数!$B$13,0),"")</f>
        <v>5623339</v>
      </c>
      <c r="E867">
        <f>IFERROR(ROUND($V867*$Y867*$AB867*参数!$C$13,0),"")</f>
        <v>94514</v>
      </c>
      <c r="F867">
        <f>IFERROR(ROUND($W867*$Z867*$AC867*参数!$D$13,0),"")</f>
        <v>50053</v>
      </c>
      <c r="J867">
        <v>173</v>
      </c>
      <c r="K867">
        <v>173</v>
      </c>
      <c r="L867">
        <f>IFERROR(INDEX(楼层配置!$D$5:$D$204,MATCH($K867,楼层配置!$B$5:$B$204,0)),"")</f>
        <v>414</v>
      </c>
      <c r="M867" t="str">
        <f>IFERROR(INDEX(_角色基线!$B$2:$B$100,MATCH($B867,_角色基线!$A$2:$A$100,0)),"")</f>
        <v>陈单单</v>
      </c>
      <c r="N867" t="str">
        <f>IFERROR(INDEX(_角色基线!$C$2:$C$100,MATCH($B867,_角色基线!$A$2:$A$100,0)),"")</f>
        <v>DPS</v>
      </c>
      <c r="O867">
        <f>IFERROR(INDEX(_怪物基线!$B$2:$B$501,MATCH(INT($L867),_怪物基线!$A$2:$A$501,0)),"")</f>
        <v>1248720</v>
      </c>
      <c r="P867">
        <f>IFERROR(INDEX(_怪物基线!$C$2:$C$501,MATCH(INT($L867),_怪物基线!$A$2:$A$501,0)),"")</f>
        <v>89931</v>
      </c>
      <c r="Q867">
        <f>IFERROR(INDEX(_怪物基线!$D$2:$D$501,MATCH(INT($L867),_怪物基线!$A$2:$A$501,0)),"")</f>
        <v>50053</v>
      </c>
      <c r="R867">
        <f>参数!$B$10</f>
        <v>4</v>
      </c>
      <c r="S867">
        <f>参数!$C$10</f>
        <v>1.2</v>
      </c>
      <c r="T867">
        <f>参数!$D$10</f>
        <v>1</v>
      </c>
      <c r="U867">
        <f t="shared" si="104"/>
        <v>4994880</v>
      </c>
      <c r="V867">
        <f t="shared" si="105"/>
        <v>107917.2</v>
      </c>
      <c r="W867">
        <f t="shared" si="106"/>
        <v>50053</v>
      </c>
      <c r="X867">
        <f>IFERROR(INDEX(参数!$B$5:$B$7,MATCH($N867,参数!$A$5:$A$7,0)),"")</f>
        <v>1</v>
      </c>
      <c r="Y867">
        <f>IFERROR(INDEX(参数!$C$5:$C$7,MATCH($N867,参数!$A$5:$A$7,0)),"")</f>
        <v>1.2</v>
      </c>
      <c r="Z867">
        <f>IFERROR(INDEX(参数!$D$5:$D$7,MATCH($N867,参数!$A$5:$A$7,0)),"")</f>
        <v>1</v>
      </c>
      <c r="AA867">
        <f>IFERROR(INDEX(楼层配置!$E$5:$E$204,MATCH($K867,楼层配置!$B$5:$B$204,0)),1)</f>
        <v>1.12582067235919</v>
      </c>
      <c r="AB867">
        <f>IFERROR(INDEX(楼层配置!$F$5:$F$204,MATCH($K867,楼层配置!$B$5:$B$204,0)),1)</f>
        <v>0.729834891319568</v>
      </c>
      <c r="AC867">
        <f>IFERROR(INDEX(楼层配置!$G$5:$G$204,MATCH($K867,楼层配置!$B$5:$B$204,0)),1)</f>
        <v>1</v>
      </c>
      <c r="AD867" t="str">
        <f t="shared" si="107"/>
        <v/>
      </c>
      <c r="AE867" t="str">
        <f t="shared" si="108"/>
        <v/>
      </c>
      <c r="AF867" t="str">
        <f t="shared" si="109"/>
        <v/>
      </c>
      <c r="AG867" t="str">
        <f t="shared" si="110"/>
        <v>有效</v>
      </c>
      <c r="AH867">
        <f t="shared" si="111"/>
        <v>17351046.7902917</v>
      </c>
    </row>
    <row r="868" spans="1:34">
      <c r="A868">
        <v>864</v>
      </c>
      <c r="B868">
        <v>1005</v>
      </c>
      <c r="C868">
        <v>60</v>
      </c>
      <c r="D868">
        <f>IFERROR(ROUND($U868*$X868*$AA868*参数!$B$13,0),"")</f>
        <v>5623339</v>
      </c>
      <c r="E868">
        <f>IFERROR(ROUND($V868*$Y868*$AB868*参数!$C$13,0),"")</f>
        <v>94514</v>
      </c>
      <c r="F868">
        <f>IFERROR(ROUND($W868*$Z868*$AC868*参数!$D$13,0),"")</f>
        <v>50053</v>
      </c>
      <c r="J868">
        <v>173</v>
      </c>
      <c r="K868">
        <v>173</v>
      </c>
      <c r="L868">
        <f>IFERROR(INDEX(楼层配置!$D$5:$D$204,MATCH($K868,楼层配置!$B$5:$B$204,0)),"")</f>
        <v>414</v>
      </c>
      <c r="M868" t="str">
        <f>IFERROR(INDEX(_角色基线!$B$2:$B$100,MATCH($B868,_角色基线!$A$2:$A$100,0)),"")</f>
        <v>陈单单</v>
      </c>
      <c r="N868" t="str">
        <f>IFERROR(INDEX(_角色基线!$C$2:$C$100,MATCH($B868,_角色基线!$A$2:$A$100,0)),"")</f>
        <v>DPS</v>
      </c>
      <c r="O868">
        <f>IFERROR(INDEX(_怪物基线!$B$2:$B$501,MATCH(INT($L868),_怪物基线!$A$2:$A$501,0)),"")</f>
        <v>1248720</v>
      </c>
      <c r="P868">
        <f>IFERROR(INDEX(_怪物基线!$C$2:$C$501,MATCH(INT($L868),_怪物基线!$A$2:$A$501,0)),"")</f>
        <v>89931</v>
      </c>
      <c r="Q868">
        <f>IFERROR(INDEX(_怪物基线!$D$2:$D$501,MATCH(INT($L868),_怪物基线!$A$2:$A$501,0)),"")</f>
        <v>50053</v>
      </c>
      <c r="R868">
        <f>参数!$B$10</f>
        <v>4</v>
      </c>
      <c r="S868">
        <f>参数!$C$10</f>
        <v>1.2</v>
      </c>
      <c r="T868">
        <f>参数!$D$10</f>
        <v>1</v>
      </c>
      <c r="U868">
        <f t="shared" si="104"/>
        <v>4994880</v>
      </c>
      <c r="V868">
        <f t="shared" si="105"/>
        <v>107917.2</v>
      </c>
      <c r="W868">
        <f t="shared" si="106"/>
        <v>50053</v>
      </c>
      <c r="X868">
        <f>IFERROR(INDEX(参数!$B$5:$B$7,MATCH($N868,参数!$A$5:$A$7,0)),"")</f>
        <v>1</v>
      </c>
      <c r="Y868">
        <f>IFERROR(INDEX(参数!$C$5:$C$7,MATCH($N868,参数!$A$5:$A$7,0)),"")</f>
        <v>1.2</v>
      </c>
      <c r="Z868">
        <f>IFERROR(INDEX(参数!$D$5:$D$7,MATCH($N868,参数!$A$5:$A$7,0)),"")</f>
        <v>1</v>
      </c>
      <c r="AA868">
        <f>IFERROR(INDEX(楼层配置!$E$5:$E$204,MATCH($K868,楼层配置!$B$5:$B$204,0)),1)</f>
        <v>1.12582067235919</v>
      </c>
      <c r="AB868">
        <f>IFERROR(INDEX(楼层配置!$F$5:$F$204,MATCH($K868,楼层配置!$B$5:$B$204,0)),1)</f>
        <v>0.729834891319568</v>
      </c>
      <c r="AC868">
        <f>IFERROR(INDEX(楼层配置!$G$5:$G$204,MATCH($K868,楼层配置!$B$5:$B$204,0)),1)</f>
        <v>1</v>
      </c>
      <c r="AD868" t="str">
        <f t="shared" si="107"/>
        <v/>
      </c>
      <c r="AE868" t="str">
        <f t="shared" si="108"/>
        <v/>
      </c>
      <c r="AF868" t="str">
        <f t="shared" si="109"/>
        <v/>
      </c>
      <c r="AG868" t="str">
        <f t="shared" si="110"/>
        <v>有效</v>
      </c>
      <c r="AH868">
        <f t="shared" si="111"/>
        <v>17351046.7902917</v>
      </c>
    </row>
    <row r="869" spans="1:34">
      <c r="A869">
        <v>865</v>
      </c>
      <c r="B869">
        <v>1029</v>
      </c>
      <c r="C869">
        <v>60</v>
      </c>
      <c r="D869">
        <f>IFERROR(ROUND($U869*$X869*$AA869*参数!$B$13,0),"")</f>
        <v>7029174</v>
      </c>
      <c r="E869">
        <f>IFERROR(ROUND($V869*$Y869*$AB869*参数!$C$13,0),"")</f>
        <v>78762</v>
      </c>
      <c r="F869">
        <f>IFERROR(ROUND($W869*$Z869*$AC869*参数!$D$13,0),"")</f>
        <v>62566</v>
      </c>
      <c r="J869">
        <v>173</v>
      </c>
      <c r="K869">
        <v>173</v>
      </c>
      <c r="L869">
        <f>IFERROR(INDEX(楼层配置!$D$5:$D$204,MATCH($K869,楼层配置!$B$5:$B$204,0)),"")</f>
        <v>414</v>
      </c>
      <c r="M869" t="str">
        <f>IFERROR(INDEX(_角色基线!$B$2:$B$100,MATCH($B869,_角色基线!$A$2:$A$100,0)),"")</f>
        <v>凯兰</v>
      </c>
      <c r="N869" t="str">
        <f>IFERROR(INDEX(_角色基线!$C$2:$C$100,MATCH($B869,_角色基线!$A$2:$A$100,0)),"")</f>
        <v>Support</v>
      </c>
      <c r="O869">
        <f>IFERROR(INDEX(_怪物基线!$B$2:$B$501,MATCH(INT($L869),_怪物基线!$A$2:$A$501,0)),"")</f>
        <v>1248720</v>
      </c>
      <c r="P869">
        <f>IFERROR(INDEX(_怪物基线!$C$2:$C$501,MATCH(INT($L869),_怪物基线!$A$2:$A$501,0)),"")</f>
        <v>89931</v>
      </c>
      <c r="Q869">
        <f>IFERROR(INDEX(_怪物基线!$D$2:$D$501,MATCH(INT($L869),_怪物基线!$A$2:$A$501,0)),"")</f>
        <v>50053</v>
      </c>
      <c r="R869">
        <f>参数!$B$10</f>
        <v>4</v>
      </c>
      <c r="S869">
        <f>参数!$C$10</f>
        <v>1.2</v>
      </c>
      <c r="T869">
        <f>参数!$D$10</f>
        <v>1</v>
      </c>
      <c r="U869">
        <f t="shared" si="104"/>
        <v>4994880</v>
      </c>
      <c r="V869">
        <f t="shared" si="105"/>
        <v>107917.2</v>
      </c>
      <c r="W869">
        <f t="shared" si="106"/>
        <v>50053</v>
      </c>
      <c r="X869">
        <f>IFERROR(INDEX(参数!$B$5:$B$7,MATCH($N869,参数!$A$5:$A$7,0)),"")</f>
        <v>1.25</v>
      </c>
      <c r="Y869">
        <f>IFERROR(INDEX(参数!$C$5:$C$7,MATCH($N869,参数!$A$5:$A$7,0)),"")</f>
        <v>1</v>
      </c>
      <c r="Z869">
        <f>IFERROR(INDEX(参数!$D$5:$D$7,MATCH($N869,参数!$A$5:$A$7,0)),"")</f>
        <v>1.25</v>
      </c>
      <c r="AA869">
        <f>IFERROR(INDEX(楼层配置!$E$5:$E$204,MATCH($K869,楼层配置!$B$5:$B$204,0)),1)</f>
        <v>1.12582067235919</v>
      </c>
      <c r="AB869">
        <f>IFERROR(INDEX(楼层配置!$F$5:$F$204,MATCH($K869,楼层配置!$B$5:$B$204,0)),1)</f>
        <v>0.729834891319568</v>
      </c>
      <c r="AC869">
        <f>IFERROR(INDEX(楼层配置!$G$5:$G$204,MATCH($K869,楼层配置!$B$5:$B$204,0)),1)</f>
        <v>1</v>
      </c>
      <c r="AD869" t="str">
        <f t="shared" si="107"/>
        <v/>
      </c>
      <c r="AE869" t="str">
        <f t="shared" si="108"/>
        <v/>
      </c>
      <c r="AF869" t="str">
        <f t="shared" si="109"/>
        <v/>
      </c>
      <c r="AG869" t="str">
        <f t="shared" si="110"/>
        <v>有效</v>
      </c>
      <c r="AH869">
        <f t="shared" si="111"/>
        <v>25353644.8535</v>
      </c>
    </row>
    <row r="870" spans="1:34">
      <c r="A870">
        <v>866</v>
      </c>
      <c r="B870">
        <v>1003</v>
      </c>
      <c r="C870">
        <v>60</v>
      </c>
      <c r="D870">
        <f>IFERROR(ROUND($U870*$X870*$AA870*参数!$B$13,0),"")</f>
        <v>8563582</v>
      </c>
      <c r="E870">
        <f>IFERROR(ROUND($V870*$Y870*$AB870*参数!$C$13,0),"")</f>
        <v>79728</v>
      </c>
      <c r="F870">
        <f>IFERROR(ROUND($W870*$Z870*$AC870*参数!$D$13,0),"")</f>
        <v>75585</v>
      </c>
      <c r="J870">
        <v>174</v>
      </c>
      <c r="K870">
        <v>174</v>
      </c>
      <c r="L870">
        <f>IFERROR(INDEX(楼层配置!$D$5:$D$204,MATCH($K870,楼层配置!$B$5:$B$204,0)),"")</f>
        <v>416</v>
      </c>
      <c r="M870" t="str">
        <f>IFERROR(INDEX(_角色基线!$B$2:$B$100,MATCH($B870,_角色基线!$A$2:$A$100,0)),"")</f>
        <v>塔拉夏</v>
      </c>
      <c r="N870" t="str">
        <f>IFERROR(INDEX(_角色基线!$C$2:$C$100,MATCH($B870,_角色基线!$A$2:$A$100,0)),"")</f>
        <v>Tank</v>
      </c>
      <c r="O870">
        <f>IFERROR(INDEX(_怪物基线!$B$2:$B$501,MATCH(INT($L870),_怪物基线!$A$2:$A$501,0)),"")</f>
        <v>1267754</v>
      </c>
      <c r="P870">
        <f>IFERROR(INDEX(_怪物基线!$C$2:$C$501,MATCH(INT($L870),_怪物基线!$A$2:$A$501,0)),"")</f>
        <v>91034</v>
      </c>
      <c r="Q870">
        <f>IFERROR(INDEX(_怪物基线!$D$2:$D$501,MATCH(INT($L870),_怪物基线!$A$2:$A$501,0)),"")</f>
        <v>50390</v>
      </c>
      <c r="R870">
        <f>参数!$B$10</f>
        <v>4</v>
      </c>
      <c r="S870">
        <f>参数!$C$10</f>
        <v>1.2</v>
      </c>
      <c r="T870">
        <f>参数!$D$10</f>
        <v>1</v>
      </c>
      <c r="U870">
        <f t="shared" si="104"/>
        <v>5071016</v>
      </c>
      <c r="V870">
        <f t="shared" si="105"/>
        <v>109240.8</v>
      </c>
      <c r="W870">
        <f t="shared" si="106"/>
        <v>50390</v>
      </c>
      <c r="X870">
        <f>IFERROR(INDEX(参数!$B$5:$B$7,MATCH($N870,参数!$A$5:$A$7,0)),"")</f>
        <v>1.5</v>
      </c>
      <c r="Y870">
        <f>IFERROR(INDEX(参数!$C$5:$C$7,MATCH($N870,参数!$A$5:$A$7,0)),"")</f>
        <v>1</v>
      </c>
      <c r="Z870">
        <f>IFERROR(INDEX(参数!$D$5:$D$7,MATCH($N870,参数!$A$5:$A$7,0)),"")</f>
        <v>1.5</v>
      </c>
      <c r="AA870">
        <f>IFERROR(INDEX(楼层配置!$E$5:$E$204,MATCH($K870,楼层配置!$B$5:$B$204,0)),1)</f>
        <v>1.12582067235919</v>
      </c>
      <c r="AB870">
        <f>IFERROR(INDEX(楼层配置!$F$5:$F$204,MATCH($K870,楼层配置!$B$5:$B$204,0)),1)</f>
        <v>0.729834891319568</v>
      </c>
      <c r="AC870">
        <f>IFERROR(INDEX(楼层配置!$G$5:$G$204,MATCH($K870,楼层配置!$B$5:$B$204,0)),1)</f>
        <v>1</v>
      </c>
      <c r="AD870" t="str">
        <f t="shared" si="107"/>
        <v/>
      </c>
      <c r="AE870" t="str">
        <f t="shared" si="108"/>
        <v/>
      </c>
      <c r="AF870" t="str">
        <f t="shared" si="109"/>
        <v/>
      </c>
      <c r="AG870" t="str">
        <f t="shared" si="110"/>
        <v>有效</v>
      </c>
      <c r="AH870">
        <f t="shared" si="111"/>
        <v>34254328</v>
      </c>
    </row>
    <row r="871" spans="1:34">
      <c r="A871">
        <v>867</v>
      </c>
      <c r="B871">
        <v>1005</v>
      </c>
      <c r="C871">
        <v>60</v>
      </c>
      <c r="D871">
        <f>IFERROR(ROUND($U871*$X871*$AA871*参数!$B$13,0),"")</f>
        <v>5709055</v>
      </c>
      <c r="E871">
        <f>IFERROR(ROUND($V871*$Y871*$AB871*参数!$C$13,0),"")</f>
        <v>95673</v>
      </c>
      <c r="F871">
        <f>IFERROR(ROUND($W871*$Z871*$AC871*参数!$D$13,0),"")</f>
        <v>50390</v>
      </c>
      <c r="J871">
        <v>174</v>
      </c>
      <c r="K871">
        <v>174</v>
      </c>
      <c r="L871">
        <f>IFERROR(INDEX(楼层配置!$D$5:$D$204,MATCH($K871,楼层配置!$B$5:$B$204,0)),"")</f>
        <v>416</v>
      </c>
      <c r="M871" t="str">
        <f>IFERROR(INDEX(_角色基线!$B$2:$B$100,MATCH($B871,_角色基线!$A$2:$A$100,0)),"")</f>
        <v>陈单单</v>
      </c>
      <c r="N871" t="str">
        <f>IFERROR(INDEX(_角色基线!$C$2:$C$100,MATCH($B871,_角色基线!$A$2:$A$100,0)),"")</f>
        <v>DPS</v>
      </c>
      <c r="O871">
        <f>IFERROR(INDEX(_怪物基线!$B$2:$B$501,MATCH(INT($L871),_怪物基线!$A$2:$A$501,0)),"")</f>
        <v>1267754</v>
      </c>
      <c r="P871">
        <f>IFERROR(INDEX(_怪物基线!$C$2:$C$501,MATCH(INT($L871),_怪物基线!$A$2:$A$501,0)),"")</f>
        <v>91034</v>
      </c>
      <c r="Q871">
        <f>IFERROR(INDEX(_怪物基线!$D$2:$D$501,MATCH(INT($L871),_怪物基线!$A$2:$A$501,0)),"")</f>
        <v>50390</v>
      </c>
      <c r="R871">
        <f>参数!$B$10</f>
        <v>4</v>
      </c>
      <c r="S871">
        <f>参数!$C$10</f>
        <v>1.2</v>
      </c>
      <c r="T871">
        <f>参数!$D$10</f>
        <v>1</v>
      </c>
      <c r="U871">
        <f t="shared" si="104"/>
        <v>5071016</v>
      </c>
      <c r="V871">
        <f t="shared" si="105"/>
        <v>109240.8</v>
      </c>
      <c r="W871">
        <f t="shared" si="106"/>
        <v>50390</v>
      </c>
      <c r="X871">
        <f>IFERROR(INDEX(参数!$B$5:$B$7,MATCH($N871,参数!$A$5:$A$7,0)),"")</f>
        <v>1</v>
      </c>
      <c r="Y871">
        <f>IFERROR(INDEX(参数!$C$5:$C$7,MATCH($N871,参数!$A$5:$A$7,0)),"")</f>
        <v>1.2</v>
      </c>
      <c r="Z871">
        <f>IFERROR(INDEX(参数!$D$5:$D$7,MATCH($N871,参数!$A$5:$A$7,0)),"")</f>
        <v>1</v>
      </c>
      <c r="AA871">
        <f>IFERROR(INDEX(楼层配置!$E$5:$E$204,MATCH($K871,楼层配置!$B$5:$B$204,0)),1)</f>
        <v>1.12582067235919</v>
      </c>
      <c r="AB871">
        <f>IFERROR(INDEX(楼层配置!$F$5:$F$204,MATCH($K871,楼层配置!$B$5:$B$204,0)),1)</f>
        <v>0.729834891319568</v>
      </c>
      <c r="AC871">
        <f>IFERROR(INDEX(楼层配置!$G$5:$G$204,MATCH($K871,楼层配置!$B$5:$B$204,0)),1)</f>
        <v>1</v>
      </c>
      <c r="AD871" t="str">
        <f t="shared" si="107"/>
        <v/>
      </c>
      <c r="AE871" t="str">
        <f t="shared" si="108"/>
        <v/>
      </c>
      <c r="AF871" t="str">
        <f t="shared" si="109"/>
        <v/>
      </c>
      <c r="AG871" t="str">
        <f t="shared" si="110"/>
        <v>有效</v>
      </c>
      <c r="AH871">
        <f t="shared" si="111"/>
        <v>17695691.7270833</v>
      </c>
    </row>
    <row r="872" spans="1:34">
      <c r="A872">
        <v>868</v>
      </c>
      <c r="B872">
        <v>1005</v>
      </c>
      <c r="C872">
        <v>60</v>
      </c>
      <c r="D872">
        <f>IFERROR(ROUND($U872*$X872*$AA872*参数!$B$13,0),"")</f>
        <v>5709055</v>
      </c>
      <c r="E872">
        <f>IFERROR(ROUND($V872*$Y872*$AB872*参数!$C$13,0),"")</f>
        <v>95673</v>
      </c>
      <c r="F872">
        <f>IFERROR(ROUND($W872*$Z872*$AC872*参数!$D$13,0),"")</f>
        <v>50390</v>
      </c>
      <c r="J872">
        <v>174</v>
      </c>
      <c r="K872">
        <v>174</v>
      </c>
      <c r="L872">
        <f>IFERROR(INDEX(楼层配置!$D$5:$D$204,MATCH($K872,楼层配置!$B$5:$B$204,0)),"")</f>
        <v>416</v>
      </c>
      <c r="M872" t="str">
        <f>IFERROR(INDEX(_角色基线!$B$2:$B$100,MATCH($B872,_角色基线!$A$2:$A$100,0)),"")</f>
        <v>陈单单</v>
      </c>
      <c r="N872" t="str">
        <f>IFERROR(INDEX(_角色基线!$C$2:$C$100,MATCH($B872,_角色基线!$A$2:$A$100,0)),"")</f>
        <v>DPS</v>
      </c>
      <c r="O872">
        <f>IFERROR(INDEX(_怪物基线!$B$2:$B$501,MATCH(INT($L872),_怪物基线!$A$2:$A$501,0)),"")</f>
        <v>1267754</v>
      </c>
      <c r="P872">
        <f>IFERROR(INDEX(_怪物基线!$C$2:$C$501,MATCH(INT($L872),_怪物基线!$A$2:$A$501,0)),"")</f>
        <v>91034</v>
      </c>
      <c r="Q872">
        <f>IFERROR(INDEX(_怪物基线!$D$2:$D$501,MATCH(INT($L872),_怪物基线!$A$2:$A$501,0)),"")</f>
        <v>50390</v>
      </c>
      <c r="R872">
        <f>参数!$B$10</f>
        <v>4</v>
      </c>
      <c r="S872">
        <f>参数!$C$10</f>
        <v>1.2</v>
      </c>
      <c r="T872">
        <f>参数!$D$10</f>
        <v>1</v>
      </c>
      <c r="U872">
        <f t="shared" si="104"/>
        <v>5071016</v>
      </c>
      <c r="V872">
        <f t="shared" si="105"/>
        <v>109240.8</v>
      </c>
      <c r="W872">
        <f t="shared" si="106"/>
        <v>50390</v>
      </c>
      <c r="X872">
        <f>IFERROR(INDEX(参数!$B$5:$B$7,MATCH($N872,参数!$A$5:$A$7,0)),"")</f>
        <v>1</v>
      </c>
      <c r="Y872">
        <f>IFERROR(INDEX(参数!$C$5:$C$7,MATCH($N872,参数!$A$5:$A$7,0)),"")</f>
        <v>1.2</v>
      </c>
      <c r="Z872">
        <f>IFERROR(INDEX(参数!$D$5:$D$7,MATCH($N872,参数!$A$5:$A$7,0)),"")</f>
        <v>1</v>
      </c>
      <c r="AA872">
        <f>IFERROR(INDEX(楼层配置!$E$5:$E$204,MATCH($K872,楼层配置!$B$5:$B$204,0)),1)</f>
        <v>1.12582067235919</v>
      </c>
      <c r="AB872">
        <f>IFERROR(INDEX(楼层配置!$F$5:$F$204,MATCH($K872,楼层配置!$B$5:$B$204,0)),1)</f>
        <v>0.729834891319568</v>
      </c>
      <c r="AC872">
        <f>IFERROR(INDEX(楼层配置!$G$5:$G$204,MATCH($K872,楼层配置!$B$5:$B$204,0)),1)</f>
        <v>1</v>
      </c>
      <c r="AD872" t="str">
        <f t="shared" si="107"/>
        <v/>
      </c>
      <c r="AE872" t="str">
        <f t="shared" si="108"/>
        <v/>
      </c>
      <c r="AF872" t="str">
        <f t="shared" si="109"/>
        <v/>
      </c>
      <c r="AG872" t="str">
        <f t="shared" si="110"/>
        <v>有效</v>
      </c>
      <c r="AH872">
        <f t="shared" si="111"/>
        <v>17695691.7270833</v>
      </c>
    </row>
    <row r="873" spans="1:34">
      <c r="A873">
        <v>869</v>
      </c>
      <c r="B873">
        <v>1005</v>
      </c>
      <c r="C873">
        <v>60</v>
      </c>
      <c r="D873">
        <f>IFERROR(ROUND($U873*$X873*$AA873*参数!$B$13,0),"")</f>
        <v>5709055</v>
      </c>
      <c r="E873">
        <f>IFERROR(ROUND($V873*$Y873*$AB873*参数!$C$13,0),"")</f>
        <v>95673</v>
      </c>
      <c r="F873">
        <f>IFERROR(ROUND($W873*$Z873*$AC873*参数!$D$13,0),"")</f>
        <v>50390</v>
      </c>
      <c r="J873">
        <v>174</v>
      </c>
      <c r="K873">
        <v>174</v>
      </c>
      <c r="L873">
        <f>IFERROR(INDEX(楼层配置!$D$5:$D$204,MATCH($K873,楼层配置!$B$5:$B$204,0)),"")</f>
        <v>416</v>
      </c>
      <c r="M873" t="str">
        <f>IFERROR(INDEX(_角色基线!$B$2:$B$100,MATCH($B873,_角色基线!$A$2:$A$100,0)),"")</f>
        <v>陈单单</v>
      </c>
      <c r="N873" t="str">
        <f>IFERROR(INDEX(_角色基线!$C$2:$C$100,MATCH($B873,_角色基线!$A$2:$A$100,0)),"")</f>
        <v>DPS</v>
      </c>
      <c r="O873">
        <f>IFERROR(INDEX(_怪物基线!$B$2:$B$501,MATCH(INT($L873),_怪物基线!$A$2:$A$501,0)),"")</f>
        <v>1267754</v>
      </c>
      <c r="P873">
        <f>IFERROR(INDEX(_怪物基线!$C$2:$C$501,MATCH(INT($L873),_怪物基线!$A$2:$A$501,0)),"")</f>
        <v>91034</v>
      </c>
      <c r="Q873">
        <f>IFERROR(INDEX(_怪物基线!$D$2:$D$501,MATCH(INT($L873),_怪物基线!$A$2:$A$501,0)),"")</f>
        <v>50390</v>
      </c>
      <c r="R873">
        <f>参数!$B$10</f>
        <v>4</v>
      </c>
      <c r="S873">
        <f>参数!$C$10</f>
        <v>1.2</v>
      </c>
      <c r="T873">
        <f>参数!$D$10</f>
        <v>1</v>
      </c>
      <c r="U873">
        <f t="shared" si="104"/>
        <v>5071016</v>
      </c>
      <c r="V873">
        <f t="shared" si="105"/>
        <v>109240.8</v>
      </c>
      <c r="W873">
        <f t="shared" si="106"/>
        <v>50390</v>
      </c>
      <c r="X873">
        <f>IFERROR(INDEX(参数!$B$5:$B$7,MATCH($N873,参数!$A$5:$A$7,0)),"")</f>
        <v>1</v>
      </c>
      <c r="Y873">
        <f>IFERROR(INDEX(参数!$C$5:$C$7,MATCH($N873,参数!$A$5:$A$7,0)),"")</f>
        <v>1.2</v>
      </c>
      <c r="Z873">
        <f>IFERROR(INDEX(参数!$D$5:$D$7,MATCH($N873,参数!$A$5:$A$7,0)),"")</f>
        <v>1</v>
      </c>
      <c r="AA873">
        <f>IFERROR(INDEX(楼层配置!$E$5:$E$204,MATCH($K873,楼层配置!$B$5:$B$204,0)),1)</f>
        <v>1.12582067235919</v>
      </c>
      <c r="AB873">
        <f>IFERROR(INDEX(楼层配置!$F$5:$F$204,MATCH($K873,楼层配置!$B$5:$B$204,0)),1)</f>
        <v>0.729834891319568</v>
      </c>
      <c r="AC873">
        <f>IFERROR(INDEX(楼层配置!$G$5:$G$204,MATCH($K873,楼层配置!$B$5:$B$204,0)),1)</f>
        <v>1</v>
      </c>
      <c r="AD873" t="str">
        <f t="shared" si="107"/>
        <v/>
      </c>
      <c r="AE873" t="str">
        <f t="shared" si="108"/>
        <v/>
      </c>
      <c r="AF873" t="str">
        <f t="shared" si="109"/>
        <v/>
      </c>
      <c r="AG873" t="str">
        <f t="shared" si="110"/>
        <v>有效</v>
      </c>
      <c r="AH873">
        <f t="shared" si="111"/>
        <v>17695691.7270833</v>
      </c>
    </row>
    <row r="874" spans="1:34">
      <c r="A874">
        <v>870</v>
      </c>
      <c r="B874">
        <v>1029</v>
      </c>
      <c r="C874">
        <v>60</v>
      </c>
      <c r="D874">
        <f>IFERROR(ROUND($U874*$X874*$AA874*参数!$B$13,0),"")</f>
        <v>7136318</v>
      </c>
      <c r="E874">
        <f>IFERROR(ROUND($V874*$Y874*$AB874*参数!$C$13,0),"")</f>
        <v>79728</v>
      </c>
      <c r="F874">
        <f>IFERROR(ROUND($W874*$Z874*$AC874*参数!$D$13,0),"")</f>
        <v>62988</v>
      </c>
      <c r="J874">
        <v>174</v>
      </c>
      <c r="K874">
        <v>174</v>
      </c>
      <c r="L874">
        <f>IFERROR(INDEX(楼层配置!$D$5:$D$204,MATCH($K874,楼层配置!$B$5:$B$204,0)),"")</f>
        <v>416</v>
      </c>
      <c r="M874" t="str">
        <f>IFERROR(INDEX(_角色基线!$B$2:$B$100,MATCH($B874,_角色基线!$A$2:$A$100,0)),"")</f>
        <v>凯兰</v>
      </c>
      <c r="N874" t="str">
        <f>IFERROR(INDEX(_角色基线!$C$2:$C$100,MATCH($B874,_角色基线!$A$2:$A$100,0)),"")</f>
        <v>Support</v>
      </c>
      <c r="O874">
        <f>IFERROR(INDEX(_怪物基线!$B$2:$B$501,MATCH(INT($L874),_怪物基线!$A$2:$A$501,0)),"")</f>
        <v>1267754</v>
      </c>
      <c r="P874">
        <f>IFERROR(INDEX(_怪物基线!$C$2:$C$501,MATCH(INT($L874),_怪物基线!$A$2:$A$501,0)),"")</f>
        <v>91034</v>
      </c>
      <c r="Q874">
        <f>IFERROR(INDEX(_怪物基线!$D$2:$D$501,MATCH(INT($L874),_怪物基线!$A$2:$A$501,0)),"")</f>
        <v>50390</v>
      </c>
      <c r="R874">
        <f>参数!$B$10</f>
        <v>4</v>
      </c>
      <c r="S874">
        <f>参数!$C$10</f>
        <v>1.2</v>
      </c>
      <c r="T874">
        <f>参数!$D$10</f>
        <v>1</v>
      </c>
      <c r="U874">
        <f t="shared" si="104"/>
        <v>5071016</v>
      </c>
      <c r="V874">
        <f t="shared" si="105"/>
        <v>109240.8</v>
      </c>
      <c r="W874">
        <f t="shared" si="106"/>
        <v>50390</v>
      </c>
      <c r="X874">
        <f>IFERROR(INDEX(参数!$B$5:$B$7,MATCH($N874,参数!$A$5:$A$7,0)),"")</f>
        <v>1.25</v>
      </c>
      <c r="Y874">
        <f>IFERROR(INDEX(参数!$C$5:$C$7,MATCH($N874,参数!$A$5:$A$7,0)),"")</f>
        <v>1</v>
      </c>
      <c r="Z874">
        <f>IFERROR(INDEX(参数!$D$5:$D$7,MATCH($N874,参数!$A$5:$A$7,0)),"")</f>
        <v>1.25</v>
      </c>
      <c r="AA874">
        <f>IFERROR(INDEX(楼层配置!$E$5:$E$204,MATCH($K874,楼层配置!$B$5:$B$204,0)),1)</f>
        <v>1.12582067235919</v>
      </c>
      <c r="AB874">
        <f>IFERROR(INDEX(楼层配置!$F$5:$F$204,MATCH($K874,楼层配置!$B$5:$B$204,0)),1)</f>
        <v>0.729834891319568</v>
      </c>
      <c r="AC874">
        <f>IFERROR(INDEX(楼层配置!$G$5:$G$204,MATCH($K874,楼层配置!$B$5:$B$204,0)),1)</f>
        <v>1</v>
      </c>
      <c r="AD874" t="str">
        <f t="shared" si="107"/>
        <v/>
      </c>
      <c r="AE874" t="str">
        <f t="shared" si="108"/>
        <v/>
      </c>
      <c r="AF874" t="str">
        <f t="shared" si="109"/>
        <v/>
      </c>
      <c r="AG874" t="str">
        <f t="shared" si="110"/>
        <v>有效</v>
      </c>
      <c r="AH874">
        <f t="shared" si="111"/>
        <v>25865584.591</v>
      </c>
    </row>
    <row r="875" spans="1:34">
      <c r="A875">
        <v>871</v>
      </c>
      <c r="B875">
        <v>1003</v>
      </c>
      <c r="C875">
        <v>60</v>
      </c>
      <c r="D875">
        <f>IFERROR(ROUND($U875*$X875*$AA875*参数!$B$13,0),"")</f>
        <v>8800288</v>
      </c>
      <c r="E875">
        <f>IFERROR(ROUND($V875*$Y875*$AB875*参数!$C$13,0),"")</f>
        <v>80845</v>
      </c>
      <c r="F875">
        <f>IFERROR(ROUND($W875*$Z875*$AC875*参数!$D$13,0),"")</f>
        <v>76344</v>
      </c>
      <c r="J875">
        <v>175</v>
      </c>
      <c r="K875">
        <v>175</v>
      </c>
      <c r="L875">
        <f>IFERROR(INDEX(楼层配置!$D$5:$D$204,MATCH($K875,楼层配置!$B$5:$B$204,0)),"")</f>
        <v>419</v>
      </c>
      <c r="M875" t="str">
        <f>IFERROR(INDEX(_角色基线!$B$2:$B$100,MATCH($B875,_角色基线!$A$2:$A$100,0)),"")</f>
        <v>塔拉夏</v>
      </c>
      <c r="N875" t="str">
        <f>IFERROR(INDEX(_角色基线!$C$2:$C$100,MATCH($B875,_角色基线!$A$2:$A$100,0)),"")</f>
        <v>Tank</v>
      </c>
      <c r="O875">
        <f>IFERROR(INDEX(_怪物基线!$B$2:$B$501,MATCH(INT($L875),_怪物基线!$A$2:$A$501,0)),"")</f>
        <v>1296738</v>
      </c>
      <c r="P875">
        <f>IFERROR(INDEX(_怪物基线!$C$2:$C$501,MATCH(INT($L875),_怪物基线!$A$2:$A$501,0)),"")</f>
        <v>92710</v>
      </c>
      <c r="Q875">
        <f>IFERROR(INDEX(_怪物基线!$D$2:$D$501,MATCH(INT($L875),_怪物基线!$A$2:$A$501,0)),"")</f>
        <v>50896</v>
      </c>
      <c r="R875">
        <f>参数!$B$10</f>
        <v>4</v>
      </c>
      <c r="S875">
        <f>参数!$C$10</f>
        <v>1.2</v>
      </c>
      <c r="T875">
        <f>参数!$D$10</f>
        <v>1</v>
      </c>
      <c r="U875">
        <f t="shared" si="104"/>
        <v>5186952</v>
      </c>
      <c r="V875">
        <f t="shared" si="105"/>
        <v>111252</v>
      </c>
      <c r="W875">
        <f t="shared" si="106"/>
        <v>50896</v>
      </c>
      <c r="X875">
        <f>IFERROR(INDEX(参数!$B$5:$B$7,MATCH($N875,参数!$A$5:$A$7,0)),"")</f>
        <v>1.5</v>
      </c>
      <c r="Y875">
        <f>IFERROR(INDEX(参数!$C$5:$C$7,MATCH($N875,参数!$A$5:$A$7,0)),"")</f>
        <v>1</v>
      </c>
      <c r="Z875">
        <f>IFERROR(INDEX(参数!$D$5:$D$7,MATCH($N875,参数!$A$5:$A$7,0)),"")</f>
        <v>1.5</v>
      </c>
      <c r="AA875">
        <f>IFERROR(INDEX(楼层配置!$E$5:$E$204,MATCH($K875,楼层配置!$B$5:$B$204,0)),1)</f>
        <v>1.13108015591293</v>
      </c>
      <c r="AB875">
        <f>IFERROR(INDEX(楼层配置!$F$5:$F$204,MATCH($K875,楼层配置!$B$5:$B$204,0)),1)</f>
        <v>0.726679309784578</v>
      </c>
      <c r="AC875">
        <f>IFERROR(INDEX(楼层配置!$G$5:$G$204,MATCH($K875,楼层配置!$B$5:$B$204,0)),1)</f>
        <v>1</v>
      </c>
      <c r="AD875" t="str">
        <f t="shared" si="107"/>
        <v/>
      </c>
      <c r="AE875" t="str">
        <f t="shared" si="108"/>
        <v/>
      </c>
      <c r="AF875" t="str">
        <f t="shared" si="109"/>
        <v/>
      </c>
      <c r="AG875" t="str">
        <f t="shared" si="110"/>
        <v>有效</v>
      </c>
      <c r="AH875">
        <f t="shared" si="111"/>
        <v>35201152</v>
      </c>
    </row>
    <row r="876" spans="1:34">
      <c r="A876">
        <v>872</v>
      </c>
      <c r="B876">
        <v>1005</v>
      </c>
      <c r="C876">
        <v>60</v>
      </c>
      <c r="D876">
        <f>IFERROR(ROUND($U876*$X876*$AA876*参数!$B$13,0),"")</f>
        <v>5866858</v>
      </c>
      <c r="E876">
        <f>IFERROR(ROUND($V876*$Y876*$AB876*参数!$C$13,0),"")</f>
        <v>97013</v>
      </c>
      <c r="F876">
        <f>IFERROR(ROUND($W876*$Z876*$AC876*参数!$D$13,0),"")</f>
        <v>50896</v>
      </c>
      <c r="J876">
        <v>175</v>
      </c>
      <c r="K876">
        <v>175</v>
      </c>
      <c r="L876">
        <f>IFERROR(INDEX(楼层配置!$D$5:$D$204,MATCH($K876,楼层配置!$B$5:$B$204,0)),"")</f>
        <v>419</v>
      </c>
      <c r="M876" t="str">
        <f>IFERROR(INDEX(_角色基线!$B$2:$B$100,MATCH($B876,_角色基线!$A$2:$A$100,0)),"")</f>
        <v>陈单单</v>
      </c>
      <c r="N876" t="str">
        <f>IFERROR(INDEX(_角色基线!$C$2:$C$100,MATCH($B876,_角色基线!$A$2:$A$100,0)),"")</f>
        <v>DPS</v>
      </c>
      <c r="O876">
        <f>IFERROR(INDEX(_怪物基线!$B$2:$B$501,MATCH(INT($L876),_怪物基线!$A$2:$A$501,0)),"")</f>
        <v>1296738</v>
      </c>
      <c r="P876">
        <f>IFERROR(INDEX(_怪物基线!$C$2:$C$501,MATCH(INT($L876),_怪物基线!$A$2:$A$501,0)),"")</f>
        <v>92710</v>
      </c>
      <c r="Q876">
        <f>IFERROR(INDEX(_怪物基线!$D$2:$D$501,MATCH(INT($L876),_怪物基线!$A$2:$A$501,0)),"")</f>
        <v>50896</v>
      </c>
      <c r="R876">
        <f>参数!$B$10</f>
        <v>4</v>
      </c>
      <c r="S876">
        <f>参数!$C$10</f>
        <v>1.2</v>
      </c>
      <c r="T876">
        <f>参数!$D$10</f>
        <v>1</v>
      </c>
      <c r="U876">
        <f t="shared" si="104"/>
        <v>5186952</v>
      </c>
      <c r="V876">
        <f t="shared" si="105"/>
        <v>111252</v>
      </c>
      <c r="W876">
        <f t="shared" si="106"/>
        <v>50896</v>
      </c>
      <c r="X876">
        <f>IFERROR(INDEX(参数!$B$5:$B$7,MATCH($N876,参数!$A$5:$A$7,0)),"")</f>
        <v>1</v>
      </c>
      <c r="Y876">
        <f>IFERROR(INDEX(参数!$C$5:$C$7,MATCH($N876,参数!$A$5:$A$7,0)),"")</f>
        <v>1.2</v>
      </c>
      <c r="Z876">
        <f>IFERROR(INDEX(参数!$D$5:$D$7,MATCH($N876,参数!$A$5:$A$7,0)),"")</f>
        <v>1</v>
      </c>
      <c r="AA876">
        <f>IFERROR(INDEX(楼层配置!$E$5:$E$204,MATCH($K876,楼层配置!$B$5:$B$204,0)),1)</f>
        <v>1.13108015591293</v>
      </c>
      <c r="AB876">
        <f>IFERROR(INDEX(楼层配置!$F$5:$F$204,MATCH($K876,楼层配置!$B$5:$B$204,0)),1)</f>
        <v>0.726679309784578</v>
      </c>
      <c r="AC876">
        <f>IFERROR(INDEX(楼层配置!$G$5:$G$204,MATCH($K876,楼层配置!$B$5:$B$204,0)),1)</f>
        <v>1</v>
      </c>
      <c r="AD876" t="str">
        <f t="shared" si="107"/>
        <v/>
      </c>
      <c r="AE876" t="str">
        <f t="shared" si="108"/>
        <v/>
      </c>
      <c r="AF876" t="str">
        <f t="shared" si="109"/>
        <v/>
      </c>
      <c r="AG876" t="str">
        <f t="shared" si="110"/>
        <v>有效</v>
      </c>
      <c r="AH876">
        <f t="shared" si="111"/>
        <v>18308508.1986667</v>
      </c>
    </row>
    <row r="877" spans="1:34">
      <c r="A877">
        <v>873</v>
      </c>
      <c r="B877">
        <v>1005</v>
      </c>
      <c r="C877">
        <v>60</v>
      </c>
      <c r="D877">
        <f>IFERROR(ROUND($U877*$X877*$AA877*参数!$B$13,0),"")</f>
        <v>5866858</v>
      </c>
      <c r="E877">
        <f>IFERROR(ROUND($V877*$Y877*$AB877*参数!$C$13,0),"")</f>
        <v>97013</v>
      </c>
      <c r="F877">
        <f>IFERROR(ROUND($W877*$Z877*$AC877*参数!$D$13,0),"")</f>
        <v>50896</v>
      </c>
      <c r="J877">
        <v>175</v>
      </c>
      <c r="K877">
        <v>175</v>
      </c>
      <c r="L877">
        <f>IFERROR(INDEX(楼层配置!$D$5:$D$204,MATCH($K877,楼层配置!$B$5:$B$204,0)),"")</f>
        <v>419</v>
      </c>
      <c r="M877" t="str">
        <f>IFERROR(INDEX(_角色基线!$B$2:$B$100,MATCH($B877,_角色基线!$A$2:$A$100,0)),"")</f>
        <v>陈单单</v>
      </c>
      <c r="N877" t="str">
        <f>IFERROR(INDEX(_角色基线!$C$2:$C$100,MATCH($B877,_角色基线!$A$2:$A$100,0)),"")</f>
        <v>DPS</v>
      </c>
      <c r="O877">
        <f>IFERROR(INDEX(_怪物基线!$B$2:$B$501,MATCH(INT($L877),_怪物基线!$A$2:$A$501,0)),"")</f>
        <v>1296738</v>
      </c>
      <c r="P877">
        <f>IFERROR(INDEX(_怪物基线!$C$2:$C$501,MATCH(INT($L877),_怪物基线!$A$2:$A$501,0)),"")</f>
        <v>92710</v>
      </c>
      <c r="Q877">
        <f>IFERROR(INDEX(_怪物基线!$D$2:$D$501,MATCH(INT($L877),_怪物基线!$A$2:$A$501,0)),"")</f>
        <v>50896</v>
      </c>
      <c r="R877">
        <f>参数!$B$10</f>
        <v>4</v>
      </c>
      <c r="S877">
        <f>参数!$C$10</f>
        <v>1.2</v>
      </c>
      <c r="T877">
        <f>参数!$D$10</f>
        <v>1</v>
      </c>
      <c r="U877">
        <f t="shared" si="104"/>
        <v>5186952</v>
      </c>
      <c r="V877">
        <f t="shared" si="105"/>
        <v>111252</v>
      </c>
      <c r="W877">
        <f t="shared" si="106"/>
        <v>50896</v>
      </c>
      <c r="X877">
        <f>IFERROR(INDEX(参数!$B$5:$B$7,MATCH($N877,参数!$A$5:$A$7,0)),"")</f>
        <v>1</v>
      </c>
      <c r="Y877">
        <f>IFERROR(INDEX(参数!$C$5:$C$7,MATCH($N877,参数!$A$5:$A$7,0)),"")</f>
        <v>1.2</v>
      </c>
      <c r="Z877">
        <f>IFERROR(INDEX(参数!$D$5:$D$7,MATCH($N877,参数!$A$5:$A$7,0)),"")</f>
        <v>1</v>
      </c>
      <c r="AA877">
        <f>IFERROR(INDEX(楼层配置!$E$5:$E$204,MATCH($K877,楼层配置!$B$5:$B$204,0)),1)</f>
        <v>1.13108015591293</v>
      </c>
      <c r="AB877">
        <f>IFERROR(INDEX(楼层配置!$F$5:$F$204,MATCH($K877,楼层配置!$B$5:$B$204,0)),1)</f>
        <v>0.726679309784578</v>
      </c>
      <c r="AC877">
        <f>IFERROR(INDEX(楼层配置!$G$5:$G$204,MATCH($K877,楼层配置!$B$5:$B$204,0)),1)</f>
        <v>1</v>
      </c>
      <c r="AD877" t="str">
        <f t="shared" si="107"/>
        <v/>
      </c>
      <c r="AE877" t="str">
        <f t="shared" si="108"/>
        <v/>
      </c>
      <c r="AF877" t="str">
        <f t="shared" si="109"/>
        <v/>
      </c>
      <c r="AG877" t="str">
        <f t="shared" si="110"/>
        <v>有效</v>
      </c>
      <c r="AH877">
        <f t="shared" si="111"/>
        <v>18308508.1986667</v>
      </c>
    </row>
    <row r="878" spans="1:34">
      <c r="A878">
        <v>874</v>
      </c>
      <c r="B878">
        <v>1005</v>
      </c>
      <c r="C878">
        <v>60</v>
      </c>
      <c r="D878">
        <f>IFERROR(ROUND($U878*$X878*$AA878*参数!$B$13,0),"")</f>
        <v>5866858</v>
      </c>
      <c r="E878">
        <f>IFERROR(ROUND($V878*$Y878*$AB878*参数!$C$13,0),"")</f>
        <v>97013</v>
      </c>
      <c r="F878">
        <f>IFERROR(ROUND($W878*$Z878*$AC878*参数!$D$13,0),"")</f>
        <v>50896</v>
      </c>
      <c r="J878">
        <v>175</v>
      </c>
      <c r="K878">
        <v>175</v>
      </c>
      <c r="L878">
        <f>IFERROR(INDEX(楼层配置!$D$5:$D$204,MATCH($K878,楼层配置!$B$5:$B$204,0)),"")</f>
        <v>419</v>
      </c>
      <c r="M878" t="str">
        <f>IFERROR(INDEX(_角色基线!$B$2:$B$100,MATCH($B878,_角色基线!$A$2:$A$100,0)),"")</f>
        <v>陈单单</v>
      </c>
      <c r="N878" t="str">
        <f>IFERROR(INDEX(_角色基线!$C$2:$C$100,MATCH($B878,_角色基线!$A$2:$A$100,0)),"")</f>
        <v>DPS</v>
      </c>
      <c r="O878">
        <f>IFERROR(INDEX(_怪物基线!$B$2:$B$501,MATCH(INT($L878),_怪物基线!$A$2:$A$501,0)),"")</f>
        <v>1296738</v>
      </c>
      <c r="P878">
        <f>IFERROR(INDEX(_怪物基线!$C$2:$C$501,MATCH(INT($L878),_怪物基线!$A$2:$A$501,0)),"")</f>
        <v>92710</v>
      </c>
      <c r="Q878">
        <f>IFERROR(INDEX(_怪物基线!$D$2:$D$501,MATCH(INT($L878),_怪物基线!$A$2:$A$501,0)),"")</f>
        <v>50896</v>
      </c>
      <c r="R878">
        <f>参数!$B$10</f>
        <v>4</v>
      </c>
      <c r="S878">
        <f>参数!$C$10</f>
        <v>1.2</v>
      </c>
      <c r="T878">
        <f>参数!$D$10</f>
        <v>1</v>
      </c>
      <c r="U878">
        <f t="shared" si="104"/>
        <v>5186952</v>
      </c>
      <c r="V878">
        <f t="shared" si="105"/>
        <v>111252</v>
      </c>
      <c r="W878">
        <f t="shared" si="106"/>
        <v>50896</v>
      </c>
      <c r="X878">
        <f>IFERROR(INDEX(参数!$B$5:$B$7,MATCH($N878,参数!$A$5:$A$7,0)),"")</f>
        <v>1</v>
      </c>
      <c r="Y878">
        <f>IFERROR(INDEX(参数!$C$5:$C$7,MATCH($N878,参数!$A$5:$A$7,0)),"")</f>
        <v>1.2</v>
      </c>
      <c r="Z878">
        <f>IFERROR(INDEX(参数!$D$5:$D$7,MATCH($N878,参数!$A$5:$A$7,0)),"")</f>
        <v>1</v>
      </c>
      <c r="AA878">
        <f>IFERROR(INDEX(楼层配置!$E$5:$E$204,MATCH($K878,楼层配置!$B$5:$B$204,0)),1)</f>
        <v>1.13108015591293</v>
      </c>
      <c r="AB878">
        <f>IFERROR(INDEX(楼层配置!$F$5:$F$204,MATCH($K878,楼层配置!$B$5:$B$204,0)),1)</f>
        <v>0.726679309784578</v>
      </c>
      <c r="AC878">
        <f>IFERROR(INDEX(楼层配置!$G$5:$G$204,MATCH($K878,楼层配置!$B$5:$B$204,0)),1)</f>
        <v>1</v>
      </c>
      <c r="AD878" t="str">
        <f t="shared" si="107"/>
        <v/>
      </c>
      <c r="AE878" t="str">
        <f t="shared" si="108"/>
        <v/>
      </c>
      <c r="AF878" t="str">
        <f t="shared" si="109"/>
        <v/>
      </c>
      <c r="AG878" t="str">
        <f t="shared" si="110"/>
        <v>有效</v>
      </c>
      <c r="AH878">
        <f t="shared" si="111"/>
        <v>18308508.1986667</v>
      </c>
    </row>
    <row r="879" spans="1:34">
      <c r="A879">
        <v>875</v>
      </c>
      <c r="B879">
        <v>1029</v>
      </c>
      <c r="C879">
        <v>60</v>
      </c>
      <c r="D879">
        <f>IFERROR(ROUND($U879*$X879*$AA879*参数!$B$13,0),"")</f>
        <v>7333573</v>
      </c>
      <c r="E879">
        <f>IFERROR(ROUND($V879*$Y879*$AB879*参数!$C$13,0),"")</f>
        <v>80845</v>
      </c>
      <c r="F879">
        <f>IFERROR(ROUND($W879*$Z879*$AC879*参数!$D$13,0),"")</f>
        <v>63620</v>
      </c>
      <c r="J879">
        <v>175</v>
      </c>
      <c r="K879">
        <v>175</v>
      </c>
      <c r="L879">
        <f>IFERROR(INDEX(楼层配置!$D$5:$D$204,MATCH($K879,楼层配置!$B$5:$B$204,0)),"")</f>
        <v>419</v>
      </c>
      <c r="M879" t="str">
        <f>IFERROR(INDEX(_角色基线!$B$2:$B$100,MATCH($B879,_角色基线!$A$2:$A$100,0)),"")</f>
        <v>凯兰</v>
      </c>
      <c r="N879" t="str">
        <f>IFERROR(INDEX(_角色基线!$C$2:$C$100,MATCH($B879,_角色基线!$A$2:$A$100,0)),"")</f>
        <v>Support</v>
      </c>
      <c r="O879">
        <f>IFERROR(INDEX(_怪物基线!$B$2:$B$501,MATCH(INT($L879),_怪物基线!$A$2:$A$501,0)),"")</f>
        <v>1296738</v>
      </c>
      <c r="P879">
        <f>IFERROR(INDEX(_怪物基线!$C$2:$C$501,MATCH(INT($L879),_怪物基线!$A$2:$A$501,0)),"")</f>
        <v>92710</v>
      </c>
      <c r="Q879">
        <f>IFERROR(INDEX(_怪物基线!$D$2:$D$501,MATCH(INT($L879),_怪物基线!$A$2:$A$501,0)),"")</f>
        <v>50896</v>
      </c>
      <c r="R879">
        <f>参数!$B$10</f>
        <v>4</v>
      </c>
      <c r="S879">
        <f>参数!$C$10</f>
        <v>1.2</v>
      </c>
      <c r="T879">
        <f>参数!$D$10</f>
        <v>1</v>
      </c>
      <c r="U879">
        <f t="shared" si="104"/>
        <v>5186952</v>
      </c>
      <c r="V879">
        <f t="shared" si="105"/>
        <v>111252</v>
      </c>
      <c r="W879">
        <f t="shared" si="106"/>
        <v>50896</v>
      </c>
      <c r="X879">
        <f>IFERROR(INDEX(参数!$B$5:$B$7,MATCH($N879,参数!$A$5:$A$7,0)),"")</f>
        <v>1.25</v>
      </c>
      <c r="Y879">
        <f>IFERROR(INDEX(参数!$C$5:$C$7,MATCH($N879,参数!$A$5:$A$7,0)),"")</f>
        <v>1</v>
      </c>
      <c r="Z879">
        <f>IFERROR(INDEX(参数!$D$5:$D$7,MATCH($N879,参数!$A$5:$A$7,0)),"")</f>
        <v>1.25</v>
      </c>
      <c r="AA879">
        <f>IFERROR(INDEX(楼层配置!$E$5:$E$204,MATCH($K879,楼层配置!$B$5:$B$204,0)),1)</f>
        <v>1.13108015591293</v>
      </c>
      <c r="AB879">
        <f>IFERROR(INDEX(楼层配置!$F$5:$F$204,MATCH($K879,楼层配置!$B$5:$B$204,0)),1)</f>
        <v>0.726679309784578</v>
      </c>
      <c r="AC879">
        <f>IFERROR(INDEX(楼层配置!$G$5:$G$204,MATCH($K879,楼层配置!$B$5:$B$204,0)),1)</f>
        <v>1</v>
      </c>
      <c r="AD879" t="str">
        <f t="shared" si="107"/>
        <v/>
      </c>
      <c r="AE879" t="str">
        <f t="shared" si="108"/>
        <v/>
      </c>
      <c r="AF879" t="str">
        <f t="shared" si="109"/>
        <v/>
      </c>
      <c r="AG879" t="str">
        <f t="shared" si="110"/>
        <v>有效</v>
      </c>
      <c r="AH879">
        <f t="shared" si="111"/>
        <v>26773652.7608333</v>
      </c>
    </row>
    <row r="880" spans="1:34">
      <c r="A880">
        <v>876</v>
      </c>
      <c r="B880">
        <v>1003</v>
      </c>
      <c r="C880">
        <v>60</v>
      </c>
      <c r="D880">
        <f>IFERROR(ROUND($U880*$X880*$AA880*参数!$B$13,0),"")</f>
        <v>8958704</v>
      </c>
      <c r="E880">
        <f>IFERROR(ROUND($V880*$Y880*$AB880*参数!$C$13,0),"")</f>
        <v>82687</v>
      </c>
      <c r="F880">
        <f>IFERROR(ROUND($W880*$Z880*$AC880*参数!$D$13,0),"")</f>
        <v>77106</v>
      </c>
      <c r="J880">
        <v>176</v>
      </c>
      <c r="K880">
        <v>176</v>
      </c>
      <c r="L880">
        <f>IFERROR(INDEX(楼层配置!$D$5:$D$204,MATCH($K880,楼层配置!$B$5:$B$204,0)),"")</f>
        <v>422</v>
      </c>
      <c r="M880" t="str">
        <f>IFERROR(INDEX(_角色基线!$B$2:$B$100,MATCH($B880,_角色基线!$A$2:$A$100,0)),"")</f>
        <v>塔拉夏</v>
      </c>
      <c r="N880" t="str">
        <f>IFERROR(INDEX(_角色基线!$C$2:$C$100,MATCH($B880,_角色基线!$A$2:$A$100,0)),"")</f>
        <v>Tank</v>
      </c>
      <c r="O880">
        <f>IFERROR(INDEX(_怪物基线!$B$2:$B$501,MATCH(INT($L880),_怪物基线!$A$2:$A$501,0)),"")</f>
        <v>1326248</v>
      </c>
      <c r="P880">
        <f>IFERROR(INDEX(_怪物基线!$C$2:$C$501,MATCH(INT($L880),_怪物基线!$A$2:$A$501,0)),"")</f>
        <v>94413</v>
      </c>
      <c r="Q880">
        <f>IFERROR(INDEX(_怪物基线!$D$2:$D$501,MATCH(INT($L880),_怪物基线!$A$2:$A$501,0)),"")</f>
        <v>51404</v>
      </c>
      <c r="R880">
        <f>参数!$B$10</f>
        <v>4</v>
      </c>
      <c r="S880">
        <f>参数!$C$10</f>
        <v>1.2</v>
      </c>
      <c r="T880">
        <f>参数!$D$10</f>
        <v>1</v>
      </c>
      <c r="U880">
        <f t="shared" si="104"/>
        <v>5304992</v>
      </c>
      <c r="V880">
        <f t="shared" si="105"/>
        <v>113295.6</v>
      </c>
      <c r="W880">
        <f t="shared" si="106"/>
        <v>51404</v>
      </c>
      <c r="X880">
        <f>IFERROR(INDEX(参数!$B$5:$B$7,MATCH($N880,参数!$A$5:$A$7,0)),"")</f>
        <v>1.5</v>
      </c>
      <c r="Y880">
        <f>IFERROR(INDEX(参数!$C$5:$C$7,MATCH($N880,参数!$A$5:$A$7,0)),"")</f>
        <v>1</v>
      </c>
      <c r="Z880">
        <f>IFERROR(INDEX(参数!$D$5:$D$7,MATCH($N880,参数!$A$5:$A$7,0)),"")</f>
        <v>1.5</v>
      </c>
      <c r="AA880">
        <f>IFERROR(INDEX(楼层配置!$E$5:$E$204,MATCH($K880,楼层配置!$B$5:$B$204,0)),1)</f>
        <v>1.12582067235919</v>
      </c>
      <c r="AB880">
        <f>IFERROR(INDEX(楼层配置!$F$5:$F$204,MATCH($K880,楼层配置!$B$5:$B$204,0)),1)</f>
        <v>0.729834891319568</v>
      </c>
      <c r="AC880">
        <f>IFERROR(INDEX(楼层配置!$G$5:$G$204,MATCH($K880,楼层配置!$B$5:$B$204,0)),1)</f>
        <v>1</v>
      </c>
      <c r="AD880" t="str">
        <f t="shared" si="107"/>
        <v/>
      </c>
      <c r="AE880" t="str">
        <f t="shared" si="108"/>
        <v/>
      </c>
      <c r="AF880" t="str">
        <f t="shared" si="109"/>
        <v/>
      </c>
      <c r="AG880" t="str">
        <f t="shared" si="110"/>
        <v>有效</v>
      </c>
      <c r="AH880">
        <f t="shared" si="111"/>
        <v>35834816</v>
      </c>
    </row>
    <row r="881" spans="1:34">
      <c r="A881">
        <v>877</v>
      </c>
      <c r="B881">
        <v>1005</v>
      </c>
      <c r="C881">
        <v>60</v>
      </c>
      <c r="D881">
        <f>IFERROR(ROUND($U881*$X881*$AA881*参数!$B$13,0),"")</f>
        <v>5972470</v>
      </c>
      <c r="E881">
        <f>IFERROR(ROUND($V881*$Y881*$AB881*参数!$C$13,0),"")</f>
        <v>99224</v>
      </c>
      <c r="F881">
        <f>IFERROR(ROUND($W881*$Z881*$AC881*参数!$D$13,0),"")</f>
        <v>51404</v>
      </c>
      <c r="J881">
        <v>176</v>
      </c>
      <c r="K881">
        <v>176</v>
      </c>
      <c r="L881">
        <f>IFERROR(INDEX(楼层配置!$D$5:$D$204,MATCH($K881,楼层配置!$B$5:$B$204,0)),"")</f>
        <v>422</v>
      </c>
      <c r="M881" t="str">
        <f>IFERROR(INDEX(_角色基线!$B$2:$B$100,MATCH($B881,_角色基线!$A$2:$A$100,0)),"")</f>
        <v>陈单单</v>
      </c>
      <c r="N881" t="str">
        <f>IFERROR(INDEX(_角色基线!$C$2:$C$100,MATCH($B881,_角色基线!$A$2:$A$100,0)),"")</f>
        <v>DPS</v>
      </c>
      <c r="O881">
        <f>IFERROR(INDEX(_怪物基线!$B$2:$B$501,MATCH(INT($L881),_怪物基线!$A$2:$A$501,0)),"")</f>
        <v>1326248</v>
      </c>
      <c r="P881">
        <f>IFERROR(INDEX(_怪物基线!$C$2:$C$501,MATCH(INT($L881),_怪物基线!$A$2:$A$501,0)),"")</f>
        <v>94413</v>
      </c>
      <c r="Q881">
        <f>IFERROR(INDEX(_怪物基线!$D$2:$D$501,MATCH(INT($L881),_怪物基线!$A$2:$A$501,0)),"")</f>
        <v>51404</v>
      </c>
      <c r="R881">
        <f>参数!$B$10</f>
        <v>4</v>
      </c>
      <c r="S881">
        <f>参数!$C$10</f>
        <v>1.2</v>
      </c>
      <c r="T881">
        <f>参数!$D$10</f>
        <v>1</v>
      </c>
      <c r="U881">
        <f t="shared" si="104"/>
        <v>5304992</v>
      </c>
      <c r="V881">
        <f t="shared" si="105"/>
        <v>113295.6</v>
      </c>
      <c r="W881">
        <f t="shared" si="106"/>
        <v>51404</v>
      </c>
      <c r="X881">
        <f>IFERROR(INDEX(参数!$B$5:$B$7,MATCH($N881,参数!$A$5:$A$7,0)),"")</f>
        <v>1</v>
      </c>
      <c r="Y881">
        <f>IFERROR(INDEX(参数!$C$5:$C$7,MATCH($N881,参数!$A$5:$A$7,0)),"")</f>
        <v>1.2</v>
      </c>
      <c r="Z881">
        <f>IFERROR(INDEX(参数!$D$5:$D$7,MATCH($N881,参数!$A$5:$A$7,0)),"")</f>
        <v>1</v>
      </c>
      <c r="AA881">
        <f>IFERROR(INDEX(楼层配置!$E$5:$E$204,MATCH($K881,楼层配置!$B$5:$B$204,0)),1)</f>
        <v>1.12582067235919</v>
      </c>
      <c r="AB881">
        <f>IFERROR(INDEX(楼层配置!$F$5:$F$204,MATCH($K881,楼层配置!$B$5:$B$204,0)),1)</f>
        <v>0.729834891319568</v>
      </c>
      <c r="AC881">
        <f>IFERROR(INDEX(楼层配置!$G$5:$G$204,MATCH($K881,楼层配置!$B$5:$B$204,0)),1)</f>
        <v>1</v>
      </c>
      <c r="AD881" t="str">
        <f t="shared" si="107"/>
        <v/>
      </c>
      <c r="AE881" t="str">
        <f t="shared" si="108"/>
        <v/>
      </c>
      <c r="AF881" t="str">
        <f t="shared" si="109"/>
        <v/>
      </c>
      <c r="AG881" t="str">
        <f t="shared" si="110"/>
        <v>有效</v>
      </c>
      <c r="AH881">
        <f t="shared" si="111"/>
        <v>18764505.3283333</v>
      </c>
    </row>
    <row r="882" spans="1:34">
      <c r="A882">
        <v>878</v>
      </c>
      <c r="B882">
        <v>1005</v>
      </c>
      <c r="C882">
        <v>60</v>
      </c>
      <c r="D882">
        <f>IFERROR(ROUND($U882*$X882*$AA882*参数!$B$13,0),"")</f>
        <v>5972470</v>
      </c>
      <c r="E882">
        <f>IFERROR(ROUND($V882*$Y882*$AB882*参数!$C$13,0),"")</f>
        <v>99224</v>
      </c>
      <c r="F882">
        <f>IFERROR(ROUND($W882*$Z882*$AC882*参数!$D$13,0),"")</f>
        <v>51404</v>
      </c>
      <c r="J882">
        <v>176</v>
      </c>
      <c r="K882">
        <v>176</v>
      </c>
      <c r="L882">
        <f>IFERROR(INDEX(楼层配置!$D$5:$D$204,MATCH($K882,楼层配置!$B$5:$B$204,0)),"")</f>
        <v>422</v>
      </c>
      <c r="M882" t="str">
        <f>IFERROR(INDEX(_角色基线!$B$2:$B$100,MATCH($B882,_角色基线!$A$2:$A$100,0)),"")</f>
        <v>陈单单</v>
      </c>
      <c r="N882" t="str">
        <f>IFERROR(INDEX(_角色基线!$C$2:$C$100,MATCH($B882,_角色基线!$A$2:$A$100,0)),"")</f>
        <v>DPS</v>
      </c>
      <c r="O882">
        <f>IFERROR(INDEX(_怪物基线!$B$2:$B$501,MATCH(INT($L882),_怪物基线!$A$2:$A$501,0)),"")</f>
        <v>1326248</v>
      </c>
      <c r="P882">
        <f>IFERROR(INDEX(_怪物基线!$C$2:$C$501,MATCH(INT($L882),_怪物基线!$A$2:$A$501,0)),"")</f>
        <v>94413</v>
      </c>
      <c r="Q882">
        <f>IFERROR(INDEX(_怪物基线!$D$2:$D$501,MATCH(INT($L882),_怪物基线!$A$2:$A$501,0)),"")</f>
        <v>51404</v>
      </c>
      <c r="R882">
        <f>参数!$B$10</f>
        <v>4</v>
      </c>
      <c r="S882">
        <f>参数!$C$10</f>
        <v>1.2</v>
      </c>
      <c r="T882">
        <f>参数!$D$10</f>
        <v>1</v>
      </c>
      <c r="U882">
        <f t="shared" si="104"/>
        <v>5304992</v>
      </c>
      <c r="V882">
        <f t="shared" si="105"/>
        <v>113295.6</v>
      </c>
      <c r="W882">
        <f t="shared" si="106"/>
        <v>51404</v>
      </c>
      <c r="X882">
        <f>IFERROR(INDEX(参数!$B$5:$B$7,MATCH($N882,参数!$A$5:$A$7,0)),"")</f>
        <v>1</v>
      </c>
      <c r="Y882">
        <f>IFERROR(INDEX(参数!$C$5:$C$7,MATCH($N882,参数!$A$5:$A$7,0)),"")</f>
        <v>1.2</v>
      </c>
      <c r="Z882">
        <f>IFERROR(INDEX(参数!$D$5:$D$7,MATCH($N882,参数!$A$5:$A$7,0)),"")</f>
        <v>1</v>
      </c>
      <c r="AA882">
        <f>IFERROR(INDEX(楼层配置!$E$5:$E$204,MATCH($K882,楼层配置!$B$5:$B$204,0)),1)</f>
        <v>1.12582067235919</v>
      </c>
      <c r="AB882">
        <f>IFERROR(INDEX(楼层配置!$F$5:$F$204,MATCH($K882,楼层配置!$B$5:$B$204,0)),1)</f>
        <v>0.729834891319568</v>
      </c>
      <c r="AC882">
        <f>IFERROR(INDEX(楼层配置!$G$5:$G$204,MATCH($K882,楼层配置!$B$5:$B$204,0)),1)</f>
        <v>1</v>
      </c>
      <c r="AD882" t="str">
        <f t="shared" si="107"/>
        <v/>
      </c>
      <c r="AE882" t="str">
        <f t="shared" si="108"/>
        <v/>
      </c>
      <c r="AF882" t="str">
        <f t="shared" si="109"/>
        <v/>
      </c>
      <c r="AG882" t="str">
        <f t="shared" si="110"/>
        <v>有效</v>
      </c>
      <c r="AH882">
        <f t="shared" si="111"/>
        <v>18764505.3283333</v>
      </c>
    </row>
    <row r="883" spans="1:34">
      <c r="A883">
        <v>879</v>
      </c>
      <c r="B883">
        <v>1005</v>
      </c>
      <c r="C883">
        <v>60</v>
      </c>
      <c r="D883">
        <f>IFERROR(ROUND($U883*$X883*$AA883*参数!$B$13,0),"")</f>
        <v>5972470</v>
      </c>
      <c r="E883">
        <f>IFERROR(ROUND($V883*$Y883*$AB883*参数!$C$13,0),"")</f>
        <v>99224</v>
      </c>
      <c r="F883">
        <f>IFERROR(ROUND($W883*$Z883*$AC883*参数!$D$13,0),"")</f>
        <v>51404</v>
      </c>
      <c r="J883">
        <v>176</v>
      </c>
      <c r="K883">
        <v>176</v>
      </c>
      <c r="L883">
        <f>IFERROR(INDEX(楼层配置!$D$5:$D$204,MATCH($K883,楼层配置!$B$5:$B$204,0)),"")</f>
        <v>422</v>
      </c>
      <c r="M883" t="str">
        <f>IFERROR(INDEX(_角色基线!$B$2:$B$100,MATCH($B883,_角色基线!$A$2:$A$100,0)),"")</f>
        <v>陈单单</v>
      </c>
      <c r="N883" t="str">
        <f>IFERROR(INDEX(_角色基线!$C$2:$C$100,MATCH($B883,_角色基线!$A$2:$A$100,0)),"")</f>
        <v>DPS</v>
      </c>
      <c r="O883">
        <f>IFERROR(INDEX(_怪物基线!$B$2:$B$501,MATCH(INT($L883),_怪物基线!$A$2:$A$501,0)),"")</f>
        <v>1326248</v>
      </c>
      <c r="P883">
        <f>IFERROR(INDEX(_怪物基线!$C$2:$C$501,MATCH(INT($L883),_怪物基线!$A$2:$A$501,0)),"")</f>
        <v>94413</v>
      </c>
      <c r="Q883">
        <f>IFERROR(INDEX(_怪物基线!$D$2:$D$501,MATCH(INT($L883),_怪物基线!$A$2:$A$501,0)),"")</f>
        <v>51404</v>
      </c>
      <c r="R883">
        <f>参数!$B$10</f>
        <v>4</v>
      </c>
      <c r="S883">
        <f>参数!$C$10</f>
        <v>1.2</v>
      </c>
      <c r="T883">
        <f>参数!$D$10</f>
        <v>1</v>
      </c>
      <c r="U883">
        <f t="shared" si="104"/>
        <v>5304992</v>
      </c>
      <c r="V883">
        <f t="shared" si="105"/>
        <v>113295.6</v>
      </c>
      <c r="W883">
        <f t="shared" si="106"/>
        <v>51404</v>
      </c>
      <c r="X883">
        <f>IFERROR(INDEX(参数!$B$5:$B$7,MATCH($N883,参数!$A$5:$A$7,0)),"")</f>
        <v>1</v>
      </c>
      <c r="Y883">
        <f>IFERROR(INDEX(参数!$C$5:$C$7,MATCH($N883,参数!$A$5:$A$7,0)),"")</f>
        <v>1.2</v>
      </c>
      <c r="Z883">
        <f>IFERROR(INDEX(参数!$D$5:$D$7,MATCH($N883,参数!$A$5:$A$7,0)),"")</f>
        <v>1</v>
      </c>
      <c r="AA883">
        <f>IFERROR(INDEX(楼层配置!$E$5:$E$204,MATCH($K883,楼层配置!$B$5:$B$204,0)),1)</f>
        <v>1.12582067235919</v>
      </c>
      <c r="AB883">
        <f>IFERROR(INDEX(楼层配置!$F$5:$F$204,MATCH($K883,楼层配置!$B$5:$B$204,0)),1)</f>
        <v>0.729834891319568</v>
      </c>
      <c r="AC883">
        <f>IFERROR(INDEX(楼层配置!$G$5:$G$204,MATCH($K883,楼层配置!$B$5:$B$204,0)),1)</f>
        <v>1</v>
      </c>
      <c r="AD883" t="str">
        <f t="shared" si="107"/>
        <v/>
      </c>
      <c r="AE883" t="str">
        <f t="shared" si="108"/>
        <v/>
      </c>
      <c r="AF883" t="str">
        <f t="shared" si="109"/>
        <v/>
      </c>
      <c r="AG883" t="str">
        <f t="shared" si="110"/>
        <v>有效</v>
      </c>
      <c r="AH883">
        <f t="shared" si="111"/>
        <v>18764505.3283333</v>
      </c>
    </row>
    <row r="884" spans="1:34">
      <c r="A884">
        <v>880</v>
      </c>
      <c r="B884">
        <v>1029</v>
      </c>
      <c r="C884">
        <v>60</v>
      </c>
      <c r="D884">
        <f>IFERROR(ROUND($U884*$X884*$AA884*参数!$B$13,0),"")</f>
        <v>7465587</v>
      </c>
      <c r="E884">
        <f>IFERROR(ROUND($V884*$Y884*$AB884*参数!$C$13,0),"")</f>
        <v>82687</v>
      </c>
      <c r="F884">
        <f>IFERROR(ROUND($W884*$Z884*$AC884*参数!$D$13,0),"")</f>
        <v>64255</v>
      </c>
      <c r="J884">
        <v>176</v>
      </c>
      <c r="K884">
        <v>176</v>
      </c>
      <c r="L884">
        <f>IFERROR(INDEX(楼层配置!$D$5:$D$204,MATCH($K884,楼层配置!$B$5:$B$204,0)),"")</f>
        <v>422</v>
      </c>
      <c r="M884" t="str">
        <f>IFERROR(INDEX(_角色基线!$B$2:$B$100,MATCH($B884,_角色基线!$A$2:$A$100,0)),"")</f>
        <v>凯兰</v>
      </c>
      <c r="N884" t="str">
        <f>IFERROR(INDEX(_角色基线!$C$2:$C$100,MATCH($B884,_角色基线!$A$2:$A$100,0)),"")</f>
        <v>Support</v>
      </c>
      <c r="O884">
        <f>IFERROR(INDEX(_怪物基线!$B$2:$B$501,MATCH(INT($L884),_怪物基线!$A$2:$A$501,0)),"")</f>
        <v>1326248</v>
      </c>
      <c r="P884">
        <f>IFERROR(INDEX(_怪物基线!$C$2:$C$501,MATCH(INT($L884),_怪物基线!$A$2:$A$501,0)),"")</f>
        <v>94413</v>
      </c>
      <c r="Q884">
        <f>IFERROR(INDEX(_怪物基线!$D$2:$D$501,MATCH(INT($L884),_怪物基线!$A$2:$A$501,0)),"")</f>
        <v>51404</v>
      </c>
      <c r="R884">
        <f>参数!$B$10</f>
        <v>4</v>
      </c>
      <c r="S884">
        <f>参数!$C$10</f>
        <v>1.2</v>
      </c>
      <c r="T884">
        <f>参数!$D$10</f>
        <v>1</v>
      </c>
      <c r="U884">
        <f t="shared" si="104"/>
        <v>5304992</v>
      </c>
      <c r="V884">
        <f t="shared" si="105"/>
        <v>113295.6</v>
      </c>
      <c r="W884">
        <f t="shared" si="106"/>
        <v>51404</v>
      </c>
      <c r="X884">
        <f>IFERROR(INDEX(参数!$B$5:$B$7,MATCH($N884,参数!$A$5:$A$7,0)),"")</f>
        <v>1.25</v>
      </c>
      <c r="Y884">
        <f>IFERROR(INDEX(参数!$C$5:$C$7,MATCH($N884,参数!$A$5:$A$7,0)),"")</f>
        <v>1</v>
      </c>
      <c r="Z884">
        <f>IFERROR(INDEX(参数!$D$5:$D$7,MATCH($N884,参数!$A$5:$A$7,0)),"")</f>
        <v>1.25</v>
      </c>
      <c r="AA884">
        <f>IFERROR(INDEX(楼层配置!$E$5:$E$204,MATCH($K884,楼层配置!$B$5:$B$204,0)),1)</f>
        <v>1.12582067235919</v>
      </c>
      <c r="AB884">
        <f>IFERROR(INDEX(楼层配置!$F$5:$F$204,MATCH($K884,楼层配置!$B$5:$B$204,0)),1)</f>
        <v>0.729834891319568</v>
      </c>
      <c r="AC884">
        <f>IFERROR(INDEX(楼层配置!$G$5:$G$204,MATCH($K884,楼层配置!$B$5:$B$204,0)),1)</f>
        <v>1</v>
      </c>
      <c r="AD884" t="str">
        <f t="shared" si="107"/>
        <v/>
      </c>
      <c r="AE884" t="str">
        <f t="shared" si="108"/>
        <v/>
      </c>
      <c r="AF884" t="str">
        <f t="shared" si="109"/>
        <v/>
      </c>
      <c r="AG884" t="str">
        <f t="shared" si="110"/>
        <v>有效</v>
      </c>
      <c r="AH884">
        <f t="shared" si="111"/>
        <v>27453140.861875</v>
      </c>
    </row>
    <row r="885" spans="1:34">
      <c r="A885">
        <v>881</v>
      </c>
      <c r="B885">
        <v>1003</v>
      </c>
      <c r="C885">
        <v>60</v>
      </c>
      <c r="D885">
        <f>IFERROR(ROUND($U885*$X885*$AA885*参数!$B$13,0),"")</f>
        <v>9093594</v>
      </c>
      <c r="E885">
        <f>IFERROR(ROUND($V885*$Y885*$AB885*参数!$C$13,0),"")</f>
        <v>83693</v>
      </c>
      <c r="F885">
        <f>IFERROR(ROUND($W885*$Z885*$AC885*参数!$D$13,0),"")</f>
        <v>77616</v>
      </c>
      <c r="J885">
        <v>177</v>
      </c>
      <c r="K885">
        <v>177</v>
      </c>
      <c r="L885">
        <f>IFERROR(INDEX(楼层配置!$D$5:$D$204,MATCH($K885,楼层配置!$B$5:$B$204,0)),"")</f>
        <v>424</v>
      </c>
      <c r="M885" t="str">
        <f>IFERROR(INDEX(_角色基线!$B$2:$B$100,MATCH($B885,_角色基线!$A$2:$A$100,0)),"")</f>
        <v>塔拉夏</v>
      </c>
      <c r="N885" t="str">
        <f>IFERROR(INDEX(_角色基线!$C$2:$C$100,MATCH($B885,_角色基线!$A$2:$A$100,0)),"")</f>
        <v>Tank</v>
      </c>
      <c r="O885">
        <f>IFERROR(INDEX(_怪物基线!$B$2:$B$501,MATCH(INT($L885),_怪物基线!$A$2:$A$501,0)),"")</f>
        <v>1346217</v>
      </c>
      <c r="P885">
        <f>IFERROR(INDEX(_怪物基线!$C$2:$C$501,MATCH(INT($L885),_怪物基线!$A$2:$A$501,0)),"")</f>
        <v>95562</v>
      </c>
      <c r="Q885">
        <f>IFERROR(INDEX(_怪物基线!$D$2:$D$501,MATCH(INT($L885),_怪物基线!$A$2:$A$501,0)),"")</f>
        <v>51744</v>
      </c>
      <c r="R885">
        <f>参数!$B$10</f>
        <v>4</v>
      </c>
      <c r="S885">
        <f>参数!$C$10</f>
        <v>1.2</v>
      </c>
      <c r="T885">
        <f>参数!$D$10</f>
        <v>1</v>
      </c>
      <c r="U885">
        <f t="shared" si="104"/>
        <v>5384868</v>
      </c>
      <c r="V885">
        <f t="shared" si="105"/>
        <v>114674.4</v>
      </c>
      <c r="W885">
        <f t="shared" si="106"/>
        <v>51744</v>
      </c>
      <c r="X885">
        <f>IFERROR(INDEX(参数!$B$5:$B$7,MATCH($N885,参数!$A$5:$A$7,0)),"")</f>
        <v>1.5</v>
      </c>
      <c r="Y885">
        <f>IFERROR(INDEX(参数!$C$5:$C$7,MATCH($N885,参数!$A$5:$A$7,0)),"")</f>
        <v>1</v>
      </c>
      <c r="Z885">
        <f>IFERROR(INDEX(参数!$D$5:$D$7,MATCH($N885,参数!$A$5:$A$7,0)),"")</f>
        <v>1.5</v>
      </c>
      <c r="AA885">
        <f>IFERROR(INDEX(楼层配置!$E$5:$E$204,MATCH($K885,楼层配置!$B$5:$B$204,0)),1)</f>
        <v>1.12582067235919</v>
      </c>
      <c r="AB885">
        <f>IFERROR(INDEX(楼层配置!$F$5:$F$204,MATCH($K885,楼层配置!$B$5:$B$204,0)),1)</f>
        <v>0.729834891319568</v>
      </c>
      <c r="AC885">
        <f>IFERROR(INDEX(楼层配置!$G$5:$G$204,MATCH($K885,楼层配置!$B$5:$B$204,0)),1)</f>
        <v>1</v>
      </c>
      <c r="AD885" t="str">
        <f t="shared" si="107"/>
        <v/>
      </c>
      <c r="AE885" t="str">
        <f t="shared" si="108"/>
        <v/>
      </c>
      <c r="AF885" t="str">
        <f t="shared" si="109"/>
        <v/>
      </c>
      <c r="AG885" t="str">
        <f t="shared" si="110"/>
        <v>有效</v>
      </c>
      <c r="AH885">
        <f t="shared" si="111"/>
        <v>36374376</v>
      </c>
    </row>
    <row r="886" spans="1:34">
      <c r="A886">
        <v>882</v>
      </c>
      <c r="B886">
        <v>1005</v>
      </c>
      <c r="C886">
        <v>60</v>
      </c>
      <c r="D886">
        <f>IFERROR(ROUND($U886*$X886*$AA886*参数!$B$13,0),"")</f>
        <v>6062396</v>
      </c>
      <c r="E886">
        <f>IFERROR(ROUND($V886*$Y886*$AB886*参数!$C$13,0),"")</f>
        <v>100432</v>
      </c>
      <c r="F886">
        <f>IFERROR(ROUND($W886*$Z886*$AC886*参数!$D$13,0),"")</f>
        <v>51744</v>
      </c>
      <c r="J886">
        <v>177</v>
      </c>
      <c r="K886">
        <v>177</v>
      </c>
      <c r="L886">
        <f>IFERROR(INDEX(楼层配置!$D$5:$D$204,MATCH($K886,楼层配置!$B$5:$B$204,0)),"")</f>
        <v>424</v>
      </c>
      <c r="M886" t="str">
        <f>IFERROR(INDEX(_角色基线!$B$2:$B$100,MATCH($B886,_角色基线!$A$2:$A$100,0)),"")</f>
        <v>陈单单</v>
      </c>
      <c r="N886" t="str">
        <f>IFERROR(INDEX(_角色基线!$C$2:$C$100,MATCH($B886,_角色基线!$A$2:$A$100,0)),"")</f>
        <v>DPS</v>
      </c>
      <c r="O886">
        <f>IFERROR(INDEX(_怪物基线!$B$2:$B$501,MATCH(INT($L886),_怪物基线!$A$2:$A$501,0)),"")</f>
        <v>1346217</v>
      </c>
      <c r="P886">
        <f>IFERROR(INDEX(_怪物基线!$C$2:$C$501,MATCH(INT($L886),_怪物基线!$A$2:$A$501,0)),"")</f>
        <v>95562</v>
      </c>
      <c r="Q886">
        <f>IFERROR(INDEX(_怪物基线!$D$2:$D$501,MATCH(INT($L886),_怪物基线!$A$2:$A$501,0)),"")</f>
        <v>51744</v>
      </c>
      <c r="R886">
        <f>参数!$B$10</f>
        <v>4</v>
      </c>
      <c r="S886">
        <f>参数!$C$10</f>
        <v>1.2</v>
      </c>
      <c r="T886">
        <f>参数!$D$10</f>
        <v>1</v>
      </c>
      <c r="U886">
        <f t="shared" si="104"/>
        <v>5384868</v>
      </c>
      <c r="V886">
        <f t="shared" si="105"/>
        <v>114674.4</v>
      </c>
      <c r="W886">
        <f t="shared" si="106"/>
        <v>51744</v>
      </c>
      <c r="X886">
        <f>IFERROR(INDEX(参数!$B$5:$B$7,MATCH($N886,参数!$A$5:$A$7,0)),"")</f>
        <v>1</v>
      </c>
      <c r="Y886">
        <f>IFERROR(INDEX(参数!$C$5:$C$7,MATCH($N886,参数!$A$5:$A$7,0)),"")</f>
        <v>1.2</v>
      </c>
      <c r="Z886">
        <f>IFERROR(INDEX(参数!$D$5:$D$7,MATCH($N886,参数!$A$5:$A$7,0)),"")</f>
        <v>1</v>
      </c>
      <c r="AA886">
        <f>IFERROR(INDEX(楼层配置!$E$5:$E$204,MATCH($K886,楼层配置!$B$5:$B$204,0)),1)</f>
        <v>1.12582067235919</v>
      </c>
      <c r="AB886">
        <f>IFERROR(INDEX(楼层配置!$F$5:$F$204,MATCH($K886,楼层配置!$B$5:$B$204,0)),1)</f>
        <v>0.729834891319568</v>
      </c>
      <c r="AC886">
        <f>IFERROR(INDEX(楼层配置!$G$5:$G$204,MATCH($K886,楼层配置!$B$5:$B$204,0)),1)</f>
        <v>1</v>
      </c>
      <c r="AD886" t="str">
        <f t="shared" si="107"/>
        <v/>
      </c>
      <c r="AE886" t="str">
        <f t="shared" si="108"/>
        <v/>
      </c>
      <c r="AF886" t="str">
        <f t="shared" si="109"/>
        <v/>
      </c>
      <c r="AG886" t="str">
        <f t="shared" si="110"/>
        <v>有效</v>
      </c>
      <c r="AH886">
        <f t="shared" si="111"/>
        <v>19132921.776</v>
      </c>
    </row>
    <row r="887" spans="1:34">
      <c r="A887">
        <v>883</v>
      </c>
      <c r="B887">
        <v>1005</v>
      </c>
      <c r="C887">
        <v>60</v>
      </c>
      <c r="D887">
        <f>IFERROR(ROUND($U887*$X887*$AA887*参数!$B$13,0),"")</f>
        <v>6062396</v>
      </c>
      <c r="E887">
        <f>IFERROR(ROUND($V887*$Y887*$AB887*参数!$C$13,0),"")</f>
        <v>100432</v>
      </c>
      <c r="F887">
        <f>IFERROR(ROUND($W887*$Z887*$AC887*参数!$D$13,0),"")</f>
        <v>51744</v>
      </c>
      <c r="J887">
        <v>177</v>
      </c>
      <c r="K887">
        <v>177</v>
      </c>
      <c r="L887">
        <f>IFERROR(INDEX(楼层配置!$D$5:$D$204,MATCH($K887,楼层配置!$B$5:$B$204,0)),"")</f>
        <v>424</v>
      </c>
      <c r="M887" t="str">
        <f>IFERROR(INDEX(_角色基线!$B$2:$B$100,MATCH($B887,_角色基线!$A$2:$A$100,0)),"")</f>
        <v>陈单单</v>
      </c>
      <c r="N887" t="str">
        <f>IFERROR(INDEX(_角色基线!$C$2:$C$100,MATCH($B887,_角色基线!$A$2:$A$100,0)),"")</f>
        <v>DPS</v>
      </c>
      <c r="O887">
        <f>IFERROR(INDEX(_怪物基线!$B$2:$B$501,MATCH(INT($L887),_怪物基线!$A$2:$A$501,0)),"")</f>
        <v>1346217</v>
      </c>
      <c r="P887">
        <f>IFERROR(INDEX(_怪物基线!$C$2:$C$501,MATCH(INT($L887),_怪物基线!$A$2:$A$501,0)),"")</f>
        <v>95562</v>
      </c>
      <c r="Q887">
        <f>IFERROR(INDEX(_怪物基线!$D$2:$D$501,MATCH(INT($L887),_怪物基线!$A$2:$A$501,0)),"")</f>
        <v>51744</v>
      </c>
      <c r="R887">
        <f>参数!$B$10</f>
        <v>4</v>
      </c>
      <c r="S887">
        <f>参数!$C$10</f>
        <v>1.2</v>
      </c>
      <c r="T887">
        <f>参数!$D$10</f>
        <v>1</v>
      </c>
      <c r="U887">
        <f t="shared" si="104"/>
        <v>5384868</v>
      </c>
      <c r="V887">
        <f t="shared" si="105"/>
        <v>114674.4</v>
      </c>
      <c r="W887">
        <f t="shared" si="106"/>
        <v>51744</v>
      </c>
      <c r="X887">
        <f>IFERROR(INDEX(参数!$B$5:$B$7,MATCH($N887,参数!$A$5:$A$7,0)),"")</f>
        <v>1</v>
      </c>
      <c r="Y887">
        <f>IFERROR(INDEX(参数!$C$5:$C$7,MATCH($N887,参数!$A$5:$A$7,0)),"")</f>
        <v>1.2</v>
      </c>
      <c r="Z887">
        <f>IFERROR(INDEX(参数!$D$5:$D$7,MATCH($N887,参数!$A$5:$A$7,0)),"")</f>
        <v>1</v>
      </c>
      <c r="AA887">
        <f>IFERROR(INDEX(楼层配置!$E$5:$E$204,MATCH($K887,楼层配置!$B$5:$B$204,0)),1)</f>
        <v>1.12582067235919</v>
      </c>
      <c r="AB887">
        <f>IFERROR(INDEX(楼层配置!$F$5:$F$204,MATCH($K887,楼层配置!$B$5:$B$204,0)),1)</f>
        <v>0.729834891319568</v>
      </c>
      <c r="AC887">
        <f>IFERROR(INDEX(楼层配置!$G$5:$G$204,MATCH($K887,楼层配置!$B$5:$B$204,0)),1)</f>
        <v>1</v>
      </c>
      <c r="AD887" t="str">
        <f t="shared" si="107"/>
        <v/>
      </c>
      <c r="AE887" t="str">
        <f t="shared" si="108"/>
        <v/>
      </c>
      <c r="AF887" t="str">
        <f t="shared" si="109"/>
        <v/>
      </c>
      <c r="AG887" t="str">
        <f t="shared" si="110"/>
        <v>有效</v>
      </c>
      <c r="AH887">
        <f t="shared" si="111"/>
        <v>19132921.776</v>
      </c>
    </row>
    <row r="888" spans="1:34">
      <c r="A888">
        <v>884</v>
      </c>
      <c r="B888">
        <v>1005</v>
      </c>
      <c r="C888">
        <v>60</v>
      </c>
      <c r="D888">
        <f>IFERROR(ROUND($U888*$X888*$AA888*参数!$B$13,0),"")</f>
        <v>6062396</v>
      </c>
      <c r="E888">
        <f>IFERROR(ROUND($V888*$Y888*$AB888*参数!$C$13,0),"")</f>
        <v>100432</v>
      </c>
      <c r="F888">
        <f>IFERROR(ROUND($W888*$Z888*$AC888*参数!$D$13,0),"")</f>
        <v>51744</v>
      </c>
      <c r="J888">
        <v>177</v>
      </c>
      <c r="K888">
        <v>177</v>
      </c>
      <c r="L888">
        <f>IFERROR(INDEX(楼层配置!$D$5:$D$204,MATCH($K888,楼层配置!$B$5:$B$204,0)),"")</f>
        <v>424</v>
      </c>
      <c r="M888" t="str">
        <f>IFERROR(INDEX(_角色基线!$B$2:$B$100,MATCH($B888,_角色基线!$A$2:$A$100,0)),"")</f>
        <v>陈单单</v>
      </c>
      <c r="N888" t="str">
        <f>IFERROR(INDEX(_角色基线!$C$2:$C$100,MATCH($B888,_角色基线!$A$2:$A$100,0)),"")</f>
        <v>DPS</v>
      </c>
      <c r="O888">
        <f>IFERROR(INDEX(_怪物基线!$B$2:$B$501,MATCH(INT($L888),_怪物基线!$A$2:$A$501,0)),"")</f>
        <v>1346217</v>
      </c>
      <c r="P888">
        <f>IFERROR(INDEX(_怪物基线!$C$2:$C$501,MATCH(INT($L888),_怪物基线!$A$2:$A$501,0)),"")</f>
        <v>95562</v>
      </c>
      <c r="Q888">
        <f>IFERROR(INDEX(_怪物基线!$D$2:$D$501,MATCH(INT($L888),_怪物基线!$A$2:$A$501,0)),"")</f>
        <v>51744</v>
      </c>
      <c r="R888">
        <f>参数!$B$10</f>
        <v>4</v>
      </c>
      <c r="S888">
        <f>参数!$C$10</f>
        <v>1.2</v>
      </c>
      <c r="T888">
        <f>参数!$D$10</f>
        <v>1</v>
      </c>
      <c r="U888">
        <f t="shared" si="104"/>
        <v>5384868</v>
      </c>
      <c r="V888">
        <f t="shared" si="105"/>
        <v>114674.4</v>
      </c>
      <c r="W888">
        <f t="shared" si="106"/>
        <v>51744</v>
      </c>
      <c r="X888">
        <f>IFERROR(INDEX(参数!$B$5:$B$7,MATCH($N888,参数!$A$5:$A$7,0)),"")</f>
        <v>1</v>
      </c>
      <c r="Y888">
        <f>IFERROR(INDEX(参数!$C$5:$C$7,MATCH($N888,参数!$A$5:$A$7,0)),"")</f>
        <v>1.2</v>
      </c>
      <c r="Z888">
        <f>IFERROR(INDEX(参数!$D$5:$D$7,MATCH($N888,参数!$A$5:$A$7,0)),"")</f>
        <v>1</v>
      </c>
      <c r="AA888">
        <f>IFERROR(INDEX(楼层配置!$E$5:$E$204,MATCH($K888,楼层配置!$B$5:$B$204,0)),1)</f>
        <v>1.12582067235919</v>
      </c>
      <c r="AB888">
        <f>IFERROR(INDEX(楼层配置!$F$5:$F$204,MATCH($K888,楼层配置!$B$5:$B$204,0)),1)</f>
        <v>0.729834891319568</v>
      </c>
      <c r="AC888">
        <f>IFERROR(INDEX(楼层配置!$G$5:$G$204,MATCH($K888,楼层配置!$B$5:$B$204,0)),1)</f>
        <v>1</v>
      </c>
      <c r="AD888" t="str">
        <f t="shared" si="107"/>
        <v/>
      </c>
      <c r="AE888" t="str">
        <f t="shared" si="108"/>
        <v/>
      </c>
      <c r="AF888" t="str">
        <f t="shared" si="109"/>
        <v/>
      </c>
      <c r="AG888" t="str">
        <f t="shared" si="110"/>
        <v>有效</v>
      </c>
      <c r="AH888">
        <f t="shared" si="111"/>
        <v>19132921.776</v>
      </c>
    </row>
    <row r="889" spans="1:34">
      <c r="A889">
        <v>885</v>
      </c>
      <c r="B889">
        <v>1029</v>
      </c>
      <c r="C889">
        <v>60</v>
      </c>
      <c r="D889">
        <f>IFERROR(ROUND($U889*$X889*$AA889*参数!$B$13,0),"")</f>
        <v>7577995</v>
      </c>
      <c r="E889">
        <f>IFERROR(ROUND($V889*$Y889*$AB889*参数!$C$13,0),"")</f>
        <v>83693</v>
      </c>
      <c r="F889">
        <f>IFERROR(ROUND($W889*$Z889*$AC889*参数!$D$13,0),"")</f>
        <v>64680</v>
      </c>
      <c r="J889">
        <v>177</v>
      </c>
      <c r="K889">
        <v>177</v>
      </c>
      <c r="L889">
        <f>IFERROR(INDEX(楼层配置!$D$5:$D$204,MATCH($K889,楼层配置!$B$5:$B$204,0)),"")</f>
        <v>424</v>
      </c>
      <c r="M889" t="str">
        <f>IFERROR(INDEX(_角色基线!$B$2:$B$100,MATCH($B889,_角色基线!$A$2:$A$100,0)),"")</f>
        <v>凯兰</v>
      </c>
      <c r="N889" t="str">
        <f>IFERROR(INDEX(_角色基线!$C$2:$C$100,MATCH($B889,_角色基线!$A$2:$A$100,0)),"")</f>
        <v>Support</v>
      </c>
      <c r="O889">
        <f>IFERROR(INDEX(_怪物基线!$B$2:$B$501,MATCH(INT($L889),_怪物基线!$A$2:$A$501,0)),"")</f>
        <v>1346217</v>
      </c>
      <c r="P889">
        <f>IFERROR(INDEX(_怪物基线!$C$2:$C$501,MATCH(INT($L889),_怪物基线!$A$2:$A$501,0)),"")</f>
        <v>95562</v>
      </c>
      <c r="Q889">
        <f>IFERROR(INDEX(_怪物基线!$D$2:$D$501,MATCH(INT($L889),_怪物基线!$A$2:$A$501,0)),"")</f>
        <v>51744</v>
      </c>
      <c r="R889">
        <f>参数!$B$10</f>
        <v>4</v>
      </c>
      <c r="S889">
        <f>参数!$C$10</f>
        <v>1.2</v>
      </c>
      <c r="T889">
        <f>参数!$D$10</f>
        <v>1</v>
      </c>
      <c r="U889">
        <f t="shared" si="104"/>
        <v>5384868</v>
      </c>
      <c r="V889">
        <f t="shared" si="105"/>
        <v>114674.4</v>
      </c>
      <c r="W889">
        <f t="shared" si="106"/>
        <v>51744</v>
      </c>
      <c r="X889">
        <f>IFERROR(INDEX(参数!$B$5:$B$7,MATCH($N889,参数!$A$5:$A$7,0)),"")</f>
        <v>1.25</v>
      </c>
      <c r="Y889">
        <f>IFERROR(INDEX(参数!$C$5:$C$7,MATCH($N889,参数!$A$5:$A$7,0)),"")</f>
        <v>1</v>
      </c>
      <c r="Z889">
        <f>IFERROR(INDEX(参数!$D$5:$D$7,MATCH($N889,参数!$A$5:$A$7,0)),"")</f>
        <v>1.25</v>
      </c>
      <c r="AA889">
        <f>IFERROR(INDEX(楼层配置!$E$5:$E$204,MATCH($K889,楼层配置!$B$5:$B$204,0)),1)</f>
        <v>1.12582067235919</v>
      </c>
      <c r="AB889">
        <f>IFERROR(INDEX(楼层配置!$F$5:$F$204,MATCH($K889,楼层配置!$B$5:$B$204,0)),1)</f>
        <v>0.729834891319568</v>
      </c>
      <c r="AC889">
        <f>IFERROR(INDEX(楼层配置!$G$5:$G$204,MATCH($K889,楼层配置!$B$5:$B$204,0)),1)</f>
        <v>1</v>
      </c>
      <c r="AD889" t="str">
        <f t="shared" si="107"/>
        <v/>
      </c>
      <c r="AE889" t="str">
        <f t="shared" si="108"/>
        <v/>
      </c>
      <c r="AF889" t="str">
        <f t="shared" si="109"/>
        <v/>
      </c>
      <c r="AG889" t="str">
        <f t="shared" si="110"/>
        <v>有效</v>
      </c>
      <c r="AH889">
        <f t="shared" si="111"/>
        <v>28000691.525</v>
      </c>
    </row>
    <row r="890" spans="1:34">
      <c r="A890">
        <v>886</v>
      </c>
      <c r="B890">
        <v>1003</v>
      </c>
      <c r="C890">
        <v>60</v>
      </c>
      <c r="D890">
        <f>IFERROR(ROUND($U890*$X890*$AA890*参数!$B$13,0),"")</f>
        <v>9298964</v>
      </c>
      <c r="E890">
        <f>IFERROR(ROUND($V890*$Y890*$AB890*参数!$C$13,0),"")</f>
        <v>85222</v>
      </c>
      <c r="F890">
        <f>IFERROR(ROUND($W890*$Z890*$AC890*参数!$D$13,0),"")</f>
        <v>78384</v>
      </c>
      <c r="J890">
        <v>178</v>
      </c>
      <c r="K890">
        <v>178</v>
      </c>
      <c r="L890">
        <f>IFERROR(INDEX(楼层配置!$D$5:$D$204,MATCH($K890,楼层配置!$B$5:$B$204,0)),"")</f>
        <v>427</v>
      </c>
      <c r="M890" t="str">
        <f>IFERROR(INDEX(_角色基线!$B$2:$B$100,MATCH($B890,_角色基线!$A$2:$A$100,0)),"")</f>
        <v>塔拉夏</v>
      </c>
      <c r="N890" t="str">
        <f>IFERROR(INDEX(_角色基线!$C$2:$C$100,MATCH($B890,_角色基线!$A$2:$A$100,0)),"")</f>
        <v>Tank</v>
      </c>
      <c r="O890">
        <f>IFERROR(INDEX(_怪物基线!$B$2:$B$501,MATCH(INT($L890),_怪物基线!$A$2:$A$501,0)),"")</f>
        <v>1376620</v>
      </c>
      <c r="P890">
        <f>IFERROR(INDEX(_怪物基线!$C$2:$C$501,MATCH(INT($L890),_怪物基线!$A$2:$A$501,0)),"")</f>
        <v>97307</v>
      </c>
      <c r="Q890">
        <f>IFERROR(INDEX(_怪物基线!$D$2:$D$501,MATCH(INT($L890),_怪物基线!$A$2:$A$501,0)),"")</f>
        <v>52256</v>
      </c>
      <c r="R890">
        <f>参数!$B$10</f>
        <v>4</v>
      </c>
      <c r="S890">
        <f>参数!$C$10</f>
        <v>1.2</v>
      </c>
      <c r="T890">
        <f>参数!$D$10</f>
        <v>1</v>
      </c>
      <c r="U890">
        <f t="shared" si="104"/>
        <v>5506480</v>
      </c>
      <c r="V890">
        <f t="shared" si="105"/>
        <v>116768.4</v>
      </c>
      <c r="W890">
        <f t="shared" si="106"/>
        <v>52256</v>
      </c>
      <c r="X890">
        <f>IFERROR(INDEX(参数!$B$5:$B$7,MATCH($N890,参数!$A$5:$A$7,0)),"")</f>
        <v>1.5</v>
      </c>
      <c r="Y890">
        <f>IFERROR(INDEX(参数!$C$5:$C$7,MATCH($N890,参数!$A$5:$A$7,0)),"")</f>
        <v>1</v>
      </c>
      <c r="Z890">
        <f>IFERROR(INDEX(参数!$D$5:$D$7,MATCH($N890,参数!$A$5:$A$7,0)),"")</f>
        <v>1.5</v>
      </c>
      <c r="AA890">
        <f>IFERROR(INDEX(楼层配置!$E$5:$E$204,MATCH($K890,楼层配置!$B$5:$B$204,0)),1)</f>
        <v>1.12582067235919</v>
      </c>
      <c r="AB890">
        <f>IFERROR(INDEX(楼层配置!$F$5:$F$204,MATCH($K890,楼层配置!$B$5:$B$204,0)),1)</f>
        <v>0.729834891319568</v>
      </c>
      <c r="AC890">
        <f>IFERROR(INDEX(楼层配置!$G$5:$G$204,MATCH($K890,楼层配置!$B$5:$B$204,0)),1)</f>
        <v>1</v>
      </c>
      <c r="AD890" t="str">
        <f t="shared" si="107"/>
        <v/>
      </c>
      <c r="AE890" t="str">
        <f t="shared" si="108"/>
        <v/>
      </c>
      <c r="AF890" t="str">
        <f t="shared" si="109"/>
        <v/>
      </c>
      <c r="AG890" t="str">
        <f t="shared" si="110"/>
        <v>有效</v>
      </c>
      <c r="AH890">
        <f t="shared" si="111"/>
        <v>37195856</v>
      </c>
    </row>
    <row r="891" spans="1:34">
      <c r="A891">
        <v>887</v>
      </c>
      <c r="B891">
        <v>1005</v>
      </c>
      <c r="C891">
        <v>60</v>
      </c>
      <c r="D891">
        <f>IFERROR(ROUND($U891*$X891*$AA891*参数!$B$13,0),"")</f>
        <v>6199309</v>
      </c>
      <c r="E891">
        <f>IFERROR(ROUND($V891*$Y891*$AB891*参数!$C$13,0),"")</f>
        <v>102266</v>
      </c>
      <c r="F891">
        <f>IFERROR(ROUND($W891*$Z891*$AC891*参数!$D$13,0),"")</f>
        <v>52256</v>
      </c>
      <c r="J891">
        <v>178</v>
      </c>
      <c r="K891">
        <v>178</v>
      </c>
      <c r="L891">
        <f>IFERROR(INDEX(楼层配置!$D$5:$D$204,MATCH($K891,楼层配置!$B$5:$B$204,0)),"")</f>
        <v>427</v>
      </c>
      <c r="M891" t="str">
        <f>IFERROR(INDEX(_角色基线!$B$2:$B$100,MATCH($B891,_角色基线!$A$2:$A$100,0)),"")</f>
        <v>陈单单</v>
      </c>
      <c r="N891" t="str">
        <f>IFERROR(INDEX(_角色基线!$C$2:$C$100,MATCH($B891,_角色基线!$A$2:$A$100,0)),"")</f>
        <v>DPS</v>
      </c>
      <c r="O891">
        <f>IFERROR(INDEX(_怪物基线!$B$2:$B$501,MATCH(INT($L891),_怪物基线!$A$2:$A$501,0)),"")</f>
        <v>1376620</v>
      </c>
      <c r="P891">
        <f>IFERROR(INDEX(_怪物基线!$C$2:$C$501,MATCH(INT($L891),_怪物基线!$A$2:$A$501,0)),"")</f>
        <v>97307</v>
      </c>
      <c r="Q891">
        <f>IFERROR(INDEX(_怪物基线!$D$2:$D$501,MATCH(INT($L891),_怪物基线!$A$2:$A$501,0)),"")</f>
        <v>52256</v>
      </c>
      <c r="R891">
        <f>参数!$B$10</f>
        <v>4</v>
      </c>
      <c r="S891">
        <f>参数!$C$10</f>
        <v>1.2</v>
      </c>
      <c r="T891">
        <f>参数!$D$10</f>
        <v>1</v>
      </c>
      <c r="U891">
        <f t="shared" si="104"/>
        <v>5506480</v>
      </c>
      <c r="V891">
        <f t="shared" si="105"/>
        <v>116768.4</v>
      </c>
      <c r="W891">
        <f t="shared" si="106"/>
        <v>52256</v>
      </c>
      <c r="X891">
        <f>IFERROR(INDEX(参数!$B$5:$B$7,MATCH($N891,参数!$A$5:$A$7,0)),"")</f>
        <v>1</v>
      </c>
      <c r="Y891">
        <f>IFERROR(INDEX(参数!$C$5:$C$7,MATCH($N891,参数!$A$5:$A$7,0)),"")</f>
        <v>1.2</v>
      </c>
      <c r="Z891">
        <f>IFERROR(INDEX(参数!$D$5:$D$7,MATCH($N891,参数!$A$5:$A$7,0)),"")</f>
        <v>1</v>
      </c>
      <c r="AA891">
        <f>IFERROR(INDEX(楼层配置!$E$5:$E$204,MATCH($K891,楼层配置!$B$5:$B$204,0)),1)</f>
        <v>1.12582067235919</v>
      </c>
      <c r="AB891">
        <f>IFERROR(INDEX(楼层配置!$F$5:$F$204,MATCH($K891,楼层配置!$B$5:$B$204,0)),1)</f>
        <v>0.729834891319568</v>
      </c>
      <c r="AC891">
        <f>IFERROR(INDEX(楼层配置!$G$5:$G$204,MATCH($K891,楼层配置!$B$5:$B$204,0)),1)</f>
        <v>1</v>
      </c>
      <c r="AD891" t="str">
        <f t="shared" si="107"/>
        <v/>
      </c>
      <c r="AE891" t="str">
        <f t="shared" si="108"/>
        <v/>
      </c>
      <c r="AF891" t="str">
        <f t="shared" si="109"/>
        <v/>
      </c>
      <c r="AG891" t="str">
        <f t="shared" si="110"/>
        <v>有效</v>
      </c>
      <c r="AH891">
        <f t="shared" si="111"/>
        <v>19697271.1293333</v>
      </c>
    </row>
    <row r="892" spans="1:34">
      <c r="A892">
        <v>888</v>
      </c>
      <c r="B892">
        <v>1005</v>
      </c>
      <c r="C892">
        <v>60</v>
      </c>
      <c r="D892">
        <f>IFERROR(ROUND($U892*$X892*$AA892*参数!$B$13,0),"")</f>
        <v>6199309</v>
      </c>
      <c r="E892">
        <f>IFERROR(ROUND($V892*$Y892*$AB892*参数!$C$13,0),"")</f>
        <v>102266</v>
      </c>
      <c r="F892">
        <f>IFERROR(ROUND($W892*$Z892*$AC892*参数!$D$13,0),"")</f>
        <v>52256</v>
      </c>
      <c r="J892">
        <v>178</v>
      </c>
      <c r="K892">
        <v>178</v>
      </c>
      <c r="L892">
        <f>IFERROR(INDEX(楼层配置!$D$5:$D$204,MATCH($K892,楼层配置!$B$5:$B$204,0)),"")</f>
        <v>427</v>
      </c>
      <c r="M892" t="str">
        <f>IFERROR(INDEX(_角色基线!$B$2:$B$100,MATCH($B892,_角色基线!$A$2:$A$100,0)),"")</f>
        <v>陈单单</v>
      </c>
      <c r="N892" t="str">
        <f>IFERROR(INDEX(_角色基线!$C$2:$C$100,MATCH($B892,_角色基线!$A$2:$A$100,0)),"")</f>
        <v>DPS</v>
      </c>
      <c r="O892">
        <f>IFERROR(INDEX(_怪物基线!$B$2:$B$501,MATCH(INT($L892),_怪物基线!$A$2:$A$501,0)),"")</f>
        <v>1376620</v>
      </c>
      <c r="P892">
        <f>IFERROR(INDEX(_怪物基线!$C$2:$C$501,MATCH(INT($L892),_怪物基线!$A$2:$A$501,0)),"")</f>
        <v>97307</v>
      </c>
      <c r="Q892">
        <f>IFERROR(INDEX(_怪物基线!$D$2:$D$501,MATCH(INT($L892),_怪物基线!$A$2:$A$501,0)),"")</f>
        <v>52256</v>
      </c>
      <c r="R892">
        <f>参数!$B$10</f>
        <v>4</v>
      </c>
      <c r="S892">
        <f>参数!$C$10</f>
        <v>1.2</v>
      </c>
      <c r="T892">
        <f>参数!$D$10</f>
        <v>1</v>
      </c>
      <c r="U892">
        <f t="shared" si="104"/>
        <v>5506480</v>
      </c>
      <c r="V892">
        <f t="shared" si="105"/>
        <v>116768.4</v>
      </c>
      <c r="W892">
        <f t="shared" si="106"/>
        <v>52256</v>
      </c>
      <c r="X892">
        <f>IFERROR(INDEX(参数!$B$5:$B$7,MATCH($N892,参数!$A$5:$A$7,0)),"")</f>
        <v>1</v>
      </c>
      <c r="Y892">
        <f>IFERROR(INDEX(参数!$C$5:$C$7,MATCH($N892,参数!$A$5:$A$7,0)),"")</f>
        <v>1.2</v>
      </c>
      <c r="Z892">
        <f>IFERROR(INDEX(参数!$D$5:$D$7,MATCH($N892,参数!$A$5:$A$7,0)),"")</f>
        <v>1</v>
      </c>
      <c r="AA892">
        <f>IFERROR(INDEX(楼层配置!$E$5:$E$204,MATCH($K892,楼层配置!$B$5:$B$204,0)),1)</f>
        <v>1.12582067235919</v>
      </c>
      <c r="AB892">
        <f>IFERROR(INDEX(楼层配置!$F$5:$F$204,MATCH($K892,楼层配置!$B$5:$B$204,0)),1)</f>
        <v>0.729834891319568</v>
      </c>
      <c r="AC892">
        <f>IFERROR(INDEX(楼层配置!$G$5:$G$204,MATCH($K892,楼层配置!$B$5:$B$204,0)),1)</f>
        <v>1</v>
      </c>
      <c r="AD892" t="str">
        <f t="shared" si="107"/>
        <v/>
      </c>
      <c r="AE892" t="str">
        <f t="shared" si="108"/>
        <v/>
      </c>
      <c r="AF892" t="str">
        <f t="shared" si="109"/>
        <v/>
      </c>
      <c r="AG892" t="str">
        <f t="shared" si="110"/>
        <v>有效</v>
      </c>
      <c r="AH892">
        <f t="shared" si="111"/>
        <v>19697271.1293333</v>
      </c>
    </row>
    <row r="893" spans="1:34">
      <c r="A893">
        <v>889</v>
      </c>
      <c r="B893">
        <v>1005</v>
      </c>
      <c r="C893">
        <v>60</v>
      </c>
      <c r="D893">
        <f>IFERROR(ROUND($U893*$X893*$AA893*参数!$B$13,0),"")</f>
        <v>6199309</v>
      </c>
      <c r="E893">
        <f>IFERROR(ROUND($V893*$Y893*$AB893*参数!$C$13,0),"")</f>
        <v>102266</v>
      </c>
      <c r="F893">
        <f>IFERROR(ROUND($W893*$Z893*$AC893*参数!$D$13,0),"")</f>
        <v>52256</v>
      </c>
      <c r="J893">
        <v>178</v>
      </c>
      <c r="K893">
        <v>178</v>
      </c>
      <c r="L893">
        <f>IFERROR(INDEX(楼层配置!$D$5:$D$204,MATCH($K893,楼层配置!$B$5:$B$204,0)),"")</f>
        <v>427</v>
      </c>
      <c r="M893" t="str">
        <f>IFERROR(INDEX(_角色基线!$B$2:$B$100,MATCH($B893,_角色基线!$A$2:$A$100,0)),"")</f>
        <v>陈单单</v>
      </c>
      <c r="N893" t="str">
        <f>IFERROR(INDEX(_角色基线!$C$2:$C$100,MATCH($B893,_角色基线!$A$2:$A$100,0)),"")</f>
        <v>DPS</v>
      </c>
      <c r="O893">
        <f>IFERROR(INDEX(_怪物基线!$B$2:$B$501,MATCH(INT($L893),_怪物基线!$A$2:$A$501,0)),"")</f>
        <v>1376620</v>
      </c>
      <c r="P893">
        <f>IFERROR(INDEX(_怪物基线!$C$2:$C$501,MATCH(INT($L893),_怪物基线!$A$2:$A$501,0)),"")</f>
        <v>97307</v>
      </c>
      <c r="Q893">
        <f>IFERROR(INDEX(_怪物基线!$D$2:$D$501,MATCH(INT($L893),_怪物基线!$A$2:$A$501,0)),"")</f>
        <v>52256</v>
      </c>
      <c r="R893">
        <f>参数!$B$10</f>
        <v>4</v>
      </c>
      <c r="S893">
        <f>参数!$C$10</f>
        <v>1.2</v>
      </c>
      <c r="T893">
        <f>参数!$D$10</f>
        <v>1</v>
      </c>
      <c r="U893">
        <f t="shared" si="104"/>
        <v>5506480</v>
      </c>
      <c r="V893">
        <f t="shared" si="105"/>
        <v>116768.4</v>
      </c>
      <c r="W893">
        <f t="shared" si="106"/>
        <v>52256</v>
      </c>
      <c r="X893">
        <f>IFERROR(INDEX(参数!$B$5:$B$7,MATCH($N893,参数!$A$5:$A$7,0)),"")</f>
        <v>1</v>
      </c>
      <c r="Y893">
        <f>IFERROR(INDEX(参数!$C$5:$C$7,MATCH($N893,参数!$A$5:$A$7,0)),"")</f>
        <v>1.2</v>
      </c>
      <c r="Z893">
        <f>IFERROR(INDEX(参数!$D$5:$D$7,MATCH($N893,参数!$A$5:$A$7,0)),"")</f>
        <v>1</v>
      </c>
      <c r="AA893">
        <f>IFERROR(INDEX(楼层配置!$E$5:$E$204,MATCH($K893,楼层配置!$B$5:$B$204,0)),1)</f>
        <v>1.12582067235919</v>
      </c>
      <c r="AB893">
        <f>IFERROR(INDEX(楼层配置!$F$5:$F$204,MATCH($K893,楼层配置!$B$5:$B$204,0)),1)</f>
        <v>0.729834891319568</v>
      </c>
      <c r="AC893">
        <f>IFERROR(INDEX(楼层配置!$G$5:$G$204,MATCH($K893,楼层配置!$B$5:$B$204,0)),1)</f>
        <v>1</v>
      </c>
      <c r="AD893" t="str">
        <f t="shared" si="107"/>
        <v/>
      </c>
      <c r="AE893" t="str">
        <f t="shared" si="108"/>
        <v/>
      </c>
      <c r="AF893" t="str">
        <f t="shared" si="109"/>
        <v/>
      </c>
      <c r="AG893" t="str">
        <f t="shared" si="110"/>
        <v>有效</v>
      </c>
      <c r="AH893">
        <f t="shared" si="111"/>
        <v>19697271.1293333</v>
      </c>
    </row>
    <row r="894" spans="1:34">
      <c r="A894">
        <v>890</v>
      </c>
      <c r="B894">
        <v>1029</v>
      </c>
      <c r="C894">
        <v>60</v>
      </c>
      <c r="D894">
        <f>IFERROR(ROUND($U894*$X894*$AA894*参数!$B$13,0),"")</f>
        <v>7749136</v>
      </c>
      <c r="E894">
        <f>IFERROR(ROUND($V894*$Y894*$AB894*参数!$C$13,0),"")</f>
        <v>85222</v>
      </c>
      <c r="F894">
        <f>IFERROR(ROUND($W894*$Z894*$AC894*参数!$D$13,0),"")</f>
        <v>65320</v>
      </c>
      <c r="J894">
        <v>178</v>
      </c>
      <c r="K894">
        <v>178</v>
      </c>
      <c r="L894">
        <f>IFERROR(INDEX(楼层配置!$D$5:$D$204,MATCH($K894,楼层配置!$B$5:$B$204,0)),"")</f>
        <v>427</v>
      </c>
      <c r="M894" t="str">
        <f>IFERROR(INDEX(_角色基线!$B$2:$B$100,MATCH($B894,_角色基线!$A$2:$A$100,0)),"")</f>
        <v>凯兰</v>
      </c>
      <c r="N894" t="str">
        <f>IFERROR(INDEX(_角色基线!$C$2:$C$100,MATCH($B894,_角色基线!$A$2:$A$100,0)),"")</f>
        <v>Support</v>
      </c>
      <c r="O894">
        <f>IFERROR(INDEX(_怪物基线!$B$2:$B$501,MATCH(INT($L894),_怪物基线!$A$2:$A$501,0)),"")</f>
        <v>1376620</v>
      </c>
      <c r="P894">
        <f>IFERROR(INDEX(_怪物基线!$C$2:$C$501,MATCH(INT($L894),_怪物基线!$A$2:$A$501,0)),"")</f>
        <v>97307</v>
      </c>
      <c r="Q894">
        <f>IFERROR(INDEX(_怪物基线!$D$2:$D$501,MATCH(INT($L894),_怪物基线!$A$2:$A$501,0)),"")</f>
        <v>52256</v>
      </c>
      <c r="R894">
        <f>参数!$B$10</f>
        <v>4</v>
      </c>
      <c r="S894">
        <f>参数!$C$10</f>
        <v>1.2</v>
      </c>
      <c r="T894">
        <f>参数!$D$10</f>
        <v>1</v>
      </c>
      <c r="U894">
        <f t="shared" si="104"/>
        <v>5506480</v>
      </c>
      <c r="V894">
        <f t="shared" si="105"/>
        <v>116768.4</v>
      </c>
      <c r="W894">
        <f t="shared" si="106"/>
        <v>52256</v>
      </c>
      <c r="X894">
        <f>IFERROR(INDEX(参数!$B$5:$B$7,MATCH($N894,参数!$A$5:$A$7,0)),"")</f>
        <v>1.25</v>
      </c>
      <c r="Y894">
        <f>IFERROR(INDEX(参数!$C$5:$C$7,MATCH($N894,参数!$A$5:$A$7,0)),"")</f>
        <v>1</v>
      </c>
      <c r="Z894">
        <f>IFERROR(INDEX(参数!$D$5:$D$7,MATCH($N894,参数!$A$5:$A$7,0)),"")</f>
        <v>1.25</v>
      </c>
      <c r="AA894">
        <f>IFERROR(INDEX(楼层配置!$E$5:$E$204,MATCH($K894,楼层配置!$B$5:$B$204,0)),1)</f>
        <v>1.12582067235919</v>
      </c>
      <c r="AB894">
        <f>IFERROR(INDEX(楼层配置!$F$5:$F$204,MATCH($K894,楼层配置!$B$5:$B$204,0)),1)</f>
        <v>0.729834891319568</v>
      </c>
      <c r="AC894">
        <f>IFERROR(INDEX(楼层配置!$G$5:$G$204,MATCH($K894,楼层配置!$B$5:$B$204,0)),1)</f>
        <v>1</v>
      </c>
      <c r="AD894" t="str">
        <f t="shared" si="107"/>
        <v/>
      </c>
      <c r="AE894" t="str">
        <f t="shared" si="108"/>
        <v/>
      </c>
      <c r="AF894" t="str">
        <f t="shared" si="109"/>
        <v/>
      </c>
      <c r="AG894" t="str">
        <f t="shared" si="110"/>
        <v>有效</v>
      </c>
      <c r="AH894">
        <f t="shared" si="111"/>
        <v>28839701.1466667</v>
      </c>
    </row>
    <row r="895" spans="1:34">
      <c r="A895">
        <v>891</v>
      </c>
      <c r="B895">
        <v>1003</v>
      </c>
      <c r="C895">
        <v>60</v>
      </c>
      <c r="D895">
        <f>IFERROR(ROUND($U895*$X895*$AA895*参数!$B$13,0),"")</f>
        <v>9437926</v>
      </c>
      <c r="E895">
        <f>IFERROR(ROUND($V895*$Y895*$AB895*参数!$C$13,0),"")</f>
        <v>86254</v>
      </c>
      <c r="F895">
        <f>IFERROR(ROUND($W895*$Z895*$AC895*参数!$D$13,0),"")</f>
        <v>78899</v>
      </c>
      <c r="J895">
        <v>179</v>
      </c>
      <c r="K895">
        <v>179</v>
      </c>
      <c r="L895">
        <f>IFERROR(INDEX(楼层配置!$D$5:$D$204,MATCH($K895,楼层配置!$B$5:$B$204,0)),"")</f>
        <v>429</v>
      </c>
      <c r="M895" t="str">
        <f>IFERROR(INDEX(_角色基线!$B$2:$B$100,MATCH($B895,_角色基线!$A$2:$A$100,0)),"")</f>
        <v>塔拉夏</v>
      </c>
      <c r="N895" t="str">
        <f>IFERROR(INDEX(_角色基线!$C$2:$C$100,MATCH($B895,_角色基线!$A$2:$A$100,0)),"")</f>
        <v>Tank</v>
      </c>
      <c r="O895">
        <f>IFERROR(INDEX(_怪物基线!$B$2:$B$501,MATCH(INT($L895),_怪物基线!$A$2:$A$501,0)),"")</f>
        <v>1397192</v>
      </c>
      <c r="P895">
        <f>IFERROR(INDEX(_怪物基线!$C$2:$C$501,MATCH(INT($L895),_怪物基线!$A$2:$A$501,0)),"")</f>
        <v>98486</v>
      </c>
      <c r="Q895">
        <f>IFERROR(INDEX(_怪物基线!$D$2:$D$501,MATCH(INT($L895),_怪物基线!$A$2:$A$501,0)),"")</f>
        <v>52599</v>
      </c>
      <c r="R895">
        <f>参数!$B$10</f>
        <v>4</v>
      </c>
      <c r="S895">
        <f>参数!$C$10</f>
        <v>1.2</v>
      </c>
      <c r="T895">
        <f>参数!$D$10</f>
        <v>1</v>
      </c>
      <c r="U895">
        <f t="shared" si="104"/>
        <v>5588768</v>
      </c>
      <c r="V895">
        <f t="shared" si="105"/>
        <v>118183.2</v>
      </c>
      <c r="W895">
        <f t="shared" si="106"/>
        <v>52599</v>
      </c>
      <c r="X895">
        <f>IFERROR(INDEX(参数!$B$5:$B$7,MATCH($N895,参数!$A$5:$A$7,0)),"")</f>
        <v>1.5</v>
      </c>
      <c r="Y895">
        <f>IFERROR(INDEX(参数!$C$5:$C$7,MATCH($N895,参数!$A$5:$A$7,0)),"")</f>
        <v>1</v>
      </c>
      <c r="Z895">
        <f>IFERROR(INDEX(参数!$D$5:$D$7,MATCH($N895,参数!$A$5:$A$7,0)),"")</f>
        <v>1.5</v>
      </c>
      <c r="AA895">
        <f>IFERROR(INDEX(楼层配置!$E$5:$E$204,MATCH($K895,楼层配置!$B$5:$B$204,0)),1)</f>
        <v>1.12582067235919</v>
      </c>
      <c r="AB895">
        <f>IFERROR(INDEX(楼层配置!$F$5:$F$204,MATCH($K895,楼层配置!$B$5:$B$204,0)),1)</f>
        <v>0.729834891319568</v>
      </c>
      <c r="AC895">
        <f>IFERROR(INDEX(楼层配置!$G$5:$G$204,MATCH($K895,楼层配置!$B$5:$B$204,0)),1)</f>
        <v>1</v>
      </c>
      <c r="AD895" t="str">
        <f t="shared" si="107"/>
        <v/>
      </c>
      <c r="AE895" t="str">
        <f t="shared" si="108"/>
        <v/>
      </c>
      <c r="AF895" t="str">
        <f t="shared" si="109"/>
        <v/>
      </c>
      <c r="AG895" t="str">
        <f t="shared" si="110"/>
        <v>有效</v>
      </c>
      <c r="AH895">
        <f t="shared" si="111"/>
        <v>37751704</v>
      </c>
    </row>
    <row r="896" spans="1:34">
      <c r="A896">
        <v>892</v>
      </c>
      <c r="B896">
        <v>1005</v>
      </c>
      <c r="C896">
        <v>60</v>
      </c>
      <c r="D896">
        <f>IFERROR(ROUND($U896*$X896*$AA896*参数!$B$13,0),"")</f>
        <v>6291951</v>
      </c>
      <c r="E896">
        <f>IFERROR(ROUND($V896*$Y896*$AB896*参数!$C$13,0),"")</f>
        <v>103505</v>
      </c>
      <c r="F896">
        <f>IFERROR(ROUND($W896*$Z896*$AC896*参数!$D$13,0),"")</f>
        <v>52599</v>
      </c>
      <c r="J896">
        <v>179</v>
      </c>
      <c r="K896">
        <v>179</v>
      </c>
      <c r="L896">
        <f>IFERROR(INDEX(楼层配置!$D$5:$D$204,MATCH($K896,楼层配置!$B$5:$B$204,0)),"")</f>
        <v>429</v>
      </c>
      <c r="M896" t="str">
        <f>IFERROR(INDEX(_角色基线!$B$2:$B$100,MATCH($B896,_角色基线!$A$2:$A$100,0)),"")</f>
        <v>陈单单</v>
      </c>
      <c r="N896" t="str">
        <f>IFERROR(INDEX(_角色基线!$C$2:$C$100,MATCH($B896,_角色基线!$A$2:$A$100,0)),"")</f>
        <v>DPS</v>
      </c>
      <c r="O896">
        <f>IFERROR(INDEX(_怪物基线!$B$2:$B$501,MATCH(INT($L896),_怪物基线!$A$2:$A$501,0)),"")</f>
        <v>1397192</v>
      </c>
      <c r="P896">
        <f>IFERROR(INDEX(_怪物基线!$C$2:$C$501,MATCH(INT($L896),_怪物基线!$A$2:$A$501,0)),"")</f>
        <v>98486</v>
      </c>
      <c r="Q896">
        <f>IFERROR(INDEX(_怪物基线!$D$2:$D$501,MATCH(INT($L896),_怪物基线!$A$2:$A$501,0)),"")</f>
        <v>52599</v>
      </c>
      <c r="R896">
        <f>参数!$B$10</f>
        <v>4</v>
      </c>
      <c r="S896">
        <f>参数!$C$10</f>
        <v>1.2</v>
      </c>
      <c r="T896">
        <f>参数!$D$10</f>
        <v>1</v>
      </c>
      <c r="U896">
        <f t="shared" si="104"/>
        <v>5588768</v>
      </c>
      <c r="V896">
        <f t="shared" si="105"/>
        <v>118183.2</v>
      </c>
      <c r="W896">
        <f t="shared" si="106"/>
        <v>52599</v>
      </c>
      <c r="X896">
        <f>IFERROR(INDEX(参数!$B$5:$B$7,MATCH($N896,参数!$A$5:$A$7,0)),"")</f>
        <v>1</v>
      </c>
      <c r="Y896">
        <f>IFERROR(INDEX(参数!$C$5:$C$7,MATCH($N896,参数!$A$5:$A$7,0)),"")</f>
        <v>1.2</v>
      </c>
      <c r="Z896">
        <f>IFERROR(INDEX(参数!$D$5:$D$7,MATCH($N896,参数!$A$5:$A$7,0)),"")</f>
        <v>1</v>
      </c>
      <c r="AA896">
        <f>IFERROR(INDEX(楼层配置!$E$5:$E$204,MATCH($K896,楼层配置!$B$5:$B$204,0)),1)</f>
        <v>1.12582067235919</v>
      </c>
      <c r="AB896">
        <f>IFERROR(INDEX(楼层配置!$F$5:$F$204,MATCH($K896,楼层配置!$B$5:$B$204,0)),1)</f>
        <v>0.729834891319568</v>
      </c>
      <c r="AC896">
        <f>IFERROR(INDEX(楼层配置!$G$5:$G$204,MATCH($K896,楼层配置!$B$5:$B$204,0)),1)</f>
        <v>1</v>
      </c>
      <c r="AD896" t="str">
        <f t="shared" si="107"/>
        <v/>
      </c>
      <c r="AE896" t="str">
        <f t="shared" si="108"/>
        <v/>
      </c>
      <c r="AF896" t="str">
        <f t="shared" si="109"/>
        <v/>
      </c>
      <c r="AG896" t="str">
        <f t="shared" si="110"/>
        <v>有效</v>
      </c>
      <c r="AH896">
        <f t="shared" si="111"/>
        <v>20081548.110375</v>
      </c>
    </row>
    <row r="897" spans="1:34">
      <c r="A897">
        <v>893</v>
      </c>
      <c r="B897">
        <v>1005</v>
      </c>
      <c r="C897">
        <v>60</v>
      </c>
      <c r="D897">
        <f>IFERROR(ROUND($U897*$X897*$AA897*参数!$B$13,0),"")</f>
        <v>6291951</v>
      </c>
      <c r="E897">
        <f>IFERROR(ROUND($V897*$Y897*$AB897*参数!$C$13,0),"")</f>
        <v>103505</v>
      </c>
      <c r="F897">
        <f>IFERROR(ROUND($W897*$Z897*$AC897*参数!$D$13,0),"")</f>
        <v>52599</v>
      </c>
      <c r="J897">
        <v>179</v>
      </c>
      <c r="K897">
        <v>179</v>
      </c>
      <c r="L897">
        <f>IFERROR(INDEX(楼层配置!$D$5:$D$204,MATCH($K897,楼层配置!$B$5:$B$204,0)),"")</f>
        <v>429</v>
      </c>
      <c r="M897" t="str">
        <f>IFERROR(INDEX(_角色基线!$B$2:$B$100,MATCH($B897,_角色基线!$A$2:$A$100,0)),"")</f>
        <v>陈单单</v>
      </c>
      <c r="N897" t="str">
        <f>IFERROR(INDEX(_角色基线!$C$2:$C$100,MATCH($B897,_角色基线!$A$2:$A$100,0)),"")</f>
        <v>DPS</v>
      </c>
      <c r="O897">
        <f>IFERROR(INDEX(_怪物基线!$B$2:$B$501,MATCH(INT($L897),_怪物基线!$A$2:$A$501,0)),"")</f>
        <v>1397192</v>
      </c>
      <c r="P897">
        <f>IFERROR(INDEX(_怪物基线!$C$2:$C$501,MATCH(INT($L897),_怪物基线!$A$2:$A$501,0)),"")</f>
        <v>98486</v>
      </c>
      <c r="Q897">
        <f>IFERROR(INDEX(_怪物基线!$D$2:$D$501,MATCH(INT($L897),_怪物基线!$A$2:$A$501,0)),"")</f>
        <v>52599</v>
      </c>
      <c r="R897">
        <f>参数!$B$10</f>
        <v>4</v>
      </c>
      <c r="S897">
        <f>参数!$C$10</f>
        <v>1.2</v>
      </c>
      <c r="T897">
        <f>参数!$D$10</f>
        <v>1</v>
      </c>
      <c r="U897">
        <f t="shared" si="104"/>
        <v>5588768</v>
      </c>
      <c r="V897">
        <f t="shared" si="105"/>
        <v>118183.2</v>
      </c>
      <c r="W897">
        <f t="shared" si="106"/>
        <v>52599</v>
      </c>
      <c r="X897">
        <f>IFERROR(INDEX(参数!$B$5:$B$7,MATCH($N897,参数!$A$5:$A$7,0)),"")</f>
        <v>1</v>
      </c>
      <c r="Y897">
        <f>IFERROR(INDEX(参数!$C$5:$C$7,MATCH($N897,参数!$A$5:$A$7,0)),"")</f>
        <v>1.2</v>
      </c>
      <c r="Z897">
        <f>IFERROR(INDEX(参数!$D$5:$D$7,MATCH($N897,参数!$A$5:$A$7,0)),"")</f>
        <v>1</v>
      </c>
      <c r="AA897">
        <f>IFERROR(INDEX(楼层配置!$E$5:$E$204,MATCH($K897,楼层配置!$B$5:$B$204,0)),1)</f>
        <v>1.12582067235919</v>
      </c>
      <c r="AB897">
        <f>IFERROR(INDEX(楼层配置!$F$5:$F$204,MATCH($K897,楼层配置!$B$5:$B$204,0)),1)</f>
        <v>0.729834891319568</v>
      </c>
      <c r="AC897">
        <f>IFERROR(INDEX(楼层配置!$G$5:$G$204,MATCH($K897,楼层配置!$B$5:$B$204,0)),1)</f>
        <v>1</v>
      </c>
      <c r="AD897" t="str">
        <f t="shared" si="107"/>
        <v/>
      </c>
      <c r="AE897" t="str">
        <f t="shared" si="108"/>
        <v/>
      </c>
      <c r="AF897" t="str">
        <f t="shared" si="109"/>
        <v/>
      </c>
      <c r="AG897" t="str">
        <f t="shared" si="110"/>
        <v>有效</v>
      </c>
      <c r="AH897">
        <f t="shared" si="111"/>
        <v>20081548.110375</v>
      </c>
    </row>
    <row r="898" spans="1:34">
      <c r="A898">
        <v>894</v>
      </c>
      <c r="B898">
        <v>1005</v>
      </c>
      <c r="C898">
        <v>60</v>
      </c>
      <c r="D898">
        <f>IFERROR(ROUND($U898*$X898*$AA898*参数!$B$13,0),"")</f>
        <v>6291951</v>
      </c>
      <c r="E898">
        <f>IFERROR(ROUND($V898*$Y898*$AB898*参数!$C$13,0),"")</f>
        <v>103505</v>
      </c>
      <c r="F898">
        <f>IFERROR(ROUND($W898*$Z898*$AC898*参数!$D$13,0),"")</f>
        <v>52599</v>
      </c>
      <c r="J898">
        <v>179</v>
      </c>
      <c r="K898">
        <v>179</v>
      </c>
      <c r="L898">
        <f>IFERROR(INDEX(楼层配置!$D$5:$D$204,MATCH($K898,楼层配置!$B$5:$B$204,0)),"")</f>
        <v>429</v>
      </c>
      <c r="M898" t="str">
        <f>IFERROR(INDEX(_角色基线!$B$2:$B$100,MATCH($B898,_角色基线!$A$2:$A$100,0)),"")</f>
        <v>陈单单</v>
      </c>
      <c r="N898" t="str">
        <f>IFERROR(INDEX(_角色基线!$C$2:$C$100,MATCH($B898,_角色基线!$A$2:$A$100,0)),"")</f>
        <v>DPS</v>
      </c>
      <c r="O898">
        <f>IFERROR(INDEX(_怪物基线!$B$2:$B$501,MATCH(INT($L898),_怪物基线!$A$2:$A$501,0)),"")</f>
        <v>1397192</v>
      </c>
      <c r="P898">
        <f>IFERROR(INDEX(_怪物基线!$C$2:$C$501,MATCH(INT($L898),_怪物基线!$A$2:$A$501,0)),"")</f>
        <v>98486</v>
      </c>
      <c r="Q898">
        <f>IFERROR(INDEX(_怪物基线!$D$2:$D$501,MATCH(INT($L898),_怪物基线!$A$2:$A$501,0)),"")</f>
        <v>52599</v>
      </c>
      <c r="R898">
        <f>参数!$B$10</f>
        <v>4</v>
      </c>
      <c r="S898">
        <f>参数!$C$10</f>
        <v>1.2</v>
      </c>
      <c r="T898">
        <f>参数!$D$10</f>
        <v>1</v>
      </c>
      <c r="U898">
        <f t="shared" si="104"/>
        <v>5588768</v>
      </c>
      <c r="V898">
        <f t="shared" si="105"/>
        <v>118183.2</v>
      </c>
      <c r="W898">
        <f t="shared" si="106"/>
        <v>52599</v>
      </c>
      <c r="X898">
        <f>IFERROR(INDEX(参数!$B$5:$B$7,MATCH($N898,参数!$A$5:$A$7,0)),"")</f>
        <v>1</v>
      </c>
      <c r="Y898">
        <f>IFERROR(INDEX(参数!$C$5:$C$7,MATCH($N898,参数!$A$5:$A$7,0)),"")</f>
        <v>1.2</v>
      </c>
      <c r="Z898">
        <f>IFERROR(INDEX(参数!$D$5:$D$7,MATCH($N898,参数!$A$5:$A$7,0)),"")</f>
        <v>1</v>
      </c>
      <c r="AA898">
        <f>IFERROR(INDEX(楼层配置!$E$5:$E$204,MATCH($K898,楼层配置!$B$5:$B$204,0)),1)</f>
        <v>1.12582067235919</v>
      </c>
      <c r="AB898">
        <f>IFERROR(INDEX(楼层配置!$F$5:$F$204,MATCH($K898,楼层配置!$B$5:$B$204,0)),1)</f>
        <v>0.729834891319568</v>
      </c>
      <c r="AC898">
        <f>IFERROR(INDEX(楼层配置!$G$5:$G$204,MATCH($K898,楼层配置!$B$5:$B$204,0)),1)</f>
        <v>1</v>
      </c>
      <c r="AD898" t="str">
        <f t="shared" si="107"/>
        <v/>
      </c>
      <c r="AE898" t="str">
        <f t="shared" si="108"/>
        <v/>
      </c>
      <c r="AF898" t="str">
        <f t="shared" si="109"/>
        <v/>
      </c>
      <c r="AG898" t="str">
        <f t="shared" si="110"/>
        <v>有效</v>
      </c>
      <c r="AH898">
        <f t="shared" si="111"/>
        <v>20081548.110375</v>
      </c>
    </row>
    <row r="899" spans="1:34">
      <c r="A899">
        <v>895</v>
      </c>
      <c r="B899">
        <v>1029</v>
      </c>
      <c r="C899">
        <v>60</v>
      </c>
      <c r="D899">
        <f>IFERROR(ROUND($U899*$X899*$AA899*参数!$B$13,0),"")</f>
        <v>7864938</v>
      </c>
      <c r="E899">
        <f>IFERROR(ROUND($V899*$Y899*$AB899*参数!$C$13,0),"")</f>
        <v>86254</v>
      </c>
      <c r="F899">
        <f>IFERROR(ROUND($W899*$Z899*$AC899*参数!$D$13,0),"")</f>
        <v>65749</v>
      </c>
      <c r="J899">
        <v>179</v>
      </c>
      <c r="K899">
        <v>179</v>
      </c>
      <c r="L899">
        <f>IFERROR(INDEX(楼层配置!$D$5:$D$204,MATCH($K899,楼层配置!$B$5:$B$204,0)),"")</f>
        <v>429</v>
      </c>
      <c r="M899" t="str">
        <f>IFERROR(INDEX(_角色基线!$B$2:$B$100,MATCH($B899,_角色基线!$A$2:$A$100,0)),"")</f>
        <v>凯兰</v>
      </c>
      <c r="N899" t="str">
        <f>IFERROR(INDEX(_角色基线!$C$2:$C$100,MATCH($B899,_角色基线!$A$2:$A$100,0)),"")</f>
        <v>Support</v>
      </c>
      <c r="O899">
        <f>IFERROR(INDEX(_怪物基线!$B$2:$B$501,MATCH(INT($L899),_怪物基线!$A$2:$A$501,0)),"")</f>
        <v>1397192</v>
      </c>
      <c r="P899">
        <f>IFERROR(INDEX(_怪物基线!$C$2:$C$501,MATCH(INT($L899),_怪物基线!$A$2:$A$501,0)),"")</f>
        <v>98486</v>
      </c>
      <c r="Q899">
        <f>IFERROR(INDEX(_怪物基线!$D$2:$D$501,MATCH(INT($L899),_怪物基线!$A$2:$A$501,0)),"")</f>
        <v>52599</v>
      </c>
      <c r="R899">
        <f>参数!$B$10</f>
        <v>4</v>
      </c>
      <c r="S899">
        <f>参数!$C$10</f>
        <v>1.2</v>
      </c>
      <c r="T899">
        <f>参数!$D$10</f>
        <v>1</v>
      </c>
      <c r="U899">
        <f t="shared" si="104"/>
        <v>5588768</v>
      </c>
      <c r="V899">
        <f t="shared" si="105"/>
        <v>118183.2</v>
      </c>
      <c r="W899">
        <f t="shared" si="106"/>
        <v>52599</v>
      </c>
      <c r="X899">
        <f>IFERROR(INDEX(参数!$B$5:$B$7,MATCH($N899,参数!$A$5:$A$7,0)),"")</f>
        <v>1.25</v>
      </c>
      <c r="Y899">
        <f>IFERROR(INDEX(参数!$C$5:$C$7,MATCH($N899,参数!$A$5:$A$7,0)),"")</f>
        <v>1</v>
      </c>
      <c r="Z899">
        <f>IFERROR(INDEX(参数!$D$5:$D$7,MATCH($N899,参数!$A$5:$A$7,0)),"")</f>
        <v>1.25</v>
      </c>
      <c r="AA899">
        <f>IFERROR(INDEX(楼层配置!$E$5:$E$204,MATCH($K899,楼层配置!$B$5:$B$204,0)),1)</f>
        <v>1.12582067235919</v>
      </c>
      <c r="AB899">
        <f>IFERROR(INDEX(楼层配置!$F$5:$F$204,MATCH($K899,楼层配置!$B$5:$B$204,0)),1)</f>
        <v>0.729834891319568</v>
      </c>
      <c r="AC899">
        <f>IFERROR(INDEX(楼层配置!$G$5:$G$204,MATCH($K899,楼层配置!$B$5:$B$204,0)),1)</f>
        <v>1</v>
      </c>
      <c r="AD899" t="str">
        <f t="shared" si="107"/>
        <v/>
      </c>
      <c r="AE899" t="str">
        <f t="shared" si="108"/>
        <v/>
      </c>
      <c r="AF899" t="str">
        <f t="shared" si="109"/>
        <v/>
      </c>
      <c r="AG899" t="str">
        <f t="shared" si="110"/>
        <v>有效</v>
      </c>
      <c r="AH899">
        <f t="shared" si="111"/>
        <v>29411263.35675</v>
      </c>
    </row>
    <row r="900" spans="1:34">
      <c r="A900">
        <v>896</v>
      </c>
      <c r="B900">
        <v>1003</v>
      </c>
      <c r="C900">
        <v>60</v>
      </c>
      <c r="D900">
        <f>IFERROR(ROUND($U900*$X900*$AA900*参数!$B$13,0),"")</f>
        <v>9657157</v>
      </c>
      <c r="E900">
        <f>IFERROR(ROUND($V900*$Y900*$AB900*参数!$C$13,0),"")</f>
        <v>87991</v>
      </c>
      <c r="F900">
        <f>IFERROR(ROUND($W900*$Z900*$AC900*参数!$D$13,0),"")</f>
        <v>79671</v>
      </c>
      <c r="J900">
        <v>180</v>
      </c>
      <c r="K900">
        <v>180</v>
      </c>
      <c r="L900">
        <f>IFERROR(INDEX(楼层配置!$D$5:$D$204,MATCH($K900,楼层配置!$B$5:$B$204,0)),"")</f>
        <v>432</v>
      </c>
      <c r="M900" t="str">
        <f>IFERROR(INDEX(_角色基线!$B$2:$B$100,MATCH($B900,_角色基线!$A$2:$A$100,0)),"")</f>
        <v>塔拉夏</v>
      </c>
      <c r="N900" t="str">
        <f>IFERROR(INDEX(_角色基线!$C$2:$C$100,MATCH($B900,_角色基线!$A$2:$A$100,0)),"")</f>
        <v>Tank</v>
      </c>
      <c r="O900">
        <f>IFERROR(INDEX(_怪物基线!$B$2:$B$501,MATCH(INT($L900),_怪物基线!$A$2:$A$501,0)),"")</f>
        <v>1428511</v>
      </c>
      <c r="P900">
        <f>IFERROR(INDEX(_怪物基线!$C$2:$C$501,MATCH(INT($L900),_怪物基线!$A$2:$A$501,0)),"")</f>
        <v>100277</v>
      </c>
      <c r="Q900">
        <f>IFERROR(INDEX(_怪物基线!$D$2:$D$501,MATCH(INT($L900),_怪物基线!$A$2:$A$501,0)),"")</f>
        <v>53114</v>
      </c>
      <c r="R900">
        <f>参数!$B$10</f>
        <v>4</v>
      </c>
      <c r="S900">
        <f>参数!$C$10</f>
        <v>1.2</v>
      </c>
      <c r="T900">
        <f>参数!$D$10</f>
        <v>1</v>
      </c>
      <c r="U900">
        <f t="shared" si="104"/>
        <v>5714044</v>
      </c>
      <c r="V900">
        <f t="shared" si="105"/>
        <v>120332.4</v>
      </c>
      <c r="W900">
        <f t="shared" si="106"/>
        <v>53114</v>
      </c>
      <c r="X900">
        <f>IFERROR(INDEX(参数!$B$5:$B$7,MATCH($N900,参数!$A$5:$A$7,0)),"")</f>
        <v>1.5</v>
      </c>
      <c r="Y900">
        <f>IFERROR(INDEX(参数!$C$5:$C$7,MATCH($N900,参数!$A$5:$A$7,0)),"")</f>
        <v>1</v>
      </c>
      <c r="Z900">
        <f>IFERROR(INDEX(参数!$D$5:$D$7,MATCH($N900,参数!$A$5:$A$7,0)),"")</f>
        <v>1.5</v>
      </c>
      <c r="AA900">
        <f>IFERROR(INDEX(楼层配置!$E$5:$E$204,MATCH($K900,楼层配置!$B$5:$B$204,0)),1)</f>
        <v>1.12671592412141</v>
      </c>
      <c r="AB900">
        <f>IFERROR(INDEX(楼层配置!$F$5:$F$204,MATCH($K900,楼层配置!$B$5:$B$204,0)),1)</f>
        <v>0.731229508674054</v>
      </c>
      <c r="AC900">
        <f>IFERROR(INDEX(楼层配置!$G$5:$G$204,MATCH($K900,楼层配置!$B$5:$B$204,0)),1)</f>
        <v>1</v>
      </c>
      <c r="AD900" t="str">
        <f t="shared" si="107"/>
        <v/>
      </c>
      <c r="AE900" t="str">
        <f t="shared" si="108"/>
        <v/>
      </c>
      <c r="AF900" t="str">
        <f t="shared" si="109"/>
        <v/>
      </c>
      <c r="AG900" t="str">
        <f t="shared" si="110"/>
        <v>有效</v>
      </c>
      <c r="AH900">
        <f t="shared" si="111"/>
        <v>38628628</v>
      </c>
    </row>
    <row r="901" spans="1:34">
      <c r="A901">
        <v>897</v>
      </c>
      <c r="B901">
        <v>1005</v>
      </c>
      <c r="C901">
        <v>60</v>
      </c>
      <c r="D901">
        <f>IFERROR(ROUND($U901*$X901*$AA901*参数!$B$13,0),"")</f>
        <v>6438104</v>
      </c>
      <c r="E901">
        <f>IFERROR(ROUND($V901*$Y901*$AB901*参数!$C$13,0),"")</f>
        <v>105589</v>
      </c>
      <c r="F901">
        <f>IFERROR(ROUND($W901*$Z901*$AC901*参数!$D$13,0),"")</f>
        <v>53114</v>
      </c>
      <c r="J901">
        <v>180</v>
      </c>
      <c r="K901">
        <v>180</v>
      </c>
      <c r="L901">
        <f>IFERROR(INDEX(楼层配置!$D$5:$D$204,MATCH($K901,楼层配置!$B$5:$B$204,0)),"")</f>
        <v>432</v>
      </c>
      <c r="M901" t="str">
        <f>IFERROR(INDEX(_角色基线!$B$2:$B$100,MATCH($B901,_角色基线!$A$2:$A$100,0)),"")</f>
        <v>陈单单</v>
      </c>
      <c r="N901" t="str">
        <f>IFERROR(INDEX(_角色基线!$C$2:$C$100,MATCH($B901,_角色基线!$A$2:$A$100,0)),"")</f>
        <v>DPS</v>
      </c>
      <c r="O901">
        <f>IFERROR(INDEX(_怪物基线!$B$2:$B$501,MATCH(INT($L901),_怪物基线!$A$2:$A$501,0)),"")</f>
        <v>1428511</v>
      </c>
      <c r="P901">
        <f>IFERROR(INDEX(_怪物基线!$C$2:$C$501,MATCH(INT($L901),_怪物基线!$A$2:$A$501,0)),"")</f>
        <v>100277</v>
      </c>
      <c r="Q901">
        <f>IFERROR(INDEX(_怪物基线!$D$2:$D$501,MATCH(INT($L901),_怪物基线!$A$2:$A$501,0)),"")</f>
        <v>53114</v>
      </c>
      <c r="R901">
        <f>参数!$B$10</f>
        <v>4</v>
      </c>
      <c r="S901">
        <f>参数!$C$10</f>
        <v>1.2</v>
      </c>
      <c r="T901">
        <f>参数!$D$10</f>
        <v>1</v>
      </c>
      <c r="U901">
        <f t="shared" ref="U901:U964" si="112">IF($O901="","",$O901*$R901)</f>
        <v>5714044</v>
      </c>
      <c r="V901">
        <f t="shared" ref="V901:V964" si="113">IF($P901="","",$P901*$S901)</f>
        <v>120332.4</v>
      </c>
      <c r="W901">
        <f t="shared" ref="W901:W964" si="114">IF($Q901="","",$Q901*$T901)</f>
        <v>53114</v>
      </c>
      <c r="X901">
        <f>IFERROR(INDEX(参数!$B$5:$B$7,MATCH($N901,参数!$A$5:$A$7,0)),"")</f>
        <v>1</v>
      </c>
      <c r="Y901">
        <f>IFERROR(INDEX(参数!$C$5:$C$7,MATCH($N901,参数!$A$5:$A$7,0)),"")</f>
        <v>1.2</v>
      </c>
      <c r="Z901">
        <f>IFERROR(INDEX(参数!$D$5:$D$7,MATCH($N901,参数!$A$5:$A$7,0)),"")</f>
        <v>1</v>
      </c>
      <c r="AA901">
        <f>IFERROR(INDEX(楼层配置!$E$5:$E$204,MATCH($K901,楼层配置!$B$5:$B$204,0)),1)</f>
        <v>1.12671592412141</v>
      </c>
      <c r="AB901">
        <f>IFERROR(INDEX(楼层配置!$F$5:$F$204,MATCH($K901,楼层配置!$B$5:$B$204,0)),1)</f>
        <v>0.731229508674054</v>
      </c>
      <c r="AC901">
        <f>IFERROR(INDEX(楼层配置!$G$5:$G$204,MATCH($K901,楼层配置!$B$5:$B$204,0)),1)</f>
        <v>1</v>
      </c>
      <c r="AD901" t="str">
        <f t="shared" ref="AD901:AD964" si="115">IFERROR($D901/$G901-1,"")</f>
        <v/>
      </c>
      <c r="AE901" t="str">
        <f t="shared" ref="AE901:AE964" si="116">IFERROR($E901/$H901-1,"")</f>
        <v/>
      </c>
      <c r="AF901" t="str">
        <f t="shared" ref="AF901:AF964" si="117">IFERROR($F901/$I901-1,"")</f>
        <v/>
      </c>
      <c r="AG901" t="str">
        <f t="shared" ref="AG901:AG964" si="118">IF(AND($A901&gt;=1,$L901&gt;=1,$L901&lt;=500,OR($N901="Tank",$N901="DPS",$N901="Support"),ISNUMBER($D901),ISNUMBER($E901),ISNUMBER($F901)),"有效","异常")</f>
        <v>有效</v>
      </c>
      <c r="AH901">
        <f t="shared" ref="AH901:AH964" si="119">D901/(1-MIN(0.75,F901/(24000+F901)))</f>
        <v>20686164.6606667</v>
      </c>
    </row>
    <row r="902" spans="1:34">
      <c r="A902">
        <v>898</v>
      </c>
      <c r="B902">
        <v>1005</v>
      </c>
      <c r="C902">
        <v>60</v>
      </c>
      <c r="D902">
        <f>IFERROR(ROUND($U902*$X902*$AA902*参数!$B$13,0),"")</f>
        <v>6438104</v>
      </c>
      <c r="E902">
        <f>IFERROR(ROUND($V902*$Y902*$AB902*参数!$C$13,0),"")</f>
        <v>105589</v>
      </c>
      <c r="F902">
        <f>IFERROR(ROUND($W902*$Z902*$AC902*参数!$D$13,0),"")</f>
        <v>53114</v>
      </c>
      <c r="J902">
        <v>180</v>
      </c>
      <c r="K902">
        <v>180</v>
      </c>
      <c r="L902">
        <f>IFERROR(INDEX(楼层配置!$D$5:$D$204,MATCH($K902,楼层配置!$B$5:$B$204,0)),"")</f>
        <v>432</v>
      </c>
      <c r="M902" t="str">
        <f>IFERROR(INDEX(_角色基线!$B$2:$B$100,MATCH($B902,_角色基线!$A$2:$A$100,0)),"")</f>
        <v>陈单单</v>
      </c>
      <c r="N902" t="str">
        <f>IFERROR(INDEX(_角色基线!$C$2:$C$100,MATCH($B902,_角色基线!$A$2:$A$100,0)),"")</f>
        <v>DPS</v>
      </c>
      <c r="O902">
        <f>IFERROR(INDEX(_怪物基线!$B$2:$B$501,MATCH(INT($L902),_怪物基线!$A$2:$A$501,0)),"")</f>
        <v>1428511</v>
      </c>
      <c r="P902">
        <f>IFERROR(INDEX(_怪物基线!$C$2:$C$501,MATCH(INT($L902),_怪物基线!$A$2:$A$501,0)),"")</f>
        <v>100277</v>
      </c>
      <c r="Q902">
        <f>IFERROR(INDEX(_怪物基线!$D$2:$D$501,MATCH(INT($L902),_怪物基线!$A$2:$A$501,0)),"")</f>
        <v>53114</v>
      </c>
      <c r="R902">
        <f>参数!$B$10</f>
        <v>4</v>
      </c>
      <c r="S902">
        <f>参数!$C$10</f>
        <v>1.2</v>
      </c>
      <c r="T902">
        <f>参数!$D$10</f>
        <v>1</v>
      </c>
      <c r="U902">
        <f t="shared" si="112"/>
        <v>5714044</v>
      </c>
      <c r="V902">
        <f t="shared" si="113"/>
        <v>120332.4</v>
      </c>
      <c r="W902">
        <f t="shared" si="114"/>
        <v>53114</v>
      </c>
      <c r="X902">
        <f>IFERROR(INDEX(参数!$B$5:$B$7,MATCH($N902,参数!$A$5:$A$7,0)),"")</f>
        <v>1</v>
      </c>
      <c r="Y902">
        <f>IFERROR(INDEX(参数!$C$5:$C$7,MATCH($N902,参数!$A$5:$A$7,0)),"")</f>
        <v>1.2</v>
      </c>
      <c r="Z902">
        <f>IFERROR(INDEX(参数!$D$5:$D$7,MATCH($N902,参数!$A$5:$A$7,0)),"")</f>
        <v>1</v>
      </c>
      <c r="AA902">
        <f>IFERROR(INDEX(楼层配置!$E$5:$E$204,MATCH($K902,楼层配置!$B$5:$B$204,0)),1)</f>
        <v>1.12671592412141</v>
      </c>
      <c r="AB902">
        <f>IFERROR(INDEX(楼层配置!$F$5:$F$204,MATCH($K902,楼层配置!$B$5:$B$204,0)),1)</f>
        <v>0.731229508674054</v>
      </c>
      <c r="AC902">
        <f>IFERROR(INDEX(楼层配置!$G$5:$G$204,MATCH($K902,楼层配置!$B$5:$B$204,0)),1)</f>
        <v>1</v>
      </c>
      <c r="AD902" t="str">
        <f t="shared" si="115"/>
        <v/>
      </c>
      <c r="AE902" t="str">
        <f t="shared" si="116"/>
        <v/>
      </c>
      <c r="AF902" t="str">
        <f t="shared" si="117"/>
        <v/>
      </c>
      <c r="AG902" t="str">
        <f t="shared" si="118"/>
        <v>有效</v>
      </c>
      <c r="AH902">
        <f t="shared" si="119"/>
        <v>20686164.6606667</v>
      </c>
    </row>
    <row r="903" spans="1:34">
      <c r="A903">
        <v>899</v>
      </c>
      <c r="B903">
        <v>1005</v>
      </c>
      <c r="C903">
        <v>60</v>
      </c>
      <c r="D903">
        <f>IFERROR(ROUND($U903*$X903*$AA903*参数!$B$13,0),"")</f>
        <v>6438104</v>
      </c>
      <c r="E903">
        <f>IFERROR(ROUND($V903*$Y903*$AB903*参数!$C$13,0),"")</f>
        <v>105589</v>
      </c>
      <c r="F903">
        <f>IFERROR(ROUND($W903*$Z903*$AC903*参数!$D$13,0),"")</f>
        <v>53114</v>
      </c>
      <c r="J903">
        <v>180</v>
      </c>
      <c r="K903">
        <v>180</v>
      </c>
      <c r="L903">
        <f>IFERROR(INDEX(楼层配置!$D$5:$D$204,MATCH($K903,楼层配置!$B$5:$B$204,0)),"")</f>
        <v>432</v>
      </c>
      <c r="M903" t="str">
        <f>IFERROR(INDEX(_角色基线!$B$2:$B$100,MATCH($B903,_角色基线!$A$2:$A$100,0)),"")</f>
        <v>陈单单</v>
      </c>
      <c r="N903" t="str">
        <f>IFERROR(INDEX(_角色基线!$C$2:$C$100,MATCH($B903,_角色基线!$A$2:$A$100,0)),"")</f>
        <v>DPS</v>
      </c>
      <c r="O903">
        <f>IFERROR(INDEX(_怪物基线!$B$2:$B$501,MATCH(INT($L903),_怪物基线!$A$2:$A$501,0)),"")</f>
        <v>1428511</v>
      </c>
      <c r="P903">
        <f>IFERROR(INDEX(_怪物基线!$C$2:$C$501,MATCH(INT($L903),_怪物基线!$A$2:$A$501,0)),"")</f>
        <v>100277</v>
      </c>
      <c r="Q903">
        <f>IFERROR(INDEX(_怪物基线!$D$2:$D$501,MATCH(INT($L903),_怪物基线!$A$2:$A$501,0)),"")</f>
        <v>53114</v>
      </c>
      <c r="R903">
        <f>参数!$B$10</f>
        <v>4</v>
      </c>
      <c r="S903">
        <f>参数!$C$10</f>
        <v>1.2</v>
      </c>
      <c r="T903">
        <f>参数!$D$10</f>
        <v>1</v>
      </c>
      <c r="U903">
        <f t="shared" si="112"/>
        <v>5714044</v>
      </c>
      <c r="V903">
        <f t="shared" si="113"/>
        <v>120332.4</v>
      </c>
      <c r="W903">
        <f t="shared" si="114"/>
        <v>53114</v>
      </c>
      <c r="X903">
        <f>IFERROR(INDEX(参数!$B$5:$B$7,MATCH($N903,参数!$A$5:$A$7,0)),"")</f>
        <v>1</v>
      </c>
      <c r="Y903">
        <f>IFERROR(INDEX(参数!$C$5:$C$7,MATCH($N903,参数!$A$5:$A$7,0)),"")</f>
        <v>1.2</v>
      </c>
      <c r="Z903">
        <f>IFERROR(INDEX(参数!$D$5:$D$7,MATCH($N903,参数!$A$5:$A$7,0)),"")</f>
        <v>1</v>
      </c>
      <c r="AA903">
        <f>IFERROR(INDEX(楼层配置!$E$5:$E$204,MATCH($K903,楼层配置!$B$5:$B$204,0)),1)</f>
        <v>1.12671592412141</v>
      </c>
      <c r="AB903">
        <f>IFERROR(INDEX(楼层配置!$F$5:$F$204,MATCH($K903,楼层配置!$B$5:$B$204,0)),1)</f>
        <v>0.731229508674054</v>
      </c>
      <c r="AC903">
        <f>IFERROR(INDEX(楼层配置!$G$5:$G$204,MATCH($K903,楼层配置!$B$5:$B$204,0)),1)</f>
        <v>1</v>
      </c>
      <c r="AD903" t="str">
        <f t="shared" si="115"/>
        <v/>
      </c>
      <c r="AE903" t="str">
        <f t="shared" si="116"/>
        <v/>
      </c>
      <c r="AF903" t="str">
        <f t="shared" si="117"/>
        <v/>
      </c>
      <c r="AG903" t="str">
        <f t="shared" si="118"/>
        <v>有效</v>
      </c>
      <c r="AH903">
        <f t="shared" si="119"/>
        <v>20686164.6606667</v>
      </c>
    </row>
    <row r="904" spans="1:34">
      <c r="A904">
        <v>900</v>
      </c>
      <c r="B904">
        <v>1029</v>
      </c>
      <c r="C904">
        <v>60</v>
      </c>
      <c r="D904">
        <f>IFERROR(ROUND($U904*$X904*$AA904*参数!$B$13,0),"")</f>
        <v>8047630</v>
      </c>
      <c r="E904">
        <f>IFERROR(ROUND($V904*$Y904*$AB904*参数!$C$13,0),"")</f>
        <v>87991</v>
      </c>
      <c r="F904">
        <f>IFERROR(ROUND($W904*$Z904*$AC904*参数!$D$13,0),"")</f>
        <v>66393</v>
      </c>
      <c r="J904">
        <v>180</v>
      </c>
      <c r="K904">
        <v>180</v>
      </c>
      <c r="L904">
        <f>IFERROR(INDEX(楼层配置!$D$5:$D$204,MATCH($K904,楼层配置!$B$5:$B$204,0)),"")</f>
        <v>432</v>
      </c>
      <c r="M904" t="str">
        <f>IFERROR(INDEX(_角色基线!$B$2:$B$100,MATCH($B904,_角色基线!$A$2:$A$100,0)),"")</f>
        <v>凯兰</v>
      </c>
      <c r="N904" t="str">
        <f>IFERROR(INDEX(_角色基线!$C$2:$C$100,MATCH($B904,_角色基线!$A$2:$A$100,0)),"")</f>
        <v>Support</v>
      </c>
      <c r="O904">
        <f>IFERROR(INDEX(_怪物基线!$B$2:$B$501,MATCH(INT($L904),_怪物基线!$A$2:$A$501,0)),"")</f>
        <v>1428511</v>
      </c>
      <c r="P904">
        <f>IFERROR(INDEX(_怪物基线!$C$2:$C$501,MATCH(INT($L904),_怪物基线!$A$2:$A$501,0)),"")</f>
        <v>100277</v>
      </c>
      <c r="Q904">
        <f>IFERROR(INDEX(_怪物基线!$D$2:$D$501,MATCH(INT($L904),_怪物基线!$A$2:$A$501,0)),"")</f>
        <v>53114</v>
      </c>
      <c r="R904">
        <f>参数!$B$10</f>
        <v>4</v>
      </c>
      <c r="S904">
        <f>参数!$C$10</f>
        <v>1.2</v>
      </c>
      <c r="T904">
        <f>参数!$D$10</f>
        <v>1</v>
      </c>
      <c r="U904">
        <f t="shared" si="112"/>
        <v>5714044</v>
      </c>
      <c r="V904">
        <f t="shared" si="113"/>
        <v>120332.4</v>
      </c>
      <c r="W904">
        <f t="shared" si="114"/>
        <v>53114</v>
      </c>
      <c r="X904">
        <f>IFERROR(INDEX(参数!$B$5:$B$7,MATCH($N904,参数!$A$5:$A$7,0)),"")</f>
        <v>1.25</v>
      </c>
      <c r="Y904">
        <f>IFERROR(INDEX(参数!$C$5:$C$7,MATCH($N904,参数!$A$5:$A$7,0)),"")</f>
        <v>1</v>
      </c>
      <c r="Z904">
        <f>IFERROR(INDEX(参数!$D$5:$D$7,MATCH($N904,参数!$A$5:$A$7,0)),"")</f>
        <v>1.25</v>
      </c>
      <c r="AA904">
        <f>IFERROR(INDEX(楼层配置!$E$5:$E$204,MATCH($K904,楼层配置!$B$5:$B$204,0)),1)</f>
        <v>1.12671592412141</v>
      </c>
      <c r="AB904">
        <f>IFERROR(INDEX(楼层配置!$F$5:$F$204,MATCH($K904,楼层配置!$B$5:$B$204,0)),1)</f>
        <v>0.731229508674054</v>
      </c>
      <c r="AC904">
        <f>IFERROR(INDEX(楼层配置!$G$5:$G$204,MATCH($K904,楼层配置!$B$5:$B$204,0)),1)</f>
        <v>1</v>
      </c>
      <c r="AD904" t="str">
        <f t="shared" si="115"/>
        <v/>
      </c>
      <c r="AE904" t="str">
        <f t="shared" si="116"/>
        <v/>
      </c>
      <c r="AF904" t="str">
        <f t="shared" si="117"/>
        <v/>
      </c>
      <c r="AG904" t="str">
        <f t="shared" si="118"/>
        <v>有效</v>
      </c>
      <c r="AH904">
        <f t="shared" si="119"/>
        <v>30310392.44125</v>
      </c>
    </row>
    <row r="905" spans="1:34">
      <c r="A905">
        <v>901</v>
      </c>
      <c r="B905">
        <v>1003</v>
      </c>
      <c r="C905">
        <v>60</v>
      </c>
      <c r="D905">
        <f>IFERROR(ROUND($U905*$X905*$AA905*参数!$B$13,0),"")</f>
        <v>9864810</v>
      </c>
      <c r="E905">
        <f>IFERROR(ROUND($V905*$Y905*$AB905*参数!$C$13,0),"")</f>
        <v>89415</v>
      </c>
      <c r="F905">
        <f>IFERROR(ROUND($W905*$Z905*$AC905*参数!$D$13,0),"")</f>
        <v>80447</v>
      </c>
      <c r="J905">
        <v>181</v>
      </c>
      <c r="K905">
        <v>181</v>
      </c>
      <c r="L905">
        <f>IFERROR(INDEX(楼层配置!$D$5:$D$204,MATCH($K905,楼层配置!$B$5:$B$204,0)),"")</f>
        <v>435</v>
      </c>
      <c r="M905" t="str">
        <f>IFERROR(INDEX(_角色基线!$B$2:$B$100,MATCH($B905,_角色基线!$A$2:$A$100,0)),"")</f>
        <v>塔拉夏</v>
      </c>
      <c r="N905" t="str">
        <f>IFERROR(INDEX(_角色基线!$C$2:$C$100,MATCH($B905,_角色基线!$A$2:$A$100,0)),"")</f>
        <v>Tank</v>
      </c>
      <c r="O905">
        <f>IFERROR(INDEX(_怪物基线!$B$2:$B$501,MATCH(INT($L905),_怪物基线!$A$2:$A$501,0)),"")</f>
        <v>1460388</v>
      </c>
      <c r="P905">
        <f>IFERROR(INDEX(_怪物基线!$C$2:$C$501,MATCH(INT($L905),_怪物基线!$A$2:$A$501,0)),"")</f>
        <v>102095</v>
      </c>
      <c r="Q905">
        <f>IFERROR(INDEX(_怪物基线!$D$2:$D$501,MATCH(INT($L905),_怪物基线!$A$2:$A$501,0)),"")</f>
        <v>53631</v>
      </c>
      <c r="R905">
        <f>参数!$B$10</f>
        <v>4</v>
      </c>
      <c r="S905">
        <f>参数!$C$10</f>
        <v>1.2</v>
      </c>
      <c r="T905">
        <f>参数!$D$10</f>
        <v>1</v>
      </c>
      <c r="U905">
        <f t="shared" si="112"/>
        <v>5841552</v>
      </c>
      <c r="V905">
        <f t="shared" si="113"/>
        <v>122514</v>
      </c>
      <c r="W905">
        <f t="shared" si="114"/>
        <v>53631</v>
      </c>
      <c r="X905">
        <f>IFERROR(INDEX(参数!$B$5:$B$7,MATCH($N905,参数!$A$5:$A$7,0)),"")</f>
        <v>1.5</v>
      </c>
      <c r="Y905">
        <f>IFERROR(INDEX(参数!$C$5:$C$7,MATCH($N905,参数!$A$5:$A$7,0)),"")</f>
        <v>1</v>
      </c>
      <c r="Z905">
        <f>IFERROR(INDEX(参数!$D$5:$D$7,MATCH($N905,参数!$A$5:$A$7,0)),"")</f>
        <v>1.5</v>
      </c>
      <c r="AA905">
        <f>IFERROR(INDEX(楼层配置!$E$5:$E$204,MATCH($K905,楼层配置!$B$5:$B$204,0)),1)</f>
        <v>1.12582067235919</v>
      </c>
      <c r="AB905">
        <f>IFERROR(INDEX(楼层配置!$F$5:$F$204,MATCH($K905,楼层配置!$B$5:$B$204,0)),1)</f>
        <v>0.729834891319568</v>
      </c>
      <c r="AC905">
        <f>IFERROR(INDEX(楼层配置!$G$5:$G$204,MATCH($K905,楼层配置!$B$5:$B$204,0)),1)</f>
        <v>1</v>
      </c>
      <c r="AD905" t="str">
        <f t="shared" si="115"/>
        <v/>
      </c>
      <c r="AE905" t="str">
        <f t="shared" si="116"/>
        <v/>
      </c>
      <c r="AF905" t="str">
        <f t="shared" si="117"/>
        <v/>
      </c>
      <c r="AG905" t="str">
        <f t="shared" si="118"/>
        <v>有效</v>
      </c>
      <c r="AH905">
        <f t="shared" si="119"/>
        <v>39459240</v>
      </c>
    </row>
    <row r="906" spans="1:34">
      <c r="A906">
        <v>902</v>
      </c>
      <c r="B906">
        <v>1005</v>
      </c>
      <c r="C906">
        <v>60</v>
      </c>
      <c r="D906">
        <f>IFERROR(ROUND($U906*$X906*$AA906*参数!$B$13,0),"")</f>
        <v>6576540</v>
      </c>
      <c r="E906">
        <f>IFERROR(ROUND($V906*$Y906*$AB906*参数!$C$13,0),"")</f>
        <v>107298</v>
      </c>
      <c r="F906">
        <f>IFERROR(ROUND($W906*$Z906*$AC906*参数!$D$13,0),"")</f>
        <v>53631</v>
      </c>
      <c r="J906">
        <v>181</v>
      </c>
      <c r="K906">
        <v>181</v>
      </c>
      <c r="L906">
        <f>IFERROR(INDEX(楼层配置!$D$5:$D$204,MATCH($K906,楼层配置!$B$5:$B$204,0)),"")</f>
        <v>435</v>
      </c>
      <c r="M906" t="str">
        <f>IFERROR(INDEX(_角色基线!$B$2:$B$100,MATCH($B906,_角色基线!$A$2:$A$100,0)),"")</f>
        <v>陈单单</v>
      </c>
      <c r="N906" t="str">
        <f>IFERROR(INDEX(_角色基线!$C$2:$C$100,MATCH($B906,_角色基线!$A$2:$A$100,0)),"")</f>
        <v>DPS</v>
      </c>
      <c r="O906">
        <f>IFERROR(INDEX(_怪物基线!$B$2:$B$501,MATCH(INT($L906),_怪物基线!$A$2:$A$501,0)),"")</f>
        <v>1460388</v>
      </c>
      <c r="P906">
        <f>IFERROR(INDEX(_怪物基线!$C$2:$C$501,MATCH(INT($L906),_怪物基线!$A$2:$A$501,0)),"")</f>
        <v>102095</v>
      </c>
      <c r="Q906">
        <f>IFERROR(INDEX(_怪物基线!$D$2:$D$501,MATCH(INT($L906),_怪物基线!$A$2:$A$501,0)),"")</f>
        <v>53631</v>
      </c>
      <c r="R906">
        <f>参数!$B$10</f>
        <v>4</v>
      </c>
      <c r="S906">
        <f>参数!$C$10</f>
        <v>1.2</v>
      </c>
      <c r="T906">
        <f>参数!$D$10</f>
        <v>1</v>
      </c>
      <c r="U906">
        <f t="shared" si="112"/>
        <v>5841552</v>
      </c>
      <c r="V906">
        <f t="shared" si="113"/>
        <v>122514</v>
      </c>
      <c r="W906">
        <f t="shared" si="114"/>
        <v>53631</v>
      </c>
      <c r="X906">
        <f>IFERROR(INDEX(参数!$B$5:$B$7,MATCH($N906,参数!$A$5:$A$7,0)),"")</f>
        <v>1</v>
      </c>
      <c r="Y906">
        <f>IFERROR(INDEX(参数!$C$5:$C$7,MATCH($N906,参数!$A$5:$A$7,0)),"")</f>
        <v>1.2</v>
      </c>
      <c r="Z906">
        <f>IFERROR(INDEX(参数!$D$5:$D$7,MATCH($N906,参数!$A$5:$A$7,0)),"")</f>
        <v>1</v>
      </c>
      <c r="AA906">
        <f>IFERROR(INDEX(楼层配置!$E$5:$E$204,MATCH($K906,楼层配置!$B$5:$B$204,0)),1)</f>
        <v>1.12582067235919</v>
      </c>
      <c r="AB906">
        <f>IFERROR(INDEX(楼层配置!$F$5:$F$204,MATCH($K906,楼层配置!$B$5:$B$204,0)),1)</f>
        <v>0.729834891319568</v>
      </c>
      <c r="AC906">
        <f>IFERROR(INDEX(楼层配置!$G$5:$G$204,MATCH($K906,楼层配置!$B$5:$B$204,0)),1)</f>
        <v>1</v>
      </c>
      <c r="AD906" t="str">
        <f t="shared" si="115"/>
        <v/>
      </c>
      <c r="AE906" t="str">
        <f t="shared" si="116"/>
        <v/>
      </c>
      <c r="AF906" t="str">
        <f t="shared" si="117"/>
        <v/>
      </c>
      <c r="AG906" t="str">
        <f t="shared" si="118"/>
        <v>有效</v>
      </c>
      <c r="AH906">
        <f t="shared" si="119"/>
        <v>21272640.6975</v>
      </c>
    </row>
    <row r="907" spans="1:34">
      <c r="A907">
        <v>903</v>
      </c>
      <c r="B907">
        <v>1005</v>
      </c>
      <c r="C907">
        <v>60</v>
      </c>
      <c r="D907">
        <f>IFERROR(ROUND($U907*$X907*$AA907*参数!$B$13,0),"")</f>
        <v>6576540</v>
      </c>
      <c r="E907">
        <f>IFERROR(ROUND($V907*$Y907*$AB907*参数!$C$13,0),"")</f>
        <v>107298</v>
      </c>
      <c r="F907">
        <f>IFERROR(ROUND($W907*$Z907*$AC907*参数!$D$13,0),"")</f>
        <v>53631</v>
      </c>
      <c r="J907">
        <v>181</v>
      </c>
      <c r="K907">
        <v>181</v>
      </c>
      <c r="L907">
        <f>IFERROR(INDEX(楼层配置!$D$5:$D$204,MATCH($K907,楼层配置!$B$5:$B$204,0)),"")</f>
        <v>435</v>
      </c>
      <c r="M907" t="str">
        <f>IFERROR(INDEX(_角色基线!$B$2:$B$100,MATCH($B907,_角色基线!$A$2:$A$100,0)),"")</f>
        <v>陈单单</v>
      </c>
      <c r="N907" t="str">
        <f>IFERROR(INDEX(_角色基线!$C$2:$C$100,MATCH($B907,_角色基线!$A$2:$A$100,0)),"")</f>
        <v>DPS</v>
      </c>
      <c r="O907">
        <f>IFERROR(INDEX(_怪物基线!$B$2:$B$501,MATCH(INT($L907),_怪物基线!$A$2:$A$501,0)),"")</f>
        <v>1460388</v>
      </c>
      <c r="P907">
        <f>IFERROR(INDEX(_怪物基线!$C$2:$C$501,MATCH(INT($L907),_怪物基线!$A$2:$A$501,0)),"")</f>
        <v>102095</v>
      </c>
      <c r="Q907">
        <f>IFERROR(INDEX(_怪物基线!$D$2:$D$501,MATCH(INT($L907),_怪物基线!$A$2:$A$501,0)),"")</f>
        <v>53631</v>
      </c>
      <c r="R907">
        <f>参数!$B$10</f>
        <v>4</v>
      </c>
      <c r="S907">
        <f>参数!$C$10</f>
        <v>1.2</v>
      </c>
      <c r="T907">
        <f>参数!$D$10</f>
        <v>1</v>
      </c>
      <c r="U907">
        <f t="shared" si="112"/>
        <v>5841552</v>
      </c>
      <c r="V907">
        <f t="shared" si="113"/>
        <v>122514</v>
      </c>
      <c r="W907">
        <f t="shared" si="114"/>
        <v>53631</v>
      </c>
      <c r="X907">
        <f>IFERROR(INDEX(参数!$B$5:$B$7,MATCH($N907,参数!$A$5:$A$7,0)),"")</f>
        <v>1</v>
      </c>
      <c r="Y907">
        <f>IFERROR(INDEX(参数!$C$5:$C$7,MATCH($N907,参数!$A$5:$A$7,0)),"")</f>
        <v>1.2</v>
      </c>
      <c r="Z907">
        <f>IFERROR(INDEX(参数!$D$5:$D$7,MATCH($N907,参数!$A$5:$A$7,0)),"")</f>
        <v>1</v>
      </c>
      <c r="AA907">
        <f>IFERROR(INDEX(楼层配置!$E$5:$E$204,MATCH($K907,楼层配置!$B$5:$B$204,0)),1)</f>
        <v>1.12582067235919</v>
      </c>
      <c r="AB907">
        <f>IFERROR(INDEX(楼层配置!$F$5:$F$204,MATCH($K907,楼层配置!$B$5:$B$204,0)),1)</f>
        <v>0.729834891319568</v>
      </c>
      <c r="AC907">
        <f>IFERROR(INDEX(楼层配置!$G$5:$G$204,MATCH($K907,楼层配置!$B$5:$B$204,0)),1)</f>
        <v>1</v>
      </c>
      <c r="AD907" t="str">
        <f t="shared" si="115"/>
        <v/>
      </c>
      <c r="AE907" t="str">
        <f t="shared" si="116"/>
        <v/>
      </c>
      <c r="AF907" t="str">
        <f t="shared" si="117"/>
        <v/>
      </c>
      <c r="AG907" t="str">
        <f t="shared" si="118"/>
        <v>有效</v>
      </c>
      <c r="AH907">
        <f t="shared" si="119"/>
        <v>21272640.6975</v>
      </c>
    </row>
    <row r="908" spans="1:34">
      <c r="A908">
        <v>904</v>
      </c>
      <c r="B908">
        <v>1005</v>
      </c>
      <c r="C908">
        <v>60</v>
      </c>
      <c r="D908">
        <f>IFERROR(ROUND($U908*$X908*$AA908*参数!$B$13,0),"")</f>
        <v>6576540</v>
      </c>
      <c r="E908">
        <f>IFERROR(ROUND($V908*$Y908*$AB908*参数!$C$13,0),"")</f>
        <v>107298</v>
      </c>
      <c r="F908">
        <f>IFERROR(ROUND($W908*$Z908*$AC908*参数!$D$13,0),"")</f>
        <v>53631</v>
      </c>
      <c r="J908">
        <v>181</v>
      </c>
      <c r="K908">
        <v>181</v>
      </c>
      <c r="L908">
        <f>IFERROR(INDEX(楼层配置!$D$5:$D$204,MATCH($K908,楼层配置!$B$5:$B$204,0)),"")</f>
        <v>435</v>
      </c>
      <c r="M908" t="str">
        <f>IFERROR(INDEX(_角色基线!$B$2:$B$100,MATCH($B908,_角色基线!$A$2:$A$100,0)),"")</f>
        <v>陈单单</v>
      </c>
      <c r="N908" t="str">
        <f>IFERROR(INDEX(_角色基线!$C$2:$C$100,MATCH($B908,_角色基线!$A$2:$A$100,0)),"")</f>
        <v>DPS</v>
      </c>
      <c r="O908">
        <f>IFERROR(INDEX(_怪物基线!$B$2:$B$501,MATCH(INT($L908),_怪物基线!$A$2:$A$501,0)),"")</f>
        <v>1460388</v>
      </c>
      <c r="P908">
        <f>IFERROR(INDEX(_怪物基线!$C$2:$C$501,MATCH(INT($L908),_怪物基线!$A$2:$A$501,0)),"")</f>
        <v>102095</v>
      </c>
      <c r="Q908">
        <f>IFERROR(INDEX(_怪物基线!$D$2:$D$501,MATCH(INT($L908),_怪物基线!$A$2:$A$501,0)),"")</f>
        <v>53631</v>
      </c>
      <c r="R908">
        <f>参数!$B$10</f>
        <v>4</v>
      </c>
      <c r="S908">
        <f>参数!$C$10</f>
        <v>1.2</v>
      </c>
      <c r="T908">
        <f>参数!$D$10</f>
        <v>1</v>
      </c>
      <c r="U908">
        <f t="shared" si="112"/>
        <v>5841552</v>
      </c>
      <c r="V908">
        <f t="shared" si="113"/>
        <v>122514</v>
      </c>
      <c r="W908">
        <f t="shared" si="114"/>
        <v>53631</v>
      </c>
      <c r="X908">
        <f>IFERROR(INDEX(参数!$B$5:$B$7,MATCH($N908,参数!$A$5:$A$7,0)),"")</f>
        <v>1</v>
      </c>
      <c r="Y908">
        <f>IFERROR(INDEX(参数!$C$5:$C$7,MATCH($N908,参数!$A$5:$A$7,0)),"")</f>
        <v>1.2</v>
      </c>
      <c r="Z908">
        <f>IFERROR(INDEX(参数!$D$5:$D$7,MATCH($N908,参数!$A$5:$A$7,0)),"")</f>
        <v>1</v>
      </c>
      <c r="AA908">
        <f>IFERROR(INDEX(楼层配置!$E$5:$E$204,MATCH($K908,楼层配置!$B$5:$B$204,0)),1)</f>
        <v>1.12582067235919</v>
      </c>
      <c r="AB908">
        <f>IFERROR(INDEX(楼层配置!$F$5:$F$204,MATCH($K908,楼层配置!$B$5:$B$204,0)),1)</f>
        <v>0.729834891319568</v>
      </c>
      <c r="AC908">
        <f>IFERROR(INDEX(楼层配置!$G$5:$G$204,MATCH($K908,楼层配置!$B$5:$B$204,0)),1)</f>
        <v>1</v>
      </c>
      <c r="AD908" t="str">
        <f t="shared" si="115"/>
        <v/>
      </c>
      <c r="AE908" t="str">
        <f t="shared" si="116"/>
        <v/>
      </c>
      <c r="AF908" t="str">
        <f t="shared" si="117"/>
        <v/>
      </c>
      <c r="AG908" t="str">
        <f t="shared" si="118"/>
        <v>有效</v>
      </c>
      <c r="AH908">
        <f t="shared" si="119"/>
        <v>21272640.6975</v>
      </c>
    </row>
    <row r="909" spans="1:34">
      <c r="A909">
        <v>905</v>
      </c>
      <c r="B909">
        <v>1029</v>
      </c>
      <c r="C909">
        <v>60</v>
      </c>
      <c r="D909">
        <f>IFERROR(ROUND($U909*$X909*$AA909*参数!$B$13,0),"")</f>
        <v>8220675</v>
      </c>
      <c r="E909">
        <f>IFERROR(ROUND($V909*$Y909*$AB909*参数!$C$13,0),"")</f>
        <v>89415</v>
      </c>
      <c r="F909">
        <f>IFERROR(ROUND($W909*$Z909*$AC909*参数!$D$13,0),"")</f>
        <v>67039</v>
      </c>
      <c r="J909">
        <v>181</v>
      </c>
      <c r="K909">
        <v>181</v>
      </c>
      <c r="L909">
        <f>IFERROR(INDEX(楼层配置!$D$5:$D$204,MATCH($K909,楼层配置!$B$5:$B$204,0)),"")</f>
        <v>435</v>
      </c>
      <c r="M909" t="str">
        <f>IFERROR(INDEX(_角色基线!$B$2:$B$100,MATCH($B909,_角色基线!$A$2:$A$100,0)),"")</f>
        <v>凯兰</v>
      </c>
      <c r="N909" t="str">
        <f>IFERROR(INDEX(_角色基线!$C$2:$C$100,MATCH($B909,_角色基线!$A$2:$A$100,0)),"")</f>
        <v>Support</v>
      </c>
      <c r="O909">
        <f>IFERROR(INDEX(_怪物基线!$B$2:$B$501,MATCH(INT($L909),_怪物基线!$A$2:$A$501,0)),"")</f>
        <v>1460388</v>
      </c>
      <c r="P909">
        <f>IFERROR(INDEX(_怪物基线!$C$2:$C$501,MATCH(INT($L909),_怪物基线!$A$2:$A$501,0)),"")</f>
        <v>102095</v>
      </c>
      <c r="Q909">
        <f>IFERROR(INDEX(_怪物基线!$D$2:$D$501,MATCH(INT($L909),_怪物基线!$A$2:$A$501,0)),"")</f>
        <v>53631</v>
      </c>
      <c r="R909">
        <f>参数!$B$10</f>
        <v>4</v>
      </c>
      <c r="S909">
        <f>参数!$C$10</f>
        <v>1.2</v>
      </c>
      <c r="T909">
        <f>参数!$D$10</f>
        <v>1</v>
      </c>
      <c r="U909">
        <f t="shared" si="112"/>
        <v>5841552</v>
      </c>
      <c r="V909">
        <f t="shared" si="113"/>
        <v>122514</v>
      </c>
      <c r="W909">
        <f t="shared" si="114"/>
        <v>53631</v>
      </c>
      <c r="X909">
        <f>IFERROR(INDEX(参数!$B$5:$B$7,MATCH($N909,参数!$A$5:$A$7,0)),"")</f>
        <v>1.25</v>
      </c>
      <c r="Y909">
        <f>IFERROR(INDEX(参数!$C$5:$C$7,MATCH($N909,参数!$A$5:$A$7,0)),"")</f>
        <v>1</v>
      </c>
      <c r="Z909">
        <f>IFERROR(INDEX(参数!$D$5:$D$7,MATCH($N909,参数!$A$5:$A$7,0)),"")</f>
        <v>1.25</v>
      </c>
      <c r="AA909">
        <f>IFERROR(INDEX(楼层配置!$E$5:$E$204,MATCH($K909,楼层配置!$B$5:$B$204,0)),1)</f>
        <v>1.12582067235919</v>
      </c>
      <c r="AB909">
        <f>IFERROR(INDEX(楼层配置!$F$5:$F$204,MATCH($K909,楼层配置!$B$5:$B$204,0)),1)</f>
        <v>0.729834891319568</v>
      </c>
      <c r="AC909">
        <f>IFERROR(INDEX(楼层配置!$G$5:$G$204,MATCH($K909,楼层配置!$B$5:$B$204,0)),1)</f>
        <v>1</v>
      </c>
      <c r="AD909" t="str">
        <f t="shared" si="115"/>
        <v/>
      </c>
      <c r="AE909" t="str">
        <f t="shared" si="116"/>
        <v/>
      </c>
      <c r="AF909" t="str">
        <f t="shared" si="117"/>
        <v/>
      </c>
      <c r="AG909" t="str">
        <f t="shared" si="118"/>
        <v>有效</v>
      </c>
      <c r="AH909">
        <f t="shared" si="119"/>
        <v>31183417.971875</v>
      </c>
    </row>
    <row r="910" spans="1:34">
      <c r="A910">
        <v>906</v>
      </c>
      <c r="B910">
        <v>1003</v>
      </c>
      <c r="C910">
        <v>60</v>
      </c>
      <c r="D910">
        <f>IFERROR(ROUND($U910*$X910*$AA910*参数!$B$13,0),"")</f>
        <v>10083980</v>
      </c>
      <c r="E910">
        <f>IFERROR(ROUND($V910*$Y910*$AB910*参数!$C$13,0),"")</f>
        <v>91031</v>
      </c>
      <c r="F910">
        <f>IFERROR(ROUND($W910*$Z910*$AC910*参数!$D$13,0),"")</f>
        <v>81225</v>
      </c>
      <c r="J910">
        <v>182</v>
      </c>
      <c r="K910">
        <v>182</v>
      </c>
      <c r="L910">
        <f>IFERROR(INDEX(楼层配置!$D$5:$D$204,MATCH($K910,楼层配置!$B$5:$B$204,0)),"")</f>
        <v>438</v>
      </c>
      <c r="M910" t="str">
        <f>IFERROR(INDEX(_角色基线!$B$2:$B$100,MATCH($B910,_角色基线!$A$2:$A$100,0)),"")</f>
        <v>塔拉夏</v>
      </c>
      <c r="N910" t="str">
        <f>IFERROR(INDEX(_角色基线!$C$2:$C$100,MATCH($B910,_角色基线!$A$2:$A$100,0)),"")</f>
        <v>Tank</v>
      </c>
      <c r="O910">
        <f>IFERROR(INDEX(_怪物基线!$B$2:$B$501,MATCH(INT($L910),_怪物基线!$A$2:$A$501,0)),"")</f>
        <v>1492834</v>
      </c>
      <c r="P910">
        <f>IFERROR(INDEX(_怪物基线!$C$2:$C$501,MATCH(INT($L910),_怪物基线!$A$2:$A$501,0)),"")</f>
        <v>103940</v>
      </c>
      <c r="Q910">
        <f>IFERROR(INDEX(_怪物基线!$D$2:$D$501,MATCH(INT($L910),_怪物基线!$A$2:$A$501,0)),"")</f>
        <v>54150</v>
      </c>
      <c r="R910">
        <f>参数!$B$10</f>
        <v>4</v>
      </c>
      <c r="S910">
        <f>参数!$C$10</f>
        <v>1.2</v>
      </c>
      <c r="T910">
        <f>参数!$D$10</f>
        <v>1</v>
      </c>
      <c r="U910">
        <f t="shared" si="112"/>
        <v>5971336</v>
      </c>
      <c r="V910">
        <f t="shared" si="113"/>
        <v>124728</v>
      </c>
      <c r="W910">
        <f t="shared" si="114"/>
        <v>54150</v>
      </c>
      <c r="X910">
        <f>IFERROR(INDEX(参数!$B$5:$B$7,MATCH($N910,参数!$A$5:$A$7,0)),"")</f>
        <v>1.5</v>
      </c>
      <c r="Y910">
        <f>IFERROR(INDEX(参数!$C$5:$C$7,MATCH($N910,参数!$A$5:$A$7,0)),"")</f>
        <v>1</v>
      </c>
      <c r="Z910">
        <f>IFERROR(INDEX(参数!$D$5:$D$7,MATCH($N910,参数!$A$5:$A$7,0)),"")</f>
        <v>1.5</v>
      </c>
      <c r="AA910">
        <f>IFERROR(INDEX(楼层配置!$E$5:$E$204,MATCH($K910,楼层配置!$B$5:$B$204,0)),1)</f>
        <v>1.12582067235919</v>
      </c>
      <c r="AB910">
        <f>IFERROR(INDEX(楼层配置!$F$5:$F$204,MATCH($K910,楼层配置!$B$5:$B$204,0)),1)</f>
        <v>0.729834891319568</v>
      </c>
      <c r="AC910">
        <f>IFERROR(INDEX(楼层配置!$G$5:$G$204,MATCH($K910,楼层配置!$B$5:$B$204,0)),1)</f>
        <v>1</v>
      </c>
      <c r="AD910" t="str">
        <f t="shared" si="115"/>
        <v/>
      </c>
      <c r="AE910" t="str">
        <f t="shared" si="116"/>
        <v/>
      </c>
      <c r="AF910" t="str">
        <f t="shared" si="117"/>
        <v/>
      </c>
      <c r="AG910" t="str">
        <f t="shared" si="118"/>
        <v>有效</v>
      </c>
      <c r="AH910">
        <f t="shared" si="119"/>
        <v>40335920</v>
      </c>
    </row>
    <row r="911" spans="1:34">
      <c r="A911">
        <v>907</v>
      </c>
      <c r="B911">
        <v>1005</v>
      </c>
      <c r="C911">
        <v>60</v>
      </c>
      <c r="D911">
        <f>IFERROR(ROUND($U911*$X911*$AA911*参数!$B$13,0),"")</f>
        <v>6722654</v>
      </c>
      <c r="E911">
        <f>IFERROR(ROUND($V911*$Y911*$AB911*参数!$C$13,0),"")</f>
        <v>109237</v>
      </c>
      <c r="F911">
        <f>IFERROR(ROUND($W911*$Z911*$AC911*参数!$D$13,0),"")</f>
        <v>54150</v>
      </c>
      <c r="J911">
        <v>182</v>
      </c>
      <c r="K911">
        <v>182</v>
      </c>
      <c r="L911">
        <f>IFERROR(INDEX(楼层配置!$D$5:$D$204,MATCH($K911,楼层配置!$B$5:$B$204,0)),"")</f>
        <v>438</v>
      </c>
      <c r="M911" t="str">
        <f>IFERROR(INDEX(_角色基线!$B$2:$B$100,MATCH($B911,_角色基线!$A$2:$A$100,0)),"")</f>
        <v>陈单单</v>
      </c>
      <c r="N911" t="str">
        <f>IFERROR(INDEX(_角色基线!$C$2:$C$100,MATCH($B911,_角色基线!$A$2:$A$100,0)),"")</f>
        <v>DPS</v>
      </c>
      <c r="O911">
        <f>IFERROR(INDEX(_怪物基线!$B$2:$B$501,MATCH(INT($L911),_怪物基线!$A$2:$A$501,0)),"")</f>
        <v>1492834</v>
      </c>
      <c r="P911">
        <f>IFERROR(INDEX(_怪物基线!$C$2:$C$501,MATCH(INT($L911),_怪物基线!$A$2:$A$501,0)),"")</f>
        <v>103940</v>
      </c>
      <c r="Q911">
        <f>IFERROR(INDEX(_怪物基线!$D$2:$D$501,MATCH(INT($L911),_怪物基线!$A$2:$A$501,0)),"")</f>
        <v>54150</v>
      </c>
      <c r="R911">
        <f>参数!$B$10</f>
        <v>4</v>
      </c>
      <c r="S911">
        <f>参数!$C$10</f>
        <v>1.2</v>
      </c>
      <c r="T911">
        <f>参数!$D$10</f>
        <v>1</v>
      </c>
      <c r="U911">
        <f t="shared" si="112"/>
        <v>5971336</v>
      </c>
      <c r="V911">
        <f t="shared" si="113"/>
        <v>124728</v>
      </c>
      <c r="W911">
        <f t="shared" si="114"/>
        <v>54150</v>
      </c>
      <c r="X911">
        <f>IFERROR(INDEX(参数!$B$5:$B$7,MATCH($N911,参数!$A$5:$A$7,0)),"")</f>
        <v>1</v>
      </c>
      <c r="Y911">
        <f>IFERROR(INDEX(参数!$C$5:$C$7,MATCH($N911,参数!$A$5:$A$7,0)),"")</f>
        <v>1.2</v>
      </c>
      <c r="Z911">
        <f>IFERROR(INDEX(参数!$D$5:$D$7,MATCH($N911,参数!$A$5:$A$7,0)),"")</f>
        <v>1</v>
      </c>
      <c r="AA911">
        <f>IFERROR(INDEX(楼层配置!$E$5:$E$204,MATCH($K911,楼层配置!$B$5:$B$204,0)),1)</f>
        <v>1.12582067235919</v>
      </c>
      <c r="AB911">
        <f>IFERROR(INDEX(楼层配置!$F$5:$F$204,MATCH($K911,楼层配置!$B$5:$B$204,0)),1)</f>
        <v>0.729834891319568</v>
      </c>
      <c r="AC911">
        <f>IFERROR(INDEX(楼层配置!$G$5:$G$204,MATCH($K911,楼层配置!$B$5:$B$204,0)),1)</f>
        <v>1</v>
      </c>
      <c r="AD911" t="str">
        <f t="shared" si="115"/>
        <v/>
      </c>
      <c r="AE911" t="str">
        <f t="shared" si="116"/>
        <v/>
      </c>
      <c r="AF911" t="str">
        <f t="shared" si="117"/>
        <v/>
      </c>
      <c r="AG911" t="str">
        <f t="shared" si="118"/>
        <v>有效</v>
      </c>
      <c r="AH911">
        <f t="shared" si="119"/>
        <v>21890642.0875</v>
      </c>
    </row>
    <row r="912" spans="1:34">
      <c r="A912">
        <v>908</v>
      </c>
      <c r="B912">
        <v>1005</v>
      </c>
      <c r="C912">
        <v>60</v>
      </c>
      <c r="D912">
        <f>IFERROR(ROUND($U912*$X912*$AA912*参数!$B$13,0),"")</f>
        <v>6722654</v>
      </c>
      <c r="E912">
        <f>IFERROR(ROUND($V912*$Y912*$AB912*参数!$C$13,0),"")</f>
        <v>109237</v>
      </c>
      <c r="F912">
        <f>IFERROR(ROUND($W912*$Z912*$AC912*参数!$D$13,0),"")</f>
        <v>54150</v>
      </c>
      <c r="J912">
        <v>182</v>
      </c>
      <c r="K912">
        <v>182</v>
      </c>
      <c r="L912">
        <f>IFERROR(INDEX(楼层配置!$D$5:$D$204,MATCH($K912,楼层配置!$B$5:$B$204,0)),"")</f>
        <v>438</v>
      </c>
      <c r="M912" t="str">
        <f>IFERROR(INDEX(_角色基线!$B$2:$B$100,MATCH($B912,_角色基线!$A$2:$A$100,0)),"")</f>
        <v>陈单单</v>
      </c>
      <c r="N912" t="str">
        <f>IFERROR(INDEX(_角色基线!$C$2:$C$100,MATCH($B912,_角色基线!$A$2:$A$100,0)),"")</f>
        <v>DPS</v>
      </c>
      <c r="O912">
        <f>IFERROR(INDEX(_怪物基线!$B$2:$B$501,MATCH(INT($L912),_怪物基线!$A$2:$A$501,0)),"")</f>
        <v>1492834</v>
      </c>
      <c r="P912">
        <f>IFERROR(INDEX(_怪物基线!$C$2:$C$501,MATCH(INT($L912),_怪物基线!$A$2:$A$501,0)),"")</f>
        <v>103940</v>
      </c>
      <c r="Q912">
        <f>IFERROR(INDEX(_怪物基线!$D$2:$D$501,MATCH(INT($L912),_怪物基线!$A$2:$A$501,0)),"")</f>
        <v>54150</v>
      </c>
      <c r="R912">
        <f>参数!$B$10</f>
        <v>4</v>
      </c>
      <c r="S912">
        <f>参数!$C$10</f>
        <v>1.2</v>
      </c>
      <c r="T912">
        <f>参数!$D$10</f>
        <v>1</v>
      </c>
      <c r="U912">
        <f t="shared" si="112"/>
        <v>5971336</v>
      </c>
      <c r="V912">
        <f t="shared" si="113"/>
        <v>124728</v>
      </c>
      <c r="W912">
        <f t="shared" si="114"/>
        <v>54150</v>
      </c>
      <c r="X912">
        <f>IFERROR(INDEX(参数!$B$5:$B$7,MATCH($N912,参数!$A$5:$A$7,0)),"")</f>
        <v>1</v>
      </c>
      <c r="Y912">
        <f>IFERROR(INDEX(参数!$C$5:$C$7,MATCH($N912,参数!$A$5:$A$7,0)),"")</f>
        <v>1.2</v>
      </c>
      <c r="Z912">
        <f>IFERROR(INDEX(参数!$D$5:$D$7,MATCH($N912,参数!$A$5:$A$7,0)),"")</f>
        <v>1</v>
      </c>
      <c r="AA912">
        <f>IFERROR(INDEX(楼层配置!$E$5:$E$204,MATCH($K912,楼层配置!$B$5:$B$204,0)),1)</f>
        <v>1.12582067235919</v>
      </c>
      <c r="AB912">
        <f>IFERROR(INDEX(楼层配置!$F$5:$F$204,MATCH($K912,楼层配置!$B$5:$B$204,0)),1)</f>
        <v>0.729834891319568</v>
      </c>
      <c r="AC912">
        <f>IFERROR(INDEX(楼层配置!$G$5:$G$204,MATCH($K912,楼层配置!$B$5:$B$204,0)),1)</f>
        <v>1</v>
      </c>
      <c r="AD912" t="str">
        <f t="shared" si="115"/>
        <v/>
      </c>
      <c r="AE912" t="str">
        <f t="shared" si="116"/>
        <v/>
      </c>
      <c r="AF912" t="str">
        <f t="shared" si="117"/>
        <v/>
      </c>
      <c r="AG912" t="str">
        <f t="shared" si="118"/>
        <v>有效</v>
      </c>
      <c r="AH912">
        <f t="shared" si="119"/>
        <v>21890642.0875</v>
      </c>
    </row>
    <row r="913" spans="1:34">
      <c r="A913">
        <v>909</v>
      </c>
      <c r="B913">
        <v>1005</v>
      </c>
      <c r="C913">
        <v>60</v>
      </c>
      <c r="D913">
        <f>IFERROR(ROUND($U913*$X913*$AA913*参数!$B$13,0),"")</f>
        <v>6722654</v>
      </c>
      <c r="E913">
        <f>IFERROR(ROUND($V913*$Y913*$AB913*参数!$C$13,0),"")</f>
        <v>109237</v>
      </c>
      <c r="F913">
        <f>IFERROR(ROUND($W913*$Z913*$AC913*参数!$D$13,0),"")</f>
        <v>54150</v>
      </c>
      <c r="J913">
        <v>182</v>
      </c>
      <c r="K913">
        <v>182</v>
      </c>
      <c r="L913">
        <f>IFERROR(INDEX(楼层配置!$D$5:$D$204,MATCH($K913,楼层配置!$B$5:$B$204,0)),"")</f>
        <v>438</v>
      </c>
      <c r="M913" t="str">
        <f>IFERROR(INDEX(_角色基线!$B$2:$B$100,MATCH($B913,_角色基线!$A$2:$A$100,0)),"")</f>
        <v>陈单单</v>
      </c>
      <c r="N913" t="str">
        <f>IFERROR(INDEX(_角色基线!$C$2:$C$100,MATCH($B913,_角色基线!$A$2:$A$100,0)),"")</f>
        <v>DPS</v>
      </c>
      <c r="O913">
        <f>IFERROR(INDEX(_怪物基线!$B$2:$B$501,MATCH(INT($L913),_怪物基线!$A$2:$A$501,0)),"")</f>
        <v>1492834</v>
      </c>
      <c r="P913">
        <f>IFERROR(INDEX(_怪物基线!$C$2:$C$501,MATCH(INT($L913),_怪物基线!$A$2:$A$501,0)),"")</f>
        <v>103940</v>
      </c>
      <c r="Q913">
        <f>IFERROR(INDEX(_怪物基线!$D$2:$D$501,MATCH(INT($L913),_怪物基线!$A$2:$A$501,0)),"")</f>
        <v>54150</v>
      </c>
      <c r="R913">
        <f>参数!$B$10</f>
        <v>4</v>
      </c>
      <c r="S913">
        <f>参数!$C$10</f>
        <v>1.2</v>
      </c>
      <c r="T913">
        <f>参数!$D$10</f>
        <v>1</v>
      </c>
      <c r="U913">
        <f t="shared" si="112"/>
        <v>5971336</v>
      </c>
      <c r="V913">
        <f t="shared" si="113"/>
        <v>124728</v>
      </c>
      <c r="W913">
        <f t="shared" si="114"/>
        <v>54150</v>
      </c>
      <c r="X913">
        <f>IFERROR(INDEX(参数!$B$5:$B$7,MATCH($N913,参数!$A$5:$A$7,0)),"")</f>
        <v>1</v>
      </c>
      <c r="Y913">
        <f>IFERROR(INDEX(参数!$C$5:$C$7,MATCH($N913,参数!$A$5:$A$7,0)),"")</f>
        <v>1.2</v>
      </c>
      <c r="Z913">
        <f>IFERROR(INDEX(参数!$D$5:$D$7,MATCH($N913,参数!$A$5:$A$7,0)),"")</f>
        <v>1</v>
      </c>
      <c r="AA913">
        <f>IFERROR(INDEX(楼层配置!$E$5:$E$204,MATCH($K913,楼层配置!$B$5:$B$204,0)),1)</f>
        <v>1.12582067235919</v>
      </c>
      <c r="AB913">
        <f>IFERROR(INDEX(楼层配置!$F$5:$F$204,MATCH($K913,楼层配置!$B$5:$B$204,0)),1)</f>
        <v>0.729834891319568</v>
      </c>
      <c r="AC913">
        <f>IFERROR(INDEX(楼层配置!$G$5:$G$204,MATCH($K913,楼层配置!$B$5:$B$204,0)),1)</f>
        <v>1</v>
      </c>
      <c r="AD913" t="str">
        <f t="shared" si="115"/>
        <v/>
      </c>
      <c r="AE913" t="str">
        <f t="shared" si="116"/>
        <v/>
      </c>
      <c r="AF913" t="str">
        <f t="shared" si="117"/>
        <v/>
      </c>
      <c r="AG913" t="str">
        <f t="shared" si="118"/>
        <v>有效</v>
      </c>
      <c r="AH913">
        <f t="shared" si="119"/>
        <v>21890642.0875</v>
      </c>
    </row>
    <row r="914" spans="1:34">
      <c r="A914">
        <v>910</v>
      </c>
      <c r="B914">
        <v>1029</v>
      </c>
      <c r="C914">
        <v>60</v>
      </c>
      <c r="D914">
        <f>IFERROR(ROUND($U914*$X914*$AA914*参数!$B$13,0),"")</f>
        <v>8403317</v>
      </c>
      <c r="E914">
        <f>IFERROR(ROUND($V914*$Y914*$AB914*参数!$C$13,0),"")</f>
        <v>91031</v>
      </c>
      <c r="F914">
        <f>IFERROR(ROUND($W914*$Z914*$AC914*参数!$D$13,0),"")</f>
        <v>67688</v>
      </c>
      <c r="J914">
        <v>182</v>
      </c>
      <c r="K914">
        <v>182</v>
      </c>
      <c r="L914">
        <f>IFERROR(INDEX(楼层配置!$D$5:$D$204,MATCH($K914,楼层配置!$B$5:$B$204,0)),"")</f>
        <v>438</v>
      </c>
      <c r="M914" t="str">
        <f>IFERROR(INDEX(_角色基线!$B$2:$B$100,MATCH($B914,_角色基线!$A$2:$A$100,0)),"")</f>
        <v>凯兰</v>
      </c>
      <c r="N914" t="str">
        <f>IFERROR(INDEX(_角色基线!$C$2:$C$100,MATCH($B914,_角色基线!$A$2:$A$100,0)),"")</f>
        <v>Support</v>
      </c>
      <c r="O914">
        <f>IFERROR(INDEX(_怪物基线!$B$2:$B$501,MATCH(INT($L914),_怪物基线!$A$2:$A$501,0)),"")</f>
        <v>1492834</v>
      </c>
      <c r="P914">
        <f>IFERROR(INDEX(_怪物基线!$C$2:$C$501,MATCH(INT($L914),_怪物基线!$A$2:$A$501,0)),"")</f>
        <v>103940</v>
      </c>
      <c r="Q914">
        <f>IFERROR(INDEX(_怪物基线!$D$2:$D$501,MATCH(INT($L914),_怪物基线!$A$2:$A$501,0)),"")</f>
        <v>54150</v>
      </c>
      <c r="R914">
        <f>参数!$B$10</f>
        <v>4</v>
      </c>
      <c r="S914">
        <f>参数!$C$10</f>
        <v>1.2</v>
      </c>
      <c r="T914">
        <f>参数!$D$10</f>
        <v>1</v>
      </c>
      <c r="U914">
        <f t="shared" si="112"/>
        <v>5971336</v>
      </c>
      <c r="V914">
        <f t="shared" si="113"/>
        <v>124728</v>
      </c>
      <c r="W914">
        <f t="shared" si="114"/>
        <v>54150</v>
      </c>
      <c r="X914">
        <f>IFERROR(INDEX(参数!$B$5:$B$7,MATCH($N914,参数!$A$5:$A$7,0)),"")</f>
        <v>1.25</v>
      </c>
      <c r="Y914">
        <f>IFERROR(INDEX(参数!$C$5:$C$7,MATCH($N914,参数!$A$5:$A$7,0)),"")</f>
        <v>1</v>
      </c>
      <c r="Z914">
        <f>IFERROR(INDEX(参数!$D$5:$D$7,MATCH($N914,参数!$A$5:$A$7,0)),"")</f>
        <v>1.25</v>
      </c>
      <c r="AA914">
        <f>IFERROR(INDEX(楼层配置!$E$5:$E$204,MATCH($K914,楼层配置!$B$5:$B$204,0)),1)</f>
        <v>1.12582067235919</v>
      </c>
      <c r="AB914">
        <f>IFERROR(INDEX(楼层配置!$F$5:$F$204,MATCH($K914,楼层配置!$B$5:$B$204,0)),1)</f>
        <v>0.729834891319568</v>
      </c>
      <c r="AC914">
        <f>IFERROR(INDEX(楼层配置!$G$5:$G$204,MATCH($K914,楼层配置!$B$5:$B$204,0)),1)</f>
        <v>1</v>
      </c>
      <c r="AD914" t="str">
        <f t="shared" si="115"/>
        <v/>
      </c>
      <c r="AE914" t="str">
        <f t="shared" si="116"/>
        <v/>
      </c>
      <c r="AF914" t="str">
        <f t="shared" si="117"/>
        <v/>
      </c>
      <c r="AG914" t="str">
        <f t="shared" si="118"/>
        <v>有效</v>
      </c>
      <c r="AH914">
        <f t="shared" si="119"/>
        <v>32103472.0456667</v>
      </c>
    </row>
    <row r="915" spans="1:34">
      <c r="A915">
        <v>911</v>
      </c>
      <c r="B915">
        <v>1003</v>
      </c>
      <c r="C915">
        <v>60</v>
      </c>
      <c r="D915">
        <f>IFERROR(ROUND($U915*$X915*$AA915*参数!$B$13,0),"")</f>
        <v>10307028</v>
      </c>
      <c r="E915">
        <f>IFERROR(ROUND($V915*$Y915*$AB915*参数!$C$13,0),"")</f>
        <v>92672</v>
      </c>
      <c r="F915">
        <f>IFERROR(ROUND($W915*$Z915*$AC915*参数!$D$13,0),"")</f>
        <v>82008</v>
      </c>
      <c r="J915">
        <v>183</v>
      </c>
      <c r="K915">
        <v>183</v>
      </c>
      <c r="L915">
        <f>IFERROR(INDEX(楼层配置!$D$5:$D$204,MATCH($K915,楼层配置!$B$5:$B$204,0)),"")</f>
        <v>441</v>
      </c>
      <c r="M915" t="str">
        <f>IFERROR(INDEX(_角色基线!$B$2:$B$100,MATCH($B915,_角色基线!$A$2:$A$100,0)),"")</f>
        <v>塔拉夏</v>
      </c>
      <c r="N915" t="str">
        <f>IFERROR(INDEX(_角色基线!$C$2:$C$100,MATCH($B915,_角色基线!$A$2:$A$100,0)),"")</f>
        <v>Tank</v>
      </c>
      <c r="O915">
        <f>IFERROR(INDEX(_怪物基线!$B$2:$B$501,MATCH(INT($L915),_怪物基线!$A$2:$A$501,0)),"")</f>
        <v>1525854</v>
      </c>
      <c r="P915">
        <f>IFERROR(INDEX(_怪物基线!$C$2:$C$501,MATCH(INT($L915),_怪物基线!$A$2:$A$501,0)),"")</f>
        <v>105814</v>
      </c>
      <c r="Q915">
        <f>IFERROR(INDEX(_怪物基线!$D$2:$D$501,MATCH(INT($L915),_怪物基线!$A$2:$A$501,0)),"")</f>
        <v>54672</v>
      </c>
      <c r="R915">
        <f>参数!$B$10</f>
        <v>4</v>
      </c>
      <c r="S915">
        <f>参数!$C$10</f>
        <v>1.2</v>
      </c>
      <c r="T915">
        <f>参数!$D$10</f>
        <v>1</v>
      </c>
      <c r="U915">
        <f t="shared" si="112"/>
        <v>6103416</v>
      </c>
      <c r="V915">
        <f t="shared" si="113"/>
        <v>126976.8</v>
      </c>
      <c r="W915">
        <f t="shared" si="114"/>
        <v>54672</v>
      </c>
      <c r="X915">
        <f>IFERROR(INDEX(参数!$B$5:$B$7,MATCH($N915,参数!$A$5:$A$7,0)),"")</f>
        <v>1.5</v>
      </c>
      <c r="Y915">
        <f>IFERROR(INDEX(参数!$C$5:$C$7,MATCH($N915,参数!$A$5:$A$7,0)),"")</f>
        <v>1</v>
      </c>
      <c r="Z915">
        <f>IFERROR(INDEX(参数!$D$5:$D$7,MATCH($N915,参数!$A$5:$A$7,0)),"")</f>
        <v>1.5</v>
      </c>
      <c r="AA915">
        <f>IFERROR(INDEX(楼层配置!$E$5:$E$204,MATCH($K915,楼层配置!$B$5:$B$204,0)),1)</f>
        <v>1.12582067235919</v>
      </c>
      <c r="AB915">
        <f>IFERROR(INDEX(楼层配置!$F$5:$F$204,MATCH($K915,楼层配置!$B$5:$B$204,0)),1)</f>
        <v>0.729834891319568</v>
      </c>
      <c r="AC915">
        <f>IFERROR(INDEX(楼层配置!$G$5:$G$204,MATCH($K915,楼层配置!$B$5:$B$204,0)),1)</f>
        <v>1</v>
      </c>
      <c r="AD915" t="str">
        <f t="shared" si="115"/>
        <v/>
      </c>
      <c r="AE915" t="str">
        <f t="shared" si="116"/>
        <v/>
      </c>
      <c r="AF915" t="str">
        <f t="shared" si="117"/>
        <v/>
      </c>
      <c r="AG915" t="str">
        <f t="shared" si="118"/>
        <v>有效</v>
      </c>
      <c r="AH915">
        <f t="shared" si="119"/>
        <v>41228112</v>
      </c>
    </row>
    <row r="916" spans="1:34">
      <c r="A916">
        <v>912</v>
      </c>
      <c r="B916">
        <v>1005</v>
      </c>
      <c r="C916">
        <v>60</v>
      </c>
      <c r="D916">
        <f>IFERROR(ROUND($U916*$X916*$AA916*参数!$B$13,0),"")</f>
        <v>6871352</v>
      </c>
      <c r="E916">
        <f>IFERROR(ROUND($V916*$Y916*$AB916*参数!$C$13,0),"")</f>
        <v>111207</v>
      </c>
      <c r="F916">
        <f>IFERROR(ROUND($W916*$Z916*$AC916*参数!$D$13,0),"")</f>
        <v>54672</v>
      </c>
      <c r="J916">
        <v>183</v>
      </c>
      <c r="K916">
        <v>183</v>
      </c>
      <c r="L916">
        <f>IFERROR(INDEX(楼层配置!$D$5:$D$204,MATCH($K916,楼层配置!$B$5:$B$204,0)),"")</f>
        <v>441</v>
      </c>
      <c r="M916" t="str">
        <f>IFERROR(INDEX(_角色基线!$B$2:$B$100,MATCH($B916,_角色基线!$A$2:$A$100,0)),"")</f>
        <v>陈单单</v>
      </c>
      <c r="N916" t="str">
        <f>IFERROR(INDEX(_角色基线!$C$2:$C$100,MATCH($B916,_角色基线!$A$2:$A$100,0)),"")</f>
        <v>DPS</v>
      </c>
      <c r="O916">
        <f>IFERROR(INDEX(_怪物基线!$B$2:$B$501,MATCH(INT($L916),_怪物基线!$A$2:$A$501,0)),"")</f>
        <v>1525854</v>
      </c>
      <c r="P916">
        <f>IFERROR(INDEX(_怪物基线!$C$2:$C$501,MATCH(INT($L916),_怪物基线!$A$2:$A$501,0)),"")</f>
        <v>105814</v>
      </c>
      <c r="Q916">
        <f>IFERROR(INDEX(_怪物基线!$D$2:$D$501,MATCH(INT($L916),_怪物基线!$A$2:$A$501,0)),"")</f>
        <v>54672</v>
      </c>
      <c r="R916">
        <f>参数!$B$10</f>
        <v>4</v>
      </c>
      <c r="S916">
        <f>参数!$C$10</f>
        <v>1.2</v>
      </c>
      <c r="T916">
        <f>参数!$D$10</f>
        <v>1</v>
      </c>
      <c r="U916">
        <f t="shared" si="112"/>
        <v>6103416</v>
      </c>
      <c r="V916">
        <f t="shared" si="113"/>
        <v>126976.8</v>
      </c>
      <c r="W916">
        <f t="shared" si="114"/>
        <v>54672</v>
      </c>
      <c r="X916">
        <f>IFERROR(INDEX(参数!$B$5:$B$7,MATCH($N916,参数!$A$5:$A$7,0)),"")</f>
        <v>1</v>
      </c>
      <c r="Y916">
        <f>IFERROR(INDEX(参数!$C$5:$C$7,MATCH($N916,参数!$A$5:$A$7,0)),"")</f>
        <v>1.2</v>
      </c>
      <c r="Z916">
        <f>IFERROR(INDEX(参数!$D$5:$D$7,MATCH($N916,参数!$A$5:$A$7,0)),"")</f>
        <v>1</v>
      </c>
      <c r="AA916">
        <f>IFERROR(INDEX(楼层配置!$E$5:$E$204,MATCH($K916,楼层配置!$B$5:$B$204,0)),1)</f>
        <v>1.12582067235919</v>
      </c>
      <c r="AB916">
        <f>IFERROR(INDEX(楼层配置!$F$5:$F$204,MATCH($K916,楼层配置!$B$5:$B$204,0)),1)</f>
        <v>0.729834891319568</v>
      </c>
      <c r="AC916">
        <f>IFERROR(INDEX(楼层配置!$G$5:$G$204,MATCH($K916,楼层配置!$B$5:$B$204,0)),1)</f>
        <v>1</v>
      </c>
      <c r="AD916" t="str">
        <f t="shared" si="115"/>
        <v/>
      </c>
      <c r="AE916" t="str">
        <f t="shared" si="116"/>
        <v/>
      </c>
      <c r="AF916" t="str">
        <f t="shared" si="117"/>
        <v/>
      </c>
      <c r="AG916" t="str">
        <f t="shared" si="118"/>
        <v>有效</v>
      </c>
      <c r="AH916">
        <f t="shared" si="119"/>
        <v>22524291.856</v>
      </c>
    </row>
    <row r="917" spans="1:34">
      <c r="A917">
        <v>913</v>
      </c>
      <c r="B917">
        <v>1005</v>
      </c>
      <c r="C917">
        <v>60</v>
      </c>
      <c r="D917">
        <f>IFERROR(ROUND($U917*$X917*$AA917*参数!$B$13,0),"")</f>
        <v>6871352</v>
      </c>
      <c r="E917">
        <f>IFERROR(ROUND($V917*$Y917*$AB917*参数!$C$13,0),"")</f>
        <v>111207</v>
      </c>
      <c r="F917">
        <f>IFERROR(ROUND($W917*$Z917*$AC917*参数!$D$13,0),"")</f>
        <v>54672</v>
      </c>
      <c r="J917">
        <v>183</v>
      </c>
      <c r="K917">
        <v>183</v>
      </c>
      <c r="L917">
        <f>IFERROR(INDEX(楼层配置!$D$5:$D$204,MATCH($K917,楼层配置!$B$5:$B$204,0)),"")</f>
        <v>441</v>
      </c>
      <c r="M917" t="str">
        <f>IFERROR(INDEX(_角色基线!$B$2:$B$100,MATCH($B917,_角色基线!$A$2:$A$100,0)),"")</f>
        <v>陈单单</v>
      </c>
      <c r="N917" t="str">
        <f>IFERROR(INDEX(_角色基线!$C$2:$C$100,MATCH($B917,_角色基线!$A$2:$A$100,0)),"")</f>
        <v>DPS</v>
      </c>
      <c r="O917">
        <f>IFERROR(INDEX(_怪物基线!$B$2:$B$501,MATCH(INT($L917),_怪物基线!$A$2:$A$501,0)),"")</f>
        <v>1525854</v>
      </c>
      <c r="P917">
        <f>IFERROR(INDEX(_怪物基线!$C$2:$C$501,MATCH(INT($L917),_怪物基线!$A$2:$A$501,0)),"")</f>
        <v>105814</v>
      </c>
      <c r="Q917">
        <f>IFERROR(INDEX(_怪物基线!$D$2:$D$501,MATCH(INT($L917),_怪物基线!$A$2:$A$501,0)),"")</f>
        <v>54672</v>
      </c>
      <c r="R917">
        <f>参数!$B$10</f>
        <v>4</v>
      </c>
      <c r="S917">
        <f>参数!$C$10</f>
        <v>1.2</v>
      </c>
      <c r="T917">
        <f>参数!$D$10</f>
        <v>1</v>
      </c>
      <c r="U917">
        <f t="shared" si="112"/>
        <v>6103416</v>
      </c>
      <c r="V917">
        <f t="shared" si="113"/>
        <v>126976.8</v>
      </c>
      <c r="W917">
        <f t="shared" si="114"/>
        <v>54672</v>
      </c>
      <c r="X917">
        <f>IFERROR(INDEX(参数!$B$5:$B$7,MATCH($N917,参数!$A$5:$A$7,0)),"")</f>
        <v>1</v>
      </c>
      <c r="Y917">
        <f>IFERROR(INDEX(参数!$C$5:$C$7,MATCH($N917,参数!$A$5:$A$7,0)),"")</f>
        <v>1.2</v>
      </c>
      <c r="Z917">
        <f>IFERROR(INDEX(参数!$D$5:$D$7,MATCH($N917,参数!$A$5:$A$7,0)),"")</f>
        <v>1</v>
      </c>
      <c r="AA917">
        <f>IFERROR(INDEX(楼层配置!$E$5:$E$204,MATCH($K917,楼层配置!$B$5:$B$204,0)),1)</f>
        <v>1.12582067235919</v>
      </c>
      <c r="AB917">
        <f>IFERROR(INDEX(楼层配置!$F$5:$F$204,MATCH($K917,楼层配置!$B$5:$B$204,0)),1)</f>
        <v>0.729834891319568</v>
      </c>
      <c r="AC917">
        <f>IFERROR(INDEX(楼层配置!$G$5:$G$204,MATCH($K917,楼层配置!$B$5:$B$204,0)),1)</f>
        <v>1</v>
      </c>
      <c r="AD917" t="str">
        <f t="shared" si="115"/>
        <v/>
      </c>
      <c r="AE917" t="str">
        <f t="shared" si="116"/>
        <v/>
      </c>
      <c r="AF917" t="str">
        <f t="shared" si="117"/>
        <v/>
      </c>
      <c r="AG917" t="str">
        <f t="shared" si="118"/>
        <v>有效</v>
      </c>
      <c r="AH917">
        <f t="shared" si="119"/>
        <v>22524291.856</v>
      </c>
    </row>
    <row r="918" spans="1:34">
      <c r="A918">
        <v>914</v>
      </c>
      <c r="B918">
        <v>1005</v>
      </c>
      <c r="C918">
        <v>60</v>
      </c>
      <c r="D918">
        <f>IFERROR(ROUND($U918*$X918*$AA918*参数!$B$13,0),"")</f>
        <v>6871352</v>
      </c>
      <c r="E918">
        <f>IFERROR(ROUND($V918*$Y918*$AB918*参数!$C$13,0),"")</f>
        <v>111207</v>
      </c>
      <c r="F918">
        <f>IFERROR(ROUND($W918*$Z918*$AC918*参数!$D$13,0),"")</f>
        <v>54672</v>
      </c>
      <c r="J918">
        <v>183</v>
      </c>
      <c r="K918">
        <v>183</v>
      </c>
      <c r="L918">
        <f>IFERROR(INDEX(楼层配置!$D$5:$D$204,MATCH($K918,楼层配置!$B$5:$B$204,0)),"")</f>
        <v>441</v>
      </c>
      <c r="M918" t="str">
        <f>IFERROR(INDEX(_角色基线!$B$2:$B$100,MATCH($B918,_角色基线!$A$2:$A$100,0)),"")</f>
        <v>陈单单</v>
      </c>
      <c r="N918" t="str">
        <f>IFERROR(INDEX(_角色基线!$C$2:$C$100,MATCH($B918,_角色基线!$A$2:$A$100,0)),"")</f>
        <v>DPS</v>
      </c>
      <c r="O918">
        <f>IFERROR(INDEX(_怪物基线!$B$2:$B$501,MATCH(INT($L918),_怪物基线!$A$2:$A$501,0)),"")</f>
        <v>1525854</v>
      </c>
      <c r="P918">
        <f>IFERROR(INDEX(_怪物基线!$C$2:$C$501,MATCH(INT($L918),_怪物基线!$A$2:$A$501,0)),"")</f>
        <v>105814</v>
      </c>
      <c r="Q918">
        <f>IFERROR(INDEX(_怪物基线!$D$2:$D$501,MATCH(INT($L918),_怪物基线!$A$2:$A$501,0)),"")</f>
        <v>54672</v>
      </c>
      <c r="R918">
        <f>参数!$B$10</f>
        <v>4</v>
      </c>
      <c r="S918">
        <f>参数!$C$10</f>
        <v>1.2</v>
      </c>
      <c r="T918">
        <f>参数!$D$10</f>
        <v>1</v>
      </c>
      <c r="U918">
        <f t="shared" si="112"/>
        <v>6103416</v>
      </c>
      <c r="V918">
        <f t="shared" si="113"/>
        <v>126976.8</v>
      </c>
      <c r="W918">
        <f t="shared" si="114"/>
        <v>54672</v>
      </c>
      <c r="X918">
        <f>IFERROR(INDEX(参数!$B$5:$B$7,MATCH($N918,参数!$A$5:$A$7,0)),"")</f>
        <v>1</v>
      </c>
      <c r="Y918">
        <f>IFERROR(INDEX(参数!$C$5:$C$7,MATCH($N918,参数!$A$5:$A$7,0)),"")</f>
        <v>1.2</v>
      </c>
      <c r="Z918">
        <f>IFERROR(INDEX(参数!$D$5:$D$7,MATCH($N918,参数!$A$5:$A$7,0)),"")</f>
        <v>1</v>
      </c>
      <c r="AA918">
        <f>IFERROR(INDEX(楼层配置!$E$5:$E$204,MATCH($K918,楼层配置!$B$5:$B$204,0)),1)</f>
        <v>1.12582067235919</v>
      </c>
      <c r="AB918">
        <f>IFERROR(INDEX(楼层配置!$F$5:$F$204,MATCH($K918,楼层配置!$B$5:$B$204,0)),1)</f>
        <v>0.729834891319568</v>
      </c>
      <c r="AC918">
        <f>IFERROR(INDEX(楼层配置!$G$5:$G$204,MATCH($K918,楼层配置!$B$5:$B$204,0)),1)</f>
        <v>1</v>
      </c>
      <c r="AD918" t="str">
        <f t="shared" si="115"/>
        <v/>
      </c>
      <c r="AE918" t="str">
        <f t="shared" si="116"/>
        <v/>
      </c>
      <c r="AF918" t="str">
        <f t="shared" si="117"/>
        <v/>
      </c>
      <c r="AG918" t="str">
        <f t="shared" si="118"/>
        <v>有效</v>
      </c>
      <c r="AH918">
        <f t="shared" si="119"/>
        <v>22524291.856</v>
      </c>
    </row>
    <row r="919" spans="1:34">
      <c r="A919">
        <v>915</v>
      </c>
      <c r="B919">
        <v>1029</v>
      </c>
      <c r="C919">
        <v>60</v>
      </c>
      <c r="D919">
        <f>IFERROR(ROUND($U919*$X919*$AA919*参数!$B$13,0),"")</f>
        <v>8589190</v>
      </c>
      <c r="E919">
        <f>IFERROR(ROUND($V919*$Y919*$AB919*参数!$C$13,0),"")</f>
        <v>92672</v>
      </c>
      <c r="F919">
        <f>IFERROR(ROUND($W919*$Z919*$AC919*参数!$D$13,0),"")</f>
        <v>68340</v>
      </c>
      <c r="J919">
        <v>183</v>
      </c>
      <c r="K919">
        <v>183</v>
      </c>
      <c r="L919">
        <f>IFERROR(INDEX(楼层配置!$D$5:$D$204,MATCH($K919,楼层配置!$B$5:$B$204,0)),"")</f>
        <v>441</v>
      </c>
      <c r="M919" t="str">
        <f>IFERROR(INDEX(_角色基线!$B$2:$B$100,MATCH($B919,_角色基线!$A$2:$A$100,0)),"")</f>
        <v>凯兰</v>
      </c>
      <c r="N919" t="str">
        <f>IFERROR(INDEX(_角色基线!$C$2:$C$100,MATCH($B919,_角色基线!$A$2:$A$100,0)),"")</f>
        <v>Support</v>
      </c>
      <c r="O919">
        <f>IFERROR(INDEX(_怪物基线!$B$2:$B$501,MATCH(INT($L919),_怪物基线!$A$2:$A$501,0)),"")</f>
        <v>1525854</v>
      </c>
      <c r="P919">
        <f>IFERROR(INDEX(_怪物基线!$C$2:$C$501,MATCH(INT($L919),_怪物基线!$A$2:$A$501,0)),"")</f>
        <v>105814</v>
      </c>
      <c r="Q919">
        <f>IFERROR(INDEX(_怪物基线!$D$2:$D$501,MATCH(INT($L919),_怪物基线!$A$2:$A$501,0)),"")</f>
        <v>54672</v>
      </c>
      <c r="R919">
        <f>参数!$B$10</f>
        <v>4</v>
      </c>
      <c r="S919">
        <f>参数!$C$10</f>
        <v>1.2</v>
      </c>
      <c r="T919">
        <f>参数!$D$10</f>
        <v>1</v>
      </c>
      <c r="U919">
        <f t="shared" si="112"/>
        <v>6103416</v>
      </c>
      <c r="V919">
        <f t="shared" si="113"/>
        <v>126976.8</v>
      </c>
      <c r="W919">
        <f t="shared" si="114"/>
        <v>54672</v>
      </c>
      <c r="X919">
        <f>IFERROR(INDEX(参数!$B$5:$B$7,MATCH($N919,参数!$A$5:$A$7,0)),"")</f>
        <v>1.25</v>
      </c>
      <c r="Y919">
        <f>IFERROR(INDEX(参数!$C$5:$C$7,MATCH($N919,参数!$A$5:$A$7,0)),"")</f>
        <v>1</v>
      </c>
      <c r="Z919">
        <f>IFERROR(INDEX(参数!$D$5:$D$7,MATCH($N919,参数!$A$5:$A$7,0)),"")</f>
        <v>1.25</v>
      </c>
      <c r="AA919">
        <f>IFERROR(INDEX(楼层配置!$E$5:$E$204,MATCH($K919,楼层配置!$B$5:$B$204,0)),1)</f>
        <v>1.12582067235919</v>
      </c>
      <c r="AB919">
        <f>IFERROR(INDEX(楼层配置!$F$5:$F$204,MATCH($K919,楼层配置!$B$5:$B$204,0)),1)</f>
        <v>0.729834891319568</v>
      </c>
      <c r="AC919">
        <f>IFERROR(INDEX(楼层配置!$G$5:$G$204,MATCH($K919,楼层配置!$B$5:$B$204,0)),1)</f>
        <v>1</v>
      </c>
      <c r="AD919" t="str">
        <f t="shared" si="115"/>
        <v/>
      </c>
      <c r="AE919" t="str">
        <f t="shared" si="116"/>
        <v/>
      </c>
      <c r="AF919" t="str">
        <f t="shared" si="117"/>
        <v/>
      </c>
      <c r="AG919" t="str">
        <f t="shared" si="118"/>
        <v>有效</v>
      </c>
      <c r="AH919">
        <f t="shared" si="119"/>
        <v>33046908.525</v>
      </c>
    </row>
    <row r="920" spans="1:34">
      <c r="A920">
        <v>916</v>
      </c>
      <c r="B920">
        <v>1003</v>
      </c>
      <c r="C920">
        <v>60</v>
      </c>
      <c r="D920">
        <f>IFERROR(ROUND($U920*$X920*$AA920*参数!$B$13,0),"")</f>
        <v>10534020</v>
      </c>
      <c r="E920">
        <f>IFERROR(ROUND($V920*$Y920*$AB920*参数!$C$13,0),"")</f>
        <v>94338</v>
      </c>
      <c r="F920">
        <f>IFERROR(ROUND($W920*$Z920*$AC920*参数!$D$13,0),"")</f>
        <v>82793</v>
      </c>
      <c r="J920">
        <v>184</v>
      </c>
      <c r="K920">
        <v>184</v>
      </c>
      <c r="L920">
        <f>IFERROR(INDEX(楼层配置!$D$5:$D$204,MATCH($K920,楼层配置!$B$5:$B$204,0)),"")</f>
        <v>444</v>
      </c>
      <c r="M920" t="str">
        <f>IFERROR(INDEX(_角色基线!$B$2:$B$100,MATCH($B920,_角色基线!$A$2:$A$100,0)),"")</f>
        <v>塔拉夏</v>
      </c>
      <c r="N920" t="str">
        <f>IFERROR(INDEX(_角色基线!$C$2:$C$100,MATCH($B920,_角色基线!$A$2:$A$100,0)),"")</f>
        <v>Tank</v>
      </c>
      <c r="O920">
        <f>IFERROR(INDEX(_怪物基线!$B$2:$B$501,MATCH(INT($L920),_怪物基线!$A$2:$A$501,0)),"")</f>
        <v>1559458</v>
      </c>
      <c r="P920">
        <f>IFERROR(INDEX(_怪物基线!$C$2:$C$501,MATCH(INT($L920),_怪物基线!$A$2:$A$501,0)),"")</f>
        <v>107716</v>
      </c>
      <c r="Q920">
        <f>IFERROR(INDEX(_怪物基线!$D$2:$D$501,MATCH(INT($L920),_怪物基线!$A$2:$A$501,0)),"")</f>
        <v>55195</v>
      </c>
      <c r="R920">
        <f>参数!$B$10</f>
        <v>4</v>
      </c>
      <c r="S920">
        <f>参数!$C$10</f>
        <v>1.2</v>
      </c>
      <c r="T920">
        <f>参数!$D$10</f>
        <v>1</v>
      </c>
      <c r="U920">
        <f t="shared" si="112"/>
        <v>6237832</v>
      </c>
      <c r="V920">
        <f t="shared" si="113"/>
        <v>129259.2</v>
      </c>
      <c r="W920">
        <f t="shared" si="114"/>
        <v>55195</v>
      </c>
      <c r="X920">
        <f>IFERROR(INDEX(参数!$B$5:$B$7,MATCH($N920,参数!$A$5:$A$7,0)),"")</f>
        <v>1.5</v>
      </c>
      <c r="Y920">
        <f>IFERROR(INDEX(参数!$C$5:$C$7,MATCH($N920,参数!$A$5:$A$7,0)),"")</f>
        <v>1</v>
      </c>
      <c r="Z920">
        <f>IFERROR(INDEX(参数!$D$5:$D$7,MATCH($N920,参数!$A$5:$A$7,0)),"")</f>
        <v>1.5</v>
      </c>
      <c r="AA920">
        <f>IFERROR(INDEX(楼层配置!$E$5:$E$204,MATCH($K920,楼层配置!$B$5:$B$204,0)),1)</f>
        <v>1.12582067235919</v>
      </c>
      <c r="AB920">
        <f>IFERROR(INDEX(楼层配置!$F$5:$F$204,MATCH($K920,楼层配置!$B$5:$B$204,0)),1)</f>
        <v>0.729834891319568</v>
      </c>
      <c r="AC920">
        <f>IFERROR(INDEX(楼层配置!$G$5:$G$204,MATCH($K920,楼层配置!$B$5:$B$204,0)),1)</f>
        <v>1</v>
      </c>
      <c r="AD920" t="str">
        <f t="shared" si="115"/>
        <v/>
      </c>
      <c r="AE920" t="str">
        <f t="shared" si="116"/>
        <v/>
      </c>
      <c r="AF920" t="str">
        <f t="shared" si="117"/>
        <v/>
      </c>
      <c r="AG920" t="str">
        <f t="shared" si="118"/>
        <v>有效</v>
      </c>
      <c r="AH920">
        <f t="shared" si="119"/>
        <v>42136080</v>
      </c>
    </row>
    <row r="921" spans="1:34">
      <c r="A921">
        <v>917</v>
      </c>
      <c r="B921">
        <v>1005</v>
      </c>
      <c r="C921">
        <v>60</v>
      </c>
      <c r="D921">
        <f>IFERROR(ROUND($U921*$X921*$AA921*参数!$B$13,0),"")</f>
        <v>7022680</v>
      </c>
      <c r="E921">
        <f>IFERROR(ROUND($V921*$Y921*$AB921*参数!$C$13,0),"")</f>
        <v>113205</v>
      </c>
      <c r="F921">
        <f>IFERROR(ROUND($W921*$Z921*$AC921*参数!$D$13,0),"")</f>
        <v>55195</v>
      </c>
      <c r="J921">
        <v>184</v>
      </c>
      <c r="K921">
        <v>184</v>
      </c>
      <c r="L921">
        <f>IFERROR(INDEX(楼层配置!$D$5:$D$204,MATCH($K921,楼层配置!$B$5:$B$204,0)),"")</f>
        <v>444</v>
      </c>
      <c r="M921" t="str">
        <f>IFERROR(INDEX(_角色基线!$B$2:$B$100,MATCH($B921,_角色基线!$A$2:$A$100,0)),"")</f>
        <v>陈单单</v>
      </c>
      <c r="N921" t="str">
        <f>IFERROR(INDEX(_角色基线!$C$2:$C$100,MATCH($B921,_角色基线!$A$2:$A$100,0)),"")</f>
        <v>DPS</v>
      </c>
      <c r="O921">
        <f>IFERROR(INDEX(_怪物基线!$B$2:$B$501,MATCH(INT($L921),_怪物基线!$A$2:$A$501,0)),"")</f>
        <v>1559458</v>
      </c>
      <c r="P921">
        <f>IFERROR(INDEX(_怪物基线!$C$2:$C$501,MATCH(INT($L921),_怪物基线!$A$2:$A$501,0)),"")</f>
        <v>107716</v>
      </c>
      <c r="Q921">
        <f>IFERROR(INDEX(_怪物基线!$D$2:$D$501,MATCH(INT($L921),_怪物基线!$A$2:$A$501,0)),"")</f>
        <v>55195</v>
      </c>
      <c r="R921">
        <f>参数!$B$10</f>
        <v>4</v>
      </c>
      <c r="S921">
        <f>参数!$C$10</f>
        <v>1.2</v>
      </c>
      <c r="T921">
        <f>参数!$D$10</f>
        <v>1</v>
      </c>
      <c r="U921">
        <f t="shared" si="112"/>
        <v>6237832</v>
      </c>
      <c r="V921">
        <f t="shared" si="113"/>
        <v>129259.2</v>
      </c>
      <c r="W921">
        <f t="shared" si="114"/>
        <v>55195</v>
      </c>
      <c r="X921">
        <f>IFERROR(INDEX(参数!$B$5:$B$7,MATCH($N921,参数!$A$5:$A$7,0)),"")</f>
        <v>1</v>
      </c>
      <c r="Y921">
        <f>IFERROR(INDEX(参数!$C$5:$C$7,MATCH($N921,参数!$A$5:$A$7,0)),"")</f>
        <v>1.2</v>
      </c>
      <c r="Z921">
        <f>IFERROR(INDEX(参数!$D$5:$D$7,MATCH($N921,参数!$A$5:$A$7,0)),"")</f>
        <v>1</v>
      </c>
      <c r="AA921">
        <f>IFERROR(INDEX(楼层配置!$E$5:$E$204,MATCH($K921,楼层配置!$B$5:$B$204,0)),1)</f>
        <v>1.12582067235919</v>
      </c>
      <c r="AB921">
        <f>IFERROR(INDEX(楼层配置!$F$5:$F$204,MATCH($K921,楼层配置!$B$5:$B$204,0)),1)</f>
        <v>0.729834891319568</v>
      </c>
      <c r="AC921">
        <f>IFERROR(INDEX(楼层配置!$G$5:$G$204,MATCH($K921,楼层配置!$B$5:$B$204,0)),1)</f>
        <v>1</v>
      </c>
      <c r="AD921" t="str">
        <f t="shared" si="115"/>
        <v/>
      </c>
      <c r="AE921" t="str">
        <f t="shared" si="116"/>
        <v/>
      </c>
      <c r="AF921" t="str">
        <f t="shared" si="117"/>
        <v/>
      </c>
      <c r="AG921" t="str">
        <f t="shared" si="118"/>
        <v>有效</v>
      </c>
      <c r="AH921">
        <f t="shared" si="119"/>
        <v>23173380.9416667</v>
      </c>
    </row>
    <row r="922" spans="1:34">
      <c r="A922">
        <v>918</v>
      </c>
      <c r="B922">
        <v>1005</v>
      </c>
      <c r="C922">
        <v>60</v>
      </c>
      <c r="D922">
        <f>IFERROR(ROUND($U922*$X922*$AA922*参数!$B$13,0),"")</f>
        <v>7022680</v>
      </c>
      <c r="E922">
        <f>IFERROR(ROUND($V922*$Y922*$AB922*参数!$C$13,0),"")</f>
        <v>113205</v>
      </c>
      <c r="F922">
        <f>IFERROR(ROUND($W922*$Z922*$AC922*参数!$D$13,0),"")</f>
        <v>55195</v>
      </c>
      <c r="J922">
        <v>184</v>
      </c>
      <c r="K922">
        <v>184</v>
      </c>
      <c r="L922">
        <f>IFERROR(INDEX(楼层配置!$D$5:$D$204,MATCH($K922,楼层配置!$B$5:$B$204,0)),"")</f>
        <v>444</v>
      </c>
      <c r="M922" t="str">
        <f>IFERROR(INDEX(_角色基线!$B$2:$B$100,MATCH($B922,_角色基线!$A$2:$A$100,0)),"")</f>
        <v>陈单单</v>
      </c>
      <c r="N922" t="str">
        <f>IFERROR(INDEX(_角色基线!$C$2:$C$100,MATCH($B922,_角色基线!$A$2:$A$100,0)),"")</f>
        <v>DPS</v>
      </c>
      <c r="O922">
        <f>IFERROR(INDEX(_怪物基线!$B$2:$B$501,MATCH(INT($L922),_怪物基线!$A$2:$A$501,0)),"")</f>
        <v>1559458</v>
      </c>
      <c r="P922">
        <f>IFERROR(INDEX(_怪物基线!$C$2:$C$501,MATCH(INT($L922),_怪物基线!$A$2:$A$501,0)),"")</f>
        <v>107716</v>
      </c>
      <c r="Q922">
        <f>IFERROR(INDEX(_怪物基线!$D$2:$D$501,MATCH(INT($L922),_怪物基线!$A$2:$A$501,0)),"")</f>
        <v>55195</v>
      </c>
      <c r="R922">
        <f>参数!$B$10</f>
        <v>4</v>
      </c>
      <c r="S922">
        <f>参数!$C$10</f>
        <v>1.2</v>
      </c>
      <c r="T922">
        <f>参数!$D$10</f>
        <v>1</v>
      </c>
      <c r="U922">
        <f t="shared" si="112"/>
        <v>6237832</v>
      </c>
      <c r="V922">
        <f t="shared" si="113"/>
        <v>129259.2</v>
      </c>
      <c r="W922">
        <f t="shared" si="114"/>
        <v>55195</v>
      </c>
      <c r="X922">
        <f>IFERROR(INDEX(参数!$B$5:$B$7,MATCH($N922,参数!$A$5:$A$7,0)),"")</f>
        <v>1</v>
      </c>
      <c r="Y922">
        <f>IFERROR(INDEX(参数!$C$5:$C$7,MATCH($N922,参数!$A$5:$A$7,0)),"")</f>
        <v>1.2</v>
      </c>
      <c r="Z922">
        <f>IFERROR(INDEX(参数!$D$5:$D$7,MATCH($N922,参数!$A$5:$A$7,0)),"")</f>
        <v>1</v>
      </c>
      <c r="AA922">
        <f>IFERROR(INDEX(楼层配置!$E$5:$E$204,MATCH($K922,楼层配置!$B$5:$B$204,0)),1)</f>
        <v>1.12582067235919</v>
      </c>
      <c r="AB922">
        <f>IFERROR(INDEX(楼层配置!$F$5:$F$204,MATCH($K922,楼层配置!$B$5:$B$204,0)),1)</f>
        <v>0.729834891319568</v>
      </c>
      <c r="AC922">
        <f>IFERROR(INDEX(楼层配置!$G$5:$G$204,MATCH($K922,楼层配置!$B$5:$B$204,0)),1)</f>
        <v>1</v>
      </c>
      <c r="AD922" t="str">
        <f t="shared" si="115"/>
        <v/>
      </c>
      <c r="AE922" t="str">
        <f t="shared" si="116"/>
        <v/>
      </c>
      <c r="AF922" t="str">
        <f t="shared" si="117"/>
        <v/>
      </c>
      <c r="AG922" t="str">
        <f t="shared" si="118"/>
        <v>有效</v>
      </c>
      <c r="AH922">
        <f t="shared" si="119"/>
        <v>23173380.9416667</v>
      </c>
    </row>
    <row r="923" spans="1:34">
      <c r="A923">
        <v>919</v>
      </c>
      <c r="B923">
        <v>1005</v>
      </c>
      <c r="C923">
        <v>60</v>
      </c>
      <c r="D923">
        <f>IFERROR(ROUND($U923*$X923*$AA923*参数!$B$13,0),"")</f>
        <v>7022680</v>
      </c>
      <c r="E923">
        <f>IFERROR(ROUND($V923*$Y923*$AB923*参数!$C$13,0),"")</f>
        <v>113205</v>
      </c>
      <c r="F923">
        <f>IFERROR(ROUND($W923*$Z923*$AC923*参数!$D$13,0),"")</f>
        <v>55195</v>
      </c>
      <c r="J923">
        <v>184</v>
      </c>
      <c r="K923">
        <v>184</v>
      </c>
      <c r="L923">
        <f>IFERROR(INDEX(楼层配置!$D$5:$D$204,MATCH($K923,楼层配置!$B$5:$B$204,0)),"")</f>
        <v>444</v>
      </c>
      <c r="M923" t="str">
        <f>IFERROR(INDEX(_角色基线!$B$2:$B$100,MATCH($B923,_角色基线!$A$2:$A$100,0)),"")</f>
        <v>陈单单</v>
      </c>
      <c r="N923" t="str">
        <f>IFERROR(INDEX(_角色基线!$C$2:$C$100,MATCH($B923,_角色基线!$A$2:$A$100,0)),"")</f>
        <v>DPS</v>
      </c>
      <c r="O923">
        <f>IFERROR(INDEX(_怪物基线!$B$2:$B$501,MATCH(INT($L923),_怪物基线!$A$2:$A$501,0)),"")</f>
        <v>1559458</v>
      </c>
      <c r="P923">
        <f>IFERROR(INDEX(_怪物基线!$C$2:$C$501,MATCH(INT($L923),_怪物基线!$A$2:$A$501,0)),"")</f>
        <v>107716</v>
      </c>
      <c r="Q923">
        <f>IFERROR(INDEX(_怪物基线!$D$2:$D$501,MATCH(INT($L923),_怪物基线!$A$2:$A$501,0)),"")</f>
        <v>55195</v>
      </c>
      <c r="R923">
        <f>参数!$B$10</f>
        <v>4</v>
      </c>
      <c r="S923">
        <f>参数!$C$10</f>
        <v>1.2</v>
      </c>
      <c r="T923">
        <f>参数!$D$10</f>
        <v>1</v>
      </c>
      <c r="U923">
        <f t="shared" si="112"/>
        <v>6237832</v>
      </c>
      <c r="V923">
        <f t="shared" si="113"/>
        <v>129259.2</v>
      </c>
      <c r="W923">
        <f t="shared" si="114"/>
        <v>55195</v>
      </c>
      <c r="X923">
        <f>IFERROR(INDEX(参数!$B$5:$B$7,MATCH($N923,参数!$A$5:$A$7,0)),"")</f>
        <v>1</v>
      </c>
      <c r="Y923">
        <f>IFERROR(INDEX(参数!$C$5:$C$7,MATCH($N923,参数!$A$5:$A$7,0)),"")</f>
        <v>1.2</v>
      </c>
      <c r="Z923">
        <f>IFERROR(INDEX(参数!$D$5:$D$7,MATCH($N923,参数!$A$5:$A$7,0)),"")</f>
        <v>1</v>
      </c>
      <c r="AA923">
        <f>IFERROR(INDEX(楼层配置!$E$5:$E$204,MATCH($K923,楼层配置!$B$5:$B$204,0)),1)</f>
        <v>1.12582067235919</v>
      </c>
      <c r="AB923">
        <f>IFERROR(INDEX(楼层配置!$F$5:$F$204,MATCH($K923,楼层配置!$B$5:$B$204,0)),1)</f>
        <v>0.729834891319568</v>
      </c>
      <c r="AC923">
        <f>IFERROR(INDEX(楼层配置!$G$5:$G$204,MATCH($K923,楼层配置!$B$5:$B$204,0)),1)</f>
        <v>1</v>
      </c>
      <c r="AD923" t="str">
        <f t="shared" si="115"/>
        <v/>
      </c>
      <c r="AE923" t="str">
        <f t="shared" si="116"/>
        <v/>
      </c>
      <c r="AF923" t="str">
        <f t="shared" si="117"/>
        <v/>
      </c>
      <c r="AG923" t="str">
        <f t="shared" si="118"/>
        <v>有效</v>
      </c>
      <c r="AH923">
        <f t="shared" si="119"/>
        <v>23173380.9416667</v>
      </c>
    </row>
    <row r="924" spans="1:34">
      <c r="A924">
        <v>920</v>
      </c>
      <c r="B924">
        <v>1029</v>
      </c>
      <c r="C924">
        <v>60</v>
      </c>
      <c r="D924">
        <f>IFERROR(ROUND($U924*$X924*$AA924*参数!$B$13,0),"")</f>
        <v>8778350</v>
      </c>
      <c r="E924">
        <f>IFERROR(ROUND($V924*$Y924*$AB924*参数!$C$13,0),"")</f>
        <v>94338</v>
      </c>
      <c r="F924">
        <f>IFERROR(ROUND($W924*$Z924*$AC924*参数!$D$13,0),"")</f>
        <v>68994</v>
      </c>
      <c r="J924">
        <v>184</v>
      </c>
      <c r="K924">
        <v>184</v>
      </c>
      <c r="L924">
        <f>IFERROR(INDEX(楼层配置!$D$5:$D$204,MATCH($K924,楼层配置!$B$5:$B$204,0)),"")</f>
        <v>444</v>
      </c>
      <c r="M924" t="str">
        <f>IFERROR(INDEX(_角色基线!$B$2:$B$100,MATCH($B924,_角色基线!$A$2:$A$100,0)),"")</f>
        <v>凯兰</v>
      </c>
      <c r="N924" t="str">
        <f>IFERROR(INDEX(_角色基线!$C$2:$C$100,MATCH($B924,_角色基线!$A$2:$A$100,0)),"")</f>
        <v>Support</v>
      </c>
      <c r="O924">
        <f>IFERROR(INDEX(_怪物基线!$B$2:$B$501,MATCH(INT($L924),_怪物基线!$A$2:$A$501,0)),"")</f>
        <v>1559458</v>
      </c>
      <c r="P924">
        <f>IFERROR(INDEX(_怪物基线!$C$2:$C$501,MATCH(INT($L924),_怪物基线!$A$2:$A$501,0)),"")</f>
        <v>107716</v>
      </c>
      <c r="Q924">
        <f>IFERROR(INDEX(_怪物基线!$D$2:$D$501,MATCH(INT($L924),_怪物基线!$A$2:$A$501,0)),"")</f>
        <v>55195</v>
      </c>
      <c r="R924">
        <f>参数!$B$10</f>
        <v>4</v>
      </c>
      <c r="S924">
        <f>参数!$C$10</f>
        <v>1.2</v>
      </c>
      <c r="T924">
        <f>参数!$D$10</f>
        <v>1</v>
      </c>
      <c r="U924">
        <f t="shared" si="112"/>
        <v>6237832</v>
      </c>
      <c r="V924">
        <f t="shared" si="113"/>
        <v>129259.2</v>
      </c>
      <c r="W924">
        <f t="shared" si="114"/>
        <v>55195</v>
      </c>
      <c r="X924">
        <f>IFERROR(INDEX(参数!$B$5:$B$7,MATCH($N924,参数!$A$5:$A$7,0)),"")</f>
        <v>1.25</v>
      </c>
      <c r="Y924">
        <f>IFERROR(INDEX(参数!$C$5:$C$7,MATCH($N924,参数!$A$5:$A$7,0)),"")</f>
        <v>1</v>
      </c>
      <c r="Z924">
        <f>IFERROR(INDEX(参数!$D$5:$D$7,MATCH($N924,参数!$A$5:$A$7,0)),"")</f>
        <v>1.25</v>
      </c>
      <c r="AA924">
        <f>IFERROR(INDEX(楼层配置!$E$5:$E$204,MATCH($K924,楼层配置!$B$5:$B$204,0)),1)</f>
        <v>1.12582067235919</v>
      </c>
      <c r="AB924">
        <f>IFERROR(INDEX(楼层配置!$F$5:$F$204,MATCH($K924,楼层配置!$B$5:$B$204,0)),1)</f>
        <v>0.729834891319568</v>
      </c>
      <c r="AC924">
        <f>IFERROR(INDEX(楼层配置!$G$5:$G$204,MATCH($K924,楼层配置!$B$5:$B$204,0)),1)</f>
        <v>1</v>
      </c>
      <c r="AD924" t="str">
        <f t="shared" si="115"/>
        <v/>
      </c>
      <c r="AE924" t="str">
        <f t="shared" si="116"/>
        <v/>
      </c>
      <c r="AF924" t="str">
        <f t="shared" si="117"/>
        <v/>
      </c>
      <c r="AG924" t="str">
        <f t="shared" si="118"/>
        <v>有效</v>
      </c>
      <c r="AH924">
        <f t="shared" si="119"/>
        <v>34013911.6625</v>
      </c>
    </row>
    <row r="925" spans="1:34">
      <c r="A925">
        <v>921</v>
      </c>
      <c r="B925">
        <v>1003</v>
      </c>
      <c r="C925">
        <v>60</v>
      </c>
      <c r="D925">
        <f>IFERROR(ROUND($U925*$X925*$AA925*参数!$B$13,0),"")</f>
        <v>10815302</v>
      </c>
      <c r="E925">
        <f>IFERROR(ROUND($V925*$Y925*$AB925*参数!$C$13,0),"")</f>
        <v>95614</v>
      </c>
      <c r="F925">
        <f>IFERROR(ROUND($W925*$Z925*$AC925*参数!$D$13,0),"")</f>
        <v>83580</v>
      </c>
      <c r="J925">
        <v>185</v>
      </c>
      <c r="K925">
        <v>185</v>
      </c>
      <c r="L925">
        <f>IFERROR(INDEX(楼层配置!$D$5:$D$204,MATCH($K925,楼层配置!$B$5:$B$204,0)),"")</f>
        <v>447</v>
      </c>
      <c r="M925" t="str">
        <f>IFERROR(INDEX(_角色基线!$B$2:$B$100,MATCH($B925,_角色基线!$A$2:$A$100,0)),"")</f>
        <v>塔拉夏</v>
      </c>
      <c r="N925" t="str">
        <f>IFERROR(INDEX(_角色基线!$C$2:$C$100,MATCH($B925,_角色基线!$A$2:$A$100,0)),"")</f>
        <v>Tank</v>
      </c>
      <c r="O925">
        <f>IFERROR(INDEX(_怪物基线!$B$2:$B$501,MATCH(INT($L925),_怪物基线!$A$2:$A$501,0)),"")</f>
        <v>1593654</v>
      </c>
      <c r="P925">
        <f>IFERROR(INDEX(_怪物基线!$C$2:$C$501,MATCH(INT($L925),_怪物基线!$A$2:$A$501,0)),"")</f>
        <v>109647</v>
      </c>
      <c r="Q925">
        <f>IFERROR(INDEX(_怪物基线!$D$2:$D$501,MATCH(INT($L925),_怪物基线!$A$2:$A$501,0)),"")</f>
        <v>55720</v>
      </c>
      <c r="R925">
        <f>参数!$B$10</f>
        <v>4</v>
      </c>
      <c r="S925">
        <f>参数!$C$10</f>
        <v>1.2</v>
      </c>
      <c r="T925">
        <f>参数!$D$10</f>
        <v>1</v>
      </c>
      <c r="U925">
        <f t="shared" si="112"/>
        <v>6374616</v>
      </c>
      <c r="V925">
        <f t="shared" si="113"/>
        <v>131576.4</v>
      </c>
      <c r="W925">
        <f t="shared" si="114"/>
        <v>55720</v>
      </c>
      <c r="X925">
        <f>IFERROR(INDEX(参数!$B$5:$B$7,MATCH($N925,参数!$A$5:$A$7,0)),"")</f>
        <v>1.5</v>
      </c>
      <c r="Y925">
        <f>IFERROR(INDEX(参数!$C$5:$C$7,MATCH($N925,参数!$A$5:$A$7,0)),"")</f>
        <v>1</v>
      </c>
      <c r="Z925">
        <f>IFERROR(INDEX(参数!$D$5:$D$7,MATCH($N925,参数!$A$5:$A$7,0)),"")</f>
        <v>1.5</v>
      </c>
      <c r="AA925">
        <f>IFERROR(INDEX(楼层配置!$E$5:$E$204,MATCH($K925,楼层配置!$B$5:$B$204,0)),1)</f>
        <v>1.13108015591293</v>
      </c>
      <c r="AB925">
        <f>IFERROR(INDEX(楼层配置!$F$5:$F$204,MATCH($K925,楼层配置!$B$5:$B$204,0)),1)</f>
        <v>0.726679309784578</v>
      </c>
      <c r="AC925">
        <f>IFERROR(INDEX(楼层配置!$G$5:$G$204,MATCH($K925,楼层配置!$B$5:$B$204,0)),1)</f>
        <v>1</v>
      </c>
      <c r="AD925" t="str">
        <f t="shared" si="115"/>
        <v/>
      </c>
      <c r="AE925" t="str">
        <f t="shared" si="116"/>
        <v/>
      </c>
      <c r="AF925" t="str">
        <f t="shared" si="117"/>
        <v/>
      </c>
      <c r="AG925" t="str">
        <f t="shared" si="118"/>
        <v>有效</v>
      </c>
      <c r="AH925">
        <f t="shared" si="119"/>
        <v>43261208</v>
      </c>
    </row>
    <row r="926" spans="1:34">
      <c r="A926">
        <v>922</v>
      </c>
      <c r="B926">
        <v>1005</v>
      </c>
      <c r="C926">
        <v>60</v>
      </c>
      <c r="D926">
        <f>IFERROR(ROUND($U926*$X926*$AA926*参数!$B$13,0),"")</f>
        <v>7210202</v>
      </c>
      <c r="E926">
        <f>IFERROR(ROUND($V926*$Y926*$AB926*参数!$C$13,0),"")</f>
        <v>114737</v>
      </c>
      <c r="F926">
        <f>IFERROR(ROUND($W926*$Z926*$AC926*参数!$D$13,0),"")</f>
        <v>55720</v>
      </c>
      <c r="J926">
        <v>185</v>
      </c>
      <c r="K926">
        <v>185</v>
      </c>
      <c r="L926">
        <f>IFERROR(INDEX(楼层配置!$D$5:$D$204,MATCH($K926,楼层配置!$B$5:$B$204,0)),"")</f>
        <v>447</v>
      </c>
      <c r="M926" t="str">
        <f>IFERROR(INDEX(_角色基线!$B$2:$B$100,MATCH($B926,_角色基线!$A$2:$A$100,0)),"")</f>
        <v>陈单单</v>
      </c>
      <c r="N926" t="str">
        <f>IFERROR(INDEX(_角色基线!$C$2:$C$100,MATCH($B926,_角色基线!$A$2:$A$100,0)),"")</f>
        <v>DPS</v>
      </c>
      <c r="O926">
        <f>IFERROR(INDEX(_怪物基线!$B$2:$B$501,MATCH(INT($L926),_怪物基线!$A$2:$A$501,0)),"")</f>
        <v>1593654</v>
      </c>
      <c r="P926">
        <f>IFERROR(INDEX(_怪物基线!$C$2:$C$501,MATCH(INT($L926),_怪物基线!$A$2:$A$501,0)),"")</f>
        <v>109647</v>
      </c>
      <c r="Q926">
        <f>IFERROR(INDEX(_怪物基线!$D$2:$D$501,MATCH(INT($L926),_怪物基线!$A$2:$A$501,0)),"")</f>
        <v>55720</v>
      </c>
      <c r="R926">
        <f>参数!$B$10</f>
        <v>4</v>
      </c>
      <c r="S926">
        <f>参数!$C$10</f>
        <v>1.2</v>
      </c>
      <c r="T926">
        <f>参数!$D$10</f>
        <v>1</v>
      </c>
      <c r="U926">
        <f t="shared" si="112"/>
        <v>6374616</v>
      </c>
      <c r="V926">
        <f t="shared" si="113"/>
        <v>131576.4</v>
      </c>
      <c r="W926">
        <f t="shared" si="114"/>
        <v>55720</v>
      </c>
      <c r="X926">
        <f>IFERROR(INDEX(参数!$B$5:$B$7,MATCH($N926,参数!$A$5:$A$7,0)),"")</f>
        <v>1</v>
      </c>
      <c r="Y926">
        <f>IFERROR(INDEX(参数!$C$5:$C$7,MATCH($N926,参数!$A$5:$A$7,0)),"")</f>
        <v>1.2</v>
      </c>
      <c r="Z926">
        <f>IFERROR(INDEX(参数!$D$5:$D$7,MATCH($N926,参数!$A$5:$A$7,0)),"")</f>
        <v>1</v>
      </c>
      <c r="AA926">
        <f>IFERROR(INDEX(楼层配置!$E$5:$E$204,MATCH($K926,楼层配置!$B$5:$B$204,0)),1)</f>
        <v>1.13108015591293</v>
      </c>
      <c r="AB926">
        <f>IFERROR(INDEX(楼层配置!$F$5:$F$204,MATCH($K926,楼层配置!$B$5:$B$204,0)),1)</f>
        <v>0.726679309784578</v>
      </c>
      <c r="AC926">
        <f>IFERROR(INDEX(楼层配置!$G$5:$G$204,MATCH($K926,楼层配置!$B$5:$B$204,0)),1)</f>
        <v>1</v>
      </c>
      <c r="AD926" t="str">
        <f t="shared" si="115"/>
        <v/>
      </c>
      <c r="AE926" t="str">
        <f t="shared" si="116"/>
        <v/>
      </c>
      <c r="AF926" t="str">
        <f t="shared" si="117"/>
        <v/>
      </c>
      <c r="AG926" t="str">
        <f t="shared" si="118"/>
        <v>有效</v>
      </c>
      <c r="AH926">
        <f t="shared" si="119"/>
        <v>23949887.6433333</v>
      </c>
    </row>
    <row r="927" spans="1:34">
      <c r="A927">
        <v>923</v>
      </c>
      <c r="B927">
        <v>1005</v>
      </c>
      <c r="C927">
        <v>60</v>
      </c>
      <c r="D927">
        <f>IFERROR(ROUND($U927*$X927*$AA927*参数!$B$13,0),"")</f>
        <v>7210202</v>
      </c>
      <c r="E927">
        <f>IFERROR(ROUND($V927*$Y927*$AB927*参数!$C$13,0),"")</f>
        <v>114737</v>
      </c>
      <c r="F927">
        <f>IFERROR(ROUND($W927*$Z927*$AC927*参数!$D$13,0),"")</f>
        <v>55720</v>
      </c>
      <c r="J927">
        <v>185</v>
      </c>
      <c r="K927">
        <v>185</v>
      </c>
      <c r="L927">
        <f>IFERROR(INDEX(楼层配置!$D$5:$D$204,MATCH($K927,楼层配置!$B$5:$B$204,0)),"")</f>
        <v>447</v>
      </c>
      <c r="M927" t="str">
        <f>IFERROR(INDEX(_角色基线!$B$2:$B$100,MATCH($B927,_角色基线!$A$2:$A$100,0)),"")</f>
        <v>陈单单</v>
      </c>
      <c r="N927" t="str">
        <f>IFERROR(INDEX(_角色基线!$C$2:$C$100,MATCH($B927,_角色基线!$A$2:$A$100,0)),"")</f>
        <v>DPS</v>
      </c>
      <c r="O927">
        <f>IFERROR(INDEX(_怪物基线!$B$2:$B$501,MATCH(INT($L927),_怪物基线!$A$2:$A$501,0)),"")</f>
        <v>1593654</v>
      </c>
      <c r="P927">
        <f>IFERROR(INDEX(_怪物基线!$C$2:$C$501,MATCH(INT($L927),_怪物基线!$A$2:$A$501,0)),"")</f>
        <v>109647</v>
      </c>
      <c r="Q927">
        <f>IFERROR(INDEX(_怪物基线!$D$2:$D$501,MATCH(INT($L927),_怪物基线!$A$2:$A$501,0)),"")</f>
        <v>55720</v>
      </c>
      <c r="R927">
        <f>参数!$B$10</f>
        <v>4</v>
      </c>
      <c r="S927">
        <f>参数!$C$10</f>
        <v>1.2</v>
      </c>
      <c r="T927">
        <f>参数!$D$10</f>
        <v>1</v>
      </c>
      <c r="U927">
        <f t="shared" si="112"/>
        <v>6374616</v>
      </c>
      <c r="V927">
        <f t="shared" si="113"/>
        <v>131576.4</v>
      </c>
      <c r="W927">
        <f t="shared" si="114"/>
        <v>55720</v>
      </c>
      <c r="X927">
        <f>IFERROR(INDEX(参数!$B$5:$B$7,MATCH($N927,参数!$A$5:$A$7,0)),"")</f>
        <v>1</v>
      </c>
      <c r="Y927">
        <f>IFERROR(INDEX(参数!$C$5:$C$7,MATCH($N927,参数!$A$5:$A$7,0)),"")</f>
        <v>1.2</v>
      </c>
      <c r="Z927">
        <f>IFERROR(INDEX(参数!$D$5:$D$7,MATCH($N927,参数!$A$5:$A$7,0)),"")</f>
        <v>1</v>
      </c>
      <c r="AA927">
        <f>IFERROR(INDEX(楼层配置!$E$5:$E$204,MATCH($K927,楼层配置!$B$5:$B$204,0)),1)</f>
        <v>1.13108015591293</v>
      </c>
      <c r="AB927">
        <f>IFERROR(INDEX(楼层配置!$F$5:$F$204,MATCH($K927,楼层配置!$B$5:$B$204,0)),1)</f>
        <v>0.726679309784578</v>
      </c>
      <c r="AC927">
        <f>IFERROR(INDEX(楼层配置!$G$5:$G$204,MATCH($K927,楼层配置!$B$5:$B$204,0)),1)</f>
        <v>1</v>
      </c>
      <c r="AD927" t="str">
        <f t="shared" si="115"/>
        <v/>
      </c>
      <c r="AE927" t="str">
        <f t="shared" si="116"/>
        <v/>
      </c>
      <c r="AF927" t="str">
        <f t="shared" si="117"/>
        <v/>
      </c>
      <c r="AG927" t="str">
        <f t="shared" si="118"/>
        <v>有效</v>
      </c>
      <c r="AH927">
        <f t="shared" si="119"/>
        <v>23949887.6433333</v>
      </c>
    </row>
    <row r="928" spans="1:34">
      <c r="A928">
        <v>924</v>
      </c>
      <c r="B928">
        <v>1005</v>
      </c>
      <c r="C928">
        <v>60</v>
      </c>
      <c r="D928">
        <f>IFERROR(ROUND($U928*$X928*$AA928*参数!$B$13,0),"")</f>
        <v>7210202</v>
      </c>
      <c r="E928">
        <f>IFERROR(ROUND($V928*$Y928*$AB928*参数!$C$13,0),"")</f>
        <v>114737</v>
      </c>
      <c r="F928">
        <f>IFERROR(ROUND($W928*$Z928*$AC928*参数!$D$13,0),"")</f>
        <v>55720</v>
      </c>
      <c r="J928">
        <v>185</v>
      </c>
      <c r="K928">
        <v>185</v>
      </c>
      <c r="L928">
        <f>IFERROR(INDEX(楼层配置!$D$5:$D$204,MATCH($K928,楼层配置!$B$5:$B$204,0)),"")</f>
        <v>447</v>
      </c>
      <c r="M928" t="str">
        <f>IFERROR(INDEX(_角色基线!$B$2:$B$100,MATCH($B928,_角色基线!$A$2:$A$100,0)),"")</f>
        <v>陈单单</v>
      </c>
      <c r="N928" t="str">
        <f>IFERROR(INDEX(_角色基线!$C$2:$C$100,MATCH($B928,_角色基线!$A$2:$A$100,0)),"")</f>
        <v>DPS</v>
      </c>
      <c r="O928">
        <f>IFERROR(INDEX(_怪物基线!$B$2:$B$501,MATCH(INT($L928),_怪物基线!$A$2:$A$501,0)),"")</f>
        <v>1593654</v>
      </c>
      <c r="P928">
        <f>IFERROR(INDEX(_怪物基线!$C$2:$C$501,MATCH(INT($L928),_怪物基线!$A$2:$A$501,0)),"")</f>
        <v>109647</v>
      </c>
      <c r="Q928">
        <f>IFERROR(INDEX(_怪物基线!$D$2:$D$501,MATCH(INT($L928),_怪物基线!$A$2:$A$501,0)),"")</f>
        <v>55720</v>
      </c>
      <c r="R928">
        <f>参数!$B$10</f>
        <v>4</v>
      </c>
      <c r="S928">
        <f>参数!$C$10</f>
        <v>1.2</v>
      </c>
      <c r="T928">
        <f>参数!$D$10</f>
        <v>1</v>
      </c>
      <c r="U928">
        <f t="shared" si="112"/>
        <v>6374616</v>
      </c>
      <c r="V928">
        <f t="shared" si="113"/>
        <v>131576.4</v>
      </c>
      <c r="W928">
        <f t="shared" si="114"/>
        <v>55720</v>
      </c>
      <c r="X928">
        <f>IFERROR(INDEX(参数!$B$5:$B$7,MATCH($N928,参数!$A$5:$A$7,0)),"")</f>
        <v>1</v>
      </c>
      <c r="Y928">
        <f>IFERROR(INDEX(参数!$C$5:$C$7,MATCH($N928,参数!$A$5:$A$7,0)),"")</f>
        <v>1.2</v>
      </c>
      <c r="Z928">
        <f>IFERROR(INDEX(参数!$D$5:$D$7,MATCH($N928,参数!$A$5:$A$7,0)),"")</f>
        <v>1</v>
      </c>
      <c r="AA928">
        <f>IFERROR(INDEX(楼层配置!$E$5:$E$204,MATCH($K928,楼层配置!$B$5:$B$204,0)),1)</f>
        <v>1.13108015591293</v>
      </c>
      <c r="AB928">
        <f>IFERROR(INDEX(楼层配置!$F$5:$F$204,MATCH($K928,楼层配置!$B$5:$B$204,0)),1)</f>
        <v>0.726679309784578</v>
      </c>
      <c r="AC928">
        <f>IFERROR(INDEX(楼层配置!$G$5:$G$204,MATCH($K928,楼层配置!$B$5:$B$204,0)),1)</f>
        <v>1</v>
      </c>
      <c r="AD928" t="str">
        <f t="shared" si="115"/>
        <v/>
      </c>
      <c r="AE928" t="str">
        <f t="shared" si="116"/>
        <v/>
      </c>
      <c r="AF928" t="str">
        <f t="shared" si="117"/>
        <v/>
      </c>
      <c r="AG928" t="str">
        <f t="shared" si="118"/>
        <v>有效</v>
      </c>
      <c r="AH928">
        <f t="shared" si="119"/>
        <v>23949887.6433333</v>
      </c>
    </row>
    <row r="929" spans="1:34">
      <c r="A929">
        <v>925</v>
      </c>
      <c r="B929">
        <v>1029</v>
      </c>
      <c r="C929">
        <v>60</v>
      </c>
      <c r="D929">
        <f>IFERROR(ROUND($U929*$X929*$AA929*参数!$B$13,0),"")</f>
        <v>9012752</v>
      </c>
      <c r="E929">
        <f>IFERROR(ROUND($V929*$Y929*$AB929*参数!$C$13,0),"")</f>
        <v>95614</v>
      </c>
      <c r="F929">
        <f>IFERROR(ROUND($W929*$Z929*$AC929*参数!$D$13,0),"")</f>
        <v>69650</v>
      </c>
      <c r="J929">
        <v>185</v>
      </c>
      <c r="K929">
        <v>185</v>
      </c>
      <c r="L929">
        <f>IFERROR(INDEX(楼层配置!$D$5:$D$204,MATCH($K929,楼层配置!$B$5:$B$204,0)),"")</f>
        <v>447</v>
      </c>
      <c r="M929" t="str">
        <f>IFERROR(INDEX(_角色基线!$B$2:$B$100,MATCH($B929,_角色基线!$A$2:$A$100,0)),"")</f>
        <v>凯兰</v>
      </c>
      <c r="N929" t="str">
        <f>IFERROR(INDEX(_角色基线!$C$2:$C$100,MATCH($B929,_角色基线!$A$2:$A$100,0)),"")</f>
        <v>Support</v>
      </c>
      <c r="O929">
        <f>IFERROR(INDEX(_怪物基线!$B$2:$B$501,MATCH(INT($L929),_怪物基线!$A$2:$A$501,0)),"")</f>
        <v>1593654</v>
      </c>
      <c r="P929">
        <f>IFERROR(INDEX(_怪物基线!$C$2:$C$501,MATCH(INT($L929),_怪物基线!$A$2:$A$501,0)),"")</f>
        <v>109647</v>
      </c>
      <c r="Q929">
        <f>IFERROR(INDEX(_怪物基线!$D$2:$D$501,MATCH(INT($L929),_怪物基线!$A$2:$A$501,0)),"")</f>
        <v>55720</v>
      </c>
      <c r="R929">
        <f>参数!$B$10</f>
        <v>4</v>
      </c>
      <c r="S929">
        <f>参数!$C$10</f>
        <v>1.2</v>
      </c>
      <c r="T929">
        <f>参数!$D$10</f>
        <v>1</v>
      </c>
      <c r="U929">
        <f t="shared" si="112"/>
        <v>6374616</v>
      </c>
      <c r="V929">
        <f t="shared" si="113"/>
        <v>131576.4</v>
      </c>
      <c r="W929">
        <f t="shared" si="114"/>
        <v>55720</v>
      </c>
      <c r="X929">
        <f>IFERROR(INDEX(参数!$B$5:$B$7,MATCH($N929,参数!$A$5:$A$7,0)),"")</f>
        <v>1.25</v>
      </c>
      <c r="Y929">
        <f>IFERROR(INDEX(参数!$C$5:$C$7,MATCH($N929,参数!$A$5:$A$7,0)),"")</f>
        <v>1</v>
      </c>
      <c r="Z929">
        <f>IFERROR(INDEX(参数!$D$5:$D$7,MATCH($N929,参数!$A$5:$A$7,0)),"")</f>
        <v>1.25</v>
      </c>
      <c r="AA929">
        <f>IFERROR(INDEX(楼层配置!$E$5:$E$204,MATCH($K929,楼层配置!$B$5:$B$204,0)),1)</f>
        <v>1.13108015591293</v>
      </c>
      <c r="AB929">
        <f>IFERROR(INDEX(楼层配置!$F$5:$F$204,MATCH($K929,楼层配置!$B$5:$B$204,0)),1)</f>
        <v>0.726679309784578</v>
      </c>
      <c r="AC929">
        <f>IFERROR(INDEX(楼层配置!$G$5:$G$204,MATCH($K929,楼层配置!$B$5:$B$204,0)),1)</f>
        <v>1</v>
      </c>
      <c r="AD929" t="str">
        <f t="shared" si="115"/>
        <v/>
      </c>
      <c r="AE929" t="str">
        <f t="shared" si="116"/>
        <v/>
      </c>
      <c r="AF929" t="str">
        <f t="shared" si="117"/>
        <v/>
      </c>
      <c r="AG929" t="str">
        <f t="shared" si="118"/>
        <v>有效</v>
      </c>
      <c r="AH929">
        <f t="shared" si="119"/>
        <v>35168509.3666667</v>
      </c>
    </row>
    <row r="930" spans="1:34">
      <c r="A930">
        <v>926</v>
      </c>
      <c r="B930">
        <v>1003</v>
      </c>
      <c r="C930">
        <v>60</v>
      </c>
      <c r="D930">
        <f>IFERROR(ROUND($U930*$X930*$AA930*参数!$B$13,0),"")</f>
        <v>11000049</v>
      </c>
      <c r="E930">
        <f>IFERROR(ROUND($V930*$Y930*$AB930*参数!$C$13,0),"")</f>
        <v>97746</v>
      </c>
      <c r="F930">
        <f>IFERROR(ROUND($W930*$Z930*$AC930*参数!$D$13,0),"")</f>
        <v>84372</v>
      </c>
      <c r="J930">
        <v>186</v>
      </c>
      <c r="K930">
        <v>186</v>
      </c>
      <c r="L930">
        <f>IFERROR(INDEX(楼层配置!$D$5:$D$204,MATCH($K930,楼层配置!$B$5:$B$204,0)),"")</f>
        <v>450</v>
      </c>
      <c r="M930" t="str">
        <f>IFERROR(INDEX(_角色基线!$B$2:$B$100,MATCH($B930,_角色基线!$A$2:$A$100,0)),"")</f>
        <v>塔拉夏</v>
      </c>
      <c r="N930" t="str">
        <f>IFERROR(INDEX(_角色基线!$C$2:$C$100,MATCH($B930,_角色基线!$A$2:$A$100,0)),"")</f>
        <v>Tank</v>
      </c>
      <c r="O930">
        <f>IFERROR(INDEX(_怪物基线!$B$2:$B$501,MATCH(INT($L930),_怪物基线!$A$2:$A$501,0)),"")</f>
        <v>1628449</v>
      </c>
      <c r="P930">
        <f>IFERROR(INDEX(_怪物基线!$C$2:$C$501,MATCH(INT($L930),_怪物基线!$A$2:$A$501,0)),"")</f>
        <v>111607</v>
      </c>
      <c r="Q930">
        <f>IFERROR(INDEX(_怪物基线!$D$2:$D$501,MATCH(INT($L930),_怪物基线!$A$2:$A$501,0)),"")</f>
        <v>56248</v>
      </c>
      <c r="R930">
        <f>参数!$B$10</f>
        <v>4</v>
      </c>
      <c r="S930">
        <f>参数!$C$10</f>
        <v>1.2</v>
      </c>
      <c r="T930">
        <f>参数!$D$10</f>
        <v>1</v>
      </c>
      <c r="U930">
        <f t="shared" si="112"/>
        <v>6513796</v>
      </c>
      <c r="V930">
        <f t="shared" si="113"/>
        <v>133928.4</v>
      </c>
      <c r="W930">
        <f t="shared" si="114"/>
        <v>56248</v>
      </c>
      <c r="X930">
        <f>IFERROR(INDEX(参数!$B$5:$B$7,MATCH($N930,参数!$A$5:$A$7,0)),"")</f>
        <v>1.5</v>
      </c>
      <c r="Y930">
        <f>IFERROR(INDEX(参数!$C$5:$C$7,MATCH($N930,参数!$A$5:$A$7,0)),"")</f>
        <v>1</v>
      </c>
      <c r="Z930">
        <f>IFERROR(INDEX(参数!$D$5:$D$7,MATCH($N930,参数!$A$5:$A$7,0)),"")</f>
        <v>1.5</v>
      </c>
      <c r="AA930">
        <f>IFERROR(INDEX(楼层配置!$E$5:$E$204,MATCH($K930,楼层配置!$B$5:$B$204,0)),1)</f>
        <v>1.12582067235919</v>
      </c>
      <c r="AB930">
        <f>IFERROR(INDEX(楼层配置!$F$5:$F$204,MATCH($K930,楼层配置!$B$5:$B$204,0)),1)</f>
        <v>0.729834891319568</v>
      </c>
      <c r="AC930">
        <f>IFERROR(INDEX(楼层配置!$G$5:$G$204,MATCH($K930,楼层配置!$B$5:$B$204,0)),1)</f>
        <v>1</v>
      </c>
      <c r="AD930" t="str">
        <f t="shared" si="115"/>
        <v/>
      </c>
      <c r="AE930" t="str">
        <f t="shared" si="116"/>
        <v/>
      </c>
      <c r="AF930" t="str">
        <f t="shared" si="117"/>
        <v/>
      </c>
      <c r="AG930" t="str">
        <f t="shared" si="118"/>
        <v>有效</v>
      </c>
      <c r="AH930">
        <f t="shared" si="119"/>
        <v>44000196</v>
      </c>
    </row>
    <row r="931" spans="1:34">
      <c r="A931">
        <v>927</v>
      </c>
      <c r="B931">
        <v>1005</v>
      </c>
      <c r="C931">
        <v>60</v>
      </c>
      <c r="D931">
        <f>IFERROR(ROUND($U931*$X931*$AA931*参数!$B$13,0),"")</f>
        <v>7333366</v>
      </c>
      <c r="E931">
        <f>IFERROR(ROUND($V931*$Y931*$AB931*参数!$C$13,0),"")</f>
        <v>117295</v>
      </c>
      <c r="F931">
        <f>IFERROR(ROUND($W931*$Z931*$AC931*参数!$D$13,0),"")</f>
        <v>56248</v>
      </c>
      <c r="J931">
        <v>186</v>
      </c>
      <c r="K931">
        <v>186</v>
      </c>
      <c r="L931">
        <f>IFERROR(INDEX(楼层配置!$D$5:$D$204,MATCH($K931,楼层配置!$B$5:$B$204,0)),"")</f>
        <v>450</v>
      </c>
      <c r="M931" t="str">
        <f>IFERROR(INDEX(_角色基线!$B$2:$B$100,MATCH($B931,_角色基线!$A$2:$A$100,0)),"")</f>
        <v>陈单单</v>
      </c>
      <c r="N931" t="str">
        <f>IFERROR(INDEX(_角色基线!$C$2:$C$100,MATCH($B931,_角色基线!$A$2:$A$100,0)),"")</f>
        <v>DPS</v>
      </c>
      <c r="O931">
        <f>IFERROR(INDEX(_怪物基线!$B$2:$B$501,MATCH(INT($L931),_怪物基线!$A$2:$A$501,0)),"")</f>
        <v>1628449</v>
      </c>
      <c r="P931">
        <f>IFERROR(INDEX(_怪物基线!$C$2:$C$501,MATCH(INT($L931),_怪物基线!$A$2:$A$501,0)),"")</f>
        <v>111607</v>
      </c>
      <c r="Q931">
        <f>IFERROR(INDEX(_怪物基线!$D$2:$D$501,MATCH(INT($L931),_怪物基线!$A$2:$A$501,0)),"")</f>
        <v>56248</v>
      </c>
      <c r="R931">
        <f>参数!$B$10</f>
        <v>4</v>
      </c>
      <c r="S931">
        <f>参数!$C$10</f>
        <v>1.2</v>
      </c>
      <c r="T931">
        <f>参数!$D$10</f>
        <v>1</v>
      </c>
      <c r="U931">
        <f t="shared" si="112"/>
        <v>6513796</v>
      </c>
      <c r="V931">
        <f t="shared" si="113"/>
        <v>133928.4</v>
      </c>
      <c r="W931">
        <f t="shared" si="114"/>
        <v>56248</v>
      </c>
      <c r="X931">
        <f>IFERROR(INDEX(参数!$B$5:$B$7,MATCH($N931,参数!$A$5:$A$7,0)),"")</f>
        <v>1</v>
      </c>
      <c r="Y931">
        <f>IFERROR(INDEX(参数!$C$5:$C$7,MATCH($N931,参数!$A$5:$A$7,0)),"")</f>
        <v>1.2</v>
      </c>
      <c r="Z931">
        <f>IFERROR(INDEX(参数!$D$5:$D$7,MATCH($N931,参数!$A$5:$A$7,0)),"")</f>
        <v>1</v>
      </c>
      <c r="AA931">
        <f>IFERROR(INDEX(楼层配置!$E$5:$E$204,MATCH($K931,楼层配置!$B$5:$B$204,0)),1)</f>
        <v>1.12582067235919</v>
      </c>
      <c r="AB931">
        <f>IFERROR(INDEX(楼层配置!$F$5:$F$204,MATCH($K931,楼层配置!$B$5:$B$204,0)),1)</f>
        <v>0.729834891319568</v>
      </c>
      <c r="AC931">
        <f>IFERROR(INDEX(楼层配置!$G$5:$G$204,MATCH($K931,楼层配置!$B$5:$B$204,0)),1)</f>
        <v>1</v>
      </c>
      <c r="AD931" t="str">
        <f t="shared" si="115"/>
        <v/>
      </c>
      <c r="AE931" t="str">
        <f t="shared" si="116"/>
        <v/>
      </c>
      <c r="AF931" t="str">
        <f t="shared" si="117"/>
        <v/>
      </c>
      <c r="AG931" t="str">
        <f t="shared" si="118"/>
        <v>有效</v>
      </c>
      <c r="AH931">
        <f t="shared" si="119"/>
        <v>24520331.4486667</v>
      </c>
    </row>
    <row r="932" spans="1:34">
      <c r="A932">
        <v>928</v>
      </c>
      <c r="B932">
        <v>1005</v>
      </c>
      <c r="C932">
        <v>60</v>
      </c>
      <c r="D932">
        <f>IFERROR(ROUND($U932*$X932*$AA932*参数!$B$13,0),"")</f>
        <v>7333366</v>
      </c>
      <c r="E932">
        <f>IFERROR(ROUND($V932*$Y932*$AB932*参数!$C$13,0),"")</f>
        <v>117295</v>
      </c>
      <c r="F932">
        <f>IFERROR(ROUND($W932*$Z932*$AC932*参数!$D$13,0),"")</f>
        <v>56248</v>
      </c>
      <c r="J932">
        <v>186</v>
      </c>
      <c r="K932">
        <v>186</v>
      </c>
      <c r="L932">
        <f>IFERROR(INDEX(楼层配置!$D$5:$D$204,MATCH($K932,楼层配置!$B$5:$B$204,0)),"")</f>
        <v>450</v>
      </c>
      <c r="M932" t="str">
        <f>IFERROR(INDEX(_角色基线!$B$2:$B$100,MATCH($B932,_角色基线!$A$2:$A$100,0)),"")</f>
        <v>陈单单</v>
      </c>
      <c r="N932" t="str">
        <f>IFERROR(INDEX(_角色基线!$C$2:$C$100,MATCH($B932,_角色基线!$A$2:$A$100,0)),"")</f>
        <v>DPS</v>
      </c>
      <c r="O932">
        <f>IFERROR(INDEX(_怪物基线!$B$2:$B$501,MATCH(INT($L932),_怪物基线!$A$2:$A$501,0)),"")</f>
        <v>1628449</v>
      </c>
      <c r="P932">
        <f>IFERROR(INDEX(_怪物基线!$C$2:$C$501,MATCH(INT($L932),_怪物基线!$A$2:$A$501,0)),"")</f>
        <v>111607</v>
      </c>
      <c r="Q932">
        <f>IFERROR(INDEX(_怪物基线!$D$2:$D$501,MATCH(INT($L932),_怪物基线!$A$2:$A$501,0)),"")</f>
        <v>56248</v>
      </c>
      <c r="R932">
        <f>参数!$B$10</f>
        <v>4</v>
      </c>
      <c r="S932">
        <f>参数!$C$10</f>
        <v>1.2</v>
      </c>
      <c r="T932">
        <f>参数!$D$10</f>
        <v>1</v>
      </c>
      <c r="U932">
        <f t="shared" si="112"/>
        <v>6513796</v>
      </c>
      <c r="V932">
        <f t="shared" si="113"/>
        <v>133928.4</v>
      </c>
      <c r="W932">
        <f t="shared" si="114"/>
        <v>56248</v>
      </c>
      <c r="X932">
        <f>IFERROR(INDEX(参数!$B$5:$B$7,MATCH($N932,参数!$A$5:$A$7,0)),"")</f>
        <v>1</v>
      </c>
      <c r="Y932">
        <f>IFERROR(INDEX(参数!$C$5:$C$7,MATCH($N932,参数!$A$5:$A$7,0)),"")</f>
        <v>1.2</v>
      </c>
      <c r="Z932">
        <f>IFERROR(INDEX(参数!$D$5:$D$7,MATCH($N932,参数!$A$5:$A$7,0)),"")</f>
        <v>1</v>
      </c>
      <c r="AA932">
        <f>IFERROR(INDEX(楼层配置!$E$5:$E$204,MATCH($K932,楼层配置!$B$5:$B$204,0)),1)</f>
        <v>1.12582067235919</v>
      </c>
      <c r="AB932">
        <f>IFERROR(INDEX(楼层配置!$F$5:$F$204,MATCH($K932,楼层配置!$B$5:$B$204,0)),1)</f>
        <v>0.729834891319568</v>
      </c>
      <c r="AC932">
        <f>IFERROR(INDEX(楼层配置!$G$5:$G$204,MATCH($K932,楼层配置!$B$5:$B$204,0)),1)</f>
        <v>1</v>
      </c>
      <c r="AD932" t="str">
        <f t="shared" si="115"/>
        <v/>
      </c>
      <c r="AE932" t="str">
        <f t="shared" si="116"/>
        <v/>
      </c>
      <c r="AF932" t="str">
        <f t="shared" si="117"/>
        <v/>
      </c>
      <c r="AG932" t="str">
        <f t="shared" si="118"/>
        <v>有效</v>
      </c>
      <c r="AH932">
        <f t="shared" si="119"/>
        <v>24520331.4486667</v>
      </c>
    </row>
    <row r="933" spans="1:34">
      <c r="A933">
        <v>929</v>
      </c>
      <c r="B933">
        <v>1005</v>
      </c>
      <c r="C933">
        <v>60</v>
      </c>
      <c r="D933">
        <f>IFERROR(ROUND($U933*$X933*$AA933*参数!$B$13,0),"")</f>
        <v>7333366</v>
      </c>
      <c r="E933">
        <f>IFERROR(ROUND($V933*$Y933*$AB933*参数!$C$13,0),"")</f>
        <v>117295</v>
      </c>
      <c r="F933">
        <f>IFERROR(ROUND($W933*$Z933*$AC933*参数!$D$13,0),"")</f>
        <v>56248</v>
      </c>
      <c r="J933">
        <v>186</v>
      </c>
      <c r="K933">
        <v>186</v>
      </c>
      <c r="L933">
        <f>IFERROR(INDEX(楼层配置!$D$5:$D$204,MATCH($K933,楼层配置!$B$5:$B$204,0)),"")</f>
        <v>450</v>
      </c>
      <c r="M933" t="str">
        <f>IFERROR(INDEX(_角色基线!$B$2:$B$100,MATCH($B933,_角色基线!$A$2:$A$100,0)),"")</f>
        <v>陈单单</v>
      </c>
      <c r="N933" t="str">
        <f>IFERROR(INDEX(_角色基线!$C$2:$C$100,MATCH($B933,_角色基线!$A$2:$A$100,0)),"")</f>
        <v>DPS</v>
      </c>
      <c r="O933">
        <f>IFERROR(INDEX(_怪物基线!$B$2:$B$501,MATCH(INT($L933),_怪物基线!$A$2:$A$501,0)),"")</f>
        <v>1628449</v>
      </c>
      <c r="P933">
        <f>IFERROR(INDEX(_怪物基线!$C$2:$C$501,MATCH(INT($L933),_怪物基线!$A$2:$A$501,0)),"")</f>
        <v>111607</v>
      </c>
      <c r="Q933">
        <f>IFERROR(INDEX(_怪物基线!$D$2:$D$501,MATCH(INT($L933),_怪物基线!$A$2:$A$501,0)),"")</f>
        <v>56248</v>
      </c>
      <c r="R933">
        <f>参数!$B$10</f>
        <v>4</v>
      </c>
      <c r="S933">
        <f>参数!$C$10</f>
        <v>1.2</v>
      </c>
      <c r="T933">
        <f>参数!$D$10</f>
        <v>1</v>
      </c>
      <c r="U933">
        <f t="shared" si="112"/>
        <v>6513796</v>
      </c>
      <c r="V933">
        <f t="shared" si="113"/>
        <v>133928.4</v>
      </c>
      <c r="W933">
        <f t="shared" si="114"/>
        <v>56248</v>
      </c>
      <c r="X933">
        <f>IFERROR(INDEX(参数!$B$5:$B$7,MATCH($N933,参数!$A$5:$A$7,0)),"")</f>
        <v>1</v>
      </c>
      <c r="Y933">
        <f>IFERROR(INDEX(参数!$C$5:$C$7,MATCH($N933,参数!$A$5:$A$7,0)),"")</f>
        <v>1.2</v>
      </c>
      <c r="Z933">
        <f>IFERROR(INDEX(参数!$D$5:$D$7,MATCH($N933,参数!$A$5:$A$7,0)),"")</f>
        <v>1</v>
      </c>
      <c r="AA933">
        <f>IFERROR(INDEX(楼层配置!$E$5:$E$204,MATCH($K933,楼层配置!$B$5:$B$204,0)),1)</f>
        <v>1.12582067235919</v>
      </c>
      <c r="AB933">
        <f>IFERROR(INDEX(楼层配置!$F$5:$F$204,MATCH($K933,楼层配置!$B$5:$B$204,0)),1)</f>
        <v>0.729834891319568</v>
      </c>
      <c r="AC933">
        <f>IFERROR(INDEX(楼层配置!$G$5:$G$204,MATCH($K933,楼层配置!$B$5:$B$204,0)),1)</f>
        <v>1</v>
      </c>
      <c r="AD933" t="str">
        <f t="shared" si="115"/>
        <v/>
      </c>
      <c r="AE933" t="str">
        <f t="shared" si="116"/>
        <v/>
      </c>
      <c r="AF933" t="str">
        <f t="shared" si="117"/>
        <v/>
      </c>
      <c r="AG933" t="str">
        <f t="shared" si="118"/>
        <v>有效</v>
      </c>
      <c r="AH933">
        <f t="shared" si="119"/>
        <v>24520331.4486667</v>
      </c>
    </row>
    <row r="934" spans="1:34">
      <c r="A934">
        <v>930</v>
      </c>
      <c r="B934">
        <v>1029</v>
      </c>
      <c r="C934">
        <v>60</v>
      </c>
      <c r="D934">
        <f>IFERROR(ROUND($U934*$X934*$AA934*参数!$B$13,0),"")</f>
        <v>9166708</v>
      </c>
      <c r="E934">
        <f>IFERROR(ROUND($V934*$Y934*$AB934*参数!$C$13,0),"")</f>
        <v>97746</v>
      </c>
      <c r="F934">
        <f>IFERROR(ROUND($W934*$Z934*$AC934*参数!$D$13,0),"")</f>
        <v>70310</v>
      </c>
      <c r="J934">
        <v>186</v>
      </c>
      <c r="K934">
        <v>186</v>
      </c>
      <c r="L934">
        <f>IFERROR(INDEX(楼层配置!$D$5:$D$204,MATCH($K934,楼层配置!$B$5:$B$204,0)),"")</f>
        <v>450</v>
      </c>
      <c r="M934" t="str">
        <f>IFERROR(INDEX(_角色基线!$B$2:$B$100,MATCH($B934,_角色基线!$A$2:$A$100,0)),"")</f>
        <v>凯兰</v>
      </c>
      <c r="N934" t="str">
        <f>IFERROR(INDEX(_角色基线!$C$2:$C$100,MATCH($B934,_角色基线!$A$2:$A$100,0)),"")</f>
        <v>Support</v>
      </c>
      <c r="O934">
        <f>IFERROR(INDEX(_怪物基线!$B$2:$B$501,MATCH(INT($L934),_怪物基线!$A$2:$A$501,0)),"")</f>
        <v>1628449</v>
      </c>
      <c r="P934">
        <f>IFERROR(INDEX(_怪物基线!$C$2:$C$501,MATCH(INT($L934),_怪物基线!$A$2:$A$501,0)),"")</f>
        <v>111607</v>
      </c>
      <c r="Q934">
        <f>IFERROR(INDEX(_怪物基线!$D$2:$D$501,MATCH(INT($L934),_怪物基线!$A$2:$A$501,0)),"")</f>
        <v>56248</v>
      </c>
      <c r="R934">
        <f>参数!$B$10</f>
        <v>4</v>
      </c>
      <c r="S934">
        <f>参数!$C$10</f>
        <v>1.2</v>
      </c>
      <c r="T934">
        <f>参数!$D$10</f>
        <v>1</v>
      </c>
      <c r="U934">
        <f t="shared" si="112"/>
        <v>6513796</v>
      </c>
      <c r="V934">
        <f t="shared" si="113"/>
        <v>133928.4</v>
      </c>
      <c r="W934">
        <f t="shared" si="114"/>
        <v>56248</v>
      </c>
      <c r="X934">
        <f>IFERROR(INDEX(参数!$B$5:$B$7,MATCH($N934,参数!$A$5:$A$7,0)),"")</f>
        <v>1.25</v>
      </c>
      <c r="Y934">
        <f>IFERROR(INDEX(参数!$C$5:$C$7,MATCH($N934,参数!$A$5:$A$7,0)),"")</f>
        <v>1</v>
      </c>
      <c r="Z934">
        <f>IFERROR(INDEX(参数!$D$5:$D$7,MATCH($N934,参数!$A$5:$A$7,0)),"")</f>
        <v>1.25</v>
      </c>
      <c r="AA934">
        <f>IFERROR(INDEX(楼层配置!$E$5:$E$204,MATCH($K934,楼层配置!$B$5:$B$204,0)),1)</f>
        <v>1.12582067235919</v>
      </c>
      <c r="AB934">
        <f>IFERROR(INDEX(楼层配置!$F$5:$F$204,MATCH($K934,楼层配置!$B$5:$B$204,0)),1)</f>
        <v>0.729834891319568</v>
      </c>
      <c r="AC934">
        <f>IFERROR(INDEX(楼层配置!$G$5:$G$204,MATCH($K934,楼层配置!$B$5:$B$204,0)),1)</f>
        <v>1</v>
      </c>
      <c r="AD934" t="str">
        <f t="shared" si="115"/>
        <v/>
      </c>
      <c r="AE934" t="str">
        <f t="shared" si="116"/>
        <v/>
      </c>
      <c r="AF934" t="str">
        <f t="shared" si="117"/>
        <v/>
      </c>
      <c r="AG934" t="str">
        <f t="shared" si="118"/>
        <v>有效</v>
      </c>
      <c r="AH934">
        <f t="shared" si="119"/>
        <v>36021342.9783333</v>
      </c>
    </row>
    <row r="935" spans="1:34">
      <c r="A935">
        <v>931</v>
      </c>
      <c r="B935">
        <v>1003</v>
      </c>
      <c r="C935">
        <v>60</v>
      </c>
      <c r="D935">
        <f>IFERROR(ROUND($U935*$X935*$AA935*参数!$B$13,0),"")</f>
        <v>11239201</v>
      </c>
      <c r="E935">
        <f>IFERROR(ROUND($V935*$Y935*$AB935*参数!$C$13,0),"")</f>
        <v>99488</v>
      </c>
      <c r="F935">
        <f>IFERROR(ROUND($W935*$Z935*$AC935*参数!$D$13,0),"")</f>
        <v>85166</v>
      </c>
      <c r="J935">
        <v>187</v>
      </c>
      <c r="K935">
        <v>187</v>
      </c>
      <c r="L935">
        <f>IFERROR(INDEX(楼层配置!$D$5:$D$204,MATCH($K935,楼层配置!$B$5:$B$204,0)),"")</f>
        <v>453</v>
      </c>
      <c r="M935" t="str">
        <f>IFERROR(INDEX(_角色基线!$B$2:$B$100,MATCH($B935,_角色基线!$A$2:$A$100,0)),"")</f>
        <v>塔拉夏</v>
      </c>
      <c r="N935" t="str">
        <f>IFERROR(INDEX(_角色基线!$C$2:$C$100,MATCH($B935,_角色基线!$A$2:$A$100,0)),"")</f>
        <v>Tank</v>
      </c>
      <c r="O935">
        <f>IFERROR(INDEX(_怪物基线!$B$2:$B$501,MATCH(INT($L935),_怪物基线!$A$2:$A$501,0)),"")</f>
        <v>1663853</v>
      </c>
      <c r="P935">
        <f>IFERROR(INDEX(_怪物基线!$C$2:$C$501,MATCH(INT($L935),_怪物基线!$A$2:$A$501,0)),"")</f>
        <v>113597</v>
      </c>
      <c r="Q935">
        <f>IFERROR(INDEX(_怪物基线!$D$2:$D$501,MATCH(INT($L935),_怪物基线!$A$2:$A$501,0)),"")</f>
        <v>56777</v>
      </c>
      <c r="R935">
        <f>参数!$B$10</f>
        <v>4</v>
      </c>
      <c r="S935">
        <f>参数!$C$10</f>
        <v>1.2</v>
      </c>
      <c r="T935">
        <f>参数!$D$10</f>
        <v>1</v>
      </c>
      <c r="U935">
        <f t="shared" si="112"/>
        <v>6655412</v>
      </c>
      <c r="V935">
        <f t="shared" si="113"/>
        <v>136316.4</v>
      </c>
      <c r="W935">
        <f t="shared" si="114"/>
        <v>56777</v>
      </c>
      <c r="X935">
        <f>IFERROR(INDEX(参数!$B$5:$B$7,MATCH($N935,参数!$A$5:$A$7,0)),"")</f>
        <v>1.5</v>
      </c>
      <c r="Y935">
        <f>IFERROR(INDEX(参数!$C$5:$C$7,MATCH($N935,参数!$A$5:$A$7,0)),"")</f>
        <v>1</v>
      </c>
      <c r="Z935">
        <f>IFERROR(INDEX(参数!$D$5:$D$7,MATCH($N935,参数!$A$5:$A$7,0)),"")</f>
        <v>1.5</v>
      </c>
      <c r="AA935">
        <f>IFERROR(INDEX(楼层配置!$E$5:$E$204,MATCH($K935,楼层配置!$B$5:$B$204,0)),1)</f>
        <v>1.12582067235919</v>
      </c>
      <c r="AB935">
        <f>IFERROR(INDEX(楼层配置!$F$5:$F$204,MATCH($K935,楼层配置!$B$5:$B$204,0)),1)</f>
        <v>0.729834891319568</v>
      </c>
      <c r="AC935">
        <f>IFERROR(INDEX(楼层配置!$G$5:$G$204,MATCH($K935,楼层配置!$B$5:$B$204,0)),1)</f>
        <v>1</v>
      </c>
      <c r="AD935" t="str">
        <f t="shared" si="115"/>
        <v/>
      </c>
      <c r="AE935" t="str">
        <f t="shared" si="116"/>
        <v/>
      </c>
      <c r="AF935" t="str">
        <f t="shared" si="117"/>
        <v/>
      </c>
      <c r="AG935" t="str">
        <f t="shared" si="118"/>
        <v>有效</v>
      </c>
      <c r="AH935">
        <f t="shared" si="119"/>
        <v>44956804</v>
      </c>
    </row>
    <row r="936" spans="1:34">
      <c r="A936">
        <v>932</v>
      </c>
      <c r="B936">
        <v>1005</v>
      </c>
      <c r="C936">
        <v>60</v>
      </c>
      <c r="D936">
        <f>IFERROR(ROUND($U936*$X936*$AA936*参数!$B$13,0),"")</f>
        <v>7492800</v>
      </c>
      <c r="E936">
        <f>IFERROR(ROUND($V936*$Y936*$AB936*参数!$C$13,0),"")</f>
        <v>119386</v>
      </c>
      <c r="F936">
        <f>IFERROR(ROUND($W936*$Z936*$AC936*参数!$D$13,0),"")</f>
        <v>56777</v>
      </c>
      <c r="J936">
        <v>187</v>
      </c>
      <c r="K936">
        <v>187</v>
      </c>
      <c r="L936">
        <f>IFERROR(INDEX(楼层配置!$D$5:$D$204,MATCH($K936,楼层配置!$B$5:$B$204,0)),"")</f>
        <v>453</v>
      </c>
      <c r="M936" t="str">
        <f>IFERROR(INDEX(_角色基线!$B$2:$B$100,MATCH($B936,_角色基线!$A$2:$A$100,0)),"")</f>
        <v>陈单单</v>
      </c>
      <c r="N936" t="str">
        <f>IFERROR(INDEX(_角色基线!$C$2:$C$100,MATCH($B936,_角色基线!$A$2:$A$100,0)),"")</f>
        <v>DPS</v>
      </c>
      <c r="O936">
        <f>IFERROR(INDEX(_怪物基线!$B$2:$B$501,MATCH(INT($L936),_怪物基线!$A$2:$A$501,0)),"")</f>
        <v>1663853</v>
      </c>
      <c r="P936">
        <f>IFERROR(INDEX(_怪物基线!$C$2:$C$501,MATCH(INT($L936),_怪物基线!$A$2:$A$501,0)),"")</f>
        <v>113597</v>
      </c>
      <c r="Q936">
        <f>IFERROR(INDEX(_怪物基线!$D$2:$D$501,MATCH(INT($L936),_怪物基线!$A$2:$A$501,0)),"")</f>
        <v>56777</v>
      </c>
      <c r="R936">
        <f>参数!$B$10</f>
        <v>4</v>
      </c>
      <c r="S936">
        <f>参数!$C$10</f>
        <v>1.2</v>
      </c>
      <c r="T936">
        <f>参数!$D$10</f>
        <v>1</v>
      </c>
      <c r="U936">
        <f t="shared" si="112"/>
        <v>6655412</v>
      </c>
      <c r="V936">
        <f t="shared" si="113"/>
        <v>136316.4</v>
      </c>
      <c r="W936">
        <f t="shared" si="114"/>
        <v>56777</v>
      </c>
      <c r="X936">
        <f>IFERROR(INDEX(参数!$B$5:$B$7,MATCH($N936,参数!$A$5:$A$7,0)),"")</f>
        <v>1</v>
      </c>
      <c r="Y936">
        <f>IFERROR(INDEX(参数!$C$5:$C$7,MATCH($N936,参数!$A$5:$A$7,0)),"")</f>
        <v>1.2</v>
      </c>
      <c r="Z936">
        <f>IFERROR(INDEX(参数!$D$5:$D$7,MATCH($N936,参数!$A$5:$A$7,0)),"")</f>
        <v>1</v>
      </c>
      <c r="AA936">
        <f>IFERROR(INDEX(楼层配置!$E$5:$E$204,MATCH($K936,楼层配置!$B$5:$B$204,0)),1)</f>
        <v>1.12582067235919</v>
      </c>
      <c r="AB936">
        <f>IFERROR(INDEX(楼层配置!$F$5:$F$204,MATCH($K936,楼层配置!$B$5:$B$204,0)),1)</f>
        <v>0.729834891319568</v>
      </c>
      <c r="AC936">
        <f>IFERROR(INDEX(楼层配置!$G$5:$G$204,MATCH($K936,楼层配置!$B$5:$B$204,0)),1)</f>
        <v>1</v>
      </c>
      <c r="AD936" t="str">
        <f t="shared" si="115"/>
        <v/>
      </c>
      <c r="AE936" t="str">
        <f t="shared" si="116"/>
        <v/>
      </c>
      <c r="AF936" t="str">
        <f t="shared" si="117"/>
        <v/>
      </c>
      <c r="AG936" t="str">
        <f t="shared" si="118"/>
        <v>有效</v>
      </c>
      <c r="AH936">
        <f t="shared" si="119"/>
        <v>25218579.4</v>
      </c>
    </row>
    <row r="937" spans="1:34">
      <c r="A937">
        <v>933</v>
      </c>
      <c r="B937">
        <v>1005</v>
      </c>
      <c r="C937">
        <v>60</v>
      </c>
      <c r="D937">
        <f>IFERROR(ROUND($U937*$X937*$AA937*参数!$B$13,0),"")</f>
        <v>7492800</v>
      </c>
      <c r="E937">
        <f>IFERROR(ROUND($V937*$Y937*$AB937*参数!$C$13,0),"")</f>
        <v>119386</v>
      </c>
      <c r="F937">
        <f>IFERROR(ROUND($W937*$Z937*$AC937*参数!$D$13,0),"")</f>
        <v>56777</v>
      </c>
      <c r="J937">
        <v>187</v>
      </c>
      <c r="K937">
        <v>187</v>
      </c>
      <c r="L937">
        <f>IFERROR(INDEX(楼层配置!$D$5:$D$204,MATCH($K937,楼层配置!$B$5:$B$204,0)),"")</f>
        <v>453</v>
      </c>
      <c r="M937" t="str">
        <f>IFERROR(INDEX(_角色基线!$B$2:$B$100,MATCH($B937,_角色基线!$A$2:$A$100,0)),"")</f>
        <v>陈单单</v>
      </c>
      <c r="N937" t="str">
        <f>IFERROR(INDEX(_角色基线!$C$2:$C$100,MATCH($B937,_角色基线!$A$2:$A$100,0)),"")</f>
        <v>DPS</v>
      </c>
      <c r="O937">
        <f>IFERROR(INDEX(_怪物基线!$B$2:$B$501,MATCH(INT($L937),_怪物基线!$A$2:$A$501,0)),"")</f>
        <v>1663853</v>
      </c>
      <c r="P937">
        <f>IFERROR(INDEX(_怪物基线!$C$2:$C$501,MATCH(INT($L937),_怪物基线!$A$2:$A$501,0)),"")</f>
        <v>113597</v>
      </c>
      <c r="Q937">
        <f>IFERROR(INDEX(_怪物基线!$D$2:$D$501,MATCH(INT($L937),_怪物基线!$A$2:$A$501,0)),"")</f>
        <v>56777</v>
      </c>
      <c r="R937">
        <f>参数!$B$10</f>
        <v>4</v>
      </c>
      <c r="S937">
        <f>参数!$C$10</f>
        <v>1.2</v>
      </c>
      <c r="T937">
        <f>参数!$D$10</f>
        <v>1</v>
      </c>
      <c r="U937">
        <f t="shared" si="112"/>
        <v>6655412</v>
      </c>
      <c r="V937">
        <f t="shared" si="113"/>
        <v>136316.4</v>
      </c>
      <c r="W937">
        <f t="shared" si="114"/>
        <v>56777</v>
      </c>
      <c r="X937">
        <f>IFERROR(INDEX(参数!$B$5:$B$7,MATCH($N937,参数!$A$5:$A$7,0)),"")</f>
        <v>1</v>
      </c>
      <c r="Y937">
        <f>IFERROR(INDEX(参数!$C$5:$C$7,MATCH($N937,参数!$A$5:$A$7,0)),"")</f>
        <v>1.2</v>
      </c>
      <c r="Z937">
        <f>IFERROR(INDEX(参数!$D$5:$D$7,MATCH($N937,参数!$A$5:$A$7,0)),"")</f>
        <v>1</v>
      </c>
      <c r="AA937">
        <f>IFERROR(INDEX(楼层配置!$E$5:$E$204,MATCH($K937,楼层配置!$B$5:$B$204,0)),1)</f>
        <v>1.12582067235919</v>
      </c>
      <c r="AB937">
        <f>IFERROR(INDEX(楼层配置!$F$5:$F$204,MATCH($K937,楼层配置!$B$5:$B$204,0)),1)</f>
        <v>0.729834891319568</v>
      </c>
      <c r="AC937">
        <f>IFERROR(INDEX(楼层配置!$G$5:$G$204,MATCH($K937,楼层配置!$B$5:$B$204,0)),1)</f>
        <v>1</v>
      </c>
      <c r="AD937" t="str">
        <f t="shared" si="115"/>
        <v/>
      </c>
      <c r="AE937" t="str">
        <f t="shared" si="116"/>
        <v/>
      </c>
      <c r="AF937" t="str">
        <f t="shared" si="117"/>
        <v/>
      </c>
      <c r="AG937" t="str">
        <f t="shared" si="118"/>
        <v>有效</v>
      </c>
      <c r="AH937">
        <f t="shared" si="119"/>
        <v>25218579.4</v>
      </c>
    </row>
    <row r="938" spans="1:34">
      <c r="A938">
        <v>934</v>
      </c>
      <c r="B938">
        <v>1005</v>
      </c>
      <c r="C938">
        <v>60</v>
      </c>
      <c r="D938">
        <f>IFERROR(ROUND($U938*$X938*$AA938*参数!$B$13,0),"")</f>
        <v>7492800</v>
      </c>
      <c r="E938">
        <f>IFERROR(ROUND($V938*$Y938*$AB938*参数!$C$13,0),"")</f>
        <v>119386</v>
      </c>
      <c r="F938">
        <f>IFERROR(ROUND($W938*$Z938*$AC938*参数!$D$13,0),"")</f>
        <v>56777</v>
      </c>
      <c r="J938">
        <v>187</v>
      </c>
      <c r="K938">
        <v>187</v>
      </c>
      <c r="L938">
        <f>IFERROR(INDEX(楼层配置!$D$5:$D$204,MATCH($K938,楼层配置!$B$5:$B$204,0)),"")</f>
        <v>453</v>
      </c>
      <c r="M938" t="str">
        <f>IFERROR(INDEX(_角色基线!$B$2:$B$100,MATCH($B938,_角色基线!$A$2:$A$100,0)),"")</f>
        <v>陈单单</v>
      </c>
      <c r="N938" t="str">
        <f>IFERROR(INDEX(_角色基线!$C$2:$C$100,MATCH($B938,_角色基线!$A$2:$A$100,0)),"")</f>
        <v>DPS</v>
      </c>
      <c r="O938">
        <f>IFERROR(INDEX(_怪物基线!$B$2:$B$501,MATCH(INT($L938),_怪物基线!$A$2:$A$501,0)),"")</f>
        <v>1663853</v>
      </c>
      <c r="P938">
        <f>IFERROR(INDEX(_怪物基线!$C$2:$C$501,MATCH(INT($L938),_怪物基线!$A$2:$A$501,0)),"")</f>
        <v>113597</v>
      </c>
      <c r="Q938">
        <f>IFERROR(INDEX(_怪物基线!$D$2:$D$501,MATCH(INT($L938),_怪物基线!$A$2:$A$501,0)),"")</f>
        <v>56777</v>
      </c>
      <c r="R938">
        <f>参数!$B$10</f>
        <v>4</v>
      </c>
      <c r="S938">
        <f>参数!$C$10</f>
        <v>1.2</v>
      </c>
      <c r="T938">
        <f>参数!$D$10</f>
        <v>1</v>
      </c>
      <c r="U938">
        <f t="shared" si="112"/>
        <v>6655412</v>
      </c>
      <c r="V938">
        <f t="shared" si="113"/>
        <v>136316.4</v>
      </c>
      <c r="W938">
        <f t="shared" si="114"/>
        <v>56777</v>
      </c>
      <c r="X938">
        <f>IFERROR(INDEX(参数!$B$5:$B$7,MATCH($N938,参数!$A$5:$A$7,0)),"")</f>
        <v>1</v>
      </c>
      <c r="Y938">
        <f>IFERROR(INDEX(参数!$C$5:$C$7,MATCH($N938,参数!$A$5:$A$7,0)),"")</f>
        <v>1.2</v>
      </c>
      <c r="Z938">
        <f>IFERROR(INDEX(参数!$D$5:$D$7,MATCH($N938,参数!$A$5:$A$7,0)),"")</f>
        <v>1</v>
      </c>
      <c r="AA938">
        <f>IFERROR(INDEX(楼层配置!$E$5:$E$204,MATCH($K938,楼层配置!$B$5:$B$204,0)),1)</f>
        <v>1.12582067235919</v>
      </c>
      <c r="AB938">
        <f>IFERROR(INDEX(楼层配置!$F$5:$F$204,MATCH($K938,楼层配置!$B$5:$B$204,0)),1)</f>
        <v>0.729834891319568</v>
      </c>
      <c r="AC938">
        <f>IFERROR(INDEX(楼层配置!$G$5:$G$204,MATCH($K938,楼层配置!$B$5:$B$204,0)),1)</f>
        <v>1</v>
      </c>
      <c r="AD938" t="str">
        <f t="shared" si="115"/>
        <v/>
      </c>
      <c r="AE938" t="str">
        <f t="shared" si="116"/>
        <v/>
      </c>
      <c r="AF938" t="str">
        <f t="shared" si="117"/>
        <v/>
      </c>
      <c r="AG938" t="str">
        <f t="shared" si="118"/>
        <v>有效</v>
      </c>
      <c r="AH938">
        <f t="shared" si="119"/>
        <v>25218579.4</v>
      </c>
    </row>
    <row r="939" spans="1:34">
      <c r="A939">
        <v>935</v>
      </c>
      <c r="B939">
        <v>1029</v>
      </c>
      <c r="C939">
        <v>60</v>
      </c>
      <c r="D939">
        <f>IFERROR(ROUND($U939*$X939*$AA939*参数!$B$13,0),"")</f>
        <v>9366001</v>
      </c>
      <c r="E939">
        <f>IFERROR(ROUND($V939*$Y939*$AB939*参数!$C$13,0),"")</f>
        <v>99488</v>
      </c>
      <c r="F939">
        <f>IFERROR(ROUND($W939*$Z939*$AC939*参数!$D$13,0),"")</f>
        <v>70971</v>
      </c>
      <c r="J939">
        <v>187</v>
      </c>
      <c r="K939">
        <v>187</v>
      </c>
      <c r="L939">
        <f>IFERROR(INDEX(楼层配置!$D$5:$D$204,MATCH($K939,楼层配置!$B$5:$B$204,0)),"")</f>
        <v>453</v>
      </c>
      <c r="M939" t="str">
        <f>IFERROR(INDEX(_角色基线!$B$2:$B$100,MATCH($B939,_角色基线!$A$2:$A$100,0)),"")</f>
        <v>凯兰</v>
      </c>
      <c r="N939" t="str">
        <f>IFERROR(INDEX(_角色基线!$C$2:$C$100,MATCH($B939,_角色基线!$A$2:$A$100,0)),"")</f>
        <v>Support</v>
      </c>
      <c r="O939">
        <f>IFERROR(INDEX(_怪物基线!$B$2:$B$501,MATCH(INT($L939),_怪物基线!$A$2:$A$501,0)),"")</f>
        <v>1663853</v>
      </c>
      <c r="P939">
        <f>IFERROR(INDEX(_怪物基线!$C$2:$C$501,MATCH(INT($L939),_怪物基线!$A$2:$A$501,0)),"")</f>
        <v>113597</v>
      </c>
      <c r="Q939">
        <f>IFERROR(INDEX(_怪物基线!$D$2:$D$501,MATCH(INT($L939),_怪物基线!$A$2:$A$501,0)),"")</f>
        <v>56777</v>
      </c>
      <c r="R939">
        <f>参数!$B$10</f>
        <v>4</v>
      </c>
      <c r="S939">
        <f>参数!$C$10</f>
        <v>1.2</v>
      </c>
      <c r="T939">
        <f>参数!$D$10</f>
        <v>1</v>
      </c>
      <c r="U939">
        <f t="shared" si="112"/>
        <v>6655412</v>
      </c>
      <c r="V939">
        <f t="shared" si="113"/>
        <v>136316.4</v>
      </c>
      <c r="W939">
        <f t="shared" si="114"/>
        <v>56777</v>
      </c>
      <c r="X939">
        <f>IFERROR(INDEX(参数!$B$5:$B$7,MATCH($N939,参数!$A$5:$A$7,0)),"")</f>
        <v>1.25</v>
      </c>
      <c r="Y939">
        <f>IFERROR(INDEX(参数!$C$5:$C$7,MATCH($N939,参数!$A$5:$A$7,0)),"")</f>
        <v>1</v>
      </c>
      <c r="Z939">
        <f>IFERROR(INDEX(参数!$D$5:$D$7,MATCH($N939,参数!$A$5:$A$7,0)),"")</f>
        <v>1.25</v>
      </c>
      <c r="AA939">
        <f>IFERROR(INDEX(楼层配置!$E$5:$E$204,MATCH($K939,楼层配置!$B$5:$B$204,0)),1)</f>
        <v>1.12582067235919</v>
      </c>
      <c r="AB939">
        <f>IFERROR(INDEX(楼层配置!$F$5:$F$204,MATCH($K939,楼层配置!$B$5:$B$204,0)),1)</f>
        <v>0.729834891319568</v>
      </c>
      <c r="AC939">
        <f>IFERROR(INDEX(楼层配置!$G$5:$G$204,MATCH($K939,楼层配置!$B$5:$B$204,0)),1)</f>
        <v>1</v>
      </c>
      <c r="AD939" t="str">
        <f t="shared" si="115"/>
        <v/>
      </c>
      <c r="AE939" t="str">
        <f t="shared" si="116"/>
        <v/>
      </c>
      <c r="AF939" t="str">
        <f t="shared" si="117"/>
        <v/>
      </c>
      <c r="AG939" t="str">
        <f t="shared" si="118"/>
        <v>有效</v>
      </c>
      <c r="AH939">
        <f t="shared" si="119"/>
        <v>37062436.707125</v>
      </c>
    </row>
    <row r="940" spans="1:34">
      <c r="A940">
        <v>936</v>
      </c>
      <c r="B940">
        <v>1003</v>
      </c>
      <c r="C940">
        <v>60</v>
      </c>
      <c r="D940">
        <f>IFERROR(ROUND($U940*$X940*$AA940*参数!$B$13,0),"")</f>
        <v>11482520</v>
      </c>
      <c r="E940">
        <f>IFERROR(ROUND($V940*$Y940*$AB940*参数!$C$13,0),"")</f>
        <v>101258</v>
      </c>
      <c r="F940">
        <f>IFERROR(ROUND($W940*$Z940*$AC940*参数!$D$13,0),"")</f>
        <v>85964</v>
      </c>
      <c r="J940">
        <v>188</v>
      </c>
      <c r="K940">
        <v>188</v>
      </c>
      <c r="L940">
        <f>IFERROR(INDEX(楼层配置!$D$5:$D$204,MATCH($K940,楼层配置!$B$5:$B$204,0)),"")</f>
        <v>456</v>
      </c>
      <c r="M940" t="str">
        <f>IFERROR(INDEX(_角色基线!$B$2:$B$100,MATCH($B940,_角色基线!$A$2:$A$100,0)),"")</f>
        <v>塔拉夏</v>
      </c>
      <c r="N940" t="str">
        <f>IFERROR(INDEX(_角色基线!$C$2:$C$100,MATCH($B940,_角色基线!$A$2:$A$100,0)),"")</f>
        <v>Tank</v>
      </c>
      <c r="O940">
        <f>IFERROR(INDEX(_怪物基线!$B$2:$B$501,MATCH(INT($L940),_怪物基线!$A$2:$A$501,0)),"")</f>
        <v>1699874</v>
      </c>
      <c r="P940">
        <f>IFERROR(INDEX(_怪物基线!$C$2:$C$501,MATCH(INT($L940),_怪物基线!$A$2:$A$501,0)),"")</f>
        <v>115617</v>
      </c>
      <c r="Q940">
        <f>IFERROR(INDEX(_怪物基线!$D$2:$D$501,MATCH(INT($L940),_怪物基线!$A$2:$A$501,0)),"")</f>
        <v>57309</v>
      </c>
      <c r="R940">
        <f>参数!$B$10</f>
        <v>4</v>
      </c>
      <c r="S940">
        <f>参数!$C$10</f>
        <v>1.2</v>
      </c>
      <c r="T940">
        <f>参数!$D$10</f>
        <v>1</v>
      </c>
      <c r="U940">
        <f t="shared" si="112"/>
        <v>6799496</v>
      </c>
      <c r="V940">
        <f t="shared" si="113"/>
        <v>138740.4</v>
      </c>
      <c r="W940">
        <f t="shared" si="114"/>
        <v>57309</v>
      </c>
      <c r="X940">
        <f>IFERROR(INDEX(参数!$B$5:$B$7,MATCH($N940,参数!$A$5:$A$7,0)),"")</f>
        <v>1.5</v>
      </c>
      <c r="Y940">
        <f>IFERROR(INDEX(参数!$C$5:$C$7,MATCH($N940,参数!$A$5:$A$7,0)),"")</f>
        <v>1</v>
      </c>
      <c r="Z940">
        <f>IFERROR(INDEX(参数!$D$5:$D$7,MATCH($N940,参数!$A$5:$A$7,0)),"")</f>
        <v>1.5</v>
      </c>
      <c r="AA940">
        <f>IFERROR(INDEX(楼层配置!$E$5:$E$204,MATCH($K940,楼层配置!$B$5:$B$204,0)),1)</f>
        <v>1.12582067235919</v>
      </c>
      <c r="AB940">
        <f>IFERROR(INDEX(楼层配置!$F$5:$F$204,MATCH($K940,楼层配置!$B$5:$B$204,0)),1)</f>
        <v>0.729834891319568</v>
      </c>
      <c r="AC940">
        <f>IFERROR(INDEX(楼层配置!$G$5:$G$204,MATCH($K940,楼层配置!$B$5:$B$204,0)),1)</f>
        <v>1</v>
      </c>
      <c r="AD940" t="str">
        <f t="shared" si="115"/>
        <v/>
      </c>
      <c r="AE940" t="str">
        <f t="shared" si="116"/>
        <v/>
      </c>
      <c r="AF940" t="str">
        <f t="shared" si="117"/>
        <v/>
      </c>
      <c r="AG940" t="str">
        <f t="shared" si="118"/>
        <v>有效</v>
      </c>
      <c r="AH940">
        <f t="shared" si="119"/>
        <v>45930080</v>
      </c>
    </row>
    <row r="941" spans="1:34">
      <c r="A941">
        <v>937</v>
      </c>
      <c r="B941">
        <v>1005</v>
      </c>
      <c r="C941">
        <v>60</v>
      </c>
      <c r="D941">
        <f>IFERROR(ROUND($U941*$X941*$AA941*参数!$B$13,0),"")</f>
        <v>7655013</v>
      </c>
      <c r="E941">
        <f>IFERROR(ROUND($V941*$Y941*$AB941*参数!$C$13,0),"")</f>
        <v>121509</v>
      </c>
      <c r="F941">
        <f>IFERROR(ROUND($W941*$Z941*$AC941*参数!$D$13,0),"")</f>
        <v>57309</v>
      </c>
      <c r="J941">
        <v>188</v>
      </c>
      <c r="K941">
        <v>188</v>
      </c>
      <c r="L941">
        <f>IFERROR(INDEX(楼层配置!$D$5:$D$204,MATCH($K941,楼层配置!$B$5:$B$204,0)),"")</f>
        <v>456</v>
      </c>
      <c r="M941" t="str">
        <f>IFERROR(INDEX(_角色基线!$B$2:$B$100,MATCH($B941,_角色基线!$A$2:$A$100,0)),"")</f>
        <v>陈单单</v>
      </c>
      <c r="N941" t="str">
        <f>IFERROR(INDEX(_角色基线!$C$2:$C$100,MATCH($B941,_角色基线!$A$2:$A$100,0)),"")</f>
        <v>DPS</v>
      </c>
      <c r="O941">
        <f>IFERROR(INDEX(_怪物基线!$B$2:$B$501,MATCH(INT($L941),_怪物基线!$A$2:$A$501,0)),"")</f>
        <v>1699874</v>
      </c>
      <c r="P941">
        <f>IFERROR(INDEX(_怪物基线!$C$2:$C$501,MATCH(INT($L941),_怪物基线!$A$2:$A$501,0)),"")</f>
        <v>115617</v>
      </c>
      <c r="Q941">
        <f>IFERROR(INDEX(_怪物基线!$D$2:$D$501,MATCH(INT($L941),_怪物基线!$A$2:$A$501,0)),"")</f>
        <v>57309</v>
      </c>
      <c r="R941">
        <f>参数!$B$10</f>
        <v>4</v>
      </c>
      <c r="S941">
        <f>参数!$C$10</f>
        <v>1.2</v>
      </c>
      <c r="T941">
        <f>参数!$D$10</f>
        <v>1</v>
      </c>
      <c r="U941">
        <f t="shared" si="112"/>
        <v>6799496</v>
      </c>
      <c r="V941">
        <f t="shared" si="113"/>
        <v>138740.4</v>
      </c>
      <c r="W941">
        <f t="shared" si="114"/>
        <v>57309</v>
      </c>
      <c r="X941">
        <f>IFERROR(INDEX(参数!$B$5:$B$7,MATCH($N941,参数!$A$5:$A$7,0)),"")</f>
        <v>1</v>
      </c>
      <c r="Y941">
        <f>IFERROR(INDEX(参数!$C$5:$C$7,MATCH($N941,参数!$A$5:$A$7,0)),"")</f>
        <v>1.2</v>
      </c>
      <c r="Z941">
        <f>IFERROR(INDEX(参数!$D$5:$D$7,MATCH($N941,参数!$A$5:$A$7,0)),"")</f>
        <v>1</v>
      </c>
      <c r="AA941">
        <f>IFERROR(INDEX(楼层配置!$E$5:$E$204,MATCH($K941,楼层配置!$B$5:$B$204,0)),1)</f>
        <v>1.12582067235919</v>
      </c>
      <c r="AB941">
        <f>IFERROR(INDEX(楼层配置!$F$5:$F$204,MATCH($K941,楼层配置!$B$5:$B$204,0)),1)</f>
        <v>0.729834891319568</v>
      </c>
      <c r="AC941">
        <f>IFERROR(INDEX(楼层配置!$G$5:$G$204,MATCH($K941,楼层配置!$B$5:$B$204,0)),1)</f>
        <v>1</v>
      </c>
      <c r="AD941" t="str">
        <f t="shared" si="115"/>
        <v/>
      </c>
      <c r="AE941" t="str">
        <f t="shared" si="116"/>
        <v/>
      </c>
      <c r="AF941" t="str">
        <f t="shared" si="117"/>
        <v/>
      </c>
      <c r="AG941" t="str">
        <f t="shared" si="118"/>
        <v>有效</v>
      </c>
      <c r="AH941">
        <f t="shared" si="119"/>
        <v>25934227.167375</v>
      </c>
    </row>
    <row r="942" spans="1:34">
      <c r="A942">
        <v>938</v>
      </c>
      <c r="B942">
        <v>1005</v>
      </c>
      <c r="C942">
        <v>60</v>
      </c>
      <c r="D942">
        <f>IFERROR(ROUND($U942*$X942*$AA942*参数!$B$13,0),"")</f>
        <v>7655013</v>
      </c>
      <c r="E942">
        <f>IFERROR(ROUND($V942*$Y942*$AB942*参数!$C$13,0),"")</f>
        <v>121509</v>
      </c>
      <c r="F942">
        <f>IFERROR(ROUND($W942*$Z942*$AC942*参数!$D$13,0),"")</f>
        <v>57309</v>
      </c>
      <c r="J942">
        <v>188</v>
      </c>
      <c r="K942">
        <v>188</v>
      </c>
      <c r="L942">
        <f>IFERROR(INDEX(楼层配置!$D$5:$D$204,MATCH($K942,楼层配置!$B$5:$B$204,0)),"")</f>
        <v>456</v>
      </c>
      <c r="M942" t="str">
        <f>IFERROR(INDEX(_角色基线!$B$2:$B$100,MATCH($B942,_角色基线!$A$2:$A$100,0)),"")</f>
        <v>陈单单</v>
      </c>
      <c r="N942" t="str">
        <f>IFERROR(INDEX(_角色基线!$C$2:$C$100,MATCH($B942,_角色基线!$A$2:$A$100,0)),"")</f>
        <v>DPS</v>
      </c>
      <c r="O942">
        <f>IFERROR(INDEX(_怪物基线!$B$2:$B$501,MATCH(INT($L942),_怪物基线!$A$2:$A$501,0)),"")</f>
        <v>1699874</v>
      </c>
      <c r="P942">
        <f>IFERROR(INDEX(_怪物基线!$C$2:$C$501,MATCH(INT($L942),_怪物基线!$A$2:$A$501,0)),"")</f>
        <v>115617</v>
      </c>
      <c r="Q942">
        <f>IFERROR(INDEX(_怪物基线!$D$2:$D$501,MATCH(INT($L942),_怪物基线!$A$2:$A$501,0)),"")</f>
        <v>57309</v>
      </c>
      <c r="R942">
        <f>参数!$B$10</f>
        <v>4</v>
      </c>
      <c r="S942">
        <f>参数!$C$10</f>
        <v>1.2</v>
      </c>
      <c r="T942">
        <f>参数!$D$10</f>
        <v>1</v>
      </c>
      <c r="U942">
        <f t="shared" si="112"/>
        <v>6799496</v>
      </c>
      <c r="V942">
        <f t="shared" si="113"/>
        <v>138740.4</v>
      </c>
      <c r="W942">
        <f t="shared" si="114"/>
        <v>57309</v>
      </c>
      <c r="X942">
        <f>IFERROR(INDEX(参数!$B$5:$B$7,MATCH($N942,参数!$A$5:$A$7,0)),"")</f>
        <v>1</v>
      </c>
      <c r="Y942">
        <f>IFERROR(INDEX(参数!$C$5:$C$7,MATCH($N942,参数!$A$5:$A$7,0)),"")</f>
        <v>1.2</v>
      </c>
      <c r="Z942">
        <f>IFERROR(INDEX(参数!$D$5:$D$7,MATCH($N942,参数!$A$5:$A$7,0)),"")</f>
        <v>1</v>
      </c>
      <c r="AA942">
        <f>IFERROR(INDEX(楼层配置!$E$5:$E$204,MATCH($K942,楼层配置!$B$5:$B$204,0)),1)</f>
        <v>1.12582067235919</v>
      </c>
      <c r="AB942">
        <f>IFERROR(INDEX(楼层配置!$F$5:$F$204,MATCH($K942,楼层配置!$B$5:$B$204,0)),1)</f>
        <v>0.729834891319568</v>
      </c>
      <c r="AC942">
        <f>IFERROR(INDEX(楼层配置!$G$5:$G$204,MATCH($K942,楼层配置!$B$5:$B$204,0)),1)</f>
        <v>1</v>
      </c>
      <c r="AD942" t="str">
        <f t="shared" si="115"/>
        <v/>
      </c>
      <c r="AE942" t="str">
        <f t="shared" si="116"/>
        <v/>
      </c>
      <c r="AF942" t="str">
        <f t="shared" si="117"/>
        <v/>
      </c>
      <c r="AG942" t="str">
        <f t="shared" si="118"/>
        <v>有效</v>
      </c>
      <c r="AH942">
        <f t="shared" si="119"/>
        <v>25934227.167375</v>
      </c>
    </row>
    <row r="943" spans="1:34">
      <c r="A943">
        <v>939</v>
      </c>
      <c r="B943">
        <v>1005</v>
      </c>
      <c r="C943">
        <v>60</v>
      </c>
      <c r="D943">
        <f>IFERROR(ROUND($U943*$X943*$AA943*参数!$B$13,0),"")</f>
        <v>7655013</v>
      </c>
      <c r="E943">
        <f>IFERROR(ROUND($V943*$Y943*$AB943*参数!$C$13,0),"")</f>
        <v>121509</v>
      </c>
      <c r="F943">
        <f>IFERROR(ROUND($W943*$Z943*$AC943*参数!$D$13,0),"")</f>
        <v>57309</v>
      </c>
      <c r="J943">
        <v>188</v>
      </c>
      <c r="K943">
        <v>188</v>
      </c>
      <c r="L943">
        <f>IFERROR(INDEX(楼层配置!$D$5:$D$204,MATCH($K943,楼层配置!$B$5:$B$204,0)),"")</f>
        <v>456</v>
      </c>
      <c r="M943" t="str">
        <f>IFERROR(INDEX(_角色基线!$B$2:$B$100,MATCH($B943,_角色基线!$A$2:$A$100,0)),"")</f>
        <v>陈单单</v>
      </c>
      <c r="N943" t="str">
        <f>IFERROR(INDEX(_角色基线!$C$2:$C$100,MATCH($B943,_角色基线!$A$2:$A$100,0)),"")</f>
        <v>DPS</v>
      </c>
      <c r="O943">
        <f>IFERROR(INDEX(_怪物基线!$B$2:$B$501,MATCH(INT($L943),_怪物基线!$A$2:$A$501,0)),"")</f>
        <v>1699874</v>
      </c>
      <c r="P943">
        <f>IFERROR(INDEX(_怪物基线!$C$2:$C$501,MATCH(INT($L943),_怪物基线!$A$2:$A$501,0)),"")</f>
        <v>115617</v>
      </c>
      <c r="Q943">
        <f>IFERROR(INDEX(_怪物基线!$D$2:$D$501,MATCH(INT($L943),_怪物基线!$A$2:$A$501,0)),"")</f>
        <v>57309</v>
      </c>
      <c r="R943">
        <f>参数!$B$10</f>
        <v>4</v>
      </c>
      <c r="S943">
        <f>参数!$C$10</f>
        <v>1.2</v>
      </c>
      <c r="T943">
        <f>参数!$D$10</f>
        <v>1</v>
      </c>
      <c r="U943">
        <f t="shared" si="112"/>
        <v>6799496</v>
      </c>
      <c r="V943">
        <f t="shared" si="113"/>
        <v>138740.4</v>
      </c>
      <c r="W943">
        <f t="shared" si="114"/>
        <v>57309</v>
      </c>
      <c r="X943">
        <f>IFERROR(INDEX(参数!$B$5:$B$7,MATCH($N943,参数!$A$5:$A$7,0)),"")</f>
        <v>1</v>
      </c>
      <c r="Y943">
        <f>IFERROR(INDEX(参数!$C$5:$C$7,MATCH($N943,参数!$A$5:$A$7,0)),"")</f>
        <v>1.2</v>
      </c>
      <c r="Z943">
        <f>IFERROR(INDEX(参数!$D$5:$D$7,MATCH($N943,参数!$A$5:$A$7,0)),"")</f>
        <v>1</v>
      </c>
      <c r="AA943">
        <f>IFERROR(INDEX(楼层配置!$E$5:$E$204,MATCH($K943,楼层配置!$B$5:$B$204,0)),1)</f>
        <v>1.12582067235919</v>
      </c>
      <c r="AB943">
        <f>IFERROR(INDEX(楼层配置!$F$5:$F$204,MATCH($K943,楼层配置!$B$5:$B$204,0)),1)</f>
        <v>0.729834891319568</v>
      </c>
      <c r="AC943">
        <f>IFERROR(INDEX(楼层配置!$G$5:$G$204,MATCH($K943,楼层配置!$B$5:$B$204,0)),1)</f>
        <v>1</v>
      </c>
      <c r="AD943" t="str">
        <f t="shared" si="115"/>
        <v/>
      </c>
      <c r="AE943" t="str">
        <f t="shared" si="116"/>
        <v/>
      </c>
      <c r="AF943" t="str">
        <f t="shared" si="117"/>
        <v/>
      </c>
      <c r="AG943" t="str">
        <f t="shared" si="118"/>
        <v>有效</v>
      </c>
      <c r="AH943">
        <f t="shared" si="119"/>
        <v>25934227.167375</v>
      </c>
    </row>
    <row r="944" spans="1:34">
      <c r="A944">
        <v>940</v>
      </c>
      <c r="B944">
        <v>1029</v>
      </c>
      <c r="C944">
        <v>60</v>
      </c>
      <c r="D944">
        <f>IFERROR(ROUND($U944*$X944*$AA944*参数!$B$13,0),"")</f>
        <v>9568766</v>
      </c>
      <c r="E944">
        <f>IFERROR(ROUND($V944*$Y944*$AB944*参数!$C$13,0),"")</f>
        <v>101258</v>
      </c>
      <c r="F944">
        <f>IFERROR(ROUND($W944*$Z944*$AC944*参数!$D$13,0),"")</f>
        <v>71636</v>
      </c>
      <c r="J944">
        <v>188</v>
      </c>
      <c r="K944">
        <v>188</v>
      </c>
      <c r="L944">
        <f>IFERROR(INDEX(楼层配置!$D$5:$D$204,MATCH($K944,楼层配置!$B$5:$B$204,0)),"")</f>
        <v>456</v>
      </c>
      <c r="M944" t="str">
        <f>IFERROR(INDEX(_角色基线!$B$2:$B$100,MATCH($B944,_角色基线!$A$2:$A$100,0)),"")</f>
        <v>凯兰</v>
      </c>
      <c r="N944" t="str">
        <f>IFERROR(INDEX(_角色基线!$C$2:$C$100,MATCH($B944,_角色基线!$A$2:$A$100,0)),"")</f>
        <v>Support</v>
      </c>
      <c r="O944">
        <f>IFERROR(INDEX(_怪物基线!$B$2:$B$501,MATCH(INT($L944),_怪物基线!$A$2:$A$501,0)),"")</f>
        <v>1699874</v>
      </c>
      <c r="P944">
        <f>IFERROR(INDEX(_怪物基线!$C$2:$C$501,MATCH(INT($L944),_怪物基线!$A$2:$A$501,0)),"")</f>
        <v>115617</v>
      </c>
      <c r="Q944">
        <f>IFERROR(INDEX(_怪物基线!$D$2:$D$501,MATCH(INT($L944),_怪物基线!$A$2:$A$501,0)),"")</f>
        <v>57309</v>
      </c>
      <c r="R944">
        <f>参数!$B$10</f>
        <v>4</v>
      </c>
      <c r="S944">
        <f>参数!$C$10</f>
        <v>1.2</v>
      </c>
      <c r="T944">
        <f>参数!$D$10</f>
        <v>1</v>
      </c>
      <c r="U944">
        <f t="shared" si="112"/>
        <v>6799496</v>
      </c>
      <c r="V944">
        <f t="shared" si="113"/>
        <v>138740.4</v>
      </c>
      <c r="W944">
        <f t="shared" si="114"/>
        <v>57309</v>
      </c>
      <c r="X944">
        <f>IFERROR(INDEX(参数!$B$5:$B$7,MATCH($N944,参数!$A$5:$A$7,0)),"")</f>
        <v>1.25</v>
      </c>
      <c r="Y944">
        <f>IFERROR(INDEX(参数!$C$5:$C$7,MATCH($N944,参数!$A$5:$A$7,0)),"")</f>
        <v>1</v>
      </c>
      <c r="Z944">
        <f>IFERROR(INDEX(参数!$D$5:$D$7,MATCH($N944,参数!$A$5:$A$7,0)),"")</f>
        <v>1.25</v>
      </c>
      <c r="AA944">
        <f>IFERROR(INDEX(楼层配置!$E$5:$E$204,MATCH($K944,楼层配置!$B$5:$B$204,0)),1)</f>
        <v>1.12582067235919</v>
      </c>
      <c r="AB944">
        <f>IFERROR(INDEX(楼层配置!$F$5:$F$204,MATCH($K944,楼层配置!$B$5:$B$204,0)),1)</f>
        <v>0.729834891319568</v>
      </c>
      <c r="AC944">
        <f>IFERROR(INDEX(楼层配置!$G$5:$G$204,MATCH($K944,楼层配置!$B$5:$B$204,0)),1)</f>
        <v>1</v>
      </c>
      <c r="AD944" t="str">
        <f t="shared" si="115"/>
        <v/>
      </c>
      <c r="AE944" t="str">
        <f t="shared" si="116"/>
        <v/>
      </c>
      <c r="AF944" t="str">
        <f t="shared" si="117"/>
        <v/>
      </c>
      <c r="AG944" t="str">
        <f t="shared" si="118"/>
        <v>有效</v>
      </c>
      <c r="AH944">
        <f t="shared" si="119"/>
        <v>38129937.7156667</v>
      </c>
    </row>
    <row r="945" spans="1:34">
      <c r="A945">
        <v>941</v>
      </c>
      <c r="B945">
        <v>1003</v>
      </c>
      <c r="C945">
        <v>60</v>
      </c>
      <c r="D945">
        <f>IFERROR(ROUND($U945*$X945*$AA945*参数!$B$13,0),"")</f>
        <v>11730067</v>
      </c>
      <c r="E945">
        <f>IFERROR(ROUND($V945*$Y945*$AB945*参数!$C$13,0),"")</f>
        <v>103053</v>
      </c>
      <c r="F945">
        <f>IFERROR(ROUND($W945*$Z945*$AC945*参数!$D$13,0),"")</f>
        <v>86763</v>
      </c>
      <c r="J945">
        <v>189</v>
      </c>
      <c r="K945">
        <v>189</v>
      </c>
      <c r="L945">
        <f>IFERROR(INDEX(楼层配置!$D$5:$D$204,MATCH($K945,楼层配置!$B$5:$B$204,0)),"")</f>
        <v>459</v>
      </c>
      <c r="M945" t="str">
        <f>IFERROR(INDEX(_角色基线!$B$2:$B$100,MATCH($B945,_角色基线!$A$2:$A$100,0)),"")</f>
        <v>塔拉夏</v>
      </c>
      <c r="N945" t="str">
        <f>IFERROR(INDEX(_角色基线!$C$2:$C$100,MATCH($B945,_角色基线!$A$2:$A$100,0)),"")</f>
        <v>Tank</v>
      </c>
      <c r="O945">
        <f>IFERROR(INDEX(_怪物基线!$B$2:$B$501,MATCH(INT($L945),_怪物基线!$A$2:$A$501,0)),"")</f>
        <v>1736521</v>
      </c>
      <c r="P945">
        <f>IFERROR(INDEX(_怪物基线!$C$2:$C$501,MATCH(INT($L945),_怪物基线!$A$2:$A$501,0)),"")</f>
        <v>117667</v>
      </c>
      <c r="Q945">
        <f>IFERROR(INDEX(_怪物基线!$D$2:$D$501,MATCH(INT($L945),_怪物基线!$A$2:$A$501,0)),"")</f>
        <v>57842</v>
      </c>
      <c r="R945">
        <f>参数!$B$10</f>
        <v>4</v>
      </c>
      <c r="S945">
        <f>参数!$C$10</f>
        <v>1.2</v>
      </c>
      <c r="T945">
        <f>参数!$D$10</f>
        <v>1</v>
      </c>
      <c r="U945">
        <f t="shared" si="112"/>
        <v>6946084</v>
      </c>
      <c r="V945">
        <f t="shared" si="113"/>
        <v>141200.4</v>
      </c>
      <c r="W945">
        <f t="shared" si="114"/>
        <v>57842</v>
      </c>
      <c r="X945">
        <f>IFERROR(INDEX(参数!$B$5:$B$7,MATCH($N945,参数!$A$5:$A$7,0)),"")</f>
        <v>1.5</v>
      </c>
      <c r="Y945">
        <f>IFERROR(INDEX(参数!$C$5:$C$7,MATCH($N945,参数!$A$5:$A$7,0)),"")</f>
        <v>1</v>
      </c>
      <c r="Z945">
        <f>IFERROR(INDEX(参数!$D$5:$D$7,MATCH($N945,参数!$A$5:$A$7,0)),"")</f>
        <v>1.5</v>
      </c>
      <c r="AA945">
        <f>IFERROR(INDEX(楼层配置!$E$5:$E$204,MATCH($K945,楼层配置!$B$5:$B$204,0)),1)</f>
        <v>1.12582067235919</v>
      </c>
      <c r="AB945">
        <f>IFERROR(INDEX(楼层配置!$F$5:$F$204,MATCH($K945,楼层配置!$B$5:$B$204,0)),1)</f>
        <v>0.729834891319568</v>
      </c>
      <c r="AC945">
        <f>IFERROR(INDEX(楼层配置!$G$5:$G$204,MATCH($K945,楼层配置!$B$5:$B$204,0)),1)</f>
        <v>1</v>
      </c>
      <c r="AD945" t="str">
        <f t="shared" si="115"/>
        <v/>
      </c>
      <c r="AE945" t="str">
        <f t="shared" si="116"/>
        <v/>
      </c>
      <c r="AF945" t="str">
        <f t="shared" si="117"/>
        <v/>
      </c>
      <c r="AG945" t="str">
        <f t="shared" si="118"/>
        <v>有效</v>
      </c>
      <c r="AH945">
        <f t="shared" si="119"/>
        <v>46920268</v>
      </c>
    </row>
    <row r="946" spans="1:34">
      <c r="A946">
        <v>942</v>
      </c>
      <c r="B946">
        <v>1005</v>
      </c>
      <c r="C946">
        <v>60</v>
      </c>
      <c r="D946">
        <f>IFERROR(ROUND($U946*$X946*$AA946*参数!$B$13,0),"")</f>
        <v>7820045</v>
      </c>
      <c r="E946">
        <f>IFERROR(ROUND($V946*$Y946*$AB946*参数!$C$13,0),"")</f>
        <v>123664</v>
      </c>
      <c r="F946">
        <f>IFERROR(ROUND($W946*$Z946*$AC946*参数!$D$13,0),"")</f>
        <v>57842</v>
      </c>
      <c r="J946">
        <v>189</v>
      </c>
      <c r="K946">
        <v>189</v>
      </c>
      <c r="L946">
        <f>IFERROR(INDEX(楼层配置!$D$5:$D$204,MATCH($K946,楼层配置!$B$5:$B$204,0)),"")</f>
        <v>459</v>
      </c>
      <c r="M946" t="str">
        <f>IFERROR(INDEX(_角色基线!$B$2:$B$100,MATCH($B946,_角色基线!$A$2:$A$100,0)),"")</f>
        <v>陈单单</v>
      </c>
      <c r="N946" t="str">
        <f>IFERROR(INDEX(_角色基线!$C$2:$C$100,MATCH($B946,_角色基线!$A$2:$A$100,0)),"")</f>
        <v>DPS</v>
      </c>
      <c r="O946">
        <f>IFERROR(INDEX(_怪物基线!$B$2:$B$501,MATCH(INT($L946),_怪物基线!$A$2:$A$501,0)),"")</f>
        <v>1736521</v>
      </c>
      <c r="P946">
        <f>IFERROR(INDEX(_怪物基线!$C$2:$C$501,MATCH(INT($L946),_怪物基线!$A$2:$A$501,0)),"")</f>
        <v>117667</v>
      </c>
      <c r="Q946">
        <f>IFERROR(INDEX(_怪物基线!$D$2:$D$501,MATCH(INT($L946),_怪物基线!$A$2:$A$501,0)),"")</f>
        <v>57842</v>
      </c>
      <c r="R946">
        <f>参数!$B$10</f>
        <v>4</v>
      </c>
      <c r="S946">
        <f>参数!$C$10</f>
        <v>1.2</v>
      </c>
      <c r="T946">
        <f>参数!$D$10</f>
        <v>1</v>
      </c>
      <c r="U946">
        <f t="shared" si="112"/>
        <v>6946084</v>
      </c>
      <c r="V946">
        <f t="shared" si="113"/>
        <v>141200.4</v>
      </c>
      <c r="W946">
        <f t="shared" si="114"/>
        <v>57842</v>
      </c>
      <c r="X946">
        <f>IFERROR(INDEX(参数!$B$5:$B$7,MATCH($N946,参数!$A$5:$A$7,0)),"")</f>
        <v>1</v>
      </c>
      <c r="Y946">
        <f>IFERROR(INDEX(参数!$C$5:$C$7,MATCH($N946,参数!$A$5:$A$7,0)),"")</f>
        <v>1.2</v>
      </c>
      <c r="Z946">
        <f>IFERROR(INDEX(参数!$D$5:$D$7,MATCH($N946,参数!$A$5:$A$7,0)),"")</f>
        <v>1</v>
      </c>
      <c r="AA946">
        <f>IFERROR(INDEX(楼层配置!$E$5:$E$204,MATCH($K946,楼层配置!$B$5:$B$204,0)),1)</f>
        <v>1.12582067235919</v>
      </c>
      <c r="AB946">
        <f>IFERROR(INDEX(楼层配置!$F$5:$F$204,MATCH($K946,楼层配置!$B$5:$B$204,0)),1)</f>
        <v>0.729834891319568</v>
      </c>
      <c r="AC946">
        <f>IFERROR(INDEX(楼层配置!$G$5:$G$204,MATCH($K946,楼层配置!$B$5:$B$204,0)),1)</f>
        <v>1</v>
      </c>
      <c r="AD946" t="str">
        <f t="shared" si="115"/>
        <v/>
      </c>
      <c r="AE946" t="str">
        <f t="shared" si="116"/>
        <v/>
      </c>
      <c r="AF946" t="str">
        <f t="shared" si="117"/>
        <v/>
      </c>
      <c r="AG946" t="str">
        <f t="shared" si="118"/>
        <v>有效</v>
      </c>
      <c r="AH946">
        <f t="shared" si="119"/>
        <v>26667005.1204167</v>
      </c>
    </row>
    <row r="947" spans="1:34">
      <c r="A947">
        <v>943</v>
      </c>
      <c r="B947">
        <v>1005</v>
      </c>
      <c r="C947">
        <v>60</v>
      </c>
      <c r="D947">
        <f>IFERROR(ROUND($U947*$X947*$AA947*参数!$B$13,0),"")</f>
        <v>7820045</v>
      </c>
      <c r="E947">
        <f>IFERROR(ROUND($V947*$Y947*$AB947*参数!$C$13,0),"")</f>
        <v>123664</v>
      </c>
      <c r="F947">
        <f>IFERROR(ROUND($W947*$Z947*$AC947*参数!$D$13,0),"")</f>
        <v>57842</v>
      </c>
      <c r="J947">
        <v>189</v>
      </c>
      <c r="K947">
        <v>189</v>
      </c>
      <c r="L947">
        <f>IFERROR(INDEX(楼层配置!$D$5:$D$204,MATCH($K947,楼层配置!$B$5:$B$204,0)),"")</f>
        <v>459</v>
      </c>
      <c r="M947" t="str">
        <f>IFERROR(INDEX(_角色基线!$B$2:$B$100,MATCH($B947,_角色基线!$A$2:$A$100,0)),"")</f>
        <v>陈单单</v>
      </c>
      <c r="N947" t="str">
        <f>IFERROR(INDEX(_角色基线!$C$2:$C$100,MATCH($B947,_角色基线!$A$2:$A$100,0)),"")</f>
        <v>DPS</v>
      </c>
      <c r="O947">
        <f>IFERROR(INDEX(_怪物基线!$B$2:$B$501,MATCH(INT($L947),_怪物基线!$A$2:$A$501,0)),"")</f>
        <v>1736521</v>
      </c>
      <c r="P947">
        <f>IFERROR(INDEX(_怪物基线!$C$2:$C$501,MATCH(INT($L947),_怪物基线!$A$2:$A$501,0)),"")</f>
        <v>117667</v>
      </c>
      <c r="Q947">
        <f>IFERROR(INDEX(_怪物基线!$D$2:$D$501,MATCH(INT($L947),_怪物基线!$A$2:$A$501,0)),"")</f>
        <v>57842</v>
      </c>
      <c r="R947">
        <f>参数!$B$10</f>
        <v>4</v>
      </c>
      <c r="S947">
        <f>参数!$C$10</f>
        <v>1.2</v>
      </c>
      <c r="T947">
        <f>参数!$D$10</f>
        <v>1</v>
      </c>
      <c r="U947">
        <f t="shared" si="112"/>
        <v>6946084</v>
      </c>
      <c r="V947">
        <f t="shared" si="113"/>
        <v>141200.4</v>
      </c>
      <c r="W947">
        <f t="shared" si="114"/>
        <v>57842</v>
      </c>
      <c r="X947">
        <f>IFERROR(INDEX(参数!$B$5:$B$7,MATCH($N947,参数!$A$5:$A$7,0)),"")</f>
        <v>1</v>
      </c>
      <c r="Y947">
        <f>IFERROR(INDEX(参数!$C$5:$C$7,MATCH($N947,参数!$A$5:$A$7,0)),"")</f>
        <v>1.2</v>
      </c>
      <c r="Z947">
        <f>IFERROR(INDEX(参数!$D$5:$D$7,MATCH($N947,参数!$A$5:$A$7,0)),"")</f>
        <v>1</v>
      </c>
      <c r="AA947">
        <f>IFERROR(INDEX(楼层配置!$E$5:$E$204,MATCH($K947,楼层配置!$B$5:$B$204,0)),1)</f>
        <v>1.12582067235919</v>
      </c>
      <c r="AB947">
        <f>IFERROR(INDEX(楼层配置!$F$5:$F$204,MATCH($K947,楼层配置!$B$5:$B$204,0)),1)</f>
        <v>0.729834891319568</v>
      </c>
      <c r="AC947">
        <f>IFERROR(INDEX(楼层配置!$G$5:$G$204,MATCH($K947,楼层配置!$B$5:$B$204,0)),1)</f>
        <v>1</v>
      </c>
      <c r="AD947" t="str">
        <f t="shared" si="115"/>
        <v/>
      </c>
      <c r="AE947" t="str">
        <f t="shared" si="116"/>
        <v/>
      </c>
      <c r="AF947" t="str">
        <f t="shared" si="117"/>
        <v/>
      </c>
      <c r="AG947" t="str">
        <f t="shared" si="118"/>
        <v>有效</v>
      </c>
      <c r="AH947">
        <f t="shared" si="119"/>
        <v>26667005.1204167</v>
      </c>
    </row>
    <row r="948" spans="1:34">
      <c r="A948">
        <v>944</v>
      </c>
      <c r="B948">
        <v>1005</v>
      </c>
      <c r="C948">
        <v>60</v>
      </c>
      <c r="D948">
        <f>IFERROR(ROUND($U948*$X948*$AA948*参数!$B$13,0),"")</f>
        <v>7820045</v>
      </c>
      <c r="E948">
        <f>IFERROR(ROUND($V948*$Y948*$AB948*参数!$C$13,0),"")</f>
        <v>123664</v>
      </c>
      <c r="F948">
        <f>IFERROR(ROUND($W948*$Z948*$AC948*参数!$D$13,0),"")</f>
        <v>57842</v>
      </c>
      <c r="J948">
        <v>189</v>
      </c>
      <c r="K948">
        <v>189</v>
      </c>
      <c r="L948">
        <f>IFERROR(INDEX(楼层配置!$D$5:$D$204,MATCH($K948,楼层配置!$B$5:$B$204,0)),"")</f>
        <v>459</v>
      </c>
      <c r="M948" t="str">
        <f>IFERROR(INDEX(_角色基线!$B$2:$B$100,MATCH($B948,_角色基线!$A$2:$A$100,0)),"")</f>
        <v>陈单单</v>
      </c>
      <c r="N948" t="str">
        <f>IFERROR(INDEX(_角色基线!$C$2:$C$100,MATCH($B948,_角色基线!$A$2:$A$100,0)),"")</f>
        <v>DPS</v>
      </c>
      <c r="O948">
        <f>IFERROR(INDEX(_怪物基线!$B$2:$B$501,MATCH(INT($L948),_怪物基线!$A$2:$A$501,0)),"")</f>
        <v>1736521</v>
      </c>
      <c r="P948">
        <f>IFERROR(INDEX(_怪物基线!$C$2:$C$501,MATCH(INT($L948),_怪物基线!$A$2:$A$501,0)),"")</f>
        <v>117667</v>
      </c>
      <c r="Q948">
        <f>IFERROR(INDEX(_怪物基线!$D$2:$D$501,MATCH(INT($L948),_怪物基线!$A$2:$A$501,0)),"")</f>
        <v>57842</v>
      </c>
      <c r="R948">
        <f>参数!$B$10</f>
        <v>4</v>
      </c>
      <c r="S948">
        <f>参数!$C$10</f>
        <v>1.2</v>
      </c>
      <c r="T948">
        <f>参数!$D$10</f>
        <v>1</v>
      </c>
      <c r="U948">
        <f t="shared" si="112"/>
        <v>6946084</v>
      </c>
      <c r="V948">
        <f t="shared" si="113"/>
        <v>141200.4</v>
      </c>
      <c r="W948">
        <f t="shared" si="114"/>
        <v>57842</v>
      </c>
      <c r="X948">
        <f>IFERROR(INDEX(参数!$B$5:$B$7,MATCH($N948,参数!$A$5:$A$7,0)),"")</f>
        <v>1</v>
      </c>
      <c r="Y948">
        <f>IFERROR(INDEX(参数!$C$5:$C$7,MATCH($N948,参数!$A$5:$A$7,0)),"")</f>
        <v>1.2</v>
      </c>
      <c r="Z948">
        <f>IFERROR(INDEX(参数!$D$5:$D$7,MATCH($N948,参数!$A$5:$A$7,0)),"")</f>
        <v>1</v>
      </c>
      <c r="AA948">
        <f>IFERROR(INDEX(楼层配置!$E$5:$E$204,MATCH($K948,楼层配置!$B$5:$B$204,0)),1)</f>
        <v>1.12582067235919</v>
      </c>
      <c r="AB948">
        <f>IFERROR(INDEX(楼层配置!$F$5:$F$204,MATCH($K948,楼层配置!$B$5:$B$204,0)),1)</f>
        <v>0.729834891319568</v>
      </c>
      <c r="AC948">
        <f>IFERROR(INDEX(楼层配置!$G$5:$G$204,MATCH($K948,楼层配置!$B$5:$B$204,0)),1)</f>
        <v>1</v>
      </c>
      <c r="AD948" t="str">
        <f t="shared" si="115"/>
        <v/>
      </c>
      <c r="AE948" t="str">
        <f t="shared" si="116"/>
        <v/>
      </c>
      <c r="AF948" t="str">
        <f t="shared" si="117"/>
        <v/>
      </c>
      <c r="AG948" t="str">
        <f t="shared" si="118"/>
        <v>有效</v>
      </c>
      <c r="AH948">
        <f t="shared" si="119"/>
        <v>26667005.1204167</v>
      </c>
    </row>
    <row r="949" spans="1:34">
      <c r="A949">
        <v>945</v>
      </c>
      <c r="B949">
        <v>1029</v>
      </c>
      <c r="C949">
        <v>60</v>
      </c>
      <c r="D949">
        <f>IFERROR(ROUND($U949*$X949*$AA949*参数!$B$13,0),"")</f>
        <v>9775056</v>
      </c>
      <c r="E949">
        <f>IFERROR(ROUND($V949*$Y949*$AB949*参数!$C$13,0),"")</f>
        <v>103053</v>
      </c>
      <c r="F949">
        <f>IFERROR(ROUND($W949*$Z949*$AC949*参数!$D$13,0),"")</f>
        <v>72303</v>
      </c>
      <c r="J949">
        <v>189</v>
      </c>
      <c r="K949">
        <v>189</v>
      </c>
      <c r="L949">
        <f>IFERROR(INDEX(楼层配置!$D$5:$D$204,MATCH($K949,楼层配置!$B$5:$B$204,0)),"")</f>
        <v>459</v>
      </c>
      <c r="M949" t="str">
        <f>IFERROR(INDEX(_角色基线!$B$2:$B$100,MATCH($B949,_角色基线!$A$2:$A$100,0)),"")</f>
        <v>凯兰</v>
      </c>
      <c r="N949" t="str">
        <f>IFERROR(INDEX(_角色基线!$C$2:$C$100,MATCH($B949,_角色基线!$A$2:$A$100,0)),"")</f>
        <v>Support</v>
      </c>
      <c r="O949">
        <f>IFERROR(INDEX(_怪物基线!$B$2:$B$501,MATCH(INT($L949),_怪物基线!$A$2:$A$501,0)),"")</f>
        <v>1736521</v>
      </c>
      <c r="P949">
        <f>IFERROR(INDEX(_怪物基线!$C$2:$C$501,MATCH(INT($L949),_怪物基线!$A$2:$A$501,0)),"")</f>
        <v>117667</v>
      </c>
      <c r="Q949">
        <f>IFERROR(INDEX(_怪物基线!$D$2:$D$501,MATCH(INT($L949),_怪物基线!$A$2:$A$501,0)),"")</f>
        <v>57842</v>
      </c>
      <c r="R949">
        <f>参数!$B$10</f>
        <v>4</v>
      </c>
      <c r="S949">
        <f>参数!$C$10</f>
        <v>1.2</v>
      </c>
      <c r="T949">
        <f>参数!$D$10</f>
        <v>1</v>
      </c>
      <c r="U949">
        <f t="shared" si="112"/>
        <v>6946084</v>
      </c>
      <c r="V949">
        <f t="shared" si="113"/>
        <v>141200.4</v>
      </c>
      <c r="W949">
        <f t="shared" si="114"/>
        <v>57842</v>
      </c>
      <c r="X949">
        <f>IFERROR(INDEX(参数!$B$5:$B$7,MATCH($N949,参数!$A$5:$A$7,0)),"")</f>
        <v>1.25</v>
      </c>
      <c r="Y949">
        <f>IFERROR(INDEX(参数!$C$5:$C$7,MATCH($N949,参数!$A$5:$A$7,0)),"")</f>
        <v>1</v>
      </c>
      <c r="Z949">
        <f>IFERROR(INDEX(参数!$D$5:$D$7,MATCH($N949,参数!$A$5:$A$7,0)),"")</f>
        <v>1.25</v>
      </c>
      <c r="AA949">
        <f>IFERROR(INDEX(楼层配置!$E$5:$E$204,MATCH($K949,楼层配置!$B$5:$B$204,0)),1)</f>
        <v>1.12582067235919</v>
      </c>
      <c r="AB949">
        <f>IFERROR(INDEX(楼层配置!$F$5:$F$204,MATCH($K949,楼层配置!$B$5:$B$204,0)),1)</f>
        <v>0.729834891319568</v>
      </c>
      <c r="AC949">
        <f>IFERROR(INDEX(楼层配置!$G$5:$G$204,MATCH($K949,楼层配置!$B$5:$B$204,0)),1)</f>
        <v>1</v>
      </c>
      <c r="AD949" t="str">
        <f t="shared" si="115"/>
        <v/>
      </c>
      <c r="AE949" t="str">
        <f t="shared" si="116"/>
        <v/>
      </c>
      <c r="AF949" t="str">
        <f t="shared" si="117"/>
        <v/>
      </c>
      <c r="AG949" t="str">
        <f t="shared" si="118"/>
        <v>有效</v>
      </c>
      <c r="AH949">
        <f t="shared" si="119"/>
        <v>39100224</v>
      </c>
    </row>
    <row r="950" spans="1:34">
      <c r="A950">
        <v>946</v>
      </c>
      <c r="B950">
        <v>1003</v>
      </c>
      <c r="C950">
        <v>60</v>
      </c>
      <c r="D950">
        <f>IFERROR(ROUND($U950*$X950*$AA950*参数!$B$13,0),"")</f>
        <v>11991419</v>
      </c>
      <c r="E950">
        <f>IFERROR(ROUND($V950*$Y950*$AB950*参数!$C$13,0),"")</f>
        <v>105077</v>
      </c>
      <c r="F950">
        <f>IFERROR(ROUND($W950*$Z950*$AC950*参数!$D$13,0),"")</f>
        <v>87567</v>
      </c>
      <c r="J950">
        <v>190</v>
      </c>
      <c r="K950">
        <v>190</v>
      </c>
      <c r="L950">
        <f>IFERROR(INDEX(楼层配置!$D$5:$D$204,MATCH($K950,楼层配置!$B$5:$B$204,0)),"")</f>
        <v>462</v>
      </c>
      <c r="M950" t="str">
        <f>IFERROR(INDEX(_角色基线!$B$2:$B$100,MATCH($B950,_角色基线!$A$2:$A$100,0)),"")</f>
        <v>塔拉夏</v>
      </c>
      <c r="N950" t="str">
        <f>IFERROR(INDEX(_角色基线!$C$2:$C$100,MATCH($B950,_角色基线!$A$2:$A$100,0)),"")</f>
        <v>Tank</v>
      </c>
      <c r="O950">
        <f>IFERROR(INDEX(_怪物基线!$B$2:$B$501,MATCH(INT($L950),_怪物基线!$A$2:$A$501,0)),"")</f>
        <v>1773801</v>
      </c>
      <c r="P950">
        <f>IFERROR(INDEX(_怪物基线!$C$2:$C$501,MATCH(INT($L950),_怪物基线!$A$2:$A$501,0)),"")</f>
        <v>119749</v>
      </c>
      <c r="Q950">
        <f>IFERROR(INDEX(_怪物基线!$D$2:$D$501,MATCH(INT($L950),_怪物基线!$A$2:$A$501,0)),"")</f>
        <v>58378</v>
      </c>
      <c r="R950">
        <f>参数!$B$10</f>
        <v>4</v>
      </c>
      <c r="S950">
        <f>参数!$C$10</f>
        <v>1.2</v>
      </c>
      <c r="T950">
        <f>参数!$D$10</f>
        <v>1</v>
      </c>
      <c r="U950">
        <f t="shared" si="112"/>
        <v>7095204</v>
      </c>
      <c r="V950">
        <f t="shared" si="113"/>
        <v>143698.8</v>
      </c>
      <c r="W950">
        <f t="shared" si="114"/>
        <v>58378</v>
      </c>
      <c r="X950">
        <f>IFERROR(INDEX(参数!$B$5:$B$7,MATCH($N950,参数!$A$5:$A$7,0)),"")</f>
        <v>1.5</v>
      </c>
      <c r="Y950">
        <f>IFERROR(INDEX(参数!$C$5:$C$7,MATCH($N950,参数!$A$5:$A$7,0)),"")</f>
        <v>1</v>
      </c>
      <c r="Z950">
        <f>IFERROR(INDEX(参数!$D$5:$D$7,MATCH($N950,参数!$A$5:$A$7,0)),"")</f>
        <v>1.5</v>
      </c>
      <c r="AA950">
        <f>IFERROR(INDEX(楼层配置!$E$5:$E$204,MATCH($K950,楼层配置!$B$5:$B$204,0)),1)</f>
        <v>1.12671592412141</v>
      </c>
      <c r="AB950">
        <f>IFERROR(INDEX(楼层配置!$F$5:$F$204,MATCH($K950,楼层配置!$B$5:$B$204,0)),1)</f>
        <v>0.731229508674054</v>
      </c>
      <c r="AC950">
        <f>IFERROR(INDEX(楼层配置!$G$5:$G$204,MATCH($K950,楼层配置!$B$5:$B$204,0)),1)</f>
        <v>1</v>
      </c>
      <c r="AD950" t="str">
        <f t="shared" si="115"/>
        <v/>
      </c>
      <c r="AE950" t="str">
        <f t="shared" si="116"/>
        <v/>
      </c>
      <c r="AF950" t="str">
        <f t="shared" si="117"/>
        <v/>
      </c>
      <c r="AG950" t="str">
        <f t="shared" si="118"/>
        <v>有效</v>
      </c>
      <c r="AH950">
        <f t="shared" si="119"/>
        <v>47965676</v>
      </c>
    </row>
    <row r="951" spans="1:34">
      <c r="A951">
        <v>947</v>
      </c>
      <c r="B951">
        <v>1005</v>
      </c>
      <c r="C951">
        <v>60</v>
      </c>
      <c r="D951">
        <f>IFERROR(ROUND($U951*$X951*$AA951*参数!$B$13,0),"")</f>
        <v>7994279</v>
      </c>
      <c r="E951">
        <f>IFERROR(ROUND($V951*$Y951*$AB951*参数!$C$13,0),"")</f>
        <v>126092</v>
      </c>
      <c r="F951">
        <f>IFERROR(ROUND($W951*$Z951*$AC951*参数!$D$13,0),"")</f>
        <v>58378</v>
      </c>
      <c r="J951">
        <v>190</v>
      </c>
      <c r="K951">
        <v>190</v>
      </c>
      <c r="L951">
        <f>IFERROR(INDEX(楼层配置!$D$5:$D$204,MATCH($K951,楼层配置!$B$5:$B$204,0)),"")</f>
        <v>462</v>
      </c>
      <c r="M951" t="str">
        <f>IFERROR(INDEX(_角色基线!$B$2:$B$100,MATCH($B951,_角色基线!$A$2:$A$100,0)),"")</f>
        <v>陈单单</v>
      </c>
      <c r="N951" t="str">
        <f>IFERROR(INDEX(_角色基线!$C$2:$C$100,MATCH($B951,_角色基线!$A$2:$A$100,0)),"")</f>
        <v>DPS</v>
      </c>
      <c r="O951">
        <f>IFERROR(INDEX(_怪物基线!$B$2:$B$501,MATCH(INT($L951),_怪物基线!$A$2:$A$501,0)),"")</f>
        <v>1773801</v>
      </c>
      <c r="P951">
        <f>IFERROR(INDEX(_怪物基线!$C$2:$C$501,MATCH(INT($L951),_怪物基线!$A$2:$A$501,0)),"")</f>
        <v>119749</v>
      </c>
      <c r="Q951">
        <f>IFERROR(INDEX(_怪物基线!$D$2:$D$501,MATCH(INT($L951),_怪物基线!$A$2:$A$501,0)),"")</f>
        <v>58378</v>
      </c>
      <c r="R951">
        <f>参数!$B$10</f>
        <v>4</v>
      </c>
      <c r="S951">
        <f>参数!$C$10</f>
        <v>1.2</v>
      </c>
      <c r="T951">
        <f>参数!$D$10</f>
        <v>1</v>
      </c>
      <c r="U951">
        <f t="shared" si="112"/>
        <v>7095204</v>
      </c>
      <c r="V951">
        <f t="shared" si="113"/>
        <v>143698.8</v>
      </c>
      <c r="W951">
        <f t="shared" si="114"/>
        <v>58378</v>
      </c>
      <c r="X951">
        <f>IFERROR(INDEX(参数!$B$5:$B$7,MATCH($N951,参数!$A$5:$A$7,0)),"")</f>
        <v>1</v>
      </c>
      <c r="Y951">
        <f>IFERROR(INDEX(参数!$C$5:$C$7,MATCH($N951,参数!$A$5:$A$7,0)),"")</f>
        <v>1.2</v>
      </c>
      <c r="Z951">
        <f>IFERROR(INDEX(参数!$D$5:$D$7,MATCH($N951,参数!$A$5:$A$7,0)),"")</f>
        <v>1</v>
      </c>
      <c r="AA951">
        <f>IFERROR(INDEX(楼层配置!$E$5:$E$204,MATCH($K951,楼层配置!$B$5:$B$204,0)),1)</f>
        <v>1.12671592412141</v>
      </c>
      <c r="AB951">
        <f>IFERROR(INDEX(楼层配置!$F$5:$F$204,MATCH($K951,楼层配置!$B$5:$B$204,0)),1)</f>
        <v>0.731229508674054</v>
      </c>
      <c r="AC951">
        <f>IFERROR(INDEX(楼层配置!$G$5:$G$204,MATCH($K951,楼层配置!$B$5:$B$204,0)),1)</f>
        <v>1</v>
      </c>
      <c r="AD951" t="str">
        <f t="shared" si="115"/>
        <v/>
      </c>
      <c r="AE951" t="str">
        <f t="shared" si="116"/>
        <v/>
      </c>
      <c r="AF951" t="str">
        <f t="shared" si="117"/>
        <v/>
      </c>
      <c r="AG951" t="str">
        <f t="shared" si="118"/>
        <v>有效</v>
      </c>
      <c r="AH951">
        <f t="shared" si="119"/>
        <v>27439696.4775833</v>
      </c>
    </row>
    <row r="952" spans="1:34">
      <c r="A952">
        <v>948</v>
      </c>
      <c r="B952">
        <v>1005</v>
      </c>
      <c r="C952">
        <v>60</v>
      </c>
      <c r="D952">
        <f>IFERROR(ROUND($U952*$X952*$AA952*参数!$B$13,0),"")</f>
        <v>7994279</v>
      </c>
      <c r="E952">
        <f>IFERROR(ROUND($V952*$Y952*$AB952*参数!$C$13,0),"")</f>
        <v>126092</v>
      </c>
      <c r="F952">
        <f>IFERROR(ROUND($W952*$Z952*$AC952*参数!$D$13,0),"")</f>
        <v>58378</v>
      </c>
      <c r="J952">
        <v>190</v>
      </c>
      <c r="K952">
        <v>190</v>
      </c>
      <c r="L952">
        <f>IFERROR(INDEX(楼层配置!$D$5:$D$204,MATCH($K952,楼层配置!$B$5:$B$204,0)),"")</f>
        <v>462</v>
      </c>
      <c r="M952" t="str">
        <f>IFERROR(INDEX(_角色基线!$B$2:$B$100,MATCH($B952,_角色基线!$A$2:$A$100,0)),"")</f>
        <v>陈单单</v>
      </c>
      <c r="N952" t="str">
        <f>IFERROR(INDEX(_角色基线!$C$2:$C$100,MATCH($B952,_角色基线!$A$2:$A$100,0)),"")</f>
        <v>DPS</v>
      </c>
      <c r="O952">
        <f>IFERROR(INDEX(_怪物基线!$B$2:$B$501,MATCH(INT($L952),_怪物基线!$A$2:$A$501,0)),"")</f>
        <v>1773801</v>
      </c>
      <c r="P952">
        <f>IFERROR(INDEX(_怪物基线!$C$2:$C$501,MATCH(INT($L952),_怪物基线!$A$2:$A$501,0)),"")</f>
        <v>119749</v>
      </c>
      <c r="Q952">
        <f>IFERROR(INDEX(_怪物基线!$D$2:$D$501,MATCH(INT($L952),_怪物基线!$A$2:$A$501,0)),"")</f>
        <v>58378</v>
      </c>
      <c r="R952">
        <f>参数!$B$10</f>
        <v>4</v>
      </c>
      <c r="S952">
        <f>参数!$C$10</f>
        <v>1.2</v>
      </c>
      <c r="T952">
        <f>参数!$D$10</f>
        <v>1</v>
      </c>
      <c r="U952">
        <f t="shared" si="112"/>
        <v>7095204</v>
      </c>
      <c r="V952">
        <f t="shared" si="113"/>
        <v>143698.8</v>
      </c>
      <c r="W952">
        <f t="shared" si="114"/>
        <v>58378</v>
      </c>
      <c r="X952">
        <f>IFERROR(INDEX(参数!$B$5:$B$7,MATCH($N952,参数!$A$5:$A$7,0)),"")</f>
        <v>1</v>
      </c>
      <c r="Y952">
        <f>IFERROR(INDEX(参数!$C$5:$C$7,MATCH($N952,参数!$A$5:$A$7,0)),"")</f>
        <v>1.2</v>
      </c>
      <c r="Z952">
        <f>IFERROR(INDEX(参数!$D$5:$D$7,MATCH($N952,参数!$A$5:$A$7,0)),"")</f>
        <v>1</v>
      </c>
      <c r="AA952">
        <f>IFERROR(INDEX(楼层配置!$E$5:$E$204,MATCH($K952,楼层配置!$B$5:$B$204,0)),1)</f>
        <v>1.12671592412141</v>
      </c>
      <c r="AB952">
        <f>IFERROR(INDEX(楼层配置!$F$5:$F$204,MATCH($K952,楼层配置!$B$5:$B$204,0)),1)</f>
        <v>0.731229508674054</v>
      </c>
      <c r="AC952">
        <f>IFERROR(INDEX(楼层配置!$G$5:$G$204,MATCH($K952,楼层配置!$B$5:$B$204,0)),1)</f>
        <v>1</v>
      </c>
      <c r="AD952" t="str">
        <f t="shared" si="115"/>
        <v/>
      </c>
      <c r="AE952" t="str">
        <f t="shared" si="116"/>
        <v/>
      </c>
      <c r="AF952" t="str">
        <f t="shared" si="117"/>
        <v/>
      </c>
      <c r="AG952" t="str">
        <f t="shared" si="118"/>
        <v>有效</v>
      </c>
      <c r="AH952">
        <f t="shared" si="119"/>
        <v>27439696.4775833</v>
      </c>
    </row>
    <row r="953" spans="1:34">
      <c r="A953">
        <v>949</v>
      </c>
      <c r="B953">
        <v>1005</v>
      </c>
      <c r="C953">
        <v>60</v>
      </c>
      <c r="D953">
        <f>IFERROR(ROUND($U953*$X953*$AA953*参数!$B$13,0),"")</f>
        <v>7994279</v>
      </c>
      <c r="E953">
        <f>IFERROR(ROUND($V953*$Y953*$AB953*参数!$C$13,0),"")</f>
        <v>126092</v>
      </c>
      <c r="F953">
        <f>IFERROR(ROUND($W953*$Z953*$AC953*参数!$D$13,0),"")</f>
        <v>58378</v>
      </c>
      <c r="J953">
        <v>190</v>
      </c>
      <c r="K953">
        <v>190</v>
      </c>
      <c r="L953">
        <f>IFERROR(INDEX(楼层配置!$D$5:$D$204,MATCH($K953,楼层配置!$B$5:$B$204,0)),"")</f>
        <v>462</v>
      </c>
      <c r="M953" t="str">
        <f>IFERROR(INDEX(_角色基线!$B$2:$B$100,MATCH($B953,_角色基线!$A$2:$A$100,0)),"")</f>
        <v>陈单单</v>
      </c>
      <c r="N953" t="str">
        <f>IFERROR(INDEX(_角色基线!$C$2:$C$100,MATCH($B953,_角色基线!$A$2:$A$100,0)),"")</f>
        <v>DPS</v>
      </c>
      <c r="O953">
        <f>IFERROR(INDEX(_怪物基线!$B$2:$B$501,MATCH(INT($L953),_怪物基线!$A$2:$A$501,0)),"")</f>
        <v>1773801</v>
      </c>
      <c r="P953">
        <f>IFERROR(INDEX(_怪物基线!$C$2:$C$501,MATCH(INT($L953),_怪物基线!$A$2:$A$501,0)),"")</f>
        <v>119749</v>
      </c>
      <c r="Q953">
        <f>IFERROR(INDEX(_怪物基线!$D$2:$D$501,MATCH(INT($L953),_怪物基线!$A$2:$A$501,0)),"")</f>
        <v>58378</v>
      </c>
      <c r="R953">
        <f>参数!$B$10</f>
        <v>4</v>
      </c>
      <c r="S953">
        <f>参数!$C$10</f>
        <v>1.2</v>
      </c>
      <c r="T953">
        <f>参数!$D$10</f>
        <v>1</v>
      </c>
      <c r="U953">
        <f t="shared" si="112"/>
        <v>7095204</v>
      </c>
      <c r="V953">
        <f t="shared" si="113"/>
        <v>143698.8</v>
      </c>
      <c r="W953">
        <f t="shared" si="114"/>
        <v>58378</v>
      </c>
      <c r="X953">
        <f>IFERROR(INDEX(参数!$B$5:$B$7,MATCH($N953,参数!$A$5:$A$7,0)),"")</f>
        <v>1</v>
      </c>
      <c r="Y953">
        <f>IFERROR(INDEX(参数!$C$5:$C$7,MATCH($N953,参数!$A$5:$A$7,0)),"")</f>
        <v>1.2</v>
      </c>
      <c r="Z953">
        <f>IFERROR(INDEX(参数!$D$5:$D$7,MATCH($N953,参数!$A$5:$A$7,0)),"")</f>
        <v>1</v>
      </c>
      <c r="AA953">
        <f>IFERROR(INDEX(楼层配置!$E$5:$E$204,MATCH($K953,楼层配置!$B$5:$B$204,0)),1)</f>
        <v>1.12671592412141</v>
      </c>
      <c r="AB953">
        <f>IFERROR(INDEX(楼层配置!$F$5:$F$204,MATCH($K953,楼层配置!$B$5:$B$204,0)),1)</f>
        <v>0.731229508674054</v>
      </c>
      <c r="AC953">
        <f>IFERROR(INDEX(楼层配置!$G$5:$G$204,MATCH($K953,楼层配置!$B$5:$B$204,0)),1)</f>
        <v>1</v>
      </c>
      <c r="AD953" t="str">
        <f t="shared" si="115"/>
        <v/>
      </c>
      <c r="AE953" t="str">
        <f t="shared" si="116"/>
        <v/>
      </c>
      <c r="AF953" t="str">
        <f t="shared" si="117"/>
        <v/>
      </c>
      <c r="AG953" t="str">
        <f t="shared" si="118"/>
        <v>有效</v>
      </c>
      <c r="AH953">
        <f t="shared" si="119"/>
        <v>27439696.4775833</v>
      </c>
    </row>
    <row r="954" spans="1:34">
      <c r="A954">
        <v>950</v>
      </c>
      <c r="B954">
        <v>1029</v>
      </c>
      <c r="C954">
        <v>60</v>
      </c>
      <c r="D954">
        <f>IFERROR(ROUND($U954*$X954*$AA954*参数!$B$13,0),"")</f>
        <v>9992849</v>
      </c>
      <c r="E954">
        <f>IFERROR(ROUND($V954*$Y954*$AB954*参数!$C$13,0),"")</f>
        <v>105077</v>
      </c>
      <c r="F954">
        <f>IFERROR(ROUND($W954*$Z954*$AC954*参数!$D$13,0),"")</f>
        <v>72973</v>
      </c>
      <c r="J954">
        <v>190</v>
      </c>
      <c r="K954">
        <v>190</v>
      </c>
      <c r="L954">
        <f>IFERROR(INDEX(楼层配置!$D$5:$D$204,MATCH($K954,楼层配置!$B$5:$B$204,0)),"")</f>
        <v>462</v>
      </c>
      <c r="M954" t="str">
        <f>IFERROR(INDEX(_角色基线!$B$2:$B$100,MATCH($B954,_角色基线!$A$2:$A$100,0)),"")</f>
        <v>凯兰</v>
      </c>
      <c r="N954" t="str">
        <f>IFERROR(INDEX(_角色基线!$C$2:$C$100,MATCH($B954,_角色基线!$A$2:$A$100,0)),"")</f>
        <v>Support</v>
      </c>
      <c r="O954">
        <f>IFERROR(INDEX(_怪物基线!$B$2:$B$501,MATCH(INT($L954),_怪物基线!$A$2:$A$501,0)),"")</f>
        <v>1773801</v>
      </c>
      <c r="P954">
        <f>IFERROR(INDEX(_怪物基线!$C$2:$C$501,MATCH(INT($L954),_怪物基线!$A$2:$A$501,0)),"")</f>
        <v>119749</v>
      </c>
      <c r="Q954">
        <f>IFERROR(INDEX(_怪物基线!$D$2:$D$501,MATCH(INT($L954),_怪物基线!$A$2:$A$501,0)),"")</f>
        <v>58378</v>
      </c>
      <c r="R954">
        <f>参数!$B$10</f>
        <v>4</v>
      </c>
      <c r="S954">
        <f>参数!$C$10</f>
        <v>1.2</v>
      </c>
      <c r="T954">
        <f>参数!$D$10</f>
        <v>1</v>
      </c>
      <c r="U954">
        <f t="shared" si="112"/>
        <v>7095204</v>
      </c>
      <c r="V954">
        <f t="shared" si="113"/>
        <v>143698.8</v>
      </c>
      <c r="W954">
        <f t="shared" si="114"/>
        <v>58378</v>
      </c>
      <c r="X954">
        <f>IFERROR(INDEX(参数!$B$5:$B$7,MATCH($N954,参数!$A$5:$A$7,0)),"")</f>
        <v>1.25</v>
      </c>
      <c r="Y954">
        <f>IFERROR(INDEX(参数!$C$5:$C$7,MATCH($N954,参数!$A$5:$A$7,0)),"")</f>
        <v>1</v>
      </c>
      <c r="Z954">
        <f>IFERROR(INDEX(参数!$D$5:$D$7,MATCH($N954,参数!$A$5:$A$7,0)),"")</f>
        <v>1.25</v>
      </c>
      <c r="AA954">
        <f>IFERROR(INDEX(楼层配置!$E$5:$E$204,MATCH($K954,楼层配置!$B$5:$B$204,0)),1)</f>
        <v>1.12671592412141</v>
      </c>
      <c r="AB954">
        <f>IFERROR(INDEX(楼层配置!$F$5:$F$204,MATCH($K954,楼层配置!$B$5:$B$204,0)),1)</f>
        <v>0.731229508674054</v>
      </c>
      <c r="AC954">
        <f>IFERROR(INDEX(楼层配置!$G$5:$G$204,MATCH($K954,楼层配置!$B$5:$B$204,0)),1)</f>
        <v>1</v>
      </c>
      <c r="AD954" t="str">
        <f t="shared" si="115"/>
        <v/>
      </c>
      <c r="AE954" t="str">
        <f t="shared" si="116"/>
        <v/>
      </c>
      <c r="AF954" t="str">
        <f t="shared" si="117"/>
        <v/>
      </c>
      <c r="AG954" t="str">
        <f t="shared" si="118"/>
        <v>有效</v>
      </c>
      <c r="AH954">
        <f t="shared" si="119"/>
        <v>39971396</v>
      </c>
    </row>
    <row r="955" spans="1:34">
      <c r="A955">
        <v>951</v>
      </c>
      <c r="B955">
        <v>1003</v>
      </c>
      <c r="C955">
        <v>60</v>
      </c>
      <c r="D955">
        <f>IFERROR(ROUND($U955*$X955*$AA955*参数!$B$13,0),"")</f>
        <v>12324426</v>
      </c>
      <c r="E955">
        <f>IFERROR(ROUND($V955*$Y955*$AB955*参数!$C$13,0),"")</f>
        <v>107350</v>
      </c>
      <c r="F955">
        <f>IFERROR(ROUND($W955*$Z955*$AC955*参数!$D$13,0),"")</f>
        <v>88643</v>
      </c>
      <c r="J955">
        <v>191</v>
      </c>
      <c r="K955">
        <v>191</v>
      </c>
      <c r="L955">
        <f>IFERROR(INDEX(楼层配置!$D$5:$D$204,MATCH($K955,楼层配置!$B$5:$B$204,0)),"")</f>
        <v>466</v>
      </c>
      <c r="M955" t="str">
        <f>IFERROR(INDEX(_角色基线!$B$2:$B$100,MATCH($B955,_角色基线!$A$2:$A$100,0)),"")</f>
        <v>塔拉夏</v>
      </c>
      <c r="N955" t="str">
        <f>IFERROR(INDEX(_角色基线!$C$2:$C$100,MATCH($B955,_角色基线!$A$2:$A$100,0)),"")</f>
        <v>Tank</v>
      </c>
      <c r="O955">
        <f>IFERROR(INDEX(_怪物基线!$B$2:$B$501,MATCH(INT($L955),_怪物基线!$A$2:$A$501,0)),"")</f>
        <v>1824510</v>
      </c>
      <c r="P955">
        <f>IFERROR(INDEX(_怪物基线!$C$2:$C$501,MATCH(INT($L955),_怪物基线!$A$2:$A$501,0)),"")</f>
        <v>122573</v>
      </c>
      <c r="Q955">
        <f>IFERROR(INDEX(_怪物基线!$D$2:$D$501,MATCH(INT($L955),_怪物基线!$A$2:$A$501,0)),"")</f>
        <v>59095</v>
      </c>
      <c r="R955">
        <f>参数!$B$10</f>
        <v>4</v>
      </c>
      <c r="S955">
        <f>参数!$C$10</f>
        <v>1.2</v>
      </c>
      <c r="T955">
        <f>参数!$D$10</f>
        <v>1</v>
      </c>
      <c r="U955">
        <f t="shared" si="112"/>
        <v>7298040</v>
      </c>
      <c r="V955">
        <f t="shared" si="113"/>
        <v>147087.6</v>
      </c>
      <c r="W955">
        <f t="shared" si="114"/>
        <v>59095</v>
      </c>
      <c r="X955">
        <f>IFERROR(INDEX(参数!$B$5:$B$7,MATCH($N955,参数!$A$5:$A$7,0)),"")</f>
        <v>1.5</v>
      </c>
      <c r="Y955">
        <f>IFERROR(INDEX(参数!$C$5:$C$7,MATCH($N955,参数!$A$5:$A$7,0)),"")</f>
        <v>1</v>
      </c>
      <c r="Z955">
        <f>IFERROR(INDEX(参数!$D$5:$D$7,MATCH($N955,参数!$A$5:$A$7,0)),"")</f>
        <v>1.5</v>
      </c>
      <c r="AA955">
        <f>IFERROR(INDEX(楼层配置!$E$5:$E$204,MATCH($K955,楼层配置!$B$5:$B$204,0)),1)</f>
        <v>1.12582067235919</v>
      </c>
      <c r="AB955">
        <f>IFERROR(INDEX(楼层配置!$F$5:$F$204,MATCH($K955,楼层配置!$B$5:$B$204,0)),1)</f>
        <v>0.729834891319568</v>
      </c>
      <c r="AC955">
        <f>IFERROR(INDEX(楼层配置!$G$5:$G$204,MATCH($K955,楼层配置!$B$5:$B$204,0)),1)</f>
        <v>1</v>
      </c>
      <c r="AD955" t="str">
        <f t="shared" si="115"/>
        <v/>
      </c>
      <c r="AE955" t="str">
        <f t="shared" si="116"/>
        <v/>
      </c>
      <c r="AF955" t="str">
        <f t="shared" si="117"/>
        <v/>
      </c>
      <c r="AG955" t="str">
        <f t="shared" si="118"/>
        <v>有效</v>
      </c>
      <c r="AH955">
        <f t="shared" si="119"/>
        <v>49297704</v>
      </c>
    </row>
    <row r="956" spans="1:34">
      <c r="A956">
        <v>952</v>
      </c>
      <c r="B956">
        <v>1005</v>
      </c>
      <c r="C956">
        <v>60</v>
      </c>
      <c r="D956">
        <f>IFERROR(ROUND($U956*$X956*$AA956*参数!$B$13,0),"")</f>
        <v>8216284</v>
      </c>
      <c r="E956">
        <f>IFERROR(ROUND($V956*$Y956*$AB956*参数!$C$13,0),"")</f>
        <v>128820</v>
      </c>
      <c r="F956">
        <f>IFERROR(ROUND($W956*$Z956*$AC956*参数!$D$13,0),"")</f>
        <v>59095</v>
      </c>
      <c r="J956">
        <v>191</v>
      </c>
      <c r="K956">
        <v>191</v>
      </c>
      <c r="L956">
        <f>IFERROR(INDEX(楼层配置!$D$5:$D$204,MATCH($K956,楼层配置!$B$5:$B$204,0)),"")</f>
        <v>466</v>
      </c>
      <c r="M956" t="str">
        <f>IFERROR(INDEX(_角色基线!$B$2:$B$100,MATCH($B956,_角色基线!$A$2:$A$100,0)),"")</f>
        <v>陈单单</v>
      </c>
      <c r="N956" t="str">
        <f>IFERROR(INDEX(_角色基线!$C$2:$C$100,MATCH($B956,_角色基线!$A$2:$A$100,0)),"")</f>
        <v>DPS</v>
      </c>
      <c r="O956">
        <f>IFERROR(INDEX(_怪物基线!$B$2:$B$501,MATCH(INT($L956),_怪物基线!$A$2:$A$501,0)),"")</f>
        <v>1824510</v>
      </c>
      <c r="P956">
        <f>IFERROR(INDEX(_怪物基线!$C$2:$C$501,MATCH(INT($L956),_怪物基线!$A$2:$A$501,0)),"")</f>
        <v>122573</v>
      </c>
      <c r="Q956">
        <f>IFERROR(INDEX(_怪物基线!$D$2:$D$501,MATCH(INT($L956),_怪物基线!$A$2:$A$501,0)),"")</f>
        <v>59095</v>
      </c>
      <c r="R956">
        <f>参数!$B$10</f>
        <v>4</v>
      </c>
      <c r="S956">
        <f>参数!$C$10</f>
        <v>1.2</v>
      </c>
      <c r="T956">
        <f>参数!$D$10</f>
        <v>1</v>
      </c>
      <c r="U956">
        <f t="shared" si="112"/>
        <v>7298040</v>
      </c>
      <c r="V956">
        <f t="shared" si="113"/>
        <v>147087.6</v>
      </c>
      <c r="W956">
        <f t="shared" si="114"/>
        <v>59095</v>
      </c>
      <c r="X956">
        <f>IFERROR(INDEX(参数!$B$5:$B$7,MATCH($N956,参数!$A$5:$A$7,0)),"")</f>
        <v>1</v>
      </c>
      <c r="Y956">
        <f>IFERROR(INDEX(参数!$C$5:$C$7,MATCH($N956,参数!$A$5:$A$7,0)),"")</f>
        <v>1.2</v>
      </c>
      <c r="Z956">
        <f>IFERROR(INDEX(参数!$D$5:$D$7,MATCH($N956,参数!$A$5:$A$7,0)),"")</f>
        <v>1</v>
      </c>
      <c r="AA956">
        <f>IFERROR(INDEX(楼层配置!$E$5:$E$204,MATCH($K956,楼层配置!$B$5:$B$204,0)),1)</f>
        <v>1.12582067235919</v>
      </c>
      <c r="AB956">
        <f>IFERROR(INDEX(楼层配置!$F$5:$F$204,MATCH($K956,楼层配置!$B$5:$B$204,0)),1)</f>
        <v>0.729834891319568</v>
      </c>
      <c r="AC956">
        <f>IFERROR(INDEX(楼层配置!$G$5:$G$204,MATCH($K956,楼层配置!$B$5:$B$204,0)),1)</f>
        <v>1</v>
      </c>
      <c r="AD956" t="str">
        <f t="shared" si="115"/>
        <v/>
      </c>
      <c r="AE956" t="str">
        <f t="shared" si="116"/>
        <v/>
      </c>
      <c r="AF956" t="str">
        <f t="shared" si="117"/>
        <v/>
      </c>
      <c r="AG956" t="str">
        <f t="shared" si="118"/>
        <v>有效</v>
      </c>
      <c r="AH956">
        <f t="shared" si="119"/>
        <v>28447171.6241667</v>
      </c>
    </row>
    <row r="957" spans="1:34">
      <c r="A957">
        <v>953</v>
      </c>
      <c r="B957">
        <v>1005</v>
      </c>
      <c r="C957">
        <v>60</v>
      </c>
      <c r="D957">
        <f>IFERROR(ROUND($U957*$X957*$AA957*参数!$B$13,0),"")</f>
        <v>8216284</v>
      </c>
      <c r="E957">
        <f>IFERROR(ROUND($V957*$Y957*$AB957*参数!$C$13,0),"")</f>
        <v>128820</v>
      </c>
      <c r="F957">
        <f>IFERROR(ROUND($W957*$Z957*$AC957*参数!$D$13,0),"")</f>
        <v>59095</v>
      </c>
      <c r="J957">
        <v>191</v>
      </c>
      <c r="K957">
        <v>191</v>
      </c>
      <c r="L957">
        <f>IFERROR(INDEX(楼层配置!$D$5:$D$204,MATCH($K957,楼层配置!$B$5:$B$204,0)),"")</f>
        <v>466</v>
      </c>
      <c r="M957" t="str">
        <f>IFERROR(INDEX(_角色基线!$B$2:$B$100,MATCH($B957,_角色基线!$A$2:$A$100,0)),"")</f>
        <v>陈单单</v>
      </c>
      <c r="N957" t="str">
        <f>IFERROR(INDEX(_角色基线!$C$2:$C$100,MATCH($B957,_角色基线!$A$2:$A$100,0)),"")</f>
        <v>DPS</v>
      </c>
      <c r="O957">
        <f>IFERROR(INDEX(_怪物基线!$B$2:$B$501,MATCH(INT($L957),_怪物基线!$A$2:$A$501,0)),"")</f>
        <v>1824510</v>
      </c>
      <c r="P957">
        <f>IFERROR(INDEX(_怪物基线!$C$2:$C$501,MATCH(INT($L957),_怪物基线!$A$2:$A$501,0)),"")</f>
        <v>122573</v>
      </c>
      <c r="Q957">
        <f>IFERROR(INDEX(_怪物基线!$D$2:$D$501,MATCH(INT($L957),_怪物基线!$A$2:$A$501,0)),"")</f>
        <v>59095</v>
      </c>
      <c r="R957">
        <f>参数!$B$10</f>
        <v>4</v>
      </c>
      <c r="S957">
        <f>参数!$C$10</f>
        <v>1.2</v>
      </c>
      <c r="T957">
        <f>参数!$D$10</f>
        <v>1</v>
      </c>
      <c r="U957">
        <f t="shared" si="112"/>
        <v>7298040</v>
      </c>
      <c r="V957">
        <f t="shared" si="113"/>
        <v>147087.6</v>
      </c>
      <c r="W957">
        <f t="shared" si="114"/>
        <v>59095</v>
      </c>
      <c r="X957">
        <f>IFERROR(INDEX(参数!$B$5:$B$7,MATCH($N957,参数!$A$5:$A$7,0)),"")</f>
        <v>1</v>
      </c>
      <c r="Y957">
        <f>IFERROR(INDEX(参数!$C$5:$C$7,MATCH($N957,参数!$A$5:$A$7,0)),"")</f>
        <v>1.2</v>
      </c>
      <c r="Z957">
        <f>IFERROR(INDEX(参数!$D$5:$D$7,MATCH($N957,参数!$A$5:$A$7,0)),"")</f>
        <v>1</v>
      </c>
      <c r="AA957">
        <f>IFERROR(INDEX(楼层配置!$E$5:$E$204,MATCH($K957,楼层配置!$B$5:$B$204,0)),1)</f>
        <v>1.12582067235919</v>
      </c>
      <c r="AB957">
        <f>IFERROR(INDEX(楼层配置!$F$5:$F$204,MATCH($K957,楼层配置!$B$5:$B$204,0)),1)</f>
        <v>0.729834891319568</v>
      </c>
      <c r="AC957">
        <f>IFERROR(INDEX(楼层配置!$G$5:$G$204,MATCH($K957,楼层配置!$B$5:$B$204,0)),1)</f>
        <v>1</v>
      </c>
      <c r="AD957" t="str">
        <f t="shared" si="115"/>
        <v/>
      </c>
      <c r="AE957" t="str">
        <f t="shared" si="116"/>
        <v/>
      </c>
      <c r="AF957" t="str">
        <f t="shared" si="117"/>
        <v/>
      </c>
      <c r="AG957" t="str">
        <f t="shared" si="118"/>
        <v>有效</v>
      </c>
      <c r="AH957">
        <f t="shared" si="119"/>
        <v>28447171.6241667</v>
      </c>
    </row>
    <row r="958" spans="1:34">
      <c r="A958">
        <v>954</v>
      </c>
      <c r="B958">
        <v>1005</v>
      </c>
      <c r="C958">
        <v>60</v>
      </c>
      <c r="D958">
        <f>IFERROR(ROUND($U958*$X958*$AA958*参数!$B$13,0),"")</f>
        <v>8216284</v>
      </c>
      <c r="E958">
        <f>IFERROR(ROUND($V958*$Y958*$AB958*参数!$C$13,0),"")</f>
        <v>128820</v>
      </c>
      <c r="F958">
        <f>IFERROR(ROUND($W958*$Z958*$AC958*参数!$D$13,0),"")</f>
        <v>59095</v>
      </c>
      <c r="J958">
        <v>191</v>
      </c>
      <c r="K958">
        <v>191</v>
      </c>
      <c r="L958">
        <f>IFERROR(INDEX(楼层配置!$D$5:$D$204,MATCH($K958,楼层配置!$B$5:$B$204,0)),"")</f>
        <v>466</v>
      </c>
      <c r="M958" t="str">
        <f>IFERROR(INDEX(_角色基线!$B$2:$B$100,MATCH($B958,_角色基线!$A$2:$A$100,0)),"")</f>
        <v>陈单单</v>
      </c>
      <c r="N958" t="str">
        <f>IFERROR(INDEX(_角色基线!$C$2:$C$100,MATCH($B958,_角色基线!$A$2:$A$100,0)),"")</f>
        <v>DPS</v>
      </c>
      <c r="O958">
        <f>IFERROR(INDEX(_怪物基线!$B$2:$B$501,MATCH(INT($L958),_怪物基线!$A$2:$A$501,0)),"")</f>
        <v>1824510</v>
      </c>
      <c r="P958">
        <f>IFERROR(INDEX(_怪物基线!$C$2:$C$501,MATCH(INT($L958),_怪物基线!$A$2:$A$501,0)),"")</f>
        <v>122573</v>
      </c>
      <c r="Q958">
        <f>IFERROR(INDEX(_怪物基线!$D$2:$D$501,MATCH(INT($L958),_怪物基线!$A$2:$A$501,0)),"")</f>
        <v>59095</v>
      </c>
      <c r="R958">
        <f>参数!$B$10</f>
        <v>4</v>
      </c>
      <c r="S958">
        <f>参数!$C$10</f>
        <v>1.2</v>
      </c>
      <c r="T958">
        <f>参数!$D$10</f>
        <v>1</v>
      </c>
      <c r="U958">
        <f t="shared" si="112"/>
        <v>7298040</v>
      </c>
      <c r="V958">
        <f t="shared" si="113"/>
        <v>147087.6</v>
      </c>
      <c r="W958">
        <f t="shared" si="114"/>
        <v>59095</v>
      </c>
      <c r="X958">
        <f>IFERROR(INDEX(参数!$B$5:$B$7,MATCH($N958,参数!$A$5:$A$7,0)),"")</f>
        <v>1</v>
      </c>
      <c r="Y958">
        <f>IFERROR(INDEX(参数!$C$5:$C$7,MATCH($N958,参数!$A$5:$A$7,0)),"")</f>
        <v>1.2</v>
      </c>
      <c r="Z958">
        <f>IFERROR(INDEX(参数!$D$5:$D$7,MATCH($N958,参数!$A$5:$A$7,0)),"")</f>
        <v>1</v>
      </c>
      <c r="AA958">
        <f>IFERROR(INDEX(楼层配置!$E$5:$E$204,MATCH($K958,楼层配置!$B$5:$B$204,0)),1)</f>
        <v>1.12582067235919</v>
      </c>
      <c r="AB958">
        <f>IFERROR(INDEX(楼层配置!$F$5:$F$204,MATCH($K958,楼层配置!$B$5:$B$204,0)),1)</f>
        <v>0.729834891319568</v>
      </c>
      <c r="AC958">
        <f>IFERROR(INDEX(楼层配置!$G$5:$G$204,MATCH($K958,楼层配置!$B$5:$B$204,0)),1)</f>
        <v>1</v>
      </c>
      <c r="AD958" t="str">
        <f t="shared" si="115"/>
        <v/>
      </c>
      <c r="AE958" t="str">
        <f t="shared" si="116"/>
        <v/>
      </c>
      <c r="AF958" t="str">
        <f t="shared" si="117"/>
        <v/>
      </c>
      <c r="AG958" t="str">
        <f t="shared" si="118"/>
        <v>有效</v>
      </c>
      <c r="AH958">
        <f t="shared" si="119"/>
        <v>28447171.6241667</v>
      </c>
    </row>
    <row r="959" spans="1:34">
      <c r="A959">
        <v>955</v>
      </c>
      <c r="B959">
        <v>1029</v>
      </c>
      <c r="C959">
        <v>60</v>
      </c>
      <c r="D959">
        <f>IFERROR(ROUND($U959*$X959*$AA959*参数!$B$13,0),"")</f>
        <v>10270355</v>
      </c>
      <c r="E959">
        <f>IFERROR(ROUND($V959*$Y959*$AB959*参数!$C$13,0),"")</f>
        <v>107350</v>
      </c>
      <c r="F959">
        <f>IFERROR(ROUND($W959*$Z959*$AC959*参数!$D$13,0),"")</f>
        <v>73869</v>
      </c>
      <c r="J959">
        <v>191</v>
      </c>
      <c r="K959">
        <v>191</v>
      </c>
      <c r="L959">
        <f>IFERROR(INDEX(楼层配置!$D$5:$D$204,MATCH($K959,楼层配置!$B$5:$B$204,0)),"")</f>
        <v>466</v>
      </c>
      <c r="M959" t="str">
        <f>IFERROR(INDEX(_角色基线!$B$2:$B$100,MATCH($B959,_角色基线!$A$2:$A$100,0)),"")</f>
        <v>凯兰</v>
      </c>
      <c r="N959" t="str">
        <f>IFERROR(INDEX(_角色基线!$C$2:$C$100,MATCH($B959,_角色基线!$A$2:$A$100,0)),"")</f>
        <v>Support</v>
      </c>
      <c r="O959">
        <f>IFERROR(INDEX(_怪物基线!$B$2:$B$501,MATCH(INT($L959),_怪物基线!$A$2:$A$501,0)),"")</f>
        <v>1824510</v>
      </c>
      <c r="P959">
        <f>IFERROR(INDEX(_怪物基线!$C$2:$C$501,MATCH(INT($L959),_怪物基线!$A$2:$A$501,0)),"")</f>
        <v>122573</v>
      </c>
      <c r="Q959">
        <f>IFERROR(INDEX(_怪物基线!$D$2:$D$501,MATCH(INT($L959),_怪物基线!$A$2:$A$501,0)),"")</f>
        <v>59095</v>
      </c>
      <c r="R959">
        <f>参数!$B$10</f>
        <v>4</v>
      </c>
      <c r="S959">
        <f>参数!$C$10</f>
        <v>1.2</v>
      </c>
      <c r="T959">
        <f>参数!$D$10</f>
        <v>1</v>
      </c>
      <c r="U959">
        <f t="shared" si="112"/>
        <v>7298040</v>
      </c>
      <c r="V959">
        <f t="shared" si="113"/>
        <v>147087.6</v>
      </c>
      <c r="W959">
        <f t="shared" si="114"/>
        <v>59095</v>
      </c>
      <c r="X959">
        <f>IFERROR(INDEX(参数!$B$5:$B$7,MATCH($N959,参数!$A$5:$A$7,0)),"")</f>
        <v>1.25</v>
      </c>
      <c r="Y959">
        <f>IFERROR(INDEX(参数!$C$5:$C$7,MATCH($N959,参数!$A$5:$A$7,0)),"")</f>
        <v>1</v>
      </c>
      <c r="Z959">
        <f>IFERROR(INDEX(参数!$D$5:$D$7,MATCH($N959,参数!$A$5:$A$7,0)),"")</f>
        <v>1.25</v>
      </c>
      <c r="AA959">
        <f>IFERROR(INDEX(楼层配置!$E$5:$E$204,MATCH($K959,楼层配置!$B$5:$B$204,0)),1)</f>
        <v>1.12582067235919</v>
      </c>
      <c r="AB959">
        <f>IFERROR(INDEX(楼层配置!$F$5:$F$204,MATCH($K959,楼层配置!$B$5:$B$204,0)),1)</f>
        <v>0.729834891319568</v>
      </c>
      <c r="AC959">
        <f>IFERROR(INDEX(楼层配置!$G$5:$G$204,MATCH($K959,楼层配置!$B$5:$B$204,0)),1)</f>
        <v>1</v>
      </c>
      <c r="AD959" t="str">
        <f t="shared" si="115"/>
        <v/>
      </c>
      <c r="AE959" t="str">
        <f t="shared" si="116"/>
        <v/>
      </c>
      <c r="AF959" t="str">
        <f t="shared" si="117"/>
        <v/>
      </c>
      <c r="AG959" t="str">
        <f t="shared" si="118"/>
        <v>有效</v>
      </c>
      <c r="AH959">
        <f t="shared" si="119"/>
        <v>41081420</v>
      </c>
    </row>
    <row r="960" spans="1:34">
      <c r="A960">
        <v>956</v>
      </c>
      <c r="B960">
        <v>1003</v>
      </c>
      <c r="C960">
        <v>60</v>
      </c>
      <c r="D960">
        <f>IFERROR(ROUND($U960*$X960*$AA960*参数!$B$13,0),"")</f>
        <v>12674825</v>
      </c>
      <c r="E960">
        <f>IFERROR(ROUND($V960*$Y960*$AB960*参数!$C$13,0),"")</f>
        <v>109872</v>
      </c>
      <c r="F960">
        <f>IFERROR(ROUND($W960*$Z960*$AC960*参数!$D$13,0),"")</f>
        <v>89724</v>
      </c>
      <c r="J960">
        <v>192</v>
      </c>
      <c r="K960">
        <v>192</v>
      </c>
      <c r="L960">
        <f>IFERROR(INDEX(楼层配置!$D$5:$D$204,MATCH($K960,楼层配置!$B$5:$B$204,0)),"")</f>
        <v>470</v>
      </c>
      <c r="M960" t="str">
        <f>IFERROR(INDEX(_角色基线!$B$2:$B$100,MATCH($B960,_角色基线!$A$2:$A$100,0)),"")</f>
        <v>塔拉夏</v>
      </c>
      <c r="N960" t="str">
        <f>IFERROR(INDEX(_角色基线!$C$2:$C$100,MATCH($B960,_角色基线!$A$2:$A$100,0)),"")</f>
        <v>Tank</v>
      </c>
      <c r="O960">
        <f>IFERROR(INDEX(_怪物基线!$B$2:$B$501,MATCH(INT($L960),_怪物基线!$A$2:$A$501,0)),"")</f>
        <v>1876383</v>
      </c>
      <c r="P960">
        <f>IFERROR(INDEX(_怪物基线!$C$2:$C$501,MATCH(INT($L960),_怪物基线!$A$2:$A$501,0)),"")</f>
        <v>125453</v>
      </c>
      <c r="Q960">
        <f>IFERROR(INDEX(_怪物基线!$D$2:$D$501,MATCH(INT($L960),_怪物基线!$A$2:$A$501,0)),"")</f>
        <v>59816</v>
      </c>
      <c r="R960">
        <f>参数!$B$10</f>
        <v>4</v>
      </c>
      <c r="S960">
        <f>参数!$C$10</f>
        <v>1.2</v>
      </c>
      <c r="T960">
        <f>参数!$D$10</f>
        <v>1</v>
      </c>
      <c r="U960">
        <f t="shared" si="112"/>
        <v>7505532</v>
      </c>
      <c r="V960">
        <f t="shared" si="113"/>
        <v>150543.6</v>
      </c>
      <c r="W960">
        <f t="shared" si="114"/>
        <v>59816</v>
      </c>
      <c r="X960">
        <f>IFERROR(INDEX(参数!$B$5:$B$7,MATCH($N960,参数!$A$5:$A$7,0)),"")</f>
        <v>1.5</v>
      </c>
      <c r="Y960">
        <f>IFERROR(INDEX(参数!$C$5:$C$7,MATCH($N960,参数!$A$5:$A$7,0)),"")</f>
        <v>1</v>
      </c>
      <c r="Z960">
        <f>IFERROR(INDEX(参数!$D$5:$D$7,MATCH($N960,参数!$A$5:$A$7,0)),"")</f>
        <v>1.5</v>
      </c>
      <c r="AA960">
        <f>IFERROR(INDEX(楼层配置!$E$5:$E$204,MATCH($K960,楼层配置!$B$5:$B$204,0)),1)</f>
        <v>1.12582067235919</v>
      </c>
      <c r="AB960">
        <f>IFERROR(INDEX(楼层配置!$F$5:$F$204,MATCH($K960,楼层配置!$B$5:$B$204,0)),1)</f>
        <v>0.729834891319568</v>
      </c>
      <c r="AC960">
        <f>IFERROR(INDEX(楼层配置!$G$5:$G$204,MATCH($K960,楼层配置!$B$5:$B$204,0)),1)</f>
        <v>1</v>
      </c>
      <c r="AD960" t="str">
        <f t="shared" si="115"/>
        <v/>
      </c>
      <c r="AE960" t="str">
        <f t="shared" si="116"/>
        <v/>
      </c>
      <c r="AF960" t="str">
        <f t="shared" si="117"/>
        <v/>
      </c>
      <c r="AG960" t="str">
        <f t="shared" si="118"/>
        <v>有效</v>
      </c>
      <c r="AH960">
        <f t="shared" si="119"/>
        <v>50699300</v>
      </c>
    </row>
    <row r="961" spans="1:34">
      <c r="A961">
        <v>957</v>
      </c>
      <c r="B961">
        <v>1005</v>
      </c>
      <c r="C961">
        <v>60</v>
      </c>
      <c r="D961">
        <f>IFERROR(ROUND($U961*$X961*$AA961*参数!$B$13,0),"")</f>
        <v>8449883</v>
      </c>
      <c r="E961">
        <f>IFERROR(ROUND($V961*$Y961*$AB961*参数!$C$13,0),"")</f>
        <v>131846</v>
      </c>
      <c r="F961">
        <f>IFERROR(ROUND($W961*$Z961*$AC961*参数!$D$13,0),"")</f>
        <v>59816</v>
      </c>
      <c r="J961">
        <v>192</v>
      </c>
      <c r="K961">
        <v>192</v>
      </c>
      <c r="L961">
        <f>IFERROR(INDEX(楼层配置!$D$5:$D$204,MATCH($K961,楼层配置!$B$5:$B$204,0)),"")</f>
        <v>470</v>
      </c>
      <c r="M961" t="str">
        <f>IFERROR(INDEX(_角色基线!$B$2:$B$100,MATCH($B961,_角色基线!$A$2:$A$100,0)),"")</f>
        <v>陈单单</v>
      </c>
      <c r="N961" t="str">
        <f>IFERROR(INDEX(_角色基线!$C$2:$C$100,MATCH($B961,_角色基线!$A$2:$A$100,0)),"")</f>
        <v>DPS</v>
      </c>
      <c r="O961">
        <f>IFERROR(INDEX(_怪物基线!$B$2:$B$501,MATCH(INT($L961),_怪物基线!$A$2:$A$501,0)),"")</f>
        <v>1876383</v>
      </c>
      <c r="P961">
        <f>IFERROR(INDEX(_怪物基线!$C$2:$C$501,MATCH(INT($L961),_怪物基线!$A$2:$A$501,0)),"")</f>
        <v>125453</v>
      </c>
      <c r="Q961">
        <f>IFERROR(INDEX(_怪物基线!$D$2:$D$501,MATCH(INT($L961),_怪物基线!$A$2:$A$501,0)),"")</f>
        <v>59816</v>
      </c>
      <c r="R961">
        <f>参数!$B$10</f>
        <v>4</v>
      </c>
      <c r="S961">
        <f>参数!$C$10</f>
        <v>1.2</v>
      </c>
      <c r="T961">
        <f>参数!$D$10</f>
        <v>1</v>
      </c>
      <c r="U961">
        <f t="shared" si="112"/>
        <v>7505532</v>
      </c>
      <c r="V961">
        <f t="shared" si="113"/>
        <v>150543.6</v>
      </c>
      <c r="W961">
        <f t="shared" si="114"/>
        <v>59816</v>
      </c>
      <c r="X961">
        <f>IFERROR(INDEX(参数!$B$5:$B$7,MATCH($N961,参数!$A$5:$A$7,0)),"")</f>
        <v>1</v>
      </c>
      <c r="Y961">
        <f>IFERROR(INDEX(参数!$C$5:$C$7,MATCH($N961,参数!$A$5:$A$7,0)),"")</f>
        <v>1.2</v>
      </c>
      <c r="Z961">
        <f>IFERROR(INDEX(参数!$D$5:$D$7,MATCH($N961,参数!$A$5:$A$7,0)),"")</f>
        <v>1</v>
      </c>
      <c r="AA961">
        <f>IFERROR(INDEX(楼层配置!$E$5:$E$204,MATCH($K961,楼层配置!$B$5:$B$204,0)),1)</f>
        <v>1.12582067235919</v>
      </c>
      <c r="AB961">
        <f>IFERROR(INDEX(楼层配置!$F$5:$F$204,MATCH($K961,楼层配置!$B$5:$B$204,0)),1)</f>
        <v>0.729834891319568</v>
      </c>
      <c r="AC961">
        <f>IFERROR(INDEX(楼层配置!$G$5:$G$204,MATCH($K961,楼层配置!$B$5:$B$204,0)),1)</f>
        <v>1</v>
      </c>
      <c r="AD961" t="str">
        <f t="shared" si="115"/>
        <v/>
      </c>
      <c r="AE961" t="str">
        <f t="shared" si="116"/>
        <v/>
      </c>
      <c r="AF961" t="str">
        <f t="shared" si="117"/>
        <v/>
      </c>
      <c r="AG961" t="str">
        <f t="shared" si="118"/>
        <v>有效</v>
      </c>
      <c r="AH961">
        <f t="shared" si="119"/>
        <v>29509808.0636667</v>
      </c>
    </row>
    <row r="962" spans="1:34">
      <c r="A962">
        <v>958</v>
      </c>
      <c r="B962">
        <v>1005</v>
      </c>
      <c r="C962">
        <v>60</v>
      </c>
      <c r="D962">
        <f>IFERROR(ROUND($U962*$X962*$AA962*参数!$B$13,0),"")</f>
        <v>8449883</v>
      </c>
      <c r="E962">
        <f>IFERROR(ROUND($V962*$Y962*$AB962*参数!$C$13,0),"")</f>
        <v>131846</v>
      </c>
      <c r="F962">
        <f>IFERROR(ROUND($W962*$Z962*$AC962*参数!$D$13,0),"")</f>
        <v>59816</v>
      </c>
      <c r="J962">
        <v>192</v>
      </c>
      <c r="K962">
        <v>192</v>
      </c>
      <c r="L962">
        <f>IFERROR(INDEX(楼层配置!$D$5:$D$204,MATCH($K962,楼层配置!$B$5:$B$204,0)),"")</f>
        <v>470</v>
      </c>
      <c r="M962" t="str">
        <f>IFERROR(INDEX(_角色基线!$B$2:$B$100,MATCH($B962,_角色基线!$A$2:$A$100,0)),"")</f>
        <v>陈单单</v>
      </c>
      <c r="N962" t="str">
        <f>IFERROR(INDEX(_角色基线!$C$2:$C$100,MATCH($B962,_角色基线!$A$2:$A$100,0)),"")</f>
        <v>DPS</v>
      </c>
      <c r="O962">
        <f>IFERROR(INDEX(_怪物基线!$B$2:$B$501,MATCH(INT($L962),_怪物基线!$A$2:$A$501,0)),"")</f>
        <v>1876383</v>
      </c>
      <c r="P962">
        <f>IFERROR(INDEX(_怪物基线!$C$2:$C$501,MATCH(INT($L962),_怪物基线!$A$2:$A$501,0)),"")</f>
        <v>125453</v>
      </c>
      <c r="Q962">
        <f>IFERROR(INDEX(_怪物基线!$D$2:$D$501,MATCH(INT($L962),_怪物基线!$A$2:$A$501,0)),"")</f>
        <v>59816</v>
      </c>
      <c r="R962">
        <f>参数!$B$10</f>
        <v>4</v>
      </c>
      <c r="S962">
        <f>参数!$C$10</f>
        <v>1.2</v>
      </c>
      <c r="T962">
        <f>参数!$D$10</f>
        <v>1</v>
      </c>
      <c r="U962">
        <f t="shared" si="112"/>
        <v>7505532</v>
      </c>
      <c r="V962">
        <f t="shared" si="113"/>
        <v>150543.6</v>
      </c>
      <c r="W962">
        <f t="shared" si="114"/>
        <v>59816</v>
      </c>
      <c r="X962">
        <f>IFERROR(INDEX(参数!$B$5:$B$7,MATCH($N962,参数!$A$5:$A$7,0)),"")</f>
        <v>1</v>
      </c>
      <c r="Y962">
        <f>IFERROR(INDEX(参数!$C$5:$C$7,MATCH($N962,参数!$A$5:$A$7,0)),"")</f>
        <v>1.2</v>
      </c>
      <c r="Z962">
        <f>IFERROR(INDEX(参数!$D$5:$D$7,MATCH($N962,参数!$A$5:$A$7,0)),"")</f>
        <v>1</v>
      </c>
      <c r="AA962">
        <f>IFERROR(INDEX(楼层配置!$E$5:$E$204,MATCH($K962,楼层配置!$B$5:$B$204,0)),1)</f>
        <v>1.12582067235919</v>
      </c>
      <c r="AB962">
        <f>IFERROR(INDEX(楼层配置!$F$5:$F$204,MATCH($K962,楼层配置!$B$5:$B$204,0)),1)</f>
        <v>0.729834891319568</v>
      </c>
      <c r="AC962">
        <f>IFERROR(INDEX(楼层配置!$G$5:$G$204,MATCH($K962,楼层配置!$B$5:$B$204,0)),1)</f>
        <v>1</v>
      </c>
      <c r="AD962" t="str">
        <f t="shared" si="115"/>
        <v/>
      </c>
      <c r="AE962" t="str">
        <f t="shared" si="116"/>
        <v/>
      </c>
      <c r="AF962" t="str">
        <f t="shared" si="117"/>
        <v/>
      </c>
      <c r="AG962" t="str">
        <f t="shared" si="118"/>
        <v>有效</v>
      </c>
      <c r="AH962">
        <f t="shared" si="119"/>
        <v>29509808.0636667</v>
      </c>
    </row>
    <row r="963" spans="1:34">
      <c r="A963">
        <v>959</v>
      </c>
      <c r="B963">
        <v>1005</v>
      </c>
      <c r="C963">
        <v>60</v>
      </c>
      <c r="D963">
        <f>IFERROR(ROUND($U963*$X963*$AA963*参数!$B$13,0),"")</f>
        <v>8449883</v>
      </c>
      <c r="E963">
        <f>IFERROR(ROUND($V963*$Y963*$AB963*参数!$C$13,0),"")</f>
        <v>131846</v>
      </c>
      <c r="F963">
        <f>IFERROR(ROUND($W963*$Z963*$AC963*参数!$D$13,0),"")</f>
        <v>59816</v>
      </c>
      <c r="J963">
        <v>192</v>
      </c>
      <c r="K963">
        <v>192</v>
      </c>
      <c r="L963">
        <f>IFERROR(INDEX(楼层配置!$D$5:$D$204,MATCH($K963,楼层配置!$B$5:$B$204,0)),"")</f>
        <v>470</v>
      </c>
      <c r="M963" t="str">
        <f>IFERROR(INDEX(_角色基线!$B$2:$B$100,MATCH($B963,_角色基线!$A$2:$A$100,0)),"")</f>
        <v>陈单单</v>
      </c>
      <c r="N963" t="str">
        <f>IFERROR(INDEX(_角色基线!$C$2:$C$100,MATCH($B963,_角色基线!$A$2:$A$100,0)),"")</f>
        <v>DPS</v>
      </c>
      <c r="O963">
        <f>IFERROR(INDEX(_怪物基线!$B$2:$B$501,MATCH(INT($L963),_怪物基线!$A$2:$A$501,0)),"")</f>
        <v>1876383</v>
      </c>
      <c r="P963">
        <f>IFERROR(INDEX(_怪物基线!$C$2:$C$501,MATCH(INT($L963),_怪物基线!$A$2:$A$501,0)),"")</f>
        <v>125453</v>
      </c>
      <c r="Q963">
        <f>IFERROR(INDEX(_怪物基线!$D$2:$D$501,MATCH(INT($L963),_怪物基线!$A$2:$A$501,0)),"")</f>
        <v>59816</v>
      </c>
      <c r="R963">
        <f>参数!$B$10</f>
        <v>4</v>
      </c>
      <c r="S963">
        <f>参数!$C$10</f>
        <v>1.2</v>
      </c>
      <c r="T963">
        <f>参数!$D$10</f>
        <v>1</v>
      </c>
      <c r="U963">
        <f t="shared" si="112"/>
        <v>7505532</v>
      </c>
      <c r="V963">
        <f t="shared" si="113"/>
        <v>150543.6</v>
      </c>
      <c r="W963">
        <f t="shared" si="114"/>
        <v>59816</v>
      </c>
      <c r="X963">
        <f>IFERROR(INDEX(参数!$B$5:$B$7,MATCH($N963,参数!$A$5:$A$7,0)),"")</f>
        <v>1</v>
      </c>
      <c r="Y963">
        <f>IFERROR(INDEX(参数!$C$5:$C$7,MATCH($N963,参数!$A$5:$A$7,0)),"")</f>
        <v>1.2</v>
      </c>
      <c r="Z963">
        <f>IFERROR(INDEX(参数!$D$5:$D$7,MATCH($N963,参数!$A$5:$A$7,0)),"")</f>
        <v>1</v>
      </c>
      <c r="AA963">
        <f>IFERROR(INDEX(楼层配置!$E$5:$E$204,MATCH($K963,楼层配置!$B$5:$B$204,0)),1)</f>
        <v>1.12582067235919</v>
      </c>
      <c r="AB963">
        <f>IFERROR(INDEX(楼层配置!$F$5:$F$204,MATCH($K963,楼层配置!$B$5:$B$204,0)),1)</f>
        <v>0.729834891319568</v>
      </c>
      <c r="AC963">
        <f>IFERROR(INDEX(楼层配置!$G$5:$G$204,MATCH($K963,楼层配置!$B$5:$B$204,0)),1)</f>
        <v>1</v>
      </c>
      <c r="AD963" t="str">
        <f t="shared" si="115"/>
        <v/>
      </c>
      <c r="AE963" t="str">
        <f t="shared" si="116"/>
        <v/>
      </c>
      <c r="AF963" t="str">
        <f t="shared" si="117"/>
        <v/>
      </c>
      <c r="AG963" t="str">
        <f t="shared" si="118"/>
        <v>有效</v>
      </c>
      <c r="AH963">
        <f t="shared" si="119"/>
        <v>29509808.0636667</v>
      </c>
    </row>
    <row r="964" spans="1:34">
      <c r="A964">
        <v>960</v>
      </c>
      <c r="B964">
        <v>1029</v>
      </c>
      <c r="C964">
        <v>60</v>
      </c>
      <c r="D964">
        <f>IFERROR(ROUND($U964*$X964*$AA964*参数!$B$13,0),"")</f>
        <v>10562354</v>
      </c>
      <c r="E964">
        <f>IFERROR(ROUND($V964*$Y964*$AB964*参数!$C$13,0),"")</f>
        <v>109872</v>
      </c>
      <c r="F964">
        <f>IFERROR(ROUND($W964*$Z964*$AC964*参数!$D$13,0),"")</f>
        <v>74770</v>
      </c>
      <c r="J964">
        <v>192</v>
      </c>
      <c r="K964">
        <v>192</v>
      </c>
      <c r="L964">
        <f>IFERROR(INDEX(楼层配置!$D$5:$D$204,MATCH($K964,楼层配置!$B$5:$B$204,0)),"")</f>
        <v>470</v>
      </c>
      <c r="M964" t="str">
        <f>IFERROR(INDEX(_角色基线!$B$2:$B$100,MATCH($B964,_角色基线!$A$2:$A$100,0)),"")</f>
        <v>凯兰</v>
      </c>
      <c r="N964" t="str">
        <f>IFERROR(INDEX(_角色基线!$C$2:$C$100,MATCH($B964,_角色基线!$A$2:$A$100,0)),"")</f>
        <v>Support</v>
      </c>
      <c r="O964">
        <f>IFERROR(INDEX(_怪物基线!$B$2:$B$501,MATCH(INT($L964),_怪物基线!$A$2:$A$501,0)),"")</f>
        <v>1876383</v>
      </c>
      <c r="P964">
        <f>IFERROR(INDEX(_怪物基线!$C$2:$C$501,MATCH(INT($L964),_怪物基线!$A$2:$A$501,0)),"")</f>
        <v>125453</v>
      </c>
      <c r="Q964">
        <f>IFERROR(INDEX(_怪物基线!$D$2:$D$501,MATCH(INT($L964),_怪物基线!$A$2:$A$501,0)),"")</f>
        <v>59816</v>
      </c>
      <c r="R964">
        <f>参数!$B$10</f>
        <v>4</v>
      </c>
      <c r="S964">
        <f>参数!$C$10</f>
        <v>1.2</v>
      </c>
      <c r="T964">
        <f>参数!$D$10</f>
        <v>1</v>
      </c>
      <c r="U964">
        <f t="shared" si="112"/>
        <v>7505532</v>
      </c>
      <c r="V964">
        <f t="shared" si="113"/>
        <v>150543.6</v>
      </c>
      <c r="W964">
        <f t="shared" si="114"/>
        <v>59816</v>
      </c>
      <c r="X964">
        <f>IFERROR(INDEX(参数!$B$5:$B$7,MATCH($N964,参数!$A$5:$A$7,0)),"")</f>
        <v>1.25</v>
      </c>
      <c r="Y964">
        <f>IFERROR(INDEX(参数!$C$5:$C$7,MATCH($N964,参数!$A$5:$A$7,0)),"")</f>
        <v>1</v>
      </c>
      <c r="Z964">
        <f>IFERROR(INDEX(参数!$D$5:$D$7,MATCH($N964,参数!$A$5:$A$7,0)),"")</f>
        <v>1.25</v>
      </c>
      <c r="AA964">
        <f>IFERROR(INDEX(楼层配置!$E$5:$E$204,MATCH($K964,楼层配置!$B$5:$B$204,0)),1)</f>
        <v>1.12582067235919</v>
      </c>
      <c r="AB964">
        <f>IFERROR(INDEX(楼层配置!$F$5:$F$204,MATCH($K964,楼层配置!$B$5:$B$204,0)),1)</f>
        <v>0.729834891319568</v>
      </c>
      <c r="AC964">
        <f>IFERROR(INDEX(楼层配置!$G$5:$G$204,MATCH($K964,楼层配置!$B$5:$B$204,0)),1)</f>
        <v>1</v>
      </c>
      <c r="AD964" t="str">
        <f t="shared" si="115"/>
        <v/>
      </c>
      <c r="AE964" t="str">
        <f t="shared" si="116"/>
        <v/>
      </c>
      <c r="AF964" t="str">
        <f t="shared" si="117"/>
        <v/>
      </c>
      <c r="AG964" t="str">
        <f t="shared" si="118"/>
        <v>有效</v>
      </c>
      <c r="AH964">
        <f t="shared" si="119"/>
        <v>42249416</v>
      </c>
    </row>
    <row r="965" spans="1:34">
      <c r="A965">
        <v>961</v>
      </c>
      <c r="B965">
        <v>1003</v>
      </c>
      <c r="C965">
        <v>60</v>
      </c>
      <c r="D965">
        <f>IFERROR(ROUND($U965*$X965*$AA965*参数!$B$13,0),"")</f>
        <v>12942874</v>
      </c>
      <c r="E965">
        <f>IFERROR(ROUND($V965*$Y965*$AB965*参数!$C$13,0),"")</f>
        <v>111798</v>
      </c>
      <c r="F965">
        <f>IFERROR(ROUND($W965*$Z965*$AC965*参数!$D$13,0),"")</f>
        <v>90540</v>
      </c>
      <c r="J965">
        <v>193</v>
      </c>
      <c r="K965">
        <v>193</v>
      </c>
      <c r="L965">
        <f>IFERROR(INDEX(楼层配置!$D$5:$D$204,MATCH($K965,楼层配置!$B$5:$B$204,0)),"")</f>
        <v>473</v>
      </c>
      <c r="M965" t="str">
        <f>IFERROR(INDEX(_角色基线!$B$2:$B$100,MATCH($B965,_角色基线!$A$2:$A$100,0)),"")</f>
        <v>塔拉夏</v>
      </c>
      <c r="N965" t="str">
        <f>IFERROR(INDEX(_角色基线!$C$2:$C$100,MATCH($B965,_角色基线!$A$2:$A$100,0)),"")</f>
        <v>Tank</v>
      </c>
      <c r="O965">
        <f>IFERROR(INDEX(_怪物基线!$B$2:$B$501,MATCH(INT($L965),_怪物基线!$A$2:$A$501,0)),"")</f>
        <v>1916065</v>
      </c>
      <c r="P965">
        <f>IFERROR(INDEX(_怪物基线!$C$2:$C$501,MATCH(INT($L965),_怪物基线!$A$2:$A$501,0)),"")</f>
        <v>127652</v>
      </c>
      <c r="Q965">
        <f>IFERROR(INDEX(_怪物基线!$D$2:$D$501,MATCH(INT($L965),_怪物基线!$A$2:$A$501,0)),"")</f>
        <v>60360</v>
      </c>
      <c r="R965">
        <f>参数!$B$10</f>
        <v>4</v>
      </c>
      <c r="S965">
        <f>参数!$C$10</f>
        <v>1.2</v>
      </c>
      <c r="T965">
        <f>参数!$D$10</f>
        <v>1</v>
      </c>
      <c r="U965">
        <f t="shared" ref="U965:U1004" si="120">IF($O965="","",$O965*$R965)</f>
        <v>7664260</v>
      </c>
      <c r="V965">
        <f t="shared" ref="V965:V1004" si="121">IF($P965="","",$P965*$S965)</f>
        <v>153182.4</v>
      </c>
      <c r="W965">
        <f t="shared" ref="W965:W1004" si="122">IF($Q965="","",$Q965*$T965)</f>
        <v>60360</v>
      </c>
      <c r="X965">
        <f>IFERROR(INDEX(参数!$B$5:$B$7,MATCH($N965,参数!$A$5:$A$7,0)),"")</f>
        <v>1.5</v>
      </c>
      <c r="Y965">
        <f>IFERROR(INDEX(参数!$C$5:$C$7,MATCH($N965,参数!$A$5:$A$7,0)),"")</f>
        <v>1</v>
      </c>
      <c r="Z965">
        <f>IFERROR(INDEX(参数!$D$5:$D$7,MATCH($N965,参数!$A$5:$A$7,0)),"")</f>
        <v>1.5</v>
      </c>
      <c r="AA965">
        <f>IFERROR(INDEX(楼层配置!$E$5:$E$204,MATCH($K965,楼层配置!$B$5:$B$204,0)),1)</f>
        <v>1.12582067235919</v>
      </c>
      <c r="AB965">
        <f>IFERROR(INDEX(楼层配置!$F$5:$F$204,MATCH($K965,楼层配置!$B$5:$B$204,0)),1)</f>
        <v>0.729834891319568</v>
      </c>
      <c r="AC965">
        <f>IFERROR(INDEX(楼层配置!$G$5:$G$204,MATCH($K965,楼层配置!$B$5:$B$204,0)),1)</f>
        <v>1</v>
      </c>
      <c r="AD965" t="str">
        <f t="shared" ref="AD965:AD1004" si="123">IFERROR($D965/$G965-1,"")</f>
        <v/>
      </c>
      <c r="AE965" t="str">
        <f t="shared" ref="AE965:AE1004" si="124">IFERROR($E965/$H965-1,"")</f>
        <v/>
      </c>
      <c r="AF965" t="str">
        <f t="shared" ref="AF965:AF1004" si="125">IFERROR($F965/$I965-1,"")</f>
        <v/>
      </c>
      <c r="AG965" t="str">
        <f t="shared" ref="AG965:AG1004" si="126">IF(AND($A965&gt;=1,$L965&gt;=1,$L965&lt;=500,OR($N965="Tank",$N965="DPS",$N965="Support"),ISNUMBER($D965),ISNUMBER($E965),ISNUMBER($F965)),"有效","异常")</f>
        <v>有效</v>
      </c>
      <c r="AH965">
        <f t="shared" ref="AH965:AH1004" si="127">D965/(1-MIN(0.75,F965/(24000+F965)))</f>
        <v>51771496</v>
      </c>
    </row>
    <row r="966" spans="1:34">
      <c r="A966">
        <v>962</v>
      </c>
      <c r="B966">
        <v>1005</v>
      </c>
      <c r="C966">
        <v>60</v>
      </c>
      <c r="D966">
        <f>IFERROR(ROUND($U966*$X966*$AA966*参数!$B$13,0),"")</f>
        <v>8628582</v>
      </c>
      <c r="E966">
        <f>IFERROR(ROUND($V966*$Y966*$AB966*参数!$C$13,0),"")</f>
        <v>134157</v>
      </c>
      <c r="F966">
        <f>IFERROR(ROUND($W966*$Z966*$AC966*参数!$D$13,0),"")</f>
        <v>60360</v>
      </c>
      <c r="J966">
        <v>193</v>
      </c>
      <c r="K966">
        <v>193</v>
      </c>
      <c r="L966">
        <f>IFERROR(INDEX(楼层配置!$D$5:$D$204,MATCH($K966,楼层配置!$B$5:$B$204,0)),"")</f>
        <v>473</v>
      </c>
      <c r="M966" t="str">
        <f>IFERROR(INDEX(_角色基线!$B$2:$B$100,MATCH($B966,_角色基线!$A$2:$A$100,0)),"")</f>
        <v>陈单单</v>
      </c>
      <c r="N966" t="str">
        <f>IFERROR(INDEX(_角色基线!$C$2:$C$100,MATCH($B966,_角色基线!$A$2:$A$100,0)),"")</f>
        <v>DPS</v>
      </c>
      <c r="O966">
        <f>IFERROR(INDEX(_怪物基线!$B$2:$B$501,MATCH(INT($L966),_怪物基线!$A$2:$A$501,0)),"")</f>
        <v>1916065</v>
      </c>
      <c r="P966">
        <f>IFERROR(INDEX(_怪物基线!$C$2:$C$501,MATCH(INT($L966),_怪物基线!$A$2:$A$501,0)),"")</f>
        <v>127652</v>
      </c>
      <c r="Q966">
        <f>IFERROR(INDEX(_怪物基线!$D$2:$D$501,MATCH(INT($L966),_怪物基线!$A$2:$A$501,0)),"")</f>
        <v>60360</v>
      </c>
      <c r="R966">
        <f>参数!$B$10</f>
        <v>4</v>
      </c>
      <c r="S966">
        <f>参数!$C$10</f>
        <v>1.2</v>
      </c>
      <c r="T966">
        <f>参数!$D$10</f>
        <v>1</v>
      </c>
      <c r="U966">
        <f t="shared" si="120"/>
        <v>7664260</v>
      </c>
      <c r="V966">
        <f t="shared" si="121"/>
        <v>153182.4</v>
      </c>
      <c r="W966">
        <f t="shared" si="122"/>
        <v>60360</v>
      </c>
      <c r="X966">
        <f>IFERROR(INDEX(参数!$B$5:$B$7,MATCH($N966,参数!$A$5:$A$7,0)),"")</f>
        <v>1</v>
      </c>
      <c r="Y966">
        <f>IFERROR(INDEX(参数!$C$5:$C$7,MATCH($N966,参数!$A$5:$A$7,0)),"")</f>
        <v>1.2</v>
      </c>
      <c r="Z966">
        <f>IFERROR(INDEX(参数!$D$5:$D$7,MATCH($N966,参数!$A$5:$A$7,0)),"")</f>
        <v>1</v>
      </c>
      <c r="AA966">
        <f>IFERROR(INDEX(楼层配置!$E$5:$E$204,MATCH($K966,楼层配置!$B$5:$B$204,0)),1)</f>
        <v>1.12582067235919</v>
      </c>
      <c r="AB966">
        <f>IFERROR(INDEX(楼层配置!$F$5:$F$204,MATCH($K966,楼层配置!$B$5:$B$204,0)),1)</f>
        <v>0.729834891319568</v>
      </c>
      <c r="AC966">
        <f>IFERROR(INDEX(楼层配置!$G$5:$G$204,MATCH($K966,楼层配置!$B$5:$B$204,0)),1)</f>
        <v>1</v>
      </c>
      <c r="AD966" t="str">
        <f t="shared" si="123"/>
        <v/>
      </c>
      <c r="AE966" t="str">
        <f t="shared" si="124"/>
        <v/>
      </c>
      <c r="AF966" t="str">
        <f t="shared" si="125"/>
        <v/>
      </c>
      <c r="AG966" t="str">
        <f t="shared" si="126"/>
        <v>有效</v>
      </c>
      <c r="AH966">
        <f t="shared" si="127"/>
        <v>30329465.73</v>
      </c>
    </row>
    <row r="967" spans="1:34">
      <c r="A967">
        <v>963</v>
      </c>
      <c r="B967">
        <v>1005</v>
      </c>
      <c r="C967">
        <v>60</v>
      </c>
      <c r="D967">
        <f>IFERROR(ROUND($U967*$X967*$AA967*参数!$B$13,0),"")</f>
        <v>8628582</v>
      </c>
      <c r="E967">
        <f>IFERROR(ROUND($V967*$Y967*$AB967*参数!$C$13,0),"")</f>
        <v>134157</v>
      </c>
      <c r="F967">
        <f>IFERROR(ROUND($W967*$Z967*$AC967*参数!$D$13,0),"")</f>
        <v>60360</v>
      </c>
      <c r="J967">
        <v>193</v>
      </c>
      <c r="K967">
        <v>193</v>
      </c>
      <c r="L967">
        <f>IFERROR(INDEX(楼层配置!$D$5:$D$204,MATCH($K967,楼层配置!$B$5:$B$204,0)),"")</f>
        <v>473</v>
      </c>
      <c r="M967" t="str">
        <f>IFERROR(INDEX(_角色基线!$B$2:$B$100,MATCH($B967,_角色基线!$A$2:$A$100,0)),"")</f>
        <v>陈单单</v>
      </c>
      <c r="N967" t="str">
        <f>IFERROR(INDEX(_角色基线!$C$2:$C$100,MATCH($B967,_角色基线!$A$2:$A$100,0)),"")</f>
        <v>DPS</v>
      </c>
      <c r="O967">
        <f>IFERROR(INDEX(_怪物基线!$B$2:$B$501,MATCH(INT($L967),_怪物基线!$A$2:$A$501,0)),"")</f>
        <v>1916065</v>
      </c>
      <c r="P967">
        <f>IFERROR(INDEX(_怪物基线!$C$2:$C$501,MATCH(INT($L967),_怪物基线!$A$2:$A$501,0)),"")</f>
        <v>127652</v>
      </c>
      <c r="Q967">
        <f>IFERROR(INDEX(_怪物基线!$D$2:$D$501,MATCH(INT($L967),_怪物基线!$A$2:$A$501,0)),"")</f>
        <v>60360</v>
      </c>
      <c r="R967">
        <f>参数!$B$10</f>
        <v>4</v>
      </c>
      <c r="S967">
        <f>参数!$C$10</f>
        <v>1.2</v>
      </c>
      <c r="T967">
        <f>参数!$D$10</f>
        <v>1</v>
      </c>
      <c r="U967">
        <f t="shared" si="120"/>
        <v>7664260</v>
      </c>
      <c r="V967">
        <f t="shared" si="121"/>
        <v>153182.4</v>
      </c>
      <c r="W967">
        <f t="shared" si="122"/>
        <v>60360</v>
      </c>
      <c r="X967">
        <f>IFERROR(INDEX(参数!$B$5:$B$7,MATCH($N967,参数!$A$5:$A$7,0)),"")</f>
        <v>1</v>
      </c>
      <c r="Y967">
        <f>IFERROR(INDEX(参数!$C$5:$C$7,MATCH($N967,参数!$A$5:$A$7,0)),"")</f>
        <v>1.2</v>
      </c>
      <c r="Z967">
        <f>IFERROR(INDEX(参数!$D$5:$D$7,MATCH($N967,参数!$A$5:$A$7,0)),"")</f>
        <v>1</v>
      </c>
      <c r="AA967">
        <f>IFERROR(INDEX(楼层配置!$E$5:$E$204,MATCH($K967,楼层配置!$B$5:$B$204,0)),1)</f>
        <v>1.12582067235919</v>
      </c>
      <c r="AB967">
        <f>IFERROR(INDEX(楼层配置!$F$5:$F$204,MATCH($K967,楼层配置!$B$5:$B$204,0)),1)</f>
        <v>0.729834891319568</v>
      </c>
      <c r="AC967">
        <f>IFERROR(INDEX(楼层配置!$G$5:$G$204,MATCH($K967,楼层配置!$B$5:$B$204,0)),1)</f>
        <v>1</v>
      </c>
      <c r="AD967" t="str">
        <f t="shared" si="123"/>
        <v/>
      </c>
      <c r="AE967" t="str">
        <f t="shared" si="124"/>
        <v/>
      </c>
      <c r="AF967" t="str">
        <f t="shared" si="125"/>
        <v/>
      </c>
      <c r="AG967" t="str">
        <f t="shared" si="126"/>
        <v>有效</v>
      </c>
      <c r="AH967">
        <f t="shared" si="127"/>
        <v>30329465.73</v>
      </c>
    </row>
    <row r="968" spans="1:34">
      <c r="A968">
        <v>964</v>
      </c>
      <c r="B968">
        <v>1005</v>
      </c>
      <c r="C968">
        <v>60</v>
      </c>
      <c r="D968">
        <f>IFERROR(ROUND($U968*$X968*$AA968*参数!$B$13,0),"")</f>
        <v>8628582</v>
      </c>
      <c r="E968">
        <f>IFERROR(ROUND($V968*$Y968*$AB968*参数!$C$13,0),"")</f>
        <v>134157</v>
      </c>
      <c r="F968">
        <f>IFERROR(ROUND($W968*$Z968*$AC968*参数!$D$13,0),"")</f>
        <v>60360</v>
      </c>
      <c r="J968">
        <v>193</v>
      </c>
      <c r="K968">
        <v>193</v>
      </c>
      <c r="L968">
        <f>IFERROR(INDEX(楼层配置!$D$5:$D$204,MATCH($K968,楼层配置!$B$5:$B$204,0)),"")</f>
        <v>473</v>
      </c>
      <c r="M968" t="str">
        <f>IFERROR(INDEX(_角色基线!$B$2:$B$100,MATCH($B968,_角色基线!$A$2:$A$100,0)),"")</f>
        <v>陈单单</v>
      </c>
      <c r="N968" t="str">
        <f>IFERROR(INDEX(_角色基线!$C$2:$C$100,MATCH($B968,_角色基线!$A$2:$A$100,0)),"")</f>
        <v>DPS</v>
      </c>
      <c r="O968">
        <f>IFERROR(INDEX(_怪物基线!$B$2:$B$501,MATCH(INT($L968),_怪物基线!$A$2:$A$501,0)),"")</f>
        <v>1916065</v>
      </c>
      <c r="P968">
        <f>IFERROR(INDEX(_怪物基线!$C$2:$C$501,MATCH(INT($L968),_怪物基线!$A$2:$A$501,0)),"")</f>
        <v>127652</v>
      </c>
      <c r="Q968">
        <f>IFERROR(INDEX(_怪物基线!$D$2:$D$501,MATCH(INT($L968),_怪物基线!$A$2:$A$501,0)),"")</f>
        <v>60360</v>
      </c>
      <c r="R968">
        <f>参数!$B$10</f>
        <v>4</v>
      </c>
      <c r="S968">
        <f>参数!$C$10</f>
        <v>1.2</v>
      </c>
      <c r="T968">
        <f>参数!$D$10</f>
        <v>1</v>
      </c>
      <c r="U968">
        <f t="shared" si="120"/>
        <v>7664260</v>
      </c>
      <c r="V968">
        <f t="shared" si="121"/>
        <v>153182.4</v>
      </c>
      <c r="W968">
        <f t="shared" si="122"/>
        <v>60360</v>
      </c>
      <c r="X968">
        <f>IFERROR(INDEX(参数!$B$5:$B$7,MATCH($N968,参数!$A$5:$A$7,0)),"")</f>
        <v>1</v>
      </c>
      <c r="Y968">
        <f>IFERROR(INDEX(参数!$C$5:$C$7,MATCH($N968,参数!$A$5:$A$7,0)),"")</f>
        <v>1.2</v>
      </c>
      <c r="Z968">
        <f>IFERROR(INDEX(参数!$D$5:$D$7,MATCH($N968,参数!$A$5:$A$7,0)),"")</f>
        <v>1</v>
      </c>
      <c r="AA968">
        <f>IFERROR(INDEX(楼层配置!$E$5:$E$204,MATCH($K968,楼层配置!$B$5:$B$204,0)),1)</f>
        <v>1.12582067235919</v>
      </c>
      <c r="AB968">
        <f>IFERROR(INDEX(楼层配置!$F$5:$F$204,MATCH($K968,楼层配置!$B$5:$B$204,0)),1)</f>
        <v>0.729834891319568</v>
      </c>
      <c r="AC968">
        <f>IFERROR(INDEX(楼层配置!$G$5:$G$204,MATCH($K968,楼层配置!$B$5:$B$204,0)),1)</f>
        <v>1</v>
      </c>
      <c r="AD968" t="str">
        <f t="shared" si="123"/>
        <v/>
      </c>
      <c r="AE968" t="str">
        <f t="shared" si="124"/>
        <v/>
      </c>
      <c r="AF968" t="str">
        <f t="shared" si="125"/>
        <v/>
      </c>
      <c r="AG968" t="str">
        <f t="shared" si="126"/>
        <v>有效</v>
      </c>
      <c r="AH968">
        <f t="shared" si="127"/>
        <v>30329465.73</v>
      </c>
    </row>
    <row r="969" spans="1:34">
      <c r="A969">
        <v>965</v>
      </c>
      <c r="B969">
        <v>1029</v>
      </c>
      <c r="C969">
        <v>60</v>
      </c>
      <c r="D969">
        <f>IFERROR(ROUND($U969*$X969*$AA969*参数!$B$13,0),"")</f>
        <v>10785728</v>
      </c>
      <c r="E969">
        <f>IFERROR(ROUND($V969*$Y969*$AB969*参数!$C$13,0),"")</f>
        <v>111798</v>
      </c>
      <c r="F969">
        <f>IFERROR(ROUND($W969*$Z969*$AC969*参数!$D$13,0),"")</f>
        <v>75450</v>
      </c>
      <c r="J969">
        <v>193</v>
      </c>
      <c r="K969">
        <v>193</v>
      </c>
      <c r="L969">
        <f>IFERROR(INDEX(楼层配置!$D$5:$D$204,MATCH($K969,楼层配置!$B$5:$B$204,0)),"")</f>
        <v>473</v>
      </c>
      <c r="M969" t="str">
        <f>IFERROR(INDEX(_角色基线!$B$2:$B$100,MATCH($B969,_角色基线!$A$2:$A$100,0)),"")</f>
        <v>凯兰</v>
      </c>
      <c r="N969" t="str">
        <f>IFERROR(INDEX(_角色基线!$C$2:$C$100,MATCH($B969,_角色基线!$A$2:$A$100,0)),"")</f>
        <v>Support</v>
      </c>
      <c r="O969">
        <f>IFERROR(INDEX(_怪物基线!$B$2:$B$501,MATCH(INT($L969),_怪物基线!$A$2:$A$501,0)),"")</f>
        <v>1916065</v>
      </c>
      <c r="P969">
        <f>IFERROR(INDEX(_怪物基线!$C$2:$C$501,MATCH(INT($L969),_怪物基线!$A$2:$A$501,0)),"")</f>
        <v>127652</v>
      </c>
      <c r="Q969">
        <f>IFERROR(INDEX(_怪物基线!$D$2:$D$501,MATCH(INT($L969),_怪物基线!$A$2:$A$501,0)),"")</f>
        <v>60360</v>
      </c>
      <c r="R969">
        <f>参数!$B$10</f>
        <v>4</v>
      </c>
      <c r="S969">
        <f>参数!$C$10</f>
        <v>1.2</v>
      </c>
      <c r="T969">
        <f>参数!$D$10</f>
        <v>1</v>
      </c>
      <c r="U969">
        <f t="shared" si="120"/>
        <v>7664260</v>
      </c>
      <c r="V969">
        <f t="shared" si="121"/>
        <v>153182.4</v>
      </c>
      <c r="W969">
        <f t="shared" si="122"/>
        <v>60360</v>
      </c>
      <c r="X969">
        <f>IFERROR(INDEX(参数!$B$5:$B$7,MATCH($N969,参数!$A$5:$A$7,0)),"")</f>
        <v>1.25</v>
      </c>
      <c r="Y969">
        <f>IFERROR(INDEX(参数!$C$5:$C$7,MATCH($N969,参数!$A$5:$A$7,0)),"")</f>
        <v>1</v>
      </c>
      <c r="Z969">
        <f>IFERROR(INDEX(参数!$D$5:$D$7,MATCH($N969,参数!$A$5:$A$7,0)),"")</f>
        <v>1.25</v>
      </c>
      <c r="AA969">
        <f>IFERROR(INDEX(楼层配置!$E$5:$E$204,MATCH($K969,楼层配置!$B$5:$B$204,0)),1)</f>
        <v>1.12582067235919</v>
      </c>
      <c r="AB969">
        <f>IFERROR(INDEX(楼层配置!$F$5:$F$204,MATCH($K969,楼层配置!$B$5:$B$204,0)),1)</f>
        <v>0.729834891319568</v>
      </c>
      <c r="AC969">
        <f>IFERROR(INDEX(楼层配置!$G$5:$G$204,MATCH($K969,楼层配置!$B$5:$B$204,0)),1)</f>
        <v>1</v>
      </c>
      <c r="AD969" t="str">
        <f t="shared" si="123"/>
        <v/>
      </c>
      <c r="AE969" t="str">
        <f t="shared" si="124"/>
        <v/>
      </c>
      <c r="AF969" t="str">
        <f t="shared" si="125"/>
        <v/>
      </c>
      <c r="AG969" t="str">
        <f t="shared" si="126"/>
        <v>有效</v>
      </c>
      <c r="AH969">
        <f t="shared" si="127"/>
        <v>43142912</v>
      </c>
    </row>
    <row r="970" spans="1:34">
      <c r="A970">
        <v>966</v>
      </c>
      <c r="B970">
        <v>1003</v>
      </c>
      <c r="C970">
        <v>60</v>
      </c>
      <c r="D970">
        <f>IFERROR(ROUND($U970*$X970*$AA970*参数!$B$13,0),"")</f>
        <v>13307383</v>
      </c>
      <c r="E970">
        <f>IFERROR(ROUND($V970*$Y970*$AB970*参数!$C$13,0),"")</f>
        <v>114410</v>
      </c>
      <c r="F970">
        <f>IFERROR(ROUND($W970*$Z970*$AC970*参数!$D$13,0),"")</f>
        <v>91631</v>
      </c>
      <c r="J970">
        <v>194</v>
      </c>
      <c r="K970">
        <v>194</v>
      </c>
      <c r="L970">
        <f>IFERROR(INDEX(楼层配置!$D$5:$D$204,MATCH($K970,楼层配置!$B$5:$B$204,0)),"")</f>
        <v>477</v>
      </c>
      <c r="M970" t="str">
        <f>IFERROR(INDEX(_角色基线!$B$2:$B$100,MATCH($B970,_角色基线!$A$2:$A$100,0)),"")</f>
        <v>塔拉夏</v>
      </c>
      <c r="N970" t="str">
        <f>IFERROR(INDEX(_角色基线!$C$2:$C$100,MATCH($B970,_角色基线!$A$2:$A$100,0)),"")</f>
        <v>Tank</v>
      </c>
      <c r="O970">
        <f>IFERROR(INDEX(_怪物基线!$B$2:$B$501,MATCH(INT($L970),_怪物基线!$A$2:$A$501,0)),"")</f>
        <v>1970027</v>
      </c>
      <c r="P970">
        <f>IFERROR(INDEX(_怪物基线!$C$2:$C$501,MATCH(INT($L970),_怪物基线!$A$2:$A$501,0)),"")</f>
        <v>130634</v>
      </c>
      <c r="Q970">
        <f>IFERROR(INDEX(_怪物基线!$D$2:$D$501,MATCH(INT($L970),_怪物基线!$A$2:$A$501,0)),"")</f>
        <v>61087</v>
      </c>
      <c r="R970">
        <f>参数!$B$10</f>
        <v>4</v>
      </c>
      <c r="S970">
        <f>参数!$C$10</f>
        <v>1.2</v>
      </c>
      <c r="T970">
        <f>参数!$D$10</f>
        <v>1</v>
      </c>
      <c r="U970">
        <f t="shared" si="120"/>
        <v>7880108</v>
      </c>
      <c r="V970">
        <f t="shared" si="121"/>
        <v>156760.8</v>
      </c>
      <c r="W970">
        <f t="shared" si="122"/>
        <v>61087</v>
      </c>
      <c r="X970">
        <f>IFERROR(INDEX(参数!$B$5:$B$7,MATCH($N970,参数!$A$5:$A$7,0)),"")</f>
        <v>1.5</v>
      </c>
      <c r="Y970">
        <f>IFERROR(INDEX(参数!$C$5:$C$7,MATCH($N970,参数!$A$5:$A$7,0)),"")</f>
        <v>1</v>
      </c>
      <c r="Z970">
        <f>IFERROR(INDEX(参数!$D$5:$D$7,MATCH($N970,参数!$A$5:$A$7,0)),"")</f>
        <v>1.5</v>
      </c>
      <c r="AA970">
        <f>IFERROR(INDEX(楼层配置!$E$5:$E$204,MATCH($K970,楼层配置!$B$5:$B$204,0)),1)</f>
        <v>1.12582067235919</v>
      </c>
      <c r="AB970">
        <f>IFERROR(INDEX(楼层配置!$F$5:$F$204,MATCH($K970,楼层配置!$B$5:$B$204,0)),1)</f>
        <v>0.729834891319568</v>
      </c>
      <c r="AC970">
        <f>IFERROR(INDEX(楼层配置!$G$5:$G$204,MATCH($K970,楼层配置!$B$5:$B$204,0)),1)</f>
        <v>1</v>
      </c>
      <c r="AD970" t="str">
        <f t="shared" si="123"/>
        <v/>
      </c>
      <c r="AE970" t="str">
        <f t="shared" si="124"/>
        <v/>
      </c>
      <c r="AF970" t="str">
        <f t="shared" si="125"/>
        <v/>
      </c>
      <c r="AG970" t="str">
        <f t="shared" si="126"/>
        <v>有效</v>
      </c>
      <c r="AH970">
        <f t="shared" si="127"/>
        <v>53229532</v>
      </c>
    </row>
    <row r="971" spans="1:34">
      <c r="A971">
        <v>967</v>
      </c>
      <c r="B971">
        <v>1005</v>
      </c>
      <c r="C971">
        <v>60</v>
      </c>
      <c r="D971">
        <f>IFERROR(ROUND($U971*$X971*$AA971*参数!$B$13,0),"")</f>
        <v>8871588</v>
      </c>
      <c r="E971">
        <f>IFERROR(ROUND($V971*$Y971*$AB971*参数!$C$13,0),"")</f>
        <v>137291</v>
      </c>
      <c r="F971">
        <f>IFERROR(ROUND($W971*$Z971*$AC971*参数!$D$13,0),"")</f>
        <v>61087</v>
      </c>
      <c r="J971">
        <v>194</v>
      </c>
      <c r="K971">
        <v>194</v>
      </c>
      <c r="L971">
        <f>IFERROR(INDEX(楼层配置!$D$5:$D$204,MATCH($K971,楼层配置!$B$5:$B$204,0)),"")</f>
        <v>477</v>
      </c>
      <c r="M971" t="str">
        <f>IFERROR(INDEX(_角色基线!$B$2:$B$100,MATCH($B971,_角色基线!$A$2:$A$100,0)),"")</f>
        <v>陈单单</v>
      </c>
      <c r="N971" t="str">
        <f>IFERROR(INDEX(_角色基线!$C$2:$C$100,MATCH($B971,_角色基线!$A$2:$A$100,0)),"")</f>
        <v>DPS</v>
      </c>
      <c r="O971">
        <f>IFERROR(INDEX(_怪物基线!$B$2:$B$501,MATCH(INT($L971),_怪物基线!$A$2:$A$501,0)),"")</f>
        <v>1970027</v>
      </c>
      <c r="P971">
        <f>IFERROR(INDEX(_怪物基线!$C$2:$C$501,MATCH(INT($L971),_怪物基线!$A$2:$A$501,0)),"")</f>
        <v>130634</v>
      </c>
      <c r="Q971">
        <f>IFERROR(INDEX(_怪物基线!$D$2:$D$501,MATCH(INT($L971),_怪物基线!$A$2:$A$501,0)),"")</f>
        <v>61087</v>
      </c>
      <c r="R971">
        <f>参数!$B$10</f>
        <v>4</v>
      </c>
      <c r="S971">
        <f>参数!$C$10</f>
        <v>1.2</v>
      </c>
      <c r="T971">
        <f>参数!$D$10</f>
        <v>1</v>
      </c>
      <c r="U971">
        <f t="shared" si="120"/>
        <v>7880108</v>
      </c>
      <c r="V971">
        <f t="shared" si="121"/>
        <v>156760.8</v>
      </c>
      <c r="W971">
        <f t="shared" si="122"/>
        <v>61087</v>
      </c>
      <c r="X971">
        <f>IFERROR(INDEX(参数!$B$5:$B$7,MATCH($N971,参数!$A$5:$A$7,0)),"")</f>
        <v>1</v>
      </c>
      <c r="Y971">
        <f>IFERROR(INDEX(参数!$C$5:$C$7,MATCH($N971,参数!$A$5:$A$7,0)),"")</f>
        <v>1.2</v>
      </c>
      <c r="Z971">
        <f>IFERROR(INDEX(参数!$D$5:$D$7,MATCH($N971,参数!$A$5:$A$7,0)),"")</f>
        <v>1</v>
      </c>
      <c r="AA971">
        <f>IFERROR(INDEX(楼层配置!$E$5:$E$204,MATCH($K971,楼层配置!$B$5:$B$204,0)),1)</f>
        <v>1.12582067235919</v>
      </c>
      <c r="AB971">
        <f>IFERROR(INDEX(楼层配置!$F$5:$F$204,MATCH($K971,楼层配置!$B$5:$B$204,0)),1)</f>
        <v>0.729834891319568</v>
      </c>
      <c r="AC971">
        <f>IFERROR(INDEX(楼层配置!$G$5:$G$204,MATCH($K971,楼层配置!$B$5:$B$204,0)),1)</f>
        <v>1</v>
      </c>
      <c r="AD971" t="str">
        <f t="shared" si="123"/>
        <v/>
      </c>
      <c r="AE971" t="str">
        <f t="shared" si="124"/>
        <v/>
      </c>
      <c r="AF971" t="str">
        <f t="shared" si="125"/>
        <v/>
      </c>
      <c r="AG971" t="str">
        <f t="shared" si="126"/>
        <v>有效</v>
      </c>
      <c r="AH971">
        <f t="shared" si="127"/>
        <v>31452367.0065</v>
      </c>
    </row>
    <row r="972" spans="1:34">
      <c r="A972">
        <v>968</v>
      </c>
      <c r="B972">
        <v>1005</v>
      </c>
      <c r="C972">
        <v>60</v>
      </c>
      <c r="D972">
        <f>IFERROR(ROUND($U972*$X972*$AA972*参数!$B$13,0),"")</f>
        <v>8871588</v>
      </c>
      <c r="E972">
        <f>IFERROR(ROUND($V972*$Y972*$AB972*参数!$C$13,0),"")</f>
        <v>137291</v>
      </c>
      <c r="F972">
        <f>IFERROR(ROUND($W972*$Z972*$AC972*参数!$D$13,0),"")</f>
        <v>61087</v>
      </c>
      <c r="J972">
        <v>194</v>
      </c>
      <c r="K972">
        <v>194</v>
      </c>
      <c r="L972">
        <f>IFERROR(INDEX(楼层配置!$D$5:$D$204,MATCH($K972,楼层配置!$B$5:$B$204,0)),"")</f>
        <v>477</v>
      </c>
      <c r="M972" t="str">
        <f>IFERROR(INDEX(_角色基线!$B$2:$B$100,MATCH($B972,_角色基线!$A$2:$A$100,0)),"")</f>
        <v>陈单单</v>
      </c>
      <c r="N972" t="str">
        <f>IFERROR(INDEX(_角色基线!$C$2:$C$100,MATCH($B972,_角色基线!$A$2:$A$100,0)),"")</f>
        <v>DPS</v>
      </c>
      <c r="O972">
        <f>IFERROR(INDEX(_怪物基线!$B$2:$B$501,MATCH(INT($L972),_怪物基线!$A$2:$A$501,0)),"")</f>
        <v>1970027</v>
      </c>
      <c r="P972">
        <f>IFERROR(INDEX(_怪物基线!$C$2:$C$501,MATCH(INT($L972),_怪物基线!$A$2:$A$501,0)),"")</f>
        <v>130634</v>
      </c>
      <c r="Q972">
        <f>IFERROR(INDEX(_怪物基线!$D$2:$D$501,MATCH(INT($L972),_怪物基线!$A$2:$A$501,0)),"")</f>
        <v>61087</v>
      </c>
      <c r="R972">
        <f>参数!$B$10</f>
        <v>4</v>
      </c>
      <c r="S972">
        <f>参数!$C$10</f>
        <v>1.2</v>
      </c>
      <c r="T972">
        <f>参数!$D$10</f>
        <v>1</v>
      </c>
      <c r="U972">
        <f t="shared" si="120"/>
        <v>7880108</v>
      </c>
      <c r="V972">
        <f t="shared" si="121"/>
        <v>156760.8</v>
      </c>
      <c r="W972">
        <f t="shared" si="122"/>
        <v>61087</v>
      </c>
      <c r="X972">
        <f>IFERROR(INDEX(参数!$B$5:$B$7,MATCH($N972,参数!$A$5:$A$7,0)),"")</f>
        <v>1</v>
      </c>
      <c r="Y972">
        <f>IFERROR(INDEX(参数!$C$5:$C$7,MATCH($N972,参数!$A$5:$A$7,0)),"")</f>
        <v>1.2</v>
      </c>
      <c r="Z972">
        <f>IFERROR(INDEX(参数!$D$5:$D$7,MATCH($N972,参数!$A$5:$A$7,0)),"")</f>
        <v>1</v>
      </c>
      <c r="AA972">
        <f>IFERROR(INDEX(楼层配置!$E$5:$E$204,MATCH($K972,楼层配置!$B$5:$B$204,0)),1)</f>
        <v>1.12582067235919</v>
      </c>
      <c r="AB972">
        <f>IFERROR(INDEX(楼层配置!$F$5:$F$204,MATCH($K972,楼层配置!$B$5:$B$204,0)),1)</f>
        <v>0.729834891319568</v>
      </c>
      <c r="AC972">
        <f>IFERROR(INDEX(楼层配置!$G$5:$G$204,MATCH($K972,楼层配置!$B$5:$B$204,0)),1)</f>
        <v>1</v>
      </c>
      <c r="AD972" t="str">
        <f t="shared" si="123"/>
        <v/>
      </c>
      <c r="AE972" t="str">
        <f t="shared" si="124"/>
        <v/>
      </c>
      <c r="AF972" t="str">
        <f t="shared" si="125"/>
        <v/>
      </c>
      <c r="AG972" t="str">
        <f t="shared" si="126"/>
        <v>有效</v>
      </c>
      <c r="AH972">
        <f t="shared" si="127"/>
        <v>31452367.0065</v>
      </c>
    </row>
    <row r="973" spans="1:34">
      <c r="A973">
        <v>969</v>
      </c>
      <c r="B973">
        <v>1005</v>
      </c>
      <c r="C973">
        <v>60</v>
      </c>
      <c r="D973">
        <f>IFERROR(ROUND($U973*$X973*$AA973*参数!$B$13,0),"")</f>
        <v>8871588</v>
      </c>
      <c r="E973">
        <f>IFERROR(ROUND($V973*$Y973*$AB973*参数!$C$13,0),"")</f>
        <v>137291</v>
      </c>
      <c r="F973">
        <f>IFERROR(ROUND($W973*$Z973*$AC973*参数!$D$13,0),"")</f>
        <v>61087</v>
      </c>
      <c r="J973">
        <v>194</v>
      </c>
      <c r="K973">
        <v>194</v>
      </c>
      <c r="L973">
        <f>IFERROR(INDEX(楼层配置!$D$5:$D$204,MATCH($K973,楼层配置!$B$5:$B$204,0)),"")</f>
        <v>477</v>
      </c>
      <c r="M973" t="str">
        <f>IFERROR(INDEX(_角色基线!$B$2:$B$100,MATCH($B973,_角色基线!$A$2:$A$100,0)),"")</f>
        <v>陈单单</v>
      </c>
      <c r="N973" t="str">
        <f>IFERROR(INDEX(_角色基线!$C$2:$C$100,MATCH($B973,_角色基线!$A$2:$A$100,0)),"")</f>
        <v>DPS</v>
      </c>
      <c r="O973">
        <f>IFERROR(INDEX(_怪物基线!$B$2:$B$501,MATCH(INT($L973),_怪物基线!$A$2:$A$501,0)),"")</f>
        <v>1970027</v>
      </c>
      <c r="P973">
        <f>IFERROR(INDEX(_怪物基线!$C$2:$C$501,MATCH(INT($L973),_怪物基线!$A$2:$A$501,0)),"")</f>
        <v>130634</v>
      </c>
      <c r="Q973">
        <f>IFERROR(INDEX(_怪物基线!$D$2:$D$501,MATCH(INT($L973),_怪物基线!$A$2:$A$501,0)),"")</f>
        <v>61087</v>
      </c>
      <c r="R973">
        <f>参数!$B$10</f>
        <v>4</v>
      </c>
      <c r="S973">
        <f>参数!$C$10</f>
        <v>1.2</v>
      </c>
      <c r="T973">
        <f>参数!$D$10</f>
        <v>1</v>
      </c>
      <c r="U973">
        <f t="shared" si="120"/>
        <v>7880108</v>
      </c>
      <c r="V973">
        <f t="shared" si="121"/>
        <v>156760.8</v>
      </c>
      <c r="W973">
        <f t="shared" si="122"/>
        <v>61087</v>
      </c>
      <c r="X973">
        <f>IFERROR(INDEX(参数!$B$5:$B$7,MATCH($N973,参数!$A$5:$A$7,0)),"")</f>
        <v>1</v>
      </c>
      <c r="Y973">
        <f>IFERROR(INDEX(参数!$C$5:$C$7,MATCH($N973,参数!$A$5:$A$7,0)),"")</f>
        <v>1.2</v>
      </c>
      <c r="Z973">
        <f>IFERROR(INDEX(参数!$D$5:$D$7,MATCH($N973,参数!$A$5:$A$7,0)),"")</f>
        <v>1</v>
      </c>
      <c r="AA973">
        <f>IFERROR(INDEX(楼层配置!$E$5:$E$204,MATCH($K973,楼层配置!$B$5:$B$204,0)),1)</f>
        <v>1.12582067235919</v>
      </c>
      <c r="AB973">
        <f>IFERROR(INDEX(楼层配置!$F$5:$F$204,MATCH($K973,楼层配置!$B$5:$B$204,0)),1)</f>
        <v>0.729834891319568</v>
      </c>
      <c r="AC973">
        <f>IFERROR(INDEX(楼层配置!$G$5:$G$204,MATCH($K973,楼层配置!$B$5:$B$204,0)),1)</f>
        <v>1</v>
      </c>
      <c r="AD973" t="str">
        <f t="shared" si="123"/>
        <v/>
      </c>
      <c r="AE973" t="str">
        <f t="shared" si="124"/>
        <v/>
      </c>
      <c r="AF973" t="str">
        <f t="shared" si="125"/>
        <v/>
      </c>
      <c r="AG973" t="str">
        <f t="shared" si="126"/>
        <v>有效</v>
      </c>
      <c r="AH973">
        <f t="shared" si="127"/>
        <v>31452367.0065</v>
      </c>
    </row>
    <row r="974" spans="1:34">
      <c r="A974">
        <v>970</v>
      </c>
      <c r="B974">
        <v>1029</v>
      </c>
      <c r="C974">
        <v>60</v>
      </c>
      <c r="D974">
        <f>IFERROR(ROUND($U974*$X974*$AA974*参数!$B$13,0),"")</f>
        <v>11089486</v>
      </c>
      <c r="E974">
        <f>IFERROR(ROUND($V974*$Y974*$AB974*参数!$C$13,0),"")</f>
        <v>114410</v>
      </c>
      <c r="F974">
        <f>IFERROR(ROUND($W974*$Z974*$AC974*参数!$D$13,0),"")</f>
        <v>76359</v>
      </c>
      <c r="J974">
        <v>194</v>
      </c>
      <c r="K974">
        <v>194</v>
      </c>
      <c r="L974">
        <f>IFERROR(INDEX(楼层配置!$D$5:$D$204,MATCH($K974,楼层配置!$B$5:$B$204,0)),"")</f>
        <v>477</v>
      </c>
      <c r="M974" t="str">
        <f>IFERROR(INDEX(_角色基线!$B$2:$B$100,MATCH($B974,_角色基线!$A$2:$A$100,0)),"")</f>
        <v>凯兰</v>
      </c>
      <c r="N974" t="str">
        <f>IFERROR(INDEX(_角色基线!$C$2:$C$100,MATCH($B974,_角色基线!$A$2:$A$100,0)),"")</f>
        <v>Support</v>
      </c>
      <c r="O974">
        <f>IFERROR(INDEX(_怪物基线!$B$2:$B$501,MATCH(INT($L974),_怪物基线!$A$2:$A$501,0)),"")</f>
        <v>1970027</v>
      </c>
      <c r="P974">
        <f>IFERROR(INDEX(_怪物基线!$C$2:$C$501,MATCH(INT($L974),_怪物基线!$A$2:$A$501,0)),"")</f>
        <v>130634</v>
      </c>
      <c r="Q974">
        <f>IFERROR(INDEX(_怪物基线!$D$2:$D$501,MATCH(INT($L974),_怪物基线!$A$2:$A$501,0)),"")</f>
        <v>61087</v>
      </c>
      <c r="R974">
        <f>参数!$B$10</f>
        <v>4</v>
      </c>
      <c r="S974">
        <f>参数!$C$10</f>
        <v>1.2</v>
      </c>
      <c r="T974">
        <f>参数!$D$10</f>
        <v>1</v>
      </c>
      <c r="U974">
        <f t="shared" si="120"/>
        <v>7880108</v>
      </c>
      <c r="V974">
        <f t="shared" si="121"/>
        <v>156760.8</v>
      </c>
      <c r="W974">
        <f t="shared" si="122"/>
        <v>61087</v>
      </c>
      <c r="X974">
        <f>IFERROR(INDEX(参数!$B$5:$B$7,MATCH($N974,参数!$A$5:$A$7,0)),"")</f>
        <v>1.25</v>
      </c>
      <c r="Y974">
        <f>IFERROR(INDEX(参数!$C$5:$C$7,MATCH($N974,参数!$A$5:$A$7,0)),"")</f>
        <v>1</v>
      </c>
      <c r="Z974">
        <f>IFERROR(INDEX(参数!$D$5:$D$7,MATCH($N974,参数!$A$5:$A$7,0)),"")</f>
        <v>1.25</v>
      </c>
      <c r="AA974">
        <f>IFERROR(INDEX(楼层配置!$E$5:$E$204,MATCH($K974,楼层配置!$B$5:$B$204,0)),1)</f>
        <v>1.12582067235919</v>
      </c>
      <c r="AB974">
        <f>IFERROR(INDEX(楼层配置!$F$5:$F$204,MATCH($K974,楼层配置!$B$5:$B$204,0)),1)</f>
        <v>0.729834891319568</v>
      </c>
      <c r="AC974">
        <f>IFERROR(INDEX(楼层配置!$G$5:$G$204,MATCH($K974,楼层配置!$B$5:$B$204,0)),1)</f>
        <v>1</v>
      </c>
      <c r="AD974" t="str">
        <f t="shared" si="123"/>
        <v/>
      </c>
      <c r="AE974" t="str">
        <f t="shared" si="124"/>
        <v/>
      </c>
      <c r="AF974" t="str">
        <f t="shared" si="125"/>
        <v/>
      </c>
      <c r="AG974" t="str">
        <f t="shared" si="126"/>
        <v>有效</v>
      </c>
      <c r="AH974">
        <f t="shared" si="127"/>
        <v>44357944</v>
      </c>
    </row>
    <row r="975" spans="1:34">
      <c r="A975">
        <v>971</v>
      </c>
      <c r="B975">
        <v>1003</v>
      </c>
      <c r="C975">
        <v>60</v>
      </c>
      <c r="D975">
        <f>IFERROR(ROUND($U975*$X975*$AA975*参数!$B$13,0),"")</f>
        <v>13744069</v>
      </c>
      <c r="E975">
        <f>IFERROR(ROUND($V975*$Y975*$AB975*参数!$C$13,0),"")</f>
        <v>116568</v>
      </c>
      <c r="F975">
        <f>IFERROR(ROUND($W975*$Z975*$AC975*参数!$D$13,0),"")</f>
        <v>92727</v>
      </c>
      <c r="J975">
        <v>195</v>
      </c>
      <c r="K975">
        <v>195</v>
      </c>
      <c r="L975">
        <f>IFERROR(INDEX(楼层配置!$D$5:$D$204,MATCH($K975,楼层配置!$B$5:$B$204,0)),"")</f>
        <v>481</v>
      </c>
      <c r="M975" t="str">
        <f>IFERROR(INDEX(_角色基线!$B$2:$B$100,MATCH($B975,_角色基线!$A$2:$A$100,0)),"")</f>
        <v>塔拉夏</v>
      </c>
      <c r="N975" t="str">
        <f>IFERROR(INDEX(_角色基线!$C$2:$C$100,MATCH($B975,_角色基线!$A$2:$A$100,0)),"")</f>
        <v>Tank</v>
      </c>
      <c r="O975">
        <f>IFERROR(INDEX(_怪物基线!$B$2:$B$501,MATCH(INT($L975),_怪物基线!$A$2:$A$501,0)),"")</f>
        <v>2025213</v>
      </c>
      <c r="P975">
        <f>IFERROR(INDEX(_怪物基线!$C$2:$C$501,MATCH(INT($L975),_怪物基线!$A$2:$A$501,0)),"")</f>
        <v>133676</v>
      </c>
      <c r="Q975">
        <f>IFERROR(INDEX(_怪物基线!$D$2:$D$501,MATCH(INT($L975),_怪物基线!$A$2:$A$501,0)),"")</f>
        <v>61818</v>
      </c>
      <c r="R975">
        <f>参数!$B$10</f>
        <v>4</v>
      </c>
      <c r="S975">
        <f>参数!$C$10</f>
        <v>1.2</v>
      </c>
      <c r="T975">
        <f>参数!$D$10</f>
        <v>1</v>
      </c>
      <c r="U975">
        <f t="shared" si="120"/>
        <v>8100852</v>
      </c>
      <c r="V975">
        <f t="shared" si="121"/>
        <v>160411.2</v>
      </c>
      <c r="W975">
        <f t="shared" si="122"/>
        <v>61818</v>
      </c>
      <c r="X975">
        <f>IFERROR(INDEX(参数!$B$5:$B$7,MATCH($N975,参数!$A$5:$A$7,0)),"")</f>
        <v>1.5</v>
      </c>
      <c r="Y975">
        <f>IFERROR(INDEX(参数!$C$5:$C$7,MATCH($N975,参数!$A$5:$A$7,0)),"")</f>
        <v>1</v>
      </c>
      <c r="Z975">
        <f>IFERROR(INDEX(参数!$D$5:$D$7,MATCH($N975,参数!$A$5:$A$7,0)),"")</f>
        <v>1.5</v>
      </c>
      <c r="AA975">
        <f>IFERROR(INDEX(楼层配置!$E$5:$E$204,MATCH($K975,楼层配置!$B$5:$B$204,0)),1)</f>
        <v>1.13108015591293</v>
      </c>
      <c r="AB975">
        <f>IFERROR(INDEX(楼层配置!$F$5:$F$204,MATCH($K975,楼层配置!$B$5:$B$204,0)),1)</f>
        <v>0.726679309784578</v>
      </c>
      <c r="AC975">
        <f>IFERROR(INDEX(楼层配置!$G$5:$G$204,MATCH($K975,楼层配置!$B$5:$B$204,0)),1)</f>
        <v>1</v>
      </c>
      <c r="AD975" t="str">
        <f t="shared" si="123"/>
        <v/>
      </c>
      <c r="AE975" t="str">
        <f t="shared" si="124"/>
        <v/>
      </c>
      <c r="AF975" t="str">
        <f t="shared" si="125"/>
        <v/>
      </c>
      <c r="AG975" t="str">
        <f t="shared" si="126"/>
        <v>有效</v>
      </c>
      <c r="AH975">
        <f t="shared" si="127"/>
        <v>54976276</v>
      </c>
    </row>
    <row r="976" spans="1:34">
      <c r="A976">
        <v>972</v>
      </c>
      <c r="B976">
        <v>1005</v>
      </c>
      <c r="C976">
        <v>60</v>
      </c>
      <c r="D976">
        <f>IFERROR(ROUND($U976*$X976*$AA976*参数!$B$13,0),"")</f>
        <v>9162713</v>
      </c>
      <c r="E976">
        <f>IFERROR(ROUND($V976*$Y976*$AB976*参数!$C$13,0),"")</f>
        <v>139881</v>
      </c>
      <c r="F976">
        <f>IFERROR(ROUND($W976*$Z976*$AC976*参数!$D$13,0),"")</f>
        <v>61818</v>
      </c>
      <c r="J976">
        <v>195</v>
      </c>
      <c r="K976">
        <v>195</v>
      </c>
      <c r="L976">
        <f>IFERROR(INDEX(楼层配置!$D$5:$D$204,MATCH($K976,楼层配置!$B$5:$B$204,0)),"")</f>
        <v>481</v>
      </c>
      <c r="M976" t="str">
        <f>IFERROR(INDEX(_角色基线!$B$2:$B$100,MATCH($B976,_角色基线!$A$2:$A$100,0)),"")</f>
        <v>陈单单</v>
      </c>
      <c r="N976" t="str">
        <f>IFERROR(INDEX(_角色基线!$C$2:$C$100,MATCH($B976,_角色基线!$A$2:$A$100,0)),"")</f>
        <v>DPS</v>
      </c>
      <c r="O976">
        <f>IFERROR(INDEX(_怪物基线!$B$2:$B$501,MATCH(INT($L976),_怪物基线!$A$2:$A$501,0)),"")</f>
        <v>2025213</v>
      </c>
      <c r="P976">
        <f>IFERROR(INDEX(_怪物基线!$C$2:$C$501,MATCH(INT($L976),_怪物基线!$A$2:$A$501,0)),"")</f>
        <v>133676</v>
      </c>
      <c r="Q976">
        <f>IFERROR(INDEX(_怪物基线!$D$2:$D$501,MATCH(INT($L976),_怪物基线!$A$2:$A$501,0)),"")</f>
        <v>61818</v>
      </c>
      <c r="R976">
        <f>参数!$B$10</f>
        <v>4</v>
      </c>
      <c r="S976">
        <f>参数!$C$10</f>
        <v>1.2</v>
      </c>
      <c r="T976">
        <f>参数!$D$10</f>
        <v>1</v>
      </c>
      <c r="U976">
        <f t="shared" si="120"/>
        <v>8100852</v>
      </c>
      <c r="V976">
        <f t="shared" si="121"/>
        <v>160411.2</v>
      </c>
      <c r="W976">
        <f t="shared" si="122"/>
        <v>61818</v>
      </c>
      <c r="X976">
        <f>IFERROR(INDEX(参数!$B$5:$B$7,MATCH($N976,参数!$A$5:$A$7,0)),"")</f>
        <v>1</v>
      </c>
      <c r="Y976">
        <f>IFERROR(INDEX(参数!$C$5:$C$7,MATCH($N976,参数!$A$5:$A$7,0)),"")</f>
        <v>1.2</v>
      </c>
      <c r="Z976">
        <f>IFERROR(INDEX(参数!$D$5:$D$7,MATCH($N976,参数!$A$5:$A$7,0)),"")</f>
        <v>1</v>
      </c>
      <c r="AA976">
        <f>IFERROR(INDEX(楼层配置!$E$5:$E$204,MATCH($K976,楼层配置!$B$5:$B$204,0)),1)</f>
        <v>1.13108015591293</v>
      </c>
      <c r="AB976">
        <f>IFERROR(INDEX(楼层配置!$F$5:$F$204,MATCH($K976,楼层配置!$B$5:$B$204,0)),1)</f>
        <v>0.726679309784578</v>
      </c>
      <c r="AC976">
        <f>IFERROR(INDEX(楼层配置!$G$5:$G$204,MATCH($K976,楼层配置!$B$5:$B$204,0)),1)</f>
        <v>1</v>
      </c>
      <c r="AD976" t="str">
        <f t="shared" si="123"/>
        <v/>
      </c>
      <c r="AE976" t="str">
        <f t="shared" si="124"/>
        <v/>
      </c>
      <c r="AF976" t="str">
        <f t="shared" si="125"/>
        <v/>
      </c>
      <c r="AG976" t="str">
        <f t="shared" si="126"/>
        <v>有效</v>
      </c>
      <c r="AH976">
        <f t="shared" si="127"/>
        <v>32763571.00975</v>
      </c>
    </row>
    <row r="977" spans="1:34">
      <c r="A977">
        <v>973</v>
      </c>
      <c r="B977">
        <v>1005</v>
      </c>
      <c r="C977">
        <v>60</v>
      </c>
      <c r="D977">
        <f>IFERROR(ROUND($U977*$X977*$AA977*参数!$B$13,0),"")</f>
        <v>9162713</v>
      </c>
      <c r="E977">
        <f>IFERROR(ROUND($V977*$Y977*$AB977*参数!$C$13,0),"")</f>
        <v>139881</v>
      </c>
      <c r="F977">
        <f>IFERROR(ROUND($W977*$Z977*$AC977*参数!$D$13,0),"")</f>
        <v>61818</v>
      </c>
      <c r="J977">
        <v>195</v>
      </c>
      <c r="K977">
        <v>195</v>
      </c>
      <c r="L977">
        <f>IFERROR(INDEX(楼层配置!$D$5:$D$204,MATCH($K977,楼层配置!$B$5:$B$204,0)),"")</f>
        <v>481</v>
      </c>
      <c r="M977" t="str">
        <f>IFERROR(INDEX(_角色基线!$B$2:$B$100,MATCH($B977,_角色基线!$A$2:$A$100,0)),"")</f>
        <v>陈单单</v>
      </c>
      <c r="N977" t="str">
        <f>IFERROR(INDEX(_角色基线!$C$2:$C$100,MATCH($B977,_角色基线!$A$2:$A$100,0)),"")</f>
        <v>DPS</v>
      </c>
      <c r="O977">
        <f>IFERROR(INDEX(_怪物基线!$B$2:$B$501,MATCH(INT($L977),_怪物基线!$A$2:$A$501,0)),"")</f>
        <v>2025213</v>
      </c>
      <c r="P977">
        <f>IFERROR(INDEX(_怪物基线!$C$2:$C$501,MATCH(INT($L977),_怪物基线!$A$2:$A$501,0)),"")</f>
        <v>133676</v>
      </c>
      <c r="Q977">
        <f>IFERROR(INDEX(_怪物基线!$D$2:$D$501,MATCH(INT($L977),_怪物基线!$A$2:$A$501,0)),"")</f>
        <v>61818</v>
      </c>
      <c r="R977">
        <f>参数!$B$10</f>
        <v>4</v>
      </c>
      <c r="S977">
        <f>参数!$C$10</f>
        <v>1.2</v>
      </c>
      <c r="T977">
        <f>参数!$D$10</f>
        <v>1</v>
      </c>
      <c r="U977">
        <f t="shared" si="120"/>
        <v>8100852</v>
      </c>
      <c r="V977">
        <f t="shared" si="121"/>
        <v>160411.2</v>
      </c>
      <c r="W977">
        <f t="shared" si="122"/>
        <v>61818</v>
      </c>
      <c r="X977">
        <f>IFERROR(INDEX(参数!$B$5:$B$7,MATCH($N977,参数!$A$5:$A$7,0)),"")</f>
        <v>1</v>
      </c>
      <c r="Y977">
        <f>IFERROR(INDEX(参数!$C$5:$C$7,MATCH($N977,参数!$A$5:$A$7,0)),"")</f>
        <v>1.2</v>
      </c>
      <c r="Z977">
        <f>IFERROR(INDEX(参数!$D$5:$D$7,MATCH($N977,参数!$A$5:$A$7,0)),"")</f>
        <v>1</v>
      </c>
      <c r="AA977">
        <f>IFERROR(INDEX(楼层配置!$E$5:$E$204,MATCH($K977,楼层配置!$B$5:$B$204,0)),1)</f>
        <v>1.13108015591293</v>
      </c>
      <c r="AB977">
        <f>IFERROR(INDEX(楼层配置!$F$5:$F$204,MATCH($K977,楼层配置!$B$5:$B$204,0)),1)</f>
        <v>0.726679309784578</v>
      </c>
      <c r="AC977">
        <f>IFERROR(INDEX(楼层配置!$G$5:$G$204,MATCH($K977,楼层配置!$B$5:$B$204,0)),1)</f>
        <v>1</v>
      </c>
      <c r="AD977" t="str">
        <f t="shared" si="123"/>
        <v/>
      </c>
      <c r="AE977" t="str">
        <f t="shared" si="124"/>
        <v/>
      </c>
      <c r="AF977" t="str">
        <f t="shared" si="125"/>
        <v/>
      </c>
      <c r="AG977" t="str">
        <f t="shared" si="126"/>
        <v>有效</v>
      </c>
      <c r="AH977">
        <f t="shared" si="127"/>
        <v>32763571.00975</v>
      </c>
    </row>
    <row r="978" spans="1:34">
      <c r="A978">
        <v>974</v>
      </c>
      <c r="B978">
        <v>1005</v>
      </c>
      <c r="C978">
        <v>60</v>
      </c>
      <c r="D978">
        <f>IFERROR(ROUND($U978*$X978*$AA978*参数!$B$13,0),"")</f>
        <v>9162713</v>
      </c>
      <c r="E978">
        <f>IFERROR(ROUND($V978*$Y978*$AB978*参数!$C$13,0),"")</f>
        <v>139881</v>
      </c>
      <c r="F978">
        <f>IFERROR(ROUND($W978*$Z978*$AC978*参数!$D$13,0),"")</f>
        <v>61818</v>
      </c>
      <c r="J978">
        <v>195</v>
      </c>
      <c r="K978">
        <v>195</v>
      </c>
      <c r="L978">
        <f>IFERROR(INDEX(楼层配置!$D$5:$D$204,MATCH($K978,楼层配置!$B$5:$B$204,0)),"")</f>
        <v>481</v>
      </c>
      <c r="M978" t="str">
        <f>IFERROR(INDEX(_角色基线!$B$2:$B$100,MATCH($B978,_角色基线!$A$2:$A$100,0)),"")</f>
        <v>陈单单</v>
      </c>
      <c r="N978" t="str">
        <f>IFERROR(INDEX(_角色基线!$C$2:$C$100,MATCH($B978,_角色基线!$A$2:$A$100,0)),"")</f>
        <v>DPS</v>
      </c>
      <c r="O978">
        <f>IFERROR(INDEX(_怪物基线!$B$2:$B$501,MATCH(INT($L978),_怪物基线!$A$2:$A$501,0)),"")</f>
        <v>2025213</v>
      </c>
      <c r="P978">
        <f>IFERROR(INDEX(_怪物基线!$C$2:$C$501,MATCH(INT($L978),_怪物基线!$A$2:$A$501,0)),"")</f>
        <v>133676</v>
      </c>
      <c r="Q978">
        <f>IFERROR(INDEX(_怪物基线!$D$2:$D$501,MATCH(INT($L978),_怪物基线!$A$2:$A$501,0)),"")</f>
        <v>61818</v>
      </c>
      <c r="R978">
        <f>参数!$B$10</f>
        <v>4</v>
      </c>
      <c r="S978">
        <f>参数!$C$10</f>
        <v>1.2</v>
      </c>
      <c r="T978">
        <f>参数!$D$10</f>
        <v>1</v>
      </c>
      <c r="U978">
        <f t="shared" si="120"/>
        <v>8100852</v>
      </c>
      <c r="V978">
        <f t="shared" si="121"/>
        <v>160411.2</v>
      </c>
      <c r="W978">
        <f t="shared" si="122"/>
        <v>61818</v>
      </c>
      <c r="X978">
        <f>IFERROR(INDEX(参数!$B$5:$B$7,MATCH($N978,参数!$A$5:$A$7,0)),"")</f>
        <v>1</v>
      </c>
      <c r="Y978">
        <f>IFERROR(INDEX(参数!$C$5:$C$7,MATCH($N978,参数!$A$5:$A$7,0)),"")</f>
        <v>1.2</v>
      </c>
      <c r="Z978">
        <f>IFERROR(INDEX(参数!$D$5:$D$7,MATCH($N978,参数!$A$5:$A$7,0)),"")</f>
        <v>1</v>
      </c>
      <c r="AA978">
        <f>IFERROR(INDEX(楼层配置!$E$5:$E$204,MATCH($K978,楼层配置!$B$5:$B$204,0)),1)</f>
        <v>1.13108015591293</v>
      </c>
      <c r="AB978">
        <f>IFERROR(INDEX(楼层配置!$F$5:$F$204,MATCH($K978,楼层配置!$B$5:$B$204,0)),1)</f>
        <v>0.726679309784578</v>
      </c>
      <c r="AC978">
        <f>IFERROR(INDEX(楼层配置!$G$5:$G$204,MATCH($K978,楼层配置!$B$5:$B$204,0)),1)</f>
        <v>1</v>
      </c>
      <c r="AD978" t="str">
        <f t="shared" si="123"/>
        <v/>
      </c>
      <c r="AE978" t="str">
        <f t="shared" si="124"/>
        <v/>
      </c>
      <c r="AF978" t="str">
        <f t="shared" si="125"/>
        <v/>
      </c>
      <c r="AG978" t="str">
        <f t="shared" si="126"/>
        <v>有效</v>
      </c>
      <c r="AH978">
        <f t="shared" si="127"/>
        <v>32763571.00975</v>
      </c>
    </row>
    <row r="979" spans="1:34">
      <c r="A979">
        <v>975</v>
      </c>
      <c r="B979">
        <v>1029</v>
      </c>
      <c r="C979">
        <v>60</v>
      </c>
      <c r="D979">
        <f>IFERROR(ROUND($U979*$X979*$AA979*参数!$B$13,0),"")</f>
        <v>11453391</v>
      </c>
      <c r="E979">
        <f>IFERROR(ROUND($V979*$Y979*$AB979*参数!$C$13,0),"")</f>
        <v>116568</v>
      </c>
      <c r="F979">
        <f>IFERROR(ROUND($W979*$Z979*$AC979*参数!$D$13,0),"")</f>
        <v>77273</v>
      </c>
      <c r="J979">
        <v>195</v>
      </c>
      <c r="K979">
        <v>195</v>
      </c>
      <c r="L979">
        <f>IFERROR(INDEX(楼层配置!$D$5:$D$204,MATCH($K979,楼层配置!$B$5:$B$204,0)),"")</f>
        <v>481</v>
      </c>
      <c r="M979" t="str">
        <f>IFERROR(INDEX(_角色基线!$B$2:$B$100,MATCH($B979,_角色基线!$A$2:$A$100,0)),"")</f>
        <v>凯兰</v>
      </c>
      <c r="N979" t="str">
        <f>IFERROR(INDEX(_角色基线!$C$2:$C$100,MATCH($B979,_角色基线!$A$2:$A$100,0)),"")</f>
        <v>Support</v>
      </c>
      <c r="O979">
        <f>IFERROR(INDEX(_怪物基线!$B$2:$B$501,MATCH(INT($L979),_怪物基线!$A$2:$A$501,0)),"")</f>
        <v>2025213</v>
      </c>
      <c r="P979">
        <f>IFERROR(INDEX(_怪物基线!$C$2:$C$501,MATCH(INT($L979),_怪物基线!$A$2:$A$501,0)),"")</f>
        <v>133676</v>
      </c>
      <c r="Q979">
        <f>IFERROR(INDEX(_怪物基线!$D$2:$D$501,MATCH(INT($L979),_怪物基线!$A$2:$A$501,0)),"")</f>
        <v>61818</v>
      </c>
      <c r="R979">
        <f>参数!$B$10</f>
        <v>4</v>
      </c>
      <c r="S979">
        <f>参数!$C$10</f>
        <v>1.2</v>
      </c>
      <c r="T979">
        <f>参数!$D$10</f>
        <v>1</v>
      </c>
      <c r="U979">
        <f t="shared" si="120"/>
        <v>8100852</v>
      </c>
      <c r="V979">
        <f t="shared" si="121"/>
        <v>160411.2</v>
      </c>
      <c r="W979">
        <f t="shared" si="122"/>
        <v>61818</v>
      </c>
      <c r="X979">
        <f>IFERROR(INDEX(参数!$B$5:$B$7,MATCH($N979,参数!$A$5:$A$7,0)),"")</f>
        <v>1.25</v>
      </c>
      <c r="Y979">
        <f>IFERROR(INDEX(参数!$C$5:$C$7,MATCH($N979,参数!$A$5:$A$7,0)),"")</f>
        <v>1</v>
      </c>
      <c r="Z979">
        <f>IFERROR(INDEX(参数!$D$5:$D$7,MATCH($N979,参数!$A$5:$A$7,0)),"")</f>
        <v>1.25</v>
      </c>
      <c r="AA979">
        <f>IFERROR(INDEX(楼层配置!$E$5:$E$204,MATCH($K979,楼层配置!$B$5:$B$204,0)),1)</f>
        <v>1.13108015591293</v>
      </c>
      <c r="AB979">
        <f>IFERROR(INDEX(楼层配置!$F$5:$F$204,MATCH($K979,楼层配置!$B$5:$B$204,0)),1)</f>
        <v>0.726679309784578</v>
      </c>
      <c r="AC979">
        <f>IFERROR(INDEX(楼层配置!$G$5:$G$204,MATCH($K979,楼层配置!$B$5:$B$204,0)),1)</f>
        <v>1</v>
      </c>
      <c r="AD979" t="str">
        <f t="shared" si="123"/>
        <v/>
      </c>
      <c r="AE979" t="str">
        <f t="shared" si="124"/>
        <v/>
      </c>
      <c r="AF979" t="str">
        <f t="shared" si="125"/>
        <v/>
      </c>
      <c r="AG979" t="str">
        <f t="shared" si="126"/>
        <v>有效</v>
      </c>
      <c r="AH979">
        <f t="shared" si="127"/>
        <v>45813564</v>
      </c>
    </row>
    <row r="980" spans="1:34">
      <c r="A980">
        <v>976</v>
      </c>
      <c r="B980">
        <v>1003</v>
      </c>
      <c r="C980">
        <v>60</v>
      </c>
      <c r="D980">
        <f>IFERROR(ROUND($U980*$X980*$AA980*参数!$B$13,0),"")</f>
        <v>14061354</v>
      </c>
      <c r="E980">
        <f>IFERROR(ROUND($V980*$Y980*$AB980*参数!$C$13,0),"")</f>
        <v>119791</v>
      </c>
      <c r="F980">
        <f>IFERROR(ROUND($W980*$Z980*$AC980*参数!$D$13,0),"")</f>
        <v>93830</v>
      </c>
      <c r="J980">
        <v>196</v>
      </c>
      <c r="K980">
        <v>196</v>
      </c>
      <c r="L980">
        <f>IFERROR(INDEX(楼层配置!$D$5:$D$204,MATCH($K980,楼层配置!$B$5:$B$204,0)),"")</f>
        <v>485</v>
      </c>
      <c r="M980" t="str">
        <f>IFERROR(INDEX(_角色基线!$B$2:$B$100,MATCH($B980,_角色基线!$A$2:$A$100,0)),"")</f>
        <v>塔拉夏</v>
      </c>
      <c r="N980" t="str">
        <f>IFERROR(INDEX(_角色基线!$C$2:$C$100,MATCH($B980,_角色基线!$A$2:$A$100,0)),"")</f>
        <v>Tank</v>
      </c>
      <c r="O980">
        <f>IFERROR(INDEX(_怪物基线!$B$2:$B$501,MATCH(INT($L980),_怪物基线!$A$2:$A$501,0)),"")</f>
        <v>2081645</v>
      </c>
      <c r="P980">
        <f>IFERROR(INDEX(_怪物基线!$C$2:$C$501,MATCH(INT($L980),_怪物基线!$A$2:$A$501,0)),"")</f>
        <v>136779</v>
      </c>
      <c r="Q980">
        <f>IFERROR(INDEX(_怪物基线!$D$2:$D$501,MATCH(INT($L980),_怪物基线!$A$2:$A$501,0)),"")</f>
        <v>62553</v>
      </c>
      <c r="R980">
        <f>参数!$B$10</f>
        <v>4</v>
      </c>
      <c r="S980">
        <f>参数!$C$10</f>
        <v>1.2</v>
      </c>
      <c r="T980">
        <f>参数!$D$10</f>
        <v>1</v>
      </c>
      <c r="U980">
        <f t="shared" si="120"/>
        <v>8326580</v>
      </c>
      <c r="V980">
        <f t="shared" si="121"/>
        <v>164134.8</v>
      </c>
      <c r="W980">
        <f t="shared" si="122"/>
        <v>62553</v>
      </c>
      <c r="X980">
        <f>IFERROR(INDEX(参数!$B$5:$B$7,MATCH($N980,参数!$A$5:$A$7,0)),"")</f>
        <v>1.5</v>
      </c>
      <c r="Y980">
        <f>IFERROR(INDEX(参数!$C$5:$C$7,MATCH($N980,参数!$A$5:$A$7,0)),"")</f>
        <v>1</v>
      </c>
      <c r="Z980">
        <f>IFERROR(INDEX(参数!$D$5:$D$7,MATCH($N980,参数!$A$5:$A$7,0)),"")</f>
        <v>1.5</v>
      </c>
      <c r="AA980">
        <f>IFERROR(INDEX(楼层配置!$E$5:$E$204,MATCH($K980,楼层配置!$B$5:$B$204,0)),1)</f>
        <v>1.12582067235919</v>
      </c>
      <c r="AB980">
        <f>IFERROR(INDEX(楼层配置!$F$5:$F$204,MATCH($K980,楼层配置!$B$5:$B$204,0)),1)</f>
        <v>0.729834891319568</v>
      </c>
      <c r="AC980">
        <f>IFERROR(INDEX(楼层配置!$G$5:$G$204,MATCH($K980,楼层配置!$B$5:$B$204,0)),1)</f>
        <v>1</v>
      </c>
      <c r="AD980" t="str">
        <f t="shared" si="123"/>
        <v/>
      </c>
      <c r="AE980" t="str">
        <f t="shared" si="124"/>
        <v/>
      </c>
      <c r="AF980" t="str">
        <f t="shared" si="125"/>
        <v/>
      </c>
      <c r="AG980" t="str">
        <f t="shared" si="126"/>
        <v>有效</v>
      </c>
      <c r="AH980">
        <f t="shared" si="127"/>
        <v>56245416</v>
      </c>
    </row>
    <row r="981" spans="1:34">
      <c r="A981">
        <v>977</v>
      </c>
      <c r="B981">
        <v>1005</v>
      </c>
      <c r="C981">
        <v>60</v>
      </c>
      <c r="D981">
        <f>IFERROR(ROUND($U981*$X981*$AA981*参数!$B$13,0),"")</f>
        <v>9374236</v>
      </c>
      <c r="E981">
        <f>IFERROR(ROUND($V981*$Y981*$AB981*参数!$C$13,0),"")</f>
        <v>143750</v>
      </c>
      <c r="F981">
        <f>IFERROR(ROUND($W981*$Z981*$AC981*参数!$D$13,0),"")</f>
        <v>62553</v>
      </c>
      <c r="J981">
        <v>196</v>
      </c>
      <c r="K981">
        <v>196</v>
      </c>
      <c r="L981">
        <f>IFERROR(INDEX(楼层配置!$D$5:$D$204,MATCH($K981,楼层配置!$B$5:$B$204,0)),"")</f>
        <v>485</v>
      </c>
      <c r="M981" t="str">
        <f>IFERROR(INDEX(_角色基线!$B$2:$B$100,MATCH($B981,_角色基线!$A$2:$A$100,0)),"")</f>
        <v>陈单单</v>
      </c>
      <c r="N981" t="str">
        <f>IFERROR(INDEX(_角色基线!$C$2:$C$100,MATCH($B981,_角色基线!$A$2:$A$100,0)),"")</f>
        <v>DPS</v>
      </c>
      <c r="O981">
        <f>IFERROR(INDEX(_怪物基线!$B$2:$B$501,MATCH(INT($L981),_怪物基线!$A$2:$A$501,0)),"")</f>
        <v>2081645</v>
      </c>
      <c r="P981">
        <f>IFERROR(INDEX(_怪物基线!$C$2:$C$501,MATCH(INT($L981),_怪物基线!$A$2:$A$501,0)),"")</f>
        <v>136779</v>
      </c>
      <c r="Q981">
        <f>IFERROR(INDEX(_怪物基线!$D$2:$D$501,MATCH(INT($L981),_怪物基线!$A$2:$A$501,0)),"")</f>
        <v>62553</v>
      </c>
      <c r="R981">
        <f>参数!$B$10</f>
        <v>4</v>
      </c>
      <c r="S981">
        <f>参数!$C$10</f>
        <v>1.2</v>
      </c>
      <c r="T981">
        <f>参数!$D$10</f>
        <v>1</v>
      </c>
      <c r="U981">
        <f t="shared" si="120"/>
        <v>8326580</v>
      </c>
      <c r="V981">
        <f t="shared" si="121"/>
        <v>164134.8</v>
      </c>
      <c r="W981">
        <f t="shared" si="122"/>
        <v>62553</v>
      </c>
      <c r="X981">
        <f>IFERROR(INDEX(参数!$B$5:$B$7,MATCH($N981,参数!$A$5:$A$7,0)),"")</f>
        <v>1</v>
      </c>
      <c r="Y981">
        <f>IFERROR(INDEX(参数!$C$5:$C$7,MATCH($N981,参数!$A$5:$A$7,0)),"")</f>
        <v>1.2</v>
      </c>
      <c r="Z981">
        <f>IFERROR(INDEX(参数!$D$5:$D$7,MATCH($N981,参数!$A$5:$A$7,0)),"")</f>
        <v>1</v>
      </c>
      <c r="AA981">
        <f>IFERROR(INDEX(楼层配置!$E$5:$E$204,MATCH($K981,楼层配置!$B$5:$B$204,0)),1)</f>
        <v>1.12582067235919</v>
      </c>
      <c r="AB981">
        <f>IFERROR(INDEX(楼层配置!$F$5:$F$204,MATCH($K981,楼层配置!$B$5:$B$204,0)),1)</f>
        <v>0.729834891319568</v>
      </c>
      <c r="AC981">
        <f>IFERROR(INDEX(楼层配置!$G$5:$G$204,MATCH($K981,楼层配置!$B$5:$B$204,0)),1)</f>
        <v>1</v>
      </c>
      <c r="AD981" t="str">
        <f t="shared" si="123"/>
        <v/>
      </c>
      <c r="AE981" t="str">
        <f t="shared" si="124"/>
        <v/>
      </c>
      <c r="AF981" t="str">
        <f t="shared" si="125"/>
        <v/>
      </c>
      <c r="AG981" t="str">
        <f t="shared" si="126"/>
        <v>有效</v>
      </c>
      <c r="AH981">
        <f t="shared" si="127"/>
        <v>33807010.3545</v>
      </c>
    </row>
    <row r="982" spans="1:34">
      <c r="A982">
        <v>978</v>
      </c>
      <c r="B982">
        <v>1005</v>
      </c>
      <c r="C982">
        <v>60</v>
      </c>
      <c r="D982">
        <f>IFERROR(ROUND($U982*$X982*$AA982*参数!$B$13,0),"")</f>
        <v>9374236</v>
      </c>
      <c r="E982">
        <f>IFERROR(ROUND($V982*$Y982*$AB982*参数!$C$13,0),"")</f>
        <v>143750</v>
      </c>
      <c r="F982">
        <f>IFERROR(ROUND($W982*$Z982*$AC982*参数!$D$13,0),"")</f>
        <v>62553</v>
      </c>
      <c r="J982">
        <v>196</v>
      </c>
      <c r="K982">
        <v>196</v>
      </c>
      <c r="L982">
        <f>IFERROR(INDEX(楼层配置!$D$5:$D$204,MATCH($K982,楼层配置!$B$5:$B$204,0)),"")</f>
        <v>485</v>
      </c>
      <c r="M982" t="str">
        <f>IFERROR(INDEX(_角色基线!$B$2:$B$100,MATCH($B982,_角色基线!$A$2:$A$100,0)),"")</f>
        <v>陈单单</v>
      </c>
      <c r="N982" t="str">
        <f>IFERROR(INDEX(_角色基线!$C$2:$C$100,MATCH($B982,_角色基线!$A$2:$A$100,0)),"")</f>
        <v>DPS</v>
      </c>
      <c r="O982">
        <f>IFERROR(INDEX(_怪物基线!$B$2:$B$501,MATCH(INT($L982),_怪物基线!$A$2:$A$501,0)),"")</f>
        <v>2081645</v>
      </c>
      <c r="P982">
        <f>IFERROR(INDEX(_怪物基线!$C$2:$C$501,MATCH(INT($L982),_怪物基线!$A$2:$A$501,0)),"")</f>
        <v>136779</v>
      </c>
      <c r="Q982">
        <f>IFERROR(INDEX(_怪物基线!$D$2:$D$501,MATCH(INT($L982),_怪物基线!$A$2:$A$501,0)),"")</f>
        <v>62553</v>
      </c>
      <c r="R982">
        <f>参数!$B$10</f>
        <v>4</v>
      </c>
      <c r="S982">
        <f>参数!$C$10</f>
        <v>1.2</v>
      </c>
      <c r="T982">
        <f>参数!$D$10</f>
        <v>1</v>
      </c>
      <c r="U982">
        <f t="shared" si="120"/>
        <v>8326580</v>
      </c>
      <c r="V982">
        <f t="shared" si="121"/>
        <v>164134.8</v>
      </c>
      <c r="W982">
        <f t="shared" si="122"/>
        <v>62553</v>
      </c>
      <c r="X982">
        <f>IFERROR(INDEX(参数!$B$5:$B$7,MATCH($N982,参数!$A$5:$A$7,0)),"")</f>
        <v>1</v>
      </c>
      <c r="Y982">
        <f>IFERROR(INDEX(参数!$C$5:$C$7,MATCH($N982,参数!$A$5:$A$7,0)),"")</f>
        <v>1.2</v>
      </c>
      <c r="Z982">
        <f>IFERROR(INDEX(参数!$D$5:$D$7,MATCH($N982,参数!$A$5:$A$7,0)),"")</f>
        <v>1</v>
      </c>
      <c r="AA982">
        <f>IFERROR(INDEX(楼层配置!$E$5:$E$204,MATCH($K982,楼层配置!$B$5:$B$204,0)),1)</f>
        <v>1.12582067235919</v>
      </c>
      <c r="AB982">
        <f>IFERROR(INDEX(楼层配置!$F$5:$F$204,MATCH($K982,楼层配置!$B$5:$B$204,0)),1)</f>
        <v>0.729834891319568</v>
      </c>
      <c r="AC982">
        <f>IFERROR(INDEX(楼层配置!$G$5:$G$204,MATCH($K982,楼层配置!$B$5:$B$204,0)),1)</f>
        <v>1</v>
      </c>
      <c r="AD982" t="str">
        <f t="shared" si="123"/>
        <v/>
      </c>
      <c r="AE982" t="str">
        <f t="shared" si="124"/>
        <v/>
      </c>
      <c r="AF982" t="str">
        <f t="shared" si="125"/>
        <v/>
      </c>
      <c r="AG982" t="str">
        <f t="shared" si="126"/>
        <v>有效</v>
      </c>
      <c r="AH982">
        <f t="shared" si="127"/>
        <v>33807010.3545</v>
      </c>
    </row>
    <row r="983" spans="1:34">
      <c r="A983">
        <v>979</v>
      </c>
      <c r="B983">
        <v>1005</v>
      </c>
      <c r="C983">
        <v>60</v>
      </c>
      <c r="D983">
        <f>IFERROR(ROUND($U983*$X983*$AA983*参数!$B$13,0),"")</f>
        <v>9374236</v>
      </c>
      <c r="E983">
        <f>IFERROR(ROUND($V983*$Y983*$AB983*参数!$C$13,0),"")</f>
        <v>143750</v>
      </c>
      <c r="F983">
        <f>IFERROR(ROUND($W983*$Z983*$AC983*参数!$D$13,0),"")</f>
        <v>62553</v>
      </c>
      <c r="J983">
        <v>196</v>
      </c>
      <c r="K983">
        <v>196</v>
      </c>
      <c r="L983">
        <f>IFERROR(INDEX(楼层配置!$D$5:$D$204,MATCH($K983,楼层配置!$B$5:$B$204,0)),"")</f>
        <v>485</v>
      </c>
      <c r="M983" t="str">
        <f>IFERROR(INDEX(_角色基线!$B$2:$B$100,MATCH($B983,_角色基线!$A$2:$A$100,0)),"")</f>
        <v>陈单单</v>
      </c>
      <c r="N983" t="str">
        <f>IFERROR(INDEX(_角色基线!$C$2:$C$100,MATCH($B983,_角色基线!$A$2:$A$100,0)),"")</f>
        <v>DPS</v>
      </c>
      <c r="O983">
        <f>IFERROR(INDEX(_怪物基线!$B$2:$B$501,MATCH(INT($L983),_怪物基线!$A$2:$A$501,0)),"")</f>
        <v>2081645</v>
      </c>
      <c r="P983">
        <f>IFERROR(INDEX(_怪物基线!$C$2:$C$501,MATCH(INT($L983),_怪物基线!$A$2:$A$501,0)),"")</f>
        <v>136779</v>
      </c>
      <c r="Q983">
        <f>IFERROR(INDEX(_怪物基线!$D$2:$D$501,MATCH(INT($L983),_怪物基线!$A$2:$A$501,0)),"")</f>
        <v>62553</v>
      </c>
      <c r="R983">
        <f>参数!$B$10</f>
        <v>4</v>
      </c>
      <c r="S983">
        <f>参数!$C$10</f>
        <v>1.2</v>
      </c>
      <c r="T983">
        <f>参数!$D$10</f>
        <v>1</v>
      </c>
      <c r="U983">
        <f t="shared" si="120"/>
        <v>8326580</v>
      </c>
      <c r="V983">
        <f t="shared" si="121"/>
        <v>164134.8</v>
      </c>
      <c r="W983">
        <f t="shared" si="122"/>
        <v>62553</v>
      </c>
      <c r="X983">
        <f>IFERROR(INDEX(参数!$B$5:$B$7,MATCH($N983,参数!$A$5:$A$7,0)),"")</f>
        <v>1</v>
      </c>
      <c r="Y983">
        <f>IFERROR(INDEX(参数!$C$5:$C$7,MATCH($N983,参数!$A$5:$A$7,0)),"")</f>
        <v>1.2</v>
      </c>
      <c r="Z983">
        <f>IFERROR(INDEX(参数!$D$5:$D$7,MATCH($N983,参数!$A$5:$A$7,0)),"")</f>
        <v>1</v>
      </c>
      <c r="AA983">
        <f>IFERROR(INDEX(楼层配置!$E$5:$E$204,MATCH($K983,楼层配置!$B$5:$B$204,0)),1)</f>
        <v>1.12582067235919</v>
      </c>
      <c r="AB983">
        <f>IFERROR(INDEX(楼层配置!$F$5:$F$204,MATCH($K983,楼层配置!$B$5:$B$204,0)),1)</f>
        <v>0.729834891319568</v>
      </c>
      <c r="AC983">
        <f>IFERROR(INDEX(楼层配置!$G$5:$G$204,MATCH($K983,楼层配置!$B$5:$B$204,0)),1)</f>
        <v>1</v>
      </c>
      <c r="AD983" t="str">
        <f t="shared" si="123"/>
        <v/>
      </c>
      <c r="AE983" t="str">
        <f t="shared" si="124"/>
        <v/>
      </c>
      <c r="AF983" t="str">
        <f t="shared" si="125"/>
        <v/>
      </c>
      <c r="AG983" t="str">
        <f t="shared" si="126"/>
        <v>有效</v>
      </c>
      <c r="AH983">
        <f t="shared" si="127"/>
        <v>33807010.3545</v>
      </c>
    </row>
    <row r="984" spans="1:34">
      <c r="A984">
        <v>980</v>
      </c>
      <c r="B984">
        <v>1029</v>
      </c>
      <c r="C984">
        <v>60</v>
      </c>
      <c r="D984">
        <f>IFERROR(ROUND($U984*$X984*$AA984*参数!$B$13,0),"")</f>
        <v>11717795</v>
      </c>
      <c r="E984">
        <f>IFERROR(ROUND($V984*$Y984*$AB984*参数!$C$13,0),"")</f>
        <v>119791</v>
      </c>
      <c r="F984">
        <f>IFERROR(ROUND($W984*$Z984*$AC984*参数!$D$13,0),"")</f>
        <v>78191</v>
      </c>
      <c r="J984">
        <v>196</v>
      </c>
      <c r="K984">
        <v>196</v>
      </c>
      <c r="L984">
        <f>IFERROR(INDEX(楼层配置!$D$5:$D$204,MATCH($K984,楼层配置!$B$5:$B$204,0)),"")</f>
        <v>485</v>
      </c>
      <c r="M984" t="str">
        <f>IFERROR(INDEX(_角色基线!$B$2:$B$100,MATCH($B984,_角色基线!$A$2:$A$100,0)),"")</f>
        <v>凯兰</v>
      </c>
      <c r="N984" t="str">
        <f>IFERROR(INDEX(_角色基线!$C$2:$C$100,MATCH($B984,_角色基线!$A$2:$A$100,0)),"")</f>
        <v>Support</v>
      </c>
      <c r="O984">
        <f>IFERROR(INDEX(_怪物基线!$B$2:$B$501,MATCH(INT($L984),_怪物基线!$A$2:$A$501,0)),"")</f>
        <v>2081645</v>
      </c>
      <c r="P984">
        <f>IFERROR(INDEX(_怪物基线!$C$2:$C$501,MATCH(INT($L984),_怪物基线!$A$2:$A$501,0)),"")</f>
        <v>136779</v>
      </c>
      <c r="Q984">
        <f>IFERROR(INDEX(_怪物基线!$D$2:$D$501,MATCH(INT($L984),_怪物基线!$A$2:$A$501,0)),"")</f>
        <v>62553</v>
      </c>
      <c r="R984">
        <f>参数!$B$10</f>
        <v>4</v>
      </c>
      <c r="S984">
        <f>参数!$C$10</f>
        <v>1.2</v>
      </c>
      <c r="T984">
        <f>参数!$D$10</f>
        <v>1</v>
      </c>
      <c r="U984">
        <f t="shared" si="120"/>
        <v>8326580</v>
      </c>
      <c r="V984">
        <f t="shared" si="121"/>
        <v>164134.8</v>
      </c>
      <c r="W984">
        <f t="shared" si="122"/>
        <v>62553</v>
      </c>
      <c r="X984">
        <f>IFERROR(INDEX(参数!$B$5:$B$7,MATCH($N984,参数!$A$5:$A$7,0)),"")</f>
        <v>1.25</v>
      </c>
      <c r="Y984">
        <f>IFERROR(INDEX(参数!$C$5:$C$7,MATCH($N984,参数!$A$5:$A$7,0)),"")</f>
        <v>1</v>
      </c>
      <c r="Z984">
        <f>IFERROR(INDEX(参数!$D$5:$D$7,MATCH($N984,参数!$A$5:$A$7,0)),"")</f>
        <v>1.25</v>
      </c>
      <c r="AA984">
        <f>IFERROR(INDEX(楼层配置!$E$5:$E$204,MATCH($K984,楼层配置!$B$5:$B$204,0)),1)</f>
        <v>1.12582067235919</v>
      </c>
      <c r="AB984">
        <f>IFERROR(INDEX(楼层配置!$F$5:$F$204,MATCH($K984,楼层配置!$B$5:$B$204,0)),1)</f>
        <v>0.729834891319568</v>
      </c>
      <c r="AC984">
        <f>IFERROR(INDEX(楼层配置!$G$5:$G$204,MATCH($K984,楼层配置!$B$5:$B$204,0)),1)</f>
        <v>1</v>
      </c>
      <c r="AD984" t="str">
        <f t="shared" si="123"/>
        <v/>
      </c>
      <c r="AE984" t="str">
        <f t="shared" si="124"/>
        <v/>
      </c>
      <c r="AF984" t="str">
        <f t="shared" si="125"/>
        <v/>
      </c>
      <c r="AG984" t="str">
        <f t="shared" si="126"/>
        <v>有效</v>
      </c>
      <c r="AH984">
        <f t="shared" si="127"/>
        <v>46871180</v>
      </c>
    </row>
    <row r="985" spans="1:34">
      <c r="A985">
        <v>981</v>
      </c>
      <c r="B985">
        <v>1003</v>
      </c>
      <c r="C985">
        <v>60</v>
      </c>
      <c r="D985">
        <f>IFERROR(ROUND($U985*$X985*$AA985*参数!$B$13,0),"")</f>
        <v>14451113</v>
      </c>
      <c r="E985">
        <f>IFERROR(ROUND($V985*$Y985*$AB985*参数!$C$13,0),"")</f>
        <v>122563</v>
      </c>
      <c r="F985">
        <f>IFERROR(ROUND($W985*$Z985*$AC985*参数!$D$13,0),"")</f>
        <v>94937</v>
      </c>
      <c r="J985">
        <v>197</v>
      </c>
      <c r="K985">
        <v>197</v>
      </c>
      <c r="L985">
        <f>IFERROR(INDEX(楼层配置!$D$5:$D$204,MATCH($K985,楼层配置!$B$5:$B$204,0)),"")</f>
        <v>489</v>
      </c>
      <c r="M985" t="str">
        <f>IFERROR(INDEX(_角色基线!$B$2:$B$100,MATCH($B985,_角色基线!$A$2:$A$100,0)),"")</f>
        <v>塔拉夏</v>
      </c>
      <c r="N985" t="str">
        <f>IFERROR(INDEX(_角色基线!$C$2:$C$100,MATCH($B985,_角色基线!$A$2:$A$100,0)),"")</f>
        <v>Tank</v>
      </c>
      <c r="O985">
        <f>IFERROR(INDEX(_怪物基线!$B$2:$B$501,MATCH(INT($L985),_怪物基线!$A$2:$A$501,0)),"")</f>
        <v>2139345</v>
      </c>
      <c r="P985">
        <f>IFERROR(INDEX(_怪物基线!$C$2:$C$501,MATCH(INT($L985),_怪物基线!$A$2:$A$501,0)),"")</f>
        <v>139944</v>
      </c>
      <c r="Q985">
        <f>IFERROR(INDEX(_怪物基线!$D$2:$D$501,MATCH(INT($L985),_怪物基线!$A$2:$A$501,0)),"")</f>
        <v>63291</v>
      </c>
      <c r="R985">
        <f>参数!$B$10</f>
        <v>4</v>
      </c>
      <c r="S985">
        <f>参数!$C$10</f>
        <v>1.2</v>
      </c>
      <c r="T985">
        <f>参数!$D$10</f>
        <v>1</v>
      </c>
      <c r="U985">
        <f t="shared" si="120"/>
        <v>8557380</v>
      </c>
      <c r="V985">
        <f t="shared" si="121"/>
        <v>167932.8</v>
      </c>
      <c r="W985">
        <f t="shared" si="122"/>
        <v>63291</v>
      </c>
      <c r="X985">
        <f>IFERROR(INDEX(参数!$B$5:$B$7,MATCH($N985,参数!$A$5:$A$7,0)),"")</f>
        <v>1.5</v>
      </c>
      <c r="Y985">
        <f>IFERROR(INDEX(参数!$C$5:$C$7,MATCH($N985,参数!$A$5:$A$7,0)),"")</f>
        <v>1</v>
      </c>
      <c r="Z985">
        <f>IFERROR(INDEX(参数!$D$5:$D$7,MATCH($N985,参数!$A$5:$A$7,0)),"")</f>
        <v>1.5</v>
      </c>
      <c r="AA985">
        <f>IFERROR(INDEX(楼层配置!$E$5:$E$204,MATCH($K985,楼层配置!$B$5:$B$204,0)),1)</f>
        <v>1.12582067235919</v>
      </c>
      <c r="AB985">
        <f>IFERROR(INDEX(楼层配置!$F$5:$F$204,MATCH($K985,楼层配置!$B$5:$B$204,0)),1)</f>
        <v>0.729834891319568</v>
      </c>
      <c r="AC985">
        <f>IFERROR(INDEX(楼层配置!$G$5:$G$204,MATCH($K985,楼层配置!$B$5:$B$204,0)),1)</f>
        <v>1</v>
      </c>
      <c r="AD985" t="str">
        <f t="shared" si="123"/>
        <v/>
      </c>
      <c r="AE985" t="str">
        <f t="shared" si="124"/>
        <v/>
      </c>
      <c r="AF985" t="str">
        <f t="shared" si="125"/>
        <v/>
      </c>
      <c r="AG985" t="str">
        <f t="shared" si="126"/>
        <v>有效</v>
      </c>
      <c r="AH985">
        <f t="shared" si="127"/>
        <v>57804452</v>
      </c>
    </row>
    <row r="986" spans="1:34">
      <c r="A986">
        <v>982</v>
      </c>
      <c r="B986">
        <v>1005</v>
      </c>
      <c r="C986">
        <v>60</v>
      </c>
      <c r="D986">
        <f>IFERROR(ROUND($U986*$X986*$AA986*参数!$B$13,0),"")</f>
        <v>9634075</v>
      </c>
      <c r="E986">
        <f>IFERROR(ROUND($V986*$Y986*$AB986*参数!$C$13,0),"")</f>
        <v>147076</v>
      </c>
      <c r="F986">
        <f>IFERROR(ROUND($W986*$Z986*$AC986*参数!$D$13,0),"")</f>
        <v>63291</v>
      </c>
      <c r="J986">
        <v>197</v>
      </c>
      <c r="K986">
        <v>197</v>
      </c>
      <c r="L986">
        <f>IFERROR(INDEX(楼层配置!$D$5:$D$204,MATCH($K986,楼层配置!$B$5:$B$204,0)),"")</f>
        <v>489</v>
      </c>
      <c r="M986" t="str">
        <f>IFERROR(INDEX(_角色基线!$B$2:$B$100,MATCH($B986,_角色基线!$A$2:$A$100,0)),"")</f>
        <v>陈单单</v>
      </c>
      <c r="N986" t="str">
        <f>IFERROR(INDEX(_角色基线!$C$2:$C$100,MATCH($B986,_角色基线!$A$2:$A$100,0)),"")</f>
        <v>DPS</v>
      </c>
      <c r="O986">
        <f>IFERROR(INDEX(_怪物基线!$B$2:$B$501,MATCH(INT($L986),_怪物基线!$A$2:$A$501,0)),"")</f>
        <v>2139345</v>
      </c>
      <c r="P986">
        <f>IFERROR(INDEX(_怪物基线!$C$2:$C$501,MATCH(INT($L986),_怪物基线!$A$2:$A$501,0)),"")</f>
        <v>139944</v>
      </c>
      <c r="Q986">
        <f>IFERROR(INDEX(_怪物基线!$D$2:$D$501,MATCH(INT($L986),_怪物基线!$A$2:$A$501,0)),"")</f>
        <v>63291</v>
      </c>
      <c r="R986">
        <f>参数!$B$10</f>
        <v>4</v>
      </c>
      <c r="S986">
        <f>参数!$C$10</f>
        <v>1.2</v>
      </c>
      <c r="T986">
        <f>参数!$D$10</f>
        <v>1</v>
      </c>
      <c r="U986">
        <f t="shared" si="120"/>
        <v>8557380</v>
      </c>
      <c r="V986">
        <f t="shared" si="121"/>
        <v>167932.8</v>
      </c>
      <c r="W986">
        <f t="shared" si="122"/>
        <v>63291</v>
      </c>
      <c r="X986">
        <f>IFERROR(INDEX(参数!$B$5:$B$7,MATCH($N986,参数!$A$5:$A$7,0)),"")</f>
        <v>1</v>
      </c>
      <c r="Y986">
        <f>IFERROR(INDEX(参数!$C$5:$C$7,MATCH($N986,参数!$A$5:$A$7,0)),"")</f>
        <v>1.2</v>
      </c>
      <c r="Z986">
        <f>IFERROR(INDEX(参数!$D$5:$D$7,MATCH($N986,参数!$A$5:$A$7,0)),"")</f>
        <v>1</v>
      </c>
      <c r="AA986">
        <f>IFERROR(INDEX(楼层配置!$E$5:$E$204,MATCH($K986,楼层配置!$B$5:$B$204,0)),1)</f>
        <v>1.12582067235919</v>
      </c>
      <c r="AB986">
        <f>IFERROR(INDEX(楼层配置!$F$5:$F$204,MATCH($K986,楼层配置!$B$5:$B$204,0)),1)</f>
        <v>0.729834891319568</v>
      </c>
      <c r="AC986">
        <f>IFERROR(INDEX(楼层配置!$G$5:$G$204,MATCH($K986,楼层配置!$B$5:$B$204,0)),1)</f>
        <v>1</v>
      </c>
      <c r="AD986" t="str">
        <f t="shared" si="123"/>
        <v/>
      </c>
      <c r="AE986" t="str">
        <f t="shared" si="124"/>
        <v/>
      </c>
      <c r="AF986" t="str">
        <f t="shared" si="125"/>
        <v/>
      </c>
      <c r="AG986" t="str">
        <f t="shared" si="126"/>
        <v>有效</v>
      </c>
      <c r="AH986">
        <f t="shared" si="127"/>
        <v>35040335.034375</v>
      </c>
    </row>
    <row r="987" spans="1:34">
      <c r="A987">
        <v>983</v>
      </c>
      <c r="B987">
        <v>1005</v>
      </c>
      <c r="C987">
        <v>60</v>
      </c>
      <c r="D987">
        <f>IFERROR(ROUND($U987*$X987*$AA987*参数!$B$13,0),"")</f>
        <v>9634075</v>
      </c>
      <c r="E987">
        <f>IFERROR(ROUND($V987*$Y987*$AB987*参数!$C$13,0),"")</f>
        <v>147076</v>
      </c>
      <c r="F987">
        <f>IFERROR(ROUND($W987*$Z987*$AC987*参数!$D$13,0),"")</f>
        <v>63291</v>
      </c>
      <c r="J987">
        <v>197</v>
      </c>
      <c r="K987">
        <v>197</v>
      </c>
      <c r="L987">
        <f>IFERROR(INDEX(楼层配置!$D$5:$D$204,MATCH($K987,楼层配置!$B$5:$B$204,0)),"")</f>
        <v>489</v>
      </c>
      <c r="M987" t="str">
        <f>IFERROR(INDEX(_角色基线!$B$2:$B$100,MATCH($B987,_角色基线!$A$2:$A$100,0)),"")</f>
        <v>陈单单</v>
      </c>
      <c r="N987" t="str">
        <f>IFERROR(INDEX(_角色基线!$C$2:$C$100,MATCH($B987,_角色基线!$A$2:$A$100,0)),"")</f>
        <v>DPS</v>
      </c>
      <c r="O987">
        <f>IFERROR(INDEX(_怪物基线!$B$2:$B$501,MATCH(INT($L987),_怪物基线!$A$2:$A$501,0)),"")</f>
        <v>2139345</v>
      </c>
      <c r="P987">
        <f>IFERROR(INDEX(_怪物基线!$C$2:$C$501,MATCH(INT($L987),_怪物基线!$A$2:$A$501,0)),"")</f>
        <v>139944</v>
      </c>
      <c r="Q987">
        <f>IFERROR(INDEX(_怪物基线!$D$2:$D$501,MATCH(INT($L987),_怪物基线!$A$2:$A$501,0)),"")</f>
        <v>63291</v>
      </c>
      <c r="R987">
        <f>参数!$B$10</f>
        <v>4</v>
      </c>
      <c r="S987">
        <f>参数!$C$10</f>
        <v>1.2</v>
      </c>
      <c r="T987">
        <f>参数!$D$10</f>
        <v>1</v>
      </c>
      <c r="U987">
        <f t="shared" si="120"/>
        <v>8557380</v>
      </c>
      <c r="V987">
        <f t="shared" si="121"/>
        <v>167932.8</v>
      </c>
      <c r="W987">
        <f t="shared" si="122"/>
        <v>63291</v>
      </c>
      <c r="X987">
        <f>IFERROR(INDEX(参数!$B$5:$B$7,MATCH($N987,参数!$A$5:$A$7,0)),"")</f>
        <v>1</v>
      </c>
      <c r="Y987">
        <f>IFERROR(INDEX(参数!$C$5:$C$7,MATCH($N987,参数!$A$5:$A$7,0)),"")</f>
        <v>1.2</v>
      </c>
      <c r="Z987">
        <f>IFERROR(INDEX(参数!$D$5:$D$7,MATCH($N987,参数!$A$5:$A$7,0)),"")</f>
        <v>1</v>
      </c>
      <c r="AA987">
        <f>IFERROR(INDEX(楼层配置!$E$5:$E$204,MATCH($K987,楼层配置!$B$5:$B$204,0)),1)</f>
        <v>1.12582067235919</v>
      </c>
      <c r="AB987">
        <f>IFERROR(INDEX(楼层配置!$F$5:$F$204,MATCH($K987,楼层配置!$B$5:$B$204,0)),1)</f>
        <v>0.729834891319568</v>
      </c>
      <c r="AC987">
        <f>IFERROR(INDEX(楼层配置!$G$5:$G$204,MATCH($K987,楼层配置!$B$5:$B$204,0)),1)</f>
        <v>1</v>
      </c>
      <c r="AD987" t="str">
        <f t="shared" si="123"/>
        <v/>
      </c>
      <c r="AE987" t="str">
        <f t="shared" si="124"/>
        <v/>
      </c>
      <c r="AF987" t="str">
        <f t="shared" si="125"/>
        <v/>
      </c>
      <c r="AG987" t="str">
        <f t="shared" si="126"/>
        <v>有效</v>
      </c>
      <c r="AH987">
        <f t="shared" si="127"/>
        <v>35040335.034375</v>
      </c>
    </row>
    <row r="988" spans="1:34">
      <c r="A988">
        <v>984</v>
      </c>
      <c r="B988">
        <v>1005</v>
      </c>
      <c r="C988">
        <v>60</v>
      </c>
      <c r="D988">
        <f>IFERROR(ROUND($U988*$X988*$AA988*参数!$B$13,0),"")</f>
        <v>9634075</v>
      </c>
      <c r="E988">
        <f>IFERROR(ROUND($V988*$Y988*$AB988*参数!$C$13,0),"")</f>
        <v>147076</v>
      </c>
      <c r="F988">
        <f>IFERROR(ROUND($W988*$Z988*$AC988*参数!$D$13,0),"")</f>
        <v>63291</v>
      </c>
      <c r="J988">
        <v>197</v>
      </c>
      <c r="K988">
        <v>197</v>
      </c>
      <c r="L988">
        <f>IFERROR(INDEX(楼层配置!$D$5:$D$204,MATCH($K988,楼层配置!$B$5:$B$204,0)),"")</f>
        <v>489</v>
      </c>
      <c r="M988" t="str">
        <f>IFERROR(INDEX(_角色基线!$B$2:$B$100,MATCH($B988,_角色基线!$A$2:$A$100,0)),"")</f>
        <v>陈单单</v>
      </c>
      <c r="N988" t="str">
        <f>IFERROR(INDEX(_角色基线!$C$2:$C$100,MATCH($B988,_角色基线!$A$2:$A$100,0)),"")</f>
        <v>DPS</v>
      </c>
      <c r="O988">
        <f>IFERROR(INDEX(_怪物基线!$B$2:$B$501,MATCH(INT($L988),_怪物基线!$A$2:$A$501,0)),"")</f>
        <v>2139345</v>
      </c>
      <c r="P988">
        <f>IFERROR(INDEX(_怪物基线!$C$2:$C$501,MATCH(INT($L988),_怪物基线!$A$2:$A$501,0)),"")</f>
        <v>139944</v>
      </c>
      <c r="Q988">
        <f>IFERROR(INDEX(_怪物基线!$D$2:$D$501,MATCH(INT($L988),_怪物基线!$A$2:$A$501,0)),"")</f>
        <v>63291</v>
      </c>
      <c r="R988">
        <f>参数!$B$10</f>
        <v>4</v>
      </c>
      <c r="S988">
        <f>参数!$C$10</f>
        <v>1.2</v>
      </c>
      <c r="T988">
        <f>参数!$D$10</f>
        <v>1</v>
      </c>
      <c r="U988">
        <f t="shared" si="120"/>
        <v>8557380</v>
      </c>
      <c r="V988">
        <f t="shared" si="121"/>
        <v>167932.8</v>
      </c>
      <c r="W988">
        <f t="shared" si="122"/>
        <v>63291</v>
      </c>
      <c r="X988">
        <f>IFERROR(INDEX(参数!$B$5:$B$7,MATCH($N988,参数!$A$5:$A$7,0)),"")</f>
        <v>1</v>
      </c>
      <c r="Y988">
        <f>IFERROR(INDEX(参数!$C$5:$C$7,MATCH($N988,参数!$A$5:$A$7,0)),"")</f>
        <v>1.2</v>
      </c>
      <c r="Z988">
        <f>IFERROR(INDEX(参数!$D$5:$D$7,MATCH($N988,参数!$A$5:$A$7,0)),"")</f>
        <v>1</v>
      </c>
      <c r="AA988">
        <f>IFERROR(INDEX(楼层配置!$E$5:$E$204,MATCH($K988,楼层配置!$B$5:$B$204,0)),1)</f>
        <v>1.12582067235919</v>
      </c>
      <c r="AB988">
        <f>IFERROR(INDEX(楼层配置!$F$5:$F$204,MATCH($K988,楼层配置!$B$5:$B$204,0)),1)</f>
        <v>0.729834891319568</v>
      </c>
      <c r="AC988">
        <f>IFERROR(INDEX(楼层配置!$G$5:$G$204,MATCH($K988,楼层配置!$B$5:$B$204,0)),1)</f>
        <v>1</v>
      </c>
      <c r="AD988" t="str">
        <f t="shared" si="123"/>
        <v/>
      </c>
      <c r="AE988" t="str">
        <f t="shared" si="124"/>
        <v/>
      </c>
      <c r="AF988" t="str">
        <f t="shared" si="125"/>
        <v/>
      </c>
      <c r="AG988" t="str">
        <f t="shared" si="126"/>
        <v>有效</v>
      </c>
      <c r="AH988">
        <f t="shared" si="127"/>
        <v>35040335.034375</v>
      </c>
    </row>
    <row r="989" spans="1:34">
      <c r="A989">
        <v>985</v>
      </c>
      <c r="B989">
        <v>1029</v>
      </c>
      <c r="C989">
        <v>60</v>
      </c>
      <c r="D989">
        <f>IFERROR(ROUND($U989*$X989*$AA989*参数!$B$13,0),"")</f>
        <v>12042594</v>
      </c>
      <c r="E989">
        <f>IFERROR(ROUND($V989*$Y989*$AB989*参数!$C$13,0),"")</f>
        <v>122563</v>
      </c>
      <c r="F989">
        <f>IFERROR(ROUND($W989*$Z989*$AC989*参数!$D$13,0),"")</f>
        <v>79114</v>
      </c>
      <c r="J989">
        <v>197</v>
      </c>
      <c r="K989">
        <v>197</v>
      </c>
      <c r="L989">
        <f>IFERROR(INDEX(楼层配置!$D$5:$D$204,MATCH($K989,楼层配置!$B$5:$B$204,0)),"")</f>
        <v>489</v>
      </c>
      <c r="M989" t="str">
        <f>IFERROR(INDEX(_角色基线!$B$2:$B$100,MATCH($B989,_角色基线!$A$2:$A$100,0)),"")</f>
        <v>凯兰</v>
      </c>
      <c r="N989" t="str">
        <f>IFERROR(INDEX(_角色基线!$C$2:$C$100,MATCH($B989,_角色基线!$A$2:$A$100,0)),"")</f>
        <v>Support</v>
      </c>
      <c r="O989">
        <f>IFERROR(INDEX(_怪物基线!$B$2:$B$501,MATCH(INT($L989),_怪物基线!$A$2:$A$501,0)),"")</f>
        <v>2139345</v>
      </c>
      <c r="P989">
        <f>IFERROR(INDEX(_怪物基线!$C$2:$C$501,MATCH(INT($L989),_怪物基线!$A$2:$A$501,0)),"")</f>
        <v>139944</v>
      </c>
      <c r="Q989">
        <f>IFERROR(INDEX(_怪物基线!$D$2:$D$501,MATCH(INT($L989),_怪物基线!$A$2:$A$501,0)),"")</f>
        <v>63291</v>
      </c>
      <c r="R989">
        <f>参数!$B$10</f>
        <v>4</v>
      </c>
      <c r="S989">
        <f>参数!$C$10</f>
        <v>1.2</v>
      </c>
      <c r="T989">
        <f>参数!$D$10</f>
        <v>1</v>
      </c>
      <c r="U989">
        <f t="shared" si="120"/>
        <v>8557380</v>
      </c>
      <c r="V989">
        <f t="shared" si="121"/>
        <v>167932.8</v>
      </c>
      <c r="W989">
        <f t="shared" si="122"/>
        <v>63291</v>
      </c>
      <c r="X989">
        <f>IFERROR(INDEX(参数!$B$5:$B$7,MATCH($N989,参数!$A$5:$A$7,0)),"")</f>
        <v>1.25</v>
      </c>
      <c r="Y989">
        <f>IFERROR(INDEX(参数!$C$5:$C$7,MATCH($N989,参数!$A$5:$A$7,0)),"")</f>
        <v>1</v>
      </c>
      <c r="Z989">
        <f>IFERROR(INDEX(参数!$D$5:$D$7,MATCH($N989,参数!$A$5:$A$7,0)),"")</f>
        <v>1.25</v>
      </c>
      <c r="AA989">
        <f>IFERROR(INDEX(楼层配置!$E$5:$E$204,MATCH($K989,楼层配置!$B$5:$B$204,0)),1)</f>
        <v>1.12582067235919</v>
      </c>
      <c r="AB989">
        <f>IFERROR(INDEX(楼层配置!$F$5:$F$204,MATCH($K989,楼层配置!$B$5:$B$204,0)),1)</f>
        <v>0.729834891319568</v>
      </c>
      <c r="AC989">
        <f>IFERROR(INDEX(楼层配置!$G$5:$G$204,MATCH($K989,楼层配置!$B$5:$B$204,0)),1)</f>
        <v>1</v>
      </c>
      <c r="AD989" t="str">
        <f t="shared" si="123"/>
        <v/>
      </c>
      <c r="AE989" t="str">
        <f t="shared" si="124"/>
        <v/>
      </c>
      <c r="AF989" t="str">
        <f t="shared" si="125"/>
        <v/>
      </c>
      <c r="AG989" t="str">
        <f t="shared" si="126"/>
        <v>有效</v>
      </c>
      <c r="AH989">
        <f t="shared" si="127"/>
        <v>48170376</v>
      </c>
    </row>
    <row r="990" spans="1:34">
      <c r="A990">
        <v>986</v>
      </c>
      <c r="B990">
        <v>1003</v>
      </c>
      <c r="C990">
        <v>60</v>
      </c>
      <c r="D990">
        <f>IFERROR(ROUND($U990*$X990*$AA990*参数!$B$13,0),"")</f>
        <v>14749154</v>
      </c>
      <c r="E990">
        <f>IFERROR(ROUND($V990*$Y990*$AB990*参数!$C$13,0),"")</f>
        <v>124678</v>
      </c>
      <c r="F990">
        <f>IFERROR(ROUND($W990*$Z990*$AC990*参数!$D$13,0),"")</f>
        <v>95771</v>
      </c>
      <c r="J990">
        <v>198</v>
      </c>
      <c r="K990">
        <v>198</v>
      </c>
      <c r="L990">
        <f>IFERROR(INDEX(楼层配置!$D$5:$D$204,MATCH($K990,楼层配置!$B$5:$B$204,0)),"")</f>
        <v>492</v>
      </c>
      <c r="M990" t="str">
        <f>IFERROR(INDEX(_角色基线!$B$2:$B$100,MATCH($B990,_角色基线!$A$2:$A$100,0)),"")</f>
        <v>塔拉夏</v>
      </c>
      <c r="N990" t="str">
        <f>IFERROR(INDEX(_角色基线!$C$2:$C$100,MATCH($B990,_角色基线!$A$2:$A$100,0)),"")</f>
        <v>Tank</v>
      </c>
      <c r="O990">
        <f>IFERROR(INDEX(_怪物基线!$B$2:$B$501,MATCH(INT($L990),_怪物基线!$A$2:$A$501,0)),"")</f>
        <v>2183467</v>
      </c>
      <c r="P990">
        <f>IFERROR(INDEX(_怪物基线!$C$2:$C$501,MATCH(INT($L990),_怪物基线!$A$2:$A$501,0)),"")</f>
        <v>142359</v>
      </c>
      <c r="Q990">
        <f>IFERROR(INDEX(_怪物基线!$D$2:$D$501,MATCH(INT($L990),_怪物基线!$A$2:$A$501,0)),"")</f>
        <v>63847</v>
      </c>
      <c r="R990">
        <f>参数!$B$10</f>
        <v>4</v>
      </c>
      <c r="S990">
        <f>参数!$C$10</f>
        <v>1.2</v>
      </c>
      <c r="T990">
        <f>参数!$D$10</f>
        <v>1</v>
      </c>
      <c r="U990">
        <f t="shared" si="120"/>
        <v>8733868</v>
      </c>
      <c r="V990">
        <f t="shared" si="121"/>
        <v>170830.8</v>
      </c>
      <c r="W990">
        <f t="shared" si="122"/>
        <v>63847</v>
      </c>
      <c r="X990">
        <f>IFERROR(INDEX(参数!$B$5:$B$7,MATCH($N990,参数!$A$5:$A$7,0)),"")</f>
        <v>1.5</v>
      </c>
      <c r="Y990">
        <f>IFERROR(INDEX(参数!$C$5:$C$7,MATCH($N990,参数!$A$5:$A$7,0)),"")</f>
        <v>1</v>
      </c>
      <c r="Z990">
        <f>IFERROR(INDEX(参数!$D$5:$D$7,MATCH($N990,参数!$A$5:$A$7,0)),"")</f>
        <v>1.5</v>
      </c>
      <c r="AA990">
        <f>IFERROR(INDEX(楼层配置!$E$5:$E$204,MATCH($K990,楼层配置!$B$5:$B$204,0)),1)</f>
        <v>1.12582067235919</v>
      </c>
      <c r="AB990">
        <f>IFERROR(INDEX(楼层配置!$F$5:$F$204,MATCH($K990,楼层配置!$B$5:$B$204,0)),1)</f>
        <v>0.729834891319568</v>
      </c>
      <c r="AC990">
        <f>IFERROR(INDEX(楼层配置!$G$5:$G$204,MATCH($K990,楼层配置!$B$5:$B$204,0)),1)</f>
        <v>1</v>
      </c>
      <c r="AD990" t="str">
        <f t="shared" si="123"/>
        <v/>
      </c>
      <c r="AE990" t="str">
        <f t="shared" si="124"/>
        <v/>
      </c>
      <c r="AF990" t="str">
        <f t="shared" si="125"/>
        <v/>
      </c>
      <c r="AG990" t="str">
        <f t="shared" si="126"/>
        <v>有效</v>
      </c>
      <c r="AH990">
        <f t="shared" si="127"/>
        <v>58996616</v>
      </c>
    </row>
    <row r="991" spans="1:34">
      <c r="A991">
        <v>987</v>
      </c>
      <c r="B991">
        <v>1005</v>
      </c>
      <c r="C991">
        <v>60</v>
      </c>
      <c r="D991">
        <f>IFERROR(ROUND($U991*$X991*$AA991*参数!$B$13,0),"")</f>
        <v>9832769</v>
      </c>
      <c r="E991">
        <f>IFERROR(ROUND($V991*$Y991*$AB991*参数!$C$13,0),"")</f>
        <v>149614</v>
      </c>
      <c r="F991">
        <f>IFERROR(ROUND($W991*$Z991*$AC991*参数!$D$13,0),"")</f>
        <v>63847</v>
      </c>
      <c r="J991">
        <v>198</v>
      </c>
      <c r="K991">
        <v>198</v>
      </c>
      <c r="L991">
        <f>IFERROR(INDEX(楼层配置!$D$5:$D$204,MATCH($K991,楼层配置!$B$5:$B$204,0)),"")</f>
        <v>492</v>
      </c>
      <c r="M991" t="str">
        <f>IFERROR(INDEX(_角色基线!$B$2:$B$100,MATCH($B991,_角色基线!$A$2:$A$100,0)),"")</f>
        <v>陈单单</v>
      </c>
      <c r="N991" t="str">
        <f>IFERROR(INDEX(_角色基线!$C$2:$C$100,MATCH($B991,_角色基线!$A$2:$A$100,0)),"")</f>
        <v>DPS</v>
      </c>
      <c r="O991">
        <f>IFERROR(INDEX(_怪物基线!$B$2:$B$501,MATCH(INT($L991),_怪物基线!$A$2:$A$501,0)),"")</f>
        <v>2183467</v>
      </c>
      <c r="P991">
        <f>IFERROR(INDEX(_怪物基线!$C$2:$C$501,MATCH(INT($L991),_怪物基线!$A$2:$A$501,0)),"")</f>
        <v>142359</v>
      </c>
      <c r="Q991">
        <f>IFERROR(INDEX(_怪物基线!$D$2:$D$501,MATCH(INT($L991),_怪物基线!$A$2:$A$501,0)),"")</f>
        <v>63847</v>
      </c>
      <c r="R991">
        <f>参数!$B$10</f>
        <v>4</v>
      </c>
      <c r="S991">
        <f>参数!$C$10</f>
        <v>1.2</v>
      </c>
      <c r="T991">
        <f>参数!$D$10</f>
        <v>1</v>
      </c>
      <c r="U991">
        <f t="shared" si="120"/>
        <v>8733868</v>
      </c>
      <c r="V991">
        <f t="shared" si="121"/>
        <v>170830.8</v>
      </c>
      <c r="W991">
        <f t="shared" si="122"/>
        <v>63847</v>
      </c>
      <c r="X991">
        <f>IFERROR(INDEX(参数!$B$5:$B$7,MATCH($N991,参数!$A$5:$A$7,0)),"")</f>
        <v>1</v>
      </c>
      <c r="Y991">
        <f>IFERROR(INDEX(参数!$C$5:$C$7,MATCH($N991,参数!$A$5:$A$7,0)),"")</f>
        <v>1.2</v>
      </c>
      <c r="Z991">
        <f>IFERROR(INDEX(参数!$D$5:$D$7,MATCH($N991,参数!$A$5:$A$7,0)),"")</f>
        <v>1</v>
      </c>
      <c r="AA991">
        <f>IFERROR(INDEX(楼层配置!$E$5:$E$204,MATCH($K991,楼层配置!$B$5:$B$204,0)),1)</f>
        <v>1.12582067235919</v>
      </c>
      <c r="AB991">
        <f>IFERROR(INDEX(楼层配置!$F$5:$F$204,MATCH($K991,楼层配置!$B$5:$B$204,0)),1)</f>
        <v>0.729834891319568</v>
      </c>
      <c r="AC991">
        <f>IFERROR(INDEX(楼层配置!$G$5:$G$204,MATCH($K991,楼层配置!$B$5:$B$204,0)),1)</f>
        <v>1</v>
      </c>
      <c r="AD991" t="str">
        <f t="shared" si="123"/>
        <v/>
      </c>
      <c r="AE991" t="str">
        <f t="shared" si="124"/>
        <v/>
      </c>
      <c r="AF991" t="str">
        <f t="shared" si="125"/>
        <v/>
      </c>
      <c r="AG991" t="str">
        <f t="shared" si="126"/>
        <v>有效</v>
      </c>
      <c r="AH991">
        <f t="shared" si="127"/>
        <v>35990802.4309583</v>
      </c>
    </row>
    <row r="992" spans="1:34">
      <c r="A992">
        <v>988</v>
      </c>
      <c r="B992">
        <v>1005</v>
      </c>
      <c r="C992">
        <v>60</v>
      </c>
      <c r="D992">
        <f>IFERROR(ROUND($U992*$X992*$AA992*参数!$B$13,0),"")</f>
        <v>9832769</v>
      </c>
      <c r="E992">
        <f>IFERROR(ROUND($V992*$Y992*$AB992*参数!$C$13,0),"")</f>
        <v>149614</v>
      </c>
      <c r="F992">
        <f>IFERROR(ROUND($W992*$Z992*$AC992*参数!$D$13,0),"")</f>
        <v>63847</v>
      </c>
      <c r="J992">
        <v>198</v>
      </c>
      <c r="K992">
        <v>198</v>
      </c>
      <c r="L992">
        <f>IFERROR(INDEX(楼层配置!$D$5:$D$204,MATCH($K992,楼层配置!$B$5:$B$204,0)),"")</f>
        <v>492</v>
      </c>
      <c r="M992" t="str">
        <f>IFERROR(INDEX(_角色基线!$B$2:$B$100,MATCH($B992,_角色基线!$A$2:$A$100,0)),"")</f>
        <v>陈单单</v>
      </c>
      <c r="N992" t="str">
        <f>IFERROR(INDEX(_角色基线!$C$2:$C$100,MATCH($B992,_角色基线!$A$2:$A$100,0)),"")</f>
        <v>DPS</v>
      </c>
      <c r="O992">
        <f>IFERROR(INDEX(_怪物基线!$B$2:$B$501,MATCH(INT($L992),_怪物基线!$A$2:$A$501,0)),"")</f>
        <v>2183467</v>
      </c>
      <c r="P992">
        <f>IFERROR(INDEX(_怪物基线!$C$2:$C$501,MATCH(INT($L992),_怪物基线!$A$2:$A$501,0)),"")</f>
        <v>142359</v>
      </c>
      <c r="Q992">
        <f>IFERROR(INDEX(_怪物基线!$D$2:$D$501,MATCH(INT($L992),_怪物基线!$A$2:$A$501,0)),"")</f>
        <v>63847</v>
      </c>
      <c r="R992">
        <f>参数!$B$10</f>
        <v>4</v>
      </c>
      <c r="S992">
        <f>参数!$C$10</f>
        <v>1.2</v>
      </c>
      <c r="T992">
        <f>参数!$D$10</f>
        <v>1</v>
      </c>
      <c r="U992">
        <f t="shared" si="120"/>
        <v>8733868</v>
      </c>
      <c r="V992">
        <f t="shared" si="121"/>
        <v>170830.8</v>
      </c>
      <c r="W992">
        <f t="shared" si="122"/>
        <v>63847</v>
      </c>
      <c r="X992">
        <f>IFERROR(INDEX(参数!$B$5:$B$7,MATCH($N992,参数!$A$5:$A$7,0)),"")</f>
        <v>1</v>
      </c>
      <c r="Y992">
        <f>IFERROR(INDEX(参数!$C$5:$C$7,MATCH($N992,参数!$A$5:$A$7,0)),"")</f>
        <v>1.2</v>
      </c>
      <c r="Z992">
        <f>IFERROR(INDEX(参数!$D$5:$D$7,MATCH($N992,参数!$A$5:$A$7,0)),"")</f>
        <v>1</v>
      </c>
      <c r="AA992">
        <f>IFERROR(INDEX(楼层配置!$E$5:$E$204,MATCH($K992,楼层配置!$B$5:$B$204,0)),1)</f>
        <v>1.12582067235919</v>
      </c>
      <c r="AB992">
        <f>IFERROR(INDEX(楼层配置!$F$5:$F$204,MATCH($K992,楼层配置!$B$5:$B$204,0)),1)</f>
        <v>0.729834891319568</v>
      </c>
      <c r="AC992">
        <f>IFERROR(INDEX(楼层配置!$G$5:$G$204,MATCH($K992,楼层配置!$B$5:$B$204,0)),1)</f>
        <v>1</v>
      </c>
      <c r="AD992" t="str">
        <f t="shared" si="123"/>
        <v/>
      </c>
      <c r="AE992" t="str">
        <f t="shared" si="124"/>
        <v/>
      </c>
      <c r="AF992" t="str">
        <f t="shared" si="125"/>
        <v/>
      </c>
      <c r="AG992" t="str">
        <f t="shared" si="126"/>
        <v>有效</v>
      </c>
      <c r="AH992">
        <f t="shared" si="127"/>
        <v>35990802.4309583</v>
      </c>
    </row>
    <row r="993" spans="1:34">
      <c r="A993">
        <v>989</v>
      </c>
      <c r="B993">
        <v>1005</v>
      </c>
      <c r="C993">
        <v>60</v>
      </c>
      <c r="D993">
        <f>IFERROR(ROUND($U993*$X993*$AA993*参数!$B$13,0),"")</f>
        <v>9832769</v>
      </c>
      <c r="E993">
        <f>IFERROR(ROUND($V993*$Y993*$AB993*参数!$C$13,0),"")</f>
        <v>149614</v>
      </c>
      <c r="F993">
        <f>IFERROR(ROUND($W993*$Z993*$AC993*参数!$D$13,0),"")</f>
        <v>63847</v>
      </c>
      <c r="J993">
        <v>198</v>
      </c>
      <c r="K993">
        <v>198</v>
      </c>
      <c r="L993">
        <f>IFERROR(INDEX(楼层配置!$D$5:$D$204,MATCH($K993,楼层配置!$B$5:$B$204,0)),"")</f>
        <v>492</v>
      </c>
      <c r="M993" t="str">
        <f>IFERROR(INDEX(_角色基线!$B$2:$B$100,MATCH($B993,_角色基线!$A$2:$A$100,0)),"")</f>
        <v>陈单单</v>
      </c>
      <c r="N993" t="str">
        <f>IFERROR(INDEX(_角色基线!$C$2:$C$100,MATCH($B993,_角色基线!$A$2:$A$100,0)),"")</f>
        <v>DPS</v>
      </c>
      <c r="O993">
        <f>IFERROR(INDEX(_怪物基线!$B$2:$B$501,MATCH(INT($L993),_怪物基线!$A$2:$A$501,0)),"")</f>
        <v>2183467</v>
      </c>
      <c r="P993">
        <f>IFERROR(INDEX(_怪物基线!$C$2:$C$501,MATCH(INT($L993),_怪物基线!$A$2:$A$501,0)),"")</f>
        <v>142359</v>
      </c>
      <c r="Q993">
        <f>IFERROR(INDEX(_怪物基线!$D$2:$D$501,MATCH(INT($L993),_怪物基线!$A$2:$A$501,0)),"")</f>
        <v>63847</v>
      </c>
      <c r="R993">
        <f>参数!$B$10</f>
        <v>4</v>
      </c>
      <c r="S993">
        <f>参数!$C$10</f>
        <v>1.2</v>
      </c>
      <c r="T993">
        <f>参数!$D$10</f>
        <v>1</v>
      </c>
      <c r="U993">
        <f t="shared" si="120"/>
        <v>8733868</v>
      </c>
      <c r="V993">
        <f t="shared" si="121"/>
        <v>170830.8</v>
      </c>
      <c r="W993">
        <f t="shared" si="122"/>
        <v>63847</v>
      </c>
      <c r="X993">
        <f>IFERROR(INDEX(参数!$B$5:$B$7,MATCH($N993,参数!$A$5:$A$7,0)),"")</f>
        <v>1</v>
      </c>
      <c r="Y993">
        <f>IFERROR(INDEX(参数!$C$5:$C$7,MATCH($N993,参数!$A$5:$A$7,0)),"")</f>
        <v>1.2</v>
      </c>
      <c r="Z993">
        <f>IFERROR(INDEX(参数!$D$5:$D$7,MATCH($N993,参数!$A$5:$A$7,0)),"")</f>
        <v>1</v>
      </c>
      <c r="AA993">
        <f>IFERROR(INDEX(楼层配置!$E$5:$E$204,MATCH($K993,楼层配置!$B$5:$B$204,0)),1)</f>
        <v>1.12582067235919</v>
      </c>
      <c r="AB993">
        <f>IFERROR(INDEX(楼层配置!$F$5:$F$204,MATCH($K993,楼层配置!$B$5:$B$204,0)),1)</f>
        <v>0.729834891319568</v>
      </c>
      <c r="AC993">
        <f>IFERROR(INDEX(楼层配置!$G$5:$G$204,MATCH($K993,楼层配置!$B$5:$B$204,0)),1)</f>
        <v>1</v>
      </c>
      <c r="AD993" t="str">
        <f t="shared" si="123"/>
        <v/>
      </c>
      <c r="AE993" t="str">
        <f t="shared" si="124"/>
        <v/>
      </c>
      <c r="AF993" t="str">
        <f t="shared" si="125"/>
        <v/>
      </c>
      <c r="AG993" t="str">
        <f t="shared" si="126"/>
        <v>有效</v>
      </c>
      <c r="AH993">
        <f t="shared" si="127"/>
        <v>35990802.4309583</v>
      </c>
    </row>
    <row r="994" spans="1:34">
      <c r="A994">
        <v>990</v>
      </c>
      <c r="B994">
        <v>1029</v>
      </c>
      <c r="C994">
        <v>60</v>
      </c>
      <c r="D994">
        <f>IFERROR(ROUND($U994*$X994*$AA994*参数!$B$13,0),"")</f>
        <v>12290961</v>
      </c>
      <c r="E994">
        <f>IFERROR(ROUND($V994*$Y994*$AB994*参数!$C$13,0),"")</f>
        <v>124678</v>
      </c>
      <c r="F994">
        <f>IFERROR(ROUND($W994*$Z994*$AC994*参数!$D$13,0),"")</f>
        <v>79809</v>
      </c>
      <c r="J994">
        <v>198</v>
      </c>
      <c r="K994">
        <v>198</v>
      </c>
      <c r="L994">
        <f>IFERROR(INDEX(楼层配置!$D$5:$D$204,MATCH($K994,楼层配置!$B$5:$B$204,0)),"")</f>
        <v>492</v>
      </c>
      <c r="M994" t="str">
        <f>IFERROR(INDEX(_角色基线!$B$2:$B$100,MATCH($B994,_角色基线!$A$2:$A$100,0)),"")</f>
        <v>凯兰</v>
      </c>
      <c r="N994" t="str">
        <f>IFERROR(INDEX(_角色基线!$C$2:$C$100,MATCH($B994,_角色基线!$A$2:$A$100,0)),"")</f>
        <v>Support</v>
      </c>
      <c r="O994">
        <f>IFERROR(INDEX(_怪物基线!$B$2:$B$501,MATCH(INT($L994),_怪物基线!$A$2:$A$501,0)),"")</f>
        <v>2183467</v>
      </c>
      <c r="P994">
        <f>IFERROR(INDEX(_怪物基线!$C$2:$C$501,MATCH(INT($L994),_怪物基线!$A$2:$A$501,0)),"")</f>
        <v>142359</v>
      </c>
      <c r="Q994">
        <f>IFERROR(INDEX(_怪物基线!$D$2:$D$501,MATCH(INT($L994),_怪物基线!$A$2:$A$501,0)),"")</f>
        <v>63847</v>
      </c>
      <c r="R994">
        <f>参数!$B$10</f>
        <v>4</v>
      </c>
      <c r="S994">
        <f>参数!$C$10</f>
        <v>1.2</v>
      </c>
      <c r="T994">
        <f>参数!$D$10</f>
        <v>1</v>
      </c>
      <c r="U994">
        <f t="shared" si="120"/>
        <v>8733868</v>
      </c>
      <c r="V994">
        <f t="shared" si="121"/>
        <v>170830.8</v>
      </c>
      <c r="W994">
        <f t="shared" si="122"/>
        <v>63847</v>
      </c>
      <c r="X994">
        <f>IFERROR(INDEX(参数!$B$5:$B$7,MATCH($N994,参数!$A$5:$A$7,0)),"")</f>
        <v>1.25</v>
      </c>
      <c r="Y994">
        <f>IFERROR(INDEX(参数!$C$5:$C$7,MATCH($N994,参数!$A$5:$A$7,0)),"")</f>
        <v>1</v>
      </c>
      <c r="Z994">
        <f>IFERROR(INDEX(参数!$D$5:$D$7,MATCH($N994,参数!$A$5:$A$7,0)),"")</f>
        <v>1.25</v>
      </c>
      <c r="AA994">
        <f>IFERROR(INDEX(楼层配置!$E$5:$E$204,MATCH($K994,楼层配置!$B$5:$B$204,0)),1)</f>
        <v>1.12582067235919</v>
      </c>
      <c r="AB994">
        <f>IFERROR(INDEX(楼层配置!$F$5:$F$204,MATCH($K994,楼层配置!$B$5:$B$204,0)),1)</f>
        <v>0.729834891319568</v>
      </c>
      <c r="AC994">
        <f>IFERROR(INDEX(楼层配置!$G$5:$G$204,MATCH($K994,楼层配置!$B$5:$B$204,0)),1)</f>
        <v>1</v>
      </c>
      <c r="AD994" t="str">
        <f t="shared" si="123"/>
        <v/>
      </c>
      <c r="AE994" t="str">
        <f t="shared" si="124"/>
        <v/>
      </c>
      <c r="AF994" t="str">
        <f t="shared" si="125"/>
        <v/>
      </c>
      <c r="AG994" t="str">
        <f t="shared" si="126"/>
        <v>有效</v>
      </c>
      <c r="AH994">
        <f t="shared" si="127"/>
        <v>49163844</v>
      </c>
    </row>
    <row r="995" spans="1:34">
      <c r="A995">
        <v>991</v>
      </c>
      <c r="B995">
        <v>1003</v>
      </c>
      <c r="C995">
        <v>60</v>
      </c>
      <c r="D995">
        <f>IFERROR(ROUND($U995*$X995*$AA995*参数!$B$13,0),"")</f>
        <v>15154294</v>
      </c>
      <c r="E995">
        <f>IFERROR(ROUND($V995*$Y995*$AB995*参数!$C$13,0),"")</f>
        <v>127547</v>
      </c>
      <c r="F995">
        <f>IFERROR(ROUND($W995*$Z995*$AC995*参数!$D$13,0),"")</f>
        <v>96888</v>
      </c>
      <c r="J995">
        <v>199</v>
      </c>
      <c r="K995">
        <v>199</v>
      </c>
      <c r="L995">
        <f>IFERROR(INDEX(楼层配置!$D$5:$D$204,MATCH($K995,楼层配置!$B$5:$B$204,0)),"")</f>
        <v>496</v>
      </c>
      <c r="M995" t="str">
        <f>IFERROR(INDEX(_角色基线!$B$2:$B$100,MATCH($B995,_角色基线!$A$2:$A$100,0)),"")</f>
        <v>塔拉夏</v>
      </c>
      <c r="N995" t="str">
        <f>IFERROR(INDEX(_角色基线!$C$2:$C$100,MATCH($B995,_角色基线!$A$2:$A$100,0)),"")</f>
        <v>Tank</v>
      </c>
      <c r="O995">
        <f>IFERROR(INDEX(_怪物基线!$B$2:$B$501,MATCH(INT($L995),_怪物基线!$A$2:$A$501,0)),"")</f>
        <v>2243444</v>
      </c>
      <c r="P995">
        <f>IFERROR(INDEX(_怪物基线!$C$2:$C$501,MATCH(INT($L995),_怪物基线!$A$2:$A$501,0)),"")</f>
        <v>145635</v>
      </c>
      <c r="Q995">
        <f>IFERROR(INDEX(_怪物基线!$D$2:$D$501,MATCH(INT($L995),_怪物基线!$A$2:$A$501,0)),"")</f>
        <v>64592</v>
      </c>
      <c r="R995">
        <f>参数!$B$10</f>
        <v>4</v>
      </c>
      <c r="S995">
        <f>参数!$C$10</f>
        <v>1.2</v>
      </c>
      <c r="T995">
        <f>参数!$D$10</f>
        <v>1</v>
      </c>
      <c r="U995">
        <f t="shared" si="120"/>
        <v>8973776</v>
      </c>
      <c r="V995">
        <f t="shared" si="121"/>
        <v>174762</v>
      </c>
      <c r="W995">
        <f t="shared" si="122"/>
        <v>64592</v>
      </c>
      <c r="X995">
        <f>IFERROR(INDEX(参数!$B$5:$B$7,MATCH($N995,参数!$A$5:$A$7,0)),"")</f>
        <v>1.5</v>
      </c>
      <c r="Y995">
        <f>IFERROR(INDEX(参数!$C$5:$C$7,MATCH($N995,参数!$A$5:$A$7,0)),"")</f>
        <v>1</v>
      </c>
      <c r="Z995">
        <f>IFERROR(INDEX(参数!$D$5:$D$7,MATCH($N995,参数!$A$5:$A$7,0)),"")</f>
        <v>1.5</v>
      </c>
      <c r="AA995">
        <f>IFERROR(INDEX(楼层配置!$E$5:$E$204,MATCH($K995,楼层配置!$B$5:$B$204,0)),1)</f>
        <v>1.12582067235919</v>
      </c>
      <c r="AB995">
        <f>IFERROR(INDEX(楼层配置!$F$5:$F$204,MATCH($K995,楼层配置!$B$5:$B$204,0)),1)</f>
        <v>0.729834891319568</v>
      </c>
      <c r="AC995">
        <f>IFERROR(INDEX(楼层配置!$G$5:$G$204,MATCH($K995,楼层配置!$B$5:$B$204,0)),1)</f>
        <v>1</v>
      </c>
      <c r="AD995" t="str">
        <f t="shared" si="123"/>
        <v/>
      </c>
      <c r="AE995" t="str">
        <f t="shared" si="124"/>
        <v/>
      </c>
      <c r="AF995" t="str">
        <f t="shared" si="125"/>
        <v/>
      </c>
      <c r="AG995" t="str">
        <f t="shared" si="126"/>
        <v>有效</v>
      </c>
      <c r="AH995">
        <f t="shared" si="127"/>
        <v>60617176</v>
      </c>
    </row>
    <row r="996" spans="1:34">
      <c r="A996">
        <v>992</v>
      </c>
      <c r="B996">
        <v>1005</v>
      </c>
      <c r="C996">
        <v>60</v>
      </c>
      <c r="D996">
        <f>IFERROR(ROUND($U996*$X996*$AA996*参数!$B$13,0),"")</f>
        <v>10102863</v>
      </c>
      <c r="E996">
        <f>IFERROR(ROUND($V996*$Y996*$AB996*参数!$C$13,0),"")</f>
        <v>153057</v>
      </c>
      <c r="F996">
        <f>IFERROR(ROUND($W996*$Z996*$AC996*参数!$D$13,0),"")</f>
        <v>64592</v>
      </c>
      <c r="J996">
        <v>199</v>
      </c>
      <c r="K996">
        <v>199</v>
      </c>
      <c r="L996">
        <f>IFERROR(INDEX(楼层配置!$D$5:$D$204,MATCH($K996,楼层配置!$B$5:$B$204,0)),"")</f>
        <v>496</v>
      </c>
      <c r="M996" t="str">
        <f>IFERROR(INDEX(_角色基线!$B$2:$B$100,MATCH($B996,_角色基线!$A$2:$A$100,0)),"")</f>
        <v>陈单单</v>
      </c>
      <c r="N996" t="str">
        <f>IFERROR(INDEX(_角色基线!$C$2:$C$100,MATCH($B996,_角色基线!$A$2:$A$100,0)),"")</f>
        <v>DPS</v>
      </c>
      <c r="O996">
        <f>IFERROR(INDEX(_怪物基线!$B$2:$B$501,MATCH(INT($L996),_怪物基线!$A$2:$A$501,0)),"")</f>
        <v>2243444</v>
      </c>
      <c r="P996">
        <f>IFERROR(INDEX(_怪物基线!$C$2:$C$501,MATCH(INT($L996),_怪物基线!$A$2:$A$501,0)),"")</f>
        <v>145635</v>
      </c>
      <c r="Q996">
        <f>IFERROR(INDEX(_怪物基线!$D$2:$D$501,MATCH(INT($L996),_怪物基线!$A$2:$A$501,0)),"")</f>
        <v>64592</v>
      </c>
      <c r="R996">
        <f>参数!$B$10</f>
        <v>4</v>
      </c>
      <c r="S996">
        <f>参数!$C$10</f>
        <v>1.2</v>
      </c>
      <c r="T996">
        <f>参数!$D$10</f>
        <v>1</v>
      </c>
      <c r="U996">
        <f t="shared" si="120"/>
        <v>8973776</v>
      </c>
      <c r="V996">
        <f t="shared" si="121"/>
        <v>174762</v>
      </c>
      <c r="W996">
        <f t="shared" si="122"/>
        <v>64592</v>
      </c>
      <c r="X996">
        <f>IFERROR(INDEX(参数!$B$5:$B$7,MATCH($N996,参数!$A$5:$A$7,0)),"")</f>
        <v>1</v>
      </c>
      <c r="Y996">
        <f>IFERROR(INDEX(参数!$C$5:$C$7,MATCH($N996,参数!$A$5:$A$7,0)),"")</f>
        <v>1.2</v>
      </c>
      <c r="Z996">
        <f>IFERROR(INDEX(参数!$D$5:$D$7,MATCH($N996,参数!$A$5:$A$7,0)),"")</f>
        <v>1</v>
      </c>
      <c r="AA996">
        <f>IFERROR(INDEX(楼层配置!$E$5:$E$204,MATCH($K996,楼层配置!$B$5:$B$204,0)),1)</f>
        <v>1.12582067235919</v>
      </c>
      <c r="AB996">
        <f>IFERROR(INDEX(楼层配置!$F$5:$F$204,MATCH($K996,楼层配置!$B$5:$B$204,0)),1)</f>
        <v>0.729834891319568</v>
      </c>
      <c r="AC996">
        <f>IFERROR(INDEX(楼层配置!$G$5:$G$204,MATCH($K996,楼层配置!$B$5:$B$204,0)),1)</f>
        <v>1</v>
      </c>
      <c r="AD996" t="str">
        <f t="shared" si="123"/>
        <v/>
      </c>
      <c r="AE996" t="str">
        <f t="shared" si="124"/>
        <v/>
      </c>
      <c r="AF996" t="str">
        <f t="shared" si="125"/>
        <v/>
      </c>
      <c r="AG996" t="str">
        <f t="shared" si="126"/>
        <v>有效</v>
      </c>
      <c r="AH996">
        <f t="shared" si="127"/>
        <v>37293034.954</v>
      </c>
    </row>
    <row r="997" spans="1:34">
      <c r="A997">
        <v>993</v>
      </c>
      <c r="B997">
        <v>1005</v>
      </c>
      <c r="C997">
        <v>60</v>
      </c>
      <c r="D997">
        <f>IFERROR(ROUND($U997*$X997*$AA997*参数!$B$13,0),"")</f>
        <v>10102863</v>
      </c>
      <c r="E997">
        <f>IFERROR(ROUND($V997*$Y997*$AB997*参数!$C$13,0),"")</f>
        <v>153057</v>
      </c>
      <c r="F997">
        <f>IFERROR(ROUND($W997*$Z997*$AC997*参数!$D$13,0),"")</f>
        <v>64592</v>
      </c>
      <c r="J997">
        <v>199</v>
      </c>
      <c r="K997">
        <v>199</v>
      </c>
      <c r="L997">
        <f>IFERROR(INDEX(楼层配置!$D$5:$D$204,MATCH($K997,楼层配置!$B$5:$B$204,0)),"")</f>
        <v>496</v>
      </c>
      <c r="M997" t="str">
        <f>IFERROR(INDEX(_角色基线!$B$2:$B$100,MATCH($B997,_角色基线!$A$2:$A$100,0)),"")</f>
        <v>陈单单</v>
      </c>
      <c r="N997" t="str">
        <f>IFERROR(INDEX(_角色基线!$C$2:$C$100,MATCH($B997,_角色基线!$A$2:$A$100,0)),"")</f>
        <v>DPS</v>
      </c>
      <c r="O997">
        <f>IFERROR(INDEX(_怪物基线!$B$2:$B$501,MATCH(INT($L997),_怪物基线!$A$2:$A$501,0)),"")</f>
        <v>2243444</v>
      </c>
      <c r="P997">
        <f>IFERROR(INDEX(_怪物基线!$C$2:$C$501,MATCH(INT($L997),_怪物基线!$A$2:$A$501,0)),"")</f>
        <v>145635</v>
      </c>
      <c r="Q997">
        <f>IFERROR(INDEX(_怪物基线!$D$2:$D$501,MATCH(INT($L997),_怪物基线!$A$2:$A$501,0)),"")</f>
        <v>64592</v>
      </c>
      <c r="R997">
        <f>参数!$B$10</f>
        <v>4</v>
      </c>
      <c r="S997">
        <f>参数!$C$10</f>
        <v>1.2</v>
      </c>
      <c r="T997">
        <f>参数!$D$10</f>
        <v>1</v>
      </c>
      <c r="U997">
        <f t="shared" si="120"/>
        <v>8973776</v>
      </c>
      <c r="V997">
        <f t="shared" si="121"/>
        <v>174762</v>
      </c>
      <c r="W997">
        <f t="shared" si="122"/>
        <v>64592</v>
      </c>
      <c r="X997">
        <f>IFERROR(INDEX(参数!$B$5:$B$7,MATCH($N997,参数!$A$5:$A$7,0)),"")</f>
        <v>1</v>
      </c>
      <c r="Y997">
        <f>IFERROR(INDEX(参数!$C$5:$C$7,MATCH($N997,参数!$A$5:$A$7,0)),"")</f>
        <v>1.2</v>
      </c>
      <c r="Z997">
        <f>IFERROR(INDEX(参数!$D$5:$D$7,MATCH($N997,参数!$A$5:$A$7,0)),"")</f>
        <v>1</v>
      </c>
      <c r="AA997">
        <f>IFERROR(INDEX(楼层配置!$E$5:$E$204,MATCH($K997,楼层配置!$B$5:$B$204,0)),1)</f>
        <v>1.12582067235919</v>
      </c>
      <c r="AB997">
        <f>IFERROR(INDEX(楼层配置!$F$5:$F$204,MATCH($K997,楼层配置!$B$5:$B$204,0)),1)</f>
        <v>0.729834891319568</v>
      </c>
      <c r="AC997">
        <f>IFERROR(INDEX(楼层配置!$G$5:$G$204,MATCH($K997,楼层配置!$B$5:$B$204,0)),1)</f>
        <v>1</v>
      </c>
      <c r="AD997" t="str">
        <f t="shared" si="123"/>
        <v/>
      </c>
      <c r="AE997" t="str">
        <f t="shared" si="124"/>
        <v/>
      </c>
      <c r="AF997" t="str">
        <f t="shared" si="125"/>
        <v/>
      </c>
      <c r="AG997" t="str">
        <f t="shared" si="126"/>
        <v>有效</v>
      </c>
      <c r="AH997">
        <f t="shared" si="127"/>
        <v>37293034.954</v>
      </c>
    </row>
    <row r="998" spans="1:34">
      <c r="A998">
        <v>994</v>
      </c>
      <c r="B998">
        <v>1005</v>
      </c>
      <c r="C998">
        <v>60</v>
      </c>
      <c r="D998">
        <f>IFERROR(ROUND($U998*$X998*$AA998*参数!$B$13,0),"")</f>
        <v>10102863</v>
      </c>
      <c r="E998">
        <f>IFERROR(ROUND($V998*$Y998*$AB998*参数!$C$13,0),"")</f>
        <v>153057</v>
      </c>
      <c r="F998">
        <f>IFERROR(ROUND($W998*$Z998*$AC998*参数!$D$13,0),"")</f>
        <v>64592</v>
      </c>
      <c r="J998">
        <v>199</v>
      </c>
      <c r="K998">
        <v>199</v>
      </c>
      <c r="L998">
        <f>IFERROR(INDEX(楼层配置!$D$5:$D$204,MATCH($K998,楼层配置!$B$5:$B$204,0)),"")</f>
        <v>496</v>
      </c>
      <c r="M998" t="str">
        <f>IFERROR(INDEX(_角色基线!$B$2:$B$100,MATCH($B998,_角色基线!$A$2:$A$100,0)),"")</f>
        <v>陈单单</v>
      </c>
      <c r="N998" t="str">
        <f>IFERROR(INDEX(_角色基线!$C$2:$C$100,MATCH($B998,_角色基线!$A$2:$A$100,0)),"")</f>
        <v>DPS</v>
      </c>
      <c r="O998">
        <f>IFERROR(INDEX(_怪物基线!$B$2:$B$501,MATCH(INT($L998),_怪物基线!$A$2:$A$501,0)),"")</f>
        <v>2243444</v>
      </c>
      <c r="P998">
        <f>IFERROR(INDEX(_怪物基线!$C$2:$C$501,MATCH(INT($L998),_怪物基线!$A$2:$A$501,0)),"")</f>
        <v>145635</v>
      </c>
      <c r="Q998">
        <f>IFERROR(INDEX(_怪物基线!$D$2:$D$501,MATCH(INT($L998),_怪物基线!$A$2:$A$501,0)),"")</f>
        <v>64592</v>
      </c>
      <c r="R998">
        <f>参数!$B$10</f>
        <v>4</v>
      </c>
      <c r="S998">
        <f>参数!$C$10</f>
        <v>1.2</v>
      </c>
      <c r="T998">
        <f>参数!$D$10</f>
        <v>1</v>
      </c>
      <c r="U998">
        <f t="shared" si="120"/>
        <v>8973776</v>
      </c>
      <c r="V998">
        <f t="shared" si="121"/>
        <v>174762</v>
      </c>
      <c r="W998">
        <f t="shared" si="122"/>
        <v>64592</v>
      </c>
      <c r="X998">
        <f>IFERROR(INDEX(参数!$B$5:$B$7,MATCH($N998,参数!$A$5:$A$7,0)),"")</f>
        <v>1</v>
      </c>
      <c r="Y998">
        <f>IFERROR(INDEX(参数!$C$5:$C$7,MATCH($N998,参数!$A$5:$A$7,0)),"")</f>
        <v>1.2</v>
      </c>
      <c r="Z998">
        <f>IFERROR(INDEX(参数!$D$5:$D$7,MATCH($N998,参数!$A$5:$A$7,0)),"")</f>
        <v>1</v>
      </c>
      <c r="AA998">
        <f>IFERROR(INDEX(楼层配置!$E$5:$E$204,MATCH($K998,楼层配置!$B$5:$B$204,0)),1)</f>
        <v>1.12582067235919</v>
      </c>
      <c r="AB998">
        <f>IFERROR(INDEX(楼层配置!$F$5:$F$204,MATCH($K998,楼层配置!$B$5:$B$204,0)),1)</f>
        <v>0.729834891319568</v>
      </c>
      <c r="AC998">
        <f>IFERROR(INDEX(楼层配置!$G$5:$G$204,MATCH($K998,楼层配置!$B$5:$B$204,0)),1)</f>
        <v>1</v>
      </c>
      <c r="AD998" t="str">
        <f t="shared" si="123"/>
        <v/>
      </c>
      <c r="AE998" t="str">
        <f t="shared" si="124"/>
        <v/>
      </c>
      <c r="AF998" t="str">
        <f t="shared" si="125"/>
        <v/>
      </c>
      <c r="AG998" t="str">
        <f t="shared" si="126"/>
        <v>有效</v>
      </c>
      <c r="AH998">
        <f t="shared" si="127"/>
        <v>37293034.954</v>
      </c>
    </row>
    <row r="999" spans="1:34">
      <c r="A999">
        <v>995</v>
      </c>
      <c r="B999">
        <v>1029</v>
      </c>
      <c r="C999">
        <v>60</v>
      </c>
      <c r="D999">
        <f>IFERROR(ROUND($U999*$X999*$AA999*参数!$B$13,0),"")</f>
        <v>12628578</v>
      </c>
      <c r="E999">
        <f>IFERROR(ROUND($V999*$Y999*$AB999*参数!$C$13,0),"")</f>
        <v>127547</v>
      </c>
      <c r="F999">
        <f>IFERROR(ROUND($W999*$Z999*$AC999*参数!$D$13,0),"")</f>
        <v>80740</v>
      </c>
      <c r="J999">
        <v>199</v>
      </c>
      <c r="K999">
        <v>199</v>
      </c>
      <c r="L999">
        <f>IFERROR(INDEX(楼层配置!$D$5:$D$204,MATCH($K999,楼层配置!$B$5:$B$204,0)),"")</f>
        <v>496</v>
      </c>
      <c r="M999" t="str">
        <f>IFERROR(INDEX(_角色基线!$B$2:$B$100,MATCH($B999,_角色基线!$A$2:$A$100,0)),"")</f>
        <v>凯兰</v>
      </c>
      <c r="N999" t="str">
        <f>IFERROR(INDEX(_角色基线!$C$2:$C$100,MATCH($B999,_角色基线!$A$2:$A$100,0)),"")</f>
        <v>Support</v>
      </c>
      <c r="O999">
        <f>IFERROR(INDEX(_怪物基线!$B$2:$B$501,MATCH(INT($L999),_怪物基线!$A$2:$A$501,0)),"")</f>
        <v>2243444</v>
      </c>
      <c r="P999">
        <f>IFERROR(INDEX(_怪物基线!$C$2:$C$501,MATCH(INT($L999),_怪物基线!$A$2:$A$501,0)),"")</f>
        <v>145635</v>
      </c>
      <c r="Q999">
        <f>IFERROR(INDEX(_怪物基线!$D$2:$D$501,MATCH(INT($L999),_怪物基线!$A$2:$A$501,0)),"")</f>
        <v>64592</v>
      </c>
      <c r="R999">
        <f>参数!$B$10</f>
        <v>4</v>
      </c>
      <c r="S999">
        <f>参数!$C$10</f>
        <v>1.2</v>
      </c>
      <c r="T999">
        <f>参数!$D$10</f>
        <v>1</v>
      </c>
      <c r="U999">
        <f t="shared" si="120"/>
        <v>8973776</v>
      </c>
      <c r="V999">
        <f t="shared" si="121"/>
        <v>174762</v>
      </c>
      <c r="W999">
        <f t="shared" si="122"/>
        <v>64592</v>
      </c>
      <c r="X999">
        <f>IFERROR(INDEX(参数!$B$5:$B$7,MATCH($N999,参数!$A$5:$A$7,0)),"")</f>
        <v>1.25</v>
      </c>
      <c r="Y999">
        <f>IFERROR(INDEX(参数!$C$5:$C$7,MATCH($N999,参数!$A$5:$A$7,0)),"")</f>
        <v>1</v>
      </c>
      <c r="Z999">
        <f>IFERROR(INDEX(参数!$D$5:$D$7,MATCH($N999,参数!$A$5:$A$7,0)),"")</f>
        <v>1.25</v>
      </c>
      <c r="AA999">
        <f>IFERROR(INDEX(楼层配置!$E$5:$E$204,MATCH($K999,楼层配置!$B$5:$B$204,0)),1)</f>
        <v>1.12582067235919</v>
      </c>
      <c r="AB999">
        <f>IFERROR(INDEX(楼层配置!$F$5:$F$204,MATCH($K999,楼层配置!$B$5:$B$204,0)),1)</f>
        <v>0.729834891319568</v>
      </c>
      <c r="AC999">
        <f>IFERROR(INDEX(楼层配置!$G$5:$G$204,MATCH($K999,楼层配置!$B$5:$B$204,0)),1)</f>
        <v>1</v>
      </c>
      <c r="AD999" t="str">
        <f t="shared" si="123"/>
        <v/>
      </c>
      <c r="AE999" t="str">
        <f t="shared" si="124"/>
        <v/>
      </c>
      <c r="AF999" t="str">
        <f t="shared" si="125"/>
        <v/>
      </c>
      <c r="AG999" t="str">
        <f t="shared" si="126"/>
        <v>有效</v>
      </c>
      <c r="AH999">
        <f t="shared" si="127"/>
        <v>50514312</v>
      </c>
    </row>
    <row r="1000" spans="1:34">
      <c r="A1000">
        <v>996</v>
      </c>
      <c r="B1000">
        <v>1003</v>
      </c>
      <c r="C1000">
        <v>60</v>
      </c>
      <c r="D1000">
        <f>IFERROR(ROUND($U1000*$X1000*$AA1000*参数!$B$13,0),"")</f>
        <v>15580811</v>
      </c>
      <c r="E1000">
        <f>IFERROR(ROUND($V1000*$Y1000*$AB1000*参数!$C$13,0),"")</f>
        <v>130722</v>
      </c>
      <c r="F1000">
        <f>IFERROR(ROUND($W1000*$Z1000*$AC1000*参数!$D$13,0),"")</f>
        <v>98010</v>
      </c>
      <c r="J1000">
        <v>200</v>
      </c>
      <c r="K1000">
        <v>200</v>
      </c>
      <c r="L1000">
        <f>IFERROR(INDEX(楼层配置!$D$5:$D$204,MATCH($K1000,楼层配置!$B$5:$B$204,0)),"")</f>
        <v>500</v>
      </c>
      <c r="M1000" t="str">
        <f>IFERROR(INDEX(_角色基线!$B$2:$B$100,MATCH($B1000,_角色基线!$A$2:$A$100,0)),"")</f>
        <v>塔拉夏</v>
      </c>
      <c r="N1000" t="str">
        <f>IFERROR(INDEX(_角色基线!$C$2:$C$100,MATCH($B1000,_角色基线!$A$2:$A$100,0)),"")</f>
        <v>Tank</v>
      </c>
      <c r="O1000">
        <f>IFERROR(INDEX(_怪物基线!$B$2:$B$501,MATCH(INT($L1000),_怪物基线!$A$2:$A$501,0)),"")</f>
        <v>2304753</v>
      </c>
      <c r="P1000">
        <f>IFERROR(INDEX(_怪物基线!$C$2:$C$501,MATCH(INT($L1000),_怪物基线!$A$2:$A$501,0)),"")</f>
        <v>148975</v>
      </c>
      <c r="Q1000">
        <f>IFERROR(INDEX(_怪物基线!$D$2:$D$501,MATCH(INT($L1000),_怪物基线!$A$2:$A$501,0)),"")</f>
        <v>65340</v>
      </c>
      <c r="R1000">
        <f>参数!$B$10</f>
        <v>4</v>
      </c>
      <c r="S1000">
        <f>参数!$C$10</f>
        <v>1.2</v>
      </c>
      <c r="T1000">
        <f>参数!$D$10</f>
        <v>1</v>
      </c>
      <c r="U1000">
        <f t="shared" si="120"/>
        <v>9219012</v>
      </c>
      <c r="V1000">
        <f t="shared" si="121"/>
        <v>178770</v>
      </c>
      <c r="W1000">
        <f t="shared" si="122"/>
        <v>65340</v>
      </c>
      <c r="X1000">
        <f>IFERROR(INDEX(参数!$B$5:$B$7,MATCH($N1000,参数!$A$5:$A$7,0)),"")</f>
        <v>1.5</v>
      </c>
      <c r="Y1000">
        <f>IFERROR(INDEX(参数!$C$5:$C$7,MATCH($N1000,参数!$A$5:$A$7,0)),"")</f>
        <v>1</v>
      </c>
      <c r="Z1000">
        <f>IFERROR(INDEX(参数!$D$5:$D$7,MATCH($N1000,参数!$A$5:$A$7,0)),"")</f>
        <v>1.5</v>
      </c>
      <c r="AA1000">
        <f>IFERROR(INDEX(楼层配置!$E$5:$E$204,MATCH($K1000,楼层配置!$B$5:$B$204,0)),1)</f>
        <v>1.12671592412141</v>
      </c>
      <c r="AB1000">
        <f>IFERROR(INDEX(楼层配置!$F$5:$F$204,MATCH($K1000,楼层配置!$B$5:$B$204,0)),1)</f>
        <v>0.731229508674054</v>
      </c>
      <c r="AC1000">
        <f>IFERROR(INDEX(楼层配置!$G$5:$G$204,MATCH($K1000,楼层配置!$B$5:$B$204,0)),1)</f>
        <v>1</v>
      </c>
      <c r="AD1000" t="str">
        <f t="shared" si="123"/>
        <v/>
      </c>
      <c r="AE1000" t="str">
        <f t="shared" si="124"/>
        <v/>
      </c>
      <c r="AF1000" t="str">
        <f t="shared" si="125"/>
        <v/>
      </c>
      <c r="AG1000" t="str">
        <f t="shared" si="126"/>
        <v>有效</v>
      </c>
      <c r="AH1000">
        <f t="shared" si="127"/>
        <v>62323244</v>
      </c>
    </row>
    <row r="1001" spans="1:34">
      <c r="A1001">
        <v>997</v>
      </c>
      <c r="B1001">
        <v>1005</v>
      </c>
      <c r="C1001">
        <v>60</v>
      </c>
      <c r="D1001">
        <f>IFERROR(ROUND($U1001*$X1001*$AA1001*参数!$B$13,0),"")</f>
        <v>10387208</v>
      </c>
      <c r="E1001">
        <f>IFERROR(ROUND($V1001*$Y1001*$AB1001*参数!$C$13,0),"")</f>
        <v>156866</v>
      </c>
      <c r="F1001">
        <f>IFERROR(ROUND($W1001*$Z1001*$AC1001*参数!$D$13,0),"")</f>
        <v>65340</v>
      </c>
      <c r="J1001">
        <v>200</v>
      </c>
      <c r="K1001">
        <v>200</v>
      </c>
      <c r="L1001">
        <f>IFERROR(INDEX(楼层配置!$D$5:$D$204,MATCH($K1001,楼层配置!$B$5:$B$204,0)),"")</f>
        <v>500</v>
      </c>
      <c r="M1001" t="str">
        <f>IFERROR(INDEX(_角色基线!$B$2:$B$100,MATCH($B1001,_角色基线!$A$2:$A$100,0)),"")</f>
        <v>陈单单</v>
      </c>
      <c r="N1001" t="str">
        <f>IFERROR(INDEX(_角色基线!$C$2:$C$100,MATCH($B1001,_角色基线!$A$2:$A$100,0)),"")</f>
        <v>DPS</v>
      </c>
      <c r="O1001">
        <f>IFERROR(INDEX(_怪物基线!$B$2:$B$501,MATCH(INT($L1001),_怪物基线!$A$2:$A$501,0)),"")</f>
        <v>2304753</v>
      </c>
      <c r="P1001">
        <f>IFERROR(INDEX(_怪物基线!$C$2:$C$501,MATCH(INT($L1001),_怪物基线!$A$2:$A$501,0)),"")</f>
        <v>148975</v>
      </c>
      <c r="Q1001">
        <f>IFERROR(INDEX(_怪物基线!$D$2:$D$501,MATCH(INT($L1001),_怪物基线!$A$2:$A$501,0)),"")</f>
        <v>65340</v>
      </c>
      <c r="R1001">
        <f>参数!$B$10</f>
        <v>4</v>
      </c>
      <c r="S1001">
        <f>参数!$C$10</f>
        <v>1.2</v>
      </c>
      <c r="T1001">
        <f>参数!$D$10</f>
        <v>1</v>
      </c>
      <c r="U1001">
        <f t="shared" si="120"/>
        <v>9219012</v>
      </c>
      <c r="V1001">
        <f t="shared" si="121"/>
        <v>178770</v>
      </c>
      <c r="W1001">
        <f t="shared" si="122"/>
        <v>65340</v>
      </c>
      <c r="X1001">
        <f>IFERROR(INDEX(参数!$B$5:$B$7,MATCH($N1001,参数!$A$5:$A$7,0)),"")</f>
        <v>1</v>
      </c>
      <c r="Y1001">
        <f>IFERROR(INDEX(参数!$C$5:$C$7,MATCH($N1001,参数!$A$5:$A$7,0)),"")</f>
        <v>1.2</v>
      </c>
      <c r="Z1001">
        <f>IFERROR(INDEX(参数!$D$5:$D$7,MATCH($N1001,参数!$A$5:$A$7,0)),"")</f>
        <v>1</v>
      </c>
      <c r="AA1001">
        <f>IFERROR(INDEX(楼层配置!$E$5:$E$204,MATCH($K1001,楼层配置!$B$5:$B$204,0)),1)</f>
        <v>1.12671592412141</v>
      </c>
      <c r="AB1001">
        <f>IFERROR(INDEX(楼层配置!$F$5:$F$204,MATCH($K1001,楼层配置!$B$5:$B$204,0)),1)</f>
        <v>0.731229508674054</v>
      </c>
      <c r="AC1001">
        <f>IFERROR(INDEX(楼层配置!$G$5:$G$204,MATCH($K1001,楼层配置!$B$5:$B$204,0)),1)</f>
        <v>1</v>
      </c>
      <c r="AD1001" t="str">
        <f t="shared" si="123"/>
        <v/>
      </c>
      <c r="AE1001" t="str">
        <f t="shared" si="124"/>
        <v/>
      </c>
      <c r="AF1001" t="str">
        <f t="shared" si="125"/>
        <v/>
      </c>
      <c r="AG1001" t="str">
        <f t="shared" si="126"/>
        <v>有效</v>
      </c>
      <c r="AH1001">
        <f t="shared" si="127"/>
        <v>38666381.78</v>
      </c>
    </row>
    <row r="1002" spans="1:34">
      <c r="A1002">
        <v>998</v>
      </c>
      <c r="B1002">
        <v>1005</v>
      </c>
      <c r="C1002">
        <v>60</v>
      </c>
      <c r="D1002">
        <f>IFERROR(ROUND($U1002*$X1002*$AA1002*参数!$B$13,0),"")</f>
        <v>10387208</v>
      </c>
      <c r="E1002">
        <f>IFERROR(ROUND($V1002*$Y1002*$AB1002*参数!$C$13,0),"")</f>
        <v>156866</v>
      </c>
      <c r="F1002">
        <f>IFERROR(ROUND($W1002*$Z1002*$AC1002*参数!$D$13,0),"")</f>
        <v>65340</v>
      </c>
      <c r="J1002">
        <v>200</v>
      </c>
      <c r="K1002">
        <v>200</v>
      </c>
      <c r="L1002">
        <f>IFERROR(INDEX(楼层配置!$D$5:$D$204,MATCH($K1002,楼层配置!$B$5:$B$204,0)),"")</f>
        <v>500</v>
      </c>
      <c r="M1002" t="str">
        <f>IFERROR(INDEX(_角色基线!$B$2:$B$100,MATCH($B1002,_角色基线!$A$2:$A$100,0)),"")</f>
        <v>陈单单</v>
      </c>
      <c r="N1002" t="str">
        <f>IFERROR(INDEX(_角色基线!$C$2:$C$100,MATCH($B1002,_角色基线!$A$2:$A$100,0)),"")</f>
        <v>DPS</v>
      </c>
      <c r="O1002">
        <f>IFERROR(INDEX(_怪物基线!$B$2:$B$501,MATCH(INT($L1002),_怪物基线!$A$2:$A$501,0)),"")</f>
        <v>2304753</v>
      </c>
      <c r="P1002">
        <f>IFERROR(INDEX(_怪物基线!$C$2:$C$501,MATCH(INT($L1002),_怪物基线!$A$2:$A$501,0)),"")</f>
        <v>148975</v>
      </c>
      <c r="Q1002">
        <f>IFERROR(INDEX(_怪物基线!$D$2:$D$501,MATCH(INT($L1002),_怪物基线!$A$2:$A$501,0)),"")</f>
        <v>65340</v>
      </c>
      <c r="R1002">
        <f>参数!$B$10</f>
        <v>4</v>
      </c>
      <c r="S1002">
        <f>参数!$C$10</f>
        <v>1.2</v>
      </c>
      <c r="T1002">
        <f>参数!$D$10</f>
        <v>1</v>
      </c>
      <c r="U1002">
        <f t="shared" si="120"/>
        <v>9219012</v>
      </c>
      <c r="V1002">
        <f t="shared" si="121"/>
        <v>178770</v>
      </c>
      <c r="W1002">
        <f t="shared" si="122"/>
        <v>65340</v>
      </c>
      <c r="X1002">
        <f>IFERROR(INDEX(参数!$B$5:$B$7,MATCH($N1002,参数!$A$5:$A$7,0)),"")</f>
        <v>1</v>
      </c>
      <c r="Y1002">
        <f>IFERROR(INDEX(参数!$C$5:$C$7,MATCH($N1002,参数!$A$5:$A$7,0)),"")</f>
        <v>1.2</v>
      </c>
      <c r="Z1002">
        <f>IFERROR(INDEX(参数!$D$5:$D$7,MATCH($N1002,参数!$A$5:$A$7,0)),"")</f>
        <v>1</v>
      </c>
      <c r="AA1002">
        <f>IFERROR(INDEX(楼层配置!$E$5:$E$204,MATCH($K1002,楼层配置!$B$5:$B$204,0)),1)</f>
        <v>1.12671592412141</v>
      </c>
      <c r="AB1002">
        <f>IFERROR(INDEX(楼层配置!$F$5:$F$204,MATCH($K1002,楼层配置!$B$5:$B$204,0)),1)</f>
        <v>0.731229508674054</v>
      </c>
      <c r="AC1002">
        <f>IFERROR(INDEX(楼层配置!$G$5:$G$204,MATCH($K1002,楼层配置!$B$5:$B$204,0)),1)</f>
        <v>1</v>
      </c>
      <c r="AD1002" t="str">
        <f t="shared" si="123"/>
        <v/>
      </c>
      <c r="AE1002" t="str">
        <f t="shared" si="124"/>
        <v/>
      </c>
      <c r="AF1002" t="str">
        <f t="shared" si="125"/>
        <v/>
      </c>
      <c r="AG1002" t="str">
        <f t="shared" si="126"/>
        <v>有效</v>
      </c>
      <c r="AH1002">
        <f t="shared" si="127"/>
        <v>38666381.78</v>
      </c>
    </row>
    <row r="1003" spans="1:34">
      <c r="A1003">
        <v>999</v>
      </c>
      <c r="B1003">
        <v>1005</v>
      </c>
      <c r="C1003">
        <v>60</v>
      </c>
      <c r="D1003">
        <f>IFERROR(ROUND($U1003*$X1003*$AA1003*参数!$B$13,0),"")</f>
        <v>10387208</v>
      </c>
      <c r="E1003">
        <f>IFERROR(ROUND($V1003*$Y1003*$AB1003*参数!$C$13,0),"")</f>
        <v>156866</v>
      </c>
      <c r="F1003">
        <f>IFERROR(ROUND($W1003*$Z1003*$AC1003*参数!$D$13,0),"")</f>
        <v>65340</v>
      </c>
      <c r="J1003">
        <v>200</v>
      </c>
      <c r="K1003">
        <v>200</v>
      </c>
      <c r="L1003">
        <f>IFERROR(INDEX(楼层配置!$D$5:$D$204,MATCH($K1003,楼层配置!$B$5:$B$204,0)),"")</f>
        <v>500</v>
      </c>
      <c r="M1003" t="str">
        <f>IFERROR(INDEX(_角色基线!$B$2:$B$100,MATCH($B1003,_角色基线!$A$2:$A$100,0)),"")</f>
        <v>陈单单</v>
      </c>
      <c r="N1003" t="str">
        <f>IFERROR(INDEX(_角色基线!$C$2:$C$100,MATCH($B1003,_角色基线!$A$2:$A$100,0)),"")</f>
        <v>DPS</v>
      </c>
      <c r="O1003">
        <f>IFERROR(INDEX(_怪物基线!$B$2:$B$501,MATCH(INT($L1003),_怪物基线!$A$2:$A$501,0)),"")</f>
        <v>2304753</v>
      </c>
      <c r="P1003">
        <f>IFERROR(INDEX(_怪物基线!$C$2:$C$501,MATCH(INT($L1003),_怪物基线!$A$2:$A$501,0)),"")</f>
        <v>148975</v>
      </c>
      <c r="Q1003">
        <f>IFERROR(INDEX(_怪物基线!$D$2:$D$501,MATCH(INT($L1003),_怪物基线!$A$2:$A$501,0)),"")</f>
        <v>65340</v>
      </c>
      <c r="R1003">
        <f>参数!$B$10</f>
        <v>4</v>
      </c>
      <c r="S1003">
        <f>参数!$C$10</f>
        <v>1.2</v>
      </c>
      <c r="T1003">
        <f>参数!$D$10</f>
        <v>1</v>
      </c>
      <c r="U1003">
        <f t="shared" si="120"/>
        <v>9219012</v>
      </c>
      <c r="V1003">
        <f t="shared" si="121"/>
        <v>178770</v>
      </c>
      <c r="W1003">
        <f t="shared" si="122"/>
        <v>65340</v>
      </c>
      <c r="X1003">
        <f>IFERROR(INDEX(参数!$B$5:$B$7,MATCH($N1003,参数!$A$5:$A$7,0)),"")</f>
        <v>1</v>
      </c>
      <c r="Y1003">
        <f>IFERROR(INDEX(参数!$C$5:$C$7,MATCH($N1003,参数!$A$5:$A$7,0)),"")</f>
        <v>1.2</v>
      </c>
      <c r="Z1003">
        <f>IFERROR(INDEX(参数!$D$5:$D$7,MATCH($N1003,参数!$A$5:$A$7,0)),"")</f>
        <v>1</v>
      </c>
      <c r="AA1003">
        <f>IFERROR(INDEX(楼层配置!$E$5:$E$204,MATCH($K1003,楼层配置!$B$5:$B$204,0)),1)</f>
        <v>1.12671592412141</v>
      </c>
      <c r="AB1003">
        <f>IFERROR(INDEX(楼层配置!$F$5:$F$204,MATCH($K1003,楼层配置!$B$5:$B$204,0)),1)</f>
        <v>0.731229508674054</v>
      </c>
      <c r="AC1003">
        <f>IFERROR(INDEX(楼层配置!$G$5:$G$204,MATCH($K1003,楼层配置!$B$5:$B$204,0)),1)</f>
        <v>1</v>
      </c>
      <c r="AD1003" t="str">
        <f t="shared" si="123"/>
        <v/>
      </c>
      <c r="AE1003" t="str">
        <f t="shared" si="124"/>
        <v/>
      </c>
      <c r="AF1003" t="str">
        <f t="shared" si="125"/>
        <v/>
      </c>
      <c r="AG1003" t="str">
        <f t="shared" si="126"/>
        <v>有效</v>
      </c>
      <c r="AH1003">
        <f t="shared" si="127"/>
        <v>38666381.78</v>
      </c>
    </row>
    <row r="1004" spans="1:34">
      <c r="A1004">
        <v>1000</v>
      </c>
      <c r="B1004">
        <v>1029</v>
      </c>
      <c r="C1004">
        <v>60</v>
      </c>
      <c r="D1004">
        <f>IFERROR(ROUND($U1004*$X1004*$AA1004*参数!$B$13,0),"")</f>
        <v>12984010</v>
      </c>
      <c r="E1004">
        <f>IFERROR(ROUND($V1004*$Y1004*$AB1004*参数!$C$13,0),"")</f>
        <v>130722</v>
      </c>
      <c r="F1004">
        <f>IFERROR(ROUND($W1004*$Z1004*$AC1004*参数!$D$13,0),"")</f>
        <v>81675</v>
      </c>
      <c r="J1004">
        <v>200</v>
      </c>
      <c r="K1004">
        <v>200</v>
      </c>
      <c r="L1004">
        <f>IFERROR(INDEX(楼层配置!$D$5:$D$204,MATCH($K1004,楼层配置!$B$5:$B$204,0)),"")</f>
        <v>500</v>
      </c>
      <c r="M1004" t="str">
        <f>IFERROR(INDEX(_角色基线!$B$2:$B$100,MATCH($B1004,_角色基线!$A$2:$A$100,0)),"")</f>
        <v>凯兰</v>
      </c>
      <c r="N1004" t="str">
        <f>IFERROR(INDEX(_角色基线!$C$2:$C$100,MATCH($B1004,_角色基线!$A$2:$A$100,0)),"")</f>
        <v>Support</v>
      </c>
      <c r="O1004">
        <f>IFERROR(INDEX(_怪物基线!$B$2:$B$501,MATCH(INT($L1004),_怪物基线!$A$2:$A$501,0)),"")</f>
        <v>2304753</v>
      </c>
      <c r="P1004">
        <f>IFERROR(INDEX(_怪物基线!$C$2:$C$501,MATCH(INT($L1004),_怪物基线!$A$2:$A$501,0)),"")</f>
        <v>148975</v>
      </c>
      <c r="Q1004">
        <f>IFERROR(INDEX(_怪物基线!$D$2:$D$501,MATCH(INT($L1004),_怪物基线!$A$2:$A$501,0)),"")</f>
        <v>65340</v>
      </c>
      <c r="R1004">
        <f>参数!$B$10</f>
        <v>4</v>
      </c>
      <c r="S1004">
        <f>参数!$C$10</f>
        <v>1.2</v>
      </c>
      <c r="T1004">
        <f>参数!$D$10</f>
        <v>1</v>
      </c>
      <c r="U1004">
        <f t="shared" si="120"/>
        <v>9219012</v>
      </c>
      <c r="V1004">
        <f t="shared" si="121"/>
        <v>178770</v>
      </c>
      <c r="W1004">
        <f t="shared" si="122"/>
        <v>65340</v>
      </c>
      <c r="X1004">
        <f>IFERROR(INDEX(参数!$B$5:$B$7,MATCH($N1004,参数!$A$5:$A$7,0)),"")</f>
        <v>1.25</v>
      </c>
      <c r="Y1004">
        <f>IFERROR(INDEX(参数!$C$5:$C$7,MATCH($N1004,参数!$A$5:$A$7,0)),"")</f>
        <v>1</v>
      </c>
      <c r="Z1004">
        <f>IFERROR(INDEX(参数!$D$5:$D$7,MATCH($N1004,参数!$A$5:$A$7,0)),"")</f>
        <v>1.25</v>
      </c>
      <c r="AA1004">
        <f>IFERROR(INDEX(楼层配置!$E$5:$E$204,MATCH($K1004,楼层配置!$B$5:$B$204,0)),1)</f>
        <v>1.12671592412141</v>
      </c>
      <c r="AB1004">
        <f>IFERROR(INDEX(楼层配置!$F$5:$F$204,MATCH($K1004,楼层配置!$B$5:$B$204,0)),1)</f>
        <v>0.731229508674054</v>
      </c>
      <c r="AC1004">
        <f>IFERROR(INDEX(楼层配置!$G$5:$G$204,MATCH($K1004,楼层配置!$B$5:$B$204,0)),1)</f>
        <v>1</v>
      </c>
      <c r="AD1004" t="str">
        <f t="shared" si="123"/>
        <v/>
      </c>
      <c r="AE1004" t="str">
        <f t="shared" si="124"/>
        <v/>
      </c>
      <c r="AF1004" t="str">
        <f t="shared" si="125"/>
        <v/>
      </c>
      <c r="AG1004" t="str">
        <f t="shared" si="126"/>
        <v>有效</v>
      </c>
      <c r="AH1004">
        <f t="shared" si="127"/>
        <v>51936040</v>
      </c>
    </row>
  </sheetData>
  <mergeCells count="2">
    <mergeCell ref="A1:AG1"/>
    <mergeCell ref="A2:AG2"/>
  </mergeCells>
  <conditionalFormatting sqref="AG5:AG504">
    <cfRule type="expression" dxfId="0" priority="1">
      <formula>$AG5="异常"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J1004"/>
  <sheetViews>
    <sheetView showGridLines="0" workbookViewId="0">
      <selection activeCell="A1" sqref="A1:J1"/>
    </sheetView>
  </sheetViews>
  <sheetFormatPr defaultColWidth="9" defaultRowHeight="13.5"/>
  <cols>
    <col min="1" max="3" width="14" customWidth="1"/>
    <col min="4" max="6" width="16" customWidth="1"/>
    <col min="7" max="7" width="12" customWidth="1"/>
    <col min="8" max="8" width="14" customWidth="1"/>
    <col min="9" max="10" width="16" customWidth="1"/>
  </cols>
  <sheetData>
    <row r="1" ht="30" customHeight="1" spans="1:10">
      <c r="A1" s="13" t="s">
        <v>233</v>
      </c>
    </row>
    <row r="2" ht="32" customHeight="1" spans="1:10">
      <c r="A2" s="14" t="s">
        <v>234</v>
      </c>
    </row>
    <row r="4" ht="38" customHeight="1" spans="1:10">
      <c r="A4" s="15" t="s">
        <v>207</v>
      </c>
      <c r="B4" s="15" t="s">
        <v>235</v>
      </c>
      <c r="C4" s="15" t="s">
        <v>236</v>
      </c>
      <c r="D4" s="15" t="s">
        <v>237</v>
      </c>
      <c r="E4" s="15" t="s">
        <v>238</v>
      </c>
      <c r="F4" s="15" t="s">
        <v>239</v>
      </c>
      <c r="G4" s="15" t="s">
        <v>231</v>
      </c>
      <c r="H4" s="15" t="s">
        <v>213</v>
      </c>
      <c r="I4" s="15" t="s">
        <v>214</v>
      </c>
      <c r="J4" s="15" t="s">
        <v>215</v>
      </c>
    </row>
    <row r="5" ht="14.25" customHeight="1" spans="1:10">
      <c r="A5" s="16">
        <f>TeamHero生成!A5</f>
        <v>1</v>
      </c>
      <c r="B5" s="16">
        <f>TeamHero生成!B5</f>
        <v>1002</v>
      </c>
      <c r="C5" s="16">
        <f>TeamHero生成!C5</f>
        <v>10</v>
      </c>
      <c r="D5" s="17">
        <f>TeamHero生成!D5</f>
        <v>12925</v>
      </c>
      <c r="E5" s="17">
        <f>TeamHero生成!E5</f>
        <v>743</v>
      </c>
      <c r="F5" s="17">
        <f>TeamHero生成!F5</f>
        <v>1700</v>
      </c>
      <c r="G5" s="16" t="str">
        <f>TeamHero生成!AG5</f>
        <v>有效</v>
      </c>
      <c r="H5" s="16">
        <f>TeamHero生成!G5</f>
        <v>17474</v>
      </c>
      <c r="I5" s="16">
        <f>TeamHero生成!H5</f>
        <v>847</v>
      </c>
      <c r="J5" s="16">
        <f>TeamHero生成!I5</f>
        <v>1394</v>
      </c>
    </row>
    <row r="6" ht="14.25" customHeight="1" spans="1:10">
      <c r="A6" s="16">
        <f>TeamHero生成!A6</f>
        <v>2</v>
      </c>
      <c r="B6" s="16">
        <f>TeamHero生成!B6</f>
        <v>1001</v>
      </c>
      <c r="C6" s="16">
        <f>TeamHero生成!C6</f>
        <v>10</v>
      </c>
      <c r="D6" s="17">
        <f>TeamHero生成!D6</f>
        <v>8617</v>
      </c>
      <c r="E6" s="17">
        <f>TeamHero生成!E6</f>
        <v>892</v>
      </c>
      <c r="F6" s="17">
        <f>TeamHero生成!F6</f>
        <v>1133</v>
      </c>
      <c r="G6" s="16" t="str">
        <f>TeamHero生成!AG6</f>
        <v>有效</v>
      </c>
      <c r="H6" s="16">
        <f>TeamHero生成!G6</f>
        <v>11649</v>
      </c>
      <c r="I6" s="16">
        <f>TeamHero生成!H6</f>
        <v>1016</v>
      </c>
      <c r="J6" s="16">
        <f>TeamHero生成!I6</f>
        <v>929</v>
      </c>
    </row>
    <row r="7" ht="14.25" customHeight="1" spans="1:10">
      <c r="A7" s="16">
        <f>TeamHero生成!A7</f>
        <v>3</v>
      </c>
      <c r="B7" s="16">
        <f>TeamHero生成!B7</f>
        <v>1001</v>
      </c>
      <c r="C7" s="16">
        <f>TeamHero生成!C7</f>
        <v>10</v>
      </c>
      <c r="D7" s="17">
        <f>TeamHero生成!D7</f>
        <v>8617</v>
      </c>
      <c r="E7" s="17">
        <f>TeamHero生成!E7</f>
        <v>892</v>
      </c>
      <c r="F7" s="17">
        <f>TeamHero生成!F7</f>
        <v>1133</v>
      </c>
      <c r="G7" s="16" t="str">
        <f>TeamHero生成!AG7</f>
        <v>有效</v>
      </c>
      <c r="H7" s="16">
        <f>TeamHero生成!G7</f>
        <v>11649</v>
      </c>
      <c r="I7" s="16">
        <f>TeamHero生成!H7</f>
        <v>1016</v>
      </c>
      <c r="J7" s="16">
        <f>TeamHero生成!I7</f>
        <v>929</v>
      </c>
    </row>
    <row r="8" ht="14.25" customHeight="1" spans="1:10">
      <c r="A8" s="16">
        <f>TeamHero生成!A8</f>
        <v>4</v>
      </c>
      <c r="B8" s="16">
        <f>TeamHero生成!B8</f>
        <v>1001</v>
      </c>
      <c r="C8" s="16">
        <f>TeamHero生成!C8</f>
        <v>10</v>
      </c>
      <c r="D8" s="17">
        <f>TeamHero生成!D8</f>
        <v>8617</v>
      </c>
      <c r="E8" s="17">
        <f>TeamHero生成!E8</f>
        <v>892</v>
      </c>
      <c r="F8" s="17">
        <f>TeamHero生成!F8</f>
        <v>1133</v>
      </c>
      <c r="G8" s="16" t="str">
        <f>TeamHero生成!AG8</f>
        <v>有效</v>
      </c>
      <c r="H8" s="16">
        <f>TeamHero生成!G8</f>
        <v>11649</v>
      </c>
      <c r="I8" s="16">
        <f>TeamHero生成!H8</f>
        <v>1016</v>
      </c>
      <c r="J8" s="16">
        <f>TeamHero生成!I8</f>
        <v>929</v>
      </c>
    </row>
    <row r="9" ht="14.25" customHeight="1" spans="1:10">
      <c r="A9" s="16">
        <f>TeamHero生成!A9</f>
        <v>5</v>
      </c>
      <c r="B9" s="16">
        <f>TeamHero生成!B9</f>
        <v>1040</v>
      </c>
      <c r="C9" s="16">
        <f>TeamHero生成!C9</f>
        <v>10</v>
      </c>
      <c r="D9" s="17">
        <f>TeamHero生成!D9</f>
        <v>10771</v>
      </c>
      <c r="E9" s="17">
        <f>TeamHero生成!E9</f>
        <v>743</v>
      </c>
      <c r="F9" s="17">
        <f>TeamHero生成!F9</f>
        <v>1416</v>
      </c>
      <c r="G9" s="16" t="str">
        <f>TeamHero生成!AG9</f>
        <v>有效</v>
      </c>
      <c r="H9" s="16">
        <f>TeamHero生成!G9</f>
        <v>14562</v>
      </c>
      <c r="I9" s="16">
        <f>TeamHero生成!H9</f>
        <v>847</v>
      </c>
      <c r="J9" s="16">
        <f>TeamHero生成!I9</f>
        <v>1162</v>
      </c>
    </row>
    <row r="10" ht="14.25" customHeight="1" spans="1:10">
      <c r="A10" s="16">
        <f>TeamHero生成!A10</f>
        <v>6</v>
      </c>
      <c r="B10" s="16">
        <f>TeamHero生成!B10</f>
        <v>1038</v>
      </c>
      <c r="C10" s="16">
        <f>TeamHero生成!C10</f>
        <v>11</v>
      </c>
      <c r="D10" s="17">
        <f>TeamHero生成!D10</f>
        <v>16789</v>
      </c>
      <c r="E10" s="17">
        <f>TeamHero生成!E10</f>
        <v>907</v>
      </c>
      <c r="F10" s="17">
        <f>TeamHero生成!F10</f>
        <v>2049</v>
      </c>
      <c r="G10" s="16" t="str">
        <f>TeamHero生成!AG10</f>
        <v>有效</v>
      </c>
      <c r="H10" s="16">
        <f>TeamHero生成!G10</f>
        <v>22442</v>
      </c>
      <c r="I10" s="16">
        <f>TeamHero生成!H10</f>
        <v>1028</v>
      </c>
      <c r="J10" s="16">
        <f>TeamHero生成!I10</f>
        <v>1686</v>
      </c>
    </row>
    <row r="11" ht="14.25" customHeight="1" spans="1:10">
      <c r="A11" s="16">
        <f>TeamHero生成!A11</f>
        <v>7</v>
      </c>
      <c r="B11" s="16">
        <f>TeamHero生成!B11</f>
        <v>1035</v>
      </c>
      <c r="C11" s="16">
        <f>TeamHero生成!C11</f>
        <v>11</v>
      </c>
      <c r="D11" s="17">
        <f>TeamHero生成!D11</f>
        <v>11193</v>
      </c>
      <c r="E11" s="17">
        <f>TeamHero生成!E11</f>
        <v>1088</v>
      </c>
      <c r="F11" s="17">
        <f>TeamHero生成!F11</f>
        <v>1366</v>
      </c>
      <c r="G11" s="16" t="str">
        <f>TeamHero生成!AG11</f>
        <v>有效</v>
      </c>
      <c r="H11" s="16">
        <f>TeamHero生成!G11</f>
        <v>14961</v>
      </c>
      <c r="I11" s="16">
        <f>TeamHero生成!H11</f>
        <v>1233</v>
      </c>
      <c r="J11" s="16">
        <f>TeamHero生成!I11</f>
        <v>1124</v>
      </c>
    </row>
    <row r="12" ht="14.25" customHeight="1" spans="1:10">
      <c r="A12" s="16">
        <f>TeamHero生成!A12</f>
        <v>8</v>
      </c>
      <c r="B12" s="16">
        <f>TeamHero生成!B12</f>
        <v>1035</v>
      </c>
      <c r="C12" s="16">
        <f>TeamHero生成!C12</f>
        <v>11</v>
      </c>
      <c r="D12" s="17">
        <f>TeamHero生成!D12</f>
        <v>11193</v>
      </c>
      <c r="E12" s="17">
        <f>TeamHero生成!E12</f>
        <v>1088</v>
      </c>
      <c r="F12" s="17">
        <f>TeamHero生成!F12</f>
        <v>1366</v>
      </c>
      <c r="G12" s="16" t="str">
        <f>TeamHero生成!AG12</f>
        <v>有效</v>
      </c>
      <c r="H12" s="16">
        <f>TeamHero生成!G12</f>
        <v>14961</v>
      </c>
      <c r="I12" s="16">
        <f>TeamHero生成!H12</f>
        <v>1233</v>
      </c>
      <c r="J12" s="16">
        <f>TeamHero生成!I12</f>
        <v>1124</v>
      </c>
    </row>
    <row r="13" ht="14.25" customHeight="1" spans="1:10">
      <c r="A13" s="16">
        <f>TeamHero生成!A13</f>
        <v>9</v>
      </c>
      <c r="B13" s="16">
        <f>TeamHero生成!B13</f>
        <v>1035</v>
      </c>
      <c r="C13" s="16">
        <f>TeamHero生成!C13</f>
        <v>11</v>
      </c>
      <c r="D13" s="17">
        <f>TeamHero生成!D13</f>
        <v>11193</v>
      </c>
      <c r="E13" s="17">
        <f>TeamHero生成!E13</f>
        <v>1088</v>
      </c>
      <c r="F13" s="17">
        <f>TeamHero生成!F13</f>
        <v>1366</v>
      </c>
      <c r="G13" s="16" t="str">
        <f>TeamHero生成!AG13</f>
        <v>有效</v>
      </c>
      <c r="H13" s="16">
        <f>TeamHero生成!G13</f>
        <v>14961</v>
      </c>
      <c r="I13" s="16">
        <f>TeamHero生成!H13</f>
        <v>1233</v>
      </c>
      <c r="J13" s="16">
        <f>TeamHero生成!I13</f>
        <v>1124</v>
      </c>
    </row>
    <row r="14" ht="14.25" customHeight="1" spans="1:10">
      <c r="A14" s="16">
        <f>TeamHero生成!A14</f>
        <v>10</v>
      </c>
      <c r="B14" s="16">
        <f>TeamHero生成!B14</f>
        <v>1036</v>
      </c>
      <c r="C14" s="16">
        <f>TeamHero生成!C14</f>
        <v>11</v>
      </c>
      <c r="D14" s="17">
        <f>TeamHero生成!D14</f>
        <v>11193</v>
      </c>
      <c r="E14" s="17">
        <f>TeamHero生成!E14</f>
        <v>1088</v>
      </c>
      <c r="F14" s="17">
        <f>TeamHero生成!F14</f>
        <v>1366</v>
      </c>
      <c r="G14" s="16" t="str">
        <f>TeamHero生成!AG14</f>
        <v>有效</v>
      </c>
      <c r="H14" s="16">
        <f>TeamHero生成!G14</f>
        <v>14961</v>
      </c>
      <c r="I14" s="16">
        <f>TeamHero生成!H14</f>
        <v>1233</v>
      </c>
      <c r="J14" s="16">
        <f>TeamHero生成!I14</f>
        <v>1124</v>
      </c>
    </row>
    <row r="15" ht="14.25" customHeight="1" spans="1:10">
      <c r="A15" s="16">
        <f>TeamHero生成!A15</f>
        <v>11</v>
      </c>
      <c r="B15" s="16">
        <f>TeamHero生成!B15</f>
        <v>1002</v>
      </c>
      <c r="C15" s="16">
        <f>TeamHero生成!C15</f>
        <v>11</v>
      </c>
      <c r="D15" s="17">
        <f>TeamHero生成!D15</f>
        <v>21843</v>
      </c>
      <c r="E15" s="17">
        <f>TeamHero生成!E15</f>
        <v>1105</v>
      </c>
      <c r="F15" s="17">
        <f>TeamHero生成!F15</f>
        <v>2519</v>
      </c>
      <c r="G15" s="16" t="str">
        <f>TeamHero生成!AG15</f>
        <v>有效</v>
      </c>
      <c r="H15" s="16">
        <f>TeamHero生成!G15</f>
        <v>27900</v>
      </c>
      <c r="I15" s="16">
        <f>TeamHero生成!H15</f>
        <v>1213</v>
      </c>
      <c r="J15" s="16">
        <f>TeamHero生成!I15</f>
        <v>1982</v>
      </c>
    </row>
    <row r="16" ht="14.25" customHeight="1" spans="1:10">
      <c r="A16" s="16">
        <f>TeamHero生成!A16</f>
        <v>12</v>
      </c>
      <c r="B16" s="16">
        <f>TeamHero生成!B16</f>
        <v>1002</v>
      </c>
      <c r="C16" s="16">
        <f>TeamHero生成!C16</f>
        <v>11</v>
      </c>
      <c r="D16" s="17">
        <f>TeamHero生成!D16</f>
        <v>21843</v>
      </c>
      <c r="E16" s="17">
        <f>TeamHero生成!E16</f>
        <v>1105</v>
      </c>
      <c r="F16" s="17">
        <f>TeamHero生成!F16</f>
        <v>2519</v>
      </c>
      <c r="G16" s="16" t="str">
        <f>TeamHero生成!AG16</f>
        <v>有效</v>
      </c>
      <c r="H16" s="16">
        <f>TeamHero生成!G16</f>
        <v>27900</v>
      </c>
      <c r="I16" s="16">
        <f>TeamHero生成!H16</f>
        <v>1213</v>
      </c>
      <c r="J16" s="16">
        <f>TeamHero生成!I16</f>
        <v>1982</v>
      </c>
    </row>
    <row r="17" ht="14.25" customHeight="1" spans="1:10">
      <c r="A17" s="16">
        <f>TeamHero生成!A17</f>
        <v>13</v>
      </c>
      <c r="B17" s="16">
        <f>TeamHero生成!B17</f>
        <v>1002</v>
      </c>
      <c r="C17" s="16">
        <f>TeamHero生成!C17</f>
        <v>11</v>
      </c>
      <c r="D17" s="17">
        <f>TeamHero生成!D17</f>
        <v>21843</v>
      </c>
      <c r="E17" s="17">
        <f>TeamHero生成!E17</f>
        <v>1105</v>
      </c>
      <c r="F17" s="17">
        <f>TeamHero生成!F17</f>
        <v>2519</v>
      </c>
      <c r="G17" s="16" t="str">
        <f>TeamHero生成!AG17</f>
        <v>有效</v>
      </c>
      <c r="H17" s="16">
        <f>TeamHero生成!G17</f>
        <v>27900</v>
      </c>
      <c r="I17" s="16">
        <f>TeamHero生成!H17</f>
        <v>1213</v>
      </c>
      <c r="J17" s="16">
        <f>TeamHero生成!I17</f>
        <v>1982</v>
      </c>
    </row>
    <row r="18" ht="14.25" customHeight="1" spans="1:10">
      <c r="A18" s="16">
        <f>TeamHero生成!A18</f>
        <v>14</v>
      </c>
      <c r="B18" s="16">
        <f>TeamHero生成!B18</f>
        <v>1011</v>
      </c>
      <c r="C18" s="16">
        <f>TeamHero生成!C18</f>
        <v>11</v>
      </c>
      <c r="D18" s="17">
        <f>TeamHero生成!D18</f>
        <v>18203</v>
      </c>
      <c r="E18" s="17">
        <f>TeamHero生成!E18</f>
        <v>1105</v>
      </c>
      <c r="F18" s="17">
        <f>TeamHero生成!F18</f>
        <v>2099</v>
      </c>
      <c r="G18" s="16" t="str">
        <f>TeamHero生成!AG18</f>
        <v>有效</v>
      </c>
      <c r="H18" s="16">
        <f>TeamHero生成!G18</f>
        <v>23250</v>
      </c>
      <c r="I18" s="16">
        <f>TeamHero生成!H18</f>
        <v>1213</v>
      </c>
      <c r="J18" s="16">
        <f>TeamHero生成!I18</f>
        <v>1652</v>
      </c>
    </row>
    <row r="19" ht="14.25" customHeight="1" spans="1:10">
      <c r="A19" s="16">
        <f>TeamHero生成!A19</f>
        <v>15</v>
      </c>
      <c r="B19" s="16">
        <f>TeamHero生成!B19</f>
        <v>1015</v>
      </c>
      <c r="C19" s="16">
        <f>TeamHero生成!C19</f>
        <v>11</v>
      </c>
      <c r="D19" s="17">
        <f>TeamHero生成!D19</f>
        <v>18203</v>
      </c>
      <c r="E19" s="17">
        <f>TeamHero生成!E19</f>
        <v>1105</v>
      </c>
      <c r="F19" s="17">
        <f>TeamHero生成!F19</f>
        <v>2099</v>
      </c>
      <c r="G19" s="16" t="str">
        <f>TeamHero生成!AG19</f>
        <v>有效</v>
      </c>
      <c r="H19" s="16">
        <f>TeamHero生成!G19</f>
        <v>23250</v>
      </c>
      <c r="I19" s="16">
        <f>TeamHero生成!H19</f>
        <v>1213</v>
      </c>
      <c r="J19" s="16">
        <f>TeamHero生成!I19</f>
        <v>1652</v>
      </c>
    </row>
    <row r="20" ht="14.25" customHeight="1" spans="1:10">
      <c r="A20" s="16">
        <f>TeamHero生成!A20</f>
        <v>16</v>
      </c>
      <c r="B20" s="16">
        <f>TeamHero生成!B20</f>
        <v>1035</v>
      </c>
      <c r="C20" s="16">
        <f>TeamHero生成!C20</f>
        <v>12</v>
      </c>
      <c r="D20" s="17">
        <f>TeamHero生成!D20</f>
        <v>17861</v>
      </c>
      <c r="E20" s="17">
        <f>TeamHero生成!E20</f>
        <v>1530</v>
      </c>
      <c r="F20" s="17">
        <f>TeamHero生成!F20</f>
        <v>1917</v>
      </c>
      <c r="G20" s="16" t="str">
        <f>TeamHero生成!AG20</f>
        <v>有效</v>
      </c>
      <c r="H20" s="16">
        <f>TeamHero生成!G20</f>
        <v>22555</v>
      </c>
      <c r="I20" s="16">
        <f>TeamHero生成!H20</f>
        <v>1680</v>
      </c>
      <c r="J20" s="16">
        <f>TeamHero生成!I20</f>
        <v>1522</v>
      </c>
    </row>
    <row r="21" ht="14.25" customHeight="1" spans="1:10">
      <c r="A21" s="16">
        <f>TeamHero生成!A21</f>
        <v>17</v>
      </c>
      <c r="B21" s="16">
        <f>TeamHero生成!B21</f>
        <v>1037</v>
      </c>
      <c r="C21" s="16">
        <f>TeamHero生成!C21</f>
        <v>12</v>
      </c>
      <c r="D21" s="17">
        <f>TeamHero生成!D21</f>
        <v>17861</v>
      </c>
      <c r="E21" s="17">
        <f>TeamHero生成!E21</f>
        <v>1530</v>
      </c>
      <c r="F21" s="17">
        <f>TeamHero生成!F21</f>
        <v>1917</v>
      </c>
      <c r="G21" s="16" t="str">
        <f>TeamHero生成!AG21</f>
        <v>有效</v>
      </c>
      <c r="H21" s="16">
        <f>TeamHero生成!G21</f>
        <v>22555</v>
      </c>
      <c r="I21" s="16">
        <f>TeamHero生成!H21</f>
        <v>1680</v>
      </c>
      <c r="J21" s="16">
        <f>TeamHero生成!I21</f>
        <v>1522</v>
      </c>
    </row>
    <row r="22" ht="14.25" customHeight="1" spans="1:10">
      <c r="A22" s="16">
        <f>TeamHero生成!A22</f>
        <v>18</v>
      </c>
      <c r="B22" s="16">
        <f>TeamHero生成!B22</f>
        <v>1014</v>
      </c>
      <c r="C22" s="16">
        <f>TeamHero生成!C22</f>
        <v>12</v>
      </c>
      <c r="D22" s="17">
        <f>TeamHero生成!D22</f>
        <v>17861</v>
      </c>
      <c r="E22" s="17">
        <f>TeamHero生成!E22</f>
        <v>1530</v>
      </c>
      <c r="F22" s="17">
        <f>TeamHero生成!F22</f>
        <v>1917</v>
      </c>
      <c r="G22" s="16" t="str">
        <f>TeamHero生成!AG22</f>
        <v>有效</v>
      </c>
      <c r="H22" s="16">
        <f>TeamHero生成!G22</f>
        <v>22555</v>
      </c>
      <c r="I22" s="16">
        <f>TeamHero生成!H22</f>
        <v>1680</v>
      </c>
      <c r="J22" s="16">
        <f>TeamHero生成!I22</f>
        <v>1522</v>
      </c>
    </row>
    <row r="23" ht="14.25" customHeight="1" spans="1:10">
      <c r="A23" s="16">
        <f>TeamHero生成!A23</f>
        <v>19</v>
      </c>
      <c r="B23" s="16">
        <f>TeamHero生成!B23</f>
        <v>1036</v>
      </c>
      <c r="C23" s="16">
        <f>TeamHero生成!C23</f>
        <v>12</v>
      </c>
      <c r="D23" s="17">
        <f>TeamHero生成!D23</f>
        <v>17861</v>
      </c>
      <c r="E23" s="17">
        <f>TeamHero生成!E23</f>
        <v>1530</v>
      </c>
      <c r="F23" s="17">
        <f>TeamHero生成!F23</f>
        <v>1917</v>
      </c>
      <c r="G23" s="16" t="str">
        <f>TeamHero生成!AG23</f>
        <v>有效</v>
      </c>
      <c r="H23" s="16">
        <f>TeamHero生成!G23</f>
        <v>22555</v>
      </c>
      <c r="I23" s="16">
        <f>TeamHero生成!H23</f>
        <v>1680</v>
      </c>
      <c r="J23" s="16">
        <f>TeamHero生成!I23</f>
        <v>1522</v>
      </c>
    </row>
    <row r="24" ht="14.25" customHeight="1" spans="1:10">
      <c r="A24" s="16">
        <f>TeamHero生成!A24</f>
        <v>20</v>
      </c>
      <c r="B24" s="16">
        <f>TeamHero生成!B24</f>
        <v>1015</v>
      </c>
      <c r="C24" s="16">
        <f>TeamHero生成!C24</f>
        <v>12</v>
      </c>
      <c r="D24" s="17">
        <f>TeamHero生成!D24</f>
        <v>22326</v>
      </c>
      <c r="E24" s="17">
        <f>TeamHero生成!E24</f>
        <v>1275</v>
      </c>
      <c r="F24" s="17">
        <f>TeamHero生成!F24</f>
        <v>2396</v>
      </c>
      <c r="G24" s="16" t="str">
        <f>TeamHero生成!AG24</f>
        <v>有效</v>
      </c>
      <c r="H24" s="16">
        <f>TeamHero生成!G24</f>
        <v>28194</v>
      </c>
      <c r="I24" s="16">
        <f>TeamHero生成!H24</f>
        <v>1400</v>
      </c>
      <c r="J24" s="16">
        <f>TeamHero生成!I24</f>
        <v>1903</v>
      </c>
    </row>
    <row r="25" ht="14.25" customHeight="1" spans="1:10">
      <c r="A25" s="16">
        <f>TeamHero生成!A25</f>
        <v>21</v>
      </c>
      <c r="B25" s="16">
        <f>TeamHero生成!B25</f>
        <v>1002</v>
      </c>
      <c r="C25" s="16">
        <f>TeamHero生成!C25</f>
        <v>12</v>
      </c>
      <c r="D25" s="17">
        <f>TeamHero生成!D25</f>
        <v>30866</v>
      </c>
      <c r="E25" s="17">
        <f>TeamHero生成!E25</f>
        <v>1412</v>
      </c>
      <c r="F25" s="17">
        <f>TeamHero生成!F25</f>
        <v>3234</v>
      </c>
      <c r="G25" s="16" t="str">
        <f>TeamHero生成!AG25</f>
        <v>有效</v>
      </c>
      <c r="H25" s="16">
        <f>TeamHero生成!G25</f>
        <v>40262</v>
      </c>
      <c r="I25" s="16">
        <f>TeamHero生成!H25</f>
        <v>1594</v>
      </c>
      <c r="J25" s="16">
        <f>TeamHero生成!I25</f>
        <v>2588</v>
      </c>
    </row>
    <row r="26" ht="14.25" customHeight="1" spans="1:10">
      <c r="A26" s="16">
        <f>TeamHero生成!A26</f>
        <v>22</v>
      </c>
      <c r="B26" s="16">
        <f>TeamHero生成!B26</f>
        <v>1005</v>
      </c>
      <c r="C26" s="16">
        <f>TeamHero生成!C26</f>
        <v>12</v>
      </c>
      <c r="D26" s="17">
        <f>TeamHero生成!D26</f>
        <v>20577</v>
      </c>
      <c r="E26" s="17">
        <f>TeamHero生成!E26</f>
        <v>1695</v>
      </c>
      <c r="F26" s="17">
        <f>TeamHero生成!F26</f>
        <v>2156</v>
      </c>
      <c r="G26" s="16" t="str">
        <f>TeamHero生成!AG26</f>
        <v>有效</v>
      </c>
      <c r="H26" s="16">
        <f>TeamHero生成!G26</f>
        <v>26841</v>
      </c>
      <c r="I26" s="16">
        <f>TeamHero生成!H26</f>
        <v>1912</v>
      </c>
      <c r="J26" s="16">
        <f>TeamHero生成!I26</f>
        <v>1725</v>
      </c>
    </row>
    <row r="27" ht="14.25" customHeight="1" spans="1:10">
      <c r="A27" s="16">
        <f>TeamHero生成!A27</f>
        <v>23</v>
      </c>
      <c r="B27" s="16">
        <f>TeamHero生成!B27</f>
        <v>1029</v>
      </c>
      <c r="C27" s="16">
        <f>TeamHero生成!C27</f>
        <v>12</v>
      </c>
      <c r="D27" s="17">
        <f>TeamHero生成!D27</f>
        <v>25722</v>
      </c>
      <c r="E27" s="17">
        <f>TeamHero生成!E27</f>
        <v>1412</v>
      </c>
      <c r="F27" s="17">
        <f>TeamHero生成!F27</f>
        <v>2695</v>
      </c>
      <c r="G27" s="16" t="str">
        <f>TeamHero生成!AG27</f>
        <v>有效</v>
      </c>
      <c r="H27" s="16">
        <f>TeamHero生成!G27</f>
        <v>33552</v>
      </c>
      <c r="I27" s="16">
        <f>TeamHero生成!H27</f>
        <v>1594</v>
      </c>
      <c r="J27" s="16">
        <f>TeamHero生成!I27</f>
        <v>2157</v>
      </c>
    </row>
    <row r="28" ht="14.25" customHeight="1" spans="1:10">
      <c r="A28" s="16">
        <f>TeamHero生成!A28</f>
        <v>24</v>
      </c>
      <c r="B28" s="16">
        <f>TeamHero生成!B28</f>
        <v>1012</v>
      </c>
      <c r="C28" s="16">
        <f>TeamHero生成!C28</f>
        <v>12</v>
      </c>
      <c r="D28" s="17">
        <f>TeamHero生成!D28</f>
        <v>25722</v>
      </c>
      <c r="E28" s="17">
        <f>TeamHero生成!E28</f>
        <v>1412</v>
      </c>
      <c r="F28" s="17">
        <f>TeamHero生成!F28</f>
        <v>2695</v>
      </c>
      <c r="G28" s="16" t="str">
        <f>TeamHero生成!AG28</f>
        <v>有效</v>
      </c>
      <c r="H28" s="16">
        <f>TeamHero生成!G28</f>
        <v>33552</v>
      </c>
      <c r="I28" s="16">
        <f>TeamHero生成!H28</f>
        <v>1594</v>
      </c>
      <c r="J28" s="16">
        <f>TeamHero生成!I28</f>
        <v>2157</v>
      </c>
    </row>
    <row r="29" ht="14.25" customHeight="1" spans="1:10">
      <c r="A29" s="16">
        <f>TeamHero生成!A29</f>
        <v>25</v>
      </c>
      <c r="B29" s="16">
        <f>TeamHero生成!B29</f>
        <v>1011</v>
      </c>
      <c r="C29" s="16">
        <f>TeamHero生成!C29</f>
        <v>12</v>
      </c>
      <c r="D29" s="17">
        <f>TeamHero生成!D29</f>
        <v>25722</v>
      </c>
      <c r="E29" s="17">
        <f>TeamHero生成!E29</f>
        <v>1412</v>
      </c>
      <c r="F29" s="17">
        <f>TeamHero生成!F29</f>
        <v>2695</v>
      </c>
      <c r="G29" s="16" t="str">
        <f>TeamHero生成!AG29</f>
        <v>有效</v>
      </c>
      <c r="H29" s="16">
        <f>TeamHero生成!G29</f>
        <v>33552</v>
      </c>
      <c r="I29" s="16">
        <f>TeamHero生成!H29</f>
        <v>1594</v>
      </c>
      <c r="J29" s="16">
        <f>TeamHero生成!I29</f>
        <v>2157</v>
      </c>
    </row>
    <row r="30" ht="14.25" customHeight="1" spans="1:10">
      <c r="A30" s="16">
        <f>TeamHero生成!A30</f>
        <v>26</v>
      </c>
      <c r="B30" s="16">
        <f>TeamHero生成!B30</f>
        <v>1030</v>
      </c>
      <c r="C30" s="16">
        <f>TeamHero生成!C30</f>
        <v>13</v>
      </c>
      <c r="D30" s="17">
        <f>TeamHero生成!D30</f>
        <v>38108</v>
      </c>
      <c r="E30" s="17">
        <f>TeamHero生成!E30</f>
        <v>1617</v>
      </c>
      <c r="F30" s="17">
        <f>TeamHero生成!F30</f>
        <v>3719</v>
      </c>
      <c r="G30" s="16" t="str">
        <f>TeamHero生成!AG30</f>
        <v>有效</v>
      </c>
      <c r="H30" s="16">
        <f>TeamHero生成!G30</f>
        <v>47188</v>
      </c>
      <c r="I30" s="16">
        <f>TeamHero生成!H30</f>
        <v>1789</v>
      </c>
      <c r="J30" s="16">
        <f>TeamHero生成!I30</f>
        <v>2898</v>
      </c>
    </row>
    <row r="31" ht="14.25" customHeight="1" spans="1:10">
      <c r="A31" s="16">
        <f>TeamHero生成!A31</f>
        <v>27</v>
      </c>
      <c r="B31" s="16">
        <f>TeamHero生成!B31</f>
        <v>1021</v>
      </c>
      <c r="C31" s="16">
        <f>TeamHero生成!C31</f>
        <v>13</v>
      </c>
      <c r="D31" s="17">
        <f>TeamHero生成!D31</f>
        <v>25406</v>
      </c>
      <c r="E31" s="17">
        <f>TeamHero生成!E31</f>
        <v>1941</v>
      </c>
      <c r="F31" s="17">
        <f>TeamHero生成!F31</f>
        <v>2479</v>
      </c>
      <c r="G31" s="16" t="str">
        <f>TeamHero生成!AG31</f>
        <v>有效</v>
      </c>
      <c r="H31" s="16">
        <f>TeamHero生成!G31</f>
        <v>31459</v>
      </c>
      <c r="I31" s="16">
        <f>TeamHero生成!H31</f>
        <v>2146</v>
      </c>
      <c r="J31" s="16">
        <f>TeamHero生成!I31</f>
        <v>1932</v>
      </c>
    </row>
    <row r="32" ht="14.25" customHeight="1" spans="1:10">
      <c r="A32" s="16">
        <f>TeamHero生成!A32</f>
        <v>28</v>
      </c>
      <c r="B32" s="16">
        <f>TeamHero生成!B32</f>
        <v>1021</v>
      </c>
      <c r="C32" s="16">
        <f>TeamHero生成!C32</f>
        <v>13</v>
      </c>
      <c r="D32" s="17">
        <f>TeamHero生成!D32</f>
        <v>25406</v>
      </c>
      <c r="E32" s="17">
        <f>TeamHero生成!E32</f>
        <v>1941</v>
      </c>
      <c r="F32" s="17">
        <f>TeamHero生成!F32</f>
        <v>2479</v>
      </c>
      <c r="G32" s="16" t="str">
        <f>TeamHero生成!AG32</f>
        <v>有效</v>
      </c>
      <c r="H32" s="16">
        <f>TeamHero生成!G32</f>
        <v>31459</v>
      </c>
      <c r="I32" s="16">
        <f>TeamHero生成!H32</f>
        <v>2146</v>
      </c>
      <c r="J32" s="16">
        <f>TeamHero生成!I32</f>
        <v>1932</v>
      </c>
    </row>
    <row r="33" ht="14.25" customHeight="1" spans="1:10">
      <c r="A33" s="16">
        <f>TeamHero生成!A33</f>
        <v>29</v>
      </c>
      <c r="B33" s="16">
        <f>TeamHero生成!B33</f>
        <v>1021</v>
      </c>
      <c r="C33" s="16">
        <f>TeamHero生成!C33</f>
        <v>13</v>
      </c>
      <c r="D33" s="17">
        <f>TeamHero生成!D33</f>
        <v>25406</v>
      </c>
      <c r="E33" s="17">
        <f>TeamHero生成!E33</f>
        <v>1941</v>
      </c>
      <c r="F33" s="17">
        <f>TeamHero生成!F33</f>
        <v>2479</v>
      </c>
      <c r="G33" s="16" t="str">
        <f>TeamHero生成!AG33</f>
        <v>有效</v>
      </c>
      <c r="H33" s="16">
        <f>TeamHero生成!G33</f>
        <v>31459</v>
      </c>
      <c r="I33" s="16">
        <f>TeamHero生成!H33</f>
        <v>2146</v>
      </c>
      <c r="J33" s="16">
        <f>TeamHero生成!I33</f>
        <v>1932</v>
      </c>
    </row>
    <row r="34" ht="14.25" customHeight="1" spans="1:10">
      <c r="A34" s="16">
        <f>TeamHero生成!A34</f>
        <v>30</v>
      </c>
      <c r="B34" s="16">
        <f>TeamHero生成!B34</f>
        <v>1020</v>
      </c>
      <c r="C34" s="16">
        <f>TeamHero生成!C34</f>
        <v>13</v>
      </c>
      <c r="D34" s="17">
        <f>TeamHero生成!D34</f>
        <v>31757</v>
      </c>
      <c r="E34" s="17">
        <f>TeamHero生成!E34</f>
        <v>1617</v>
      </c>
      <c r="F34" s="17">
        <f>TeamHero生成!F34</f>
        <v>3099</v>
      </c>
      <c r="G34" s="16" t="str">
        <f>TeamHero生成!AG34</f>
        <v>有效</v>
      </c>
      <c r="H34" s="16">
        <f>TeamHero生成!G34</f>
        <v>39324</v>
      </c>
      <c r="I34" s="16">
        <f>TeamHero生成!H34</f>
        <v>1789</v>
      </c>
      <c r="J34" s="16">
        <f>TeamHero生成!I34</f>
        <v>2415</v>
      </c>
    </row>
    <row r="35" ht="14.25" customHeight="1" spans="1:10">
      <c r="A35" s="16">
        <f>TeamHero生成!A35</f>
        <v>31</v>
      </c>
      <c r="B35" s="16">
        <f>TeamHero生成!B35</f>
        <v>1030</v>
      </c>
      <c r="C35" s="16">
        <f>TeamHero生成!C35</f>
        <v>13</v>
      </c>
      <c r="D35" s="17">
        <f>TeamHero生成!D35</f>
        <v>43864</v>
      </c>
      <c r="E35" s="17">
        <f>TeamHero生成!E35</f>
        <v>1763</v>
      </c>
      <c r="F35" s="17">
        <f>TeamHero生成!F35</f>
        <v>4085</v>
      </c>
      <c r="G35" s="16" t="str">
        <f>TeamHero生成!AG35</f>
        <v>有效</v>
      </c>
      <c r="H35" s="16">
        <f>TeamHero生成!G35</f>
        <v>54633</v>
      </c>
      <c r="I35" s="16">
        <f>TeamHero生成!H35</f>
        <v>1990</v>
      </c>
      <c r="J35" s="16">
        <f>TeamHero生成!I35</f>
        <v>3211</v>
      </c>
    </row>
    <row r="36" ht="14.25" customHeight="1" spans="1:10">
      <c r="A36" s="16">
        <f>TeamHero生成!A36</f>
        <v>32</v>
      </c>
      <c r="B36" s="16">
        <f>TeamHero生成!B36</f>
        <v>1026</v>
      </c>
      <c r="C36" s="16">
        <f>TeamHero生成!C36</f>
        <v>13</v>
      </c>
      <c r="D36" s="17">
        <f>TeamHero生成!D36</f>
        <v>29243</v>
      </c>
      <c r="E36" s="17">
        <f>TeamHero生成!E36</f>
        <v>2115</v>
      </c>
      <c r="F36" s="17">
        <f>TeamHero生成!F36</f>
        <v>2723</v>
      </c>
      <c r="G36" s="16" t="str">
        <f>TeamHero生成!AG36</f>
        <v>有效</v>
      </c>
      <c r="H36" s="16">
        <f>TeamHero生成!G36</f>
        <v>36422</v>
      </c>
      <c r="I36" s="16">
        <f>TeamHero生成!H36</f>
        <v>2388</v>
      </c>
      <c r="J36" s="16">
        <f>TeamHero生成!I36</f>
        <v>2140</v>
      </c>
    </row>
    <row r="37" ht="14.25" customHeight="1" spans="1:10">
      <c r="A37" s="16">
        <f>TeamHero生成!A37</f>
        <v>33</v>
      </c>
      <c r="B37" s="16">
        <f>TeamHero生成!B37</f>
        <v>1015</v>
      </c>
      <c r="C37" s="16">
        <f>TeamHero生成!C37</f>
        <v>13</v>
      </c>
      <c r="D37" s="17">
        <f>TeamHero生成!D37</f>
        <v>36554</v>
      </c>
      <c r="E37" s="17">
        <f>TeamHero生成!E37</f>
        <v>1763</v>
      </c>
      <c r="F37" s="17">
        <f>TeamHero生成!F37</f>
        <v>3404</v>
      </c>
      <c r="G37" s="16" t="str">
        <f>TeamHero生成!AG37</f>
        <v>有效</v>
      </c>
      <c r="H37" s="16">
        <f>TeamHero生成!G37</f>
        <v>45528</v>
      </c>
      <c r="I37" s="16">
        <f>TeamHero生成!H37</f>
        <v>1990</v>
      </c>
      <c r="J37" s="16">
        <f>TeamHero生成!I37</f>
        <v>2676</v>
      </c>
    </row>
    <row r="38" ht="14.25" customHeight="1" spans="1:10">
      <c r="A38" s="16">
        <f>TeamHero生成!A38</f>
        <v>34</v>
      </c>
      <c r="B38" s="16">
        <f>TeamHero生成!B38</f>
        <v>1023</v>
      </c>
      <c r="C38" s="16">
        <f>TeamHero生成!C38</f>
        <v>13</v>
      </c>
      <c r="D38" s="17">
        <f>TeamHero生成!D38</f>
        <v>36554</v>
      </c>
      <c r="E38" s="17">
        <f>TeamHero生成!E38</f>
        <v>1763</v>
      </c>
      <c r="F38" s="17">
        <f>TeamHero生成!F38</f>
        <v>3404</v>
      </c>
      <c r="G38" s="16" t="str">
        <f>TeamHero生成!AG38</f>
        <v>有效</v>
      </c>
      <c r="H38" s="16">
        <f>TeamHero生成!G38</f>
        <v>45528</v>
      </c>
      <c r="I38" s="16">
        <f>TeamHero生成!H38</f>
        <v>1990</v>
      </c>
      <c r="J38" s="16">
        <f>TeamHero生成!I38</f>
        <v>2676</v>
      </c>
    </row>
    <row r="39" ht="14.25" customHeight="1" spans="1:10">
      <c r="A39" s="16">
        <f>TeamHero生成!A39</f>
        <v>35</v>
      </c>
      <c r="B39" s="16">
        <f>TeamHero生成!B39</f>
        <v>1035</v>
      </c>
      <c r="C39" s="16">
        <f>TeamHero生成!C39</f>
        <v>13</v>
      </c>
      <c r="D39" s="17">
        <f>TeamHero生成!D39</f>
        <v>29243</v>
      </c>
      <c r="E39" s="17">
        <f>TeamHero生成!E39</f>
        <v>2115</v>
      </c>
      <c r="F39" s="17">
        <f>TeamHero生成!F39</f>
        <v>2723</v>
      </c>
      <c r="G39" s="16" t="str">
        <f>TeamHero生成!AG39</f>
        <v>有效</v>
      </c>
      <c r="H39" s="16">
        <f>TeamHero生成!G39</f>
        <v>36422</v>
      </c>
      <c r="I39" s="16">
        <f>TeamHero生成!H39</f>
        <v>2388</v>
      </c>
      <c r="J39" s="16">
        <f>TeamHero生成!I39</f>
        <v>2140</v>
      </c>
    </row>
    <row r="40" ht="14.25" customHeight="1" spans="1:10">
      <c r="A40" s="16">
        <f>TeamHero生成!A40</f>
        <v>36</v>
      </c>
      <c r="B40" s="16">
        <f>TeamHero生成!B40</f>
        <v>1002</v>
      </c>
      <c r="C40" s="16">
        <f>TeamHero生成!C40</f>
        <v>14</v>
      </c>
      <c r="D40" s="17">
        <f>TeamHero生成!D40</f>
        <v>48763</v>
      </c>
      <c r="E40" s="17">
        <f>TeamHero生成!E40</f>
        <v>1870</v>
      </c>
      <c r="F40" s="17">
        <f>TeamHero生成!F40</f>
        <v>4454</v>
      </c>
      <c r="G40" s="16" t="str">
        <f>TeamHero生成!AG40</f>
        <v>有效</v>
      </c>
      <c r="H40" s="16">
        <f>TeamHero生成!G40</f>
        <v>62589</v>
      </c>
      <c r="I40" s="16">
        <f>TeamHero生成!H40</f>
        <v>2194</v>
      </c>
      <c r="J40" s="16">
        <f>TeamHero生成!I40</f>
        <v>3529</v>
      </c>
    </row>
    <row r="41" ht="14.25" customHeight="1" spans="1:10">
      <c r="A41" s="16">
        <f>TeamHero生成!A41</f>
        <v>37</v>
      </c>
      <c r="B41" s="16">
        <f>TeamHero生成!B41</f>
        <v>1011</v>
      </c>
      <c r="C41" s="16">
        <f>TeamHero生成!C41</f>
        <v>14</v>
      </c>
      <c r="D41" s="17">
        <f>TeamHero生成!D41</f>
        <v>40636</v>
      </c>
      <c r="E41" s="17">
        <f>TeamHero生成!E41</f>
        <v>1870</v>
      </c>
      <c r="F41" s="17">
        <f>TeamHero生成!F41</f>
        <v>3711</v>
      </c>
      <c r="G41" s="16" t="str">
        <f>TeamHero生成!AG41</f>
        <v>有效</v>
      </c>
      <c r="H41" s="16">
        <f>TeamHero生成!G41</f>
        <v>52158</v>
      </c>
      <c r="I41" s="16">
        <f>TeamHero生成!H41</f>
        <v>2194</v>
      </c>
      <c r="J41" s="16">
        <f>TeamHero生成!I41</f>
        <v>2941</v>
      </c>
    </row>
    <row r="42" ht="14.25" customHeight="1" spans="1:10">
      <c r="A42" s="16">
        <f>TeamHero生成!A42</f>
        <v>38</v>
      </c>
      <c r="B42" s="16">
        <f>TeamHero生成!B42</f>
        <v>1015</v>
      </c>
      <c r="C42" s="16">
        <f>TeamHero生成!C42</f>
        <v>14</v>
      </c>
      <c r="D42" s="17">
        <f>TeamHero生成!D42</f>
        <v>40636</v>
      </c>
      <c r="E42" s="17">
        <f>TeamHero生成!E42</f>
        <v>1870</v>
      </c>
      <c r="F42" s="17">
        <f>TeamHero生成!F42</f>
        <v>3711</v>
      </c>
      <c r="G42" s="16" t="str">
        <f>TeamHero生成!AG42</f>
        <v>有效</v>
      </c>
      <c r="H42" s="16">
        <f>TeamHero生成!G42</f>
        <v>52158</v>
      </c>
      <c r="I42" s="16">
        <f>TeamHero生成!H42</f>
        <v>2194</v>
      </c>
      <c r="J42" s="16">
        <f>TeamHero生成!I42</f>
        <v>2941</v>
      </c>
    </row>
    <row r="43" ht="14.25" customHeight="1" spans="1:10">
      <c r="A43" s="16">
        <f>TeamHero生成!A43</f>
        <v>39</v>
      </c>
      <c r="B43" s="16">
        <f>TeamHero生成!B43</f>
        <v>1018</v>
      </c>
      <c r="C43" s="16">
        <f>TeamHero生成!C43</f>
        <v>14</v>
      </c>
      <c r="D43" s="17">
        <f>TeamHero生成!D43</f>
        <v>40636</v>
      </c>
      <c r="E43" s="17">
        <f>TeamHero生成!E43</f>
        <v>1870</v>
      </c>
      <c r="F43" s="17">
        <f>TeamHero生成!F43</f>
        <v>3711</v>
      </c>
      <c r="G43" s="16" t="str">
        <f>TeamHero生成!AG43</f>
        <v>有效</v>
      </c>
      <c r="H43" s="16">
        <f>TeamHero生成!G43</f>
        <v>52158</v>
      </c>
      <c r="I43" s="16">
        <f>TeamHero生成!H43</f>
        <v>2194</v>
      </c>
      <c r="J43" s="16">
        <f>TeamHero生成!I43</f>
        <v>2941</v>
      </c>
    </row>
    <row r="44" ht="14.25" customHeight="1" spans="1:10">
      <c r="A44" s="16">
        <f>TeamHero生成!A44</f>
        <v>40</v>
      </c>
      <c r="B44" s="16">
        <f>TeamHero生成!B44</f>
        <v>1040</v>
      </c>
      <c r="C44" s="16">
        <f>TeamHero生成!C44</f>
        <v>14</v>
      </c>
      <c r="D44" s="17">
        <f>TeamHero生成!D44</f>
        <v>40636</v>
      </c>
      <c r="E44" s="17">
        <f>TeamHero生成!E44</f>
        <v>1870</v>
      </c>
      <c r="F44" s="17">
        <f>TeamHero生成!F44</f>
        <v>3711</v>
      </c>
      <c r="G44" s="16" t="str">
        <f>TeamHero生成!AG44</f>
        <v>有效</v>
      </c>
      <c r="H44" s="16">
        <f>TeamHero生成!G44</f>
        <v>52158</v>
      </c>
      <c r="I44" s="16">
        <f>TeamHero生成!H44</f>
        <v>2194</v>
      </c>
      <c r="J44" s="16">
        <f>TeamHero生成!I44</f>
        <v>2941</v>
      </c>
    </row>
    <row r="45" ht="14.25" customHeight="1" spans="1:10">
      <c r="A45" s="16">
        <f>TeamHero生成!A45</f>
        <v>41</v>
      </c>
      <c r="B45" s="16">
        <f>TeamHero生成!B45</f>
        <v>1038</v>
      </c>
      <c r="C45" s="16">
        <f>TeamHero生成!C45</f>
        <v>14</v>
      </c>
      <c r="D45" s="17">
        <f>TeamHero生成!D45</f>
        <v>57801</v>
      </c>
      <c r="E45" s="17">
        <f>TeamHero生成!E45</f>
        <v>2086</v>
      </c>
      <c r="F45" s="17">
        <f>TeamHero生成!F45</f>
        <v>4952</v>
      </c>
      <c r="G45" s="16" t="str">
        <f>TeamHero生成!AG45</f>
        <v>有效</v>
      </c>
      <c r="H45" s="16">
        <f>TeamHero生成!G45</f>
        <v>71092</v>
      </c>
      <c r="I45" s="16">
        <f>TeamHero生成!H45</f>
        <v>2402</v>
      </c>
      <c r="J45" s="16">
        <f>TeamHero生成!I45</f>
        <v>3852</v>
      </c>
    </row>
    <row r="46" ht="14.25" customHeight="1" spans="1:10">
      <c r="A46" s="16">
        <f>TeamHero生成!A46</f>
        <v>42</v>
      </c>
      <c r="B46" s="16">
        <f>TeamHero生成!B46</f>
        <v>1039</v>
      </c>
      <c r="C46" s="16">
        <f>TeamHero生成!C46</f>
        <v>14</v>
      </c>
      <c r="D46" s="17">
        <f>TeamHero生成!D46</f>
        <v>38534</v>
      </c>
      <c r="E46" s="17">
        <f>TeamHero生成!E46</f>
        <v>2503</v>
      </c>
      <c r="F46" s="17">
        <f>TeamHero生成!F46</f>
        <v>3301</v>
      </c>
      <c r="G46" s="16" t="str">
        <f>TeamHero生成!AG46</f>
        <v>有效</v>
      </c>
      <c r="H46" s="16">
        <f>TeamHero生成!G46</f>
        <v>47395</v>
      </c>
      <c r="I46" s="16">
        <f>TeamHero生成!H46</f>
        <v>2882</v>
      </c>
      <c r="J46" s="16">
        <f>TeamHero生成!I46</f>
        <v>2568</v>
      </c>
    </row>
    <row r="47" ht="14.25" customHeight="1" spans="1:10">
      <c r="A47" s="16">
        <f>TeamHero生成!A47</f>
        <v>43</v>
      </c>
      <c r="B47" s="16">
        <f>TeamHero生成!B47</f>
        <v>1020</v>
      </c>
      <c r="C47" s="16">
        <f>TeamHero生成!C47</f>
        <v>14</v>
      </c>
      <c r="D47" s="17">
        <f>TeamHero生成!D47</f>
        <v>48167</v>
      </c>
      <c r="E47" s="17">
        <f>TeamHero生成!E47</f>
        <v>2086</v>
      </c>
      <c r="F47" s="17">
        <f>TeamHero生成!F47</f>
        <v>4126</v>
      </c>
      <c r="G47" s="16" t="str">
        <f>TeamHero生成!AG47</f>
        <v>有效</v>
      </c>
      <c r="H47" s="16">
        <f>TeamHero生成!G47</f>
        <v>59244</v>
      </c>
      <c r="I47" s="16">
        <f>TeamHero生成!H47</f>
        <v>2402</v>
      </c>
      <c r="J47" s="16">
        <f>TeamHero生成!I47</f>
        <v>3210</v>
      </c>
    </row>
    <row r="48" ht="14.25" customHeight="1" spans="1:10">
      <c r="A48" s="16">
        <f>TeamHero生成!A48</f>
        <v>44</v>
      </c>
      <c r="B48" s="16">
        <f>TeamHero生成!B48</f>
        <v>1023</v>
      </c>
      <c r="C48" s="16">
        <f>TeamHero生成!C48</f>
        <v>14</v>
      </c>
      <c r="D48" s="17">
        <f>TeamHero生成!D48</f>
        <v>48167</v>
      </c>
      <c r="E48" s="17">
        <f>TeamHero生成!E48</f>
        <v>2086</v>
      </c>
      <c r="F48" s="17">
        <f>TeamHero生成!F48</f>
        <v>4126</v>
      </c>
      <c r="G48" s="16" t="str">
        <f>TeamHero生成!AG48</f>
        <v>有效</v>
      </c>
      <c r="H48" s="16">
        <f>TeamHero生成!G48</f>
        <v>59244</v>
      </c>
      <c r="I48" s="16">
        <f>TeamHero生成!H48</f>
        <v>2402</v>
      </c>
      <c r="J48" s="16">
        <f>TeamHero生成!I48</f>
        <v>3210</v>
      </c>
    </row>
    <row r="49" ht="14.25" customHeight="1" spans="1:10">
      <c r="A49" s="16">
        <f>TeamHero生成!A49</f>
        <v>45</v>
      </c>
      <c r="B49" s="16">
        <f>TeamHero生成!B49</f>
        <v>1024</v>
      </c>
      <c r="C49" s="16">
        <f>TeamHero生成!C49</f>
        <v>14</v>
      </c>
      <c r="D49" s="17">
        <f>TeamHero生成!D49</f>
        <v>38534</v>
      </c>
      <c r="E49" s="17">
        <f>TeamHero生成!E49</f>
        <v>2503</v>
      </c>
      <c r="F49" s="17">
        <f>TeamHero生成!F49</f>
        <v>3301</v>
      </c>
      <c r="G49" s="16" t="str">
        <f>TeamHero生成!AG49</f>
        <v>有效</v>
      </c>
      <c r="H49" s="16">
        <f>TeamHero生成!G49</f>
        <v>47395</v>
      </c>
      <c r="I49" s="16">
        <f>TeamHero生成!H49</f>
        <v>2882</v>
      </c>
      <c r="J49" s="16">
        <f>TeamHero生成!I49</f>
        <v>2568</v>
      </c>
    </row>
    <row r="50" ht="14.25" customHeight="1" spans="1:10">
      <c r="A50" s="16">
        <f>TeamHero生成!A50</f>
        <v>46</v>
      </c>
      <c r="B50" s="16">
        <f>TeamHero生成!B50</f>
        <v>1007</v>
      </c>
      <c r="C50" s="16">
        <f>TeamHero生成!C50</f>
        <v>15</v>
      </c>
      <c r="D50" s="17">
        <f>TeamHero生成!D50</f>
        <v>54706</v>
      </c>
      <c r="E50" s="17">
        <f>TeamHero生成!E50</f>
        <v>2253</v>
      </c>
      <c r="F50" s="17">
        <f>TeamHero生成!F50</f>
        <v>4440</v>
      </c>
      <c r="G50" s="16" t="str">
        <f>TeamHero生成!AG50</f>
        <v>有效</v>
      </c>
      <c r="H50" s="16">
        <f>TeamHero生成!G50</f>
        <v>66792</v>
      </c>
      <c r="I50" s="16">
        <f>TeamHero生成!H50</f>
        <v>2615</v>
      </c>
      <c r="J50" s="16">
        <f>TeamHero生成!I50</f>
        <v>3482</v>
      </c>
    </row>
    <row r="51" ht="14.25" customHeight="1" spans="1:10">
      <c r="A51" s="16">
        <f>TeamHero生成!A51</f>
        <v>47</v>
      </c>
      <c r="B51" s="16">
        <f>TeamHero生成!B51</f>
        <v>1005</v>
      </c>
      <c r="C51" s="16">
        <f>TeamHero生成!C51</f>
        <v>15</v>
      </c>
      <c r="D51" s="17">
        <f>TeamHero生成!D51</f>
        <v>43765</v>
      </c>
      <c r="E51" s="17">
        <f>TeamHero生成!E51</f>
        <v>2704</v>
      </c>
      <c r="F51" s="17">
        <f>TeamHero生成!F51</f>
        <v>3552</v>
      </c>
      <c r="G51" s="16" t="str">
        <f>TeamHero生成!AG51</f>
        <v>有效</v>
      </c>
      <c r="H51" s="16">
        <f>TeamHero生成!G51</f>
        <v>53433</v>
      </c>
      <c r="I51" s="16">
        <f>TeamHero生成!H51</f>
        <v>3138</v>
      </c>
      <c r="J51" s="16">
        <f>TeamHero生成!I51</f>
        <v>2785</v>
      </c>
    </row>
    <row r="52" ht="14.25" customHeight="1" spans="1:10">
      <c r="A52" s="16">
        <f>TeamHero生成!A52</f>
        <v>48</v>
      </c>
      <c r="B52" s="16">
        <f>TeamHero生成!B52</f>
        <v>1005</v>
      </c>
      <c r="C52" s="16">
        <f>TeamHero生成!C52</f>
        <v>15</v>
      </c>
      <c r="D52" s="17">
        <f>TeamHero生成!D52</f>
        <v>43765</v>
      </c>
      <c r="E52" s="17">
        <f>TeamHero生成!E52</f>
        <v>2704</v>
      </c>
      <c r="F52" s="17">
        <f>TeamHero生成!F52</f>
        <v>3552</v>
      </c>
      <c r="G52" s="16" t="str">
        <f>TeamHero生成!AG52</f>
        <v>有效</v>
      </c>
      <c r="H52" s="16">
        <f>TeamHero生成!G52</f>
        <v>53433</v>
      </c>
      <c r="I52" s="16">
        <f>TeamHero生成!H52</f>
        <v>3138</v>
      </c>
      <c r="J52" s="16">
        <f>TeamHero生成!I52</f>
        <v>2785</v>
      </c>
    </row>
    <row r="53" ht="14.25" customHeight="1" spans="1:10">
      <c r="A53" s="16">
        <f>TeamHero生成!A53</f>
        <v>49</v>
      </c>
      <c r="B53" s="16">
        <f>TeamHero生成!B53</f>
        <v>1005</v>
      </c>
      <c r="C53" s="16">
        <f>TeamHero生成!C53</f>
        <v>15</v>
      </c>
      <c r="D53" s="17">
        <f>TeamHero生成!D53</f>
        <v>43765</v>
      </c>
      <c r="E53" s="17">
        <f>TeamHero生成!E53</f>
        <v>2704</v>
      </c>
      <c r="F53" s="17">
        <f>TeamHero生成!F53</f>
        <v>3552</v>
      </c>
      <c r="G53" s="16" t="str">
        <f>TeamHero生成!AG53</f>
        <v>有效</v>
      </c>
      <c r="H53" s="16">
        <f>TeamHero生成!G53</f>
        <v>53433</v>
      </c>
      <c r="I53" s="16">
        <f>TeamHero生成!H53</f>
        <v>3138</v>
      </c>
      <c r="J53" s="16">
        <f>TeamHero生成!I53</f>
        <v>2785</v>
      </c>
    </row>
    <row r="54" ht="14.25" customHeight="1" spans="1:10">
      <c r="A54" s="16">
        <f>TeamHero生成!A54</f>
        <v>50</v>
      </c>
      <c r="B54" s="16">
        <f>TeamHero生成!B54</f>
        <v>1029</v>
      </c>
      <c r="C54" s="16">
        <f>TeamHero生成!C54</f>
        <v>15</v>
      </c>
      <c r="D54" s="17">
        <f>TeamHero生成!D54</f>
        <v>54706</v>
      </c>
      <c r="E54" s="17">
        <f>TeamHero生成!E54</f>
        <v>2253</v>
      </c>
      <c r="F54" s="17">
        <f>TeamHero生成!F54</f>
        <v>4440</v>
      </c>
      <c r="G54" s="16" t="str">
        <f>TeamHero生成!AG54</f>
        <v>有效</v>
      </c>
      <c r="H54" s="16">
        <f>TeamHero生成!G54</f>
        <v>66792</v>
      </c>
      <c r="I54" s="16">
        <f>TeamHero生成!H54</f>
        <v>2615</v>
      </c>
      <c r="J54" s="16">
        <f>TeamHero生成!I54</f>
        <v>3482</v>
      </c>
    </row>
    <row r="55" ht="14.25" customHeight="1" spans="1:10">
      <c r="A55" s="16">
        <f>TeamHero生成!A55</f>
        <v>51</v>
      </c>
      <c r="B55" s="16">
        <f>TeamHero生成!B55</f>
        <v>1012</v>
      </c>
      <c r="C55" s="16">
        <f>TeamHero生成!C55</f>
        <v>15</v>
      </c>
      <c r="D55" s="17">
        <f>TeamHero生成!D55</f>
        <v>62351</v>
      </c>
      <c r="E55" s="17">
        <f>TeamHero生成!E55</f>
        <v>2457</v>
      </c>
      <c r="F55" s="17">
        <f>TeamHero生成!F55</f>
        <v>4863</v>
      </c>
      <c r="G55" s="16" t="str">
        <f>TeamHero生成!AG55</f>
        <v>有效</v>
      </c>
      <c r="H55" s="16">
        <f>TeamHero生成!G55</f>
        <v>74820</v>
      </c>
      <c r="I55" s="16">
        <f>TeamHero生成!H55</f>
        <v>2832</v>
      </c>
      <c r="J55" s="16">
        <f>TeamHero生成!I55</f>
        <v>3758</v>
      </c>
    </row>
    <row r="56" ht="14.25" customHeight="1" spans="1:10">
      <c r="A56" s="16">
        <f>TeamHero生成!A56</f>
        <v>52</v>
      </c>
      <c r="B56" s="16">
        <f>TeamHero生成!B56</f>
        <v>1035</v>
      </c>
      <c r="C56" s="16">
        <f>TeamHero生成!C56</f>
        <v>15</v>
      </c>
      <c r="D56" s="17">
        <f>TeamHero生成!D56</f>
        <v>49881</v>
      </c>
      <c r="E56" s="17">
        <f>TeamHero生成!E56</f>
        <v>2949</v>
      </c>
      <c r="F56" s="17">
        <f>TeamHero生成!F56</f>
        <v>3890</v>
      </c>
      <c r="G56" s="16" t="str">
        <f>TeamHero生成!AG56</f>
        <v>有效</v>
      </c>
      <c r="H56" s="16">
        <f>TeamHero生成!G56</f>
        <v>59856</v>
      </c>
      <c r="I56" s="16">
        <f>TeamHero生成!H56</f>
        <v>3398</v>
      </c>
      <c r="J56" s="16">
        <f>TeamHero生成!I56</f>
        <v>3006</v>
      </c>
    </row>
    <row r="57" ht="14.25" customHeight="1" spans="1:10">
      <c r="A57" s="16">
        <f>TeamHero生成!A57</f>
        <v>53</v>
      </c>
      <c r="B57" s="16">
        <f>TeamHero生成!B57</f>
        <v>1036</v>
      </c>
      <c r="C57" s="16">
        <f>TeamHero生成!C57</f>
        <v>15</v>
      </c>
      <c r="D57" s="17">
        <f>TeamHero生成!D57</f>
        <v>49881</v>
      </c>
      <c r="E57" s="17">
        <f>TeamHero生成!E57</f>
        <v>2949</v>
      </c>
      <c r="F57" s="17">
        <f>TeamHero生成!F57</f>
        <v>3890</v>
      </c>
      <c r="G57" s="16" t="str">
        <f>TeamHero生成!AG57</f>
        <v>有效</v>
      </c>
      <c r="H57" s="16">
        <f>TeamHero生成!G57</f>
        <v>59856</v>
      </c>
      <c r="I57" s="16">
        <f>TeamHero生成!H57</f>
        <v>3398</v>
      </c>
      <c r="J57" s="16">
        <f>TeamHero生成!I57</f>
        <v>3006</v>
      </c>
    </row>
    <row r="58" ht="14.25" customHeight="1" spans="1:10">
      <c r="A58" s="16">
        <f>TeamHero生成!A58</f>
        <v>54</v>
      </c>
      <c r="B58" s="16">
        <f>TeamHero生成!B58</f>
        <v>1015</v>
      </c>
      <c r="C58" s="16">
        <f>TeamHero生成!C58</f>
        <v>15</v>
      </c>
      <c r="D58" s="17">
        <f>TeamHero生成!D58</f>
        <v>62351</v>
      </c>
      <c r="E58" s="17">
        <f>TeamHero生成!E58</f>
        <v>2457</v>
      </c>
      <c r="F58" s="17">
        <f>TeamHero生成!F58</f>
        <v>4863</v>
      </c>
      <c r="G58" s="16" t="str">
        <f>TeamHero生成!AG58</f>
        <v>有效</v>
      </c>
      <c r="H58" s="16">
        <f>TeamHero生成!G58</f>
        <v>74820</v>
      </c>
      <c r="I58" s="16">
        <f>TeamHero生成!H58</f>
        <v>2832</v>
      </c>
      <c r="J58" s="16">
        <f>TeamHero生成!I58</f>
        <v>3758</v>
      </c>
    </row>
    <row r="59" ht="14.25" customHeight="1" spans="1:10">
      <c r="A59" s="16">
        <f>TeamHero生成!A59</f>
        <v>55</v>
      </c>
      <c r="B59" s="16">
        <f>TeamHero生成!B59</f>
        <v>1036</v>
      </c>
      <c r="C59" s="16">
        <f>TeamHero生成!C59</f>
        <v>15</v>
      </c>
      <c r="D59" s="17">
        <f>TeamHero生成!D59</f>
        <v>49881</v>
      </c>
      <c r="E59" s="17">
        <f>TeamHero生成!E59</f>
        <v>2949</v>
      </c>
      <c r="F59" s="17">
        <f>TeamHero生成!F59</f>
        <v>3890</v>
      </c>
      <c r="G59" s="16" t="str">
        <f>TeamHero生成!AG59</f>
        <v>有效</v>
      </c>
      <c r="H59" s="16">
        <f>TeamHero生成!G59</f>
        <v>59856</v>
      </c>
      <c r="I59" s="16">
        <f>TeamHero生成!H59</f>
        <v>3398</v>
      </c>
      <c r="J59" s="16">
        <f>TeamHero生成!I59</f>
        <v>3006</v>
      </c>
    </row>
    <row r="60" ht="14.25" customHeight="1" spans="1:10">
      <c r="A60" s="16">
        <f>TeamHero生成!A60</f>
        <v>56</v>
      </c>
      <c r="B60" s="16">
        <f>TeamHero生成!B60</f>
        <v>1038</v>
      </c>
      <c r="C60" s="16">
        <f>TeamHero生成!C60</f>
        <v>16</v>
      </c>
      <c r="D60" s="17">
        <f>TeamHero生成!D60</f>
        <v>82296</v>
      </c>
      <c r="E60" s="17">
        <f>TeamHero生成!E60</f>
        <v>2599</v>
      </c>
      <c r="F60" s="17">
        <f>TeamHero生成!F60</f>
        <v>6219</v>
      </c>
      <c r="G60" s="16" t="str">
        <f>TeamHero生成!AG60</f>
        <v>有效</v>
      </c>
      <c r="H60" s="16">
        <f>TeamHero生成!G60</f>
        <v>100000</v>
      </c>
      <c r="I60" s="16">
        <f>TeamHero生成!H60</f>
        <v>3053</v>
      </c>
      <c r="J60" s="16">
        <f>TeamHero生成!I60</f>
        <v>4845</v>
      </c>
    </row>
    <row r="61" ht="14.25" customHeight="1" spans="1:10">
      <c r="A61" s="16">
        <f>TeamHero生成!A61</f>
        <v>57</v>
      </c>
      <c r="B61" s="16">
        <f>TeamHero生成!B61</f>
        <v>1036</v>
      </c>
      <c r="C61" s="16">
        <f>TeamHero生成!C61</f>
        <v>16</v>
      </c>
      <c r="D61" s="17">
        <f>TeamHero生成!D61</f>
        <v>54864</v>
      </c>
      <c r="E61" s="17">
        <f>TeamHero生成!E61</f>
        <v>3118</v>
      </c>
      <c r="F61" s="17">
        <f>TeamHero生成!F61</f>
        <v>4146</v>
      </c>
      <c r="G61" s="16" t="str">
        <f>TeamHero生成!AG61</f>
        <v>有效</v>
      </c>
      <c r="H61" s="16">
        <f>TeamHero生成!G61</f>
        <v>66667</v>
      </c>
      <c r="I61" s="16">
        <f>TeamHero生成!H61</f>
        <v>3663</v>
      </c>
      <c r="J61" s="16">
        <f>TeamHero生成!I61</f>
        <v>3230</v>
      </c>
    </row>
    <row r="62" ht="14.25" customHeight="1" spans="1:10">
      <c r="A62" s="16">
        <f>TeamHero生成!A62</f>
        <v>58</v>
      </c>
      <c r="B62" s="16">
        <f>TeamHero生成!B62</f>
        <v>1015</v>
      </c>
      <c r="C62" s="16">
        <f>TeamHero生成!C62</f>
        <v>16</v>
      </c>
      <c r="D62" s="17">
        <f>TeamHero生成!D62</f>
        <v>68580</v>
      </c>
      <c r="E62" s="17">
        <f>TeamHero生成!E62</f>
        <v>2599</v>
      </c>
      <c r="F62" s="17">
        <f>TeamHero生成!F62</f>
        <v>5183</v>
      </c>
      <c r="G62" s="16" t="str">
        <f>TeamHero生成!AG62</f>
        <v>有效</v>
      </c>
      <c r="H62" s="16">
        <f>TeamHero生成!G62</f>
        <v>83334</v>
      </c>
      <c r="I62" s="16">
        <f>TeamHero生成!H62</f>
        <v>3053</v>
      </c>
      <c r="J62" s="16">
        <f>TeamHero生成!I62</f>
        <v>4038</v>
      </c>
    </row>
    <row r="63" ht="14.25" customHeight="1" spans="1:10">
      <c r="A63" s="16">
        <f>TeamHero生成!A63</f>
        <v>59</v>
      </c>
      <c r="B63" s="16">
        <f>TeamHero生成!B63</f>
        <v>1018</v>
      </c>
      <c r="C63" s="16">
        <f>TeamHero生成!C63</f>
        <v>16</v>
      </c>
      <c r="D63" s="17">
        <f>TeamHero生成!D63</f>
        <v>68580</v>
      </c>
      <c r="E63" s="17">
        <f>TeamHero生成!E63</f>
        <v>2599</v>
      </c>
      <c r="F63" s="17">
        <f>TeamHero生成!F63</f>
        <v>5183</v>
      </c>
      <c r="G63" s="16" t="str">
        <f>TeamHero生成!AG63</f>
        <v>有效</v>
      </c>
      <c r="H63" s="16">
        <f>TeamHero生成!G63</f>
        <v>83334</v>
      </c>
      <c r="I63" s="16">
        <f>TeamHero生成!H63</f>
        <v>3053</v>
      </c>
      <c r="J63" s="16">
        <f>TeamHero生成!I63</f>
        <v>4038</v>
      </c>
    </row>
    <row r="64" ht="14.25" customHeight="1" spans="1:10">
      <c r="A64" s="16">
        <f>TeamHero生成!A64</f>
        <v>60</v>
      </c>
      <c r="B64" s="16">
        <f>TeamHero生成!B64</f>
        <v>1036</v>
      </c>
      <c r="C64" s="16">
        <f>TeamHero生成!C64</f>
        <v>16</v>
      </c>
      <c r="D64" s="17">
        <f>TeamHero生成!D64</f>
        <v>54864</v>
      </c>
      <c r="E64" s="17">
        <f>TeamHero生成!E64</f>
        <v>3118</v>
      </c>
      <c r="F64" s="17">
        <f>TeamHero生成!F64</f>
        <v>4146</v>
      </c>
      <c r="G64" s="16" t="str">
        <f>TeamHero生成!AG64</f>
        <v>有效</v>
      </c>
      <c r="H64" s="16">
        <f>TeamHero生成!G64</f>
        <v>66667</v>
      </c>
      <c r="I64" s="16">
        <f>TeamHero生成!H64</f>
        <v>3663</v>
      </c>
      <c r="J64" s="16">
        <f>TeamHero生成!I64</f>
        <v>3230</v>
      </c>
    </row>
    <row r="65" ht="14.25" customHeight="1" spans="1:10">
      <c r="A65" s="16">
        <f>TeamHero生成!A65</f>
        <v>61</v>
      </c>
      <c r="B65" s="16">
        <f>TeamHero生成!B65</f>
        <v>1037</v>
      </c>
      <c r="C65" s="16">
        <f>TeamHero生成!C65</f>
        <v>16</v>
      </c>
      <c r="D65" s="17">
        <f>TeamHero生成!D65</f>
        <v>61327</v>
      </c>
      <c r="E65" s="17">
        <f>TeamHero生成!E65</f>
        <v>3368</v>
      </c>
      <c r="F65" s="17">
        <f>TeamHero生成!F65</f>
        <v>4491</v>
      </c>
      <c r="G65" s="16" t="str">
        <f>TeamHero生成!AG65</f>
        <v>有效</v>
      </c>
      <c r="H65" s="16">
        <f>TeamHero生成!G65</f>
        <v>73891</v>
      </c>
      <c r="I65" s="16">
        <f>TeamHero生成!H65</f>
        <v>3936</v>
      </c>
      <c r="J65" s="16">
        <f>TeamHero生成!I65</f>
        <v>3456</v>
      </c>
    </row>
    <row r="66" ht="14.25" customHeight="1" spans="1:10">
      <c r="A66" s="16">
        <f>TeamHero生成!A66</f>
        <v>62</v>
      </c>
      <c r="B66" s="16">
        <f>TeamHero生成!B66</f>
        <v>1015</v>
      </c>
      <c r="C66" s="16">
        <f>TeamHero生成!C66</f>
        <v>16</v>
      </c>
      <c r="D66" s="17">
        <f>TeamHero生成!D66</f>
        <v>76659</v>
      </c>
      <c r="E66" s="17">
        <f>TeamHero生成!E66</f>
        <v>2807</v>
      </c>
      <c r="F66" s="17">
        <f>TeamHero生成!F66</f>
        <v>5614</v>
      </c>
      <c r="G66" s="16" t="str">
        <f>TeamHero生成!AG66</f>
        <v>有效</v>
      </c>
      <c r="H66" s="16">
        <f>TeamHero生成!G66</f>
        <v>92364</v>
      </c>
      <c r="I66" s="16">
        <f>TeamHero生成!H66</f>
        <v>3280</v>
      </c>
      <c r="J66" s="16">
        <f>TeamHero生成!I66</f>
        <v>4321</v>
      </c>
    </row>
    <row r="67" ht="14.25" customHeight="1" spans="1:10">
      <c r="A67" s="16">
        <f>TeamHero生成!A67</f>
        <v>63</v>
      </c>
      <c r="B67" s="16">
        <f>TeamHero生成!B67</f>
        <v>1036</v>
      </c>
      <c r="C67" s="16">
        <f>TeamHero生成!C67</f>
        <v>16</v>
      </c>
      <c r="D67" s="17">
        <f>TeamHero生成!D67</f>
        <v>61327</v>
      </c>
      <c r="E67" s="17">
        <f>TeamHero生成!E67</f>
        <v>3368</v>
      </c>
      <c r="F67" s="17">
        <f>TeamHero生成!F67</f>
        <v>4491</v>
      </c>
      <c r="G67" s="16" t="str">
        <f>TeamHero生成!AG67</f>
        <v>有效</v>
      </c>
      <c r="H67" s="16">
        <f>TeamHero生成!G67</f>
        <v>73891</v>
      </c>
      <c r="I67" s="16">
        <f>TeamHero生成!H67</f>
        <v>3936</v>
      </c>
      <c r="J67" s="16">
        <f>TeamHero生成!I67</f>
        <v>3456</v>
      </c>
    </row>
    <row r="68" ht="14.25" customHeight="1" spans="1:10">
      <c r="A68" s="16">
        <f>TeamHero生成!A68</f>
        <v>64</v>
      </c>
      <c r="B68" s="16">
        <f>TeamHero生成!B68</f>
        <v>1039</v>
      </c>
      <c r="C68" s="16">
        <f>TeamHero生成!C68</f>
        <v>16</v>
      </c>
      <c r="D68" s="17">
        <f>TeamHero生成!D68</f>
        <v>61327</v>
      </c>
      <c r="E68" s="17">
        <f>TeamHero生成!E68</f>
        <v>3368</v>
      </c>
      <c r="F68" s="17">
        <f>TeamHero生成!F68</f>
        <v>4491</v>
      </c>
      <c r="G68" s="16" t="str">
        <f>TeamHero生成!AG68</f>
        <v>有效</v>
      </c>
      <c r="H68" s="16">
        <f>TeamHero生成!G68</f>
        <v>73891</v>
      </c>
      <c r="I68" s="16">
        <f>TeamHero生成!H68</f>
        <v>3936</v>
      </c>
      <c r="J68" s="16">
        <f>TeamHero生成!I68</f>
        <v>3456</v>
      </c>
    </row>
    <row r="69" ht="14.25" customHeight="1" spans="1:10">
      <c r="A69" s="16">
        <f>TeamHero生成!A69</f>
        <v>65</v>
      </c>
      <c r="B69" s="16">
        <f>TeamHero生成!B69</f>
        <v>1035</v>
      </c>
      <c r="C69" s="16">
        <f>TeamHero生成!C69</f>
        <v>16</v>
      </c>
      <c r="D69" s="17">
        <f>TeamHero生成!D69</f>
        <v>61327</v>
      </c>
      <c r="E69" s="17">
        <f>TeamHero生成!E69</f>
        <v>3368</v>
      </c>
      <c r="F69" s="17">
        <f>TeamHero生成!F69</f>
        <v>4491</v>
      </c>
      <c r="G69" s="16" t="str">
        <f>TeamHero生成!AG69</f>
        <v>有效</v>
      </c>
      <c r="H69" s="16">
        <f>TeamHero生成!G69</f>
        <v>73891</v>
      </c>
      <c r="I69" s="16">
        <f>TeamHero生成!H69</f>
        <v>3936</v>
      </c>
      <c r="J69" s="16">
        <f>TeamHero生成!I69</f>
        <v>3456</v>
      </c>
    </row>
    <row r="70" ht="14.25" customHeight="1" spans="1:10">
      <c r="A70" s="16">
        <f>TeamHero生成!A70</f>
        <v>66</v>
      </c>
      <c r="B70" s="16">
        <f>TeamHero生成!B70</f>
        <v>1002</v>
      </c>
      <c r="C70" s="16">
        <f>TeamHero生成!C70</f>
        <v>17</v>
      </c>
      <c r="D70" s="17">
        <f>TeamHero生成!D70</f>
        <v>99795</v>
      </c>
      <c r="E70" s="17">
        <f>TeamHero生成!E70</f>
        <v>2943</v>
      </c>
      <c r="F70" s="17">
        <f>TeamHero生成!F70</f>
        <v>7127</v>
      </c>
      <c r="G70" s="16" t="str">
        <f>TeamHero生成!AG70</f>
        <v>有效</v>
      </c>
      <c r="H70" s="16">
        <f>TeamHero生成!G70</f>
        <v>122313</v>
      </c>
      <c r="I70" s="16">
        <f>TeamHero生成!H70</f>
        <v>3510</v>
      </c>
      <c r="J70" s="16">
        <f>TeamHero生成!I70</f>
        <v>5529</v>
      </c>
    </row>
    <row r="71" ht="14.25" customHeight="1" spans="1:10">
      <c r="A71" s="16">
        <f>TeamHero生成!A71</f>
        <v>67</v>
      </c>
      <c r="B71" s="16">
        <f>TeamHero生成!B71</f>
        <v>1015</v>
      </c>
      <c r="C71" s="16">
        <f>TeamHero生成!C71</f>
        <v>17</v>
      </c>
      <c r="D71" s="17">
        <f>TeamHero生成!D71</f>
        <v>83162</v>
      </c>
      <c r="E71" s="17">
        <f>TeamHero生成!E71</f>
        <v>2943</v>
      </c>
      <c r="F71" s="17">
        <f>TeamHero生成!F71</f>
        <v>5939</v>
      </c>
      <c r="G71" s="16" t="str">
        <f>TeamHero生成!AG71</f>
        <v>有效</v>
      </c>
      <c r="H71" s="16">
        <f>TeamHero生成!G71</f>
        <v>101928</v>
      </c>
      <c r="I71" s="16">
        <f>TeamHero生成!H71</f>
        <v>3510</v>
      </c>
      <c r="J71" s="16">
        <f>TeamHero生成!I71</f>
        <v>4608</v>
      </c>
    </row>
    <row r="72" ht="14.25" customHeight="1" spans="1:10">
      <c r="A72" s="16">
        <f>TeamHero生成!A72</f>
        <v>68</v>
      </c>
      <c r="B72" s="16">
        <f>TeamHero生成!B72</f>
        <v>1039</v>
      </c>
      <c r="C72" s="16">
        <f>TeamHero生成!C72</f>
        <v>17</v>
      </c>
      <c r="D72" s="17">
        <f>TeamHero生成!D72</f>
        <v>66530</v>
      </c>
      <c r="E72" s="17">
        <f>TeamHero生成!E72</f>
        <v>3532</v>
      </c>
      <c r="F72" s="17">
        <f>TeamHero生成!F72</f>
        <v>4751</v>
      </c>
      <c r="G72" s="16" t="str">
        <f>TeamHero生成!AG72</f>
        <v>有效</v>
      </c>
      <c r="H72" s="16">
        <f>TeamHero生成!G72</f>
        <v>81542</v>
      </c>
      <c r="I72" s="16">
        <f>TeamHero生成!H72</f>
        <v>4212</v>
      </c>
      <c r="J72" s="16">
        <f>TeamHero生成!I72</f>
        <v>3686</v>
      </c>
    </row>
    <row r="73" ht="14.25" customHeight="1" spans="1:10">
      <c r="A73" s="16">
        <f>TeamHero生成!A73</f>
        <v>69</v>
      </c>
      <c r="B73" s="16">
        <f>TeamHero生成!B73</f>
        <v>1012</v>
      </c>
      <c r="C73" s="16">
        <f>TeamHero生成!C73</f>
        <v>17</v>
      </c>
      <c r="D73" s="17">
        <f>TeamHero生成!D73</f>
        <v>83162</v>
      </c>
      <c r="E73" s="17">
        <f>TeamHero生成!E73</f>
        <v>2943</v>
      </c>
      <c r="F73" s="17">
        <f>TeamHero生成!F73</f>
        <v>5939</v>
      </c>
      <c r="G73" s="16" t="str">
        <f>TeamHero生成!AG73</f>
        <v>有效</v>
      </c>
      <c r="H73" s="16">
        <f>TeamHero生成!G73</f>
        <v>101928</v>
      </c>
      <c r="I73" s="16">
        <f>TeamHero生成!H73</f>
        <v>3510</v>
      </c>
      <c r="J73" s="16">
        <f>TeamHero生成!I73</f>
        <v>4608</v>
      </c>
    </row>
    <row r="74" ht="14.25" customHeight="1" spans="1:10">
      <c r="A74" s="16">
        <f>TeamHero生成!A74</f>
        <v>70</v>
      </c>
      <c r="B74" s="16">
        <f>TeamHero生成!B74</f>
        <v>1011</v>
      </c>
      <c r="C74" s="16">
        <f>TeamHero生成!C74</f>
        <v>17</v>
      </c>
      <c r="D74" s="17">
        <f>TeamHero生成!D74</f>
        <v>83162</v>
      </c>
      <c r="E74" s="17">
        <f>TeamHero生成!E74</f>
        <v>2943</v>
      </c>
      <c r="F74" s="17">
        <f>TeamHero生成!F74</f>
        <v>5939</v>
      </c>
      <c r="G74" s="16" t="str">
        <f>TeamHero生成!AG74</f>
        <v>有效</v>
      </c>
      <c r="H74" s="16">
        <f>TeamHero生成!G74</f>
        <v>101928</v>
      </c>
      <c r="I74" s="16">
        <f>TeamHero生成!H74</f>
        <v>3510</v>
      </c>
      <c r="J74" s="16">
        <f>TeamHero生成!I74</f>
        <v>4608</v>
      </c>
    </row>
    <row r="75" ht="14.25" customHeight="1" spans="1:10">
      <c r="A75" s="16">
        <f>TeamHero生成!A75</f>
        <v>71</v>
      </c>
      <c r="B75" s="16">
        <f>TeamHero生成!B75</f>
        <v>1003</v>
      </c>
      <c r="C75" s="16">
        <f>TeamHero生成!C75</f>
        <v>17</v>
      </c>
      <c r="D75" s="17">
        <f>TeamHero生成!D75</f>
        <v>112335</v>
      </c>
      <c r="E75" s="17">
        <f>TeamHero生成!E75</f>
        <v>3185</v>
      </c>
      <c r="F75" s="17">
        <f>TeamHero生成!F75</f>
        <v>7653</v>
      </c>
      <c r="G75" s="16" t="str">
        <f>TeamHero生成!AG75</f>
        <v>有效</v>
      </c>
      <c r="H75" s="16">
        <f>TeamHero生成!G75</f>
        <v>134438</v>
      </c>
      <c r="I75" s="16">
        <f>TeamHero生成!H75</f>
        <v>3744</v>
      </c>
      <c r="J75" s="16">
        <f>TeamHero生成!I75</f>
        <v>5878</v>
      </c>
    </row>
    <row r="76" ht="14.25" customHeight="1" spans="1:10">
      <c r="A76" s="16">
        <f>TeamHero生成!A76</f>
        <v>72</v>
      </c>
      <c r="B76" s="16">
        <f>TeamHero生成!B76</f>
        <v>1021</v>
      </c>
      <c r="C76" s="16">
        <f>TeamHero生成!C76</f>
        <v>17</v>
      </c>
      <c r="D76" s="17">
        <f>TeamHero生成!D76</f>
        <v>74890</v>
      </c>
      <c r="E76" s="17">
        <f>TeamHero生成!E76</f>
        <v>3822</v>
      </c>
      <c r="F76" s="17">
        <f>TeamHero生成!F76</f>
        <v>5102</v>
      </c>
      <c r="G76" s="16" t="str">
        <f>TeamHero生成!AG76</f>
        <v>有效</v>
      </c>
      <c r="H76" s="16">
        <f>TeamHero生成!G76</f>
        <v>89625</v>
      </c>
      <c r="I76" s="16">
        <f>TeamHero生成!H76</f>
        <v>4492</v>
      </c>
      <c r="J76" s="16">
        <f>TeamHero生成!I76</f>
        <v>3919</v>
      </c>
    </row>
    <row r="77" ht="14.25" customHeight="1" spans="1:10">
      <c r="A77" s="16">
        <f>TeamHero生成!A77</f>
        <v>73</v>
      </c>
      <c r="B77" s="16">
        <f>TeamHero生成!B77</f>
        <v>1007</v>
      </c>
      <c r="C77" s="16">
        <f>TeamHero生成!C77</f>
        <v>17</v>
      </c>
      <c r="D77" s="17">
        <f>TeamHero生成!D77</f>
        <v>93613</v>
      </c>
      <c r="E77" s="17">
        <f>TeamHero生成!E77</f>
        <v>3185</v>
      </c>
      <c r="F77" s="17">
        <f>TeamHero生成!F77</f>
        <v>6378</v>
      </c>
      <c r="G77" s="16" t="str">
        <f>TeamHero生成!AG77</f>
        <v>有效</v>
      </c>
      <c r="H77" s="16">
        <f>TeamHero生成!G77</f>
        <v>112032</v>
      </c>
      <c r="I77" s="16">
        <f>TeamHero生成!H77</f>
        <v>3744</v>
      </c>
      <c r="J77" s="16">
        <f>TeamHero生成!I77</f>
        <v>4899</v>
      </c>
    </row>
    <row r="78" ht="14.25" customHeight="1" spans="1:10">
      <c r="A78" s="16">
        <f>TeamHero生成!A78</f>
        <v>74</v>
      </c>
      <c r="B78" s="16">
        <f>TeamHero生成!B78</f>
        <v>1008</v>
      </c>
      <c r="C78" s="16">
        <f>TeamHero生成!C78</f>
        <v>17</v>
      </c>
      <c r="D78" s="17">
        <f>TeamHero生成!D78</f>
        <v>74890</v>
      </c>
      <c r="E78" s="17">
        <f>TeamHero生成!E78</f>
        <v>3822</v>
      </c>
      <c r="F78" s="17">
        <f>TeamHero生成!F78</f>
        <v>5102</v>
      </c>
      <c r="G78" s="16" t="str">
        <f>TeamHero生成!AG78</f>
        <v>有效</v>
      </c>
      <c r="H78" s="16">
        <f>TeamHero生成!G78</f>
        <v>89625</v>
      </c>
      <c r="I78" s="16">
        <f>TeamHero生成!H78</f>
        <v>4492</v>
      </c>
      <c r="J78" s="16">
        <f>TeamHero生成!I78</f>
        <v>3919</v>
      </c>
    </row>
    <row r="79" ht="14.25" customHeight="1" spans="1:10">
      <c r="A79" s="16">
        <f>TeamHero生成!A79</f>
        <v>75</v>
      </c>
      <c r="B79" s="16">
        <f>TeamHero生成!B79</f>
        <v>1029</v>
      </c>
      <c r="C79" s="16">
        <f>TeamHero生成!C79</f>
        <v>17</v>
      </c>
      <c r="D79" s="17">
        <f>TeamHero生成!D79</f>
        <v>93613</v>
      </c>
      <c r="E79" s="17">
        <f>TeamHero生成!E79</f>
        <v>3185</v>
      </c>
      <c r="F79" s="17">
        <f>TeamHero生成!F79</f>
        <v>6378</v>
      </c>
      <c r="G79" s="16" t="str">
        <f>TeamHero生成!AG79</f>
        <v>有效</v>
      </c>
      <c r="H79" s="16">
        <f>TeamHero生成!G79</f>
        <v>112032</v>
      </c>
      <c r="I79" s="16">
        <f>TeamHero生成!H79</f>
        <v>3744</v>
      </c>
      <c r="J79" s="16">
        <f>TeamHero生成!I79</f>
        <v>4899</v>
      </c>
    </row>
    <row r="80" ht="14.25" customHeight="1" spans="1:10">
      <c r="A80" s="16">
        <f>TeamHero生成!A80</f>
        <v>76</v>
      </c>
      <c r="B80" s="16">
        <f>TeamHero生成!B80</f>
        <v>1030</v>
      </c>
      <c r="C80" s="16">
        <f>TeamHero生成!C80</f>
        <v>18</v>
      </c>
      <c r="D80" s="17">
        <f>TeamHero生成!D80</f>
        <v>122916</v>
      </c>
      <c r="E80" s="17">
        <f>TeamHero生成!E80</f>
        <v>3364</v>
      </c>
      <c r="F80" s="17">
        <f>TeamHero生成!F80</f>
        <v>8051</v>
      </c>
      <c r="G80" s="16" t="str">
        <f>TeamHero生成!AG80</f>
        <v>有效</v>
      </c>
      <c r="H80" s="16">
        <f>TeamHero生成!G80</f>
        <v>147247</v>
      </c>
      <c r="I80" s="16">
        <f>TeamHero生成!H80</f>
        <v>3984</v>
      </c>
      <c r="J80" s="16">
        <f>TeamHero生成!I80</f>
        <v>6231</v>
      </c>
    </row>
    <row r="81" ht="14.25" customHeight="1" spans="1:10">
      <c r="A81" s="16">
        <f>TeamHero生成!A81</f>
        <v>77</v>
      </c>
      <c r="B81" s="16">
        <f>TeamHero生成!B81</f>
        <v>1002</v>
      </c>
      <c r="C81" s="16">
        <f>TeamHero生成!C81</f>
        <v>18</v>
      </c>
      <c r="D81" s="17">
        <f>TeamHero生成!D81</f>
        <v>122916</v>
      </c>
      <c r="E81" s="17">
        <f>TeamHero生成!E81</f>
        <v>3364</v>
      </c>
      <c r="F81" s="17">
        <f>TeamHero生成!F81</f>
        <v>8051</v>
      </c>
      <c r="G81" s="16" t="str">
        <f>TeamHero生成!AG81</f>
        <v>有效</v>
      </c>
      <c r="H81" s="16">
        <f>TeamHero生成!G81</f>
        <v>147247</v>
      </c>
      <c r="I81" s="16">
        <f>TeamHero生成!H81</f>
        <v>3984</v>
      </c>
      <c r="J81" s="16">
        <f>TeamHero生成!I81</f>
        <v>6231</v>
      </c>
    </row>
    <row r="82" ht="14.25" customHeight="1" spans="1:10">
      <c r="A82" s="16">
        <f>TeamHero生成!A82</f>
        <v>78</v>
      </c>
      <c r="B82" s="16">
        <f>TeamHero生成!B82</f>
        <v>1012</v>
      </c>
      <c r="C82" s="16">
        <f>TeamHero生成!C82</f>
        <v>18</v>
      </c>
      <c r="D82" s="17">
        <f>TeamHero生成!D82</f>
        <v>102430</v>
      </c>
      <c r="E82" s="17">
        <f>TeamHero生成!E82</f>
        <v>3364</v>
      </c>
      <c r="F82" s="17">
        <f>TeamHero生成!F82</f>
        <v>6709</v>
      </c>
      <c r="G82" s="16" t="str">
        <f>TeamHero生成!AG82</f>
        <v>有效</v>
      </c>
      <c r="H82" s="16">
        <f>TeamHero生成!G82</f>
        <v>122706</v>
      </c>
      <c r="I82" s="16">
        <f>TeamHero生成!H82</f>
        <v>3984</v>
      </c>
      <c r="J82" s="16">
        <f>TeamHero生成!I82</f>
        <v>5193</v>
      </c>
    </row>
    <row r="83" ht="14.25" customHeight="1" spans="1:10">
      <c r="A83" s="16">
        <f>TeamHero生成!A83</f>
        <v>79</v>
      </c>
      <c r="B83" s="16">
        <f>TeamHero生成!B83</f>
        <v>1035</v>
      </c>
      <c r="C83" s="16">
        <f>TeamHero生成!C83</f>
        <v>18</v>
      </c>
      <c r="D83" s="17">
        <f>TeamHero生成!D83</f>
        <v>81944</v>
      </c>
      <c r="E83" s="17">
        <f>TeamHero生成!E83</f>
        <v>4037</v>
      </c>
      <c r="F83" s="17">
        <f>TeamHero生成!F83</f>
        <v>5367</v>
      </c>
      <c r="G83" s="16" t="str">
        <f>TeamHero生成!AG83</f>
        <v>有效</v>
      </c>
      <c r="H83" s="16">
        <f>TeamHero生成!G83</f>
        <v>98164</v>
      </c>
      <c r="I83" s="16">
        <f>TeamHero生成!H83</f>
        <v>4780</v>
      </c>
      <c r="J83" s="16">
        <f>TeamHero生成!I83</f>
        <v>4154</v>
      </c>
    </row>
    <row r="84" ht="14.25" customHeight="1" spans="1:10">
      <c r="A84" s="16">
        <f>TeamHero生成!A84</f>
        <v>80</v>
      </c>
      <c r="B84" s="16">
        <f>TeamHero生成!B84</f>
        <v>1036</v>
      </c>
      <c r="C84" s="16">
        <f>TeamHero生成!C84</f>
        <v>18</v>
      </c>
      <c r="D84" s="17">
        <f>TeamHero生成!D84</f>
        <v>81944</v>
      </c>
      <c r="E84" s="17">
        <f>TeamHero生成!E84</f>
        <v>4037</v>
      </c>
      <c r="F84" s="17">
        <f>TeamHero生成!F84</f>
        <v>5367</v>
      </c>
      <c r="G84" s="16" t="str">
        <f>TeamHero生成!AG84</f>
        <v>有效</v>
      </c>
      <c r="H84" s="16">
        <f>TeamHero生成!G84</f>
        <v>98164</v>
      </c>
      <c r="I84" s="16">
        <f>TeamHero生成!H84</f>
        <v>4780</v>
      </c>
      <c r="J84" s="16">
        <f>TeamHero生成!I84</f>
        <v>4154</v>
      </c>
    </row>
    <row r="85" ht="14.25" customHeight="1" spans="1:10">
      <c r="A85" s="16">
        <f>TeamHero生成!A85</f>
        <v>81</v>
      </c>
      <c r="B85" s="16">
        <f>TeamHero生成!B85</f>
        <v>1038</v>
      </c>
      <c r="C85" s="16">
        <f>TeamHero生成!C85</f>
        <v>18</v>
      </c>
      <c r="D85" s="17">
        <f>TeamHero生成!D85</f>
        <v>134342</v>
      </c>
      <c r="E85" s="17">
        <f>TeamHero生成!E85</f>
        <v>3570</v>
      </c>
      <c r="F85" s="17">
        <f>TeamHero生成!F85</f>
        <v>8588</v>
      </c>
      <c r="G85" s="16" t="str">
        <f>TeamHero生成!AG85</f>
        <v>有效</v>
      </c>
      <c r="H85" s="16">
        <f>TeamHero生成!G85</f>
        <v>160761</v>
      </c>
      <c r="I85" s="16">
        <f>TeamHero生成!H85</f>
        <v>4229</v>
      </c>
      <c r="J85" s="16">
        <f>TeamHero生成!I85</f>
        <v>6589</v>
      </c>
    </row>
    <row r="86" ht="14.25" customHeight="1" spans="1:10">
      <c r="A86" s="16">
        <f>TeamHero生成!A86</f>
        <v>82</v>
      </c>
      <c r="B86" s="16">
        <f>TeamHero生成!B86</f>
        <v>1038</v>
      </c>
      <c r="C86" s="16">
        <f>TeamHero生成!C86</f>
        <v>18</v>
      </c>
      <c r="D86" s="17">
        <f>TeamHero生成!D86</f>
        <v>134342</v>
      </c>
      <c r="E86" s="17">
        <f>TeamHero生成!E86</f>
        <v>3570</v>
      </c>
      <c r="F86" s="17">
        <f>TeamHero生成!F86</f>
        <v>8588</v>
      </c>
      <c r="G86" s="16" t="str">
        <f>TeamHero生成!AG86</f>
        <v>有效</v>
      </c>
      <c r="H86" s="16">
        <f>TeamHero生成!G86</f>
        <v>160761</v>
      </c>
      <c r="I86" s="16">
        <f>TeamHero生成!H86</f>
        <v>4229</v>
      </c>
      <c r="J86" s="16">
        <f>TeamHero生成!I86</f>
        <v>6589</v>
      </c>
    </row>
    <row r="87" ht="14.25" customHeight="1" spans="1:10">
      <c r="A87" s="16">
        <f>TeamHero生成!A87</f>
        <v>83</v>
      </c>
      <c r="B87" s="16">
        <f>TeamHero生成!B87</f>
        <v>1039</v>
      </c>
      <c r="C87" s="16">
        <f>TeamHero生成!C87</f>
        <v>18</v>
      </c>
      <c r="D87" s="17">
        <f>TeamHero生成!D87</f>
        <v>89561</v>
      </c>
      <c r="E87" s="17">
        <f>TeamHero生成!E87</f>
        <v>4284</v>
      </c>
      <c r="F87" s="17">
        <f>TeamHero生成!F87</f>
        <v>5725</v>
      </c>
      <c r="G87" s="16" t="str">
        <f>TeamHero生成!AG87</f>
        <v>有效</v>
      </c>
      <c r="H87" s="16">
        <f>TeamHero生成!G87</f>
        <v>107174</v>
      </c>
      <c r="I87" s="16">
        <f>TeamHero生成!H87</f>
        <v>5074</v>
      </c>
      <c r="J87" s="16">
        <f>TeamHero生成!I87</f>
        <v>4392</v>
      </c>
    </row>
    <row r="88" ht="14.25" customHeight="1" spans="1:10">
      <c r="A88" s="16">
        <f>TeamHero生成!A88</f>
        <v>84</v>
      </c>
      <c r="B88" s="16">
        <f>TeamHero生成!B88</f>
        <v>1035</v>
      </c>
      <c r="C88" s="16">
        <f>TeamHero生成!C88</f>
        <v>18</v>
      </c>
      <c r="D88" s="17">
        <f>TeamHero生成!D88</f>
        <v>89561</v>
      </c>
      <c r="E88" s="17">
        <f>TeamHero生成!E88</f>
        <v>4284</v>
      </c>
      <c r="F88" s="17">
        <f>TeamHero生成!F88</f>
        <v>5725</v>
      </c>
      <c r="G88" s="16" t="str">
        <f>TeamHero生成!AG88</f>
        <v>有效</v>
      </c>
      <c r="H88" s="16">
        <f>TeamHero生成!G88</f>
        <v>107174</v>
      </c>
      <c r="I88" s="16">
        <f>TeamHero生成!H88</f>
        <v>5074</v>
      </c>
      <c r="J88" s="16">
        <f>TeamHero生成!I88</f>
        <v>4392</v>
      </c>
    </row>
    <row r="89" ht="14.25" customHeight="1" spans="1:10">
      <c r="A89" s="16">
        <f>TeamHero生成!A89</f>
        <v>85</v>
      </c>
      <c r="B89" s="16">
        <f>TeamHero生成!B89</f>
        <v>1015</v>
      </c>
      <c r="C89" s="16">
        <f>TeamHero生成!C89</f>
        <v>18</v>
      </c>
      <c r="D89" s="17">
        <f>TeamHero生成!D89</f>
        <v>111951</v>
      </c>
      <c r="E89" s="17">
        <f>TeamHero生成!E89</f>
        <v>3570</v>
      </c>
      <c r="F89" s="17">
        <f>TeamHero生成!F89</f>
        <v>7156</v>
      </c>
      <c r="G89" s="16" t="str">
        <f>TeamHero生成!AG89</f>
        <v>有效</v>
      </c>
      <c r="H89" s="16">
        <f>TeamHero生成!G89</f>
        <v>133968</v>
      </c>
      <c r="I89" s="16">
        <f>TeamHero生成!H89</f>
        <v>4229</v>
      </c>
      <c r="J89" s="16">
        <f>TeamHero生成!I89</f>
        <v>5491</v>
      </c>
    </row>
    <row r="90" ht="14.25" customHeight="1" spans="1:10">
      <c r="A90" s="16">
        <f>TeamHero生成!A90</f>
        <v>86</v>
      </c>
      <c r="B90" s="16">
        <f>TeamHero生成!B90</f>
        <v>1035</v>
      </c>
      <c r="C90" s="16">
        <f>TeamHero生成!C90</f>
        <v>19</v>
      </c>
      <c r="D90" s="17">
        <f>TeamHero生成!D90</f>
        <v>97666</v>
      </c>
      <c r="E90" s="17">
        <f>TeamHero生成!E90</f>
        <v>4530</v>
      </c>
      <c r="F90" s="17">
        <f>TeamHero生成!F90</f>
        <v>5995</v>
      </c>
      <c r="G90" s="16" t="str">
        <f>TeamHero生成!AG90</f>
        <v>有效</v>
      </c>
      <c r="H90" s="16">
        <f>TeamHero生成!G90</f>
        <v>116668</v>
      </c>
      <c r="I90" s="16">
        <f>TeamHero生成!H90</f>
        <v>5373</v>
      </c>
      <c r="J90" s="16">
        <f>TeamHero生成!I90</f>
        <v>4634</v>
      </c>
    </row>
    <row r="91" ht="14.25" customHeight="1" spans="1:10">
      <c r="A91" s="16">
        <f>TeamHero生成!A91</f>
        <v>87</v>
      </c>
      <c r="B91" s="16">
        <f>TeamHero生成!B91</f>
        <v>1015</v>
      </c>
      <c r="C91" s="16">
        <f>TeamHero生成!C91</f>
        <v>19</v>
      </c>
      <c r="D91" s="17">
        <f>TeamHero生成!D91</f>
        <v>122083</v>
      </c>
      <c r="E91" s="17">
        <f>TeamHero生成!E91</f>
        <v>3775</v>
      </c>
      <c r="F91" s="17">
        <f>TeamHero生成!F91</f>
        <v>7494</v>
      </c>
      <c r="G91" s="16" t="str">
        <f>TeamHero生成!AG91</f>
        <v>有效</v>
      </c>
      <c r="H91" s="16">
        <f>TeamHero生成!G91</f>
        <v>145836</v>
      </c>
      <c r="I91" s="16">
        <f>TeamHero生成!H91</f>
        <v>4478</v>
      </c>
      <c r="J91" s="16">
        <f>TeamHero生成!I91</f>
        <v>5793</v>
      </c>
    </row>
    <row r="92" ht="14.25" customHeight="1" spans="1:10">
      <c r="A92" s="16">
        <f>TeamHero生成!A92</f>
        <v>88</v>
      </c>
      <c r="B92" s="16">
        <f>TeamHero生成!B92</f>
        <v>1037</v>
      </c>
      <c r="C92" s="16">
        <f>TeamHero生成!C92</f>
        <v>19</v>
      </c>
      <c r="D92" s="17">
        <f>TeamHero生成!D92</f>
        <v>97666</v>
      </c>
      <c r="E92" s="17">
        <f>TeamHero生成!E92</f>
        <v>4530</v>
      </c>
      <c r="F92" s="17">
        <f>TeamHero生成!F92</f>
        <v>5995</v>
      </c>
      <c r="G92" s="16" t="str">
        <f>TeamHero生成!AG92</f>
        <v>有效</v>
      </c>
      <c r="H92" s="16">
        <f>TeamHero生成!G92</f>
        <v>116668</v>
      </c>
      <c r="I92" s="16">
        <f>TeamHero生成!H92</f>
        <v>5373</v>
      </c>
      <c r="J92" s="16">
        <f>TeamHero生成!I92</f>
        <v>4634</v>
      </c>
    </row>
    <row r="93" ht="14.25" customHeight="1" spans="1:10">
      <c r="A93" s="16">
        <f>TeamHero生成!A93</f>
        <v>89</v>
      </c>
      <c r="B93" s="16">
        <f>TeamHero生成!B93</f>
        <v>1018</v>
      </c>
      <c r="C93" s="16">
        <f>TeamHero生成!C93</f>
        <v>19</v>
      </c>
      <c r="D93" s="17">
        <f>TeamHero生成!D93</f>
        <v>122083</v>
      </c>
      <c r="E93" s="17">
        <f>TeamHero生成!E93</f>
        <v>3775</v>
      </c>
      <c r="F93" s="17">
        <f>TeamHero生成!F93</f>
        <v>7494</v>
      </c>
      <c r="G93" s="16" t="str">
        <f>TeamHero生成!AG93</f>
        <v>有效</v>
      </c>
      <c r="H93" s="16">
        <f>TeamHero生成!G93</f>
        <v>145836</v>
      </c>
      <c r="I93" s="16">
        <f>TeamHero生成!H93</f>
        <v>4478</v>
      </c>
      <c r="J93" s="16">
        <f>TeamHero生成!I93</f>
        <v>5793</v>
      </c>
    </row>
    <row r="94" ht="14.25" customHeight="1" spans="1:10">
      <c r="A94" s="16">
        <f>TeamHero生成!A94</f>
        <v>90</v>
      </c>
      <c r="B94" s="16">
        <f>TeamHero生成!B94</f>
        <v>1012</v>
      </c>
      <c r="C94" s="16">
        <f>TeamHero生成!C94</f>
        <v>19</v>
      </c>
      <c r="D94" s="17">
        <f>TeamHero生成!D94</f>
        <v>122083</v>
      </c>
      <c r="E94" s="17">
        <f>TeamHero生成!E94</f>
        <v>3775</v>
      </c>
      <c r="F94" s="17">
        <f>TeamHero生成!F94</f>
        <v>7494</v>
      </c>
      <c r="G94" s="16" t="str">
        <f>TeamHero生成!AG94</f>
        <v>有效</v>
      </c>
      <c r="H94" s="16">
        <f>TeamHero生成!G94</f>
        <v>145836</v>
      </c>
      <c r="I94" s="16">
        <f>TeamHero生成!H94</f>
        <v>4478</v>
      </c>
      <c r="J94" s="16">
        <f>TeamHero生成!I94</f>
        <v>5793</v>
      </c>
    </row>
    <row r="95" ht="14.25" customHeight="1" spans="1:10">
      <c r="A95" s="16">
        <f>TeamHero生成!A95</f>
        <v>91</v>
      </c>
      <c r="B95" s="16">
        <f>TeamHero生成!B95</f>
        <v>1002</v>
      </c>
      <c r="C95" s="16">
        <f>TeamHero生成!C95</f>
        <v>19</v>
      </c>
      <c r="D95" s="17">
        <f>TeamHero生成!D95</f>
        <v>158986</v>
      </c>
      <c r="E95" s="17">
        <f>TeamHero生成!E95</f>
        <v>3972</v>
      </c>
      <c r="F95" s="17">
        <f>TeamHero生成!F95</f>
        <v>9537</v>
      </c>
      <c r="G95" s="16" t="str">
        <f>TeamHero生成!AG95</f>
        <v>有效</v>
      </c>
      <c r="H95" s="16">
        <f>TeamHero生成!G95</f>
        <v>190000</v>
      </c>
      <c r="I95" s="16">
        <f>TeamHero生成!H95</f>
        <v>4733</v>
      </c>
      <c r="J95" s="16">
        <f>TeamHero生成!I95</f>
        <v>7317</v>
      </c>
    </row>
    <row r="96" ht="14.25" customHeight="1" spans="1:10">
      <c r="A96" s="16">
        <f>TeamHero生成!A96</f>
        <v>92</v>
      </c>
      <c r="B96" s="16">
        <f>TeamHero生成!B96</f>
        <v>1018</v>
      </c>
      <c r="C96" s="16">
        <f>TeamHero生成!C96</f>
        <v>19</v>
      </c>
      <c r="D96" s="17">
        <f>TeamHero生成!D96</f>
        <v>132488</v>
      </c>
      <c r="E96" s="17">
        <f>TeamHero生成!E96</f>
        <v>3972</v>
      </c>
      <c r="F96" s="17">
        <f>TeamHero生成!F96</f>
        <v>7948</v>
      </c>
      <c r="G96" s="16" t="str">
        <f>TeamHero生成!AG96</f>
        <v>有效</v>
      </c>
      <c r="H96" s="16">
        <f>TeamHero生成!G96</f>
        <v>158334</v>
      </c>
      <c r="I96" s="16">
        <f>TeamHero生成!H96</f>
        <v>4733</v>
      </c>
      <c r="J96" s="16">
        <f>TeamHero生成!I96</f>
        <v>6098</v>
      </c>
    </row>
    <row r="97" ht="14.25" customHeight="1" spans="1:10">
      <c r="A97" s="16">
        <f>TeamHero生成!A97</f>
        <v>93</v>
      </c>
      <c r="B97" s="16">
        <f>TeamHero生成!B97</f>
        <v>1018</v>
      </c>
      <c r="C97" s="16">
        <f>TeamHero生成!C97</f>
        <v>19</v>
      </c>
      <c r="D97" s="17">
        <f>TeamHero生成!D97</f>
        <v>132488</v>
      </c>
      <c r="E97" s="17">
        <f>TeamHero生成!E97</f>
        <v>3972</v>
      </c>
      <c r="F97" s="17">
        <f>TeamHero生成!F97</f>
        <v>7948</v>
      </c>
      <c r="G97" s="16" t="str">
        <f>TeamHero生成!AG97</f>
        <v>有效</v>
      </c>
      <c r="H97" s="16">
        <f>TeamHero生成!G97</f>
        <v>158334</v>
      </c>
      <c r="I97" s="16">
        <f>TeamHero生成!H97</f>
        <v>4733</v>
      </c>
      <c r="J97" s="16">
        <f>TeamHero生成!I97</f>
        <v>6098</v>
      </c>
    </row>
    <row r="98" ht="14.25" customHeight="1" spans="1:10">
      <c r="A98" s="16">
        <f>TeamHero生成!A98</f>
        <v>94</v>
      </c>
      <c r="B98" s="16">
        <f>TeamHero生成!B98</f>
        <v>1012</v>
      </c>
      <c r="C98" s="16">
        <f>TeamHero生成!C98</f>
        <v>19</v>
      </c>
      <c r="D98" s="17">
        <f>TeamHero生成!D98</f>
        <v>132488</v>
      </c>
      <c r="E98" s="17">
        <f>TeamHero生成!E98</f>
        <v>3972</v>
      </c>
      <c r="F98" s="17">
        <f>TeamHero生成!F98</f>
        <v>7948</v>
      </c>
      <c r="G98" s="16" t="str">
        <f>TeamHero生成!AG98</f>
        <v>有效</v>
      </c>
      <c r="H98" s="16">
        <f>TeamHero生成!G98</f>
        <v>158334</v>
      </c>
      <c r="I98" s="16">
        <f>TeamHero生成!H98</f>
        <v>4733</v>
      </c>
      <c r="J98" s="16">
        <f>TeamHero生成!I98</f>
        <v>6098</v>
      </c>
    </row>
    <row r="99" ht="14.25" customHeight="1" spans="1:10">
      <c r="A99" s="16">
        <f>TeamHero生成!A99</f>
        <v>95</v>
      </c>
      <c r="B99" s="16">
        <f>TeamHero生成!B99</f>
        <v>1036</v>
      </c>
      <c r="C99" s="16">
        <f>TeamHero生成!C99</f>
        <v>19</v>
      </c>
      <c r="D99" s="17">
        <f>TeamHero生成!D99</f>
        <v>105990</v>
      </c>
      <c r="E99" s="17">
        <f>TeamHero生成!E99</f>
        <v>4766</v>
      </c>
      <c r="F99" s="17">
        <f>TeamHero生成!F99</f>
        <v>6358</v>
      </c>
      <c r="G99" s="16" t="str">
        <f>TeamHero生成!AG99</f>
        <v>有效</v>
      </c>
      <c r="H99" s="16">
        <f>TeamHero生成!G99</f>
        <v>126667</v>
      </c>
      <c r="I99" s="16">
        <f>TeamHero生成!H99</f>
        <v>5679</v>
      </c>
      <c r="J99" s="16">
        <f>TeamHero生成!I99</f>
        <v>4878</v>
      </c>
    </row>
    <row r="100" ht="14.25" customHeight="1" spans="1:10">
      <c r="A100" s="16">
        <f>TeamHero生成!A100</f>
        <v>96</v>
      </c>
      <c r="B100" s="16">
        <f>TeamHero生成!B100</f>
        <v>1008</v>
      </c>
      <c r="C100" s="16">
        <f>TeamHero生成!C100</f>
        <v>20</v>
      </c>
      <c r="D100" s="17">
        <f>TeamHero生成!D100</f>
        <v>113609</v>
      </c>
      <c r="E100" s="17">
        <f>TeamHero生成!E100</f>
        <v>4998</v>
      </c>
      <c r="F100" s="17">
        <f>TeamHero生成!F100</f>
        <v>6633</v>
      </c>
      <c r="G100" s="16" t="str">
        <f>TeamHero生成!AG100</f>
        <v>有效</v>
      </c>
      <c r="H100" s="16">
        <f>TeamHero生成!G100</f>
        <v>137188</v>
      </c>
      <c r="I100" s="16">
        <f>TeamHero生成!H100</f>
        <v>5990</v>
      </c>
      <c r="J100" s="16">
        <f>TeamHero生成!I100</f>
        <v>5124</v>
      </c>
    </row>
    <row r="101" ht="14.25" customHeight="1" spans="1:10">
      <c r="A101" s="16">
        <f>TeamHero生成!A101</f>
        <v>97</v>
      </c>
      <c r="B101" s="16">
        <f>TeamHero生成!B101</f>
        <v>1008</v>
      </c>
      <c r="C101" s="16">
        <f>TeamHero生成!C101</f>
        <v>20</v>
      </c>
      <c r="D101" s="17">
        <f>TeamHero生成!D101</f>
        <v>113609</v>
      </c>
      <c r="E101" s="17">
        <f>TeamHero生成!E101</f>
        <v>4998</v>
      </c>
      <c r="F101" s="17">
        <f>TeamHero生成!F101</f>
        <v>6633</v>
      </c>
      <c r="G101" s="16" t="str">
        <f>TeamHero生成!AG101</f>
        <v>有效</v>
      </c>
      <c r="H101" s="16">
        <f>TeamHero生成!G101</f>
        <v>137188</v>
      </c>
      <c r="I101" s="16">
        <f>TeamHero生成!H101</f>
        <v>5990</v>
      </c>
      <c r="J101" s="16">
        <f>TeamHero生成!I101</f>
        <v>5124</v>
      </c>
    </row>
    <row r="102" ht="14.25" customHeight="1" spans="1:10">
      <c r="A102" s="16">
        <f>TeamHero生成!A102</f>
        <v>98</v>
      </c>
      <c r="B102" s="16">
        <f>TeamHero生成!B102</f>
        <v>1008</v>
      </c>
      <c r="C102" s="16">
        <f>TeamHero生成!C102</f>
        <v>20</v>
      </c>
      <c r="D102" s="17">
        <f>TeamHero生成!D102</f>
        <v>113609</v>
      </c>
      <c r="E102" s="17">
        <f>TeamHero生成!E102</f>
        <v>4998</v>
      </c>
      <c r="F102" s="17">
        <f>TeamHero生成!F102</f>
        <v>6633</v>
      </c>
      <c r="G102" s="16" t="str">
        <f>TeamHero生成!AG102</f>
        <v>有效</v>
      </c>
      <c r="H102" s="16">
        <f>TeamHero生成!G102</f>
        <v>137188</v>
      </c>
      <c r="I102" s="16">
        <f>TeamHero生成!H102</f>
        <v>5990</v>
      </c>
      <c r="J102" s="16">
        <f>TeamHero生成!I102</f>
        <v>5124</v>
      </c>
    </row>
    <row r="103" ht="14.25" customHeight="1" spans="1:10">
      <c r="A103" s="16">
        <f>TeamHero生成!A103</f>
        <v>99</v>
      </c>
      <c r="B103" s="16">
        <f>TeamHero生成!B103</f>
        <v>1007</v>
      </c>
      <c r="C103" s="16">
        <f>TeamHero生成!C103</f>
        <v>20</v>
      </c>
      <c r="D103" s="17">
        <f>TeamHero生成!D103</f>
        <v>142011</v>
      </c>
      <c r="E103" s="17">
        <f>TeamHero生成!E103</f>
        <v>4165</v>
      </c>
      <c r="F103" s="17">
        <f>TeamHero生成!F103</f>
        <v>8291</v>
      </c>
      <c r="G103" s="16" t="str">
        <f>TeamHero生成!AG103</f>
        <v>有效</v>
      </c>
      <c r="H103" s="16">
        <f>TeamHero生成!G103</f>
        <v>171486</v>
      </c>
      <c r="I103" s="16">
        <f>TeamHero生成!H103</f>
        <v>4992</v>
      </c>
      <c r="J103" s="16">
        <f>TeamHero生成!I103</f>
        <v>6406</v>
      </c>
    </row>
    <row r="104" ht="14.25" customHeight="1" spans="1:10">
      <c r="A104" s="16">
        <f>TeamHero生成!A104</f>
        <v>100</v>
      </c>
      <c r="B104" s="16">
        <f>TeamHero生成!B104</f>
        <v>1007</v>
      </c>
      <c r="C104" s="16">
        <f>TeamHero生成!C104</f>
        <v>20</v>
      </c>
      <c r="D104" s="17">
        <f>TeamHero生成!D104</f>
        <v>142011</v>
      </c>
      <c r="E104" s="17">
        <f>TeamHero生成!E104</f>
        <v>4165</v>
      </c>
      <c r="F104" s="17">
        <f>TeamHero生成!F104</f>
        <v>8291</v>
      </c>
      <c r="G104" s="16" t="str">
        <f>TeamHero生成!AG104</f>
        <v>有效</v>
      </c>
      <c r="H104" s="16">
        <f>TeamHero生成!G104</f>
        <v>171486</v>
      </c>
      <c r="I104" s="16">
        <f>TeamHero生成!H104</f>
        <v>4992</v>
      </c>
      <c r="J104" s="16">
        <f>TeamHero生成!I104</f>
        <v>6406</v>
      </c>
    </row>
    <row r="105" ht="14.25" customHeight="1" spans="1:10">
      <c r="A105" s="16">
        <f>TeamHero生成!A105</f>
        <v>101</v>
      </c>
      <c r="B105" s="16">
        <f>TeamHero生成!B105</f>
        <v>1038</v>
      </c>
      <c r="C105" s="16">
        <f>TeamHero生成!C105</f>
        <v>20</v>
      </c>
      <c r="D105" s="17">
        <f>TeamHero生成!D105</f>
        <v>188492</v>
      </c>
      <c r="E105" s="17">
        <f>TeamHero生成!E105</f>
        <v>4425</v>
      </c>
      <c r="F105" s="17">
        <f>TeamHero生成!F105</f>
        <v>10505</v>
      </c>
      <c r="G105" s="16" t="str">
        <f>TeamHero生成!AG105</f>
        <v>有效</v>
      </c>
      <c r="H105" s="16">
        <f>TeamHero生成!G105</f>
        <v>222364</v>
      </c>
      <c r="I105" s="16">
        <f>TeamHero生成!H105</f>
        <v>5257</v>
      </c>
      <c r="J105" s="16">
        <f>TeamHero生成!I105</f>
        <v>8062</v>
      </c>
    </row>
    <row r="106" ht="14.25" customHeight="1" spans="1:10">
      <c r="A106" s="16">
        <f>TeamHero生成!A106</f>
        <v>102</v>
      </c>
      <c r="B106" s="16">
        <f>TeamHero生成!B106</f>
        <v>1030</v>
      </c>
      <c r="C106" s="16">
        <f>TeamHero生成!C106</f>
        <v>20</v>
      </c>
      <c r="D106" s="17">
        <f>TeamHero生成!D106</f>
        <v>188492</v>
      </c>
      <c r="E106" s="17">
        <f>TeamHero生成!E106</f>
        <v>4425</v>
      </c>
      <c r="F106" s="17">
        <f>TeamHero生成!F106</f>
        <v>10505</v>
      </c>
      <c r="G106" s="16" t="str">
        <f>TeamHero生成!AG106</f>
        <v>有效</v>
      </c>
      <c r="H106" s="16">
        <f>TeamHero生成!G106</f>
        <v>222364</v>
      </c>
      <c r="I106" s="16">
        <f>TeamHero生成!H106</f>
        <v>5257</v>
      </c>
      <c r="J106" s="16">
        <f>TeamHero生成!I106</f>
        <v>8062</v>
      </c>
    </row>
    <row r="107" ht="14.25" customHeight="1" spans="1:10">
      <c r="A107" s="16">
        <f>TeamHero生成!A107</f>
        <v>103</v>
      </c>
      <c r="B107" s="16">
        <f>TeamHero生成!B107</f>
        <v>1020</v>
      </c>
      <c r="C107" s="16">
        <f>TeamHero生成!C107</f>
        <v>20</v>
      </c>
      <c r="D107" s="17">
        <f>TeamHero生成!D107</f>
        <v>157077</v>
      </c>
      <c r="E107" s="17">
        <f>TeamHero生成!E107</f>
        <v>4425</v>
      </c>
      <c r="F107" s="17">
        <f>TeamHero生成!F107</f>
        <v>8754</v>
      </c>
      <c r="G107" s="16" t="str">
        <f>TeamHero生成!AG107</f>
        <v>有效</v>
      </c>
      <c r="H107" s="16">
        <f>TeamHero生成!G107</f>
        <v>185304</v>
      </c>
      <c r="I107" s="16">
        <f>TeamHero生成!H107</f>
        <v>5257</v>
      </c>
      <c r="J107" s="16">
        <f>TeamHero生成!I107</f>
        <v>6719</v>
      </c>
    </row>
    <row r="108" ht="14.25" customHeight="1" spans="1:10">
      <c r="A108" s="16">
        <f>TeamHero生成!A108</f>
        <v>104</v>
      </c>
      <c r="B108" s="16">
        <f>TeamHero生成!B108</f>
        <v>1036</v>
      </c>
      <c r="C108" s="16">
        <f>TeamHero生成!C108</f>
        <v>20</v>
      </c>
      <c r="D108" s="17">
        <f>TeamHero生成!D108</f>
        <v>125661</v>
      </c>
      <c r="E108" s="17">
        <f>TeamHero生成!E108</f>
        <v>5310</v>
      </c>
      <c r="F108" s="17">
        <f>TeamHero生成!F108</f>
        <v>7003</v>
      </c>
      <c r="G108" s="16" t="str">
        <f>TeamHero生成!AG108</f>
        <v>有效</v>
      </c>
      <c r="H108" s="16">
        <f>TeamHero生成!G108</f>
        <v>148243</v>
      </c>
      <c r="I108" s="16">
        <f>TeamHero生成!H108</f>
        <v>6308</v>
      </c>
      <c r="J108" s="16">
        <f>TeamHero生成!I108</f>
        <v>5375</v>
      </c>
    </row>
    <row r="109" ht="14.25" customHeight="1" spans="1:10">
      <c r="A109" s="16">
        <f>TeamHero生成!A109</f>
        <v>105</v>
      </c>
      <c r="B109" s="16">
        <f>TeamHero生成!B109</f>
        <v>1026</v>
      </c>
      <c r="C109" s="16">
        <f>TeamHero生成!C109</f>
        <v>20</v>
      </c>
      <c r="D109" s="17">
        <f>TeamHero生成!D109</f>
        <v>125661</v>
      </c>
      <c r="E109" s="17">
        <f>TeamHero生成!E109</f>
        <v>5310</v>
      </c>
      <c r="F109" s="17">
        <f>TeamHero生成!F109</f>
        <v>7003</v>
      </c>
      <c r="G109" s="16" t="str">
        <f>TeamHero生成!AG109</f>
        <v>有效</v>
      </c>
      <c r="H109" s="16">
        <f>TeamHero生成!G109</f>
        <v>148243</v>
      </c>
      <c r="I109" s="16">
        <f>TeamHero生成!H109</f>
        <v>6308</v>
      </c>
      <c r="J109" s="16">
        <f>TeamHero生成!I109</f>
        <v>5375</v>
      </c>
    </row>
    <row r="110" ht="14.25" customHeight="1" spans="1:10">
      <c r="A110" s="16">
        <f>TeamHero生成!A110</f>
        <v>106</v>
      </c>
      <c r="B110" s="16">
        <f>TeamHero生成!B110</f>
        <v>1002</v>
      </c>
      <c r="C110" s="16">
        <f>TeamHero生成!C110</f>
        <v>21</v>
      </c>
      <c r="D110" s="17">
        <f>TeamHero生成!D110</f>
        <v>206539</v>
      </c>
      <c r="E110" s="17">
        <f>TeamHero生成!E110</f>
        <v>4698</v>
      </c>
      <c r="F110" s="17">
        <f>TeamHero生成!F110</f>
        <v>11066</v>
      </c>
      <c r="G110" s="16" t="str">
        <f>TeamHero生成!AG110</f>
        <v>有效</v>
      </c>
      <c r="H110" s="16">
        <f>TeamHero生成!G110</f>
        <v>239781</v>
      </c>
      <c r="I110" s="16">
        <f>TeamHero生成!H110</f>
        <v>5527</v>
      </c>
      <c r="J110" s="16">
        <f>TeamHero生成!I110</f>
        <v>8442</v>
      </c>
    </row>
    <row r="111" ht="14.25" customHeight="1" spans="1:10">
      <c r="A111" s="16">
        <f>TeamHero生成!A111</f>
        <v>107</v>
      </c>
      <c r="B111" s="16">
        <f>TeamHero生成!B111</f>
        <v>1002</v>
      </c>
      <c r="C111" s="16">
        <f>TeamHero生成!C111</f>
        <v>21</v>
      </c>
      <c r="D111" s="17">
        <f>TeamHero生成!D111</f>
        <v>206539</v>
      </c>
      <c r="E111" s="17">
        <f>TeamHero生成!E111</f>
        <v>4698</v>
      </c>
      <c r="F111" s="17">
        <f>TeamHero生成!F111</f>
        <v>11066</v>
      </c>
      <c r="G111" s="16" t="str">
        <f>TeamHero生成!AG111</f>
        <v>有效</v>
      </c>
      <c r="H111" s="16">
        <f>TeamHero生成!G111</f>
        <v>239781</v>
      </c>
      <c r="I111" s="16">
        <f>TeamHero生成!H111</f>
        <v>5527</v>
      </c>
      <c r="J111" s="16">
        <f>TeamHero生成!I111</f>
        <v>8442</v>
      </c>
    </row>
    <row r="112" ht="14.25" customHeight="1" spans="1:10">
      <c r="A112" s="16">
        <f>TeamHero生成!A112</f>
        <v>108</v>
      </c>
      <c r="B112" s="16">
        <f>TeamHero生成!B112</f>
        <v>1036</v>
      </c>
      <c r="C112" s="16">
        <f>TeamHero生成!C112</f>
        <v>21</v>
      </c>
      <c r="D112" s="17">
        <f>TeamHero生成!D112</f>
        <v>137692</v>
      </c>
      <c r="E112" s="17">
        <f>TeamHero生成!E112</f>
        <v>5637</v>
      </c>
      <c r="F112" s="17">
        <f>TeamHero生成!F112</f>
        <v>7377</v>
      </c>
      <c r="G112" s="16" t="str">
        <f>TeamHero生成!AG112</f>
        <v>有效</v>
      </c>
      <c r="H112" s="16">
        <f>TeamHero生成!G112</f>
        <v>159854</v>
      </c>
      <c r="I112" s="16">
        <f>TeamHero生成!H112</f>
        <v>6632</v>
      </c>
      <c r="J112" s="16">
        <f>TeamHero生成!I112</f>
        <v>5628</v>
      </c>
    </row>
    <row r="113" ht="14.25" customHeight="1" spans="1:10">
      <c r="A113" s="16">
        <f>TeamHero生成!A113</f>
        <v>109</v>
      </c>
      <c r="B113" s="16">
        <f>TeamHero生成!B113</f>
        <v>1026</v>
      </c>
      <c r="C113" s="16">
        <f>TeamHero生成!C113</f>
        <v>21</v>
      </c>
      <c r="D113" s="17">
        <f>TeamHero生成!D113</f>
        <v>137692</v>
      </c>
      <c r="E113" s="17">
        <f>TeamHero生成!E113</f>
        <v>5637</v>
      </c>
      <c r="F113" s="17">
        <f>TeamHero生成!F113</f>
        <v>7377</v>
      </c>
      <c r="G113" s="16" t="str">
        <f>TeamHero生成!AG113</f>
        <v>有效</v>
      </c>
      <c r="H113" s="16">
        <f>TeamHero生成!G113</f>
        <v>159854</v>
      </c>
      <c r="I113" s="16">
        <f>TeamHero生成!H113</f>
        <v>6632</v>
      </c>
      <c r="J113" s="16">
        <f>TeamHero生成!I113</f>
        <v>5628</v>
      </c>
    </row>
    <row r="114" ht="14.25" customHeight="1" spans="1:10">
      <c r="A114" s="16">
        <f>TeamHero生成!A114</f>
        <v>110</v>
      </c>
      <c r="B114" s="16">
        <f>TeamHero生成!B114</f>
        <v>1014</v>
      </c>
      <c r="C114" s="16">
        <f>TeamHero生成!C114</f>
        <v>21</v>
      </c>
      <c r="D114" s="17">
        <f>TeamHero生成!D114</f>
        <v>137692</v>
      </c>
      <c r="E114" s="17">
        <f>TeamHero生成!E114</f>
        <v>5637</v>
      </c>
      <c r="F114" s="17">
        <f>TeamHero生成!F114</f>
        <v>7377</v>
      </c>
      <c r="G114" s="16" t="str">
        <f>TeamHero生成!AG114</f>
        <v>有效</v>
      </c>
      <c r="H114" s="16">
        <f>TeamHero生成!G114</f>
        <v>159854</v>
      </c>
      <c r="I114" s="16">
        <f>TeamHero生成!H114</f>
        <v>6632</v>
      </c>
      <c r="J114" s="16">
        <f>TeamHero生成!I114</f>
        <v>5628</v>
      </c>
    </row>
    <row r="115" ht="14.25" customHeight="1" spans="1:10">
      <c r="A115" s="16">
        <f>TeamHero生成!A115</f>
        <v>111</v>
      </c>
      <c r="B115" s="16">
        <f>TeamHero生成!B115</f>
        <v>1038</v>
      </c>
      <c r="C115" s="16">
        <f>TeamHero生成!C115</f>
        <v>21</v>
      </c>
      <c r="D115" s="17">
        <f>TeamHero生成!D115</f>
        <v>220482</v>
      </c>
      <c r="E115" s="17">
        <f>TeamHero生成!E115</f>
        <v>4910</v>
      </c>
      <c r="F115" s="17">
        <f>TeamHero生成!F115</f>
        <v>11631</v>
      </c>
      <c r="G115" s="16" t="str">
        <f>TeamHero生成!AG115</f>
        <v>有效</v>
      </c>
      <c r="H115" s="16">
        <f>TeamHero生成!G115</f>
        <v>258062</v>
      </c>
      <c r="I115" s="16">
        <f>TeamHero生成!H115</f>
        <v>5802</v>
      </c>
      <c r="J115" s="16">
        <f>TeamHero生成!I115</f>
        <v>8826</v>
      </c>
    </row>
    <row r="116" ht="14.25" customHeight="1" spans="1:10">
      <c r="A116" s="16">
        <f>TeamHero生成!A116</f>
        <v>112</v>
      </c>
      <c r="B116" s="16">
        <f>TeamHero生成!B116</f>
        <v>1002</v>
      </c>
      <c r="C116" s="16">
        <f>TeamHero生成!C116</f>
        <v>21</v>
      </c>
      <c r="D116" s="17">
        <f>TeamHero生成!D116</f>
        <v>220482</v>
      </c>
      <c r="E116" s="17">
        <f>TeamHero生成!E116</f>
        <v>4910</v>
      </c>
      <c r="F116" s="17">
        <f>TeamHero生成!F116</f>
        <v>11631</v>
      </c>
      <c r="G116" s="16" t="str">
        <f>TeamHero生成!AG116</f>
        <v>有效</v>
      </c>
      <c r="H116" s="16">
        <f>TeamHero生成!G116</f>
        <v>258062</v>
      </c>
      <c r="I116" s="16">
        <f>TeamHero生成!H116</f>
        <v>5802</v>
      </c>
      <c r="J116" s="16">
        <f>TeamHero生成!I116</f>
        <v>8826</v>
      </c>
    </row>
    <row r="117" ht="14.25" customHeight="1" spans="1:10">
      <c r="A117" s="16">
        <f>TeamHero生成!A117</f>
        <v>113</v>
      </c>
      <c r="B117" s="16">
        <f>TeamHero生成!B117</f>
        <v>1020</v>
      </c>
      <c r="C117" s="16">
        <f>TeamHero生成!C117</f>
        <v>21</v>
      </c>
      <c r="D117" s="17">
        <f>TeamHero生成!D117</f>
        <v>183735</v>
      </c>
      <c r="E117" s="17">
        <f>TeamHero生成!E117</f>
        <v>4910</v>
      </c>
      <c r="F117" s="17">
        <f>TeamHero生成!F117</f>
        <v>9693</v>
      </c>
      <c r="G117" s="16" t="str">
        <f>TeamHero生成!AG117</f>
        <v>有效</v>
      </c>
      <c r="H117" s="16">
        <f>TeamHero生成!G117</f>
        <v>215052</v>
      </c>
      <c r="I117" s="16">
        <f>TeamHero生成!H117</f>
        <v>5802</v>
      </c>
      <c r="J117" s="16">
        <f>TeamHero生成!I117</f>
        <v>7355</v>
      </c>
    </row>
    <row r="118" ht="14.25" customHeight="1" spans="1:10">
      <c r="A118" s="16">
        <f>TeamHero生成!A118</f>
        <v>114</v>
      </c>
      <c r="B118" s="16">
        <f>TeamHero生成!B118</f>
        <v>1001</v>
      </c>
      <c r="C118" s="16">
        <f>TeamHero生成!C118</f>
        <v>21</v>
      </c>
      <c r="D118" s="17">
        <f>TeamHero生成!D118</f>
        <v>146988</v>
      </c>
      <c r="E118" s="17">
        <f>TeamHero生成!E118</f>
        <v>5892</v>
      </c>
      <c r="F118" s="17">
        <f>TeamHero生成!F118</f>
        <v>7754</v>
      </c>
      <c r="G118" s="16" t="str">
        <f>TeamHero生成!AG118</f>
        <v>有效</v>
      </c>
      <c r="H118" s="16">
        <f>TeamHero生成!G118</f>
        <v>172041</v>
      </c>
      <c r="I118" s="16">
        <f>TeamHero生成!H118</f>
        <v>6962</v>
      </c>
      <c r="J118" s="16">
        <f>TeamHero生成!I118</f>
        <v>5884</v>
      </c>
    </row>
    <row r="119" ht="14.25" customHeight="1" spans="1:10">
      <c r="A119" s="16">
        <f>TeamHero生成!A119</f>
        <v>115</v>
      </c>
      <c r="B119" s="16">
        <f>TeamHero生成!B119</f>
        <v>1012</v>
      </c>
      <c r="C119" s="16">
        <f>TeamHero生成!C119</f>
        <v>21</v>
      </c>
      <c r="D119" s="17">
        <f>TeamHero生成!D119</f>
        <v>183735</v>
      </c>
      <c r="E119" s="17">
        <f>TeamHero生成!E119</f>
        <v>4910</v>
      </c>
      <c r="F119" s="17">
        <f>TeamHero生成!F119</f>
        <v>9693</v>
      </c>
      <c r="G119" s="16" t="str">
        <f>TeamHero生成!AG119</f>
        <v>有效</v>
      </c>
      <c r="H119" s="16">
        <f>TeamHero生成!G119</f>
        <v>215052</v>
      </c>
      <c r="I119" s="16">
        <f>TeamHero生成!H119</f>
        <v>5802</v>
      </c>
      <c r="J119" s="16">
        <f>TeamHero生成!I119</f>
        <v>7355</v>
      </c>
    </row>
    <row r="120" ht="14.25" customHeight="1" spans="1:10">
      <c r="A120" s="16">
        <f>TeamHero生成!A120</f>
        <v>116</v>
      </c>
      <c r="B120" s="16">
        <f>TeamHero生成!B120</f>
        <v>1002</v>
      </c>
      <c r="C120" s="16">
        <f>TeamHero生成!C120</f>
        <v>22</v>
      </c>
      <c r="D120" s="17">
        <f>TeamHero生成!D120</f>
        <v>242233</v>
      </c>
      <c r="E120" s="17">
        <f>TeamHero生成!E120</f>
        <v>5202</v>
      </c>
      <c r="F120" s="17">
        <f>TeamHero生成!F120</f>
        <v>12203</v>
      </c>
      <c r="G120" s="16" t="str">
        <f>TeamHero生成!AG120</f>
        <v>有效</v>
      </c>
      <c r="H120" s="16">
        <f>TeamHero生成!G120</f>
        <v>277228</v>
      </c>
      <c r="I120" s="16">
        <f>TeamHero生成!H120</f>
        <v>6083</v>
      </c>
      <c r="J120" s="16">
        <f>TeamHero生成!I120</f>
        <v>9213</v>
      </c>
    </row>
    <row r="121" ht="14.25" customHeight="1" spans="1:10">
      <c r="A121" s="16">
        <f>TeamHero生成!A121</f>
        <v>117</v>
      </c>
      <c r="B121" s="16">
        <f>TeamHero生成!B121</f>
        <v>1018</v>
      </c>
      <c r="C121" s="16">
        <f>TeamHero生成!C121</f>
        <v>22</v>
      </c>
      <c r="D121" s="17">
        <f>TeamHero生成!D121</f>
        <v>201861</v>
      </c>
      <c r="E121" s="17">
        <f>TeamHero生成!E121</f>
        <v>5202</v>
      </c>
      <c r="F121" s="17">
        <f>TeamHero生成!F121</f>
        <v>10169</v>
      </c>
      <c r="G121" s="16" t="str">
        <f>TeamHero生成!AG121</f>
        <v>有效</v>
      </c>
      <c r="H121" s="16">
        <f>TeamHero生成!G121</f>
        <v>231024</v>
      </c>
      <c r="I121" s="16">
        <f>TeamHero生成!H121</f>
        <v>6083</v>
      </c>
      <c r="J121" s="16">
        <f>TeamHero生成!I121</f>
        <v>7678</v>
      </c>
    </row>
    <row r="122" ht="14.25" customHeight="1" spans="1:10">
      <c r="A122" s="16">
        <f>TeamHero生成!A122</f>
        <v>118</v>
      </c>
      <c r="B122" s="16">
        <f>TeamHero生成!B122</f>
        <v>1015</v>
      </c>
      <c r="C122" s="16">
        <f>TeamHero生成!C122</f>
        <v>22</v>
      </c>
      <c r="D122" s="17">
        <f>TeamHero生成!D122</f>
        <v>201861</v>
      </c>
      <c r="E122" s="17">
        <f>TeamHero生成!E122</f>
        <v>5202</v>
      </c>
      <c r="F122" s="17">
        <f>TeamHero生成!F122</f>
        <v>10169</v>
      </c>
      <c r="G122" s="16" t="str">
        <f>TeamHero生成!AG122</f>
        <v>有效</v>
      </c>
      <c r="H122" s="16">
        <f>TeamHero生成!G122</f>
        <v>231024</v>
      </c>
      <c r="I122" s="16">
        <f>TeamHero生成!H122</f>
        <v>6083</v>
      </c>
      <c r="J122" s="16">
        <f>TeamHero生成!I122</f>
        <v>7678</v>
      </c>
    </row>
    <row r="123" ht="14.25" customHeight="1" spans="1:10">
      <c r="A123" s="16">
        <f>TeamHero生成!A123</f>
        <v>119</v>
      </c>
      <c r="B123" s="16">
        <f>TeamHero生成!B123</f>
        <v>1018</v>
      </c>
      <c r="C123" s="16">
        <f>TeamHero生成!C123</f>
        <v>22</v>
      </c>
      <c r="D123" s="17">
        <f>TeamHero生成!D123</f>
        <v>201861</v>
      </c>
      <c r="E123" s="17">
        <f>TeamHero生成!E123</f>
        <v>5202</v>
      </c>
      <c r="F123" s="17">
        <f>TeamHero生成!F123</f>
        <v>10169</v>
      </c>
      <c r="G123" s="16" t="str">
        <f>TeamHero生成!AG123</f>
        <v>有效</v>
      </c>
      <c r="H123" s="16">
        <f>TeamHero生成!G123</f>
        <v>231024</v>
      </c>
      <c r="I123" s="16">
        <f>TeamHero生成!H123</f>
        <v>6083</v>
      </c>
      <c r="J123" s="16">
        <f>TeamHero生成!I123</f>
        <v>7678</v>
      </c>
    </row>
    <row r="124" ht="14.25" customHeight="1" spans="1:10">
      <c r="A124" s="16">
        <f>TeamHero生成!A124</f>
        <v>120</v>
      </c>
      <c r="B124" s="16">
        <f>TeamHero生成!B124</f>
        <v>1012</v>
      </c>
      <c r="C124" s="16">
        <f>TeamHero生成!C124</f>
        <v>22</v>
      </c>
      <c r="D124" s="17">
        <f>TeamHero生成!D124</f>
        <v>201861</v>
      </c>
      <c r="E124" s="17">
        <f>TeamHero生成!E124</f>
        <v>5202</v>
      </c>
      <c r="F124" s="17">
        <f>TeamHero生成!F124</f>
        <v>10169</v>
      </c>
      <c r="G124" s="16" t="str">
        <f>TeamHero生成!AG124</f>
        <v>有效</v>
      </c>
      <c r="H124" s="16">
        <f>TeamHero生成!G124</f>
        <v>231024</v>
      </c>
      <c r="I124" s="16">
        <f>TeamHero生成!H124</f>
        <v>6083</v>
      </c>
      <c r="J124" s="16">
        <f>TeamHero生成!I124</f>
        <v>7678</v>
      </c>
    </row>
    <row r="125" ht="14.25" customHeight="1" spans="1:10">
      <c r="A125" s="16">
        <f>TeamHero生成!A125</f>
        <v>121</v>
      </c>
      <c r="B125" s="16">
        <f>TeamHero生成!B125</f>
        <v>1002</v>
      </c>
      <c r="C125" s="16">
        <f>TeamHero生成!C125</f>
        <v>22</v>
      </c>
      <c r="D125" s="17">
        <f>TeamHero生成!D125</f>
        <v>258695</v>
      </c>
      <c r="E125" s="17">
        <f>TeamHero生成!E125</f>
        <v>5437</v>
      </c>
      <c r="F125" s="17">
        <f>TeamHero生成!F125</f>
        <v>12779</v>
      </c>
      <c r="G125" s="16" t="str">
        <f>TeamHero生成!AG125</f>
        <v>有效</v>
      </c>
      <c r="H125" s="16">
        <f>TeamHero生成!G125</f>
        <v>297316</v>
      </c>
      <c r="I125" s="16">
        <f>TeamHero生成!H125</f>
        <v>6370</v>
      </c>
      <c r="J125" s="16">
        <f>TeamHero生成!I125</f>
        <v>9606</v>
      </c>
    </row>
    <row r="126" ht="14.25" customHeight="1" spans="1:10">
      <c r="A126" s="16">
        <f>TeamHero生成!A126</f>
        <v>122</v>
      </c>
      <c r="B126" s="16">
        <f>TeamHero生成!B126</f>
        <v>1014</v>
      </c>
      <c r="C126" s="16">
        <f>TeamHero生成!C126</f>
        <v>22</v>
      </c>
      <c r="D126" s="17">
        <f>TeamHero生成!D126</f>
        <v>172463</v>
      </c>
      <c r="E126" s="17">
        <f>TeamHero生成!E126</f>
        <v>6525</v>
      </c>
      <c r="F126" s="17">
        <f>TeamHero生成!F126</f>
        <v>8519</v>
      </c>
      <c r="G126" s="16" t="str">
        <f>TeamHero生成!AG126</f>
        <v>有效</v>
      </c>
      <c r="H126" s="16">
        <f>TeamHero生成!G126</f>
        <v>198211</v>
      </c>
      <c r="I126" s="16">
        <f>TeamHero生成!H126</f>
        <v>7644</v>
      </c>
      <c r="J126" s="16">
        <f>TeamHero生成!I126</f>
        <v>6404</v>
      </c>
    </row>
    <row r="127" ht="14.25" customHeight="1" spans="1:10">
      <c r="A127" s="16">
        <f>TeamHero生成!A127</f>
        <v>123</v>
      </c>
      <c r="B127" s="16">
        <f>TeamHero生成!B127</f>
        <v>1029</v>
      </c>
      <c r="C127" s="16">
        <f>TeamHero生成!C127</f>
        <v>22</v>
      </c>
      <c r="D127" s="17">
        <f>TeamHero生成!D127</f>
        <v>215579</v>
      </c>
      <c r="E127" s="17">
        <f>TeamHero生成!E127</f>
        <v>5437</v>
      </c>
      <c r="F127" s="17">
        <f>TeamHero生成!F127</f>
        <v>10649</v>
      </c>
      <c r="G127" s="16" t="str">
        <f>TeamHero生成!AG127</f>
        <v>有效</v>
      </c>
      <c r="H127" s="16">
        <f>TeamHero生成!G127</f>
        <v>247764</v>
      </c>
      <c r="I127" s="16">
        <f>TeamHero生成!H127</f>
        <v>6370</v>
      </c>
      <c r="J127" s="16">
        <f>TeamHero生成!I127</f>
        <v>8005</v>
      </c>
    </row>
    <row r="128" ht="14.25" customHeight="1" spans="1:10">
      <c r="A128" s="16">
        <f>TeamHero生成!A128</f>
        <v>124</v>
      </c>
      <c r="B128" s="16">
        <f>TeamHero生成!B128</f>
        <v>1018</v>
      </c>
      <c r="C128" s="16">
        <f>TeamHero生成!C128</f>
        <v>22</v>
      </c>
      <c r="D128" s="17">
        <f>TeamHero生成!D128</f>
        <v>215579</v>
      </c>
      <c r="E128" s="17">
        <f>TeamHero生成!E128</f>
        <v>5437</v>
      </c>
      <c r="F128" s="17">
        <f>TeamHero生成!F128</f>
        <v>10649</v>
      </c>
      <c r="G128" s="16" t="str">
        <f>TeamHero生成!AG128</f>
        <v>有效</v>
      </c>
      <c r="H128" s="16">
        <f>TeamHero生成!G128</f>
        <v>247764</v>
      </c>
      <c r="I128" s="16">
        <f>TeamHero生成!H128</f>
        <v>6370</v>
      </c>
      <c r="J128" s="16">
        <f>TeamHero生成!I128</f>
        <v>8005</v>
      </c>
    </row>
    <row r="129" ht="14.25" customHeight="1" spans="1:10">
      <c r="A129" s="16">
        <f>TeamHero生成!A129</f>
        <v>125</v>
      </c>
      <c r="B129" s="16">
        <f>TeamHero生成!B129</f>
        <v>1012</v>
      </c>
      <c r="C129" s="16">
        <f>TeamHero生成!C129</f>
        <v>22</v>
      </c>
      <c r="D129" s="17">
        <f>TeamHero生成!D129</f>
        <v>215579</v>
      </c>
      <c r="E129" s="17">
        <f>TeamHero生成!E129</f>
        <v>5437</v>
      </c>
      <c r="F129" s="17">
        <f>TeamHero生成!F129</f>
        <v>10649</v>
      </c>
      <c r="G129" s="16" t="str">
        <f>TeamHero生成!AG129</f>
        <v>有效</v>
      </c>
      <c r="H129" s="16">
        <f>TeamHero生成!G129</f>
        <v>247764</v>
      </c>
      <c r="I129" s="16">
        <f>TeamHero生成!H129</f>
        <v>6370</v>
      </c>
      <c r="J129" s="16">
        <f>TeamHero生成!I129</f>
        <v>8005</v>
      </c>
    </row>
    <row r="130" ht="14.25" customHeight="1" spans="1:10">
      <c r="A130" s="16">
        <f>TeamHero生成!A130</f>
        <v>126</v>
      </c>
      <c r="B130" s="16">
        <f>TeamHero生成!B130</f>
        <v>1038</v>
      </c>
      <c r="C130" s="16">
        <f>TeamHero生成!C130</f>
        <v>23</v>
      </c>
      <c r="D130" s="17">
        <f>TeamHero生成!D130</f>
        <v>283107</v>
      </c>
      <c r="E130" s="17">
        <f>TeamHero生成!E130</f>
        <v>5788</v>
      </c>
      <c r="F130" s="17">
        <f>TeamHero生成!F130</f>
        <v>13361</v>
      </c>
      <c r="G130" s="16" t="str">
        <f>TeamHero生成!AG130</f>
        <v>有效</v>
      </c>
      <c r="H130" s="16">
        <f>TeamHero生成!G130</f>
        <v>323748</v>
      </c>
      <c r="I130" s="16">
        <f>TeamHero生成!H130</f>
        <v>6736</v>
      </c>
      <c r="J130" s="16">
        <f>TeamHero生成!I130</f>
        <v>10102</v>
      </c>
    </row>
    <row r="131" ht="14.25" customHeight="1" spans="1:10">
      <c r="A131" s="16">
        <f>TeamHero生成!A131</f>
        <v>127</v>
      </c>
      <c r="B131" s="16">
        <f>TeamHero生成!B131</f>
        <v>1014</v>
      </c>
      <c r="C131" s="16">
        <f>TeamHero生成!C131</f>
        <v>23</v>
      </c>
      <c r="D131" s="17">
        <f>TeamHero生成!D131</f>
        <v>188738</v>
      </c>
      <c r="E131" s="17">
        <f>TeamHero生成!E131</f>
        <v>6945</v>
      </c>
      <c r="F131" s="17">
        <f>TeamHero生成!F131</f>
        <v>8907</v>
      </c>
      <c r="G131" s="16" t="str">
        <f>TeamHero生成!AG131</f>
        <v>有效</v>
      </c>
      <c r="H131" s="16">
        <f>TeamHero生成!G131</f>
        <v>215832</v>
      </c>
      <c r="I131" s="16">
        <f>TeamHero生成!H131</f>
        <v>8083</v>
      </c>
      <c r="J131" s="16">
        <f>TeamHero生成!I131</f>
        <v>6735</v>
      </c>
    </row>
    <row r="132" ht="14.25" customHeight="1" spans="1:10">
      <c r="A132" s="16">
        <f>TeamHero生成!A132</f>
        <v>128</v>
      </c>
      <c r="B132" s="16">
        <f>TeamHero生成!B132</f>
        <v>1021</v>
      </c>
      <c r="C132" s="16">
        <f>TeamHero生成!C132</f>
        <v>23</v>
      </c>
      <c r="D132" s="17">
        <f>TeamHero生成!D132</f>
        <v>188738</v>
      </c>
      <c r="E132" s="17">
        <f>TeamHero生成!E132</f>
        <v>6945</v>
      </c>
      <c r="F132" s="17">
        <f>TeamHero生成!F132</f>
        <v>8907</v>
      </c>
      <c r="G132" s="16" t="str">
        <f>TeamHero生成!AG132</f>
        <v>有效</v>
      </c>
      <c r="H132" s="16">
        <f>TeamHero生成!G132</f>
        <v>215832</v>
      </c>
      <c r="I132" s="16">
        <f>TeamHero生成!H132</f>
        <v>8083</v>
      </c>
      <c r="J132" s="16">
        <f>TeamHero生成!I132</f>
        <v>6735</v>
      </c>
    </row>
    <row r="133" ht="14.25" customHeight="1" spans="1:10">
      <c r="A133" s="16">
        <f>TeamHero生成!A133</f>
        <v>129</v>
      </c>
      <c r="B133" s="16">
        <f>TeamHero生成!B133</f>
        <v>1026</v>
      </c>
      <c r="C133" s="16">
        <f>TeamHero生成!C133</f>
        <v>23</v>
      </c>
      <c r="D133" s="17">
        <f>TeamHero生成!D133</f>
        <v>188738</v>
      </c>
      <c r="E133" s="17">
        <f>TeamHero生成!E133</f>
        <v>6945</v>
      </c>
      <c r="F133" s="17">
        <f>TeamHero生成!F133</f>
        <v>8907</v>
      </c>
      <c r="G133" s="16" t="str">
        <f>TeamHero生成!AG133</f>
        <v>有效</v>
      </c>
      <c r="H133" s="16">
        <f>TeamHero生成!G133</f>
        <v>215832</v>
      </c>
      <c r="I133" s="16">
        <f>TeamHero生成!H133</f>
        <v>8083</v>
      </c>
      <c r="J133" s="16">
        <f>TeamHero生成!I133</f>
        <v>6735</v>
      </c>
    </row>
    <row r="134" ht="14.25" customHeight="1" spans="1:10">
      <c r="A134" s="16">
        <f>TeamHero生成!A134</f>
        <v>130</v>
      </c>
      <c r="B134" s="16">
        <f>TeamHero生成!B134</f>
        <v>1012</v>
      </c>
      <c r="C134" s="16">
        <f>TeamHero生成!C134</f>
        <v>23</v>
      </c>
      <c r="D134" s="17">
        <f>TeamHero生成!D134</f>
        <v>235923</v>
      </c>
      <c r="E134" s="17">
        <f>TeamHero生成!E134</f>
        <v>5788</v>
      </c>
      <c r="F134" s="17">
        <f>TeamHero生成!F134</f>
        <v>11134</v>
      </c>
      <c r="G134" s="16" t="str">
        <f>TeamHero生成!AG134</f>
        <v>有效</v>
      </c>
      <c r="H134" s="16">
        <f>TeamHero生成!G134</f>
        <v>269790</v>
      </c>
      <c r="I134" s="16">
        <f>TeamHero生成!H134</f>
        <v>6736</v>
      </c>
      <c r="J134" s="16">
        <f>TeamHero生成!I134</f>
        <v>8419</v>
      </c>
    </row>
    <row r="135" ht="14.25" customHeight="1" spans="1:10">
      <c r="A135" s="16">
        <f>TeamHero生成!A135</f>
        <v>131</v>
      </c>
      <c r="B135" s="16">
        <f>TeamHero生成!B135</f>
        <v>1038</v>
      </c>
      <c r="C135" s="16">
        <f>TeamHero生成!C135</f>
        <v>23</v>
      </c>
      <c r="D135" s="17">
        <f>TeamHero生成!D135</f>
        <v>303481</v>
      </c>
      <c r="E135" s="17">
        <f>TeamHero生成!E135</f>
        <v>6035</v>
      </c>
      <c r="F135" s="17">
        <f>TeamHero生成!F135</f>
        <v>13949</v>
      </c>
      <c r="G135" s="16" t="str">
        <f>TeamHero生成!AG135</f>
        <v>有效</v>
      </c>
      <c r="H135" s="16">
        <f>TeamHero生成!G135</f>
        <v>345996</v>
      </c>
      <c r="I135" s="16">
        <f>TeamHero生成!H135</f>
        <v>7036</v>
      </c>
      <c r="J135" s="16">
        <f>TeamHero生成!I135</f>
        <v>10504</v>
      </c>
    </row>
    <row r="136" ht="14.25" customHeight="1" spans="1:10">
      <c r="A136" s="16">
        <f>TeamHero生成!A136</f>
        <v>132</v>
      </c>
      <c r="B136" s="16">
        <f>TeamHero生成!B136</f>
        <v>1002</v>
      </c>
      <c r="C136" s="16">
        <f>TeamHero生成!C136</f>
        <v>23</v>
      </c>
      <c r="D136" s="17">
        <f>TeamHero生成!D136</f>
        <v>303481</v>
      </c>
      <c r="E136" s="17">
        <f>TeamHero生成!E136</f>
        <v>6035</v>
      </c>
      <c r="F136" s="17">
        <f>TeamHero生成!F136</f>
        <v>13949</v>
      </c>
      <c r="G136" s="16" t="str">
        <f>TeamHero生成!AG136</f>
        <v>有效</v>
      </c>
      <c r="H136" s="16">
        <f>TeamHero生成!G136</f>
        <v>345996</v>
      </c>
      <c r="I136" s="16">
        <f>TeamHero生成!H136</f>
        <v>7036</v>
      </c>
      <c r="J136" s="16">
        <f>TeamHero生成!I136</f>
        <v>10504</v>
      </c>
    </row>
    <row r="137" ht="14.25" customHeight="1" spans="1:10">
      <c r="A137" s="16">
        <f>TeamHero生成!A137</f>
        <v>133</v>
      </c>
      <c r="B137" s="16">
        <f>TeamHero生成!B137</f>
        <v>1018</v>
      </c>
      <c r="C137" s="16">
        <f>TeamHero生成!C137</f>
        <v>23</v>
      </c>
      <c r="D137" s="17">
        <f>TeamHero生成!D137</f>
        <v>252901</v>
      </c>
      <c r="E137" s="17">
        <f>TeamHero生成!E137</f>
        <v>6035</v>
      </c>
      <c r="F137" s="17">
        <f>TeamHero生成!F137</f>
        <v>11624</v>
      </c>
      <c r="G137" s="16" t="str">
        <f>TeamHero生成!AG137</f>
        <v>有效</v>
      </c>
      <c r="H137" s="16">
        <f>TeamHero生成!G137</f>
        <v>288330</v>
      </c>
      <c r="I137" s="16">
        <f>TeamHero生成!H137</f>
        <v>7036</v>
      </c>
      <c r="J137" s="16">
        <f>TeamHero生成!I137</f>
        <v>8754</v>
      </c>
    </row>
    <row r="138" ht="14.25" customHeight="1" spans="1:10">
      <c r="A138" s="16">
        <f>TeamHero生成!A138</f>
        <v>134</v>
      </c>
      <c r="B138" s="16">
        <f>TeamHero生成!B138</f>
        <v>1021</v>
      </c>
      <c r="C138" s="16">
        <f>TeamHero生成!C138</f>
        <v>23</v>
      </c>
      <c r="D138" s="17">
        <f>TeamHero生成!D138</f>
        <v>202321</v>
      </c>
      <c r="E138" s="17">
        <f>TeamHero生成!E138</f>
        <v>7242</v>
      </c>
      <c r="F138" s="17">
        <f>TeamHero生成!F138</f>
        <v>9299</v>
      </c>
      <c r="G138" s="16" t="str">
        <f>TeamHero生成!AG138</f>
        <v>有效</v>
      </c>
      <c r="H138" s="16">
        <f>TeamHero生成!G138</f>
        <v>230664</v>
      </c>
      <c r="I138" s="16">
        <f>TeamHero生成!H138</f>
        <v>8443</v>
      </c>
      <c r="J138" s="16">
        <f>TeamHero生成!I138</f>
        <v>7003</v>
      </c>
    </row>
    <row r="139" ht="14.25" customHeight="1" spans="1:10">
      <c r="A139" s="16">
        <f>TeamHero生成!A139</f>
        <v>135</v>
      </c>
      <c r="B139" s="16">
        <f>TeamHero生成!B139</f>
        <v>1011</v>
      </c>
      <c r="C139" s="16">
        <f>TeamHero生成!C139</f>
        <v>23</v>
      </c>
      <c r="D139" s="17">
        <f>TeamHero生成!D139</f>
        <v>252901</v>
      </c>
      <c r="E139" s="17">
        <f>TeamHero生成!E139</f>
        <v>6035</v>
      </c>
      <c r="F139" s="17">
        <f>TeamHero生成!F139</f>
        <v>11624</v>
      </c>
      <c r="G139" s="16" t="str">
        <f>TeamHero生成!AG139</f>
        <v>有效</v>
      </c>
      <c r="H139" s="16">
        <f>TeamHero生成!G139</f>
        <v>288330</v>
      </c>
      <c r="I139" s="16">
        <f>TeamHero生成!H139</f>
        <v>7036</v>
      </c>
      <c r="J139" s="16">
        <f>TeamHero生成!I139</f>
        <v>8754</v>
      </c>
    </row>
    <row r="140" ht="14.25" customHeight="1" spans="1:10">
      <c r="A140" s="16">
        <f>TeamHero生成!A140</f>
        <v>136</v>
      </c>
      <c r="B140" s="16">
        <f>TeamHero生成!B140</f>
        <v>1038</v>
      </c>
      <c r="C140" s="16">
        <f>TeamHero生成!C140</f>
        <v>24</v>
      </c>
      <c r="D140" s="17">
        <f>TeamHero生成!D140</f>
        <v>326882</v>
      </c>
      <c r="E140" s="17">
        <f>TeamHero生成!E140</f>
        <v>6348</v>
      </c>
      <c r="F140" s="17">
        <f>TeamHero生成!F140</f>
        <v>14541</v>
      </c>
      <c r="G140" s="16" t="str">
        <f>TeamHero生成!AG140</f>
        <v>有效</v>
      </c>
      <c r="H140" s="16">
        <f>TeamHero生成!G140</f>
        <v>369252</v>
      </c>
      <c r="I140" s="16">
        <f>TeamHero生成!H140</f>
        <v>7342</v>
      </c>
      <c r="J140" s="16">
        <f>TeamHero生成!I140</f>
        <v>10911</v>
      </c>
    </row>
    <row r="141" ht="14.25" customHeight="1" spans="1:10">
      <c r="A141" s="16">
        <f>TeamHero生成!A141</f>
        <v>137</v>
      </c>
      <c r="B141" s="16">
        <f>TeamHero生成!B141</f>
        <v>1030</v>
      </c>
      <c r="C141" s="16">
        <f>TeamHero生成!C141</f>
        <v>24</v>
      </c>
      <c r="D141" s="17">
        <f>TeamHero生成!D141</f>
        <v>326882</v>
      </c>
      <c r="E141" s="17">
        <f>TeamHero生成!E141</f>
        <v>6348</v>
      </c>
      <c r="F141" s="17">
        <f>TeamHero生成!F141</f>
        <v>14541</v>
      </c>
      <c r="G141" s="16" t="str">
        <f>TeamHero生成!AG141</f>
        <v>有效</v>
      </c>
      <c r="H141" s="16">
        <f>TeamHero生成!G141</f>
        <v>369252</v>
      </c>
      <c r="I141" s="16">
        <f>TeamHero生成!H141</f>
        <v>7342</v>
      </c>
      <c r="J141" s="16">
        <f>TeamHero生成!I141</f>
        <v>10911</v>
      </c>
    </row>
    <row r="142" ht="14.25" customHeight="1" spans="1:10">
      <c r="A142" s="16">
        <f>TeamHero生成!A142</f>
        <v>138</v>
      </c>
      <c r="B142" s="16">
        <f>TeamHero生成!B142</f>
        <v>1002</v>
      </c>
      <c r="C142" s="16">
        <f>TeamHero生成!C142</f>
        <v>24</v>
      </c>
      <c r="D142" s="17">
        <f>TeamHero生成!D142</f>
        <v>326882</v>
      </c>
      <c r="E142" s="17">
        <f>TeamHero生成!E142</f>
        <v>6348</v>
      </c>
      <c r="F142" s="17">
        <f>TeamHero生成!F142</f>
        <v>14541</v>
      </c>
      <c r="G142" s="16" t="str">
        <f>TeamHero生成!AG142</f>
        <v>有效</v>
      </c>
      <c r="H142" s="16">
        <f>TeamHero生成!G142</f>
        <v>369252</v>
      </c>
      <c r="I142" s="16">
        <f>TeamHero生成!H142</f>
        <v>7342</v>
      </c>
      <c r="J142" s="16">
        <f>TeamHero生成!I142</f>
        <v>10911</v>
      </c>
    </row>
    <row r="143" ht="14.25" customHeight="1" spans="1:10">
      <c r="A143" s="16">
        <f>TeamHero生成!A143</f>
        <v>139</v>
      </c>
      <c r="B143" s="16">
        <f>TeamHero生成!B143</f>
        <v>1014</v>
      </c>
      <c r="C143" s="16">
        <f>TeamHero生成!C143</f>
        <v>24</v>
      </c>
      <c r="D143" s="17">
        <f>TeamHero生成!D143</f>
        <v>217921</v>
      </c>
      <c r="E143" s="17">
        <f>TeamHero生成!E143</f>
        <v>7618</v>
      </c>
      <c r="F143" s="17">
        <f>TeamHero生成!F143</f>
        <v>9694</v>
      </c>
      <c r="G143" s="16" t="str">
        <f>TeamHero生成!AG143</f>
        <v>有效</v>
      </c>
      <c r="H143" s="16">
        <f>TeamHero生成!G143</f>
        <v>246168</v>
      </c>
      <c r="I143" s="16">
        <f>TeamHero生成!H143</f>
        <v>8810</v>
      </c>
      <c r="J143" s="16">
        <f>TeamHero生成!I143</f>
        <v>7274</v>
      </c>
    </row>
    <row r="144" ht="14.25" customHeight="1" spans="1:10">
      <c r="A144" s="16">
        <f>TeamHero生成!A144</f>
        <v>140</v>
      </c>
      <c r="B144" s="16">
        <f>TeamHero生成!B144</f>
        <v>1021</v>
      </c>
      <c r="C144" s="16">
        <f>TeamHero生成!C144</f>
        <v>24</v>
      </c>
      <c r="D144" s="17">
        <f>TeamHero生成!D144</f>
        <v>217921</v>
      </c>
      <c r="E144" s="17">
        <f>TeamHero生成!E144</f>
        <v>7618</v>
      </c>
      <c r="F144" s="17">
        <f>TeamHero生成!F144</f>
        <v>9694</v>
      </c>
      <c r="G144" s="16" t="str">
        <f>TeamHero生成!AG144</f>
        <v>有效</v>
      </c>
      <c r="H144" s="16">
        <f>TeamHero生成!G144</f>
        <v>246168</v>
      </c>
      <c r="I144" s="16">
        <f>TeamHero生成!H144</f>
        <v>8810</v>
      </c>
      <c r="J144" s="16">
        <f>TeamHero生成!I144</f>
        <v>7274</v>
      </c>
    </row>
    <row r="145" ht="14.25" customHeight="1" spans="1:10">
      <c r="A145" s="16">
        <f>TeamHero生成!A145</f>
        <v>141</v>
      </c>
      <c r="B145" s="16">
        <f>TeamHero生成!B145</f>
        <v>1038</v>
      </c>
      <c r="C145" s="16">
        <f>TeamHero生成!C145</f>
        <v>24</v>
      </c>
      <c r="D145" s="17">
        <f>TeamHero生成!D145</f>
        <v>349410</v>
      </c>
      <c r="E145" s="17">
        <f>TeamHero生成!E145</f>
        <v>6669</v>
      </c>
      <c r="F145" s="17">
        <f>TeamHero生成!F145</f>
        <v>15140</v>
      </c>
      <c r="G145" s="16" t="str">
        <f>TeamHero生成!AG145</f>
        <v>有效</v>
      </c>
      <c r="H145" s="16">
        <f>TeamHero生成!G145</f>
        <v>393537</v>
      </c>
      <c r="I145" s="16">
        <f>TeamHero生成!H145</f>
        <v>7652</v>
      </c>
      <c r="J145" s="16">
        <f>TeamHero生成!I145</f>
        <v>11322</v>
      </c>
    </row>
    <row r="146" ht="14.25" customHeight="1" spans="1:10">
      <c r="A146" s="16">
        <f>TeamHero生成!A146</f>
        <v>142</v>
      </c>
      <c r="B146" s="16">
        <f>TeamHero生成!B146</f>
        <v>1038</v>
      </c>
      <c r="C146" s="16">
        <f>TeamHero生成!C146</f>
        <v>24</v>
      </c>
      <c r="D146" s="17">
        <f>TeamHero生成!D146</f>
        <v>349410</v>
      </c>
      <c r="E146" s="17">
        <f>TeamHero生成!E146</f>
        <v>6669</v>
      </c>
      <c r="F146" s="17">
        <f>TeamHero生成!F146</f>
        <v>15140</v>
      </c>
      <c r="G146" s="16" t="str">
        <f>TeamHero生成!AG146</f>
        <v>有效</v>
      </c>
      <c r="H146" s="16">
        <f>TeamHero生成!G146</f>
        <v>393537</v>
      </c>
      <c r="I146" s="16">
        <f>TeamHero生成!H146</f>
        <v>7652</v>
      </c>
      <c r="J146" s="16">
        <f>TeamHero生成!I146</f>
        <v>11322</v>
      </c>
    </row>
    <row r="147" ht="14.25" customHeight="1" spans="1:10">
      <c r="A147" s="16">
        <f>TeamHero生成!A147</f>
        <v>143</v>
      </c>
      <c r="B147" s="16">
        <f>TeamHero生成!B147</f>
        <v>1014</v>
      </c>
      <c r="C147" s="16">
        <f>TeamHero生成!C147</f>
        <v>24</v>
      </c>
      <c r="D147" s="17">
        <f>TeamHero生成!D147</f>
        <v>232940</v>
      </c>
      <c r="E147" s="17">
        <f>TeamHero生成!E147</f>
        <v>8003</v>
      </c>
      <c r="F147" s="17">
        <f>TeamHero生成!F147</f>
        <v>10093</v>
      </c>
      <c r="G147" s="16" t="str">
        <f>TeamHero生成!AG147</f>
        <v>有效</v>
      </c>
      <c r="H147" s="16">
        <f>TeamHero生成!G147</f>
        <v>262358</v>
      </c>
      <c r="I147" s="16">
        <f>TeamHero生成!H147</f>
        <v>9182</v>
      </c>
      <c r="J147" s="16">
        <f>TeamHero生成!I147</f>
        <v>7548</v>
      </c>
    </row>
    <row r="148" ht="14.25" customHeight="1" spans="1:10">
      <c r="A148" s="16">
        <f>TeamHero生成!A148</f>
        <v>144</v>
      </c>
      <c r="B148" s="16">
        <f>TeamHero生成!B148</f>
        <v>1021</v>
      </c>
      <c r="C148" s="16">
        <f>TeamHero生成!C148</f>
        <v>24</v>
      </c>
      <c r="D148" s="17">
        <f>TeamHero生成!D148</f>
        <v>232940</v>
      </c>
      <c r="E148" s="17">
        <f>TeamHero生成!E148</f>
        <v>8003</v>
      </c>
      <c r="F148" s="17">
        <f>TeamHero生成!F148</f>
        <v>10093</v>
      </c>
      <c r="G148" s="16" t="str">
        <f>TeamHero生成!AG148</f>
        <v>有效</v>
      </c>
      <c r="H148" s="16">
        <f>TeamHero生成!G148</f>
        <v>262358</v>
      </c>
      <c r="I148" s="16">
        <f>TeamHero生成!H148</f>
        <v>9182</v>
      </c>
      <c r="J148" s="16">
        <f>TeamHero生成!I148</f>
        <v>7548</v>
      </c>
    </row>
    <row r="149" ht="14.25" customHeight="1" spans="1:10">
      <c r="A149" s="16">
        <f>TeamHero生成!A149</f>
        <v>145</v>
      </c>
      <c r="B149" s="16">
        <f>TeamHero生成!B149</f>
        <v>1026</v>
      </c>
      <c r="C149" s="16">
        <f>TeamHero生成!C149</f>
        <v>24</v>
      </c>
      <c r="D149" s="17">
        <f>TeamHero生成!D149</f>
        <v>232940</v>
      </c>
      <c r="E149" s="17">
        <f>TeamHero生成!E149</f>
        <v>8003</v>
      </c>
      <c r="F149" s="17">
        <f>TeamHero生成!F149</f>
        <v>10093</v>
      </c>
      <c r="G149" s="16" t="str">
        <f>TeamHero生成!AG149</f>
        <v>有效</v>
      </c>
      <c r="H149" s="16">
        <f>TeamHero生成!G149</f>
        <v>262358</v>
      </c>
      <c r="I149" s="16">
        <f>TeamHero生成!H149</f>
        <v>9182</v>
      </c>
      <c r="J149" s="16">
        <f>TeamHero生成!I149</f>
        <v>7548</v>
      </c>
    </row>
    <row r="150" ht="14.25" customHeight="1" spans="1:10">
      <c r="A150" s="16">
        <f>TeamHero生成!A150</f>
        <v>146</v>
      </c>
      <c r="B150" s="16">
        <f>TeamHero生成!B150</f>
        <v>1030</v>
      </c>
      <c r="C150" s="16">
        <f>TeamHero生成!C150</f>
        <v>25</v>
      </c>
      <c r="D150" s="17">
        <f>TeamHero生成!D150</f>
        <v>372479</v>
      </c>
      <c r="E150" s="17">
        <f>TeamHero生成!E150</f>
        <v>6967</v>
      </c>
      <c r="F150" s="17">
        <f>TeamHero生成!F150</f>
        <v>15744</v>
      </c>
      <c r="G150" s="16" t="str">
        <f>TeamHero生成!AG150</f>
        <v>有效</v>
      </c>
      <c r="H150" s="16">
        <f>TeamHero生成!G150</f>
        <v>418896</v>
      </c>
      <c r="I150" s="16">
        <f>TeamHero生成!H150</f>
        <v>7970</v>
      </c>
      <c r="J150" s="16">
        <f>TeamHero生成!I150</f>
        <v>11738</v>
      </c>
    </row>
    <row r="151" ht="14.25" customHeight="1" spans="1:10">
      <c r="A151" s="16">
        <f>TeamHero生成!A151</f>
        <v>147</v>
      </c>
      <c r="B151" s="16">
        <f>TeamHero生成!B151</f>
        <v>1001</v>
      </c>
      <c r="C151" s="16">
        <f>TeamHero生成!C151</f>
        <v>25</v>
      </c>
      <c r="D151" s="17">
        <f>TeamHero生成!D151</f>
        <v>248319</v>
      </c>
      <c r="E151" s="17">
        <f>TeamHero生成!E151</f>
        <v>8360</v>
      </c>
      <c r="F151" s="17">
        <f>TeamHero生成!F151</f>
        <v>10496</v>
      </c>
      <c r="G151" s="16" t="str">
        <f>TeamHero生成!AG151</f>
        <v>有效</v>
      </c>
      <c r="H151" s="16">
        <f>TeamHero生成!G151</f>
        <v>279264</v>
      </c>
      <c r="I151" s="16">
        <f>TeamHero生成!H151</f>
        <v>9564</v>
      </c>
      <c r="J151" s="16">
        <f>TeamHero生成!I151</f>
        <v>7825</v>
      </c>
    </row>
    <row r="152" ht="14.25" customHeight="1" spans="1:10">
      <c r="A152" s="16">
        <f>TeamHero生成!A152</f>
        <v>148</v>
      </c>
      <c r="B152" s="16">
        <f>TeamHero生成!B152</f>
        <v>1021</v>
      </c>
      <c r="C152" s="16">
        <f>TeamHero生成!C152</f>
        <v>25</v>
      </c>
      <c r="D152" s="17">
        <f>TeamHero生成!D152</f>
        <v>248319</v>
      </c>
      <c r="E152" s="17">
        <f>TeamHero生成!E152</f>
        <v>8360</v>
      </c>
      <c r="F152" s="17">
        <f>TeamHero生成!F152</f>
        <v>10496</v>
      </c>
      <c r="G152" s="16" t="str">
        <f>TeamHero生成!AG152</f>
        <v>有效</v>
      </c>
      <c r="H152" s="16">
        <f>TeamHero生成!G152</f>
        <v>279264</v>
      </c>
      <c r="I152" s="16">
        <f>TeamHero生成!H152</f>
        <v>9564</v>
      </c>
      <c r="J152" s="16">
        <f>TeamHero生成!I152</f>
        <v>7825</v>
      </c>
    </row>
    <row r="153" ht="14.25" customHeight="1" spans="1:10">
      <c r="A153" s="16">
        <f>TeamHero生成!A153</f>
        <v>149</v>
      </c>
      <c r="B153" s="16">
        <f>TeamHero生成!B153</f>
        <v>1020</v>
      </c>
      <c r="C153" s="16">
        <f>TeamHero生成!C153</f>
        <v>25</v>
      </c>
      <c r="D153" s="17">
        <f>TeamHero生成!D153</f>
        <v>310399</v>
      </c>
      <c r="E153" s="17">
        <f>TeamHero生成!E153</f>
        <v>6967</v>
      </c>
      <c r="F153" s="17">
        <f>TeamHero生成!F153</f>
        <v>13120</v>
      </c>
      <c r="G153" s="16" t="str">
        <f>TeamHero生成!AG153</f>
        <v>有效</v>
      </c>
      <c r="H153" s="16">
        <f>TeamHero生成!G153</f>
        <v>349080</v>
      </c>
      <c r="I153" s="16">
        <f>TeamHero生成!H153</f>
        <v>7970</v>
      </c>
      <c r="J153" s="16">
        <f>TeamHero生成!I153</f>
        <v>9782</v>
      </c>
    </row>
    <row r="154" ht="14.25" customHeight="1" spans="1:10">
      <c r="A154" s="16">
        <f>TeamHero生成!A154</f>
        <v>150</v>
      </c>
      <c r="B154" s="16">
        <f>TeamHero生成!B154</f>
        <v>1011</v>
      </c>
      <c r="C154" s="16">
        <f>TeamHero生成!C154</f>
        <v>25</v>
      </c>
      <c r="D154" s="17">
        <f>TeamHero生成!D154</f>
        <v>310399</v>
      </c>
      <c r="E154" s="17">
        <f>TeamHero生成!E154</f>
        <v>6967</v>
      </c>
      <c r="F154" s="17">
        <f>TeamHero生成!F154</f>
        <v>13120</v>
      </c>
      <c r="G154" s="16" t="str">
        <f>TeamHero生成!AG154</f>
        <v>有效</v>
      </c>
      <c r="H154" s="16">
        <f>TeamHero生成!G154</f>
        <v>349080</v>
      </c>
      <c r="I154" s="16">
        <f>TeamHero生成!H154</f>
        <v>7970</v>
      </c>
      <c r="J154" s="16">
        <f>TeamHero生成!I154</f>
        <v>9782</v>
      </c>
    </row>
    <row r="155" ht="14.25" customHeight="1" spans="1:10">
      <c r="A155" s="16">
        <f>TeamHero生成!A155</f>
        <v>151</v>
      </c>
      <c r="B155" s="16">
        <f>TeamHero生成!B155</f>
        <v>1030</v>
      </c>
      <c r="C155" s="16">
        <f>TeamHero生成!C155</f>
        <v>25</v>
      </c>
      <c r="D155" s="17">
        <f>TeamHero生成!D155</f>
        <v>402226</v>
      </c>
      <c r="E155" s="17">
        <f>TeamHero生成!E155</f>
        <v>7322</v>
      </c>
      <c r="F155" s="17">
        <f>TeamHero生成!F155</f>
        <v>16353</v>
      </c>
      <c r="G155" s="16" t="str">
        <f>TeamHero生成!AG155</f>
        <v>有效</v>
      </c>
      <c r="H155" s="16">
        <f>TeamHero生成!G155</f>
        <v>445348</v>
      </c>
      <c r="I155" s="16">
        <f>TeamHero生成!H155</f>
        <v>8296</v>
      </c>
      <c r="J155" s="16">
        <f>TeamHero生成!I155</f>
        <v>12157</v>
      </c>
    </row>
    <row r="156" ht="14.25" customHeight="1" spans="1:10">
      <c r="A156" s="16">
        <f>TeamHero生成!A156</f>
        <v>152</v>
      </c>
      <c r="B156" s="16">
        <f>TeamHero生成!B156</f>
        <v>1035</v>
      </c>
      <c r="C156" s="16">
        <f>TeamHero生成!C156</f>
        <v>25</v>
      </c>
      <c r="D156" s="17">
        <f>TeamHero生成!D156</f>
        <v>268151</v>
      </c>
      <c r="E156" s="17">
        <f>TeamHero生成!E156</f>
        <v>8786</v>
      </c>
      <c r="F156" s="17">
        <f>TeamHero生成!F156</f>
        <v>10902</v>
      </c>
      <c r="G156" s="16" t="str">
        <f>TeamHero生成!AG156</f>
        <v>有效</v>
      </c>
      <c r="H156" s="16">
        <f>TeamHero生成!G156</f>
        <v>296899</v>
      </c>
      <c r="I156" s="16">
        <f>TeamHero生成!H156</f>
        <v>9955</v>
      </c>
      <c r="J156" s="16">
        <f>TeamHero生成!I156</f>
        <v>8104</v>
      </c>
    </row>
    <row r="157" ht="14.25" customHeight="1" spans="1:10">
      <c r="A157" s="16">
        <f>TeamHero生成!A157</f>
        <v>153</v>
      </c>
      <c r="B157" s="16">
        <f>TeamHero生成!B157</f>
        <v>1026</v>
      </c>
      <c r="C157" s="16">
        <f>TeamHero生成!C157</f>
        <v>25</v>
      </c>
      <c r="D157" s="17">
        <f>TeamHero生成!D157</f>
        <v>268151</v>
      </c>
      <c r="E157" s="17">
        <f>TeamHero生成!E157</f>
        <v>8786</v>
      </c>
      <c r="F157" s="17">
        <f>TeamHero生成!F157</f>
        <v>10902</v>
      </c>
      <c r="G157" s="16" t="str">
        <f>TeamHero生成!AG157</f>
        <v>有效</v>
      </c>
      <c r="H157" s="16">
        <f>TeamHero生成!G157</f>
        <v>296899</v>
      </c>
      <c r="I157" s="16">
        <f>TeamHero生成!H157</f>
        <v>9955</v>
      </c>
      <c r="J157" s="16">
        <f>TeamHero生成!I157</f>
        <v>8104</v>
      </c>
    </row>
    <row r="158" ht="14.25" customHeight="1" spans="1:10">
      <c r="A158" s="16">
        <f>TeamHero生成!A158</f>
        <v>154</v>
      </c>
      <c r="B158" s="16">
        <f>TeamHero生成!B158</f>
        <v>1011</v>
      </c>
      <c r="C158" s="16">
        <f>TeamHero生成!C158</f>
        <v>25</v>
      </c>
      <c r="D158" s="17">
        <f>TeamHero生成!D158</f>
        <v>335189</v>
      </c>
      <c r="E158" s="17">
        <f>TeamHero生成!E158</f>
        <v>7322</v>
      </c>
      <c r="F158" s="17">
        <f>TeamHero生成!F158</f>
        <v>13628</v>
      </c>
      <c r="G158" s="16" t="str">
        <f>TeamHero生成!AG158</f>
        <v>有效</v>
      </c>
      <c r="H158" s="16">
        <f>TeamHero生成!G158</f>
        <v>371124</v>
      </c>
      <c r="I158" s="16">
        <f>TeamHero生成!H158</f>
        <v>8296</v>
      </c>
      <c r="J158" s="16">
        <f>TeamHero生成!I158</f>
        <v>10131</v>
      </c>
    </row>
    <row r="159" ht="14.25" customHeight="1" spans="1:10">
      <c r="A159" s="16">
        <f>TeamHero生成!A159</f>
        <v>155</v>
      </c>
      <c r="B159" s="16">
        <f>TeamHero生成!B159</f>
        <v>1023</v>
      </c>
      <c r="C159" s="16">
        <f>TeamHero生成!C159</f>
        <v>25</v>
      </c>
      <c r="D159" s="17">
        <f>TeamHero生成!D159</f>
        <v>335189</v>
      </c>
      <c r="E159" s="17">
        <f>TeamHero生成!E159</f>
        <v>7322</v>
      </c>
      <c r="F159" s="17">
        <f>TeamHero生成!F159</f>
        <v>13628</v>
      </c>
      <c r="G159" s="16" t="str">
        <f>TeamHero生成!AG159</f>
        <v>有效</v>
      </c>
      <c r="H159" s="16">
        <f>TeamHero生成!G159</f>
        <v>371124</v>
      </c>
      <c r="I159" s="16">
        <f>TeamHero生成!H159</f>
        <v>8296</v>
      </c>
      <c r="J159" s="16">
        <f>TeamHero生成!I159</f>
        <v>10131</v>
      </c>
    </row>
    <row r="160" ht="14.25" customHeight="1" spans="1:10">
      <c r="A160" s="16">
        <f>TeamHero生成!A160</f>
        <v>156</v>
      </c>
      <c r="B160" s="16">
        <f>TeamHero生成!B160</f>
        <v>1002</v>
      </c>
      <c r="C160" s="16">
        <f>TeamHero生成!C160</f>
        <v>26</v>
      </c>
      <c r="D160" s="17">
        <f>TeamHero生成!D160</f>
        <v>430969</v>
      </c>
      <c r="E160" s="17">
        <f>TeamHero生成!E160</f>
        <v>7665</v>
      </c>
      <c r="F160" s="17">
        <f>TeamHero生成!F160</f>
        <v>16968</v>
      </c>
      <c r="G160" s="16" t="str">
        <f>TeamHero生成!AG160</f>
        <v>有效</v>
      </c>
      <c r="H160" s="16">
        <f>TeamHero生成!G160</f>
        <v>472932</v>
      </c>
      <c r="I160" s="16">
        <f>TeamHero生成!H160</f>
        <v>8626</v>
      </c>
      <c r="J160" s="16">
        <f>TeamHero生成!I160</f>
        <v>12582</v>
      </c>
    </row>
    <row r="161" ht="14.25" customHeight="1" spans="1:10">
      <c r="A161" s="16">
        <f>TeamHero生成!A161</f>
        <v>157</v>
      </c>
      <c r="B161" s="16">
        <f>TeamHero生成!B161</f>
        <v>1023</v>
      </c>
      <c r="C161" s="16">
        <f>TeamHero生成!C161</f>
        <v>26</v>
      </c>
      <c r="D161" s="17">
        <f>TeamHero生成!D161</f>
        <v>359141</v>
      </c>
      <c r="E161" s="17">
        <f>TeamHero生成!E161</f>
        <v>7665</v>
      </c>
      <c r="F161" s="17">
        <f>TeamHero生成!F161</f>
        <v>14140</v>
      </c>
      <c r="G161" s="16" t="str">
        <f>TeamHero生成!AG161</f>
        <v>有效</v>
      </c>
      <c r="H161" s="16">
        <f>TeamHero生成!G161</f>
        <v>394110</v>
      </c>
      <c r="I161" s="16">
        <f>TeamHero生成!H161</f>
        <v>8626</v>
      </c>
      <c r="J161" s="16">
        <f>TeamHero生成!I161</f>
        <v>10485</v>
      </c>
    </row>
    <row r="162" ht="14.25" customHeight="1" spans="1:10">
      <c r="A162" s="16">
        <f>TeamHero生成!A162</f>
        <v>158</v>
      </c>
      <c r="B162" s="16">
        <f>TeamHero生成!B162</f>
        <v>1001</v>
      </c>
      <c r="C162" s="16">
        <f>TeamHero生成!C162</f>
        <v>26</v>
      </c>
      <c r="D162" s="17">
        <f>TeamHero生成!D162</f>
        <v>287313</v>
      </c>
      <c r="E162" s="17">
        <f>TeamHero生成!E162</f>
        <v>9198</v>
      </c>
      <c r="F162" s="17">
        <f>TeamHero生成!F162</f>
        <v>11312</v>
      </c>
      <c r="G162" s="16" t="str">
        <f>TeamHero生成!AG162</f>
        <v>有效</v>
      </c>
      <c r="H162" s="16">
        <f>TeamHero生成!G162</f>
        <v>315288</v>
      </c>
      <c r="I162" s="16">
        <f>TeamHero生成!H162</f>
        <v>10351</v>
      </c>
      <c r="J162" s="16">
        <f>TeamHero生成!I162</f>
        <v>8388</v>
      </c>
    </row>
    <row r="163" ht="14.25" customHeight="1" spans="1:10">
      <c r="A163" s="16">
        <f>TeamHero生成!A163</f>
        <v>159</v>
      </c>
      <c r="B163" s="16">
        <f>TeamHero生成!B163</f>
        <v>1023</v>
      </c>
      <c r="C163" s="16">
        <f>TeamHero生成!C163</f>
        <v>26</v>
      </c>
      <c r="D163" s="17">
        <f>TeamHero生成!D163</f>
        <v>359141</v>
      </c>
      <c r="E163" s="17">
        <f>TeamHero生成!E163</f>
        <v>7665</v>
      </c>
      <c r="F163" s="17">
        <f>TeamHero生成!F163</f>
        <v>14140</v>
      </c>
      <c r="G163" s="16" t="str">
        <f>TeamHero生成!AG163</f>
        <v>有效</v>
      </c>
      <c r="H163" s="16">
        <f>TeamHero生成!G163</f>
        <v>394110</v>
      </c>
      <c r="I163" s="16">
        <f>TeamHero生成!H163</f>
        <v>8626</v>
      </c>
      <c r="J163" s="16">
        <f>TeamHero生成!I163</f>
        <v>10485</v>
      </c>
    </row>
    <row r="164" ht="14.25" customHeight="1" spans="1:10">
      <c r="A164" s="16">
        <f>TeamHero生成!A164</f>
        <v>160</v>
      </c>
      <c r="B164" s="16">
        <f>TeamHero生成!B164</f>
        <v>1011</v>
      </c>
      <c r="C164" s="16">
        <f>TeamHero生成!C164</f>
        <v>26</v>
      </c>
      <c r="D164" s="17">
        <f>TeamHero生成!D164</f>
        <v>359141</v>
      </c>
      <c r="E164" s="17">
        <f>TeamHero生成!E164</f>
        <v>7665</v>
      </c>
      <c r="F164" s="17">
        <f>TeamHero生成!F164</f>
        <v>14140</v>
      </c>
      <c r="G164" s="16" t="str">
        <f>TeamHero生成!AG164</f>
        <v>有效</v>
      </c>
      <c r="H164" s="16">
        <f>TeamHero生成!G164</f>
        <v>394110</v>
      </c>
      <c r="I164" s="16">
        <f>TeamHero生成!H164</f>
        <v>8626</v>
      </c>
      <c r="J164" s="16">
        <f>TeamHero生成!I164</f>
        <v>10485</v>
      </c>
    </row>
    <row r="165" ht="14.25" customHeight="1" spans="1:10">
      <c r="A165" s="16">
        <f>TeamHero生成!A165</f>
        <v>161</v>
      </c>
      <c r="B165" s="16">
        <f>TeamHero生成!B165</f>
        <v>1002</v>
      </c>
      <c r="C165" s="16">
        <f>TeamHero生成!C165</f>
        <v>26</v>
      </c>
      <c r="D165" s="17">
        <f>TeamHero生成!D165</f>
        <v>457900</v>
      </c>
      <c r="E165" s="17">
        <f>TeamHero生成!E165</f>
        <v>8000</v>
      </c>
      <c r="F165" s="17">
        <f>TeamHero生成!F165</f>
        <v>17589</v>
      </c>
      <c r="G165" s="16" t="str">
        <f>TeamHero生成!AG165</f>
        <v>有效</v>
      </c>
      <c r="H165" s="16">
        <f>TeamHero生成!G165</f>
        <v>501660</v>
      </c>
      <c r="I165" s="16">
        <f>TeamHero生成!H165</f>
        <v>8964</v>
      </c>
      <c r="J165" s="16">
        <f>TeamHero生成!I165</f>
        <v>13010</v>
      </c>
    </row>
    <row r="166" ht="14.25" customHeight="1" spans="1:10">
      <c r="A166" s="16">
        <f>TeamHero生成!A166</f>
        <v>162</v>
      </c>
      <c r="B166" s="16">
        <f>TeamHero生成!B166</f>
        <v>1001</v>
      </c>
      <c r="C166" s="16">
        <f>TeamHero生成!C166</f>
        <v>26</v>
      </c>
      <c r="D166" s="17">
        <f>TeamHero生成!D166</f>
        <v>305267</v>
      </c>
      <c r="E166" s="17">
        <f>TeamHero生成!E166</f>
        <v>9600</v>
      </c>
      <c r="F166" s="17">
        <f>TeamHero生成!F166</f>
        <v>11726</v>
      </c>
      <c r="G166" s="16" t="str">
        <f>TeamHero生成!AG166</f>
        <v>有效</v>
      </c>
      <c r="H166" s="16">
        <f>TeamHero生成!G166</f>
        <v>334440</v>
      </c>
      <c r="I166" s="16">
        <f>TeamHero生成!H166</f>
        <v>10756</v>
      </c>
      <c r="J166" s="16">
        <f>TeamHero生成!I166</f>
        <v>8673</v>
      </c>
    </row>
    <row r="167" ht="14.25" customHeight="1" spans="1:10">
      <c r="A167" s="16">
        <f>TeamHero生成!A167</f>
        <v>163</v>
      </c>
      <c r="B167" s="16">
        <f>TeamHero生成!B167</f>
        <v>1035</v>
      </c>
      <c r="C167" s="16">
        <f>TeamHero生成!C167</f>
        <v>26</v>
      </c>
      <c r="D167" s="17">
        <f>TeamHero生成!D167</f>
        <v>305267</v>
      </c>
      <c r="E167" s="17">
        <f>TeamHero生成!E167</f>
        <v>9600</v>
      </c>
      <c r="F167" s="17">
        <f>TeamHero生成!F167</f>
        <v>11726</v>
      </c>
      <c r="G167" s="16" t="str">
        <f>TeamHero生成!AG167</f>
        <v>有效</v>
      </c>
      <c r="H167" s="16">
        <f>TeamHero生成!G167</f>
        <v>334440</v>
      </c>
      <c r="I167" s="16">
        <f>TeamHero生成!H167</f>
        <v>10756</v>
      </c>
      <c r="J167" s="16">
        <f>TeamHero生成!I167</f>
        <v>8673</v>
      </c>
    </row>
    <row r="168" ht="14.25" customHeight="1" spans="1:10">
      <c r="A168" s="16">
        <f>TeamHero生成!A168</f>
        <v>164</v>
      </c>
      <c r="B168" s="16">
        <f>TeamHero生成!B168</f>
        <v>1018</v>
      </c>
      <c r="C168" s="16">
        <f>TeamHero生成!C168</f>
        <v>26</v>
      </c>
      <c r="D168" s="17">
        <f>TeamHero生成!D168</f>
        <v>381583</v>
      </c>
      <c r="E168" s="17">
        <f>TeamHero生成!E168</f>
        <v>8000</v>
      </c>
      <c r="F168" s="17">
        <f>TeamHero生成!F168</f>
        <v>14658</v>
      </c>
      <c r="G168" s="16" t="str">
        <f>TeamHero生成!AG168</f>
        <v>有效</v>
      </c>
      <c r="H168" s="16">
        <f>TeamHero生成!G168</f>
        <v>418050</v>
      </c>
      <c r="I168" s="16">
        <f>TeamHero生成!H168</f>
        <v>8964</v>
      </c>
      <c r="J168" s="16">
        <f>TeamHero生成!I168</f>
        <v>10842</v>
      </c>
    </row>
    <row r="169" ht="14.25" customHeight="1" spans="1:10">
      <c r="A169" s="16">
        <f>TeamHero生成!A169</f>
        <v>165</v>
      </c>
      <c r="B169" s="16">
        <f>TeamHero生成!B169</f>
        <v>1012</v>
      </c>
      <c r="C169" s="16">
        <f>TeamHero生成!C169</f>
        <v>26</v>
      </c>
      <c r="D169" s="17">
        <f>TeamHero生成!D169</f>
        <v>381583</v>
      </c>
      <c r="E169" s="17">
        <f>TeamHero生成!E169</f>
        <v>8000</v>
      </c>
      <c r="F169" s="17">
        <f>TeamHero生成!F169</f>
        <v>14658</v>
      </c>
      <c r="G169" s="16" t="str">
        <f>TeamHero生成!AG169</f>
        <v>有效</v>
      </c>
      <c r="H169" s="16">
        <f>TeamHero生成!G169</f>
        <v>418050</v>
      </c>
      <c r="I169" s="16">
        <f>TeamHero生成!H169</f>
        <v>8964</v>
      </c>
      <c r="J169" s="16">
        <f>TeamHero生成!I169</f>
        <v>10842</v>
      </c>
    </row>
    <row r="170" ht="14.25" customHeight="1" spans="1:10">
      <c r="A170" s="16">
        <f>TeamHero生成!A170</f>
        <v>166</v>
      </c>
      <c r="B170" s="16">
        <f>TeamHero生成!B170</f>
        <v>1002</v>
      </c>
      <c r="C170" s="16">
        <f>TeamHero生成!C170</f>
        <v>27</v>
      </c>
      <c r="D170" s="17">
        <f>TeamHero生成!D170</f>
        <v>490200</v>
      </c>
      <c r="E170" s="17">
        <f>TeamHero生成!E170</f>
        <v>8385</v>
      </c>
      <c r="F170" s="17">
        <f>TeamHero生成!F170</f>
        <v>18215</v>
      </c>
      <c r="G170" s="16" t="str">
        <f>TeamHero生成!AG170</f>
        <v>有效</v>
      </c>
      <c r="H170" s="16">
        <f>TeamHero生成!G170</f>
        <v>531583</v>
      </c>
      <c r="I170" s="16">
        <f>TeamHero生成!H170</f>
        <v>9308</v>
      </c>
      <c r="J170" s="16">
        <f>TeamHero生成!I170</f>
        <v>13442</v>
      </c>
    </row>
    <row r="171" ht="14.25" customHeight="1" spans="1:10">
      <c r="A171" s="16">
        <f>TeamHero生成!A171</f>
        <v>167</v>
      </c>
      <c r="B171" s="16">
        <f>TeamHero生成!B171</f>
        <v>1021</v>
      </c>
      <c r="C171" s="16">
        <f>TeamHero生成!C171</f>
        <v>27</v>
      </c>
      <c r="D171" s="17">
        <f>TeamHero生成!D171</f>
        <v>326800</v>
      </c>
      <c r="E171" s="17">
        <f>TeamHero生成!E171</f>
        <v>10062</v>
      </c>
      <c r="F171" s="17">
        <f>TeamHero生成!F171</f>
        <v>12143</v>
      </c>
      <c r="G171" s="16" t="str">
        <f>TeamHero生成!AG171</f>
        <v>有效</v>
      </c>
      <c r="H171" s="16">
        <f>TeamHero生成!G171</f>
        <v>354388</v>
      </c>
      <c r="I171" s="16">
        <f>TeamHero生成!H171</f>
        <v>11169</v>
      </c>
      <c r="J171" s="16">
        <f>TeamHero生成!I171</f>
        <v>8961</v>
      </c>
    </row>
    <row r="172" ht="14.25" customHeight="1" spans="1:10">
      <c r="A172" s="16">
        <f>TeamHero生成!A172</f>
        <v>168</v>
      </c>
      <c r="B172" s="16">
        <f>TeamHero生成!B172</f>
        <v>1020</v>
      </c>
      <c r="C172" s="16">
        <f>TeamHero生成!C172</f>
        <v>27</v>
      </c>
      <c r="D172" s="17">
        <f>TeamHero生成!D172</f>
        <v>408500</v>
      </c>
      <c r="E172" s="17">
        <f>TeamHero生成!E172</f>
        <v>8385</v>
      </c>
      <c r="F172" s="17">
        <f>TeamHero生成!F172</f>
        <v>15179</v>
      </c>
      <c r="G172" s="16" t="str">
        <f>TeamHero生成!AG172</f>
        <v>有效</v>
      </c>
      <c r="H172" s="16">
        <f>TeamHero生成!G172</f>
        <v>442986</v>
      </c>
      <c r="I172" s="16">
        <f>TeamHero生成!H172</f>
        <v>9308</v>
      </c>
      <c r="J172" s="16">
        <f>TeamHero生成!I172</f>
        <v>11202</v>
      </c>
    </row>
    <row r="173" ht="14.25" customHeight="1" spans="1:10">
      <c r="A173" s="16">
        <f>TeamHero生成!A173</f>
        <v>169</v>
      </c>
      <c r="B173" s="16">
        <f>TeamHero生成!B173</f>
        <v>1015</v>
      </c>
      <c r="C173" s="16">
        <f>TeamHero生成!C173</f>
        <v>27</v>
      </c>
      <c r="D173" s="17">
        <f>TeamHero生成!D173</f>
        <v>408500</v>
      </c>
      <c r="E173" s="17">
        <f>TeamHero生成!E173</f>
        <v>8385</v>
      </c>
      <c r="F173" s="17">
        <f>TeamHero生成!F173</f>
        <v>15179</v>
      </c>
      <c r="G173" s="16" t="str">
        <f>TeamHero生成!AG173</f>
        <v>有效</v>
      </c>
      <c r="H173" s="16">
        <f>TeamHero生成!G173</f>
        <v>442986</v>
      </c>
      <c r="I173" s="16">
        <f>TeamHero生成!H173</f>
        <v>9308</v>
      </c>
      <c r="J173" s="16">
        <f>TeamHero生成!I173</f>
        <v>11202</v>
      </c>
    </row>
    <row r="174" ht="14.25" customHeight="1" spans="1:10">
      <c r="A174" s="16">
        <f>TeamHero生成!A174</f>
        <v>170</v>
      </c>
      <c r="B174" s="16">
        <f>TeamHero生成!B174</f>
        <v>1024</v>
      </c>
      <c r="C174" s="16">
        <f>TeamHero生成!C174</f>
        <v>27</v>
      </c>
      <c r="D174" s="17">
        <f>TeamHero生成!D174</f>
        <v>326800</v>
      </c>
      <c r="E174" s="17">
        <f>TeamHero生成!E174</f>
        <v>10062</v>
      </c>
      <c r="F174" s="17">
        <f>TeamHero生成!F174</f>
        <v>12143</v>
      </c>
      <c r="G174" s="16" t="str">
        <f>TeamHero生成!AG174</f>
        <v>有效</v>
      </c>
      <c r="H174" s="16">
        <f>TeamHero生成!G174</f>
        <v>354388</v>
      </c>
      <c r="I174" s="16">
        <f>TeamHero生成!H174</f>
        <v>11169</v>
      </c>
      <c r="J174" s="16">
        <f>TeamHero生成!I174</f>
        <v>8961</v>
      </c>
    </row>
    <row r="175" ht="14.25" customHeight="1" spans="1:10">
      <c r="A175" s="16">
        <f>TeamHero生成!A175</f>
        <v>171</v>
      </c>
      <c r="B175" s="16">
        <f>TeamHero生成!B175</f>
        <v>1030</v>
      </c>
      <c r="C175" s="16">
        <f>TeamHero生成!C175</f>
        <v>27</v>
      </c>
      <c r="D175" s="17">
        <f>TeamHero生成!D175</f>
        <v>515540</v>
      </c>
      <c r="E175" s="17">
        <f>TeamHero生成!E175</f>
        <v>8690</v>
      </c>
      <c r="F175" s="17">
        <f>TeamHero生成!F175</f>
        <v>18846</v>
      </c>
      <c r="G175" s="16" t="str">
        <f>TeamHero生成!AG175</f>
        <v>有效</v>
      </c>
      <c r="H175" s="16">
        <f>TeamHero生成!G175</f>
        <v>562716</v>
      </c>
      <c r="I175" s="16">
        <f>TeamHero生成!H175</f>
        <v>9659</v>
      </c>
      <c r="J175" s="16">
        <f>TeamHero生成!I175</f>
        <v>13880</v>
      </c>
    </row>
    <row r="176" ht="14.25" customHeight="1" spans="1:10">
      <c r="A176" s="16">
        <f>TeamHero生成!A176</f>
        <v>172</v>
      </c>
      <c r="B176" s="16">
        <f>TeamHero生成!B176</f>
        <v>1021</v>
      </c>
      <c r="C176" s="16">
        <f>TeamHero生成!C176</f>
        <v>27</v>
      </c>
      <c r="D176" s="17">
        <f>TeamHero生成!D176</f>
        <v>343693</v>
      </c>
      <c r="E176" s="17">
        <f>TeamHero生成!E176</f>
        <v>10428</v>
      </c>
      <c r="F176" s="17">
        <f>TeamHero生成!F176</f>
        <v>12564</v>
      </c>
      <c r="G176" s="16" t="str">
        <f>TeamHero生成!AG176</f>
        <v>有效</v>
      </c>
      <c r="H176" s="16">
        <f>TeamHero生成!G176</f>
        <v>375144</v>
      </c>
      <c r="I176" s="16">
        <f>TeamHero生成!H176</f>
        <v>11590</v>
      </c>
      <c r="J176" s="16">
        <f>TeamHero生成!I176</f>
        <v>9253</v>
      </c>
    </row>
    <row r="177" ht="14.25" customHeight="1" spans="1:10">
      <c r="A177" s="16">
        <f>TeamHero生成!A177</f>
        <v>173</v>
      </c>
      <c r="B177" s="16">
        <f>TeamHero生成!B177</f>
        <v>1029</v>
      </c>
      <c r="C177" s="16">
        <f>TeamHero生成!C177</f>
        <v>27</v>
      </c>
      <c r="D177" s="17">
        <f>TeamHero生成!D177</f>
        <v>429617</v>
      </c>
      <c r="E177" s="17">
        <f>TeamHero生成!E177</f>
        <v>8690</v>
      </c>
      <c r="F177" s="17">
        <f>TeamHero生成!F177</f>
        <v>15705</v>
      </c>
      <c r="G177" s="16" t="str">
        <f>TeamHero生成!AG177</f>
        <v>有效</v>
      </c>
      <c r="H177" s="16">
        <f>TeamHero生成!G177</f>
        <v>468930</v>
      </c>
      <c r="I177" s="16">
        <f>TeamHero生成!H177</f>
        <v>9659</v>
      </c>
      <c r="J177" s="16">
        <f>TeamHero生成!I177</f>
        <v>11567</v>
      </c>
    </row>
    <row r="178" ht="14.25" customHeight="1" spans="1:10">
      <c r="A178" s="16">
        <f>TeamHero生成!A178</f>
        <v>174</v>
      </c>
      <c r="B178" s="16">
        <f>TeamHero生成!B178</f>
        <v>1020</v>
      </c>
      <c r="C178" s="16">
        <f>TeamHero生成!C178</f>
        <v>27</v>
      </c>
      <c r="D178" s="17">
        <f>TeamHero生成!D178</f>
        <v>429617</v>
      </c>
      <c r="E178" s="17">
        <f>TeamHero生成!E178</f>
        <v>8690</v>
      </c>
      <c r="F178" s="17">
        <f>TeamHero生成!F178</f>
        <v>15705</v>
      </c>
      <c r="G178" s="16" t="str">
        <f>TeamHero生成!AG178</f>
        <v>有效</v>
      </c>
      <c r="H178" s="16">
        <f>TeamHero生成!G178</f>
        <v>468930</v>
      </c>
      <c r="I178" s="16">
        <f>TeamHero生成!H178</f>
        <v>9659</v>
      </c>
      <c r="J178" s="16">
        <f>TeamHero生成!I178</f>
        <v>11567</v>
      </c>
    </row>
    <row r="179" ht="14.25" customHeight="1" spans="1:10">
      <c r="A179" s="16">
        <f>TeamHero生成!A179</f>
        <v>175</v>
      </c>
      <c r="B179" s="16">
        <f>TeamHero生成!B179</f>
        <v>1018</v>
      </c>
      <c r="C179" s="16">
        <f>TeamHero生成!C179</f>
        <v>27</v>
      </c>
      <c r="D179" s="17">
        <f>TeamHero生成!D179</f>
        <v>429617</v>
      </c>
      <c r="E179" s="17">
        <f>TeamHero生成!E179</f>
        <v>8690</v>
      </c>
      <c r="F179" s="17">
        <f>TeamHero生成!F179</f>
        <v>15705</v>
      </c>
      <c r="G179" s="16" t="str">
        <f>TeamHero生成!AG179</f>
        <v>有效</v>
      </c>
      <c r="H179" s="16">
        <f>TeamHero生成!G179</f>
        <v>468930</v>
      </c>
      <c r="I179" s="16">
        <f>TeamHero生成!H179</f>
        <v>9659</v>
      </c>
      <c r="J179" s="16">
        <f>TeamHero生成!I179</f>
        <v>11567</v>
      </c>
    </row>
    <row r="180" ht="14.25" customHeight="1" spans="1:10">
      <c r="A180" s="16">
        <f>TeamHero生成!A180</f>
        <v>176</v>
      </c>
      <c r="B180" s="16">
        <f>TeamHero生成!B180</f>
        <v>1030</v>
      </c>
      <c r="C180" s="16">
        <f>TeamHero生成!C180</f>
        <v>28</v>
      </c>
      <c r="D180" s="17">
        <f>TeamHero生成!D180</f>
        <v>553548</v>
      </c>
      <c r="E180" s="17">
        <f>TeamHero生成!E180</f>
        <v>9124</v>
      </c>
      <c r="F180" s="17">
        <f>TeamHero生成!F180</f>
        <v>19482</v>
      </c>
      <c r="G180" s="16" t="str">
        <f>TeamHero生成!AG180</f>
        <v>有效</v>
      </c>
      <c r="H180" s="16">
        <f>TeamHero生成!G180</f>
        <v>595094</v>
      </c>
      <c r="I180" s="16">
        <f>TeamHero生成!H180</f>
        <v>10018</v>
      </c>
      <c r="J180" s="16">
        <f>TeamHero生成!I180</f>
        <v>14322</v>
      </c>
    </row>
    <row r="181" ht="14.25" customHeight="1" spans="1:10">
      <c r="A181" s="16">
        <f>TeamHero生成!A181</f>
        <v>177</v>
      </c>
      <c r="B181" s="16">
        <f>TeamHero生成!B181</f>
        <v>1024</v>
      </c>
      <c r="C181" s="16">
        <f>TeamHero生成!C181</f>
        <v>28</v>
      </c>
      <c r="D181" s="17">
        <f>TeamHero生成!D181</f>
        <v>369032</v>
      </c>
      <c r="E181" s="17">
        <f>TeamHero生成!E181</f>
        <v>10949</v>
      </c>
      <c r="F181" s="17">
        <f>TeamHero生成!F181</f>
        <v>12988</v>
      </c>
      <c r="G181" s="16" t="str">
        <f>TeamHero生成!AG181</f>
        <v>有效</v>
      </c>
      <c r="H181" s="16">
        <f>TeamHero生成!G181</f>
        <v>396729</v>
      </c>
      <c r="I181" s="16">
        <f>TeamHero生成!H181</f>
        <v>12021</v>
      </c>
      <c r="J181" s="16">
        <f>TeamHero生成!I181</f>
        <v>9548</v>
      </c>
    </row>
    <row r="182" ht="14.25" customHeight="1" spans="1:10">
      <c r="A182" s="16">
        <f>TeamHero生成!A182</f>
        <v>178</v>
      </c>
      <c r="B182" s="16">
        <f>TeamHero生成!B182</f>
        <v>1018</v>
      </c>
      <c r="C182" s="16">
        <f>TeamHero生成!C182</f>
        <v>28</v>
      </c>
      <c r="D182" s="17">
        <f>TeamHero生成!D182</f>
        <v>461290</v>
      </c>
      <c r="E182" s="17">
        <f>TeamHero生成!E182</f>
        <v>9124</v>
      </c>
      <c r="F182" s="17">
        <f>TeamHero生成!F182</f>
        <v>16235</v>
      </c>
      <c r="G182" s="16" t="str">
        <f>TeamHero生成!AG182</f>
        <v>有效</v>
      </c>
      <c r="H182" s="16">
        <f>TeamHero生成!G182</f>
        <v>495912</v>
      </c>
      <c r="I182" s="16">
        <f>TeamHero生成!H182</f>
        <v>10018</v>
      </c>
      <c r="J182" s="16">
        <f>TeamHero生成!I182</f>
        <v>11935</v>
      </c>
    </row>
    <row r="183" ht="14.25" customHeight="1" spans="1:10">
      <c r="A183" s="16">
        <f>TeamHero生成!A183</f>
        <v>179</v>
      </c>
      <c r="B183" s="16">
        <f>TeamHero生成!B183</f>
        <v>1011</v>
      </c>
      <c r="C183" s="16">
        <f>TeamHero生成!C183</f>
        <v>28</v>
      </c>
      <c r="D183" s="17">
        <f>TeamHero生成!D183</f>
        <v>461290</v>
      </c>
      <c r="E183" s="17">
        <f>TeamHero生成!E183</f>
        <v>9124</v>
      </c>
      <c r="F183" s="17">
        <f>TeamHero生成!F183</f>
        <v>16235</v>
      </c>
      <c r="G183" s="16" t="str">
        <f>TeamHero生成!AG183</f>
        <v>有效</v>
      </c>
      <c r="H183" s="16">
        <f>TeamHero生成!G183</f>
        <v>495912</v>
      </c>
      <c r="I183" s="16">
        <f>TeamHero生成!H183</f>
        <v>10018</v>
      </c>
      <c r="J183" s="16">
        <f>TeamHero生成!I183</f>
        <v>11935</v>
      </c>
    </row>
    <row r="184" ht="14.25" customHeight="1" spans="1:10">
      <c r="A184" s="16">
        <f>TeamHero生成!A184</f>
        <v>180</v>
      </c>
      <c r="B184" s="16">
        <f>TeamHero生成!B184</f>
        <v>1021</v>
      </c>
      <c r="C184" s="16">
        <f>TeamHero生成!C184</f>
        <v>28</v>
      </c>
      <c r="D184" s="17">
        <f>TeamHero生成!D184</f>
        <v>369032</v>
      </c>
      <c r="E184" s="17">
        <f>TeamHero生成!E184</f>
        <v>10949</v>
      </c>
      <c r="F184" s="17">
        <f>TeamHero生成!F184</f>
        <v>12988</v>
      </c>
      <c r="G184" s="16" t="str">
        <f>TeamHero生成!AG184</f>
        <v>有效</v>
      </c>
      <c r="H184" s="16">
        <f>TeamHero生成!G184</f>
        <v>396729</v>
      </c>
      <c r="I184" s="16">
        <f>TeamHero生成!H184</f>
        <v>12021</v>
      </c>
      <c r="J184" s="16">
        <f>TeamHero生成!I184</f>
        <v>9548</v>
      </c>
    </row>
    <row r="185" ht="14.25" customHeight="1" spans="1:10">
      <c r="A185" s="16">
        <f>TeamHero生成!A185</f>
        <v>181</v>
      </c>
      <c r="B185" s="16">
        <f>TeamHero生成!B185</f>
        <v>1002</v>
      </c>
      <c r="C185" s="16">
        <f>TeamHero生成!C185</f>
        <v>28</v>
      </c>
      <c r="D185" s="17">
        <f>TeamHero生成!D185</f>
        <v>585948</v>
      </c>
      <c r="E185" s="17">
        <f>TeamHero生成!E185</f>
        <v>9475</v>
      </c>
      <c r="F185" s="17">
        <f>TeamHero生成!F185</f>
        <v>20126</v>
      </c>
      <c r="G185" s="16" t="str">
        <f>TeamHero生成!AG185</f>
        <v>有效</v>
      </c>
      <c r="H185" s="16">
        <f>TeamHero生成!G185</f>
        <v>628754</v>
      </c>
      <c r="I185" s="16">
        <f>TeamHero生成!H185</f>
        <v>10384</v>
      </c>
      <c r="J185" s="16">
        <f>TeamHero生成!I185</f>
        <v>14767</v>
      </c>
    </row>
    <row r="186" ht="14.25" customHeight="1" spans="1:10">
      <c r="A186" s="16">
        <f>TeamHero生成!A186</f>
        <v>182</v>
      </c>
      <c r="B186" s="16">
        <f>TeamHero生成!B186</f>
        <v>1030</v>
      </c>
      <c r="C186" s="16">
        <f>TeamHero生成!C186</f>
        <v>28</v>
      </c>
      <c r="D186" s="17">
        <f>TeamHero生成!D186</f>
        <v>585948</v>
      </c>
      <c r="E186" s="17">
        <f>TeamHero生成!E186</f>
        <v>9475</v>
      </c>
      <c r="F186" s="17">
        <f>TeamHero生成!F186</f>
        <v>20126</v>
      </c>
      <c r="G186" s="16" t="str">
        <f>TeamHero生成!AG186</f>
        <v>有效</v>
      </c>
      <c r="H186" s="16">
        <f>TeamHero生成!G186</f>
        <v>628754</v>
      </c>
      <c r="I186" s="16">
        <f>TeamHero生成!H186</f>
        <v>10384</v>
      </c>
      <c r="J186" s="16">
        <f>TeamHero生成!I186</f>
        <v>14767</v>
      </c>
    </row>
    <row r="187" ht="14.25" customHeight="1" spans="1:10">
      <c r="A187" s="16">
        <f>TeamHero生成!A187</f>
        <v>183</v>
      </c>
      <c r="B187" s="16">
        <f>TeamHero生成!B187</f>
        <v>1021</v>
      </c>
      <c r="C187" s="16">
        <f>TeamHero生成!C187</f>
        <v>28</v>
      </c>
      <c r="D187" s="17">
        <f>TeamHero生成!D187</f>
        <v>390632</v>
      </c>
      <c r="E187" s="17">
        <f>TeamHero生成!E187</f>
        <v>11370</v>
      </c>
      <c r="F187" s="17">
        <f>TeamHero生成!F187</f>
        <v>13417</v>
      </c>
      <c r="G187" s="16" t="str">
        <f>TeamHero生成!AG187</f>
        <v>有效</v>
      </c>
      <c r="H187" s="16">
        <f>TeamHero生成!G187</f>
        <v>419169</v>
      </c>
      <c r="I187" s="16">
        <f>TeamHero生成!H187</f>
        <v>12460</v>
      </c>
      <c r="J187" s="16">
        <f>TeamHero生成!I187</f>
        <v>9844</v>
      </c>
    </row>
    <row r="188" ht="14.25" customHeight="1" spans="1:10">
      <c r="A188" s="16">
        <f>TeamHero生成!A188</f>
        <v>184</v>
      </c>
      <c r="B188" s="16">
        <f>TeamHero生成!B188</f>
        <v>1020</v>
      </c>
      <c r="C188" s="16">
        <f>TeamHero生成!C188</f>
        <v>28</v>
      </c>
      <c r="D188" s="17">
        <f>TeamHero生成!D188</f>
        <v>488290</v>
      </c>
      <c r="E188" s="17">
        <f>TeamHero生成!E188</f>
        <v>9475</v>
      </c>
      <c r="F188" s="17">
        <f>TeamHero生成!F188</f>
        <v>16771</v>
      </c>
      <c r="G188" s="16" t="str">
        <f>TeamHero生成!AG188</f>
        <v>有效</v>
      </c>
      <c r="H188" s="16">
        <f>TeamHero生成!G188</f>
        <v>523962</v>
      </c>
      <c r="I188" s="16">
        <f>TeamHero生成!H188</f>
        <v>10384</v>
      </c>
      <c r="J188" s="16">
        <f>TeamHero生成!I188</f>
        <v>12306</v>
      </c>
    </row>
    <row r="189" ht="14.25" customHeight="1" spans="1:10">
      <c r="A189" s="16">
        <f>TeamHero生成!A189</f>
        <v>185</v>
      </c>
      <c r="B189" s="16">
        <f>TeamHero生成!B189</f>
        <v>1020</v>
      </c>
      <c r="C189" s="16">
        <f>TeamHero生成!C189</f>
        <v>28</v>
      </c>
      <c r="D189" s="17">
        <f>TeamHero生成!D189</f>
        <v>488290</v>
      </c>
      <c r="E189" s="17">
        <f>TeamHero生成!E189</f>
        <v>9475</v>
      </c>
      <c r="F189" s="17">
        <f>TeamHero生成!F189</f>
        <v>16771</v>
      </c>
      <c r="G189" s="16" t="str">
        <f>TeamHero生成!AG189</f>
        <v>有效</v>
      </c>
      <c r="H189" s="16">
        <f>TeamHero生成!G189</f>
        <v>523962</v>
      </c>
      <c r="I189" s="16">
        <f>TeamHero生成!H189</f>
        <v>10384</v>
      </c>
      <c r="J189" s="16">
        <f>TeamHero生成!I189</f>
        <v>12306</v>
      </c>
    </row>
    <row r="190" ht="14.25" customHeight="1" spans="1:10">
      <c r="A190" s="16">
        <f>TeamHero生成!A190</f>
        <v>186</v>
      </c>
      <c r="B190" s="16">
        <f>TeamHero生成!B190</f>
        <v>1002</v>
      </c>
      <c r="C190" s="16">
        <f>TeamHero生成!C190</f>
        <v>29</v>
      </c>
      <c r="D190" s="17">
        <f>TeamHero生成!D190</f>
        <v>618932</v>
      </c>
      <c r="E190" s="17">
        <f>TeamHero生成!E190</f>
        <v>9899</v>
      </c>
      <c r="F190" s="17">
        <f>TeamHero生成!F190</f>
        <v>20772</v>
      </c>
      <c r="G190" s="16" t="str">
        <f>TeamHero生成!AG190</f>
        <v>有效</v>
      </c>
      <c r="H190" s="16">
        <f>TeamHero生成!G190</f>
        <v>663724</v>
      </c>
      <c r="I190" s="16">
        <f>TeamHero生成!H190</f>
        <v>10757</v>
      </c>
      <c r="J190" s="16">
        <f>TeamHero生成!I190</f>
        <v>15217</v>
      </c>
    </row>
    <row r="191" ht="14.25" customHeight="1" spans="1:10">
      <c r="A191" s="16">
        <f>TeamHero生成!A191</f>
        <v>187</v>
      </c>
      <c r="B191" s="16">
        <f>TeamHero生成!B191</f>
        <v>1001</v>
      </c>
      <c r="C191" s="16">
        <f>TeamHero生成!C191</f>
        <v>29</v>
      </c>
      <c r="D191" s="17">
        <f>TeamHero生成!D191</f>
        <v>412621</v>
      </c>
      <c r="E191" s="17">
        <f>TeamHero生成!E191</f>
        <v>11879</v>
      </c>
      <c r="F191" s="17">
        <f>TeamHero生成!F191</f>
        <v>13848</v>
      </c>
      <c r="G191" s="16" t="str">
        <f>TeamHero生成!AG191</f>
        <v>有效</v>
      </c>
      <c r="H191" s="16">
        <f>TeamHero生成!G191</f>
        <v>442483</v>
      </c>
      <c r="I191" s="16">
        <f>TeamHero生成!H191</f>
        <v>12908</v>
      </c>
      <c r="J191" s="16">
        <f>TeamHero生成!I191</f>
        <v>10144</v>
      </c>
    </row>
    <row r="192" ht="14.25" customHeight="1" spans="1:10">
      <c r="A192" s="16">
        <f>TeamHero生成!A192</f>
        <v>188</v>
      </c>
      <c r="B192" s="16">
        <f>TeamHero生成!B192</f>
        <v>1001</v>
      </c>
      <c r="C192" s="16">
        <f>TeamHero生成!C192</f>
        <v>29</v>
      </c>
      <c r="D192" s="17">
        <f>TeamHero生成!D192</f>
        <v>412621</v>
      </c>
      <c r="E192" s="17">
        <f>TeamHero生成!E192</f>
        <v>11879</v>
      </c>
      <c r="F192" s="17">
        <f>TeamHero生成!F192</f>
        <v>13848</v>
      </c>
      <c r="G192" s="16" t="str">
        <f>TeamHero生成!AG192</f>
        <v>有效</v>
      </c>
      <c r="H192" s="16">
        <f>TeamHero生成!G192</f>
        <v>442483</v>
      </c>
      <c r="I192" s="16">
        <f>TeamHero生成!H192</f>
        <v>12908</v>
      </c>
      <c r="J192" s="16">
        <f>TeamHero生成!I192</f>
        <v>10144</v>
      </c>
    </row>
    <row r="193" ht="14.25" customHeight="1" spans="1:10">
      <c r="A193" s="16">
        <f>TeamHero生成!A193</f>
        <v>189</v>
      </c>
      <c r="B193" s="16">
        <f>TeamHero生成!B193</f>
        <v>1021</v>
      </c>
      <c r="C193" s="16">
        <f>TeamHero生成!C193</f>
        <v>29</v>
      </c>
      <c r="D193" s="17">
        <f>TeamHero生成!D193</f>
        <v>412621</v>
      </c>
      <c r="E193" s="17">
        <f>TeamHero生成!E193</f>
        <v>11879</v>
      </c>
      <c r="F193" s="17">
        <f>TeamHero生成!F193</f>
        <v>13848</v>
      </c>
      <c r="G193" s="16" t="str">
        <f>TeamHero生成!AG193</f>
        <v>有效</v>
      </c>
      <c r="H193" s="16">
        <f>TeamHero生成!G193</f>
        <v>442483</v>
      </c>
      <c r="I193" s="16">
        <f>TeamHero生成!H193</f>
        <v>12908</v>
      </c>
      <c r="J193" s="16">
        <f>TeamHero生成!I193</f>
        <v>10144</v>
      </c>
    </row>
    <row r="194" ht="14.25" customHeight="1" spans="1:10">
      <c r="A194" s="16">
        <f>TeamHero生成!A194</f>
        <v>190</v>
      </c>
      <c r="B194" s="16">
        <f>TeamHero生成!B194</f>
        <v>1012</v>
      </c>
      <c r="C194" s="16">
        <f>TeamHero生成!C194</f>
        <v>29</v>
      </c>
      <c r="D194" s="17">
        <f>TeamHero生成!D194</f>
        <v>515777</v>
      </c>
      <c r="E194" s="17">
        <f>TeamHero生成!E194</f>
        <v>9899</v>
      </c>
      <c r="F194" s="17">
        <f>TeamHero生成!F194</f>
        <v>17310</v>
      </c>
      <c r="G194" s="16" t="str">
        <f>TeamHero生成!AG194</f>
        <v>有效</v>
      </c>
      <c r="H194" s="16">
        <f>TeamHero生成!G194</f>
        <v>553104</v>
      </c>
      <c r="I194" s="16">
        <f>TeamHero生成!H194</f>
        <v>10757</v>
      </c>
      <c r="J194" s="16">
        <f>TeamHero生成!I194</f>
        <v>12681</v>
      </c>
    </row>
    <row r="195" ht="14.25" customHeight="1" spans="1:10">
      <c r="A195" s="16">
        <f>TeamHero生成!A195</f>
        <v>191</v>
      </c>
      <c r="B195" s="16">
        <f>TeamHero生成!B195</f>
        <v>1002</v>
      </c>
      <c r="C195" s="16">
        <f>TeamHero生成!C195</f>
        <v>29</v>
      </c>
      <c r="D195" s="17">
        <f>TeamHero生成!D195</f>
        <v>659945</v>
      </c>
      <c r="E195" s="17">
        <f>TeamHero生成!E195</f>
        <v>10349</v>
      </c>
      <c r="F195" s="17">
        <f>TeamHero生成!F195</f>
        <v>21426</v>
      </c>
      <c r="G195" s="16" t="str">
        <f>TeamHero生成!AG195</f>
        <v>有效</v>
      </c>
      <c r="H195" s="16">
        <f>TeamHero生成!G195</f>
        <v>700034</v>
      </c>
      <c r="I195" s="16">
        <f>TeamHero生成!H195</f>
        <v>11137</v>
      </c>
      <c r="J195" s="16">
        <f>TeamHero生成!I195</f>
        <v>15672</v>
      </c>
    </row>
    <row r="196" ht="14.25" customHeight="1" spans="1:10">
      <c r="A196" s="16">
        <f>TeamHero生成!A196</f>
        <v>192</v>
      </c>
      <c r="B196" s="16">
        <f>TeamHero生成!B196</f>
        <v>1002</v>
      </c>
      <c r="C196" s="16">
        <f>TeamHero生成!C196</f>
        <v>29</v>
      </c>
      <c r="D196" s="17">
        <f>TeamHero生成!D196</f>
        <v>659945</v>
      </c>
      <c r="E196" s="17">
        <f>TeamHero生成!E196</f>
        <v>10349</v>
      </c>
      <c r="F196" s="17">
        <f>TeamHero生成!F196</f>
        <v>21426</v>
      </c>
      <c r="G196" s="16" t="str">
        <f>TeamHero生成!AG196</f>
        <v>有效</v>
      </c>
      <c r="H196" s="16">
        <f>TeamHero生成!G196</f>
        <v>700034</v>
      </c>
      <c r="I196" s="16">
        <f>TeamHero生成!H196</f>
        <v>11137</v>
      </c>
      <c r="J196" s="16">
        <f>TeamHero生成!I196</f>
        <v>15672</v>
      </c>
    </row>
    <row r="197" ht="14.25" customHeight="1" spans="1:10">
      <c r="A197" s="16">
        <f>TeamHero生成!A197</f>
        <v>193</v>
      </c>
      <c r="B197" s="16">
        <f>TeamHero生成!B197</f>
        <v>1024</v>
      </c>
      <c r="C197" s="16">
        <f>TeamHero生成!C197</f>
        <v>29</v>
      </c>
      <c r="D197" s="17">
        <f>TeamHero生成!D197</f>
        <v>439963</v>
      </c>
      <c r="E197" s="17">
        <f>TeamHero生成!E197</f>
        <v>12418</v>
      </c>
      <c r="F197" s="17">
        <f>TeamHero生成!F197</f>
        <v>14284</v>
      </c>
      <c r="G197" s="16" t="str">
        <f>TeamHero生成!AG197</f>
        <v>有效</v>
      </c>
      <c r="H197" s="16">
        <f>TeamHero生成!G197</f>
        <v>466689</v>
      </c>
      <c r="I197" s="16">
        <f>TeamHero生成!H197</f>
        <v>13364</v>
      </c>
      <c r="J197" s="16">
        <f>TeamHero生成!I197</f>
        <v>10448</v>
      </c>
    </row>
    <row r="198" ht="14.25" customHeight="1" spans="1:10">
      <c r="A198" s="16">
        <f>TeamHero生成!A198</f>
        <v>194</v>
      </c>
      <c r="B198" s="16">
        <f>TeamHero生成!B198</f>
        <v>1021</v>
      </c>
      <c r="C198" s="16">
        <f>TeamHero生成!C198</f>
        <v>29</v>
      </c>
      <c r="D198" s="17">
        <f>TeamHero生成!D198</f>
        <v>439963</v>
      </c>
      <c r="E198" s="17">
        <f>TeamHero生成!E198</f>
        <v>12418</v>
      </c>
      <c r="F198" s="17">
        <f>TeamHero生成!F198</f>
        <v>14284</v>
      </c>
      <c r="G198" s="16" t="str">
        <f>TeamHero生成!AG198</f>
        <v>有效</v>
      </c>
      <c r="H198" s="16">
        <f>TeamHero生成!G198</f>
        <v>466689</v>
      </c>
      <c r="I198" s="16">
        <f>TeamHero生成!H198</f>
        <v>13364</v>
      </c>
      <c r="J198" s="16">
        <f>TeamHero生成!I198</f>
        <v>10448</v>
      </c>
    </row>
    <row r="199" ht="14.25" customHeight="1" spans="1:10">
      <c r="A199" s="16">
        <f>TeamHero生成!A199</f>
        <v>195</v>
      </c>
      <c r="B199" s="16">
        <f>TeamHero生成!B199</f>
        <v>1026</v>
      </c>
      <c r="C199" s="16">
        <f>TeamHero生成!C199</f>
        <v>29</v>
      </c>
      <c r="D199" s="17">
        <f>TeamHero生成!D199</f>
        <v>439963</v>
      </c>
      <c r="E199" s="17">
        <f>TeamHero生成!E199</f>
        <v>12418</v>
      </c>
      <c r="F199" s="17">
        <f>TeamHero生成!F199</f>
        <v>14284</v>
      </c>
      <c r="G199" s="16" t="str">
        <f>TeamHero生成!AG199</f>
        <v>有效</v>
      </c>
      <c r="H199" s="16">
        <f>TeamHero生成!G199</f>
        <v>466689</v>
      </c>
      <c r="I199" s="16">
        <f>TeamHero生成!H199</f>
        <v>13364</v>
      </c>
      <c r="J199" s="16">
        <f>TeamHero生成!I199</f>
        <v>10448</v>
      </c>
    </row>
    <row r="200" ht="14.25" customHeight="1" spans="1:10">
      <c r="A200" s="16">
        <f>TeamHero生成!A200</f>
        <v>196</v>
      </c>
      <c r="B200" s="16">
        <f>TeamHero生成!B200</f>
        <v>1002</v>
      </c>
      <c r="C200" s="16">
        <f>TeamHero生成!C200</f>
        <v>30</v>
      </c>
      <c r="D200" s="17">
        <f>TeamHero生成!D200</f>
        <v>690988</v>
      </c>
      <c r="E200" s="17">
        <f>TeamHero生成!E200</f>
        <v>10710</v>
      </c>
      <c r="F200" s="17">
        <f>TeamHero生成!F200</f>
        <v>22085</v>
      </c>
      <c r="G200" s="16" t="str">
        <f>TeamHero生成!AG200</f>
        <v>有效</v>
      </c>
      <c r="H200" s="16">
        <f>TeamHero生成!G200</f>
        <v>737719</v>
      </c>
      <c r="I200" s="16">
        <f>TeamHero生成!H200</f>
        <v>11526</v>
      </c>
      <c r="J200" s="16">
        <f>TeamHero生成!I200</f>
        <v>16131</v>
      </c>
    </row>
    <row r="201" ht="14.25" customHeight="1" spans="1:10">
      <c r="A201" s="16">
        <f>TeamHero生成!A201</f>
        <v>197</v>
      </c>
      <c r="B201" s="16">
        <f>TeamHero生成!B201</f>
        <v>1026</v>
      </c>
      <c r="C201" s="16">
        <f>TeamHero生成!C201</f>
        <v>30</v>
      </c>
      <c r="D201" s="17">
        <f>TeamHero生成!D201</f>
        <v>460658</v>
      </c>
      <c r="E201" s="17">
        <f>TeamHero生成!E201</f>
        <v>12852</v>
      </c>
      <c r="F201" s="17">
        <f>TeamHero生成!F201</f>
        <v>14723</v>
      </c>
      <c r="G201" s="16" t="str">
        <f>TeamHero生成!AG201</f>
        <v>有效</v>
      </c>
      <c r="H201" s="16">
        <f>TeamHero生成!G201</f>
        <v>491812</v>
      </c>
      <c r="I201" s="16">
        <f>TeamHero生成!H201</f>
        <v>13831</v>
      </c>
      <c r="J201" s="16">
        <f>TeamHero生成!I201</f>
        <v>10754</v>
      </c>
    </row>
    <row r="202" ht="14.25" customHeight="1" spans="1:10">
      <c r="A202" s="16">
        <f>TeamHero生成!A202</f>
        <v>198</v>
      </c>
      <c r="B202" s="16">
        <f>TeamHero生成!B202</f>
        <v>1029</v>
      </c>
      <c r="C202" s="16">
        <f>TeamHero生成!C202</f>
        <v>30</v>
      </c>
      <c r="D202" s="17">
        <f>TeamHero生成!D202</f>
        <v>575823</v>
      </c>
      <c r="E202" s="17">
        <f>TeamHero生成!E202</f>
        <v>10710</v>
      </c>
      <c r="F202" s="17">
        <f>TeamHero生成!F202</f>
        <v>18404</v>
      </c>
      <c r="G202" s="16" t="str">
        <f>TeamHero生成!AG202</f>
        <v>有效</v>
      </c>
      <c r="H202" s="16">
        <f>TeamHero生成!G202</f>
        <v>614766</v>
      </c>
      <c r="I202" s="16">
        <f>TeamHero生成!H202</f>
        <v>11526</v>
      </c>
      <c r="J202" s="16">
        <f>TeamHero生成!I202</f>
        <v>13443</v>
      </c>
    </row>
    <row r="203" ht="14.25" customHeight="1" spans="1:10">
      <c r="A203" s="16">
        <f>TeamHero生成!A203</f>
        <v>199</v>
      </c>
      <c r="B203" s="16">
        <f>TeamHero生成!B203</f>
        <v>1018</v>
      </c>
      <c r="C203" s="16">
        <f>TeamHero生成!C203</f>
        <v>30</v>
      </c>
      <c r="D203" s="17">
        <f>TeamHero生成!D203</f>
        <v>575823</v>
      </c>
      <c r="E203" s="17">
        <f>TeamHero生成!E203</f>
        <v>10710</v>
      </c>
      <c r="F203" s="17">
        <f>TeamHero生成!F203</f>
        <v>18404</v>
      </c>
      <c r="G203" s="16" t="str">
        <f>TeamHero生成!AG203</f>
        <v>有效</v>
      </c>
      <c r="H203" s="16">
        <f>TeamHero生成!G203</f>
        <v>614766</v>
      </c>
      <c r="I203" s="16">
        <f>TeamHero生成!H203</f>
        <v>11526</v>
      </c>
      <c r="J203" s="16">
        <f>TeamHero生成!I203</f>
        <v>13443</v>
      </c>
    </row>
    <row r="204" ht="14.25" customHeight="1" spans="1:10">
      <c r="A204" s="16">
        <f>TeamHero生成!A204</f>
        <v>200</v>
      </c>
      <c r="B204" s="16">
        <f>TeamHero生成!B204</f>
        <v>1012</v>
      </c>
      <c r="C204" s="16">
        <f>TeamHero生成!C204</f>
        <v>30</v>
      </c>
      <c r="D204" s="17">
        <f>TeamHero生成!D204</f>
        <v>575823</v>
      </c>
      <c r="E204" s="17">
        <f>TeamHero生成!E204</f>
        <v>10710</v>
      </c>
      <c r="F204" s="17">
        <f>TeamHero生成!F204</f>
        <v>18404</v>
      </c>
      <c r="G204" s="16" t="str">
        <f>TeamHero生成!AG204</f>
        <v>有效</v>
      </c>
      <c r="H204" s="16">
        <f>TeamHero生成!G204</f>
        <v>614766</v>
      </c>
      <c r="I204" s="16">
        <f>TeamHero生成!H204</f>
        <v>11526</v>
      </c>
      <c r="J204" s="16">
        <f>TeamHero生成!I204</f>
        <v>13443</v>
      </c>
    </row>
    <row r="205" ht="14.25" customHeight="1" spans="1:10">
      <c r="A205" s="16">
        <f>TeamHero生成!A205</f>
        <v>201</v>
      </c>
      <c r="B205" s="16">
        <f>TeamHero生成!B205</f>
        <v>1030</v>
      </c>
      <c r="C205" s="16">
        <f>TeamHero生成!C205</f>
        <v>30</v>
      </c>
      <c r="D205" s="17">
        <f>TeamHero生成!D205</f>
        <v>732638</v>
      </c>
      <c r="E205" s="17">
        <f>TeamHero生成!E205</f>
        <v>11180</v>
      </c>
      <c r="F205" s="17">
        <f>TeamHero生成!F205</f>
        <v>22748</v>
      </c>
      <c r="G205" s="16" t="str">
        <f>TeamHero生成!AG205</f>
        <v>有效</v>
      </c>
      <c r="H205" s="16">
        <f>TeamHero生成!G205</f>
        <v>776800</v>
      </c>
      <c r="I205" s="16">
        <f>TeamHero生成!H205</f>
        <v>11923</v>
      </c>
      <c r="J205" s="16">
        <f>TeamHero生成!I205</f>
        <v>16594</v>
      </c>
    </row>
    <row r="206" ht="14.25" customHeight="1" spans="1:10">
      <c r="A206" s="16">
        <f>TeamHero生成!A206</f>
        <v>202</v>
      </c>
      <c r="B206" s="16">
        <f>TeamHero生成!B206</f>
        <v>1002</v>
      </c>
      <c r="C206" s="16">
        <f>TeamHero生成!C206</f>
        <v>30</v>
      </c>
      <c r="D206" s="17">
        <f>TeamHero生成!D206</f>
        <v>732638</v>
      </c>
      <c r="E206" s="17">
        <f>TeamHero生成!E206</f>
        <v>11180</v>
      </c>
      <c r="F206" s="17">
        <f>TeamHero生成!F206</f>
        <v>22748</v>
      </c>
      <c r="G206" s="16" t="str">
        <f>TeamHero生成!AG206</f>
        <v>有效</v>
      </c>
      <c r="H206" s="16">
        <f>TeamHero生成!G206</f>
        <v>776800</v>
      </c>
      <c r="I206" s="16">
        <f>TeamHero生成!H206</f>
        <v>11923</v>
      </c>
      <c r="J206" s="16">
        <f>TeamHero生成!I206</f>
        <v>16594</v>
      </c>
    </row>
    <row r="207" ht="14.25" customHeight="1" spans="1:10">
      <c r="A207" s="16">
        <f>TeamHero生成!A207</f>
        <v>203</v>
      </c>
      <c r="B207" s="16">
        <f>TeamHero生成!B207</f>
        <v>1011</v>
      </c>
      <c r="C207" s="16">
        <f>TeamHero生成!C207</f>
        <v>30</v>
      </c>
      <c r="D207" s="17">
        <f>TeamHero生成!D207</f>
        <v>610532</v>
      </c>
      <c r="E207" s="17">
        <f>TeamHero生成!E207</f>
        <v>11180</v>
      </c>
      <c r="F207" s="17">
        <f>TeamHero生成!F207</f>
        <v>18956</v>
      </c>
      <c r="G207" s="16" t="str">
        <f>TeamHero生成!AG207</f>
        <v>有效</v>
      </c>
      <c r="H207" s="16">
        <f>TeamHero生成!G207</f>
        <v>647334</v>
      </c>
      <c r="I207" s="16">
        <f>TeamHero生成!H207</f>
        <v>11923</v>
      </c>
      <c r="J207" s="16">
        <f>TeamHero生成!I207</f>
        <v>13829</v>
      </c>
    </row>
    <row r="208" ht="14.25" customHeight="1" spans="1:10">
      <c r="A208" s="16">
        <f>TeamHero生成!A208</f>
        <v>204</v>
      </c>
      <c r="B208" s="16">
        <f>TeamHero生成!B208</f>
        <v>1021</v>
      </c>
      <c r="C208" s="16">
        <f>TeamHero生成!C208</f>
        <v>30</v>
      </c>
      <c r="D208" s="17">
        <f>TeamHero生成!D208</f>
        <v>488426</v>
      </c>
      <c r="E208" s="17">
        <f>TeamHero生成!E208</f>
        <v>13416</v>
      </c>
      <c r="F208" s="17">
        <f>TeamHero生成!F208</f>
        <v>15165</v>
      </c>
      <c r="G208" s="16" t="str">
        <f>TeamHero生成!AG208</f>
        <v>有效</v>
      </c>
      <c r="H208" s="16">
        <f>TeamHero生成!G208</f>
        <v>517867</v>
      </c>
      <c r="I208" s="16">
        <f>TeamHero生成!H208</f>
        <v>14307</v>
      </c>
      <c r="J208" s="16">
        <f>TeamHero生成!I208</f>
        <v>11063</v>
      </c>
    </row>
    <row r="209" ht="14.25" customHeight="1" spans="1:10">
      <c r="A209" s="16">
        <f>TeamHero生成!A209</f>
        <v>205</v>
      </c>
      <c r="B209" s="16">
        <f>TeamHero生成!B209</f>
        <v>1015</v>
      </c>
      <c r="C209" s="16">
        <f>TeamHero生成!C209</f>
        <v>30</v>
      </c>
      <c r="D209" s="17">
        <f>TeamHero生成!D209</f>
        <v>610532</v>
      </c>
      <c r="E209" s="17">
        <f>TeamHero生成!E209</f>
        <v>11180</v>
      </c>
      <c r="F209" s="17">
        <f>TeamHero生成!F209</f>
        <v>18956</v>
      </c>
      <c r="G209" s="16" t="str">
        <f>TeamHero生成!AG209</f>
        <v>有效</v>
      </c>
      <c r="H209" s="16">
        <f>TeamHero生成!G209</f>
        <v>647334</v>
      </c>
      <c r="I209" s="16">
        <f>TeamHero生成!H209</f>
        <v>11923</v>
      </c>
      <c r="J209" s="16">
        <f>TeamHero生成!I209</f>
        <v>13829</v>
      </c>
    </row>
    <row r="210" ht="14.25" customHeight="1" spans="1:10">
      <c r="A210" s="16">
        <f>TeamHero生成!A210</f>
        <v>206</v>
      </c>
      <c r="B210" s="16">
        <f>TeamHero生成!B210</f>
        <v>1002</v>
      </c>
      <c r="C210" s="16">
        <f>TeamHero生成!C210</f>
        <v>31</v>
      </c>
      <c r="D210" s="17">
        <f>TeamHero生成!D210</f>
        <v>760695</v>
      </c>
      <c r="E210" s="17">
        <f>TeamHero生成!E210</f>
        <v>11515</v>
      </c>
      <c r="F210" s="17">
        <f>TeamHero生成!F210</f>
        <v>23250</v>
      </c>
      <c r="G210" s="16" t="str">
        <f>TeamHero生成!AG210</f>
        <v>有效</v>
      </c>
      <c r="H210" s="16">
        <f>TeamHero生成!G210</f>
        <v>817329</v>
      </c>
      <c r="I210" s="16">
        <f>TeamHero生成!H210</f>
        <v>12328</v>
      </c>
      <c r="J210" s="16">
        <f>TeamHero生成!I210</f>
        <v>17062</v>
      </c>
    </row>
    <row r="211" ht="14.25" customHeight="1" spans="1:10">
      <c r="A211" s="16">
        <f>TeamHero生成!A211</f>
        <v>207</v>
      </c>
      <c r="B211" s="16">
        <f>TeamHero生成!B211</f>
        <v>1011</v>
      </c>
      <c r="C211" s="16">
        <f>TeamHero生成!C211</f>
        <v>31</v>
      </c>
      <c r="D211" s="17">
        <f>TeamHero生成!D211</f>
        <v>633912</v>
      </c>
      <c r="E211" s="17">
        <f>TeamHero生成!E211</f>
        <v>11515</v>
      </c>
      <c r="F211" s="17">
        <f>TeamHero生成!F211</f>
        <v>19375</v>
      </c>
      <c r="G211" s="16" t="str">
        <f>TeamHero生成!AG211</f>
        <v>有效</v>
      </c>
      <c r="H211" s="16">
        <f>TeamHero生成!G211</f>
        <v>681108</v>
      </c>
      <c r="I211" s="16">
        <f>TeamHero生成!H211</f>
        <v>12328</v>
      </c>
      <c r="J211" s="16">
        <f>TeamHero生成!I211</f>
        <v>14219</v>
      </c>
    </row>
    <row r="212" ht="14.25" customHeight="1" spans="1:10">
      <c r="A212" s="16">
        <f>TeamHero生成!A212</f>
        <v>208</v>
      </c>
      <c r="B212" s="16">
        <f>TeamHero生成!B212</f>
        <v>1021</v>
      </c>
      <c r="C212" s="16">
        <f>TeamHero生成!C212</f>
        <v>31</v>
      </c>
      <c r="D212" s="17">
        <f>TeamHero生成!D212</f>
        <v>507130</v>
      </c>
      <c r="E212" s="17">
        <f>TeamHero生成!E212</f>
        <v>13817</v>
      </c>
      <c r="F212" s="17">
        <f>TeamHero生成!F212</f>
        <v>15500</v>
      </c>
      <c r="G212" s="16" t="str">
        <f>TeamHero生成!AG212</f>
        <v>有效</v>
      </c>
      <c r="H212" s="16">
        <f>TeamHero生成!G212</f>
        <v>544886</v>
      </c>
      <c r="I212" s="16">
        <f>TeamHero生成!H212</f>
        <v>14793</v>
      </c>
      <c r="J212" s="16">
        <f>TeamHero生成!I212</f>
        <v>11375</v>
      </c>
    </row>
    <row r="213" ht="14.25" customHeight="1" spans="1:10">
      <c r="A213" s="16">
        <f>TeamHero生成!A213</f>
        <v>209</v>
      </c>
      <c r="B213" s="16">
        <f>TeamHero生成!B213</f>
        <v>1040</v>
      </c>
      <c r="C213" s="16">
        <f>TeamHero生成!C213</f>
        <v>31</v>
      </c>
      <c r="D213" s="17">
        <f>TeamHero生成!D213</f>
        <v>633912</v>
      </c>
      <c r="E213" s="17">
        <f>TeamHero生成!E213</f>
        <v>11515</v>
      </c>
      <c r="F213" s="17">
        <f>TeamHero生成!F213</f>
        <v>19375</v>
      </c>
      <c r="G213" s="16" t="str">
        <f>TeamHero生成!AG213</f>
        <v>有效</v>
      </c>
      <c r="H213" s="16">
        <f>TeamHero生成!G213</f>
        <v>681108</v>
      </c>
      <c r="I213" s="16">
        <f>TeamHero生成!H213</f>
        <v>12328</v>
      </c>
      <c r="J213" s="16">
        <f>TeamHero生成!I213</f>
        <v>14219</v>
      </c>
    </row>
    <row r="214" ht="14.25" customHeight="1" spans="1:10">
      <c r="A214" s="16">
        <f>TeamHero生成!A214</f>
        <v>210</v>
      </c>
      <c r="B214" s="16">
        <f>TeamHero生成!B214</f>
        <v>1012</v>
      </c>
      <c r="C214" s="16">
        <f>TeamHero生成!C214</f>
        <v>31</v>
      </c>
      <c r="D214" s="17">
        <f>TeamHero生成!D214</f>
        <v>633912</v>
      </c>
      <c r="E214" s="17">
        <f>TeamHero生成!E214</f>
        <v>11515</v>
      </c>
      <c r="F214" s="17">
        <f>TeamHero生成!F214</f>
        <v>19375</v>
      </c>
      <c r="G214" s="16" t="str">
        <f>TeamHero生成!AG214</f>
        <v>有效</v>
      </c>
      <c r="H214" s="16">
        <f>TeamHero生成!G214</f>
        <v>681108</v>
      </c>
      <c r="I214" s="16">
        <f>TeamHero生成!H214</f>
        <v>12328</v>
      </c>
      <c r="J214" s="16">
        <f>TeamHero生成!I214</f>
        <v>14219</v>
      </c>
    </row>
    <row r="215" ht="14.25" customHeight="1" spans="1:10">
      <c r="A215" s="16">
        <f>TeamHero生成!A215</f>
        <v>211</v>
      </c>
      <c r="B215" s="16">
        <f>TeamHero生成!B215</f>
        <v>1002</v>
      </c>
      <c r="C215" s="16">
        <f>TeamHero生成!C215</f>
        <v>31</v>
      </c>
      <c r="D215" s="17">
        <f>TeamHero生成!D215</f>
        <v>799177</v>
      </c>
      <c r="E215" s="17">
        <f>TeamHero生成!E215</f>
        <v>11930</v>
      </c>
      <c r="F215" s="17">
        <f>TeamHero生成!F215</f>
        <v>23924</v>
      </c>
      <c r="G215" s="16" t="str">
        <f>TeamHero生成!AG215</f>
        <v>有效</v>
      </c>
      <c r="H215" s="16">
        <f>TeamHero生成!G215</f>
        <v>859320</v>
      </c>
      <c r="I215" s="16">
        <f>TeamHero生成!H215</f>
        <v>12740</v>
      </c>
      <c r="J215" s="16">
        <f>TeamHero生成!I215</f>
        <v>17534</v>
      </c>
    </row>
    <row r="216" ht="14.25" customHeight="1" spans="1:10">
      <c r="A216" s="16">
        <f>TeamHero生成!A216</f>
        <v>212</v>
      </c>
      <c r="B216" s="16">
        <f>TeamHero生成!B216</f>
        <v>1030</v>
      </c>
      <c r="C216" s="16">
        <f>TeamHero生成!C216</f>
        <v>31</v>
      </c>
      <c r="D216" s="17">
        <f>TeamHero生成!D216</f>
        <v>799177</v>
      </c>
      <c r="E216" s="17">
        <f>TeamHero生成!E216</f>
        <v>11930</v>
      </c>
      <c r="F216" s="17">
        <f>TeamHero生成!F216</f>
        <v>23924</v>
      </c>
      <c r="G216" s="16" t="str">
        <f>TeamHero生成!AG216</f>
        <v>有效</v>
      </c>
      <c r="H216" s="16">
        <f>TeamHero生成!G216</f>
        <v>859320</v>
      </c>
      <c r="I216" s="16">
        <f>TeamHero生成!H216</f>
        <v>12740</v>
      </c>
      <c r="J216" s="16">
        <f>TeamHero生成!I216</f>
        <v>17534</v>
      </c>
    </row>
    <row r="217" ht="14.25" customHeight="1" spans="1:10">
      <c r="A217" s="16">
        <f>TeamHero生成!A217</f>
        <v>213</v>
      </c>
      <c r="B217" s="16">
        <f>TeamHero生成!B217</f>
        <v>1015</v>
      </c>
      <c r="C217" s="16">
        <f>TeamHero生成!C217</f>
        <v>31</v>
      </c>
      <c r="D217" s="17">
        <f>TeamHero生成!D217</f>
        <v>665981</v>
      </c>
      <c r="E217" s="17">
        <f>TeamHero生成!E217</f>
        <v>11930</v>
      </c>
      <c r="F217" s="17">
        <f>TeamHero生成!F217</f>
        <v>19936</v>
      </c>
      <c r="G217" s="16" t="str">
        <f>TeamHero生成!AG217</f>
        <v>有效</v>
      </c>
      <c r="H217" s="16">
        <f>TeamHero生成!G217</f>
        <v>716100</v>
      </c>
      <c r="I217" s="16">
        <f>TeamHero生成!H217</f>
        <v>12740</v>
      </c>
      <c r="J217" s="16">
        <f>TeamHero生成!I217</f>
        <v>14612</v>
      </c>
    </row>
    <row r="218" ht="14.25" customHeight="1" spans="1:10">
      <c r="A218" s="16">
        <f>TeamHero生成!A218</f>
        <v>214</v>
      </c>
      <c r="B218" s="16">
        <f>TeamHero生成!B218</f>
        <v>1026</v>
      </c>
      <c r="C218" s="16">
        <f>TeamHero生成!C218</f>
        <v>31</v>
      </c>
      <c r="D218" s="17">
        <f>TeamHero生成!D218</f>
        <v>532785</v>
      </c>
      <c r="E218" s="17">
        <f>TeamHero生成!E218</f>
        <v>14316</v>
      </c>
      <c r="F218" s="17">
        <f>TeamHero生成!F218</f>
        <v>15949</v>
      </c>
      <c r="G218" s="16" t="str">
        <f>TeamHero生成!AG218</f>
        <v>有效</v>
      </c>
      <c r="H218" s="16">
        <f>TeamHero生成!G218</f>
        <v>572880</v>
      </c>
      <c r="I218" s="16">
        <f>TeamHero生成!H218</f>
        <v>15288</v>
      </c>
      <c r="J218" s="16">
        <f>TeamHero生成!I218</f>
        <v>11689</v>
      </c>
    </row>
    <row r="219" ht="14.25" customHeight="1" spans="1:10">
      <c r="A219" s="16">
        <f>TeamHero生成!A219</f>
        <v>215</v>
      </c>
      <c r="B219" s="16">
        <f>TeamHero生成!B219</f>
        <v>1020</v>
      </c>
      <c r="C219" s="16">
        <f>TeamHero生成!C219</f>
        <v>31</v>
      </c>
      <c r="D219" s="17">
        <f>TeamHero生成!D219</f>
        <v>665981</v>
      </c>
      <c r="E219" s="17">
        <f>TeamHero生成!E219</f>
        <v>11930</v>
      </c>
      <c r="F219" s="17">
        <f>TeamHero生成!F219</f>
        <v>19936</v>
      </c>
      <c r="G219" s="16" t="str">
        <f>TeamHero生成!AG219</f>
        <v>有效</v>
      </c>
      <c r="H219" s="16">
        <f>TeamHero生成!G219</f>
        <v>716100</v>
      </c>
      <c r="I219" s="16">
        <f>TeamHero生成!H219</f>
        <v>12740</v>
      </c>
      <c r="J219" s="16">
        <f>TeamHero生成!I219</f>
        <v>14612</v>
      </c>
    </row>
    <row r="220" ht="14.25" customHeight="1" spans="1:10">
      <c r="A220" s="16">
        <f>TeamHero生成!A220</f>
        <v>216</v>
      </c>
      <c r="B220" s="16">
        <f>TeamHero生成!B220</f>
        <v>1030</v>
      </c>
      <c r="C220" s="16">
        <f>TeamHero生成!C220</f>
        <v>32</v>
      </c>
      <c r="D220" s="17">
        <f>TeamHero生成!D220</f>
        <v>838962</v>
      </c>
      <c r="E220" s="17">
        <f>TeamHero生成!E220</f>
        <v>12360</v>
      </c>
      <c r="F220" s="17">
        <f>TeamHero生成!F220</f>
        <v>24432</v>
      </c>
      <c r="G220" s="16" t="str">
        <f>TeamHero生成!AG220</f>
        <v>有效</v>
      </c>
      <c r="H220" s="16">
        <f>TeamHero生成!G220</f>
        <v>902822</v>
      </c>
      <c r="I220" s="16">
        <f>TeamHero生成!H220</f>
        <v>13163</v>
      </c>
      <c r="J220" s="16">
        <f>TeamHero生成!I220</f>
        <v>18010</v>
      </c>
    </row>
    <row r="221" ht="14.25" customHeight="1" spans="1:10">
      <c r="A221" s="16">
        <f>TeamHero生成!A221</f>
        <v>217</v>
      </c>
      <c r="B221" s="16">
        <f>TeamHero生成!B221</f>
        <v>1030</v>
      </c>
      <c r="C221" s="16">
        <f>TeamHero生成!C221</f>
        <v>32</v>
      </c>
      <c r="D221" s="17">
        <f>TeamHero生成!D221</f>
        <v>838962</v>
      </c>
      <c r="E221" s="17">
        <f>TeamHero生成!E221</f>
        <v>12360</v>
      </c>
      <c r="F221" s="17">
        <f>TeamHero生成!F221</f>
        <v>24432</v>
      </c>
      <c r="G221" s="16" t="str">
        <f>TeamHero生成!AG221</f>
        <v>有效</v>
      </c>
      <c r="H221" s="16">
        <f>TeamHero生成!G221</f>
        <v>902822</v>
      </c>
      <c r="I221" s="16">
        <f>TeamHero生成!H221</f>
        <v>13163</v>
      </c>
      <c r="J221" s="16">
        <f>TeamHero生成!I221</f>
        <v>18010</v>
      </c>
    </row>
    <row r="222" ht="14.25" customHeight="1" spans="1:10">
      <c r="A222" s="16">
        <f>TeamHero生成!A222</f>
        <v>218</v>
      </c>
      <c r="B222" s="16">
        <f>TeamHero生成!B222</f>
        <v>1024</v>
      </c>
      <c r="C222" s="16">
        <f>TeamHero生成!C222</f>
        <v>32</v>
      </c>
      <c r="D222" s="17">
        <f>TeamHero生成!D222</f>
        <v>559308</v>
      </c>
      <c r="E222" s="17">
        <f>TeamHero生成!E222</f>
        <v>14832</v>
      </c>
      <c r="F222" s="17">
        <f>TeamHero生成!F222</f>
        <v>16288</v>
      </c>
      <c r="G222" s="16" t="str">
        <f>TeamHero生成!AG222</f>
        <v>有效</v>
      </c>
      <c r="H222" s="16">
        <f>TeamHero生成!G222</f>
        <v>601881</v>
      </c>
      <c r="I222" s="16">
        <f>TeamHero生成!H222</f>
        <v>15795</v>
      </c>
      <c r="J222" s="16">
        <f>TeamHero生成!I222</f>
        <v>12007</v>
      </c>
    </row>
    <row r="223" ht="14.25" customHeight="1" spans="1:10">
      <c r="A223" s="16">
        <f>TeamHero生成!A223</f>
        <v>219</v>
      </c>
      <c r="B223" s="16">
        <f>TeamHero生成!B223</f>
        <v>1020</v>
      </c>
      <c r="C223" s="16">
        <f>TeamHero生成!C223</f>
        <v>32</v>
      </c>
      <c r="D223" s="17">
        <f>TeamHero生成!D223</f>
        <v>699135</v>
      </c>
      <c r="E223" s="17">
        <f>TeamHero生成!E223</f>
        <v>12360</v>
      </c>
      <c r="F223" s="17">
        <f>TeamHero生成!F223</f>
        <v>20360</v>
      </c>
      <c r="G223" s="16" t="str">
        <f>TeamHero生成!AG223</f>
        <v>有效</v>
      </c>
      <c r="H223" s="16">
        <f>TeamHero生成!G223</f>
        <v>752352</v>
      </c>
      <c r="I223" s="16">
        <f>TeamHero生成!H223</f>
        <v>13163</v>
      </c>
      <c r="J223" s="16">
        <f>TeamHero生成!I223</f>
        <v>15009</v>
      </c>
    </row>
    <row r="224" ht="14.25" customHeight="1" spans="1:10">
      <c r="A224" s="16">
        <f>TeamHero生成!A224</f>
        <v>220</v>
      </c>
      <c r="B224" s="16">
        <f>TeamHero生成!B224</f>
        <v>1011</v>
      </c>
      <c r="C224" s="16">
        <f>TeamHero生成!C224</f>
        <v>32</v>
      </c>
      <c r="D224" s="17">
        <f>TeamHero生成!D224</f>
        <v>699135</v>
      </c>
      <c r="E224" s="17">
        <f>TeamHero生成!E224</f>
        <v>12360</v>
      </c>
      <c r="F224" s="17">
        <f>TeamHero生成!F224</f>
        <v>20360</v>
      </c>
      <c r="G224" s="16" t="str">
        <f>TeamHero生成!AG224</f>
        <v>有效</v>
      </c>
      <c r="H224" s="16">
        <f>TeamHero生成!G224</f>
        <v>752352</v>
      </c>
      <c r="I224" s="16">
        <f>TeamHero生成!H224</f>
        <v>13163</v>
      </c>
      <c r="J224" s="16">
        <f>TeamHero生成!I224</f>
        <v>15009</v>
      </c>
    </row>
    <row r="225" ht="14.25" customHeight="1" spans="1:10">
      <c r="A225" s="16">
        <f>TeamHero生成!A225</f>
        <v>221</v>
      </c>
      <c r="B225" s="16">
        <f>TeamHero生成!B225</f>
        <v>1030</v>
      </c>
      <c r="C225" s="16">
        <f>TeamHero生成!C225</f>
        <v>32</v>
      </c>
      <c r="D225" s="17">
        <f>TeamHero生成!D225</f>
        <v>877226</v>
      </c>
      <c r="E225" s="17">
        <f>TeamHero生成!E225</f>
        <v>12826</v>
      </c>
      <c r="F225" s="17">
        <f>TeamHero生成!F225</f>
        <v>25115</v>
      </c>
      <c r="G225" s="16" t="str">
        <f>TeamHero生成!AG225</f>
        <v>有效</v>
      </c>
      <c r="H225" s="16">
        <f>TeamHero生成!G225</f>
        <v>947858</v>
      </c>
      <c r="I225" s="16">
        <f>TeamHero生成!H225</f>
        <v>13592</v>
      </c>
      <c r="J225" s="16">
        <f>TeamHero生成!I225</f>
        <v>18492</v>
      </c>
    </row>
    <row r="226" ht="14.25" customHeight="1" spans="1:10">
      <c r="A226" s="16">
        <f>TeamHero生成!A226</f>
        <v>222</v>
      </c>
      <c r="B226" s="16">
        <f>TeamHero生成!B226</f>
        <v>1001</v>
      </c>
      <c r="C226" s="16">
        <f>TeamHero生成!C226</f>
        <v>32</v>
      </c>
      <c r="D226" s="17">
        <f>TeamHero生成!D226</f>
        <v>584817</v>
      </c>
      <c r="E226" s="17">
        <f>TeamHero生成!E226</f>
        <v>15391</v>
      </c>
      <c r="F226" s="17">
        <f>TeamHero生成!F226</f>
        <v>16743</v>
      </c>
      <c r="G226" s="16" t="str">
        <f>TeamHero生成!AG226</f>
        <v>有效</v>
      </c>
      <c r="H226" s="16">
        <f>TeamHero生成!G226</f>
        <v>631905</v>
      </c>
      <c r="I226" s="16">
        <f>TeamHero生成!H226</f>
        <v>16310</v>
      </c>
      <c r="J226" s="16">
        <f>TeamHero生成!I226</f>
        <v>12328</v>
      </c>
    </row>
    <row r="227" ht="14.25" customHeight="1" spans="1:10">
      <c r="A227" s="16">
        <f>TeamHero生成!A227</f>
        <v>223</v>
      </c>
      <c r="B227" s="16">
        <f>TeamHero生成!B227</f>
        <v>1021</v>
      </c>
      <c r="C227" s="16">
        <f>TeamHero生成!C227</f>
        <v>32</v>
      </c>
      <c r="D227" s="17">
        <f>TeamHero生成!D227</f>
        <v>584817</v>
      </c>
      <c r="E227" s="17">
        <f>TeamHero生成!E227</f>
        <v>15391</v>
      </c>
      <c r="F227" s="17">
        <f>TeamHero生成!F227</f>
        <v>16743</v>
      </c>
      <c r="G227" s="16" t="str">
        <f>TeamHero生成!AG227</f>
        <v>有效</v>
      </c>
      <c r="H227" s="16">
        <f>TeamHero生成!G227</f>
        <v>631905</v>
      </c>
      <c r="I227" s="16">
        <f>TeamHero生成!H227</f>
        <v>16310</v>
      </c>
      <c r="J227" s="16">
        <f>TeamHero生成!I227</f>
        <v>12328</v>
      </c>
    </row>
    <row r="228" ht="14.25" customHeight="1" spans="1:10">
      <c r="A228" s="16">
        <f>TeamHero生成!A228</f>
        <v>224</v>
      </c>
      <c r="B228" s="16">
        <f>TeamHero生成!B228</f>
        <v>1020</v>
      </c>
      <c r="C228" s="16">
        <f>TeamHero生成!C228</f>
        <v>32</v>
      </c>
      <c r="D228" s="17">
        <f>TeamHero生成!D228</f>
        <v>731022</v>
      </c>
      <c r="E228" s="17">
        <f>TeamHero生成!E228</f>
        <v>12826</v>
      </c>
      <c r="F228" s="17">
        <f>TeamHero生成!F228</f>
        <v>20929</v>
      </c>
      <c r="G228" s="16" t="str">
        <f>TeamHero生成!AG228</f>
        <v>有效</v>
      </c>
      <c r="H228" s="16">
        <f>TeamHero生成!G228</f>
        <v>789882</v>
      </c>
      <c r="I228" s="16">
        <f>TeamHero生成!H228</f>
        <v>13592</v>
      </c>
      <c r="J228" s="16">
        <f>TeamHero生成!I228</f>
        <v>15410</v>
      </c>
    </row>
    <row r="229" ht="14.25" customHeight="1" spans="1:10">
      <c r="A229" s="16">
        <f>TeamHero生成!A229</f>
        <v>225</v>
      </c>
      <c r="B229" s="16">
        <f>TeamHero生成!B229</f>
        <v>1011</v>
      </c>
      <c r="C229" s="16">
        <f>TeamHero生成!C229</f>
        <v>32</v>
      </c>
      <c r="D229" s="17">
        <f>TeamHero生成!D229</f>
        <v>731022</v>
      </c>
      <c r="E229" s="17">
        <f>TeamHero生成!E229</f>
        <v>12826</v>
      </c>
      <c r="F229" s="17">
        <f>TeamHero生成!F229</f>
        <v>20929</v>
      </c>
      <c r="G229" s="16" t="str">
        <f>TeamHero生成!AG229</f>
        <v>有效</v>
      </c>
      <c r="H229" s="16">
        <f>TeamHero生成!G229</f>
        <v>789882</v>
      </c>
      <c r="I229" s="16">
        <f>TeamHero生成!H229</f>
        <v>13592</v>
      </c>
      <c r="J229" s="16">
        <f>TeamHero生成!I229</f>
        <v>15410</v>
      </c>
    </row>
    <row r="230" ht="14.25" customHeight="1" spans="1:10">
      <c r="A230" s="16">
        <f>TeamHero生成!A230</f>
        <v>226</v>
      </c>
      <c r="B230" s="16">
        <f>TeamHero生成!B230</f>
        <v>1030</v>
      </c>
      <c r="C230" s="16">
        <f>TeamHero生成!C230</f>
        <v>33</v>
      </c>
      <c r="D230" s="17">
        <f>TeamHero生成!D230</f>
        <v>925415</v>
      </c>
      <c r="E230" s="17">
        <f>TeamHero生成!E230</f>
        <v>13332</v>
      </c>
      <c r="F230" s="17">
        <f>TeamHero生成!F230</f>
        <v>25805</v>
      </c>
      <c r="G230" s="16" t="str">
        <f>TeamHero生成!AG230</f>
        <v>有效</v>
      </c>
      <c r="H230" s="16">
        <f>TeamHero生成!G230</f>
        <v>994471</v>
      </c>
      <c r="I230" s="16">
        <f>TeamHero生成!H230</f>
        <v>14033</v>
      </c>
      <c r="J230" s="16">
        <f>TeamHero生成!I230</f>
        <v>18976</v>
      </c>
    </row>
    <row r="231" ht="14.25" customHeight="1" spans="1:10">
      <c r="A231" s="16">
        <f>TeamHero生成!A231</f>
        <v>227</v>
      </c>
      <c r="B231" s="16">
        <f>TeamHero生成!B231</f>
        <v>1012</v>
      </c>
      <c r="C231" s="16">
        <f>TeamHero生成!C231</f>
        <v>33</v>
      </c>
      <c r="D231" s="17">
        <f>TeamHero生成!D231</f>
        <v>771179</v>
      </c>
      <c r="E231" s="17">
        <f>TeamHero生成!E231</f>
        <v>13332</v>
      </c>
      <c r="F231" s="17">
        <f>TeamHero生成!F231</f>
        <v>21504</v>
      </c>
      <c r="G231" s="16" t="str">
        <f>TeamHero生成!AG231</f>
        <v>有效</v>
      </c>
      <c r="H231" s="16">
        <f>TeamHero生成!G231</f>
        <v>828726</v>
      </c>
      <c r="I231" s="16">
        <f>TeamHero生成!H231</f>
        <v>14033</v>
      </c>
      <c r="J231" s="16">
        <f>TeamHero生成!I231</f>
        <v>15814</v>
      </c>
    </row>
    <row r="232" ht="14.25" customHeight="1" spans="1:10">
      <c r="A232" s="16">
        <f>TeamHero生成!A232</f>
        <v>228</v>
      </c>
      <c r="B232" s="16">
        <f>TeamHero生成!B232</f>
        <v>1011</v>
      </c>
      <c r="C232" s="16">
        <f>TeamHero生成!C232</f>
        <v>33</v>
      </c>
      <c r="D232" s="17">
        <f>TeamHero生成!D232</f>
        <v>771179</v>
      </c>
      <c r="E232" s="17">
        <f>TeamHero生成!E232</f>
        <v>13332</v>
      </c>
      <c r="F232" s="17">
        <f>TeamHero生成!F232</f>
        <v>21504</v>
      </c>
      <c r="G232" s="16" t="str">
        <f>TeamHero生成!AG232</f>
        <v>有效</v>
      </c>
      <c r="H232" s="16">
        <f>TeamHero生成!G232</f>
        <v>828726</v>
      </c>
      <c r="I232" s="16">
        <f>TeamHero生成!H232</f>
        <v>14033</v>
      </c>
      <c r="J232" s="16">
        <f>TeamHero生成!I232</f>
        <v>15814</v>
      </c>
    </row>
    <row r="233" ht="14.25" customHeight="1" spans="1:10">
      <c r="A233" s="16">
        <f>TeamHero生成!A233</f>
        <v>229</v>
      </c>
      <c r="B233" s="16">
        <f>TeamHero生成!B233</f>
        <v>1018</v>
      </c>
      <c r="C233" s="16">
        <f>TeamHero生成!C233</f>
        <v>33</v>
      </c>
      <c r="D233" s="17">
        <f>TeamHero生成!D233</f>
        <v>771179</v>
      </c>
      <c r="E233" s="17">
        <f>TeamHero生成!E233</f>
        <v>13332</v>
      </c>
      <c r="F233" s="17">
        <f>TeamHero生成!F233</f>
        <v>21504</v>
      </c>
      <c r="G233" s="16" t="str">
        <f>TeamHero生成!AG233</f>
        <v>有效</v>
      </c>
      <c r="H233" s="16">
        <f>TeamHero生成!G233</f>
        <v>828726</v>
      </c>
      <c r="I233" s="16">
        <f>TeamHero生成!H233</f>
        <v>14033</v>
      </c>
      <c r="J233" s="16">
        <f>TeamHero生成!I233</f>
        <v>15814</v>
      </c>
    </row>
    <row r="234" ht="14.25" customHeight="1" spans="1:10">
      <c r="A234" s="16">
        <f>TeamHero生成!A234</f>
        <v>230</v>
      </c>
      <c r="B234" s="16">
        <f>TeamHero生成!B234</f>
        <v>1018</v>
      </c>
      <c r="C234" s="16">
        <f>TeamHero生成!C234</f>
        <v>33</v>
      </c>
      <c r="D234" s="17">
        <f>TeamHero生成!D234</f>
        <v>771179</v>
      </c>
      <c r="E234" s="17">
        <f>TeamHero生成!E234</f>
        <v>13332</v>
      </c>
      <c r="F234" s="17">
        <f>TeamHero生成!F234</f>
        <v>21504</v>
      </c>
      <c r="G234" s="16" t="str">
        <f>TeamHero生成!AG234</f>
        <v>有效</v>
      </c>
      <c r="H234" s="16">
        <f>TeamHero生成!G234</f>
        <v>828726</v>
      </c>
      <c r="I234" s="16">
        <f>TeamHero生成!H234</f>
        <v>14033</v>
      </c>
      <c r="J234" s="16">
        <f>TeamHero生成!I234</f>
        <v>15814</v>
      </c>
    </row>
    <row r="235" ht="14.25" customHeight="1" spans="1:10">
      <c r="A235" s="16">
        <f>TeamHero生成!A235</f>
        <v>231</v>
      </c>
      <c r="B235" s="16">
        <f>TeamHero生成!B235</f>
        <v>1030</v>
      </c>
      <c r="C235" s="16">
        <f>TeamHero生成!C235</f>
        <v>33</v>
      </c>
      <c r="D235" s="17">
        <f>TeamHero生成!D235</f>
        <v>960300</v>
      </c>
      <c r="E235" s="17">
        <f>TeamHero生成!E235</f>
        <v>13757</v>
      </c>
      <c r="F235" s="17">
        <f>TeamHero生成!F235</f>
        <v>26324</v>
      </c>
      <c r="G235" s="16" t="str">
        <f>TeamHero生成!AG235</f>
        <v>有效</v>
      </c>
      <c r="H235" s="16">
        <f>TeamHero生成!G235</f>
        <v>1042682</v>
      </c>
      <c r="I235" s="16">
        <f>TeamHero生成!H235</f>
        <v>14482</v>
      </c>
      <c r="J235" s="16">
        <f>TeamHero生成!I235</f>
        <v>19466</v>
      </c>
    </row>
    <row r="236" ht="14.25" customHeight="1" spans="1:10">
      <c r="A236" s="16">
        <f>TeamHero生成!A236</f>
        <v>232</v>
      </c>
      <c r="B236" s="16">
        <f>TeamHero生成!B236</f>
        <v>1012</v>
      </c>
      <c r="C236" s="16">
        <f>TeamHero生成!C236</f>
        <v>33</v>
      </c>
      <c r="D236" s="17">
        <f>TeamHero生成!D236</f>
        <v>800250</v>
      </c>
      <c r="E236" s="17">
        <f>TeamHero生成!E236</f>
        <v>13757</v>
      </c>
      <c r="F236" s="17">
        <f>TeamHero生成!F236</f>
        <v>21936</v>
      </c>
      <c r="G236" s="16" t="str">
        <f>TeamHero生成!AG236</f>
        <v>有效</v>
      </c>
      <c r="H236" s="16">
        <f>TeamHero生成!G236</f>
        <v>868902</v>
      </c>
      <c r="I236" s="16">
        <f>TeamHero生成!H236</f>
        <v>14482</v>
      </c>
      <c r="J236" s="16">
        <f>TeamHero生成!I236</f>
        <v>16222</v>
      </c>
    </row>
    <row r="237" ht="14.25" customHeight="1" spans="1:10">
      <c r="A237" s="16">
        <f>TeamHero生成!A237</f>
        <v>233</v>
      </c>
      <c r="B237" s="16">
        <f>TeamHero生成!B237</f>
        <v>1012</v>
      </c>
      <c r="C237" s="16">
        <f>TeamHero生成!C237</f>
        <v>33</v>
      </c>
      <c r="D237" s="17">
        <f>TeamHero生成!D237</f>
        <v>800250</v>
      </c>
      <c r="E237" s="17">
        <f>TeamHero生成!E237</f>
        <v>13757</v>
      </c>
      <c r="F237" s="17">
        <f>TeamHero生成!F237</f>
        <v>21936</v>
      </c>
      <c r="G237" s="16" t="str">
        <f>TeamHero生成!AG237</f>
        <v>有效</v>
      </c>
      <c r="H237" s="16">
        <f>TeamHero生成!G237</f>
        <v>868902</v>
      </c>
      <c r="I237" s="16">
        <f>TeamHero生成!H237</f>
        <v>14482</v>
      </c>
      <c r="J237" s="16">
        <f>TeamHero生成!I237</f>
        <v>16222</v>
      </c>
    </row>
    <row r="238" ht="14.25" customHeight="1" spans="1:10">
      <c r="A238" s="16">
        <f>TeamHero生成!A238</f>
        <v>234</v>
      </c>
      <c r="B238" s="16">
        <f>TeamHero生成!B238</f>
        <v>1026</v>
      </c>
      <c r="C238" s="16">
        <f>TeamHero生成!C238</f>
        <v>33</v>
      </c>
      <c r="D238" s="17">
        <f>TeamHero生成!D238</f>
        <v>640200</v>
      </c>
      <c r="E238" s="17">
        <f>TeamHero生成!E238</f>
        <v>16508</v>
      </c>
      <c r="F238" s="17">
        <f>TeamHero生成!F238</f>
        <v>17549</v>
      </c>
      <c r="G238" s="16" t="str">
        <f>TeamHero生成!AG238</f>
        <v>有效</v>
      </c>
      <c r="H238" s="16">
        <f>TeamHero生成!G238</f>
        <v>695121</v>
      </c>
      <c r="I238" s="16">
        <f>TeamHero生成!H238</f>
        <v>17378</v>
      </c>
      <c r="J238" s="16">
        <f>TeamHero生成!I238</f>
        <v>12977</v>
      </c>
    </row>
    <row r="239" ht="14.25" customHeight="1" spans="1:10">
      <c r="A239" s="16">
        <f>TeamHero生成!A239</f>
        <v>235</v>
      </c>
      <c r="B239" s="16">
        <f>TeamHero生成!B239</f>
        <v>1021</v>
      </c>
      <c r="C239" s="16">
        <f>TeamHero生成!C239</f>
        <v>33</v>
      </c>
      <c r="D239" s="17">
        <f>TeamHero生成!D239</f>
        <v>640200</v>
      </c>
      <c r="E239" s="17">
        <f>TeamHero生成!E239</f>
        <v>16508</v>
      </c>
      <c r="F239" s="17">
        <f>TeamHero生成!F239</f>
        <v>17549</v>
      </c>
      <c r="G239" s="16" t="str">
        <f>TeamHero生成!AG239</f>
        <v>有效</v>
      </c>
      <c r="H239" s="16">
        <f>TeamHero生成!G239</f>
        <v>695121</v>
      </c>
      <c r="I239" s="16">
        <f>TeamHero生成!H239</f>
        <v>17378</v>
      </c>
      <c r="J239" s="16">
        <f>TeamHero生成!I239</f>
        <v>12977</v>
      </c>
    </row>
    <row r="240" ht="14.25" customHeight="1" spans="1:10">
      <c r="A240" s="16">
        <f>TeamHero生成!A240</f>
        <v>236</v>
      </c>
      <c r="B240" s="16">
        <f>TeamHero生成!B240</f>
        <v>1002</v>
      </c>
      <c r="C240" s="16">
        <f>TeamHero生成!C240</f>
        <v>34</v>
      </c>
      <c r="D240" s="17">
        <f>TeamHero生成!D240</f>
        <v>1009493</v>
      </c>
      <c r="E240" s="17">
        <f>TeamHero生成!E240</f>
        <v>14265</v>
      </c>
      <c r="F240" s="17">
        <f>TeamHero生成!F240</f>
        <v>27023</v>
      </c>
      <c r="G240" s="16" t="str">
        <f>TeamHero生成!AG240</f>
        <v>有效</v>
      </c>
      <c r="H240" s="16">
        <f>TeamHero生成!G240</f>
        <v>1092542</v>
      </c>
      <c r="I240" s="16">
        <f>TeamHero生成!H240</f>
        <v>14939</v>
      </c>
      <c r="J240" s="16">
        <f>TeamHero生成!I240</f>
        <v>19960</v>
      </c>
    </row>
    <row r="241" ht="14.25" customHeight="1" spans="1:10">
      <c r="A241" s="16">
        <f>TeamHero生成!A241</f>
        <v>237</v>
      </c>
      <c r="B241" s="16">
        <f>TeamHero生成!B241</f>
        <v>1015</v>
      </c>
      <c r="C241" s="16">
        <f>TeamHero生成!C241</f>
        <v>34</v>
      </c>
      <c r="D241" s="17">
        <f>TeamHero生成!D241</f>
        <v>841244</v>
      </c>
      <c r="E241" s="17">
        <f>TeamHero生成!E241</f>
        <v>14265</v>
      </c>
      <c r="F241" s="17">
        <f>TeamHero生成!F241</f>
        <v>22519</v>
      </c>
      <c r="G241" s="16" t="str">
        <f>TeamHero生成!AG241</f>
        <v>有效</v>
      </c>
      <c r="H241" s="16">
        <f>TeamHero生成!G241</f>
        <v>910452</v>
      </c>
      <c r="I241" s="16">
        <f>TeamHero生成!H241</f>
        <v>14939</v>
      </c>
      <c r="J241" s="16">
        <f>TeamHero生成!I241</f>
        <v>16634</v>
      </c>
    </row>
    <row r="242" ht="14.25" customHeight="1" spans="1:10">
      <c r="A242" s="16">
        <f>TeamHero生成!A242</f>
        <v>238</v>
      </c>
      <c r="B242" s="16">
        <f>TeamHero生成!B242</f>
        <v>1020</v>
      </c>
      <c r="C242" s="16">
        <f>TeamHero生成!C242</f>
        <v>34</v>
      </c>
      <c r="D242" s="17">
        <f>TeamHero生成!D242</f>
        <v>841244</v>
      </c>
      <c r="E242" s="17">
        <f>TeamHero生成!E242</f>
        <v>14265</v>
      </c>
      <c r="F242" s="17">
        <f>TeamHero生成!F242</f>
        <v>22519</v>
      </c>
      <c r="G242" s="16" t="str">
        <f>TeamHero生成!AG242</f>
        <v>有效</v>
      </c>
      <c r="H242" s="16">
        <f>TeamHero生成!G242</f>
        <v>910452</v>
      </c>
      <c r="I242" s="16">
        <f>TeamHero生成!H242</f>
        <v>14939</v>
      </c>
      <c r="J242" s="16">
        <f>TeamHero生成!I242</f>
        <v>16634</v>
      </c>
    </row>
    <row r="243" ht="14.25" customHeight="1" spans="1:10">
      <c r="A243" s="16">
        <f>TeamHero生成!A243</f>
        <v>239</v>
      </c>
      <c r="B243" s="16">
        <f>TeamHero生成!B243</f>
        <v>1021</v>
      </c>
      <c r="C243" s="16">
        <f>TeamHero生成!C243</f>
        <v>34</v>
      </c>
      <c r="D243" s="17">
        <f>TeamHero生成!D243</f>
        <v>672995</v>
      </c>
      <c r="E243" s="17">
        <f>TeamHero生成!E243</f>
        <v>17118</v>
      </c>
      <c r="F243" s="17">
        <f>TeamHero生成!F243</f>
        <v>18015</v>
      </c>
      <c r="G243" s="16" t="str">
        <f>TeamHero生成!AG243</f>
        <v>有效</v>
      </c>
      <c r="H243" s="16">
        <f>TeamHero生成!G243</f>
        <v>728361</v>
      </c>
      <c r="I243" s="16">
        <f>TeamHero生成!H243</f>
        <v>17926</v>
      </c>
      <c r="J243" s="16">
        <f>TeamHero生成!I243</f>
        <v>13307</v>
      </c>
    </row>
    <row r="244" ht="14.25" customHeight="1" spans="1:10">
      <c r="A244" s="16">
        <f>TeamHero生成!A244</f>
        <v>240</v>
      </c>
      <c r="B244" s="16">
        <f>TeamHero生成!B244</f>
        <v>1040</v>
      </c>
      <c r="C244" s="16">
        <f>TeamHero生成!C244</f>
        <v>34</v>
      </c>
      <c r="D244" s="17">
        <f>TeamHero生成!D244</f>
        <v>841244</v>
      </c>
      <c r="E244" s="17">
        <f>TeamHero生成!E244</f>
        <v>14265</v>
      </c>
      <c r="F244" s="17">
        <f>TeamHero生成!F244</f>
        <v>22519</v>
      </c>
      <c r="G244" s="16" t="str">
        <f>TeamHero生成!AG244</f>
        <v>有效</v>
      </c>
      <c r="H244" s="16">
        <f>TeamHero生成!G244</f>
        <v>910452</v>
      </c>
      <c r="I244" s="16">
        <f>TeamHero生成!H244</f>
        <v>14939</v>
      </c>
      <c r="J244" s="16">
        <f>TeamHero生成!I244</f>
        <v>16634</v>
      </c>
    </row>
    <row r="245" ht="14.25" customHeight="1" spans="1:10">
      <c r="A245" s="16">
        <f>TeamHero生成!A245</f>
        <v>241</v>
      </c>
      <c r="B245" s="16">
        <f>TeamHero生成!B245</f>
        <v>1030</v>
      </c>
      <c r="C245" s="16">
        <f>TeamHero生成!C245</f>
        <v>34</v>
      </c>
      <c r="D245" s="17">
        <f>TeamHero生成!D245</f>
        <v>1047790</v>
      </c>
      <c r="E245" s="17">
        <f>TeamHero生成!E245</f>
        <v>14643</v>
      </c>
      <c r="F245" s="17">
        <f>TeamHero生成!F245</f>
        <v>27549</v>
      </c>
      <c r="G245" s="16" t="str">
        <f>TeamHero生成!AG245</f>
        <v>有效</v>
      </c>
      <c r="H245" s="16">
        <f>TeamHero生成!G245</f>
        <v>1144072</v>
      </c>
      <c r="I245" s="16">
        <f>TeamHero生成!H245</f>
        <v>15407</v>
      </c>
      <c r="J245" s="16">
        <f>TeamHero生成!I245</f>
        <v>20458</v>
      </c>
    </row>
    <row r="246" ht="14.25" customHeight="1" spans="1:10">
      <c r="A246" s="16">
        <f>TeamHero生成!A246</f>
        <v>242</v>
      </c>
      <c r="B246" s="16">
        <f>TeamHero生成!B246</f>
        <v>1002</v>
      </c>
      <c r="C246" s="16">
        <f>TeamHero生成!C246</f>
        <v>34</v>
      </c>
      <c r="D246" s="17">
        <f>TeamHero生成!D246</f>
        <v>1047790</v>
      </c>
      <c r="E246" s="17">
        <f>TeamHero生成!E246</f>
        <v>14643</v>
      </c>
      <c r="F246" s="17">
        <f>TeamHero生成!F246</f>
        <v>27549</v>
      </c>
      <c r="G246" s="16" t="str">
        <f>TeamHero生成!AG246</f>
        <v>有效</v>
      </c>
      <c r="H246" s="16">
        <f>TeamHero生成!G246</f>
        <v>1144072</v>
      </c>
      <c r="I246" s="16">
        <f>TeamHero生成!H246</f>
        <v>15407</v>
      </c>
      <c r="J246" s="16">
        <f>TeamHero生成!I246</f>
        <v>20458</v>
      </c>
    </row>
    <row r="247" ht="14.25" customHeight="1" spans="1:10">
      <c r="A247" s="16">
        <f>TeamHero生成!A247</f>
        <v>243</v>
      </c>
      <c r="B247" s="16">
        <f>TeamHero生成!B247</f>
        <v>1030</v>
      </c>
      <c r="C247" s="16">
        <f>TeamHero生成!C247</f>
        <v>34</v>
      </c>
      <c r="D247" s="17">
        <f>TeamHero生成!D247</f>
        <v>1047790</v>
      </c>
      <c r="E247" s="17">
        <f>TeamHero生成!E247</f>
        <v>14643</v>
      </c>
      <c r="F247" s="17">
        <f>TeamHero生成!F247</f>
        <v>27549</v>
      </c>
      <c r="G247" s="16" t="str">
        <f>TeamHero生成!AG247</f>
        <v>有效</v>
      </c>
      <c r="H247" s="16">
        <f>TeamHero生成!G247</f>
        <v>1144072</v>
      </c>
      <c r="I247" s="16">
        <f>TeamHero生成!H247</f>
        <v>15407</v>
      </c>
      <c r="J247" s="16">
        <f>TeamHero生成!I247</f>
        <v>20458</v>
      </c>
    </row>
    <row r="248" ht="14.25" customHeight="1" spans="1:10">
      <c r="A248" s="16">
        <f>TeamHero生成!A248</f>
        <v>244</v>
      </c>
      <c r="B248" s="16">
        <f>TeamHero生成!B248</f>
        <v>1018</v>
      </c>
      <c r="C248" s="16">
        <f>TeamHero生成!C248</f>
        <v>34</v>
      </c>
      <c r="D248" s="17">
        <f>TeamHero生成!D248</f>
        <v>873159</v>
      </c>
      <c r="E248" s="17">
        <f>TeamHero生成!E248</f>
        <v>14643</v>
      </c>
      <c r="F248" s="17">
        <f>TeamHero生成!F248</f>
        <v>22958</v>
      </c>
      <c r="G248" s="16" t="str">
        <f>TeamHero生成!AG248</f>
        <v>有效</v>
      </c>
      <c r="H248" s="16">
        <f>TeamHero生成!G248</f>
        <v>953394</v>
      </c>
      <c r="I248" s="16">
        <f>TeamHero生成!H248</f>
        <v>15407</v>
      </c>
      <c r="J248" s="16">
        <f>TeamHero生成!I248</f>
        <v>17049</v>
      </c>
    </row>
    <row r="249" ht="14.25" customHeight="1" spans="1:10">
      <c r="A249" s="16">
        <f>TeamHero生成!A249</f>
        <v>245</v>
      </c>
      <c r="B249" s="16">
        <f>TeamHero生成!B249</f>
        <v>1021</v>
      </c>
      <c r="C249" s="16">
        <f>TeamHero生成!C249</f>
        <v>34</v>
      </c>
      <c r="D249" s="17">
        <f>TeamHero生成!D249</f>
        <v>698527</v>
      </c>
      <c r="E249" s="17">
        <f>TeamHero生成!E249</f>
        <v>17572</v>
      </c>
      <c r="F249" s="17">
        <f>TeamHero生成!F249</f>
        <v>18366</v>
      </c>
      <c r="G249" s="16" t="str">
        <f>TeamHero生成!AG249</f>
        <v>有效</v>
      </c>
      <c r="H249" s="16">
        <f>TeamHero生成!G249</f>
        <v>762715</v>
      </c>
      <c r="I249" s="16">
        <f>TeamHero生成!H249</f>
        <v>18488</v>
      </c>
      <c r="J249" s="16">
        <f>TeamHero生成!I249</f>
        <v>13639</v>
      </c>
    </row>
    <row r="250" ht="14.25" customHeight="1" spans="1:10">
      <c r="A250" s="16">
        <f>TeamHero生成!A250</f>
        <v>246</v>
      </c>
      <c r="B250" s="16">
        <f>TeamHero生成!B250</f>
        <v>1030</v>
      </c>
      <c r="C250" s="16">
        <f>TeamHero生成!C250</f>
        <v>35</v>
      </c>
      <c r="D250" s="17">
        <f>TeamHero生成!D250</f>
        <v>1109663</v>
      </c>
      <c r="E250" s="17">
        <f>TeamHero生成!E250</f>
        <v>15315</v>
      </c>
      <c r="F250" s="17">
        <f>TeamHero生成!F250</f>
        <v>28257</v>
      </c>
      <c r="G250" s="16" t="str">
        <f>TeamHero生成!AG250</f>
        <v>有效</v>
      </c>
      <c r="H250" s="16">
        <f>TeamHero生成!G250</f>
        <v>1197316</v>
      </c>
      <c r="I250" s="16">
        <f>TeamHero生成!H250</f>
        <v>15884</v>
      </c>
      <c r="J250" s="16">
        <f>TeamHero生成!I250</f>
        <v>20961</v>
      </c>
    </row>
    <row r="251" ht="14.25" customHeight="1" spans="1:10">
      <c r="A251" s="16">
        <f>TeamHero生成!A251</f>
        <v>247</v>
      </c>
      <c r="B251" s="16">
        <f>TeamHero生成!B251</f>
        <v>1021</v>
      </c>
      <c r="C251" s="16">
        <f>TeamHero生成!C251</f>
        <v>35</v>
      </c>
      <c r="D251" s="17">
        <f>TeamHero生成!D251</f>
        <v>739775</v>
      </c>
      <c r="E251" s="17">
        <f>TeamHero生成!E251</f>
        <v>18378</v>
      </c>
      <c r="F251" s="17">
        <f>TeamHero生成!F251</f>
        <v>18838</v>
      </c>
      <c r="G251" s="16" t="str">
        <f>TeamHero生成!AG251</f>
        <v>有效</v>
      </c>
      <c r="H251" s="16">
        <f>TeamHero生成!G251</f>
        <v>798211</v>
      </c>
      <c r="I251" s="16">
        <f>TeamHero生成!H251</f>
        <v>19060</v>
      </c>
      <c r="J251" s="16">
        <f>TeamHero生成!I251</f>
        <v>13974</v>
      </c>
    </row>
    <row r="252" ht="14.25" customHeight="1" spans="1:10">
      <c r="A252" s="16">
        <f>TeamHero生成!A252</f>
        <v>248</v>
      </c>
      <c r="B252" s="16">
        <f>TeamHero生成!B252</f>
        <v>1029</v>
      </c>
      <c r="C252" s="16">
        <f>TeamHero生成!C252</f>
        <v>35</v>
      </c>
      <c r="D252" s="17">
        <f>TeamHero生成!D252</f>
        <v>924719</v>
      </c>
      <c r="E252" s="17">
        <f>TeamHero生成!E252</f>
        <v>15315</v>
      </c>
      <c r="F252" s="17">
        <f>TeamHero生成!F252</f>
        <v>23548</v>
      </c>
      <c r="G252" s="16" t="str">
        <f>TeamHero生成!AG252</f>
        <v>有效</v>
      </c>
      <c r="H252" s="16">
        <f>TeamHero生成!G252</f>
        <v>997764</v>
      </c>
      <c r="I252" s="16">
        <f>TeamHero生成!H252</f>
        <v>15884</v>
      </c>
      <c r="J252" s="16">
        <f>TeamHero生成!I252</f>
        <v>17468</v>
      </c>
    </row>
    <row r="253" ht="14.25" customHeight="1" spans="1:10">
      <c r="A253" s="16">
        <f>TeamHero生成!A253</f>
        <v>249</v>
      </c>
      <c r="B253" s="16">
        <f>TeamHero生成!B253</f>
        <v>1020</v>
      </c>
      <c r="C253" s="16">
        <f>TeamHero生成!C253</f>
        <v>35</v>
      </c>
      <c r="D253" s="17">
        <f>TeamHero生成!D253</f>
        <v>924719</v>
      </c>
      <c r="E253" s="17">
        <f>TeamHero生成!E253</f>
        <v>15315</v>
      </c>
      <c r="F253" s="17">
        <f>TeamHero生成!F253</f>
        <v>23548</v>
      </c>
      <c r="G253" s="16" t="str">
        <f>TeamHero生成!AG253</f>
        <v>有效</v>
      </c>
      <c r="H253" s="16">
        <f>TeamHero生成!G253</f>
        <v>997764</v>
      </c>
      <c r="I253" s="16">
        <f>TeamHero生成!H253</f>
        <v>15884</v>
      </c>
      <c r="J253" s="16">
        <f>TeamHero生成!I253</f>
        <v>17468</v>
      </c>
    </row>
    <row r="254" ht="14.25" customHeight="1" spans="1:10">
      <c r="A254" s="16">
        <f>TeamHero生成!A254</f>
        <v>250</v>
      </c>
      <c r="B254" s="16">
        <f>TeamHero生成!B254</f>
        <v>1018</v>
      </c>
      <c r="C254" s="16">
        <f>TeamHero生成!C254</f>
        <v>35</v>
      </c>
      <c r="D254" s="17">
        <f>TeamHero生成!D254</f>
        <v>924719</v>
      </c>
      <c r="E254" s="17">
        <f>TeamHero生成!E254</f>
        <v>15315</v>
      </c>
      <c r="F254" s="17">
        <f>TeamHero生成!F254</f>
        <v>23548</v>
      </c>
      <c r="G254" s="16" t="str">
        <f>TeamHero生成!AG254</f>
        <v>有效</v>
      </c>
      <c r="H254" s="16">
        <f>TeamHero生成!G254</f>
        <v>997764</v>
      </c>
      <c r="I254" s="16">
        <f>TeamHero生成!H254</f>
        <v>15884</v>
      </c>
      <c r="J254" s="16">
        <f>TeamHero生成!I254</f>
        <v>17468</v>
      </c>
    </row>
    <row r="255" ht="14.25" customHeight="1" spans="1:10">
      <c r="A255" s="16">
        <f>TeamHero生成!A255</f>
        <v>251</v>
      </c>
      <c r="B255" s="16">
        <f>TeamHero生成!B255</f>
        <v>1030</v>
      </c>
      <c r="C255" s="16">
        <f>TeamHero生成!C255</f>
        <v>35</v>
      </c>
      <c r="D255" s="17">
        <f>TeamHero生成!D255</f>
        <v>1134668</v>
      </c>
      <c r="E255" s="17">
        <f>TeamHero生成!E255</f>
        <v>15626</v>
      </c>
      <c r="F255" s="17">
        <f>TeamHero生成!F255</f>
        <v>28613</v>
      </c>
      <c r="G255" s="16" t="str">
        <f>TeamHero生成!AG255</f>
        <v>有效</v>
      </c>
      <c r="H255" s="16">
        <f>TeamHero生成!G255</f>
        <v>1266336</v>
      </c>
      <c r="I255" s="16">
        <f>TeamHero生成!H255</f>
        <v>16495</v>
      </c>
      <c r="J255" s="16">
        <f>TeamHero生成!I255</f>
        <v>21596</v>
      </c>
    </row>
    <row r="256" ht="14.25" customHeight="1" spans="1:10">
      <c r="A256" s="16">
        <f>TeamHero生成!A256</f>
        <v>252</v>
      </c>
      <c r="B256" s="16">
        <f>TeamHero生成!B256</f>
        <v>1015</v>
      </c>
      <c r="C256" s="16">
        <f>TeamHero生成!C256</f>
        <v>35</v>
      </c>
      <c r="D256" s="17">
        <f>TeamHero生成!D256</f>
        <v>945556</v>
      </c>
      <c r="E256" s="17">
        <f>TeamHero生成!E256</f>
        <v>15626</v>
      </c>
      <c r="F256" s="17">
        <f>TeamHero生成!F256</f>
        <v>23844</v>
      </c>
      <c r="G256" s="16" t="str">
        <f>TeamHero生成!AG256</f>
        <v>有效</v>
      </c>
      <c r="H256" s="16">
        <f>TeamHero生成!G256</f>
        <v>1055280</v>
      </c>
      <c r="I256" s="16">
        <f>TeamHero生成!H256</f>
        <v>16495</v>
      </c>
      <c r="J256" s="16">
        <f>TeamHero生成!I256</f>
        <v>17997</v>
      </c>
    </row>
    <row r="257" ht="14.25" customHeight="1" spans="1:10">
      <c r="A257" s="16">
        <f>TeamHero生成!A257</f>
        <v>253</v>
      </c>
      <c r="B257" s="16">
        <f>TeamHero生成!B257</f>
        <v>1014</v>
      </c>
      <c r="C257" s="16">
        <f>TeamHero生成!C257</f>
        <v>35</v>
      </c>
      <c r="D257" s="17">
        <f>TeamHero生成!D257</f>
        <v>756445</v>
      </c>
      <c r="E257" s="17">
        <f>TeamHero生成!E257</f>
        <v>18751</v>
      </c>
      <c r="F257" s="17">
        <f>TeamHero生成!F257</f>
        <v>19075</v>
      </c>
      <c r="G257" s="16" t="str">
        <f>TeamHero生成!AG257</f>
        <v>有效</v>
      </c>
      <c r="H257" s="16">
        <f>TeamHero生成!G257</f>
        <v>844224</v>
      </c>
      <c r="I257" s="16">
        <f>TeamHero生成!H257</f>
        <v>19794</v>
      </c>
      <c r="J257" s="16">
        <f>TeamHero生成!I257</f>
        <v>14397</v>
      </c>
    </row>
    <row r="258" ht="14.25" customHeight="1" spans="1:10">
      <c r="A258" s="16">
        <f>TeamHero生成!A258</f>
        <v>254</v>
      </c>
      <c r="B258" s="16">
        <f>TeamHero生成!B258</f>
        <v>1005</v>
      </c>
      <c r="C258" s="16">
        <f>TeamHero生成!C258</f>
        <v>35</v>
      </c>
      <c r="D258" s="17">
        <f>TeamHero生成!D258</f>
        <v>756445</v>
      </c>
      <c r="E258" s="17">
        <f>TeamHero生成!E258</f>
        <v>18751</v>
      </c>
      <c r="F258" s="17">
        <f>TeamHero生成!F258</f>
        <v>19075</v>
      </c>
      <c r="G258" s="16" t="str">
        <f>TeamHero生成!AG258</f>
        <v>有效</v>
      </c>
      <c r="H258" s="16">
        <f>TeamHero生成!G258</f>
        <v>844224</v>
      </c>
      <c r="I258" s="16">
        <f>TeamHero生成!H258</f>
        <v>19794</v>
      </c>
      <c r="J258" s="16">
        <f>TeamHero生成!I258</f>
        <v>14397</v>
      </c>
    </row>
    <row r="259" ht="14.25" customHeight="1" spans="1:10">
      <c r="A259" s="16">
        <f>TeamHero生成!A259</f>
        <v>255</v>
      </c>
      <c r="B259" s="16">
        <f>TeamHero生成!B259</f>
        <v>1006</v>
      </c>
      <c r="C259" s="16">
        <f>TeamHero生成!C259</f>
        <v>35</v>
      </c>
      <c r="D259" s="17">
        <f>TeamHero生成!D259</f>
        <v>756445</v>
      </c>
      <c r="E259" s="17">
        <f>TeamHero生成!E259</f>
        <v>18751</v>
      </c>
      <c r="F259" s="17">
        <f>TeamHero生成!F259</f>
        <v>19075</v>
      </c>
      <c r="G259" s="16" t="str">
        <f>TeamHero生成!AG259</f>
        <v>有效</v>
      </c>
      <c r="H259" s="16">
        <f>TeamHero生成!G259</f>
        <v>844224</v>
      </c>
      <c r="I259" s="16">
        <f>TeamHero生成!H259</f>
        <v>19794</v>
      </c>
      <c r="J259" s="16">
        <f>TeamHero生成!I259</f>
        <v>14397</v>
      </c>
    </row>
    <row r="260" ht="14.25" customHeight="1" spans="1:10">
      <c r="A260" s="16">
        <f>TeamHero生成!A260</f>
        <v>256</v>
      </c>
      <c r="B260" s="16">
        <f>TeamHero生成!B260</f>
        <v>1003</v>
      </c>
      <c r="C260" s="16">
        <f>TeamHero生成!C260</f>
        <v>36</v>
      </c>
      <c r="D260" s="17">
        <f>TeamHero生成!D260</f>
        <v>1169721</v>
      </c>
      <c r="E260" s="17">
        <f>TeamHero生成!E260</f>
        <v>16013</v>
      </c>
      <c r="F260" s="17">
        <f>TeamHero生成!F260</f>
        <v>29150</v>
      </c>
      <c r="G260" s="16" t="str">
        <f>TeamHero生成!AG260</f>
        <v>有效</v>
      </c>
      <c r="H260" s="16">
        <f>TeamHero生成!G260</f>
        <v>1323561</v>
      </c>
      <c r="I260" s="16">
        <f>TeamHero生成!H260</f>
        <v>16997</v>
      </c>
      <c r="J260" s="16">
        <f>TeamHero生成!I260</f>
        <v>22108</v>
      </c>
    </row>
    <row r="261" ht="14.25" customHeight="1" spans="1:10">
      <c r="A261" s="16">
        <f>TeamHero生成!A261</f>
        <v>257</v>
      </c>
      <c r="B261" s="16">
        <f>TeamHero生成!B261</f>
        <v>1014</v>
      </c>
      <c r="C261" s="16">
        <f>TeamHero生成!C261</f>
        <v>36</v>
      </c>
      <c r="D261" s="17">
        <f>TeamHero生成!D261</f>
        <v>779814</v>
      </c>
      <c r="E261" s="17">
        <f>TeamHero生成!E261</f>
        <v>19216</v>
      </c>
      <c r="F261" s="17">
        <f>TeamHero生成!F261</f>
        <v>19433</v>
      </c>
      <c r="G261" s="16" t="str">
        <f>TeamHero生成!AG261</f>
        <v>有效</v>
      </c>
      <c r="H261" s="16">
        <f>TeamHero生成!G261</f>
        <v>882374</v>
      </c>
      <c r="I261" s="16">
        <f>TeamHero生成!H261</f>
        <v>20396</v>
      </c>
      <c r="J261" s="16">
        <f>TeamHero生成!I261</f>
        <v>14739</v>
      </c>
    </row>
    <row r="262" ht="14.25" customHeight="1" spans="1:10">
      <c r="A262" s="16">
        <f>TeamHero生成!A262</f>
        <v>258</v>
      </c>
      <c r="B262" s="16">
        <f>TeamHero生成!B262</f>
        <v>1018</v>
      </c>
      <c r="C262" s="16">
        <f>TeamHero生成!C262</f>
        <v>36</v>
      </c>
      <c r="D262" s="17">
        <f>TeamHero生成!D262</f>
        <v>974767</v>
      </c>
      <c r="E262" s="17">
        <f>TeamHero生成!E262</f>
        <v>16013</v>
      </c>
      <c r="F262" s="17">
        <f>TeamHero生成!F262</f>
        <v>24291</v>
      </c>
      <c r="G262" s="16" t="str">
        <f>TeamHero生成!AG262</f>
        <v>有效</v>
      </c>
      <c r="H262" s="16">
        <f>TeamHero生成!G262</f>
        <v>1102968</v>
      </c>
      <c r="I262" s="16">
        <f>TeamHero生成!H262</f>
        <v>16997</v>
      </c>
      <c r="J262" s="16">
        <f>TeamHero生成!I262</f>
        <v>18424</v>
      </c>
    </row>
    <row r="263" ht="14.25" customHeight="1" spans="1:10">
      <c r="A263" s="16">
        <f>TeamHero生成!A263</f>
        <v>259</v>
      </c>
      <c r="B263" s="16">
        <f>TeamHero生成!B263</f>
        <v>1005</v>
      </c>
      <c r="C263" s="16">
        <f>TeamHero生成!C263</f>
        <v>36</v>
      </c>
      <c r="D263" s="17">
        <f>TeamHero生成!D263</f>
        <v>779814</v>
      </c>
      <c r="E263" s="17">
        <f>TeamHero生成!E263</f>
        <v>19216</v>
      </c>
      <c r="F263" s="17">
        <f>TeamHero生成!F263</f>
        <v>19433</v>
      </c>
      <c r="G263" s="16" t="str">
        <f>TeamHero生成!AG263</f>
        <v>有效</v>
      </c>
      <c r="H263" s="16">
        <f>TeamHero生成!G263</f>
        <v>882374</v>
      </c>
      <c r="I263" s="16">
        <f>TeamHero生成!H263</f>
        <v>20396</v>
      </c>
      <c r="J263" s="16">
        <f>TeamHero生成!I263</f>
        <v>14739</v>
      </c>
    </row>
    <row r="264" ht="14.25" customHeight="1" spans="1:10">
      <c r="A264" s="16">
        <f>TeamHero生成!A264</f>
        <v>260</v>
      </c>
      <c r="B264" s="16">
        <f>TeamHero生成!B264</f>
        <v>1012</v>
      </c>
      <c r="C264" s="16">
        <f>TeamHero生成!C264</f>
        <v>36</v>
      </c>
      <c r="D264" s="17">
        <f>TeamHero生成!D264</f>
        <v>974767</v>
      </c>
      <c r="E264" s="17">
        <f>TeamHero生成!E264</f>
        <v>16013</v>
      </c>
      <c r="F264" s="17">
        <f>TeamHero生成!F264</f>
        <v>24291</v>
      </c>
      <c r="G264" s="16" t="str">
        <f>TeamHero生成!AG264</f>
        <v>有效</v>
      </c>
      <c r="H264" s="16">
        <f>TeamHero生成!G264</f>
        <v>1102968</v>
      </c>
      <c r="I264" s="16">
        <f>TeamHero生成!H264</f>
        <v>16997</v>
      </c>
      <c r="J264" s="16">
        <f>TeamHero生成!I264</f>
        <v>18424</v>
      </c>
    </row>
    <row r="265" ht="14.25" customHeight="1" spans="1:10">
      <c r="A265" s="16">
        <f>TeamHero生成!A265</f>
        <v>261</v>
      </c>
      <c r="B265" s="16">
        <f>TeamHero生成!B265</f>
        <v>1003</v>
      </c>
      <c r="C265" s="16">
        <f>TeamHero生成!C265</f>
        <v>36</v>
      </c>
      <c r="D265" s="17">
        <f>TeamHero生成!D265</f>
        <v>1200620</v>
      </c>
      <c r="E265" s="17">
        <f>TeamHero生成!E265</f>
        <v>16349</v>
      </c>
      <c r="F265" s="17">
        <f>TeamHero生成!F265</f>
        <v>29508</v>
      </c>
      <c r="G265" s="16" t="str">
        <f>TeamHero生成!AG265</f>
        <v>有效</v>
      </c>
      <c r="H265" s="16">
        <f>TeamHero生成!G265</f>
        <v>1382623</v>
      </c>
      <c r="I265" s="16">
        <f>TeamHero生成!H265</f>
        <v>17508</v>
      </c>
      <c r="J265" s="16">
        <f>TeamHero生成!I265</f>
        <v>22624</v>
      </c>
    </row>
    <row r="266" ht="14.25" customHeight="1" spans="1:10">
      <c r="A266" s="16">
        <f>TeamHero生成!A266</f>
        <v>262</v>
      </c>
      <c r="B266" s="16">
        <f>TeamHero生成!B266</f>
        <v>1011</v>
      </c>
      <c r="C266" s="16">
        <f>TeamHero生成!C266</f>
        <v>36</v>
      </c>
      <c r="D266" s="17">
        <f>TeamHero生成!D266</f>
        <v>1000516</v>
      </c>
      <c r="E266" s="17">
        <f>TeamHero生成!E266</f>
        <v>16349</v>
      </c>
      <c r="F266" s="17">
        <f>TeamHero生成!F266</f>
        <v>24590</v>
      </c>
      <c r="G266" s="16" t="str">
        <f>TeamHero生成!AG266</f>
        <v>有效</v>
      </c>
      <c r="H266" s="16">
        <f>TeamHero生成!G266</f>
        <v>1152186</v>
      </c>
      <c r="I266" s="16">
        <f>TeamHero生成!H266</f>
        <v>17508</v>
      </c>
      <c r="J266" s="16">
        <f>TeamHero生成!I266</f>
        <v>18854</v>
      </c>
    </row>
    <row r="267" ht="14.25" customHeight="1" spans="1:10">
      <c r="A267" s="16">
        <f>TeamHero生成!A267</f>
        <v>263</v>
      </c>
      <c r="B267" s="16">
        <f>TeamHero生成!B267</f>
        <v>1012</v>
      </c>
      <c r="C267" s="16">
        <f>TeamHero生成!C267</f>
        <v>36</v>
      </c>
      <c r="D267" s="17">
        <f>TeamHero生成!D267</f>
        <v>1000516</v>
      </c>
      <c r="E267" s="17">
        <f>TeamHero生成!E267</f>
        <v>16349</v>
      </c>
      <c r="F267" s="17">
        <f>TeamHero生成!F267</f>
        <v>24590</v>
      </c>
      <c r="G267" s="16" t="str">
        <f>TeamHero生成!AG267</f>
        <v>有效</v>
      </c>
      <c r="H267" s="16">
        <f>TeamHero生成!G267</f>
        <v>1152186</v>
      </c>
      <c r="I267" s="16">
        <f>TeamHero生成!H267</f>
        <v>17508</v>
      </c>
      <c r="J267" s="16">
        <f>TeamHero生成!I267</f>
        <v>18854</v>
      </c>
    </row>
    <row r="268" ht="14.25" customHeight="1" spans="1:10">
      <c r="A268" s="16">
        <f>TeamHero生成!A268</f>
        <v>264</v>
      </c>
      <c r="B268" s="16">
        <f>TeamHero生成!B268</f>
        <v>1006</v>
      </c>
      <c r="C268" s="16">
        <f>TeamHero生成!C268</f>
        <v>36</v>
      </c>
      <c r="D268" s="17">
        <f>TeamHero生成!D268</f>
        <v>800413</v>
      </c>
      <c r="E268" s="17">
        <f>TeamHero生成!E268</f>
        <v>19619</v>
      </c>
      <c r="F268" s="17">
        <f>TeamHero生成!F268</f>
        <v>19672</v>
      </c>
      <c r="G268" s="16" t="str">
        <f>TeamHero生成!AG268</f>
        <v>有效</v>
      </c>
      <c r="H268" s="16">
        <f>TeamHero生成!G268</f>
        <v>921748</v>
      </c>
      <c r="I268" s="16">
        <f>TeamHero生成!H268</f>
        <v>21009</v>
      </c>
      <c r="J268" s="16">
        <f>TeamHero生成!I268</f>
        <v>15083</v>
      </c>
    </row>
    <row r="269" ht="14.25" customHeight="1" spans="1:10">
      <c r="A269" s="16">
        <f>TeamHero生成!A269</f>
        <v>265</v>
      </c>
      <c r="B269" s="16">
        <f>TeamHero生成!B269</f>
        <v>1005</v>
      </c>
      <c r="C269" s="16">
        <f>TeamHero生成!C269</f>
        <v>36</v>
      </c>
      <c r="D269" s="17">
        <f>TeamHero生成!D269</f>
        <v>800413</v>
      </c>
      <c r="E269" s="17">
        <f>TeamHero生成!E269</f>
        <v>19619</v>
      </c>
      <c r="F269" s="17">
        <f>TeamHero生成!F269</f>
        <v>19672</v>
      </c>
      <c r="G269" s="16" t="str">
        <f>TeamHero生成!AG269</f>
        <v>有效</v>
      </c>
      <c r="H269" s="16">
        <f>TeamHero生成!G269</f>
        <v>921748</v>
      </c>
      <c r="I269" s="16">
        <f>TeamHero生成!H269</f>
        <v>21009</v>
      </c>
      <c r="J269" s="16">
        <f>TeamHero生成!I269</f>
        <v>15083</v>
      </c>
    </row>
    <row r="270" ht="14.25" customHeight="1" spans="1:10">
      <c r="A270" s="16">
        <f>TeamHero生成!A270</f>
        <v>266</v>
      </c>
      <c r="B270" s="16">
        <f>TeamHero生成!B270</f>
        <v>1002</v>
      </c>
      <c r="C270" s="16">
        <f>TeamHero生成!C270</f>
        <v>37</v>
      </c>
      <c r="D270" s="17">
        <f>TeamHero生成!D270</f>
        <v>1229785</v>
      </c>
      <c r="E270" s="17">
        <f>TeamHero生成!E270</f>
        <v>16658</v>
      </c>
      <c r="F270" s="17">
        <f>TeamHero生成!F270</f>
        <v>29870</v>
      </c>
      <c r="G270" s="16" t="str">
        <f>TeamHero生成!AG270</f>
        <v>有效</v>
      </c>
      <c r="H270" s="16">
        <f>TeamHero生成!G270</f>
        <v>1443556</v>
      </c>
      <c r="I270" s="16">
        <f>TeamHero生成!H270</f>
        <v>18030</v>
      </c>
      <c r="J270" s="16">
        <f>TeamHero生成!I270</f>
        <v>23146</v>
      </c>
    </row>
    <row r="271" ht="14.25" customHeight="1" spans="1:10">
      <c r="A271" s="16">
        <f>TeamHero生成!A271</f>
        <v>267</v>
      </c>
      <c r="B271" s="16">
        <f>TeamHero生成!B271</f>
        <v>1006</v>
      </c>
      <c r="C271" s="16">
        <f>TeamHero生成!C271</f>
        <v>37</v>
      </c>
      <c r="D271" s="17">
        <f>TeamHero生成!D271</f>
        <v>819856</v>
      </c>
      <c r="E271" s="17">
        <f>TeamHero生成!E271</f>
        <v>19989</v>
      </c>
      <c r="F271" s="17">
        <f>TeamHero生成!F271</f>
        <v>19913</v>
      </c>
      <c r="G271" s="16" t="str">
        <f>TeamHero生成!AG271</f>
        <v>有效</v>
      </c>
      <c r="H271" s="16">
        <f>TeamHero生成!G271</f>
        <v>962371</v>
      </c>
      <c r="I271" s="16">
        <f>TeamHero生成!H271</f>
        <v>21636</v>
      </c>
      <c r="J271" s="16">
        <f>TeamHero生成!I271</f>
        <v>15431</v>
      </c>
    </row>
    <row r="272" ht="14.25" customHeight="1" spans="1:10">
      <c r="A272" s="16">
        <f>TeamHero生成!A272</f>
        <v>268</v>
      </c>
      <c r="B272" s="16">
        <f>TeamHero生成!B272</f>
        <v>1024</v>
      </c>
      <c r="C272" s="16">
        <f>TeamHero生成!C272</f>
        <v>37</v>
      </c>
      <c r="D272" s="17">
        <f>TeamHero生成!D272</f>
        <v>819856</v>
      </c>
      <c r="E272" s="17">
        <f>TeamHero生成!E272</f>
        <v>19989</v>
      </c>
      <c r="F272" s="17">
        <f>TeamHero生成!F272</f>
        <v>19913</v>
      </c>
      <c r="G272" s="16" t="str">
        <f>TeamHero生成!AG272</f>
        <v>有效</v>
      </c>
      <c r="H272" s="16">
        <f>TeamHero生成!G272</f>
        <v>962371</v>
      </c>
      <c r="I272" s="16">
        <f>TeamHero生成!H272</f>
        <v>21636</v>
      </c>
      <c r="J272" s="16">
        <f>TeamHero生成!I272</f>
        <v>15431</v>
      </c>
    </row>
    <row r="273" ht="14.25" customHeight="1" spans="1:10">
      <c r="A273" s="16">
        <f>TeamHero生成!A273</f>
        <v>269</v>
      </c>
      <c r="B273" s="16">
        <f>TeamHero生成!B273</f>
        <v>1015</v>
      </c>
      <c r="C273" s="16">
        <f>TeamHero生成!C273</f>
        <v>37</v>
      </c>
      <c r="D273" s="17">
        <f>TeamHero生成!D273</f>
        <v>1024821</v>
      </c>
      <c r="E273" s="17">
        <f>TeamHero生成!E273</f>
        <v>16658</v>
      </c>
      <c r="F273" s="17">
        <f>TeamHero生成!F273</f>
        <v>24891</v>
      </c>
      <c r="G273" s="16" t="str">
        <f>TeamHero生成!AG273</f>
        <v>有效</v>
      </c>
      <c r="H273" s="16">
        <f>TeamHero生成!G273</f>
        <v>1202964</v>
      </c>
      <c r="I273" s="16">
        <f>TeamHero生成!H273</f>
        <v>18030</v>
      </c>
      <c r="J273" s="16">
        <f>TeamHero生成!I273</f>
        <v>19289</v>
      </c>
    </row>
    <row r="274" ht="14.25" customHeight="1" spans="1:10">
      <c r="A274" s="16">
        <f>TeamHero生成!A274</f>
        <v>270</v>
      </c>
      <c r="B274" s="16">
        <f>TeamHero生成!B274</f>
        <v>1015</v>
      </c>
      <c r="C274" s="16">
        <f>TeamHero生成!C274</f>
        <v>37</v>
      </c>
      <c r="D274" s="17">
        <f>TeamHero生成!D274</f>
        <v>1024821</v>
      </c>
      <c r="E274" s="17">
        <f>TeamHero生成!E274</f>
        <v>16658</v>
      </c>
      <c r="F274" s="17">
        <f>TeamHero生成!F274</f>
        <v>24891</v>
      </c>
      <c r="G274" s="16" t="str">
        <f>TeamHero生成!AG274</f>
        <v>有效</v>
      </c>
      <c r="H274" s="16">
        <f>TeamHero生成!G274</f>
        <v>1202964</v>
      </c>
      <c r="I274" s="16">
        <f>TeamHero生成!H274</f>
        <v>18030</v>
      </c>
      <c r="J274" s="16">
        <f>TeamHero生成!I274</f>
        <v>19289</v>
      </c>
    </row>
    <row r="275" ht="14.25" customHeight="1" spans="1:10">
      <c r="A275" s="16">
        <f>TeamHero生成!A275</f>
        <v>271</v>
      </c>
      <c r="B275" s="16">
        <f>TeamHero生成!B275</f>
        <v>1003</v>
      </c>
      <c r="C275" s="16">
        <f>TeamHero生成!C275</f>
        <v>37</v>
      </c>
      <c r="D275" s="17">
        <f>TeamHero生成!D275</f>
        <v>1281554</v>
      </c>
      <c r="E275" s="17">
        <f>TeamHero生成!E275</f>
        <v>17172</v>
      </c>
      <c r="F275" s="17">
        <f>TeamHero生成!F275</f>
        <v>30413</v>
      </c>
      <c r="G275" s="16" t="str">
        <f>TeamHero生成!AG275</f>
        <v>有效</v>
      </c>
      <c r="H275" s="16">
        <f>TeamHero生成!G275</f>
        <v>1506391</v>
      </c>
      <c r="I275" s="16">
        <f>TeamHero生成!H275</f>
        <v>18564</v>
      </c>
      <c r="J275" s="16">
        <f>TeamHero生成!I275</f>
        <v>23672</v>
      </c>
    </row>
    <row r="276" ht="14.25" customHeight="1" spans="1:10">
      <c r="A276" s="16">
        <f>TeamHero生成!A276</f>
        <v>272</v>
      </c>
      <c r="B276" s="16">
        <f>TeamHero生成!B276</f>
        <v>1006</v>
      </c>
      <c r="C276" s="16">
        <f>TeamHero生成!C276</f>
        <v>37</v>
      </c>
      <c r="D276" s="17">
        <f>TeamHero生成!D276</f>
        <v>854369</v>
      </c>
      <c r="E276" s="17">
        <f>TeamHero生成!E276</f>
        <v>20607</v>
      </c>
      <c r="F276" s="17">
        <f>TeamHero生成!F276</f>
        <v>20275</v>
      </c>
      <c r="G276" s="16" t="str">
        <f>TeamHero生成!AG276</f>
        <v>有效</v>
      </c>
      <c r="H276" s="16">
        <f>TeamHero生成!G276</f>
        <v>1004260</v>
      </c>
      <c r="I276" s="16">
        <f>TeamHero生成!H276</f>
        <v>22276</v>
      </c>
      <c r="J276" s="16">
        <f>TeamHero生成!I276</f>
        <v>15781</v>
      </c>
    </row>
    <row r="277" ht="14.25" customHeight="1" spans="1:10">
      <c r="A277" s="16">
        <f>TeamHero生成!A277</f>
        <v>273</v>
      </c>
      <c r="B277" s="16">
        <f>TeamHero生成!B277</f>
        <v>1029</v>
      </c>
      <c r="C277" s="16">
        <f>TeamHero生成!C277</f>
        <v>37</v>
      </c>
      <c r="D277" s="17">
        <f>TeamHero生成!D277</f>
        <v>1067962</v>
      </c>
      <c r="E277" s="17">
        <f>TeamHero生成!E277</f>
        <v>17172</v>
      </c>
      <c r="F277" s="17">
        <f>TeamHero生成!F277</f>
        <v>25344</v>
      </c>
      <c r="G277" s="16" t="str">
        <f>TeamHero生成!AG277</f>
        <v>有效</v>
      </c>
      <c r="H277" s="16">
        <f>TeamHero生成!G277</f>
        <v>1255326</v>
      </c>
      <c r="I277" s="16">
        <f>TeamHero生成!H277</f>
        <v>18564</v>
      </c>
      <c r="J277" s="16">
        <f>TeamHero生成!I277</f>
        <v>19727</v>
      </c>
    </row>
    <row r="278" ht="14.25" customHeight="1" spans="1:10">
      <c r="A278" s="16">
        <f>TeamHero生成!A278</f>
        <v>274</v>
      </c>
      <c r="B278" s="16">
        <f>TeamHero生成!B278</f>
        <v>1020</v>
      </c>
      <c r="C278" s="16">
        <f>TeamHero生成!C278</f>
        <v>37</v>
      </c>
      <c r="D278" s="17">
        <f>TeamHero生成!D278</f>
        <v>1067962</v>
      </c>
      <c r="E278" s="17">
        <f>TeamHero生成!E278</f>
        <v>17172</v>
      </c>
      <c r="F278" s="17">
        <f>TeamHero生成!F278</f>
        <v>25344</v>
      </c>
      <c r="G278" s="16" t="str">
        <f>TeamHero生成!AG278</f>
        <v>有效</v>
      </c>
      <c r="H278" s="16">
        <f>TeamHero生成!G278</f>
        <v>1255326</v>
      </c>
      <c r="I278" s="16">
        <f>TeamHero生成!H278</f>
        <v>18564</v>
      </c>
      <c r="J278" s="16">
        <f>TeamHero生成!I278</f>
        <v>19727</v>
      </c>
    </row>
    <row r="279" ht="14.25" customHeight="1" spans="1:10">
      <c r="A279" s="16">
        <f>TeamHero生成!A279</f>
        <v>275</v>
      </c>
      <c r="B279" s="16">
        <f>TeamHero生成!B279</f>
        <v>1018</v>
      </c>
      <c r="C279" s="16">
        <f>TeamHero生成!C279</f>
        <v>37</v>
      </c>
      <c r="D279" s="17">
        <f>TeamHero生成!D279</f>
        <v>1067962</v>
      </c>
      <c r="E279" s="17">
        <f>TeamHero生成!E279</f>
        <v>17172</v>
      </c>
      <c r="F279" s="17">
        <f>TeamHero生成!F279</f>
        <v>25344</v>
      </c>
      <c r="G279" s="16" t="str">
        <f>TeamHero生成!AG279</f>
        <v>有效</v>
      </c>
      <c r="H279" s="16">
        <f>TeamHero生成!G279</f>
        <v>1255326</v>
      </c>
      <c r="I279" s="16">
        <f>TeamHero生成!H279</f>
        <v>18564</v>
      </c>
      <c r="J279" s="16">
        <f>TeamHero生成!I279</f>
        <v>19727</v>
      </c>
    </row>
    <row r="280" ht="14.25" customHeight="1" spans="1:10">
      <c r="A280" s="16">
        <f>TeamHero生成!A280</f>
        <v>276</v>
      </c>
      <c r="B280" s="16">
        <f>TeamHero生成!B280</f>
        <v>1003</v>
      </c>
      <c r="C280" s="16">
        <f>TeamHero生成!C280</f>
        <v>38</v>
      </c>
      <c r="D280" s="17">
        <f>TeamHero生成!D280</f>
        <v>1299095</v>
      </c>
      <c r="E280" s="17">
        <f>TeamHero生成!E280</f>
        <v>17424</v>
      </c>
      <c r="F280" s="17">
        <f>TeamHero生成!F280</f>
        <v>30777</v>
      </c>
      <c r="G280" s="16" t="str">
        <f>TeamHero生成!AG280</f>
        <v>有效</v>
      </c>
      <c r="H280" s="16">
        <f>TeamHero生成!G280</f>
        <v>1571169</v>
      </c>
      <c r="I280" s="16">
        <f>TeamHero生成!H280</f>
        <v>19109</v>
      </c>
      <c r="J280" s="16">
        <f>TeamHero生成!I280</f>
        <v>24201</v>
      </c>
    </row>
    <row r="281" ht="14.25" customHeight="1" spans="1:10">
      <c r="A281" s="16">
        <f>TeamHero生成!A281</f>
        <v>277</v>
      </c>
      <c r="B281" s="16">
        <f>TeamHero生成!B281</f>
        <v>1015</v>
      </c>
      <c r="C281" s="16">
        <f>TeamHero生成!C281</f>
        <v>38</v>
      </c>
      <c r="D281" s="17">
        <f>TeamHero生成!D281</f>
        <v>1082579</v>
      </c>
      <c r="E281" s="17">
        <f>TeamHero生成!E281</f>
        <v>17424</v>
      </c>
      <c r="F281" s="17">
        <f>TeamHero生成!F281</f>
        <v>25648</v>
      </c>
      <c r="G281" s="16" t="str">
        <f>TeamHero生成!AG281</f>
        <v>有效</v>
      </c>
      <c r="H281" s="16">
        <f>TeamHero生成!G281</f>
        <v>1309308</v>
      </c>
      <c r="I281" s="16">
        <f>TeamHero生成!H281</f>
        <v>19109</v>
      </c>
      <c r="J281" s="16">
        <f>TeamHero生成!I281</f>
        <v>20168</v>
      </c>
    </row>
    <row r="282" ht="14.25" customHeight="1" spans="1:10">
      <c r="A282" s="16">
        <f>TeamHero生成!A282</f>
        <v>278</v>
      </c>
      <c r="B282" s="16">
        <f>TeamHero生成!B282</f>
        <v>1012</v>
      </c>
      <c r="C282" s="16">
        <f>TeamHero生成!C282</f>
        <v>38</v>
      </c>
      <c r="D282" s="17">
        <f>TeamHero生成!D282</f>
        <v>1082579</v>
      </c>
      <c r="E282" s="17">
        <f>TeamHero生成!E282</f>
        <v>17424</v>
      </c>
      <c r="F282" s="17">
        <f>TeamHero生成!F282</f>
        <v>25648</v>
      </c>
      <c r="G282" s="16" t="str">
        <f>TeamHero生成!AG282</f>
        <v>有效</v>
      </c>
      <c r="H282" s="16">
        <f>TeamHero生成!G282</f>
        <v>1309308</v>
      </c>
      <c r="I282" s="16">
        <f>TeamHero生成!H282</f>
        <v>19109</v>
      </c>
      <c r="J282" s="16">
        <f>TeamHero生成!I282</f>
        <v>20168</v>
      </c>
    </row>
    <row r="283" ht="14.25" customHeight="1" spans="1:10">
      <c r="A283" s="16">
        <f>TeamHero生成!A283</f>
        <v>279</v>
      </c>
      <c r="B283" s="16">
        <f>TeamHero生成!B283</f>
        <v>1006</v>
      </c>
      <c r="C283" s="16">
        <f>TeamHero生成!C283</f>
        <v>38</v>
      </c>
      <c r="D283" s="17">
        <f>TeamHero生成!D283</f>
        <v>866064</v>
      </c>
      <c r="E283" s="17">
        <f>TeamHero生成!E283</f>
        <v>20908</v>
      </c>
      <c r="F283" s="17">
        <f>TeamHero生成!F283</f>
        <v>20518</v>
      </c>
      <c r="G283" s="16" t="str">
        <f>TeamHero生成!AG283</f>
        <v>有效</v>
      </c>
      <c r="H283" s="16">
        <f>TeamHero生成!G283</f>
        <v>1047446</v>
      </c>
      <c r="I283" s="16">
        <f>TeamHero生成!H283</f>
        <v>22930</v>
      </c>
      <c r="J283" s="16">
        <f>TeamHero生成!I283</f>
        <v>16134</v>
      </c>
    </row>
    <row r="284" ht="14.25" customHeight="1" spans="1:10">
      <c r="A284" s="16">
        <f>TeamHero生成!A284</f>
        <v>280</v>
      </c>
      <c r="B284" s="16">
        <f>TeamHero生成!B284</f>
        <v>1001</v>
      </c>
      <c r="C284" s="16">
        <f>TeamHero生成!C284</f>
        <v>38</v>
      </c>
      <c r="D284" s="17">
        <f>TeamHero生成!D284</f>
        <v>866064</v>
      </c>
      <c r="E284" s="17">
        <f>TeamHero生成!E284</f>
        <v>20908</v>
      </c>
      <c r="F284" s="17">
        <f>TeamHero生成!F284</f>
        <v>20518</v>
      </c>
      <c r="G284" s="16" t="str">
        <f>TeamHero生成!AG284</f>
        <v>有效</v>
      </c>
      <c r="H284" s="16">
        <f>TeamHero生成!G284</f>
        <v>1047446</v>
      </c>
      <c r="I284" s="16">
        <f>TeamHero生成!H284</f>
        <v>22930</v>
      </c>
      <c r="J284" s="16">
        <f>TeamHero生成!I284</f>
        <v>16134</v>
      </c>
    </row>
    <row r="285" ht="14.25" customHeight="1" spans="1:10">
      <c r="A285" s="16">
        <f>TeamHero生成!A285</f>
        <v>281</v>
      </c>
      <c r="B285" s="16">
        <f>TeamHero生成!B285</f>
        <v>1002</v>
      </c>
      <c r="C285" s="16">
        <f>TeamHero生成!C285</f>
        <v>38</v>
      </c>
      <c r="D285" s="17">
        <f>TeamHero生成!D285</f>
        <v>1331424</v>
      </c>
      <c r="E285" s="17">
        <f>TeamHero生成!E285</f>
        <v>17781</v>
      </c>
      <c r="F285" s="17">
        <f>TeamHero生成!F285</f>
        <v>31142</v>
      </c>
      <c r="G285" s="16" t="str">
        <f>TeamHero生成!AG285</f>
        <v>有效</v>
      </c>
      <c r="H285" s="16">
        <f>TeamHero生成!G285</f>
        <v>1637935</v>
      </c>
      <c r="I285" s="16">
        <f>TeamHero生成!H285</f>
        <v>19667</v>
      </c>
      <c r="J285" s="16">
        <f>TeamHero生成!I285</f>
        <v>24736</v>
      </c>
    </row>
    <row r="286" ht="14.25" customHeight="1" spans="1:10">
      <c r="A286" s="16">
        <f>TeamHero生成!A286</f>
        <v>282</v>
      </c>
      <c r="B286" s="16">
        <f>TeamHero生成!B286</f>
        <v>1021</v>
      </c>
      <c r="C286" s="16">
        <f>TeamHero生成!C286</f>
        <v>38</v>
      </c>
      <c r="D286" s="17">
        <f>TeamHero生成!D286</f>
        <v>887616</v>
      </c>
      <c r="E286" s="17">
        <f>TeamHero生成!E286</f>
        <v>21337</v>
      </c>
      <c r="F286" s="17">
        <f>TeamHero生成!F286</f>
        <v>20761</v>
      </c>
      <c r="G286" s="16" t="str">
        <f>TeamHero生成!AG286</f>
        <v>有效</v>
      </c>
      <c r="H286" s="16">
        <f>TeamHero生成!G286</f>
        <v>1091956</v>
      </c>
      <c r="I286" s="16">
        <f>TeamHero生成!H286</f>
        <v>23600</v>
      </c>
      <c r="J286" s="16">
        <f>TeamHero生成!I286</f>
        <v>16491</v>
      </c>
    </row>
    <row r="287" ht="14.25" customHeight="1" spans="1:10">
      <c r="A287" s="16">
        <f>TeamHero生成!A287</f>
        <v>283</v>
      </c>
      <c r="B287" s="16">
        <f>TeamHero生成!B287</f>
        <v>1001</v>
      </c>
      <c r="C287" s="16">
        <f>TeamHero生成!C287</f>
        <v>38</v>
      </c>
      <c r="D287" s="17">
        <f>TeamHero生成!D287</f>
        <v>887616</v>
      </c>
      <c r="E287" s="17">
        <f>TeamHero生成!E287</f>
        <v>21337</v>
      </c>
      <c r="F287" s="17">
        <f>TeamHero生成!F287</f>
        <v>20761</v>
      </c>
      <c r="G287" s="16" t="str">
        <f>TeamHero生成!AG287</f>
        <v>有效</v>
      </c>
      <c r="H287" s="16">
        <f>TeamHero生成!G287</f>
        <v>1091956</v>
      </c>
      <c r="I287" s="16">
        <f>TeamHero生成!H287</f>
        <v>23600</v>
      </c>
      <c r="J287" s="16">
        <f>TeamHero生成!I287</f>
        <v>16491</v>
      </c>
    </row>
    <row r="288" ht="14.25" customHeight="1" spans="1:10">
      <c r="A288" s="16">
        <f>TeamHero生成!A288</f>
        <v>284</v>
      </c>
      <c r="B288" s="16">
        <f>TeamHero生成!B288</f>
        <v>1015</v>
      </c>
      <c r="C288" s="16">
        <f>TeamHero生成!C288</f>
        <v>38</v>
      </c>
      <c r="D288" s="17">
        <f>TeamHero生成!D288</f>
        <v>1109520</v>
      </c>
      <c r="E288" s="17">
        <f>TeamHero生成!E288</f>
        <v>17781</v>
      </c>
      <c r="F288" s="17">
        <f>TeamHero生成!F288</f>
        <v>25951</v>
      </c>
      <c r="G288" s="16" t="str">
        <f>TeamHero生成!AG288</f>
        <v>有效</v>
      </c>
      <c r="H288" s="16">
        <f>TeamHero生成!G288</f>
        <v>1364946</v>
      </c>
      <c r="I288" s="16">
        <f>TeamHero生成!H288</f>
        <v>19667</v>
      </c>
      <c r="J288" s="16">
        <f>TeamHero生成!I288</f>
        <v>20614</v>
      </c>
    </row>
    <row r="289" ht="14.25" customHeight="1" spans="1:10">
      <c r="A289" s="16">
        <f>TeamHero生成!A289</f>
        <v>285</v>
      </c>
      <c r="B289" s="16">
        <f>TeamHero生成!B289</f>
        <v>1024</v>
      </c>
      <c r="C289" s="16">
        <f>TeamHero生成!C289</f>
        <v>38</v>
      </c>
      <c r="D289" s="17">
        <f>TeamHero生成!D289</f>
        <v>887616</v>
      </c>
      <c r="E289" s="17">
        <f>TeamHero生成!E289</f>
        <v>21337</v>
      </c>
      <c r="F289" s="17">
        <f>TeamHero生成!F289</f>
        <v>20761</v>
      </c>
      <c r="G289" s="16" t="str">
        <f>TeamHero生成!AG289</f>
        <v>有效</v>
      </c>
      <c r="H289" s="16">
        <f>TeamHero生成!G289</f>
        <v>1091956</v>
      </c>
      <c r="I289" s="16">
        <f>TeamHero生成!H289</f>
        <v>23600</v>
      </c>
      <c r="J289" s="16">
        <f>TeamHero生成!I289</f>
        <v>16491</v>
      </c>
    </row>
    <row r="290" ht="14.25" customHeight="1" spans="1:10">
      <c r="A290" s="16">
        <f>TeamHero生成!A290</f>
        <v>286</v>
      </c>
      <c r="B290" s="16">
        <f>TeamHero生成!B290</f>
        <v>1030</v>
      </c>
      <c r="C290" s="16">
        <f>TeamHero生成!C290</f>
        <v>39</v>
      </c>
      <c r="D290" s="17">
        <f>TeamHero生成!D290</f>
        <v>1373510</v>
      </c>
      <c r="E290" s="17">
        <f>TeamHero生成!E290</f>
        <v>18212</v>
      </c>
      <c r="F290" s="17">
        <f>TeamHero生成!F290</f>
        <v>31509</v>
      </c>
      <c r="G290" s="16" t="str">
        <f>TeamHero生成!AG290</f>
        <v>有效</v>
      </c>
      <c r="H290" s="16">
        <f>TeamHero生成!G290</f>
        <v>1706731</v>
      </c>
      <c r="I290" s="16">
        <f>TeamHero生成!H290</f>
        <v>20236</v>
      </c>
      <c r="J290" s="16">
        <f>TeamHero生成!I290</f>
        <v>25275</v>
      </c>
    </row>
    <row r="291" ht="14.25" customHeight="1" spans="1:10">
      <c r="A291" s="16">
        <f>TeamHero生成!A291</f>
        <v>287</v>
      </c>
      <c r="B291" s="16">
        <f>TeamHero生成!B291</f>
        <v>1015</v>
      </c>
      <c r="C291" s="16">
        <f>TeamHero生成!C291</f>
        <v>39</v>
      </c>
      <c r="D291" s="17">
        <f>TeamHero生成!D291</f>
        <v>1144592</v>
      </c>
      <c r="E291" s="17">
        <f>TeamHero生成!E291</f>
        <v>18212</v>
      </c>
      <c r="F291" s="17">
        <f>TeamHero生成!F291</f>
        <v>26258</v>
      </c>
      <c r="G291" s="16" t="str">
        <f>TeamHero生成!AG291</f>
        <v>有效</v>
      </c>
      <c r="H291" s="16">
        <f>TeamHero生成!G291</f>
        <v>1422276</v>
      </c>
      <c r="I291" s="16">
        <f>TeamHero生成!H291</f>
        <v>20236</v>
      </c>
      <c r="J291" s="16">
        <f>TeamHero生成!I291</f>
        <v>21063</v>
      </c>
    </row>
    <row r="292" ht="14.25" customHeight="1" spans="1:10">
      <c r="A292" s="16">
        <f>TeamHero生成!A292</f>
        <v>288</v>
      </c>
      <c r="B292" s="16">
        <f>TeamHero生成!B292</f>
        <v>1021</v>
      </c>
      <c r="C292" s="16">
        <f>TeamHero生成!C292</f>
        <v>39</v>
      </c>
      <c r="D292" s="17">
        <f>TeamHero生成!D292</f>
        <v>915673</v>
      </c>
      <c r="E292" s="17">
        <f>TeamHero生成!E292</f>
        <v>21854</v>
      </c>
      <c r="F292" s="17">
        <f>TeamHero生成!F292</f>
        <v>21006</v>
      </c>
      <c r="G292" s="16" t="str">
        <f>TeamHero生成!AG292</f>
        <v>有效</v>
      </c>
      <c r="H292" s="16">
        <f>TeamHero生成!G292</f>
        <v>1137820</v>
      </c>
      <c r="I292" s="16">
        <f>TeamHero生成!H292</f>
        <v>24283</v>
      </c>
      <c r="J292" s="16">
        <f>TeamHero生成!I292</f>
        <v>16850</v>
      </c>
    </row>
    <row r="293" ht="14.25" customHeight="1" spans="1:10">
      <c r="A293" s="16">
        <f>TeamHero生成!A293</f>
        <v>289</v>
      </c>
      <c r="B293" s="16">
        <f>TeamHero生成!B293</f>
        <v>1021</v>
      </c>
      <c r="C293" s="16">
        <f>TeamHero生成!C293</f>
        <v>39</v>
      </c>
      <c r="D293" s="17">
        <f>TeamHero生成!D293</f>
        <v>915673</v>
      </c>
      <c r="E293" s="17">
        <f>TeamHero生成!E293</f>
        <v>21854</v>
      </c>
      <c r="F293" s="17">
        <f>TeamHero生成!F293</f>
        <v>21006</v>
      </c>
      <c r="G293" s="16" t="str">
        <f>TeamHero生成!AG293</f>
        <v>有效</v>
      </c>
      <c r="H293" s="16">
        <f>TeamHero生成!G293</f>
        <v>1137820</v>
      </c>
      <c r="I293" s="16">
        <f>TeamHero生成!H293</f>
        <v>24283</v>
      </c>
      <c r="J293" s="16">
        <f>TeamHero生成!I293</f>
        <v>16850</v>
      </c>
    </row>
    <row r="294" ht="14.25" customHeight="1" spans="1:10">
      <c r="A294" s="16">
        <f>TeamHero生成!A294</f>
        <v>290</v>
      </c>
      <c r="B294" s="16">
        <f>TeamHero生成!B294</f>
        <v>1001</v>
      </c>
      <c r="C294" s="16">
        <f>TeamHero生成!C294</f>
        <v>39</v>
      </c>
      <c r="D294" s="17">
        <f>TeamHero生成!D294</f>
        <v>915673</v>
      </c>
      <c r="E294" s="17">
        <f>TeamHero生成!E294</f>
        <v>21854</v>
      </c>
      <c r="F294" s="17">
        <f>TeamHero生成!F294</f>
        <v>21006</v>
      </c>
      <c r="G294" s="16" t="str">
        <f>TeamHero生成!AG294</f>
        <v>有效</v>
      </c>
      <c r="H294" s="16">
        <f>TeamHero生成!G294</f>
        <v>1137820</v>
      </c>
      <c r="I294" s="16">
        <f>TeamHero生成!H294</f>
        <v>24283</v>
      </c>
      <c r="J294" s="16">
        <f>TeamHero生成!I294</f>
        <v>16850</v>
      </c>
    </row>
    <row r="295" ht="14.25" customHeight="1" spans="1:10">
      <c r="A295" s="16">
        <f>TeamHero生成!A295</f>
        <v>291</v>
      </c>
      <c r="B295" s="16">
        <f>TeamHero生成!B295</f>
        <v>1030</v>
      </c>
      <c r="C295" s="16">
        <f>TeamHero生成!C295</f>
        <v>39</v>
      </c>
      <c r="D295" s="17">
        <f>TeamHero生成!D295</f>
        <v>1411674</v>
      </c>
      <c r="E295" s="17">
        <f>TeamHero生成!E295</f>
        <v>18620</v>
      </c>
      <c r="F295" s="17">
        <f>TeamHero生成!F295</f>
        <v>32061</v>
      </c>
      <c r="G295" s="16" t="str">
        <f>TeamHero生成!AG295</f>
        <v>有效</v>
      </c>
      <c r="H295" s="16">
        <f>TeamHero生成!G295</f>
        <v>1777586</v>
      </c>
      <c r="I295" s="16">
        <f>TeamHero生成!H295</f>
        <v>20816</v>
      </c>
      <c r="J295" s="16">
        <f>TeamHero生成!I295</f>
        <v>25818</v>
      </c>
    </row>
    <row r="296" ht="14.25" customHeight="1" spans="1:10">
      <c r="A296" s="16">
        <f>TeamHero生成!A296</f>
        <v>292</v>
      </c>
      <c r="B296" s="16">
        <f>TeamHero生成!B296</f>
        <v>1005</v>
      </c>
      <c r="C296" s="16">
        <f>TeamHero生成!C296</f>
        <v>39</v>
      </c>
      <c r="D296" s="17">
        <f>TeamHero生成!D296</f>
        <v>941116</v>
      </c>
      <c r="E296" s="17">
        <f>TeamHero生成!E296</f>
        <v>22344</v>
      </c>
      <c r="F296" s="17">
        <f>TeamHero生成!F296</f>
        <v>21374</v>
      </c>
      <c r="G296" s="16" t="str">
        <f>TeamHero生成!AG296</f>
        <v>有效</v>
      </c>
      <c r="H296" s="16">
        <f>TeamHero生成!G296</f>
        <v>1185057</v>
      </c>
      <c r="I296" s="16">
        <f>TeamHero生成!H296</f>
        <v>24979</v>
      </c>
      <c r="J296" s="16">
        <f>TeamHero生成!I296</f>
        <v>17212</v>
      </c>
    </row>
    <row r="297" ht="14.25" customHeight="1" spans="1:10">
      <c r="A297" s="16">
        <f>TeamHero生成!A297</f>
        <v>293</v>
      </c>
      <c r="B297" s="16">
        <f>TeamHero生成!B297</f>
        <v>1005</v>
      </c>
      <c r="C297" s="16">
        <f>TeamHero生成!C297</f>
        <v>39</v>
      </c>
      <c r="D297" s="17">
        <f>TeamHero生成!D297</f>
        <v>941116</v>
      </c>
      <c r="E297" s="17">
        <f>TeamHero生成!E297</f>
        <v>22344</v>
      </c>
      <c r="F297" s="17">
        <f>TeamHero生成!F297</f>
        <v>21374</v>
      </c>
      <c r="G297" s="16" t="str">
        <f>TeamHero生成!AG297</f>
        <v>有效</v>
      </c>
      <c r="H297" s="16">
        <f>TeamHero生成!G297</f>
        <v>1185057</v>
      </c>
      <c r="I297" s="16">
        <f>TeamHero生成!H297</f>
        <v>24979</v>
      </c>
      <c r="J297" s="16">
        <f>TeamHero生成!I297</f>
        <v>17212</v>
      </c>
    </row>
    <row r="298" ht="14.25" customHeight="1" spans="1:10">
      <c r="A298" s="16">
        <f>TeamHero生成!A298</f>
        <v>294</v>
      </c>
      <c r="B298" s="16">
        <f>TeamHero生成!B298</f>
        <v>1018</v>
      </c>
      <c r="C298" s="16">
        <f>TeamHero生成!C298</f>
        <v>39</v>
      </c>
      <c r="D298" s="17">
        <f>TeamHero生成!D298</f>
        <v>1176395</v>
      </c>
      <c r="E298" s="17">
        <f>TeamHero生成!E298</f>
        <v>18620</v>
      </c>
      <c r="F298" s="17">
        <f>TeamHero生成!F298</f>
        <v>26718</v>
      </c>
      <c r="G298" s="16" t="str">
        <f>TeamHero生成!AG298</f>
        <v>有效</v>
      </c>
      <c r="H298" s="16">
        <f>TeamHero生成!G298</f>
        <v>1481322</v>
      </c>
      <c r="I298" s="16">
        <f>TeamHero生成!H298</f>
        <v>20816</v>
      </c>
      <c r="J298" s="16">
        <f>TeamHero生成!I298</f>
        <v>21515</v>
      </c>
    </row>
    <row r="299" ht="14.25" customHeight="1" spans="1:10">
      <c r="A299" s="16">
        <f>TeamHero生成!A299</f>
        <v>295</v>
      </c>
      <c r="B299" s="16">
        <f>TeamHero生成!B299</f>
        <v>1007</v>
      </c>
      <c r="C299" s="16">
        <f>TeamHero生成!C299</f>
        <v>39</v>
      </c>
      <c r="D299" s="17">
        <f>TeamHero生成!D299</f>
        <v>1176395</v>
      </c>
      <c r="E299" s="17">
        <f>TeamHero生成!E299</f>
        <v>18620</v>
      </c>
      <c r="F299" s="17">
        <f>TeamHero生成!F299</f>
        <v>26718</v>
      </c>
      <c r="G299" s="16" t="str">
        <f>TeamHero生成!AG299</f>
        <v>有效</v>
      </c>
      <c r="H299" s="16">
        <f>TeamHero生成!G299</f>
        <v>1481322</v>
      </c>
      <c r="I299" s="16">
        <f>TeamHero生成!H299</f>
        <v>20816</v>
      </c>
      <c r="J299" s="16">
        <f>TeamHero生成!I299</f>
        <v>21515</v>
      </c>
    </row>
    <row r="300" ht="14.25" customHeight="1" spans="1:10">
      <c r="A300" s="16">
        <f>TeamHero生成!A300</f>
        <v>296</v>
      </c>
      <c r="B300" s="16">
        <f>TeamHero生成!B300</f>
        <v>1003</v>
      </c>
      <c r="C300" s="16">
        <f>TeamHero生成!C300</f>
        <v>40</v>
      </c>
      <c r="D300" s="17">
        <f>TeamHero生成!D300</f>
        <v>1450473</v>
      </c>
      <c r="E300" s="17">
        <f>TeamHero生成!E300</f>
        <v>19005</v>
      </c>
      <c r="F300" s="17">
        <f>TeamHero生成!F300</f>
        <v>32432</v>
      </c>
      <c r="G300" s="16" t="str">
        <f>TeamHero生成!AG300</f>
        <v>有效</v>
      </c>
      <c r="H300" s="16">
        <f>TeamHero生成!G300</f>
        <v>1850544</v>
      </c>
      <c r="I300" s="16">
        <f>TeamHero生成!H300</f>
        <v>21412</v>
      </c>
      <c r="J300" s="16">
        <f>TeamHero生成!I300</f>
        <v>26365</v>
      </c>
    </row>
    <row r="301" ht="14.25" customHeight="1" spans="1:10">
      <c r="A301" s="16">
        <f>TeamHero生成!A301</f>
        <v>297</v>
      </c>
      <c r="B301" s="16">
        <f>TeamHero生成!B301</f>
        <v>1005</v>
      </c>
      <c r="C301" s="16">
        <f>TeamHero生成!C301</f>
        <v>40</v>
      </c>
      <c r="D301" s="17">
        <f>TeamHero生成!D301</f>
        <v>966982</v>
      </c>
      <c r="E301" s="17">
        <f>TeamHero生成!E301</f>
        <v>22806</v>
      </c>
      <c r="F301" s="17">
        <f>TeamHero生成!F301</f>
        <v>21621</v>
      </c>
      <c r="G301" s="16" t="str">
        <f>TeamHero生成!AG301</f>
        <v>有效</v>
      </c>
      <c r="H301" s="16">
        <f>TeamHero生成!G301</f>
        <v>1233696</v>
      </c>
      <c r="I301" s="16">
        <f>TeamHero生成!H301</f>
        <v>25694</v>
      </c>
      <c r="J301" s="16">
        <f>TeamHero生成!I301</f>
        <v>17576</v>
      </c>
    </row>
    <row r="302" ht="14.25" customHeight="1" spans="1:10">
      <c r="A302" s="16">
        <f>TeamHero生成!A302</f>
        <v>298</v>
      </c>
      <c r="B302" s="16">
        <f>TeamHero生成!B302</f>
        <v>1029</v>
      </c>
      <c r="C302" s="16">
        <f>TeamHero生成!C302</f>
        <v>40</v>
      </c>
      <c r="D302" s="17">
        <f>TeamHero生成!D302</f>
        <v>1208727</v>
      </c>
      <c r="E302" s="17">
        <f>TeamHero生成!E302</f>
        <v>19005</v>
      </c>
      <c r="F302" s="17">
        <f>TeamHero生成!F302</f>
        <v>27026</v>
      </c>
      <c r="G302" s="16" t="str">
        <f>TeamHero生成!AG302</f>
        <v>有效</v>
      </c>
      <c r="H302" s="16">
        <f>TeamHero生成!G302</f>
        <v>1542120</v>
      </c>
      <c r="I302" s="16">
        <f>TeamHero生成!H302</f>
        <v>21412</v>
      </c>
      <c r="J302" s="16">
        <f>TeamHero生成!I302</f>
        <v>21971</v>
      </c>
    </row>
    <row r="303" ht="14.25" customHeight="1" spans="1:10">
      <c r="A303" s="16">
        <f>TeamHero生成!A303</f>
        <v>299</v>
      </c>
      <c r="B303" s="16">
        <f>TeamHero生成!B303</f>
        <v>1007</v>
      </c>
      <c r="C303" s="16">
        <f>TeamHero生成!C303</f>
        <v>40</v>
      </c>
      <c r="D303" s="17">
        <f>TeamHero生成!D303</f>
        <v>1208727</v>
      </c>
      <c r="E303" s="17">
        <f>TeamHero生成!E303</f>
        <v>19005</v>
      </c>
      <c r="F303" s="17">
        <f>TeamHero生成!F303</f>
        <v>27026</v>
      </c>
      <c r="G303" s="16" t="str">
        <f>TeamHero生成!AG303</f>
        <v>有效</v>
      </c>
      <c r="H303" s="16">
        <f>TeamHero生成!G303</f>
        <v>1542120</v>
      </c>
      <c r="I303" s="16">
        <f>TeamHero生成!H303</f>
        <v>21412</v>
      </c>
      <c r="J303" s="16">
        <f>TeamHero生成!I303</f>
        <v>21971</v>
      </c>
    </row>
    <row r="304" ht="14.25" customHeight="1" spans="1:10">
      <c r="A304" s="16">
        <f>TeamHero生成!A304</f>
        <v>300</v>
      </c>
      <c r="B304" s="16">
        <f>TeamHero生成!B304</f>
        <v>1018</v>
      </c>
      <c r="C304" s="16">
        <f>TeamHero生成!C304</f>
        <v>40</v>
      </c>
      <c r="D304" s="17">
        <f>TeamHero生成!D304</f>
        <v>1208727</v>
      </c>
      <c r="E304" s="17">
        <f>TeamHero生成!E304</f>
        <v>19005</v>
      </c>
      <c r="F304" s="17">
        <f>TeamHero生成!F304</f>
        <v>27026</v>
      </c>
      <c r="G304" s="16" t="str">
        <f>TeamHero生成!AG304</f>
        <v>有效</v>
      </c>
      <c r="H304" s="16">
        <f>TeamHero生成!G304</f>
        <v>1542120</v>
      </c>
      <c r="I304" s="16">
        <f>TeamHero生成!H304</f>
        <v>21412</v>
      </c>
      <c r="J304" s="16">
        <f>TeamHero生成!I304</f>
        <v>21971</v>
      </c>
    </row>
    <row r="305" ht="14.25" customHeight="1" spans="1:10">
      <c r="A305" s="16">
        <f>TeamHero生成!A305</f>
        <v>301</v>
      </c>
      <c r="B305" s="16">
        <f>TeamHero生成!B305</f>
        <v>1003</v>
      </c>
      <c r="C305" s="16">
        <f>TeamHero生成!C305</f>
        <v>40</v>
      </c>
      <c r="D305" s="17">
        <f>TeamHero生成!D305</f>
        <v>1486904</v>
      </c>
      <c r="E305" s="17">
        <f>TeamHero生成!E305</f>
        <v>19407</v>
      </c>
      <c r="F305" s="17">
        <f>TeamHero生成!F305</f>
        <v>32804</v>
      </c>
      <c r="G305" s="16" t="str">
        <f>TeamHero生成!AG305</f>
        <v>有效</v>
      </c>
      <c r="H305" s="16">
        <f>TeamHero生成!G305</f>
        <v>1925647</v>
      </c>
      <c r="I305" s="16">
        <f>TeamHero生成!H305</f>
        <v>22019</v>
      </c>
      <c r="J305" s="16">
        <f>TeamHero生成!I305</f>
        <v>26917</v>
      </c>
    </row>
    <row r="306" ht="14.25" customHeight="1" spans="1:10">
      <c r="A306" s="16">
        <f>TeamHero生成!A306</f>
        <v>302</v>
      </c>
      <c r="B306" s="16">
        <f>TeamHero生成!B306</f>
        <v>1001</v>
      </c>
      <c r="C306" s="16">
        <f>TeamHero生成!C306</f>
        <v>40</v>
      </c>
      <c r="D306" s="17">
        <f>TeamHero生成!D306</f>
        <v>991269</v>
      </c>
      <c r="E306" s="17">
        <f>TeamHero生成!E306</f>
        <v>23289</v>
      </c>
      <c r="F306" s="17">
        <f>TeamHero生成!F306</f>
        <v>21869</v>
      </c>
      <c r="G306" s="16" t="str">
        <f>TeamHero生成!AG306</f>
        <v>有效</v>
      </c>
      <c r="H306" s="16">
        <f>TeamHero生成!G306</f>
        <v>1283764</v>
      </c>
      <c r="I306" s="16">
        <f>TeamHero生成!H306</f>
        <v>26422</v>
      </c>
      <c r="J306" s="16">
        <f>TeamHero生成!I306</f>
        <v>17944</v>
      </c>
    </row>
    <row r="307" ht="14.25" customHeight="1" spans="1:10">
      <c r="A307" s="16">
        <f>TeamHero生成!A307</f>
        <v>303</v>
      </c>
      <c r="B307" s="16">
        <f>TeamHero生成!B307</f>
        <v>1012</v>
      </c>
      <c r="C307" s="16">
        <f>TeamHero生成!C307</f>
        <v>40</v>
      </c>
      <c r="D307" s="17">
        <f>TeamHero生成!D307</f>
        <v>1239087</v>
      </c>
      <c r="E307" s="17">
        <f>TeamHero生成!E307</f>
        <v>19407</v>
      </c>
      <c r="F307" s="17">
        <f>TeamHero生成!F307</f>
        <v>27336</v>
      </c>
      <c r="G307" s="16" t="str">
        <f>TeamHero生成!AG307</f>
        <v>有效</v>
      </c>
      <c r="H307" s="16">
        <f>TeamHero生成!G307</f>
        <v>1604706</v>
      </c>
      <c r="I307" s="16">
        <f>TeamHero生成!H307</f>
        <v>22019</v>
      </c>
      <c r="J307" s="16">
        <f>TeamHero生成!I307</f>
        <v>22431</v>
      </c>
    </row>
    <row r="308" ht="14.25" customHeight="1" spans="1:10">
      <c r="A308" s="16">
        <f>TeamHero生成!A308</f>
        <v>304</v>
      </c>
      <c r="B308" s="16">
        <f>TeamHero生成!B308</f>
        <v>1021</v>
      </c>
      <c r="C308" s="16">
        <f>TeamHero生成!C308</f>
        <v>40</v>
      </c>
      <c r="D308" s="17">
        <f>TeamHero生成!D308</f>
        <v>991269</v>
      </c>
      <c r="E308" s="17">
        <f>TeamHero生成!E308</f>
        <v>23289</v>
      </c>
      <c r="F308" s="17">
        <f>TeamHero生成!F308</f>
        <v>21869</v>
      </c>
      <c r="G308" s="16" t="str">
        <f>TeamHero生成!AG308</f>
        <v>有效</v>
      </c>
      <c r="H308" s="16">
        <f>TeamHero生成!G308</f>
        <v>1283764</v>
      </c>
      <c r="I308" s="16">
        <f>TeamHero生成!H308</f>
        <v>26422</v>
      </c>
      <c r="J308" s="16">
        <f>TeamHero生成!I308</f>
        <v>17944</v>
      </c>
    </row>
    <row r="309" ht="14.25" customHeight="1" spans="1:10">
      <c r="A309" s="16">
        <f>TeamHero生成!A309</f>
        <v>305</v>
      </c>
      <c r="B309" s="16">
        <f>TeamHero生成!B309</f>
        <v>1005</v>
      </c>
      <c r="C309" s="16">
        <f>TeamHero生成!C309</f>
        <v>40</v>
      </c>
      <c r="D309" s="17">
        <f>TeamHero生成!D309</f>
        <v>991269</v>
      </c>
      <c r="E309" s="17">
        <f>TeamHero生成!E309</f>
        <v>23289</v>
      </c>
      <c r="F309" s="17">
        <f>TeamHero生成!F309</f>
        <v>21869</v>
      </c>
      <c r="G309" s="16" t="str">
        <f>TeamHero生成!AG309</f>
        <v>有效</v>
      </c>
      <c r="H309" s="16">
        <f>TeamHero生成!G309</f>
        <v>1283764</v>
      </c>
      <c r="I309" s="16">
        <f>TeamHero生成!H309</f>
        <v>26422</v>
      </c>
      <c r="J309" s="16">
        <f>TeamHero生成!I309</f>
        <v>17944</v>
      </c>
    </row>
    <row r="310" ht="14.25" customHeight="1" spans="1:10">
      <c r="A310" s="16">
        <f>TeamHero生成!A310</f>
        <v>306</v>
      </c>
      <c r="B310" s="16">
        <f>TeamHero生成!B310</f>
        <v>1004</v>
      </c>
      <c r="C310" s="16">
        <f>TeamHero生成!C310</f>
        <v>41</v>
      </c>
      <c r="D310" s="17">
        <f>TeamHero生成!D310</f>
        <v>1511309</v>
      </c>
      <c r="E310" s="17">
        <f>TeamHero生成!E310</f>
        <v>19701</v>
      </c>
      <c r="F310" s="17">
        <f>TeamHero生成!F310</f>
        <v>33177</v>
      </c>
      <c r="G310" s="16" t="str">
        <f>TeamHero生成!AG310</f>
        <v>有效</v>
      </c>
      <c r="H310" s="16">
        <f>TeamHero生成!G310</f>
        <v>2002946</v>
      </c>
      <c r="I310" s="16">
        <f>TeamHero生成!H310</f>
        <v>22639</v>
      </c>
      <c r="J310" s="16">
        <f>TeamHero生成!I310</f>
        <v>27474</v>
      </c>
    </row>
    <row r="311" ht="14.25" customHeight="1" spans="1:10">
      <c r="A311" s="16">
        <f>TeamHero生成!A311</f>
        <v>307</v>
      </c>
      <c r="B311" s="16">
        <f>TeamHero生成!B311</f>
        <v>1011</v>
      </c>
      <c r="C311" s="16">
        <f>TeamHero生成!C311</f>
        <v>41</v>
      </c>
      <c r="D311" s="17">
        <f>TeamHero生成!D311</f>
        <v>1259424</v>
      </c>
      <c r="E311" s="17">
        <f>TeamHero生成!E311</f>
        <v>19701</v>
      </c>
      <c r="F311" s="17">
        <f>TeamHero生成!F311</f>
        <v>27648</v>
      </c>
      <c r="G311" s="16" t="str">
        <f>TeamHero生成!AG311</f>
        <v>有效</v>
      </c>
      <c r="H311" s="16">
        <f>TeamHero生成!G311</f>
        <v>1669122</v>
      </c>
      <c r="I311" s="16">
        <f>TeamHero生成!H311</f>
        <v>22639</v>
      </c>
      <c r="J311" s="16">
        <f>TeamHero生成!I311</f>
        <v>22895</v>
      </c>
    </row>
    <row r="312" ht="14.25" customHeight="1" spans="1:10">
      <c r="A312" s="16">
        <f>TeamHero生成!A312</f>
        <v>308</v>
      </c>
      <c r="B312" s="16">
        <f>TeamHero生成!B312</f>
        <v>1014</v>
      </c>
      <c r="C312" s="16">
        <f>TeamHero生成!C312</f>
        <v>41</v>
      </c>
      <c r="D312" s="17">
        <f>TeamHero生成!D312</f>
        <v>1007539</v>
      </c>
      <c r="E312" s="17">
        <f>TeamHero生成!E312</f>
        <v>23642</v>
      </c>
      <c r="F312" s="17">
        <f>TeamHero生成!F312</f>
        <v>22118</v>
      </c>
      <c r="G312" s="16" t="str">
        <f>TeamHero生成!AG312</f>
        <v>有效</v>
      </c>
      <c r="H312" s="16">
        <f>TeamHero生成!G312</f>
        <v>1335297</v>
      </c>
      <c r="I312" s="16">
        <f>TeamHero生成!H312</f>
        <v>27166</v>
      </c>
      <c r="J312" s="16">
        <f>TeamHero生成!I312</f>
        <v>18316</v>
      </c>
    </row>
    <row r="313" ht="14.25" customHeight="1" spans="1:10">
      <c r="A313" s="16">
        <f>TeamHero生成!A313</f>
        <v>309</v>
      </c>
      <c r="B313" s="16">
        <f>TeamHero生成!B313</f>
        <v>1021</v>
      </c>
      <c r="C313" s="16">
        <f>TeamHero生成!C313</f>
        <v>41</v>
      </c>
      <c r="D313" s="17">
        <f>TeamHero生成!D313</f>
        <v>1007539</v>
      </c>
      <c r="E313" s="17">
        <f>TeamHero生成!E313</f>
        <v>23642</v>
      </c>
      <c r="F313" s="17">
        <f>TeamHero生成!F313</f>
        <v>22118</v>
      </c>
      <c r="G313" s="16" t="str">
        <f>TeamHero生成!AG313</f>
        <v>有效</v>
      </c>
      <c r="H313" s="16">
        <f>TeamHero生成!G313</f>
        <v>1335297</v>
      </c>
      <c r="I313" s="16">
        <f>TeamHero生成!H313</f>
        <v>27166</v>
      </c>
      <c r="J313" s="16">
        <f>TeamHero生成!I313</f>
        <v>18316</v>
      </c>
    </row>
    <row r="314" ht="14.25" customHeight="1" spans="1:10">
      <c r="A314" s="16">
        <f>TeamHero生成!A314</f>
        <v>310</v>
      </c>
      <c r="B314" s="16">
        <f>TeamHero生成!B314</f>
        <v>1006</v>
      </c>
      <c r="C314" s="16">
        <f>TeamHero生成!C314</f>
        <v>41</v>
      </c>
      <c r="D314" s="17">
        <f>TeamHero生成!D314</f>
        <v>1007539</v>
      </c>
      <c r="E314" s="17">
        <f>TeamHero生成!E314</f>
        <v>23642</v>
      </c>
      <c r="F314" s="17">
        <f>TeamHero生成!F314</f>
        <v>22118</v>
      </c>
      <c r="G314" s="16" t="str">
        <f>TeamHero生成!AG314</f>
        <v>有效</v>
      </c>
      <c r="H314" s="16">
        <f>TeamHero生成!G314</f>
        <v>1335297</v>
      </c>
      <c r="I314" s="16">
        <f>TeamHero生成!H314</f>
        <v>27166</v>
      </c>
      <c r="J314" s="16">
        <f>TeamHero生成!I314</f>
        <v>18316</v>
      </c>
    </row>
    <row r="315" ht="14.25" customHeight="1" spans="1:10">
      <c r="A315" s="16">
        <f>TeamHero生成!A315</f>
        <v>311</v>
      </c>
      <c r="B315" s="16">
        <f>TeamHero生成!B315</f>
        <v>1002</v>
      </c>
      <c r="C315" s="16">
        <f>TeamHero生成!C315</f>
        <v>41</v>
      </c>
      <c r="D315" s="17">
        <f>TeamHero生成!D315</f>
        <v>1539843</v>
      </c>
      <c r="E315" s="17">
        <f>TeamHero生成!E315</f>
        <v>20015</v>
      </c>
      <c r="F315" s="17">
        <f>TeamHero生成!F315</f>
        <v>33551</v>
      </c>
      <c r="G315" s="16" t="str">
        <f>TeamHero生成!AG315</f>
        <v>有效</v>
      </c>
      <c r="H315" s="16">
        <f>TeamHero生成!G315</f>
        <v>2082470</v>
      </c>
      <c r="I315" s="16">
        <f>TeamHero生成!H315</f>
        <v>23274</v>
      </c>
      <c r="J315" s="16">
        <f>TeamHero生成!I315</f>
        <v>28034</v>
      </c>
    </row>
    <row r="316" ht="14.25" customHeight="1" spans="1:10">
      <c r="A316" s="16">
        <f>TeamHero生成!A316</f>
        <v>312</v>
      </c>
      <c r="B316" s="16">
        <f>TeamHero生成!B316</f>
        <v>1008</v>
      </c>
      <c r="C316" s="16">
        <f>TeamHero生成!C316</f>
        <v>41</v>
      </c>
      <c r="D316" s="17">
        <f>TeamHero生成!D316</f>
        <v>1026562</v>
      </c>
      <c r="E316" s="17">
        <f>TeamHero生成!E316</f>
        <v>24017</v>
      </c>
      <c r="F316" s="17">
        <f>TeamHero生成!F316</f>
        <v>22367</v>
      </c>
      <c r="G316" s="16" t="str">
        <f>TeamHero生成!AG316</f>
        <v>有效</v>
      </c>
      <c r="H316" s="16">
        <f>TeamHero生成!G316</f>
        <v>1388313</v>
      </c>
      <c r="I316" s="16">
        <f>TeamHero生成!H316</f>
        <v>27928</v>
      </c>
      <c r="J316" s="16">
        <f>TeamHero生成!I316</f>
        <v>18689</v>
      </c>
    </row>
    <row r="317" ht="14.25" customHeight="1" spans="1:10">
      <c r="A317" s="16">
        <f>TeamHero生成!A317</f>
        <v>313</v>
      </c>
      <c r="B317" s="16">
        <f>TeamHero生成!B317</f>
        <v>1006</v>
      </c>
      <c r="C317" s="16">
        <f>TeamHero生成!C317</f>
        <v>41</v>
      </c>
      <c r="D317" s="17">
        <f>TeamHero生成!D317</f>
        <v>1026562</v>
      </c>
      <c r="E317" s="17">
        <f>TeamHero生成!E317</f>
        <v>24017</v>
      </c>
      <c r="F317" s="17">
        <f>TeamHero生成!F317</f>
        <v>22367</v>
      </c>
      <c r="G317" s="16" t="str">
        <f>TeamHero生成!AG317</f>
        <v>有效</v>
      </c>
      <c r="H317" s="16">
        <f>TeamHero生成!G317</f>
        <v>1388313</v>
      </c>
      <c r="I317" s="16">
        <f>TeamHero生成!H317</f>
        <v>27928</v>
      </c>
      <c r="J317" s="16">
        <f>TeamHero生成!I317</f>
        <v>18689</v>
      </c>
    </row>
    <row r="318" ht="14.25" customHeight="1" spans="1:10">
      <c r="A318" s="16">
        <f>TeamHero生成!A318</f>
        <v>314</v>
      </c>
      <c r="B318" s="16">
        <f>TeamHero生成!B318</f>
        <v>1007</v>
      </c>
      <c r="C318" s="16">
        <f>TeamHero生成!C318</f>
        <v>41</v>
      </c>
      <c r="D318" s="17">
        <f>TeamHero生成!D318</f>
        <v>1283203</v>
      </c>
      <c r="E318" s="17">
        <f>TeamHero生成!E318</f>
        <v>20015</v>
      </c>
      <c r="F318" s="17">
        <f>TeamHero生成!F318</f>
        <v>27959</v>
      </c>
      <c r="G318" s="16" t="str">
        <f>TeamHero生成!AG318</f>
        <v>有效</v>
      </c>
      <c r="H318" s="16">
        <f>TeamHero生成!G318</f>
        <v>1735392</v>
      </c>
      <c r="I318" s="16">
        <f>TeamHero生成!H318</f>
        <v>23274</v>
      </c>
      <c r="J318" s="16">
        <f>TeamHero生成!I318</f>
        <v>23362</v>
      </c>
    </row>
    <row r="319" ht="14.25" customHeight="1" spans="1:10">
      <c r="A319" s="16">
        <f>TeamHero生成!A319</f>
        <v>315</v>
      </c>
      <c r="B319" s="16">
        <f>TeamHero生成!B319</f>
        <v>1007</v>
      </c>
      <c r="C319" s="16">
        <f>TeamHero生成!C319</f>
        <v>41</v>
      </c>
      <c r="D319" s="17">
        <f>TeamHero生成!D319</f>
        <v>1283203</v>
      </c>
      <c r="E319" s="17">
        <f>TeamHero生成!E319</f>
        <v>20015</v>
      </c>
      <c r="F319" s="17">
        <f>TeamHero生成!F319</f>
        <v>27959</v>
      </c>
      <c r="G319" s="16" t="str">
        <f>TeamHero生成!AG319</f>
        <v>有效</v>
      </c>
      <c r="H319" s="16">
        <f>TeamHero生成!G319</f>
        <v>1735392</v>
      </c>
      <c r="I319" s="16">
        <f>TeamHero生成!H319</f>
        <v>23274</v>
      </c>
      <c r="J319" s="16">
        <f>TeamHero生成!I319</f>
        <v>23362</v>
      </c>
    </row>
    <row r="320" ht="14.25" customHeight="1" spans="1:10">
      <c r="A320" s="16">
        <f>TeamHero生成!A320</f>
        <v>316</v>
      </c>
      <c r="B320" s="16">
        <f>TeamHero生成!B320</f>
        <v>1004</v>
      </c>
      <c r="C320" s="16">
        <f>TeamHero生成!C320</f>
        <v>42</v>
      </c>
      <c r="D320" s="17">
        <f>TeamHero生成!D320</f>
        <v>1583702</v>
      </c>
      <c r="E320" s="17">
        <f>TeamHero生成!E320</f>
        <v>20473</v>
      </c>
      <c r="F320" s="17">
        <f>TeamHero生成!F320</f>
        <v>33927</v>
      </c>
      <c r="G320" s="16" t="str">
        <f>TeamHero生成!AG320</f>
        <v>有效</v>
      </c>
      <c r="H320" s="16">
        <f>TeamHero生成!G320</f>
        <v>2164269</v>
      </c>
      <c r="I320" s="16">
        <f>TeamHero生成!H320</f>
        <v>23922</v>
      </c>
      <c r="J320" s="16">
        <f>TeamHero生成!I320</f>
        <v>28599</v>
      </c>
    </row>
    <row r="321" ht="14.25" customHeight="1" spans="1:10">
      <c r="A321" s="16">
        <f>TeamHero生成!A321</f>
        <v>317</v>
      </c>
      <c r="B321" s="16">
        <f>TeamHero生成!B321</f>
        <v>1021</v>
      </c>
      <c r="C321" s="16">
        <f>TeamHero生成!C321</f>
        <v>42</v>
      </c>
      <c r="D321" s="17">
        <f>TeamHero生成!D321</f>
        <v>1055801</v>
      </c>
      <c r="E321" s="17">
        <f>TeamHero生成!E321</f>
        <v>24568</v>
      </c>
      <c r="F321" s="17">
        <f>TeamHero生成!F321</f>
        <v>22618</v>
      </c>
      <c r="G321" s="16" t="str">
        <f>TeamHero生成!AG321</f>
        <v>有效</v>
      </c>
      <c r="H321" s="16">
        <f>TeamHero生成!G321</f>
        <v>1442846</v>
      </c>
      <c r="I321" s="16">
        <f>TeamHero生成!H321</f>
        <v>28706</v>
      </c>
      <c r="J321" s="16">
        <f>TeamHero生成!I321</f>
        <v>19066</v>
      </c>
    </row>
    <row r="322" ht="14.25" customHeight="1" spans="1:10">
      <c r="A322" s="16">
        <f>TeamHero生成!A322</f>
        <v>318</v>
      </c>
      <c r="B322" s="16">
        <f>TeamHero生成!B322</f>
        <v>1006</v>
      </c>
      <c r="C322" s="16">
        <f>TeamHero生成!C322</f>
        <v>42</v>
      </c>
      <c r="D322" s="17">
        <f>TeamHero生成!D322</f>
        <v>1055801</v>
      </c>
      <c r="E322" s="17">
        <f>TeamHero生成!E322</f>
        <v>24568</v>
      </c>
      <c r="F322" s="17">
        <f>TeamHero生成!F322</f>
        <v>22618</v>
      </c>
      <c r="G322" s="16" t="str">
        <f>TeamHero生成!AG322</f>
        <v>有效</v>
      </c>
      <c r="H322" s="16">
        <f>TeamHero生成!G322</f>
        <v>1442846</v>
      </c>
      <c r="I322" s="16">
        <f>TeamHero生成!H322</f>
        <v>28706</v>
      </c>
      <c r="J322" s="16">
        <f>TeamHero生成!I322</f>
        <v>19066</v>
      </c>
    </row>
    <row r="323" ht="14.25" customHeight="1" spans="1:10">
      <c r="A323" s="16">
        <f>TeamHero生成!A323</f>
        <v>319</v>
      </c>
      <c r="B323" s="16">
        <f>TeamHero生成!B323</f>
        <v>1012</v>
      </c>
      <c r="C323" s="16">
        <f>TeamHero生成!C323</f>
        <v>42</v>
      </c>
      <c r="D323" s="17">
        <f>TeamHero生成!D323</f>
        <v>1319751</v>
      </c>
      <c r="E323" s="17">
        <f>TeamHero生成!E323</f>
        <v>20473</v>
      </c>
      <c r="F323" s="17">
        <f>TeamHero生成!F323</f>
        <v>28273</v>
      </c>
      <c r="G323" s="16" t="str">
        <f>TeamHero生成!AG323</f>
        <v>有效</v>
      </c>
      <c r="H323" s="16">
        <f>TeamHero生成!G323</f>
        <v>1803558</v>
      </c>
      <c r="I323" s="16">
        <f>TeamHero生成!H323</f>
        <v>23922</v>
      </c>
      <c r="J323" s="16">
        <f>TeamHero生成!I323</f>
        <v>23833</v>
      </c>
    </row>
    <row r="324" ht="14.25" customHeight="1" spans="1:10">
      <c r="A324" s="16">
        <f>TeamHero生成!A324</f>
        <v>320</v>
      </c>
      <c r="B324" s="16">
        <f>TeamHero生成!B324</f>
        <v>1014</v>
      </c>
      <c r="C324" s="16">
        <f>TeamHero生成!C324</f>
        <v>42</v>
      </c>
      <c r="D324" s="17">
        <f>TeamHero生成!D324</f>
        <v>1055801</v>
      </c>
      <c r="E324" s="17">
        <f>TeamHero生成!E324</f>
        <v>24568</v>
      </c>
      <c r="F324" s="17">
        <f>TeamHero生成!F324</f>
        <v>22618</v>
      </c>
      <c r="G324" s="16" t="str">
        <f>TeamHero生成!AG324</f>
        <v>有效</v>
      </c>
      <c r="H324" s="16">
        <f>TeamHero生成!G324</f>
        <v>1442846</v>
      </c>
      <c r="I324" s="16">
        <f>TeamHero生成!H324</f>
        <v>28706</v>
      </c>
      <c r="J324" s="16">
        <f>TeamHero生成!I324</f>
        <v>19066</v>
      </c>
    </row>
    <row r="325" ht="14.25" customHeight="1" spans="1:10">
      <c r="A325" s="16">
        <f>TeamHero生成!A325</f>
        <v>321</v>
      </c>
      <c r="B325" s="16">
        <f>TeamHero生成!B325</f>
        <v>1003</v>
      </c>
      <c r="C325" s="16">
        <f>TeamHero生成!C325</f>
        <v>42</v>
      </c>
      <c r="D325" s="17">
        <f>TeamHero生成!D325</f>
        <v>1609892</v>
      </c>
      <c r="E325" s="17">
        <f>TeamHero生成!E325</f>
        <v>20736</v>
      </c>
      <c r="F325" s="17">
        <f>TeamHero生成!F325</f>
        <v>34304</v>
      </c>
      <c r="G325" s="16" t="str">
        <f>TeamHero生成!AG325</f>
        <v>有效</v>
      </c>
      <c r="H325" s="16">
        <f>TeamHero生成!G325</f>
        <v>2248387</v>
      </c>
      <c r="I325" s="16">
        <f>TeamHero生成!H325</f>
        <v>24586</v>
      </c>
      <c r="J325" s="16">
        <f>TeamHero生成!I325</f>
        <v>29168</v>
      </c>
    </row>
    <row r="326" ht="14.25" customHeight="1" spans="1:10">
      <c r="A326" s="16">
        <f>TeamHero生成!A326</f>
        <v>322</v>
      </c>
      <c r="B326" s="16">
        <f>TeamHero生成!B326</f>
        <v>1008</v>
      </c>
      <c r="C326" s="16">
        <f>TeamHero生成!C326</f>
        <v>42</v>
      </c>
      <c r="D326" s="17">
        <f>TeamHero生成!D326</f>
        <v>1073261</v>
      </c>
      <c r="E326" s="17">
        <f>TeamHero生成!E326</f>
        <v>24883</v>
      </c>
      <c r="F326" s="17">
        <f>TeamHero生成!F326</f>
        <v>22869</v>
      </c>
      <c r="G326" s="16" t="str">
        <f>TeamHero生成!AG326</f>
        <v>有效</v>
      </c>
      <c r="H326" s="16">
        <f>TeamHero生成!G326</f>
        <v>1498924</v>
      </c>
      <c r="I326" s="16">
        <f>TeamHero生成!H326</f>
        <v>29503</v>
      </c>
      <c r="J326" s="16">
        <f>TeamHero生成!I326</f>
        <v>19445</v>
      </c>
    </row>
    <row r="327" ht="14.25" customHeight="1" spans="1:10">
      <c r="A327" s="16">
        <f>TeamHero生成!A327</f>
        <v>323</v>
      </c>
      <c r="B327" s="16">
        <f>TeamHero生成!B327</f>
        <v>1007</v>
      </c>
      <c r="C327" s="16">
        <f>TeamHero生成!C327</f>
        <v>42</v>
      </c>
      <c r="D327" s="17">
        <f>TeamHero生成!D327</f>
        <v>1341577</v>
      </c>
      <c r="E327" s="17">
        <f>TeamHero生成!E327</f>
        <v>20736</v>
      </c>
      <c r="F327" s="17">
        <f>TeamHero生成!F327</f>
        <v>28586</v>
      </c>
      <c r="G327" s="16" t="str">
        <f>TeamHero生成!AG327</f>
        <v>有效</v>
      </c>
      <c r="H327" s="16">
        <f>TeamHero生成!G327</f>
        <v>1873656</v>
      </c>
      <c r="I327" s="16">
        <f>TeamHero生成!H327</f>
        <v>24586</v>
      </c>
      <c r="J327" s="16">
        <f>TeamHero生成!I327</f>
        <v>24307</v>
      </c>
    </row>
    <row r="328" ht="14.25" customHeight="1" spans="1:10">
      <c r="A328" s="16">
        <f>TeamHero生成!A328</f>
        <v>324</v>
      </c>
      <c r="B328" s="16">
        <f>TeamHero生成!B328</f>
        <v>1011</v>
      </c>
      <c r="C328" s="16">
        <f>TeamHero生成!C328</f>
        <v>42</v>
      </c>
      <c r="D328" s="17">
        <f>TeamHero生成!D328</f>
        <v>1341577</v>
      </c>
      <c r="E328" s="17">
        <f>TeamHero生成!E328</f>
        <v>20736</v>
      </c>
      <c r="F328" s="17">
        <f>TeamHero生成!F328</f>
        <v>28586</v>
      </c>
      <c r="G328" s="16" t="str">
        <f>TeamHero生成!AG328</f>
        <v>有效</v>
      </c>
      <c r="H328" s="16">
        <f>TeamHero生成!G328</f>
        <v>1873656</v>
      </c>
      <c r="I328" s="16">
        <f>TeamHero生成!H328</f>
        <v>24586</v>
      </c>
      <c r="J328" s="16">
        <f>TeamHero生成!I328</f>
        <v>24307</v>
      </c>
    </row>
    <row r="329" ht="14.25" customHeight="1" spans="1:10">
      <c r="A329" s="16">
        <f>TeamHero生成!A329</f>
        <v>325</v>
      </c>
      <c r="B329" s="16">
        <f>TeamHero生成!B329</f>
        <v>1020</v>
      </c>
      <c r="C329" s="16">
        <f>TeamHero生成!C329</f>
        <v>42</v>
      </c>
      <c r="D329" s="17">
        <f>TeamHero生成!D329</f>
        <v>1341577</v>
      </c>
      <c r="E329" s="17">
        <f>TeamHero生成!E329</f>
        <v>20736</v>
      </c>
      <c r="F329" s="17">
        <f>TeamHero生成!F329</f>
        <v>28586</v>
      </c>
      <c r="G329" s="16" t="str">
        <f>TeamHero生成!AG329</f>
        <v>有效</v>
      </c>
      <c r="H329" s="16">
        <f>TeamHero生成!G329</f>
        <v>1873656</v>
      </c>
      <c r="I329" s="16">
        <f>TeamHero生成!H329</f>
        <v>24586</v>
      </c>
      <c r="J329" s="16">
        <f>TeamHero生成!I329</f>
        <v>24307</v>
      </c>
    </row>
    <row r="330" ht="14.25" customHeight="1" spans="1:10">
      <c r="A330" s="16">
        <f>TeamHero生成!A330</f>
        <v>326</v>
      </c>
      <c r="B330" s="16">
        <f>TeamHero生成!B330</f>
        <v>1004</v>
      </c>
      <c r="C330" s="16">
        <f>TeamHero生成!C330</f>
        <v>43</v>
      </c>
      <c r="D330" s="17">
        <f>TeamHero生成!D330</f>
        <v>1638242</v>
      </c>
      <c r="E330" s="17">
        <f>TeamHero生成!E330</f>
        <v>21057</v>
      </c>
      <c r="F330" s="17">
        <f>TeamHero生成!F330</f>
        <v>34493</v>
      </c>
      <c r="G330" s="16" t="str">
        <f>TeamHero生成!AG330</f>
        <v>有效</v>
      </c>
      <c r="H330" s="16">
        <f>TeamHero生成!G330</f>
        <v>2334866</v>
      </c>
      <c r="I330" s="16">
        <f>TeamHero生成!H330</f>
        <v>25264</v>
      </c>
      <c r="J330" s="16">
        <f>TeamHero生成!I330</f>
        <v>29742</v>
      </c>
    </row>
    <row r="331" ht="14.25" customHeight="1" spans="1:10">
      <c r="A331" s="16">
        <f>TeamHero生成!A331</f>
        <v>327</v>
      </c>
      <c r="B331" s="16">
        <f>TeamHero生成!B331</f>
        <v>1021</v>
      </c>
      <c r="C331" s="16">
        <f>TeamHero生成!C331</f>
        <v>43</v>
      </c>
      <c r="D331" s="17">
        <f>TeamHero生成!D331</f>
        <v>1092162</v>
      </c>
      <c r="E331" s="17">
        <f>TeamHero生成!E331</f>
        <v>25268</v>
      </c>
      <c r="F331" s="17">
        <f>TeamHero生成!F331</f>
        <v>22995</v>
      </c>
      <c r="G331" s="16" t="str">
        <f>TeamHero生成!AG331</f>
        <v>有效</v>
      </c>
      <c r="H331" s="16">
        <f>TeamHero生成!G331</f>
        <v>1556577</v>
      </c>
      <c r="I331" s="16">
        <f>TeamHero生成!H331</f>
        <v>30316</v>
      </c>
      <c r="J331" s="16">
        <f>TeamHero生成!I331</f>
        <v>19828</v>
      </c>
    </row>
    <row r="332" ht="14.25" customHeight="1" spans="1:10">
      <c r="A332" s="16">
        <f>TeamHero生成!A332</f>
        <v>328</v>
      </c>
      <c r="B332" s="16">
        <f>TeamHero生成!B332</f>
        <v>1006</v>
      </c>
      <c r="C332" s="16">
        <f>TeamHero生成!C332</f>
        <v>43</v>
      </c>
      <c r="D332" s="17">
        <f>TeamHero生成!D332</f>
        <v>1092162</v>
      </c>
      <c r="E332" s="17">
        <f>TeamHero生成!E332</f>
        <v>25268</v>
      </c>
      <c r="F332" s="17">
        <f>TeamHero生成!F332</f>
        <v>22995</v>
      </c>
      <c r="G332" s="16" t="str">
        <f>TeamHero生成!AG332</f>
        <v>有效</v>
      </c>
      <c r="H332" s="16">
        <f>TeamHero生成!G332</f>
        <v>1556577</v>
      </c>
      <c r="I332" s="16">
        <f>TeamHero生成!H332</f>
        <v>30316</v>
      </c>
      <c r="J332" s="16">
        <f>TeamHero生成!I332</f>
        <v>19828</v>
      </c>
    </row>
    <row r="333" ht="14.25" customHeight="1" spans="1:10">
      <c r="A333" s="16">
        <f>TeamHero生成!A333</f>
        <v>329</v>
      </c>
      <c r="B333" s="16">
        <f>TeamHero生成!B333</f>
        <v>1021</v>
      </c>
      <c r="C333" s="16">
        <f>TeamHero生成!C333</f>
        <v>43</v>
      </c>
      <c r="D333" s="17">
        <f>TeamHero生成!D333</f>
        <v>1092162</v>
      </c>
      <c r="E333" s="17">
        <f>TeamHero生成!E333</f>
        <v>25268</v>
      </c>
      <c r="F333" s="17">
        <f>TeamHero生成!F333</f>
        <v>22995</v>
      </c>
      <c r="G333" s="16" t="str">
        <f>TeamHero生成!AG333</f>
        <v>有效</v>
      </c>
      <c r="H333" s="16">
        <f>TeamHero生成!G333</f>
        <v>1556577</v>
      </c>
      <c r="I333" s="16">
        <f>TeamHero生成!H333</f>
        <v>30316</v>
      </c>
      <c r="J333" s="16">
        <f>TeamHero生成!I333</f>
        <v>19828</v>
      </c>
    </row>
    <row r="334" ht="14.25" customHeight="1" spans="1:10">
      <c r="A334" s="16">
        <f>TeamHero生成!A334</f>
        <v>330</v>
      </c>
      <c r="B334" s="16">
        <f>TeamHero生成!B334</f>
        <v>1012</v>
      </c>
      <c r="C334" s="16">
        <f>TeamHero生成!C334</f>
        <v>43</v>
      </c>
      <c r="D334" s="17">
        <f>TeamHero生成!D334</f>
        <v>1365202</v>
      </c>
      <c r="E334" s="17">
        <f>TeamHero生成!E334</f>
        <v>21057</v>
      </c>
      <c r="F334" s="17">
        <f>TeamHero生成!F334</f>
        <v>28744</v>
      </c>
      <c r="G334" s="16" t="str">
        <f>TeamHero生成!AG334</f>
        <v>有效</v>
      </c>
      <c r="H334" s="16">
        <f>TeamHero生成!G334</f>
        <v>1945722</v>
      </c>
      <c r="I334" s="16">
        <f>TeamHero生成!H334</f>
        <v>25264</v>
      </c>
      <c r="J334" s="16">
        <f>TeamHero生成!I334</f>
        <v>24785</v>
      </c>
    </row>
    <row r="335" ht="14.25" customHeight="1" spans="1:10">
      <c r="A335" s="16">
        <f>TeamHero生成!A335</f>
        <v>331</v>
      </c>
      <c r="B335" s="16">
        <f>TeamHero生成!B335</f>
        <v>1004</v>
      </c>
      <c r="C335" s="16">
        <f>TeamHero生成!C335</f>
        <v>43</v>
      </c>
      <c r="D335" s="17">
        <f>TeamHero生成!D335</f>
        <v>1665556</v>
      </c>
      <c r="E335" s="17">
        <f>TeamHero生成!E335</f>
        <v>21376</v>
      </c>
      <c r="F335" s="17">
        <f>TeamHero生成!F335</f>
        <v>34872</v>
      </c>
      <c r="G335" s="16" t="str">
        <f>TeamHero生成!AG335</f>
        <v>有效</v>
      </c>
      <c r="H335" s="16">
        <f>TeamHero生成!G335</f>
        <v>2423750</v>
      </c>
      <c r="I335" s="16">
        <f>TeamHero生成!H335</f>
        <v>25956</v>
      </c>
      <c r="J335" s="16">
        <f>TeamHero生成!I335</f>
        <v>30320</v>
      </c>
    </row>
    <row r="336" ht="14.25" customHeight="1" spans="1:10">
      <c r="A336" s="16">
        <f>TeamHero生成!A336</f>
        <v>332</v>
      </c>
      <c r="B336" s="16">
        <f>TeamHero生成!B336</f>
        <v>1015</v>
      </c>
      <c r="C336" s="16">
        <f>TeamHero生成!C336</f>
        <v>43</v>
      </c>
      <c r="D336" s="17">
        <f>TeamHero生成!D336</f>
        <v>1387963</v>
      </c>
      <c r="E336" s="17">
        <f>TeamHero生成!E336</f>
        <v>21376</v>
      </c>
      <c r="F336" s="17">
        <f>TeamHero生成!F336</f>
        <v>29060</v>
      </c>
      <c r="G336" s="16" t="str">
        <f>TeamHero生成!AG336</f>
        <v>有效</v>
      </c>
      <c r="H336" s="16">
        <f>TeamHero生成!G336</f>
        <v>2019792</v>
      </c>
      <c r="I336" s="16">
        <f>TeamHero生成!H336</f>
        <v>25956</v>
      </c>
      <c r="J336" s="16">
        <f>TeamHero生成!I336</f>
        <v>25267</v>
      </c>
    </row>
    <row r="337" ht="14.25" customHeight="1" spans="1:10">
      <c r="A337" s="16">
        <f>TeamHero生成!A337</f>
        <v>333</v>
      </c>
      <c r="B337" s="16">
        <f>TeamHero生成!B337</f>
        <v>1005</v>
      </c>
      <c r="C337" s="16">
        <f>TeamHero生成!C337</f>
        <v>43</v>
      </c>
      <c r="D337" s="17">
        <f>TeamHero生成!D337</f>
        <v>1110371</v>
      </c>
      <c r="E337" s="17">
        <f>TeamHero生成!E337</f>
        <v>25651</v>
      </c>
      <c r="F337" s="17">
        <f>TeamHero生成!F337</f>
        <v>23248</v>
      </c>
      <c r="G337" s="16" t="str">
        <f>TeamHero生成!AG337</f>
        <v>有效</v>
      </c>
      <c r="H337" s="16">
        <f>TeamHero生成!G337</f>
        <v>1615833</v>
      </c>
      <c r="I337" s="16">
        <f>TeamHero生成!H337</f>
        <v>31147</v>
      </c>
      <c r="J337" s="16">
        <f>TeamHero生成!I337</f>
        <v>20213</v>
      </c>
    </row>
    <row r="338" ht="14.25" customHeight="1" spans="1:10">
      <c r="A338" s="16">
        <f>TeamHero生成!A338</f>
        <v>334</v>
      </c>
      <c r="B338" s="16">
        <f>TeamHero生成!B338</f>
        <v>1005</v>
      </c>
      <c r="C338" s="16">
        <f>TeamHero生成!C338</f>
        <v>43</v>
      </c>
      <c r="D338" s="17">
        <f>TeamHero生成!D338</f>
        <v>1110371</v>
      </c>
      <c r="E338" s="17">
        <f>TeamHero生成!E338</f>
        <v>25651</v>
      </c>
      <c r="F338" s="17">
        <f>TeamHero生成!F338</f>
        <v>23248</v>
      </c>
      <c r="G338" s="16" t="str">
        <f>TeamHero生成!AG338</f>
        <v>有效</v>
      </c>
      <c r="H338" s="16">
        <f>TeamHero生成!G338</f>
        <v>1615833</v>
      </c>
      <c r="I338" s="16">
        <f>TeamHero生成!H338</f>
        <v>31147</v>
      </c>
      <c r="J338" s="16">
        <f>TeamHero生成!I338</f>
        <v>20213</v>
      </c>
    </row>
    <row r="339" ht="14.25" customHeight="1" spans="1:10">
      <c r="A339" s="16">
        <f>TeamHero生成!A339</f>
        <v>335</v>
      </c>
      <c r="B339" s="16">
        <f>TeamHero生成!B339</f>
        <v>1008</v>
      </c>
      <c r="C339" s="16">
        <f>TeamHero生成!C339</f>
        <v>43</v>
      </c>
      <c r="D339" s="17">
        <f>TeamHero生成!D339</f>
        <v>1110371</v>
      </c>
      <c r="E339" s="17">
        <f>TeamHero生成!E339</f>
        <v>25651</v>
      </c>
      <c r="F339" s="17">
        <f>TeamHero生成!F339</f>
        <v>23248</v>
      </c>
      <c r="G339" s="16" t="str">
        <f>TeamHero生成!AG339</f>
        <v>有效</v>
      </c>
      <c r="H339" s="16">
        <f>TeamHero生成!G339</f>
        <v>1615833</v>
      </c>
      <c r="I339" s="16">
        <f>TeamHero生成!H339</f>
        <v>31147</v>
      </c>
      <c r="J339" s="16">
        <f>TeamHero生成!I339</f>
        <v>20213</v>
      </c>
    </row>
    <row r="340" ht="14.25" customHeight="1" spans="1:10">
      <c r="A340" s="16">
        <f>TeamHero生成!A340</f>
        <v>336</v>
      </c>
      <c r="B340" s="16">
        <f>TeamHero生成!B340</f>
        <v>1002</v>
      </c>
      <c r="C340" s="16">
        <f>TeamHero生成!C340</f>
        <v>44</v>
      </c>
      <c r="D340" s="17">
        <f>TeamHero生成!D340</f>
        <v>1700239</v>
      </c>
      <c r="E340" s="17">
        <f>TeamHero生成!E340</f>
        <v>21738</v>
      </c>
      <c r="F340" s="17">
        <f>TeamHero生成!F340</f>
        <v>35252</v>
      </c>
      <c r="G340" s="16" t="str">
        <f>TeamHero生成!AG340</f>
        <v>有效</v>
      </c>
      <c r="H340" s="16">
        <f>TeamHero生成!G340</f>
        <v>2515089</v>
      </c>
      <c r="I340" s="16">
        <f>TeamHero生成!H340</f>
        <v>26665</v>
      </c>
      <c r="J340" s="16">
        <f>TeamHero生成!I340</f>
        <v>30902</v>
      </c>
    </row>
    <row r="341" ht="14.25" customHeight="1" spans="1:10">
      <c r="A341" s="16">
        <f>TeamHero生成!A341</f>
        <v>337</v>
      </c>
      <c r="B341" s="16">
        <f>TeamHero生成!B341</f>
        <v>1001</v>
      </c>
      <c r="C341" s="16">
        <f>TeamHero生成!C341</f>
        <v>44</v>
      </c>
      <c r="D341" s="17">
        <f>TeamHero生成!D341</f>
        <v>1133493</v>
      </c>
      <c r="E341" s="17">
        <f>TeamHero生成!E341</f>
        <v>26085</v>
      </c>
      <c r="F341" s="17">
        <f>TeamHero生成!F341</f>
        <v>23501</v>
      </c>
      <c r="G341" s="16" t="str">
        <f>TeamHero生成!AG341</f>
        <v>有效</v>
      </c>
      <c r="H341" s="16">
        <f>TeamHero生成!G341</f>
        <v>1676726</v>
      </c>
      <c r="I341" s="16">
        <f>TeamHero生成!H341</f>
        <v>31998</v>
      </c>
      <c r="J341" s="16">
        <f>TeamHero生成!I341</f>
        <v>20601</v>
      </c>
    </row>
    <row r="342" ht="14.25" customHeight="1" spans="1:10">
      <c r="A342" s="16">
        <f>TeamHero生成!A342</f>
        <v>338</v>
      </c>
      <c r="B342" s="16">
        <f>TeamHero生成!B342</f>
        <v>1001</v>
      </c>
      <c r="C342" s="16">
        <f>TeamHero生成!C342</f>
        <v>44</v>
      </c>
      <c r="D342" s="17">
        <f>TeamHero生成!D342</f>
        <v>1133493</v>
      </c>
      <c r="E342" s="17">
        <f>TeamHero生成!E342</f>
        <v>26085</v>
      </c>
      <c r="F342" s="17">
        <f>TeamHero生成!F342</f>
        <v>23501</v>
      </c>
      <c r="G342" s="16" t="str">
        <f>TeamHero生成!AG342</f>
        <v>有效</v>
      </c>
      <c r="H342" s="16">
        <f>TeamHero生成!G342</f>
        <v>1676726</v>
      </c>
      <c r="I342" s="16">
        <f>TeamHero生成!H342</f>
        <v>31998</v>
      </c>
      <c r="J342" s="16">
        <f>TeamHero生成!I342</f>
        <v>20601</v>
      </c>
    </row>
    <row r="343" ht="14.25" customHeight="1" spans="1:10">
      <c r="A343" s="16">
        <f>TeamHero生成!A343</f>
        <v>339</v>
      </c>
      <c r="B343" s="16">
        <f>TeamHero生成!B343</f>
        <v>1012</v>
      </c>
      <c r="C343" s="16">
        <f>TeamHero生成!C343</f>
        <v>44</v>
      </c>
      <c r="D343" s="17">
        <f>TeamHero生成!D343</f>
        <v>1416866</v>
      </c>
      <c r="E343" s="17">
        <f>TeamHero生成!E343</f>
        <v>21738</v>
      </c>
      <c r="F343" s="17">
        <f>TeamHero生成!F343</f>
        <v>29376</v>
      </c>
      <c r="G343" s="16" t="str">
        <f>TeamHero生成!AG343</f>
        <v>有效</v>
      </c>
      <c r="H343" s="16">
        <f>TeamHero生成!G343</f>
        <v>2095908</v>
      </c>
      <c r="I343" s="16">
        <f>TeamHero生成!H343</f>
        <v>26665</v>
      </c>
      <c r="J343" s="16">
        <f>TeamHero生成!I343</f>
        <v>25752</v>
      </c>
    </row>
    <row r="344" ht="14.25" customHeight="1" spans="1:10">
      <c r="A344" s="16">
        <f>TeamHero生成!A344</f>
        <v>340</v>
      </c>
      <c r="B344" s="16">
        <f>TeamHero生成!B344</f>
        <v>1012</v>
      </c>
      <c r="C344" s="16">
        <f>TeamHero生成!C344</f>
        <v>44</v>
      </c>
      <c r="D344" s="17">
        <f>TeamHero生成!D344</f>
        <v>1416866</v>
      </c>
      <c r="E344" s="17">
        <f>TeamHero生成!E344</f>
        <v>21738</v>
      </c>
      <c r="F344" s="17">
        <f>TeamHero生成!F344</f>
        <v>29376</v>
      </c>
      <c r="G344" s="16" t="str">
        <f>TeamHero生成!AG344</f>
        <v>有效</v>
      </c>
      <c r="H344" s="16">
        <f>TeamHero生成!G344</f>
        <v>2095908</v>
      </c>
      <c r="I344" s="16">
        <f>TeamHero生成!H344</f>
        <v>26665</v>
      </c>
      <c r="J344" s="16">
        <f>TeamHero生成!I344</f>
        <v>25752</v>
      </c>
    </row>
    <row r="345" ht="14.25" customHeight="1" spans="1:10">
      <c r="A345" s="16">
        <f>TeamHero生成!A345</f>
        <v>341</v>
      </c>
      <c r="B345" s="16">
        <f>TeamHero生成!B345</f>
        <v>1004</v>
      </c>
      <c r="C345" s="16">
        <f>TeamHero生成!C345</f>
        <v>44</v>
      </c>
      <c r="D345" s="17">
        <f>TeamHero生成!D345</f>
        <v>1729993</v>
      </c>
      <c r="E345" s="17">
        <f>TeamHero生成!E345</f>
        <v>22081</v>
      </c>
      <c r="F345" s="17">
        <f>TeamHero生成!F345</f>
        <v>35634</v>
      </c>
      <c r="G345" s="16" t="str">
        <f>TeamHero生成!AG345</f>
        <v>有效</v>
      </c>
      <c r="H345" s="16">
        <f>TeamHero生成!G345</f>
        <v>2608920</v>
      </c>
      <c r="I345" s="16">
        <f>TeamHero生成!H345</f>
        <v>27390</v>
      </c>
      <c r="J345" s="16">
        <f>TeamHero生成!I345</f>
        <v>31489</v>
      </c>
    </row>
    <row r="346" ht="14.25" customHeight="1" spans="1:10">
      <c r="A346" s="16">
        <f>TeamHero生成!A346</f>
        <v>342</v>
      </c>
      <c r="B346" s="16">
        <f>TeamHero生成!B346</f>
        <v>1007</v>
      </c>
      <c r="C346" s="16">
        <f>TeamHero生成!C346</f>
        <v>44</v>
      </c>
      <c r="D346" s="17">
        <f>TeamHero生成!D346</f>
        <v>1441661</v>
      </c>
      <c r="E346" s="17">
        <f>TeamHero生成!E346</f>
        <v>22081</v>
      </c>
      <c r="F346" s="17">
        <f>TeamHero生成!F346</f>
        <v>29695</v>
      </c>
      <c r="G346" s="16" t="str">
        <f>TeamHero生成!AG346</f>
        <v>有效</v>
      </c>
      <c r="H346" s="16">
        <f>TeamHero生成!G346</f>
        <v>2174100</v>
      </c>
      <c r="I346" s="16">
        <f>TeamHero生成!H346</f>
        <v>27390</v>
      </c>
      <c r="J346" s="16">
        <f>TeamHero生成!I346</f>
        <v>26241</v>
      </c>
    </row>
    <row r="347" ht="14.25" customHeight="1" spans="1:10">
      <c r="A347" s="16">
        <f>TeamHero生成!A347</f>
        <v>343</v>
      </c>
      <c r="B347" s="16">
        <f>TeamHero生成!B347</f>
        <v>1007</v>
      </c>
      <c r="C347" s="16">
        <f>TeamHero生成!C347</f>
        <v>44</v>
      </c>
      <c r="D347" s="17">
        <f>TeamHero生成!D347</f>
        <v>1441661</v>
      </c>
      <c r="E347" s="17">
        <f>TeamHero生成!E347</f>
        <v>22081</v>
      </c>
      <c r="F347" s="17">
        <f>TeamHero生成!F347</f>
        <v>29695</v>
      </c>
      <c r="G347" s="16" t="str">
        <f>TeamHero生成!AG347</f>
        <v>有效</v>
      </c>
      <c r="H347" s="16">
        <f>TeamHero生成!G347</f>
        <v>2174100</v>
      </c>
      <c r="I347" s="16">
        <f>TeamHero生成!H347</f>
        <v>27390</v>
      </c>
      <c r="J347" s="16">
        <f>TeamHero生成!I347</f>
        <v>26241</v>
      </c>
    </row>
    <row r="348" ht="14.25" customHeight="1" spans="1:10">
      <c r="A348" s="16">
        <f>TeamHero生成!A348</f>
        <v>344</v>
      </c>
      <c r="B348" s="16">
        <f>TeamHero生成!B348</f>
        <v>1008</v>
      </c>
      <c r="C348" s="16">
        <f>TeamHero生成!C348</f>
        <v>44</v>
      </c>
      <c r="D348" s="17">
        <f>TeamHero生成!D348</f>
        <v>1153329</v>
      </c>
      <c r="E348" s="17">
        <f>TeamHero生成!E348</f>
        <v>26497</v>
      </c>
      <c r="F348" s="17">
        <f>TeamHero生成!F348</f>
        <v>23756</v>
      </c>
      <c r="G348" s="16" t="str">
        <f>TeamHero生成!AG348</f>
        <v>有效</v>
      </c>
      <c r="H348" s="16">
        <f>TeamHero生成!G348</f>
        <v>1739280</v>
      </c>
      <c r="I348" s="16">
        <f>TeamHero生成!H348</f>
        <v>32868</v>
      </c>
      <c r="J348" s="16">
        <f>TeamHero生成!I348</f>
        <v>20992</v>
      </c>
    </row>
    <row r="349" ht="14.25" customHeight="1" spans="1:10">
      <c r="A349" s="16">
        <f>TeamHero生成!A349</f>
        <v>345</v>
      </c>
      <c r="B349" s="16">
        <f>TeamHero生成!B349</f>
        <v>1021</v>
      </c>
      <c r="C349" s="16">
        <f>TeamHero生成!C349</f>
        <v>44</v>
      </c>
      <c r="D349" s="17">
        <f>TeamHero生成!D349</f>
        <v>1153329</v>
      </c>
      <c r="E349" s="17">
        <f>TeamHero生成!E349</f>
        <v>26497</v>
      </c>
      <c r="F349" s="17">
        <f>TeamHero生成!F349</f>
        <v>23756</v>
      </c>
      <c r="G349" s="16" t="str">
        <f>TeamHero生成!AG349</f>
        <v>有效</v>
      </c>
      <c r="H349" s="16">
        <f>TeamHero生成!G349</f>
        <v>1739280</v>
      </c>
      <c r="I349" s="16">
        <f>TeamHero生成!H349</f>
        <v>32868</v>
      </c>
      <c r="J349" s="16">
        <f>TeamHero生成!I349</f>
        <v>20992</v>
      </c>
    </row>
    <row r="350" ht="14.25" customHeight="1" spans="1:10">
      <c r="A350" s="16">
        <f>TeamHero生成!A350</f>
        <v>346</v>
      </c>
      <c r="B350" s="16">
        <f>TeamHero生成!B350</f>
        <v>1003</v>
      </c>
      <c r="C350" s="16">
        <f>TeamHero生成!C350</f>
        <v>45</v>
      </c>
      <c r="D350" s="17">
        <f>TeamHero生成!D350</f>
        <v>1773614</v>
      </c>
      <c r="E350" s="17">
        <f>TeamHero生成!E350</f>
        <v>22512</v>
      </c>
      <c r="F350" s="17">
        <f>TeamHero生成!F350</f>
        <v>36017</v>
      </c>
      <c r="G350" s="16" t="str">
        <f>TeamHero生成!AG350</f>
        <v>有效</v>
      </c>
      <c r="H350" s="16">
        <f>TeamHero生成!G350</f>
        <v>2705299</v>
      </c>
      <c r="I350" s="16">
        <f>TeamHero生成!H350</f>
        <v>28132</v>
      </c>
      <c r="J350" s="16">
        <f>TeamHero生成!I350</f>
        <v>32079</v>
      </c>
    </row>
    <row r="351" ht="14.25" customHeight="1" spans="1:10">
      <c r="A351" s="16">
        <f>TeamHero生成!A351</f>
        <v>347</v>
      </c>
      <c r="B351" s="16">
        <f>TeamHero生成!B351</f>
        <v>1017</v>
      </c>
      <c r="C351" s="16">
        <f>TeamHero生成!C351</f>
        <v>45</v>
      </c>
      <c r="D351" s="17">
        <f>TeamHero生成!D351</f>
        <v>1182409</v>
      </c>
      <c r="E351" s="17">
        <f>TeamHero生成!E351</f>
        <v>27014</v>
      </c>
      <c r="F351" s="17">
        <f>TeamHero生成!F351</f>
        <v>24011</v>
      </c>
      <c r="G351" s="16" t="str">
        <f>TeamHero生成!AG351</f>
        <v>有效</v>
      </c>
      <c r="H351" s="16">
        <f>TeamHero生成!G351</f>
        <v>1803532</v>
      </c>
      <c r="I351" s="16">
        <f>TeamHero生成!H351</f>
        <v>33758</v>
      </c>
      <c r="J351" s="16">
        <f>TeamHero生成!I351</f>
        <v>21386</v>
      </c>
    </row>
    <row r="352" ht="14.25" customHeight="1" spans="1:10">
      <c r="A352" s="16">
        <f>TeamHero生成!A352</f>
        <v>348</v>
      </c>
      <c r="B352" s="16">
        <f>TeamHero生成!B352</f>
        <v>1015</v>
      </c>
      <c r="C352" s="16">
        <f>TeamHero生成!C352</f>
        <v>45</v>
      </c>
      <c r="D352" s="17">
        <f>TeamHero生成!D352</f>
        <v>1478012</v>
      </c>
      <c r="E352" s="17">
        <f>TeamHero生成!E352</f>
        <v>22512</v>
      </c>
      <c r="F352" s="17">
        <f>TeamHero生成!F352</f>
        <v>30014</v>
      </c>
      <c r="G352" s="16" t="str">
        <f>TeamHero生成!AG352</f>
        <v>有效</v>
      </c>
      <c r="H352" s="16">
        <f>TeamHero生成!G352</f>
        <v>2254416</v>
      </c>
      <c r="I352" s="16">
        <f>TeamHero生成!H352</f>
        <v>28132</v>
      </c>
      <c r="J352" s="16">
        <f>TeamHero生成!I352</f>
        <v>26733</v>
      </c>
    </row>
    <row r="353" ht="14.25" customHeight="1" spans="1:10">
      <c r="A353" s="16">
        <f>TeamHero生成!A353</f>
        <v>349</v>
      </c>
      <c r="B353" s="16">
        <f>TeamHero生成!B353</f>
        <v>1026</v>
      </c>
      <c r="C353" s="16">
        <f>TeamHero生成!C353</f>
        <v>45</v>
      </c>
      <c r="D353" s="17">
        <f>TeamHero生成!D353</f>
        <v>1182409</v>
      </c>
      <c r="E353" s="17">
        <f>TeamHero生成!E353</f>
        <v>27014</v>
      </c>
      <c r="F353" s="17">
        <f>TeamHero生成!F353</f>
        <v>24011</v>
      </c>
      <c r="G353" s="16" t="str">
        <f>TeamHero生成!AG353</f>
        <v>有效</v>
      </c>
      <c r="H353" s="16">
        <f>TeamHero生成!G353</f>
        <v>1803532</v>
      </c>
      <c r="I353" s="16">
        <f>TeamHero生成!H353</f>
        <v>33758</v>
      </c>
      <c r="J353" s="16">
        <f>TeamHero生成!I353</f>
        <v>21386</v>
      </c>
    </row>
    <row r="354" ht="14.25" customHeight="1" spans="1:10">
      <c r="A354" s="16">
        <f>TeamHero生成!A354</f>
        <v>350</v>
      </c>
      <c r="B354" s="16">
        <f>TeamHero生成!B354</f>
        <v>1007</v>
      </c>
      <c r="C354" s="16">
        <f>TeamHero生成!C354</f>
        <v>45</v>
      </c>
      <c r="D354" s="17">
        <f>TeamHero生成!D354</f>
        <v>1478012</v>
      </c>
      <c r="E354" s="17">
        <f>TeamHero生成!E354</f>
        <v>22512</v>
      </c>
      <c r="F354" s="17">
        <f>TeamHero生成!F354</f>
        <v>30014</v>
      </c>
      <c r="G354" s="16" t="str">
        <f>TeamHero生成!AG354</f>
        <v>有效</v>
      </c>
      <c r="H354" s="16">
        <f>TeamHero生成!G354</f>
        <v>2254416</v>
      </c>
      <c r="I354" s="16">
        <f>TeamHero生成!H354</f>
        <v>28132</v>
      </c>
      <c r="J354" s="16">
        <f>TeamHero生成!I354</f>
        <v>26733</v>
      </c>
    </row>
    <row r="355" ht="14.25" customHeight="1" spans="1:10">
      <c r="A355" s="16">
        <f>TeamHero生成!A355</f>
        <v>351</v>
      </c>
      <c r="B355" s="16">
        <f>TeamHero生成!B355</f>
        <v>1003</v>
      </c>
      <c r="C355" s="16">
        <f>TeamHero生成!C355</f>
        <v>45</v>
      </c>
      <c r="D355" s="17">
        <f>TeamHero生成!D355</f>
        <v>1807700</v>
      </c>
      <c r="E355" s="17">
        <f>TeamHero生成!E355</f>
        <v>22894</v>
      </c>
      <c r="F355" s="17">
        <f>TeamHero生成!F355</f>
        <v>36402</v>
      </c>
      <c r="G355" s="16" t="str">
        <f>TeamHero生成!AG355</f>
        <v>有效</v>
      </c>
      <c r="H355" s="16">
        <f>TeamHero生成!G355</f>
        <v>2804270</v>
      </c>
      <c r="I355" s="16">
        <f>TeamHero生成!H355</f>
        <v>28889</v>
      </c>
      <c r="J355" s="16">
        <f>TeamHero生成!I355</f>
        <v>32676</v>
      </c>
    </row>
    <row r="356" ht="14.25" customHeight="1" spans="1:10">
      <c r="A356" s="16">
        <f>TeamHero生成!A356</f>
        <v>352</v>
      </c>
      <c r="B356" s="16">
        <f>TeamHero生成!B356</f>
        <v>1006</v>
      </c>
      <c r="C356" s="16">
        <f>TeamHero生成!C356</f>
        <v>45</v>
      </c>
      <c r="D356" s="17">
        <f>TeamHero生成!D356</f>
        <v>1205134</v>
      </c>
      <c r="E356" s="17">
        <f>TeamHero生成!E356</f>
        <v>27473</v>
      </c>
      <c r="F356" s="17">
        <f>TeamHero生成!F356</f>
        <v>24268</v>
      </c>
      <c r="G356" s="16" t="str">
        <f>TeamHero生成!AG356</f>
        <v>有效</v>
      </c>
      <c r="H356" s="16">
        <f>TeamHero生成!G356</f>
        <v>1869513</v>
      </c>
      <c r="I356" s="16">
        <f>TeamHero生成!H356</f>
        <v>34666</v>
      </c>
      <c r="J356" s="16">
        <f>TeamHero生成!I356</f>
        <v>21784</v>
      </c>
    </row>
    <row r="357" ht="14.25" customHeight="1" spans="1:10">
      <c r="A357" s="16">
        <f>TeamHero生成!A357</f>
        <v>353</v>
      </c>
      <c r="B357" s="16">
        <f>TeamHero生成!B357</f>
        <v>1007</v>
      </c>
      <c r="C357" s="16">
        <f>TeamHero生成!C357</f>
        <v>45</v>
      </c>
      <c r="D357" s="17">
        <f>TeamHero生成!D357</f>
        <v>1506417</v>
      </c>
      <c r="E357" s="17">
        <f>TeamHero生成!E357</f>
        <v>22894</v>
      </c>
      <c r="F357" s="17">
        <f>TeamHero生成!F357</f>
        <v>30335</v>
      </c>
      <c r="G357" s="16" t="str">
        <f>TeamHero生成!AG357</f>
        <v>有效</v>
      </c>
      <c r="H357" s="16">
        <f>TeamHero生成!G357</f>
        <v>2336892</v>
      </c>
      <c r="I357" s="16">
        <f>TeamHero生成!H357</f>
        <v>28889</v>
      </c>
      <c r="J357" s="16">
        <f>TeamHero生成!I357</f>
        <v>27230</v>
      </c>
    </row>
    <row r="358" ht="14.25" customHeight="1" spans="1:10">
      <c r="A358" s="16">
        <f>TeamHero生成!A358</f>
        <v>354</v>
      </c>
      <c r="B358" s="16">
        <f>TeamHero生成!B358</f>
        <v>1006</v>
      </c>
      <c r="C358" s="16">
        <f>TeamHero生成!C358</f>
        <v>45</v>
      </c>
      <c r="D358" s="17">
        <f>TeamHero生成!D358</f>
        <v>1205134</v>
      </c>
      <c r="E358" s="17">
        <f>TeamHero生成!E358</f>
        <v>27473</v>
      </c>
      <c r="F358" s="17">
        <f>TeamHero生成!F358</f>
        <v>24268</v>
      </c>
      <c r="G358" s="16" t="str">
        <f>TeamHero生成!AG358</f>
        <v>有效</v>
      </c>
      <c r="H358" s="16">
        <f>TeamHero生成!G358</f>
        <v>1869513</v>
      </c>
      <c r="I358" s="16">
        <f>TeamHero生成!H358</f>
        <v>34666</v>
      </c>
      <c r="J358" s="16">
        <f>TeamHero生成!I358</f>
        <v>21784</v>
      </c>
    </row>
    <row r="359" ht="14.25" customHeight="1" spans="1:10">
      <c r="A359" s="16">
        <f>TeamHero生成!A359</f>
        <v>355</v>
      </c>
      <c r="B359" s="16">
        <f>TeamHero生成!B359</f>
        <v>1001</v>
      </c>
      <c r="C359" s="16">
        <f>TeamHero生成!C359</f>
        <v>45</v>
      </c>
      <c r="D359" s="17">
        <f>TeamHero生成!D359</f>
        <v>1205134</v>
      </c>
      <c r="E359" s="17">
        <f>TeamHero生成!E359</f>
        <v>27473</v>
      </c>
      <c r="F359" s="17">
        <f>TeamHero生成!F359</f>
        <v>24268</v>
      </c>
      <c r="G359" s="16" t="str">
        <f>TeamHero生成!AG359</f>
        <v>有效</v>
      </c>
      <c r="H359" s="16">
        <f>TeamHero生成!G359</f>
        <v>1869513</v>
      </c>
      <c r="I359" s="16">
        <f>TeamHero生成!H359</f>
        <v>34666</v>
      </c>
      <c r="J359" s="16">
        <f>TeamHero生成!I359</f>
        <v>21784</v>
      </c>
    </row>
    <row r="360" ht="14.25" customHeight="1" spans="1:10">
      <c r="A360" s="16">
        <f>TeamHero生成!A360</f>
        <v>356</v>
      </c>
      <c r="B360" s="16">
        <f>TeamHero生成!B360</f>
        <v>1004</v>
      </c>
      <c r="C360" s="16">
        <f>TeamHero生成!C360</f>
        <v>46</v>
      </c>
      <c r="D360" s="17">
        <f>TeamHero生成!D360</f>
        <v>1822008</v>
      </c>
      <c r="E360" s="17">
        <f>TeamHero生成!E360</f>
        <v>23082</v>
      </c>
      <c r="F360" s="17">
        <f>TeamHero生成!F360</f>
        <v>36594</v>
      </c>
      <c r="G360" s="16" t="str">
        <f>TeamHero生成!AG360</f>
        <v>有效</v>
      </c>
      <c r="H360" s="16">
        <f>TeamHero生成!G360</f>
        <v>2905884</v>
      </c>
      <c r="I360" s="16">
        <f>TeamHero生成!H360</f>
        <v>29665</v>
      </c>
      <c r="J360" s="16">
        <f>TeamHero生成!I360</f>
        <v>33276</v>
      </c>
    </row>
    <row r="361" ht="14.25" customHeight="1" spans="1:10">
      <c r="A361" s="16">
        <f>TeamHero生成!A361</f>
        <v>357</v>
      </c>
      <c r="B361" s="16">
        <f>TeamHero生成!B361</f>
        <v>1013</v>
      </c>
      <c r="C361" s="16">
        <f>TeamHero生成!C361</f>
        <v>46</v>
      </c>
      <c r="D361" s="17">
        <f>TeamHero生成!D361</f>
        <v>1214672</v>
      </c>
      <c r="E361" s="17">
        <f>TeamHero生成!E361</f>
        <v>27699</v>
      </c>
      <c r="F361" s="17">
        <f>TeamHero生成!F361</f>
        <v>24396</v>
      </c>
      <c r="G361" s="16" t="str">
        <f>TeamHero生成!AG361</f>
        <v>有效</v>
      </c>
      <c r="H361" s="16">
        <f>TeamHero生成!G361</f>
        <v>1937256</v>
      </c>
      <c r="I361" s="16">
        <f>TeamHero生成!H361</f>
        <v>35598</v>
      </c>
      <c r="J361" s="16">
        <f>TeamHero生成!I361</f>
        <v>22184</v>
      </c>
    </row>
    <row r="362" ht="14.25" customHeight="1" spans="1:10">
      <c r="A362" s="16">
        <f>TeamHero生成!A362</f>
        <v>358</v>
      </c>
      <c r="B362" s="16">
        <f>TeamHero生成!B362</f>
        <v>1017</v>
      </c>
      <c r="C362" s="16">
        <f>TeamHero生成!C362</f>
        <v>46</v>
      </c>
      <c r="D362" s="17">
        <f>TeamHero生成!D362</f>
        <v>1214672</v>
      </c>
      <c r="E362" s="17">
        <f>TeamHero生成!E362</f>
        <v>27699</v>
      </c>
      <c r="F362" s="17">
        <f>TeamHero生成!F362</f>
        <v>24396</v>
      </c>
      <c r="G362" s="16" t="str">
        <f>TeamHero生成!AG362</f>
        <v>有效</v>
      </c>
      <c r="H362" s="16">
        <f>TeamHero生成!G362</f>
        <v>1937256</v>
      </c>
      <c r="I362" s="16">
        <f>TeamHero生成!H362</f>
        <v>35598</v>
      </c>
      <c r="J362" s="16">
        <f>TeamHero生成!I362</f>
        <v>22184</v>
      </c>
    </row>
    <row r="363" ht="14.25" customHeight="1" spans="1:10">
      <c r="A363" s="16">
        <f>TeamHero生成!A363</f>
        <v>359</v>
      </c>
      <c r="B363" s="16">
        <f>TeamHero生成!B363</f>
        <v>1005</v>
      </c>
      <c r="C363" s="16">
        <f>TeamHero生成!C363</f>
        <v>46</v>
      </c>
      <c r="D363" s="17">
        <f>TeamHero生成!D363</f>
        <v>1214672</v>
      </c>
      <c r="E363" s="17">
        <f>TeamHero生成!E363</f>
        <v>27699</v>
      </c>
      <c r="F363" s="17">
        <f>TeamHero生成!F363</f>
        <v>24396</v>
      </c>
      <c r="G363" s="16" t="str">
        <f>TeamHero生成!AG363</f>
        <v>有效</v>
      </c>
      <c r="H363" s="16">
        <f>TeamHero生成!G363</f>
        <v>1937256</v>
      </c>
      <c r="I363" s="16">
        <f>TeamHero生成!H363</f>
        <v>35598</v>
      </c>
      <c r="J363" s="16">
        <f>TeamHero生成!I363</f>
        <v>22184</v>
      </c>
    </row>
    <row r="364" ht="14.25" customHeight="1" spans="1:10">
      <c r="A364" s="16">
        <f>TeamHero生成!A364</f>
        <v>360</v>
      </c>
      <c r="B364" s="16">
        <f>TeamHero生成!B364</f>
        <v>1007</v>
      </c>
      <c r="C364" s="16">
        <f>TeamHero生成!C364</f>
        <v>46</v>
      </c>
      <c r="D364" s="17">
        <f>TeamHero生成!D364</f>
        <v>1518340</v>
      </c>
      <c r="E364" s="17">
        <f>TeamHero生成!E364</f>
        <v>23082</v>
      </c>
      <c r="F364" s="17">
        <f>TeamHero生成!F364</f>
        <v>30495</v>
      </c>
      <c r="G364" s="16" t="str">
        <f>TeamHero生成!AG364</f>
        <v>有效</v>
      </c>
      <c r="H364" s="16">
        <f>TeamHero生成!G364</f>
        <v>2421570</v>
      </c>
      <c r="I364" s="16">
        <f>TeamHero生成!H364</f>
        <v>29665</v>
      </c>
      <c r="J364" s="16">
        <f>TeamHero生成!I364</f>
        <v>27730</v>
      </c>
    </row>
    <row r="365" ht="14.25" customHeight="1" spans="1:10">
      <c r="A365" s="16">
        <f>TeamHero生成!A365</f>
        <v>361</v>
      </c>
      <c r="B365" s="16">
        <f>TeamHero生成!B365</f>
        <v>1004</v>
      </c>
      <c r="C365" s="16">
        <f>TeamHero生成!C365</f>
        <v>46</v>
      </c>
      <c r="D365" s="17">
        <f>TeamHero生成!D365</f>
        <v>1877422</v>
      </c>
      <c r="E365" s="17">
        <f>TeamHero生成!E365</f>
        <v>23617</v>
      </c>
      <c r="F365" s="17">
        <f>TeamHero生成!F365</f>
        <v>36981</v>
      </c>
      <c r="G365" s="16" t="str">
        <f>TeamHero生成!AG365</f>
        <v>有效</v>
      </c>
      <c r="H365" s="16">
        <f>TeamHero生成!G365</f>
        <v>3010183</v>
      </c>
      <c r="I365" s="16">
        <f>TeamHero生成!H365</f>
        <v>30458</v>
      </c>
      <c r="J365" s="16">
        <f>TeamHero生成!I365</f>
        <v>33879</v>
      </c>
    </row>
    <row r="366" ht="14.25" customHeight="1" spans="1:10">
      <c r="A366" s="16">
        <f>TeamHero生成!A366</f>
        <v>362</v>
      </c>
      <c r="B366" s="16">
        <f>TeamHero生成!B366</f>
        <v>1017</v>
      </c>
      <c r="C366" s="16">
        <f>TeamHero生成!C366</f>
        <v>46</v>
      </c>
      <c r="D366" s="17">
        <f>TeamHero生成!D366</f>
        <v>1251614</v>
      </c>
      <c r="E366" s="17">
        <f>TeamHero生成!E366</f>
        <v>28341</v>
      </c>
      <c r="F366" s="17">
        <f>TeamHero生成!F366</f>
        <v>24654</v>
      </c>
      <c r="G366" s="16" t="str">
        <f>TeamHero生成!AG366</f>
        <v>有效</v>
      </c>
      <c r="H366" s="16">
        <f>TeamHero生成!G366</f>
        <v>2006788</v>
      </c>
      <c r="I366" s="16">
        <f>TeamHero生成!H366</f>
        <v>36549</v>
      </c>
      <c r="J366" s="16">
        <f>TeamHero生成!I366</f>
        <v>22586</v>
      </c>
    </row>
    <row r="367" ht="14.25" customHeight="1" spans="1:10">
      <c r="A367" s="16">
        <f>TeamHero生成!A367</f>
        <v>363</v>
      </c>
      <c r="B367" s="16">
        <f>TeamHero生成!B367</f>
        <v>1006</v>
      </c>
      <c r="C367" s="16">
        <f>TeamHero生成!C367</f>
        <v>46</v>
      </c>
      <c r="D367" s="17">
        <f>TeamHero生成!D367</f>
        <v>1251614</v>
      </c>
      <c r="E367" s="17">
        <f>TeamHero生成!E367</f>
        <v>28341</v>
      </c>
      <c r="F367" s="17">
        <f>TeamHero生成!F367</f>
        <v>24654</v>
      </c>
      <c r="G367" s="16" t="str">
        <f>TeamHero生成!AG367</f>
        <v>有效</v>
      </c>
      <c r="H367" s="16">
        <f>TeamHero生成!G367</f>
        <v>2006788</v>
      </c>
      <c r="I367" s="16">
        <f>TeamHero生成!H367</f>
        <v>36549</v>
      </c>
      <c r="J367" s="16">
        <f>TeamHero生成!I367</f>
        <v>22586</v>
      </c>
    </row>
    <row r="368" ht="14.25" customHeight="1" spans="1:10">
      <c r="A368" s="16">
        <f>TeamHero生成!A368</f>
        <v>364</v>
      </c>
      <c r="B368" s="16">
        <f>TeamHero生成!B368</f>
        <v>1014</v>
      </c>
      <c r="C368" s="16">
        <f>TeamHero生成!C368</f>
        <v>46</v>
      </c>
      <c r="D368" s="17">
        <f>TeamHero生成!D368</f>
        <v>1251614</v>
      </c>
      <c r="E368" s="17">
        <f>TeamHero生成!E368</f>
        <v>28341</v>
      </c>
      <c r="F368" s="17">
        <f>TeamHero生成!F368</f>
        <v>24654</v>
      </c>
      <c r="G368" s="16" t="str">
        <f>TeamHero生成!AG368</f>
        <v>有效</v>
      </c>
      <c r="H368" s="16">
        <f>TeamHero生成!G368</f>
        <v>2006788</v>
      </c>
      <c r="I368" s="16">
        <f>TeamHero生成!H368</f>
        <v>36549</v>
      </c>
      <c r="J368" s="16">
        <f>TeamHero生成!I368</f>
        <v>22586</v>
      </c>
    </row>
    <row r="369" ht="14.25" customHeight="1" spans="1:10">
      <c r="A369" s="16">
        <f>TeamHero生成!A369</f>
        <v>365</v>
      </c>
      <c r="B369" s="16">
        <f>TeamHero生成!B369</f>
        <v>1011</v>
      </c>
      <c r="C369" s="16">
        <f>TeamHero生成!C369</f>
        <v>46</v>
      </c>
      <c r="D369" s="17">
        <f>TeamHero生成!D369</f>
        <v>1564518</v>
      </c>
      <c r="E369" s="17">
        <f>TeamHero生成!E369</f>
        <v>23617</v>
      </c>
      <c r="F369" s="17">
        <f>TeamHero生成!F369</f>
        <v>30818</v>
      </c>
      <c r="G369" s="16" t="str">
        <f>TeamHero生成!AG369</f>
        <v>有效</v>
      </c>
      <c r="H369" s="16">
        <f>TeamHero生成!G369</f>
        <v>2508486</v>
      </c>
      <c r="I369" s="16">
        <f>TeamHero生成!H369</f>
        <v>30458</v>
      </c>
      <c r="J369" s="16">
        <f>TeamHero生成!I369</f>
        <v>28233</v>
      </c>
    </row>
    <row r="370" ht="14.25" customHeight="1" spans="1:10">
      <c r="A370" s="16">
        <f>TeamHero生成!A370</f>
        <v>366</v>
      </c>
      <c r="B370" s="16">
        <f>TeamHero生成!B370</f>
        <v>1003</v>
      </c>
      <c r="C370" s="16">
        <f>TeamHero生成!C370</f>
        <v>47</v>
      </c>
      <c r="D370" s="17">
        <f>TeamHero生成!D370</f>
        <v>1914617</v>
      </c>
      <c r="E370" s="17">
        <f>TeamHero生成!E370</f>
        <v>24017</v>
      </c>
      <c r="F370" s="17">
        <f>TeamHero生成!F370</f>
        <v>37370</v>
      </c>
      <c r="G370" s="16" t="str">
        <f>TeamHero生成!AG370</f>
        <v>有效</v>
      </c>
      <c r="H370" s="16">
        <f>TeamHero生成!G370</f>
        <v>3117218</v>
      </c>
      <c r="I370" s="16">
        <f>TeamHero生成!H370</f>
        <v>31270</v>
      </c>
      <c r="J370" s="16">
        <f>TeamHero生成!I370</f>
        <v>34488</v>
      </c>
    </row>
    <row r="371" ht="14.25" customHeight="1" spans="1:10">
      <c r="A371" s="16">
        <f>TeamHero生成!A371</f>
        <v>367</v>
      </c>
      <c r="B371" s="16">
        <f>TeamHero生成!B371</f>
        <v>1005</v>
      </c>
      <c r="C371" s="16">
        <f>TeamHero生成!C371</f>
        <v>47</v>
      </c>
      <c r="D371" s="17">
        <f>TeamHero生成!D371</f>
        <v>1276411</v>
      </c>
      <c r="E371" s="17">
        <f>TeamHero生成!E371</f>
        <v>28820</v>
      </c>
      <c r="F371" s="17">
        <f>TeamHero生成!F371</f>
        <v>24913</v>
      </c>
      <c r="G371" s="16" t="str">
        <f>TeamHero生成!AG371</f>
        <v>有效</v>
      </c>
      <c r="H371" s="16">
        <f>TeamHero生成!G371</f>
        <v>2078145</v>
      </c>
      <c r="I371" s="16">
        <f>TeamHero生成!H371</f>
        <v>37524</v>
      </c>
      <c r="J371" s="16">
        <f>TeamHero生成!I371</f>
        <v>22992</v>
      </c>
    </row>
    <row r="372" ht="14.25" customHeight="1" spans="1:10">
      <c r="A372" s="16">
        <f>TeamHero生成!A372</f>
        <v>368</v>
      </c>
      <c r="B372" s="16">
        <f>TeamHero生成!B372</f>
        <v>1014</v>
      </c>
      <c r="C372" s="16">
        <f>TeamHero生成!C372</f>
        <v>47</v>
      </c>
      <c r="D372" s="17">
        <f>TeamHero生成!D372</f>
        <v>1276411</v>
      </c>
      <c r="E372" s="17">
        <f>TeamHero生成!E372</f>
        <v>28820</v>
      </c>
      <c r="F372" s="17">
        <f>TeamHero生成!F372</f>
        <v>24913</v>
      </c>
      <c r="G372" s="16" t="str">
        <f>TeamHero生成!AG372</f>
        <v>有效</v>
      </c>
      <c r="H372" s="16">
        <f>TeamHero生成!G372</f>
        <v>2078145</v>
      </c>
      <c r="I372" s="16">
        <f>TeamHero生成!H372</f>
        <v>37524</v>
      </c>
      <c r="J372" s="16">
        <f>TeamHero生成!I372</f>
        <v>22992</v>
      </c>
    </row>
    <row r="373" ht="14.25" customHeight="1" spans="1:10">
      <c r="A373" s="16">
        <f>TeamHero生成!A373</f>
        <v>369</v>
      </c>
      <c r="B373" s="16">
        <f>TeamHero生成!B373</f>
        <v>1012</v>
      </c>
      <c r="C373" s="16">
        <f>TeamHero生成!C373</f>
        <v>47</v>
      </c>
      <c r="D373" s="17">
        <f>TeamHero生成!D373</f>
        <v>1595514</v>
      </c>
      <c r="E373" s="17">
        <f>TeamHero生成!E373</f>
        <v>24017</v>
      </c>
      <c r="F373" s="17">
        <f>TeamHero生成!F373</f>
        <v>31141</v>
      </c>
      <c r="G373" s="16" t="str">
        <f>TeamHero生成!AG373</f>
        <v>有效</v>
      </c>
      <c r="H373" s="16">
        <f>TeamHero生成!G373</f>
        <v>2597682</v>
      </c>
      <c r="I373" s="16">
        <f>TeamHero生成!H373</f>
        <v>31270</v>
      </c>
      <c r="J373" s="16">
        <f>TeamHero生成!I373</f>
        <v>28740</v>
      </c>
    </row>
    <row r="374" ht="14.25" customHeight="1" spans="1:10">
      <c r="A374" s="16">
        <f>TeamHero生成!A374</f>
        <v>370</v>
      </c>
      <c r="B374" s="16">
        <f>TeamHero生成!B374</f>
        <v>1008</v>
      </c>
      <c r="C374" s="16">
        <f>TeamHero生成!C374</f>
        <v>47</v>
      </c>
      <c r="D374" s="17">
        <f>TeamHero生成!D374</f>
        <v>1276411</v>
      </c>
      <c r="E374" s="17">
        <f>TeamHero生成!E374</f>
        <v>28820</v>
      </c>
      <c r="F374" s="17">
        <f>TeamHero生成!F374</f>
        <v>24913</v>
      </c>
      <c r="G374" s="16" t="str">
        <f>TeamHero生成!AG374</f>
        <v>有效</v>
      </c>
      <c r="H374" s="16">
        <f>TeamHero生成!G374</f>
        <v>2078145</v>
      </c>
      <c r="I374" s="16">
        <f>TeamHero生成!H374</f>
        <v>37524</v>
      </c>
      <c r="J374" s="16">
        <f>TeamHero生成!I374</f>
        <v>22992</v>
      </c>
    </row>
    <row r="375" ht="14.25" customHeight="1" spans="1:10">
      <c r="A375" s="16">
        <f>TeamHero生成!A375</f>
        <v>371</v>
      </c>
      <c r="B375" s="16">
        <f>TeamHero生成!B375</f>
        <v>1003</v>
      </c>
      <c r="C375" s="16">
        <f>TeamHero生成!C375</f>
        <v>47</v>
      </c>
      <c r="D375" s="17">
        <f>TeamHero生成!D375</f>
        <v>1944388</v>
      </c>
      <c r="E375" s="17">
        <f>TeamHero生成!E375</f>
        <v>24331</v>
      </c>
      <c r="F375" s="17">
        <f>TeamHero生成!F375</f>
        <v>37758</v>
      </c>
      <c r="G375" s="16" t="str">
        <f>TeamHero生成!AG375</f>
        <v>有效</v>
      </c>
      <c r="H375" s="16">
        <f>TeamHero生成!G375</f>
        <v>3227047</v>
      </c>
      <c r="I375" s="16">
        <f>TeamHero生成!H375</f>
        <v>32100</v>
      </c>
      <c r="J375" s="16">
        <f>TeamHero生成!I375</f>
        <v>35101</v>
      </c>
    </row>
    <row r="376" ht="14.25" customHeight="1" spans="1:10">
      <c r="A376" s="16">
        <f>TeamHero生成!A376</f>
        <v>372</v>
      </c>
      <c r="B376" s="16">
        <f>TeamHero生成!B376</f>
        <v>1017</v>
      </c>
      <c r="C376" s="16">
        <f>TeamHero生成!C376</f>
        <v>47</v>
      </c>
      <c r="D376" s="17">
        <f>TeamHero生成!D376</f>
        <v>1296258</v>
      </c>
      <c r="E376" s="17">
        <f>TeamHero生成!E376</f>
        <v>29197</v>
      </c>
      <c r="F376" s="17">
        <f>TeamHero生成!F376</f>
        <v>25172</v>
      </c>
      <c r="G376" s="16" t="str">
        <f>TeamHero生成!AG376</f>
        <v>有效</v>
      </c>
      <c r="H376" s="16">
        <f>TeamHero生成!G376</f>
        <v>2151364</v>
      </c>
      <c r="I376" s="16">
        <f>TeamHero生成!H376</f>
        <v>38520</v>
      </c>
      <c r="J376" s="16">
        <f>TeamHero生成!I376</f>
        <v>23400</v>
      </c>
    </row>
    <row r="377" ht="14.25" customHeight="1" spans="1:10">
      <c r="A377" s="16">
        <f>TeamHero生成!A377</f>
        <v>373</v>
      </c>
      <c r="B377" s="16">
        <f>TeamHero生成!B377</f>
        <v>1017</v>
      </c>
      <c r="C377" s="16">
        <f>TeamHero生成!C377</f>
        <v>47</v>
      </c>
      <c r="D377" s="17">
        <f>TeamHero生成!D377</f>
        <v>1296258</v>
      </c>
      <c r="E377" s="17">
        <f>TeamHero生成!E377</f>
        <v>29197</v>
      </c>
      <c r="F377" s="17">
        <f>TeamHero生成!F377</f>
        <v>25172</v>
      </c>
      <c r="G377" s="16" t="str">
        <f>TeamHero生成!AG377</f>
        <v>有效</v>
      </c>
      <c r="H377" s="16">
        <f>TeamHero生成!G377</f>
        <v>2151364</v>
      </c>
      <c r="I377" s="16">
        <f>TeamHero生成!H377</f>
        <v>38520</v>
      </c>
      <c r="J377" s="16">
        <f>TeamHero生成!I377</f>
        <v>23400</v>
      </c>
    </row>
    <row r="378" ht="14.25" customHeight="1" spans="1:10">
      <c r="A378" s="16">
        <f>TeamHero生成!A378</f>
        <v>374</v>
      </c>
      <c r="B378" s="16">
        <f>TeamHero生成!B378</f>
        <v>1007</v>
      </c>
      <c r="C378" s="16">
        <f>TeamHero生成!C378</f>
        <v>47</v>
      </c>
      <c r="D378" s="17">
        <f>TeamHero生成!D378</f>
        <v>1620323</v>
      </c>
      <c r="E378" s="17">
        <f>TeamHero生成!E378</f>
        <v>24331</v>
      </c>
      <c r="F378" s="17">
        <f>TeamHero生成!F378</f>
        <v>31465</v>
      </c>
      <c r="G378" s="16" t="str">
        <f>TeamHero生成!AG378</f>
        <v>有效</v>
      </c>
      <c r="H378" s="16">
        <f>TeamHero生成!G378</f>
        <v>2689206</v>
      </c>
      <c r="I378" s="16">
        <f>TeamHero生成!H378</f>
        <v>32100</v>
      </c>
      <c r="J378" s="16">
        <f>TeamHero生成!I378</f>
        <v>29251</v>
      </c>
    </row>
    <row r="379" ht="14.25" customHeight="1" spans="1:10">
      <c r="A379" s="16">
        <f>TeamHero生成!A379</f>
        <v>375</v>
      </c>
      <c r="B379" s="16">
        <f>TeamHero生成!B379</f>
        <v>1015</v>
      </c>
      <c r="C379" s="16">
        <f>TeamHero生成!C379</f>
        <v>47</v>
      </c>
      <c r="D379" s="17">
        <f>TeamHero生成!D379</f>
        <v>1620323</v>
      </c>
      <c r="E379" s="17">
        <f>TeamHero生成!E379</f>
        <v>24331</v>
      </c>
      <c r="F379" s="17">
        <f>TeamHero生成!F379</f>
        <v>31465</v>
      </c>
      <c r="G379" s="16" t="str">
        <f>TeamHero生成!AG379</f>
        <v>有效</v>
      </c>
      <c r="H379" s="16">
        <f>TeamHero生成!G379</f>
        <v>2689206</v>
      </c>
      <c r="I379" s="16">
        <f>TeamHero生成!H379</f>
        <v>32100</v>
      </c>
      <c r="J379" s="16">
        <f>TeamHero生成!I379</f>
        <v>29251</v>
      </c>
    </row>
    <row r="380" ht="14.25" customHeight="1" spans="1:10">
      <c r="A380" s="16">
        <f>TeamHero生成!A380</f>
        <v>376</v>
      </c>
      <c r="B380" s="16">
        <f>TeamHero生成!B380</f>
        <v>1003</v>
      </c>
      <c r="C380" s="16">
        <f>TeamHero生成!C380</f>
        <v>48</v>
      </c>
      <c r="D380" s="17">
        <f>TeamHero生成!D380</f>
        <v>1982263</v>
      </c>
      <c r="E380" s="17">
        <f>TeamHero生成!E380</f>
        <v>24707</v>
      </c>
      <c r="F380" s="17">
        <f>TeamHero生成!F380</f>
        <v>37953</v>
      </c>
      <c r="G380" s="16" t="str">
        <f>TeamHero生成!AG380</f>
        <v>有效</v>
      </c>
      <c r="H380" s="16">
        <f>TeamHero生成!G380</f>
        <v>3368325</v>
      </c>
      <c r="I380" s="16">
        <f>TeamHero生成!H380</f>
        <v>33164</v>
      </c>
      <c r="J380" s="16">
        <f>TeamHero生成!I380</f>
        <v>35874</v>
      </c>
    </row>
    <row r="381" ht="14.25" customHeight="1" spans="1:10">
      <c r="A381" s="16">
        <f>TeamHero生成!A381</f>
        <v>377</v>
      </c>
      <c r="B381" s="16">
        <f>TeamHero生成!B381</f>
        <v>1007</v>
      </c>
      <c r="C381" s="16">
        <f>TeamHero生成!C381</f>
        <v>48</v>
      </c>
      <c r="D381" s="17">
        <f>TeamHero生成!D381</f>
        <v>1651886</v>
      </c>
      <c r="E381" s="17">
        <f>TeamHero生成!E381</f>
        <v>24707</v>
      </c>
      <c r="F381" s="17">
        <f>TeamHero生成!F381</f>
        <v>31628</v>
      </c>
      <c r="G381" s="16" t="str">
        <f>TeamHero生成!AG381</f>
        <v>有效</v>
      </c>
      <c r="H381" s="16">
        <f>TeamHero生成!G381</f>
        <v>2806938</v>
      </c>
      <c r="I381" s="16">
        <f>TeamHero生成!H381</f>
        <v>33164</v>
      </c>
      <c r="J381" s="16">
        <f>TeamHero生成!I381</f>
        <v>29895</v>
      </c>
    </row>
    <row r="382" ht="14.25" customHeight="1" spans="1:10">
      <c r="A382" s="16">
        <f>TeamHero生成!A382</f>
        <v>378</v>
      </c>
      <c r="B382" s="16">
        <f>TeamHero生成!B382</f>
        <v>1006</v>
      </c>
      <c r="C382" s="16">
        <f>TeamHero生成!C382</f>
        <v>48</v>
      </c>
      <c r="D382" s="17">
        <f>TeamHero生成!D382</f>
        <v>1321509</v>
      </c>
      <c r="E382" s="17">
        <f>TeamHero生成!E382</f>
        <v>29648</v>
      </c>
      <c r="F382" s="17">
        <f>TeamHero生成!F382</f>
        <v>25302</v>
      </c>
      <c r="G382" s="16" t="str">
        <f>TeamHero生成!AG382</f>
        <v>有效</v>
      </c>
      <c r="H382" s="16">
        <f>TeamHero生成!G382</f>
        <v>2245550</v>
      </c>
      <c r="I382" s="16">
        <f>TeamHero生成!H382</f>
        <v>39796</v>
      </c>
      <c r="J382" s="16">
        <f>TeamHero生成!I382</f>
        <v>23916</v>
      </c>
    </row>
    <row r="383" ht="14.25" customHeight="1" spans="1:10">
      <c r="A383" s="16">
        <f>TeamHero生成!A383</f>
        <v>379</v>
      </c>
      <c r="B383" s="16">
        <f>TeamHero生成!B383</f>
        <v>1008</v>
      </c>
      <c r="C383" s="16">
        <f>TeamHero生成!C383</f>
        <v>48</v>
      </c>
      <c r="D383" s="17">
        <f>TeamHero生成!D383</f>
        <v>1321509</v>
      </c>
      <c r="E383" s="17">
        <f>TeamHero生成!E383</f>
        <v>29648</v>
      </c>
      <c r="F383" s="17">
        <f>TeamHero生成!F383</f>
        <v>25302</v>
      </c>
      <c r="G383" s="16" t="str">
        <f>TeamHero生成!AG383</f>
        <v>有效</v>
      </c>
      <c r="H383" s="16">
        <f>TeamHero生成!G383</f>
        <v>2245550</v>
      </c>
      <c r="I383" s="16">
        <f>TeamHero生成!H383</f>
        <v>39796</v>
      </c>
      <c r="J383" s="16">
        <f>TeamHero生成!I383</f>
        <v>23916</v>
      </c>
    </row>
    <row r="384" ht="14.25" customHeight="1" spans="1:10">
      <c r="A384" s="16">
        <f>TeamHero生成!A384</f>
        <v>380</v>
      </c>
      <c r="B384" s="16">
        <f>TeamHero生成!B384</f>
        <v>1017</v>
      </c>
      <c r="C384" s="16">
        <f>TeamHero生成!C384</f>
        <v>48</v>
      </c>
      <c r="D384" s="17">
        <f>TeamHero生成!D384</f>
        <v>1321509</v>
      </c>
      <c r="E384" s="17">
        <f>TeamHero生成!E384</f>
        <v>29648</v>
      </c>
      <c r="F384" s="17">
        <f>TeamHero生成!F384</f>
        <v>25302</v>
      </c>
      <c r="G384" s="16" t="str">
        <f>TeamHero生成!AG384</f>
        <v>有效</v>
      </c>
      <c r="H384" s="16">
        <f>TeamHero生成!G384</f>
        <v>2245550</v>
      </c>
      <c r="I384" s="16">
        <f>TeamHero生成!H384</f>
        <v>39796</v>
      </c>
      <c r="J384" s="16">
        <f>TeamHero生成!I384</f>
        <v>23916</v>
      </c>
    </row>
    <row r="385" ht="14.25" customHeight="1" spans="1:10">
      <c r="A385" s="16">
        <f>TeamHero生成!A385</f>
        <v>381</v>
      </c>
      <c r="B385" s="16">
        <f>TeamHero生成!B385</f>
        <v>1004</v>
      </c>
      <c r="C385" s="16">
        <f>TeamHero生成!C385</f>
        <v>48</v>
      </c>
      <c r="D385" s="17">
        <f>TeamHero生成!D385</f>
        <v>2015757</v>
      </c>
      <c r="E385" s="17">
        <f>TeamHero生成!E385</f>
        <v>25083</v>
      </c>
      <c r="F385" s="17">
        <f>TeamHero生成!F385</f>
        <v>38345</v>
      </c>
      <c r="G385" s="16" t="str">
        <f>TeamHero生成!AG385</f>
        <v>有效</v>
      </c>
      <c r="H385" s="16">
        <f>TeamHero生成!G385</f>
        <v>3484605</v>
      </c>
      <c r="I385" s="16">
        <f>TeamHero生成!H385</f>
        <v>34039</v>
      </c>
      <c r="J385" s="16">
        <f>TeamHero生成!I385</f>
        <v>36495</v>
      </c>
    </row>
    <row r="386" ht="14.25" customHeight="1" spans="1:10">
      <c r="A386" s="16">
        <f>TeamHero生成!A386</f>
        <v>382</v>
      </c>
      <c r="B386" s="16">
        <f>TeamHero生成!B386</f>
        <v>1012</v>
      </c>
      <c r="C386" s="16">
        <f>TeamHero生成!C386</f>
        <v>48</v>
      </c>
      <c r="D386" s="17">
        <f>TeamHero生成!D386</f>
        <v>1679797</v>
      </c>
      <c r="E386" s="17">
        <f>TeamHero生成!E386</f>
        <v>25083</v>
      </c>
      <c r="F386" s="17">
        <f>TeamHero生成!F386</f>
        <v>31954</v>
      </c>
      <c r="G386" s="16" t="str">
        <f>TeamHero生成!AG386</f>
        <v>有效</v>
      </c>
      <c r="H386" s="16">
        <f>TeamHero生成!G386</f>
        <v>2903838</v>
      </c>
      <c r="I386" s="16">
        <f>TeamHero生成!H386</f>
        <v>34039</v>
      </c>
      <c r="J386" s="16">
        <f>TeamHero生成!I386</f>
        <v>30413</v>
      </c>
    </row>
    <row r="387" ht="14.25" customHeight="1" spans="1:10">
      <c r="A387" s="16">
        <f>TeamHero生成!A387</f>
        <v>383</v>
      </c>
      <c r="B387" s="16">
        <f>TeamHero生成!B387</f>
        <v>1014</v>
      </c>
      <c r="C387" s="16">
        <f>TeamHero生成!C387</f>
        <v>48</v>
      </c>
      <c r="D387" s="17">
        <f>TeamHero生成!D387</f>
        <v>1343838</v>
      </c>
      <c r="E387" s="17">
        <f>TeamHero生成!E387</f>
        <v>30099</v>
      </c>
      <c r="F387" s="17">
        <f>TeamHero生成!F387</f>
        <v>25563</v>
      </c>
      <c r="G387" s="16" t="str">
        <f>TeamHero生成!AG387</f>
        <v>有效</v>
      </c>
      <c r="H387" s="16">
        <f>TeamHero生成!G387</f>
        <v>2323070</v>
      </c>
      <c r="I387" s="16">
        <f>TeamHero生成!H387</f>
        <v>40846</v>
      </c>
      <c r="J387" s="16">
        <f>TeamHero生成!I387</f>
        <v>24330</v>
      </c>
    </row>
    <row r="388" ht="14.25" customHeight="1" spans="1:10">
      <c r="A388" s="16">
        <f>TeamHero生成!A388</f>
        <v>384</v>
      </c>
      <c r="B388" s="16">
        <f>TeamHero生成!B388</f>
        <v>1006</v>
      </c>
      <c r="C388" s="16">
        <f>TeamHero生成!C388</f>
        <v>48</v>
      </c>
      <c r="D388" s="17">
        <f>TeamHero生成!D388</f>
        <v>1343838</v>
      </c>
      <c r="E388" s="17">
        <f>TeamHero生成!E388</f>
        <v>30099</v>
      </c>
      <c r="F388" s="17">
        <f>TeamHero生成!F388</f>
        <v>25563</v>
      </c>
      <c r="G388" s="16" t="str">
        <f>TeamHero生成!AG388</f>
        <v>有效</v>
      </c>
      <c r="H388" s="16">
        <f>TeamHero生成!G388</f>
        <v>2323070</v>
      </c>
      <c r="I388" s="16">
        <f>TeamHero生成!H388</f>
        <v>40846</v>
      </c>
      <c r="J388" s="16">
        <f>TeamHero生成!I388</f>
        <v>24330</v>
      </c>
    </row>
    <row r="389" ht="14.25" customHeight="1" spans="1:10">
      <c r="A389" s="16">
        <f>TeamHero生成!A389</f>
        <v>385</v>
      </c>
      <c r="B389" s="16">
        <f>TeamHero生成!B389</f>
        <v>1017</v>
      </c>
      <c r="C389" s="16">
        <f>TeamHero生成!C389</f>
        <v>48</v>
      </c>
      <c r="D389" s="17">
        <f>TeamHero生成!D389</f>
        <v>1343838</v>
      </c>
      <c r="E389" s="17">
        <f>TeamHero生成!E389</f>
        <v>30099</v>
      </c>
      <c r="F389" s="17">
        <f>TeamHero生成!F389</f>
        <v>25563</v>
      </c>
      <c r="G389" s="16" t="str">
        <f>TeamHero生成!AG389</f>
        <v>有效</v>
      </c>
      <c r="H389" s="16">
        <f>TeamHero生成!G389</f>
        <v>2323070</v>
      </c>
      <c r="I389" s="16">
        <f>TeamHero生成!H389</f>
        <v>40846</v>
      </c>
      <c r="J389" s="16">
        <f>TeamHero生成!I389</f>
        <v>24330</v>
      </c>
    </row>
    <row r="390" ht="14.25" customHeight="1" spans="1:10">
      <c r="A390" s="16">
        <f>TeamHero生成!A390</f>
        <v>386</v>
      </c>
      <c r="B390" s="16">
        <f>TeamHero生成!B390</f>
        <v>1004</v>
      </c>
      <c r="C390" s="16">
        <f>TeamHero生成!C390</f>
        <v>49</v>
      </c>
      <c r="D390" s="17">
        <f>TeamHero生成!D390</f>
        <v>2054410</v>
      </c>
      <c r="E390" s="17">
        <f>TeamHero生成!E390</f>
        <v>25495</v>
      </c>
      <c r="F390" s="17">
        <f>TeamHero生成!F390</f>
        <v>38738</v>
      </c>
      <c r="G390" s="16" t="str">
        <f>TeamHero生成!AG390</f>
        <v>有效</v>
      </c>
      <c r="H390" s="16">
        <f>TeamHero生成!G390</f>
        <v>3603844</v>
      </c>
      <c r="I390" s="16">
        <f>TeamHero生成!H390</f>
        <v>34933</v>
      </c>
      <c r="J390" s="16">
        <f>TeamHero生成!I390</f>
        <v>37123</v>
      </c>
    </row>
    <row r="391" ht="14.25" customHeight="1" spans="1:10">
      <c r="A391" s="16">
        <f>TeamHero生成!A391</f>
        <v>387</v>
      </c>
      <c r="B391" s="16">
        <f>TeamHero生成!B391</f>
        <v>1013</v>
      </c>
      <c r="C391" s="16">
        <f>TeamHero生成!C391</f>
        <v>49</v>
      </c>
      <c r="D391" s="17">
        <f>TeamHero生成!D391</f>
        <v>1369607</v>
      </c>
      <c r="E391" s="17">
        <f>TeamHero生成!E391</f>
        <v>30594</v>
      </c>
      <c r="F391" s="17">
        <f>TeamHero生成!F391</f>
        <v>25825</v>
      </c>
      <c r="G391" s="16" t="str">
        <f>TeamHero生成!AG391</f>
        <v>有效</v>
      </c>
      <c r="H391" s="16">
        <f>TeamHero生成!G391</f>
        <v>2402563</v>
      </c>
      <c r="I391" s="16">
        <f>TeamHero生成!H391</f>
        <v>41919</v>
      </c>
      <c r="J391" s="16">
        <f>TeamHero生成!I391</f>
        <v>24748</v>
      </c>
    </row>
    <row r="392" ht="14.25" customHeight="1" spans="1:10">
      <c r="A392" s="16">
        <f>TeamHero生成!A392</f>
        <v>388</v>
      </c>
      <c r="B392" s="16">
        <f>TeamHero生成!B392</f>
        <v>1006</v>
      </c>
      <c r="C392" s="16">
        <f>TeamHero生成!C392</f>
        <v>49</v>
      </c>
      <c r="D392" s="17">
        <f>TeamHero生成!D392</f>
        <v>1369607</v>
      </c>
      <c r="E392" s="17">
        <f>TeamHero生成!E392</f>
        <v>30594</v>
      </c>
      <c r="F392" s="17">
        <f>TeamHero生成!F392</f>
        <v>25825</v>
      </c>
      <c r="G392" s="16" t="str">
        <f>TeamHero生成!AG392</f>
        <v>有效</v>
      </c>
      <c r="H392" s="16">
        <f>TeamHero生成!G392</f>
        <v>2402563</v>
      </c>
      <c r="I392" s="16">
        <f>TeamHero生成!H392</f>
        <v>41919</v>
      </c>
      <c r="J392" s="16">
        <f>TeamHero生成!I392</f>
        <v>24748</v>
      </c>
    </row>
    <row r="393" ht="14.25" customHeight="1" spans="1:10">
      <c r="A393" s="16">
        <f>TeamHero生成!A393</f>
        <v>389</v>
      </c>
      <c r="B393" s="16">
        <f>TeamHero生成!B393</f>
        <v>1006</v>
      </c>
      <c r="C393" s="16">
        <f>TeamHero生成!C393</f>
        <v>49</v>
      </c>
      <c r="D393" s="17">
        <f>TeamHero生成!D393</f>
        <v>1369607</v>
      </c>
      <c r="E393" s="17">
        <f>TeamHero生成!E393</f>
        <v>30594</v>
      </c>
      <c r="F393" s="17">
        <f>TeamHero生成!F393</f>
        <v>25825</v>
      </c>
      <c r="G393" s="16" t="str">
        <f>TeamHero生成!AG393</f>
        <v>有效</v>
      </c>
      <c r="H393" s="16">
        <f>TeamHero生成!G393</f>
        <v>2402563</v>
      </c>
      <c r="I393" s="16">
        <f>TeamHero生成!H393</f>
        <v>41919</v>
      </c>
      <c r="J393" s="16">
        <f>TeamHero生成!I393</f>
        <v>24748</v>
      </c>
    </row>
    <row r="394" ht="14.25" customHeight="1" spans="1:10">
      <c r="A394" s="16">
        <f>TeamHero生成!A394</f>
        <v>390</v>
      </c>
      <c r="B394" s="16">
        <f>TeamHero生成!B394</f>
        <v>1011</v>
      </c>
      <c r="C394" s="16">
        <f>TeamHero生成!C394</f>
        <v>49</v>
      </c>
      <c r="D394" s="17">
        <f>TeamHero生成!D394</f>
        <v>1712008</v>
      </c>
      <c r="E394" s="17">
        <f>TeamHero生成!E394</f>
        <v>25495</v>
      </c>
      <c r="F394" s="17">
        <f>TeamHero生成!F394</f>
        <v>32281</v>
      </c>
      <c r="G394" s="16" t="str">
        <f>TeamHero生成!AG394</f>
        <v>有效</v>
      </c>
      <c r="H394" s="16">
        <f>TeamHero生成!G394</f>
        <v>3003204</v>
      </c>
      <c r="I394" s="16">
        <f>TeamHero生成!H394</f>
        <v>34933</v>
      </c>
      <c r="J394" s="16">
        <f>TeamHero生成!I394</f>
        <v>30936</v>
      </c>
    </row>
    <row r="395" ht="14.25" customHeight="1" spans="1:10">
      <c r="A395" s="16">
        <f>TeamHero生成!A395</f>
        <v>391</v>
      </c>
      <c r="B395" s="16">
        <f>TeamHero生成!B395</f>
        <v>1003</v>
      </c>
      <c r="C395" s="16">
        <f>TeamHero生成!C395</f>
        <v>49</v>
      </c>
      <c r="D395" s="17">
        <f>TeamHero生成!D395</f>
        <v>2072787</v>
      </c>
      <c r="E395" s="17">
        <f>TeamHero生成!E395</f>
        <v>25720</v>
      </c>
      <c r="F395" s="17">
        <f>TeamHero生成!F395</f>
        <v>38934</v>
      </c>
      <c r="G395" s="16" t="str">
        <f>TeamHero生成!AG395</f>
        <v>有效</v>
      </c>
      <c r="H395" s="16">
        <f>TeamHero生成!G395</f>
        <v>3726093</v>
      </c>
      <c r="I395" s="16">
        <f>TeamHero生成!H395</f>
        <v>35849</v>
      </c>
      <c r="J395" s="16">
        <f>TeamHero生成!I395</f>
        <v>37754</v>
      </c>
    </row>
    <row r="396" ht="14.25" customHeight="1" spans="1:10">
      <c r="A396" s="16">
        <f>TeamHero生成!A396</f>
        <v>392</v>
      </c>
      <c r="B396" s="16">
        <f>TeamHero生成!B396</f>
        <v>1011</v>
      </c>
      <c r="C396" s="16">
        <f>TeamHero生成!C396</f>
        <v>49</v>
      </c>
      <c r="D396" s="17">
        <f>TeamHero生成!D396</f>
        <v>1727323</v>
      </c>
      <c r="E396" s="17">
        <f>TeamHero生成!E396</f>
        <v>25720</v>
      </c>
      <c r="F396" s="17">
        <f>TeamHero生成!F396</f>
        <v>32445</v>
      </c>
      <c r="G396" s="16" t="str">
        <f>TeamHero生成!AG396</f>
        <v>有效</v>
      </c>
      <c r="H396" s="16">
        <f>TeamHero生成!G396</f>
        <v>3105078</v>
      </c>
      <c r="I396" s="16">
        <f>TeamHero生成!H396</f>
        <v>35849</v>
      </c>
      <c r="J396" s="16">
        <f>TeamHero生成!I396</f>
        <v>31462</v>
      </c>
    </row>
    <row r="397" ht="14.25" customHeight="1" spans="1:10">
      <c r="A397" s="16">
        <f>TeamHero生成!A397</f>
        <v>393</v>
      </c>
      <c r="B397" s="16">
        <f>TeamHero生成!B397</f>
        <v>1013</v>
      </c>
      <c r="C397" s="16">
        <f>TeamHero生成!C397</f>
        <v>49</v>
      </c>
      <c r="D397" s="17">
        <f>TeamHero生成!D397</f>
        <v>1381858</v>
      </c>
      <c r="E397" s="17">
        <f>TeamHero生成!E397</f>
        <v>30864</v>
      </c>
      <c r="F397" s="17">
        <f>TeamHero生成!F397</f>
        <v>25956</v>
      </c>
      <c r="G397" s="16" t="str">
        <f>TeamHero生成!AG397</f>
        <v>有效</v>
      </c>
      <c r="H397" s="16">
        <f>TeamHero生成!G397</f>
        <v>2484062</v>
      </c>
      <c r="I397" s="16">
        <f>TeamHero生成!H397</f>
        <v>43018</v>
      </c>
      <c r="J397" s="16">
        <f>TeamHero生成!I397</f>
        <v>25169</v>
      </c>
    </row>
    <row r="398" ht="14.25" customHeight="1" spans="1:10">
      <c r="A398" s="16">
        <f>TeamHero生成!A398</f>
        <v>394</v>
      </c>
      <c r="B398" s="16">
        <f>TeamHero生成!B398</f>
        <v>1001</v>
      </c>
      <c r="C398" s="16">
        <f>TeamHero生成!C398</f>
        <v>49</v>
      </c>
      <c r="D398" s="17">
        <f>TeamHero生成!D398</f>
        <v>1381858</v>
      </c>
      <c r="E398" s="17">
        <f>TeamHero生成!E398</f>
        <v>30864</v>
      </c>
      <c r="F398" s="17">
        <f>TeamHero生成!F398</f>
        <v>25956</v>
      </c>
      <c r="G398" s="16" t="str">
        <f>TeamHero生成!AG398</f>
        <v>有效</v>
      </c>
      <c r="H398" s="16">
        <f>TeamHero生成!G398</f>
        <v>2484062</v>
      </c>
      <c r="I398" s="16">
        <f>TeamHero生成!H398</f>
        <v>43018</v>
      </c>
      <c r="J398" s="16">
        <f>TeamHero生成!I398</f>
        <v>25169</v>
      </c>
    </row>
    <row r="399" ht="14.25" customHeight="1" spans="1:10">
      <c r="A399" s="16">
        <f>TeamHero生成!A399</f>
        <v>395</v>
      </c>
      <c r="B399" s="16">
        <f>TeamHero生成!B399</f>
        <v>1001</v>
      </c>
      <c r="C399" s="16">
        <f>TeamHero生成!C399</f>
        <v>49</v>
      </c>
      <c r="D399" s="17">
        <f>TeamHero生成!D399</f>
        <v>1381858</v>
      </c>
      <c r="E399" s="17">
        <f>TeamHero生成!E399</f>
        <v>30864</v>
      </c>
      <c r="F399" s="17">
        <f>TeamHero生成!F399</f>
        <v>25956</v>
      </c>
      <c r="G399" s="16" t="str">
        <f>TeamHero生成!AG399</f>
        <v>有效</v>
      </c>
      <c r="H399" s="16">
        <f>TeamHero生成!G399</f>
        <v>2484062</v>
      </c>
      <c r="I399" s="16">
        <f>TeamHero生成!H399</f>
        <v>43018</v>
      </c>
      <c r="J399" s="16">
        <f>TeamHero生成!I399</f>
        <v>25169</v>
      </c>
    </row>
    <row r="400" ht="14.25" customHeight="1" spans="1:10">
      <c r="A400" s="16">
        <f>TeamHero生成!A400</f>
        <v>396</v>
      </c>
      <c r="B400" s="16">
        <f>TeamHero生成!B400</f>
        <v>1003</v>
      </c>
      <c r="C400" s="16">
        <f>TeamHero生成!C400</f>
        <v>50</v>
      </c>
      <c r="D400" s="17">
        <f>TeamHero生成!D400</f>
        <v>2111589</v>
      </c>
      <c r="E400" s="17">
        <f>TeamHero生成!E400</f>
        <v>26117</v>
      </c>
      <c r="F400" s="17">
        <f>TeamHero生成!F400</f>
        <v>39329</v>
      </c>
      <c r="G400" s="16" t="str">
        <f>TeamHero生成!AG400</f>
        <v>有效</v>
      </c>
      <c r="H400" s="16">
        <f>TeamHero生成!G400</f>
        <v>3851402</v>
      </c>
      <c r="I400" s="16">
        <f>TeamHero生成!H400</f>
        <v>36786</v>
      </c>
      <c r="J400" s="16">
        <f>TeamHero生成!I400</f>
        <v>38390</v>
      </c>
    </row>
    <row r="401" ht="14.25" customHeight="1" spans="1:10">
      <c r="A401" s="16">
        <f>TeamHero生成!A401</f>
        <v>397</v>
      </c>
      <c r="B401" s="16">
        <f>TeamHero生成!B401</f>
        <v>1013</v>
      </c>
      <c r="C401" s="16">
        <f>TeamHero生成!C401</f>
        <v>50</v>
      </c>
      <c r="D401" s="17">
        <f>TeamHero生成!D401</f>
        <v>1407726</v>
      </c>
      <c r="E401" s="17">
        <f>TeamHero生成!E401</f>
        <v>31340</v>
      </c>
      <c r="F401" s="17">
        <f>TeamHero生成!F401</f>
        <v>26219</v>
      </c>
      <c r="G401" s="16" t="str">
        <f>TeamHero生成!AG401</f>
        <v>有效</v>
      </c>
      <c r="H401" s="16">
        <f>TeamHero生成!G401</f>
        <v>2567601</v>
      </c>
      <c r="I401" s="16">
        <f>TeamHero生成!H401</f>
        <v>44143</v>
      </c>
      <c r="J401" s="16">
        <f>TeamHero生成!I401</f>
        <v>25593</v>
      </c>
    </row>
    <row r="402" ht="14.25" customHeight="1" spans="1:10">
      <c r="A402" s="16">
        <f>TeamHero生成!A402</f>
        <v>398</v>
      </c>
      <c r="B402" s="16">
        <f>TeamHero生成!B402</f>
        <v>1020</v>
      </c>
      <c r="C402" s="16">
        <f>TeamHero生成!C402</f>
        <v>50</v>
      </c>
      <c r="D402" s="17">
        <f>TeamHero生成!D402</f>
        <v>1759658</v>
      </c>
      <c r="E402" s="17">
        <f>TeamHero生成!E402</f>
        <v>26117</v>
      </c>
      <c r="F402" s="17">
        <f>TeamHero生成!F402</f>
        <v>32774</v>
      </c>
      <c r="G402" s="16" t="str">
        <f>TeamHero生成!AG402</f>
        <v>有效</v>
      </c>
      <c r="H402" s="16">
        <f>TeamHero生成!G402</f>
        <v>3209502</v>
      </c>
      <c r="I402" s="16">
        <f>TeamHero生成!H402</f>
        <v>36786</v>
      </c>
      <c r="J402" s="16">
        <f>TeamHero生成!I402</f>
        <v>31992</v>
      </c>
    </row>
    <row r="403" ht="14.25" customHeight="1" spans="1:10">
      <c r="A403" s="16">
        <f>TeamHero生成!A403</f>
        <v>399</v>
      </c>
      <c r="B403" s="16">
        <f>TeamHero生成!B403</f>
        <v>1012</v>
      </c>
      <c r="C403" s="16">
        <f>TeamHero生成!C403</f>
        <v>50</v>
      </c>
      <c r="D403" s="17">
        <f>TeamHero生成!D403</f>
        <v>1759658</v>
      </c>
      <c r="E403" s="17">
        <f>TeamHero生成!E403</f>
        <v>26117</v>
      </c>
      <c r="F403" s="17">
        <f>TeamHero生成!F403</f>
        <v>32774</v>
      </c>
      <c r="G403" s="16" t="str">
        <f>TeamHero生成!AG403</f>
        <v>有效</v>
      </c>
      <c r="H403" s="16">
        <f>TeamHero生成!G403</f>
        <v>3209502</v>
      </c>
      <c r="I403" s="16">
        <f>TeamHero生成!H403</f>
        <v>36786</v>
      </c>
      <c r="J403" s="16">
        <f>TeamHero生成!I403</f>
        <v>31992</v>
      </c>
    </row>
    <row r="404" ht="14.25" customHeight="1" spans="1:10">
      <c r="A404" s="16">
        <f>TeamHero生成!A404</f>
        <v>400</v>
      </c>
      <c r="B404" s="16">
        <f>TeamHero生成!B404</f>
        <v>1018</v>
      </c>
      <c r="C404" s="16">
        <f>TeamHero生成!C404</f>
        <v>50</v>
      </c>
      <c r="D404" s="17">
        <f>TeamHero生成!D404</f>
        <v>1759658</v>
      </c>
      <c r="E404" s="17">
        <f>TeamHero生成!E404</f>
        <v>26117</v>
      </c>
      <c r="F404" s="17">
        <f>TeamHero生成!F404</f>
        <v>32774</v>
      </c>
      <c r="G404" s="16" t="str">
        <f>TeamHero生成!AG404</f>
        <v>有效</v>
      </c>
      <c r="H404" s="16">
        <f>TeamHero生成!G404</f>
        <v>3209502</v>
      </c>
      <c r="I404" s="16">
        <f>TeamHero生成!H404</f>
        <v>36786</v>
      </c>
      <c r="J404" s="16">
        <f>TeamHero生成!I404</f>
        <v>31992</v>
      </c>
    </row>
    <row r="405" ht="14.25" customHeight="1" spans="1:10">
      <c r="A405" s="16">
        <f>TeamHero生成!A405</f>
        <v>401</v>
      </c>
      <c r="B405" s="16">
        <f>TeamHero生成!B405</f>
        <v>1004</v>
      </c>
      <c r="C405" s="16">
        <f>TeamHero生成!C405</f>
        <v>50</v>
      </c>
      <c r="D405" s="17">
        <f>TeamHero生成!D405</f>
        <v>2125711</v>
      </c>
      <c r="E405" s="17">
        <f>TeamHero生成!E405</f>
        <v>26332</v>
      </c>
      <c r="F405" s="17">
        <f>TeamHero生成!F405</f>
        <v>39527</v>
      </c>
      <c r="G405" s="16" t="str">
        <f>TeamHero生成!AG405</f>
        <v>有效</v>
      </c>
      <c r="H405" s="16">
        <f>TeamHero生成!G405</f>
        <v>3979828</v>
      </c>
      <c r="I405" s="16">
        <f>TeamHero生成!H405</f>
        <v>37746</v>
      </c>
      <c r="J405" s="16">
        <f>TeamHero生成!I405</f>
        <v>39031</v>
      </c>
    </row>
    <row r="406" ht="14.25" customHeight="1" spans="1:10">
      <c r="A406" s="16">
        <f>TeamHero生成!A406</f>
        <v>402</v>
      </c>
      <c r="B406" s="16">
        <f>TeamHero生成!B406</f>
        <v>1017</v>
      </c>
      <c r="C406" s="16">
        <f>TeamHero生成!C406</f>
        <v>50</v>
      </c>
      <c r="D406" s="17">
        <f>TeamHero生成!D406</f>
        <v>1417140</v>
      </c>
      <c r="E406" s="17">
        <f>TeamHero生成!E406</f>
        <v>31598</v>
      </c>
      <c r="F406" s="17">
        <f>TeamHero生成!F406</f>
        <v>26351</v>
      </c>
      <c r="G406" s="16" t="str">
        <f>TeamHero生成!AG406</f>
        <v>有效</v>
      </c>
      <c r="H406" s="16">
        <f>TeamHero生成!G406</f>
        <v>2653219</v>
      </c>
      <c r="I406" s="16">
        <f>TeamHero生成!H406</f>
        <v>45295</v>
      </c>
      <c r="J406" s="16">
        <f>TeamHero生成!I406</f>
        <v>26020</v>
      </c>
    </row>
    <row r="407" ht="14.25" customHeight="1" spans="1:10">
      <c r="A407" s="16">
        <f>TeamHero生成!A407</f>
        <v>403</v>
      </c>
      <c r="B407" s="16">
        <f>TeamHero生成!B407</f>
        <v>1013</v>
      </c>
      <c r="C407" s="16">
        <f>TeamHero生成!C407</f>
        <v>50</v>
      </c>
      <c r="D407" s="17">
        <f>TeamHero生成!D407</f>
        <v>1417140</v>
      </c>
      <c r="E407" s="17">
        <f>TeamHero生成!E407</f>
        <v>31598</v>
      </c>
      <c r="F407" s="17">
        <f>TeamHero生成!F407</f>
        <v>26351</v>
      </c>
      <c r="G407" s="16" t="str">
        <f>TeamHero生成!AG407</f>
        <v>有效</v>
      </c>
      <c r="H407" s="16">
        <f>TeamHero生成!G407</f>
        <v>2653219</v>
      </c>
      <c r="I407" s="16">
        <f>TeamHero生成!H407</f>
        <v>45295</v>
      </c>
      <c r="J407" s="16">
        <f>TeamHero生成!I407</f>
        <v>26020</v>
      </c>
    </row>
    <row r="408" ht="14.25" customHeight="1" spans="1:10">
      <c r="A408" s="16">
        <f>TeamHero生成!A408</f>
        <v>404</v>
      </c>
      <c r="B408" s="16">
        <f>TeamHero生成!B408</f>
        <v>1007</v>
      </c>
      <c r="C408" s="16">
        <f>TeamHero生成!C408</f>
        <v>50</v>
      </c>
      <c r="D408" s="17">
        <f>TeamHero生成!D408</f>
        <v>1771426</v>
      </c>
      <c r="E408" s="17">
        <f>TeamHero生成!E408</f>
        <v>26332</v>
      </c>
      <c r="F408" s="17">
        <f>TeamHero生成!F408</f>
        <v>32939</v>
      </c>
      <c r="G408" s="16" t="str">
        <f>TeamHero生成!AG408</f>
        <v>有效</v>
      </c>
      <c r="H408" s="16">
        <f>TeamHero生成!G408</f>
        <v>3316524</v>
      </c>
      <c r="I408" s="16">
        <f>TeamHero生成!H408</f>
        <v>37746</v>
      </c>
      <c r="J408" s="16">
        <f>TeamHero生成!I408</f>
        <v>32526</v>
      </c>
    </row>
    <row r="409" ht="14.25" customHeight="1" spans="1:10">
      <c r="A409" s="16">
        <f>TeamHero生成!A409</f>
        <v>405</v>
      </c>
      <c r="B409" s="16">
        <f>TeamHero生成!B409</f>
        <v>1008</v>
      </c>
      <c r="C409" s="16">
        <f>TeamHero生成!C409</f>
        <v>50</v>
      </c>
      <c r="D409" s="17">
        <f>TeamHero生成!D409</f>
        <v>1417140</v>
      </c>
      <c r="E409" s="17">
        <f>TeamHero生成!E409</f>
        <v>31598</v>
      </c>
      <c r="F409" s="17">
        <f>TeamHero生成!F409</f>
        <v>26351</v>
      </c>
      <c r="G409" s="16" t="str">
        <f>TeamHero生成!AG409</f>
        <v>有效</v>
      </c>
      <c r="H409" s="16">
        <f>TeamHero生成!G409</f>
        <v>2653219</v>
      </c>
      <c r="I409" s="16">
        <f>TeamHero生成!H409</f>
        <v>45295</v>
      </c>
      <c r="J409" s="16">
        <f>TeamHero生成!I409</f>
        <v>26020</v>
      </c>
    </row>
    <row r="410" ht="14.25" customHeight="1" spans="1:10">
      <c r="A410" s="16">
        <f>TeamHero生成!A410</f>
        <v>406</v>
      </c>
      <c r="B410" s="16">
        <f>TeamHero生成!B410</f>
        <v>1003</v>
      </c>
      <c r="C410" s="16">
        <f>TeamHero生成!C410</f>
        <v>51</v>
      </c>
      <c r="D410" s="17">
        <f>TeamHero生成!D410</f>
        <v>2183850</v>
      </c>
      <c r="E410" s="17">
        <f>TeamHero生成!E410</f>
        <v>26873</v>
      </c>
      <c r="F410" s="17">
        <f>TeamHero生成!F410</f>
        <v>39924</v>
      </c>
      <c r="G410" s="16" t="str">
        <f>TeamHero生成!AG410</f>
        <v>有效</v>
      </c>
      <c r="H410" s="16">
        <f>TeamHero生成!G410</f>
        <v>4111423</v>
      </c>
      <c r="I410" s="16">
        <f>TeamHero生成!H410</f>
        <v>38728</v>
      </c>
      <c r="J410" s="16">
        <f>TeamHero生成!I410</f>
        <v>39675</v>
      </c>
    </row>
    <row r="411" ht="14.25" customHeight="1" spans="1:10">
      <c r="A411" s="16">
        <f>TeamHero生成!A411</f>
        <v>407</v>
      </c>
      <c r="B411" s="16">
        <f>TeamHero生成!B411</f>
        <v>1011</v>
      </c>
      <c r="C411" s="16">
        <f>TeamHero生成!C411</f>
        <v>51</v>
      </c>
      <c r="D411" s="17">
        <f>TeamHero生成!D411</f>
        <v>1819875</v>
      </c>
      <c r="E411" s="17">
        <f>TeamHero生成!E411</f>
        <v>26873</v>
      </c>
      <c r="F411" s="17">
        <f>TeamHero生成!F411</f>
        <v>33270</v>
      </c>
      <c r="G411" s="16" t="str">
        <f>TeamHero生成!AG411</f>
        <v>有效</v>
      </c>
      <c r="H411" s="16">
        <f>TeamHero生成!G411</f>
        <v>3426186</v>
      </c>
      <c r="I411" s="16">
        <f>TeamHero生成!H411</f>
        <v>38728</v>
      </c>
      <c r="J411" s="16">
        <f>TeamHero生成!I411</f>
        <v>33063</v>
      </c>
    </row>
    <row r="412" ht="14.25" customHeight="1" spans="1:10">
      <c r="A412" s="16">
        <f>TeamHero生成!A412</f>
        <v>408</v>
      </c>
      <c r="B412" s="16">
        <f>TeamHero生成!B412</f>
        <v>1013</v>
      </c>
      <c r="C412" s="16">
        <f>TeamHero生成!C412</f>
        <v>51</v>
      </c>
      <c r="D412" s="17">
        <f>TeamHero生成!D412</f>
        <v>1455900</v>
      </c>
      <c r="E412" s="17">
        <f>TeamHero生成!E412</f>
        <v>32248</v>
      </c>
      <c r="F412" s="17">
        <f>TeamHero生成!F412</f>
        <v>26616</v>
      </c>
      <c r="G412" s="16" t="str">
        <f>TeamHero生成!AG412</f>
        <v>有效</v>
      </c>
      <c r="H412" s="16">
        <f>TeamHero生成!G412</f>
        <v>2740948</v>
      </c>
      <c r="I412" s="16">
        <f>TeamHero生成!H412</f>
        <v>46473</v>
      </c>
      <c r="J412" s="16">
        <f>TeamHero生成!I412</f>
        <v>26450</v>
      </c>
    </row>
    <row r="413" ht="14.25" customHeight="1" spans="1:10">
      <c r="A413" s="16">
        <f>TeamHero生成!A413</f>
        <v>409</v>
      </c>
      <c r="B413" s="16">
        <f>TeamHero生成!B413</f>
        <v>1017</v>
      </c>
      <c r="C413" s="16">
        <f>TeamHero生成!C413</f>
        <v>51</v>
      </c>
      <c r="D413" s="17">
        <f>TeamHero生成!D413</f>
        <v>1455900</v>
      </c>
      <c r="E413" s="17">
        <f>TeamHero生成!E413</f>
        <v>32248</v>
      </c>
      <c r="F413" s="17">
        <f>TeamHero生成!F413</f>
        <v>26616</v>
      </c>
      <c r="G413" s="16" t="str">
        <f>TeamHero生成!AG413</f>
        <v>有效</v>
      </c>
      <c r="H413" s="16">
        <f>TeamHero生成!G413</f>
        <v>2740948</v>
      </c>
      <c r="I413" s="16">
        <f>TeamHero生成!H413</f>
        <v>46473</v>
      </c>
      <c r="J413" s="16">
        <f>TeamHero生成!I413</f>
        <v>26450</v>
      </c>
    </row>
    <row r="414" ht="14.25" customHeight="1" spans="1:10">
      <c r="A414" s="16">
        <f>TeamHero生成!A414</f>
        <v>410</v>
      </c>
      <c r="B414" s="16">
        <f>TeamHero生成!B414</f>
        <v>1006</v>
      </c>
      <c r="C414" s="16">
        <f>TeamHero生成!C414</f>
        <v>51</v>
      </c>
      <c r="D414" s="17">
        <f>TeamHero生成!D414</f>
        <v>1455900</v>
      </c>
      <c r="E414" s="17">
        <f>TeamHero生成!E414</f>
        <v>32248</v>
      </c>
      <c r="F414" s="17">
        <f>TeamHero生成!F414</f>
        <v>26616</v>
      </c>
      <c r="G414" s="16" t="str">
        <f>TeamHero生成!AG414</f>
        <v>有效</v>
      </c>
      <c r="H414" s="16">
        <f>TeamHero生成!G414</f>
        <v>2740948</v>
      </c>
      <c r="I414" s="16">
        <f>TeamHero生成!H414</f>
        <v>46473</v>
      </c>
      <c r="J414" s="16">
        <f>TeamHero生成!I414</f>
        <v>26450</v>
      </c>
    </row>
    <row r="415" ht="14.25" customHeight="1" spans="1:10">
      <c r="A415" s="16">
        <f>TeamHero生成!A415</f>
        <v>411</v>
      </c>
      <c r="B415" s="16">
        <f>TeamHero生成!B415</f>
        <v>1004</v>
      </c>
      <c r="C415" s="16">
        <f>TeamHero生成!C415</f>
        <v>51</v>
      </c>
      <c r="D415" s="17">
        <f>TeamHero生成!D415</f>
        <v>2202717</v>
      </c>
      <c r="E415" s="17">
        <f>TeamHero生成!E415</f>
        <v>27101</v>
      </c>
      <c r="F415" s="17">
        <f>TeamHero生成!F415</f>
        <v>40124</v>
      </c>
      <c r="G415" s="16" t="str">
        <f>TeamHero生成!AG415</f>
        <v>有效</v>
      </c>
      <c r="H415" s="16">
        <f>TeamHero生成!G415</f>
        <v>4246250</v>
      </c>
      <c r="I415" s="16">
        <f>TeamHero生成!H415</f>
        <v>39733</v>
      </c>
      <c r="J415" s="16">
        <f>TeamHero生成!I415</f>
        <v>40324</v>
      </c>
    </row>
    <row r="416" ht="14.25" customHeight="1" spans="1:10">
      <c r="A416" s="16">
        <f>TeamHero生成!A416</f>
        <v>412</v>
      </c>
      <c r="B416" s="16">
        <f>TeamHero生成!B416</f>
        <v>1017</v>
      </c>
      <c r="C416" s="16">
        <f>TeamHero生成!C416</f>
        <v>51</v>
      </c>
      <c r="D416" s="17">
        <f>TeamHero生成!D416</f>
        <v>1468478</v>
      </c>
      <c r="E416" s="17">
        <f>TeamHero生成!E416</f>
        <v>32521</v>
      </c>
      <c r="F416" s="17">
        <f>TeamHero生成!F416</f>
        <v>26749</v>
      </c>
      <c r="G416" s="16" t="str">
        <f>TeamHero生成!AG416</f>
        <v>有效</v>
      </c>
      <c r="H416" s="16">
        <f>TeamHero生成!G416</f>
        <v>2830833</v>
      </c>
      <c r="I416" s="16">
        <f>TeamHero生成!H416</f>
        <v>47679</v>
      </c>
      <c r="J416" s="16">
        <f>TeamHero生成!I416</f>
        <v>26883</v>
      </c>
    </row>
    <row r="417" ht="14.25" customHeight="1" spans="1:10">
      <c r="A417" s="16">
        <f>TeamHero生成!A417</f>
        <v>413</v>
      </c>
      <c r="B417" s="16">
        <f>TeamHero生成!B417</f>
        <v>1008</v>
      </c>
      <c r="C417" s="16">
        <f>TeamHero生成!C417</f>
        <v>51</v>
      </c>
      <c r="D417" s="17">
        <f>TeamHero生成!D417</f>
        <v>1468478</v>
      </c>
      <c r="E417" s="17">
        <f>TeamHero生成!E417</f>
        <v>32521</v>
      </c>
      <c r="F417" s="17">
        <f>TeamHero生成!F417</f>
        <v>26749</v>
      </c>
      <c r="G417" s="16" t="str">
        <f>TeamHero生成!AG417</f>
        <v>有效</v>
      </c>
      <c r="H417" s="16">
        <f>TeamHero生成!G417</f>
        <v>2830833</v>
      </c>
      <c r="I417" s="16">
        <f>TeamHero生成!H417</f>
        <v>47679</v>
      </c>
      <c r="J417" s="16">
        <f>TeamHero生成!I417</f>
        <v>26883</v>
      </c>
    </row>
    <row r="418" ht="14.25" customHeight="1" spans="1:10">
      <c r="A418" s="16">
        <f>TeamHero生成!A418</f>
        <v>414</v>
      </c>
      <c r="B418" s="16">
        <f>TeamHero生成!B418</f>
        <v>1011</v>
      </c>
      <c r="C418" s="16">
        <f>TeamHero生成!C418</f>
        <v>51</v>
      </c>
      <c r="D418" s="17">
        <f>TeamHero生成!D418</f>
        <v>1835597</v>
      </c>
      <c r="E418" s="17">
        <f>TeamHero生成!E418</f>
        <v>27101</v>
      </c>
      <c r="F418" s="17">
        <f>TeamHero生成!F418</f>
        <v>33436</v>
      </c>
      <c r="G418" s="16" t="str">
        <f>TeamHero生成!AG418</f>
        <v>有效</v>
      </c>
      <c r="H418" s="16">
        <f>TeamHero生成!G418</f>
        <v>3538542</v>
      </c>
      <c r="I418" s="16">
        <f>TeamHero生成!H418</f>
        <v>39733</v>
      </c>
      <c r="J418" s="16">
        <f>TeamHero生成!I418</f>
        <v>33604</v>
      </c>
    </row>
    <row r="419" ht="14.25" customHeight="1" spans="1:10">
      <c r="A419" s="16">
        <f>TeamHero生成!A419</f>
        <v>415</v>
      </c>
      <c r="B419" s="16">
        <f>TeamHero生成!B419</f>
        <v>1006</v>
      </c>
      <c r="C419" s="16">
        <f>TeamHero生成!C419</f>
        <v>51</v>
      </c>
      <c r="D419" s="17">
        <f>TeamHero生成!D419</f>
        <v>1468478</v>
      </c>
      <c r="E419" s="17">
        <f>TeamHero生成!E419</f>
        <v>32521</v>
      </c>
      <c r="F419" s="17">
        <f>TeamHero生成!F419</f>
        <v>26749</v>
      </c>
      <c r="G419" s="16" t="str">
        <f>TeamHero生成!AG419</f>
        <v>有效</v>
      </c>
      <c r="H419" s="16">
        <f>TeamHero生成!G419</f>
        <v>2830833</v>
      </c>
      <c r="I419" s="16">
        <f>TeamHero生成!H419</f>
        <v>47679</v>
      </c>
      <c r="J419" s="16">
        <f>TeamHero生成!I419</f>
        <v>26883</v>
      </c>
    </row>
    <row r="420" ht="14.25" customHeight="1" spans="1:10">
      <c r="A420" s="16">
        <f>TeamHero生成!A420</f>
        <v>416</v>
      </c>
      <c r="B420" s="16">
        <f>TeamHero生成!B420</f>
        <v>1003</v>
      </c>
      <c r="C420" s="16">
        <f>TeamHero生成!C420</f>
        <v>52</v>
      </c>
      <c r="D420" s="17">
        <f>TeamHero生成!D420</f>
        <v>2222466</v>
      </c>
      <c r="E420" s="17">
        <f>TeamHero生成!E420</f>
        <v>27339</v>
      </c>
      <c r="F420" s="17">
        <f>TeamHero生成!F420</f>
        <v>40322</v>
      </c>
      <c r="G420" s="16" t="str">
        <f>TeamHero生成!AG420</f>
        <v>有效</v>
      </c>
      <c r="H420" s="16">
        <f>TeamHero生成!G420</f>
        <v>4384360</v>
      </c>
      <c r="I420" s="16">
        <f>TeamHero生成!H420</f>
        <v>40762</v>
      </c>
      <c r="J420" s="16">
        <f>TeamHero生成!I420</f>
        <v>40977</v>
      </c>
    </row>
    <row r="421" ht="14.25" customHeight="1" spans="1:10">
      <c r="A421" s="16">
        <f>TeamHero生成!A421</f>
        <v>417</v>
      </c>
      <c r="B421" s="16">
        <f>TeamHero生成!B421</f>
        <v>1008</v>
      </c>
      <c r="C421" s="16">
        <f>TeamHero生成!C421</f>
        <v>52</v>
      </c>
      <c r="D421" s="17">
        <f>TeamHero生成!D421</f>
        <v>1481644</v>
      </c>
      <c r="E421" s="17">
        <f>TeamHero生成!E421</f>
        <v>32806</v>
      </c>
      <c r="F421" s="17">
        <f>TeamHero生成!F421</f>
        <v>26881</v>
      </c>
      <c r="G421" s="16" t="str">
        <f>TeamHero生成!AG421</f>
        <v>有效</v>
      </c>
      <c r="H421" s="16">
        <f>TeamHero生成!G421</f>
        <v>2922907</v>
      </c>
      <c r="I421" s="16">
        <f>TeamHero生成!H421</f>
        <v>48914</v>
      </c>
      <c r="J421" s="16">
        <f>TeamHero生成!I421</f>
        <v>27318</v>
      </c>
    </row>
    <row r="422" ht="14.25" customHeight="1" spans="1:10">
      <c r="A422" s="16">
        <f>TeamHero生成!A422</f>
        <v>418</v>
      </c>
      <c r="B422" s="16">
        <f>TeamHero生成!B422</f>
        <v>1008</v>
      </c>
      <c r="C422" s="16">
        <f>TeamHero生成!C422</f>
        <v>52</v>
      </c>
      <c r="D422" s="17">
        <f>TeamHero生成!D422</f>
        <v>1481644</v>
      </c>
      <c r="E422" s="17">
        <f>TeamHero生成!E422</f>
        <v>32806</v>
      </c>
      <c r="F422" s="17">
        <f>TeamHero生成!F422</f>
        <v>26881</v>
      </c>
      <c r="G422" s="16" t="str">
        <f>TeamHero生成!AG422</f>
        <v>有效</v>
      </c>
      <c r="H422" s="16">
        <f>TeamHero生成!G422</f>
        <v>2922907</v>
      </c>
      <c r="I422" s="16">
        <f>TeamHero生成!H422</f>
        <v>48914</v>
      </c>
      <c r="J422" s="16">
        <f>TeamHero生成!I422</f>
        <v>27318</v>
      </c>
    </row>
    <row r="423" ht="14.25" customHeight="1" spans="1:10">
      <c r="A423" s="16">
        <f>TeamHero生成!A423</f>
        <v>419</v>
      </c>
      <c r="B423" s="16">
        <f>TeamHero生成!B423</f>
        <v>1007</v>
      </c>
      <c r="C423" s="16">
        <f>TeamHero生成!C423</f>
        <v>52</v>
      </c>
      <c r="D423" s="17">
        <f>TeamHero生成!D423</f>
        <v>1852055</v>
      </c>
      <c r="E423" s="17">
        <f>TeamHero生成!E423</f>
        <v>27339</v>
      </c>
      <c r="F423" s="17">
        <f>TeamHero生成!F423</f>
        <v>33601</v>
      </c>
      <c r="G423" s="16" t="str">
        <f>TeamHero生成!AG423</f>
        <v>有效</v>
      </c>
      <c r="H423" s="16">
        <f>TeamHero生成!G423</f>
        <v>3653634</v>
      </c>
      <c r="I423" s="16">
        <f>TeamHero生成!H423</f>
        <v>40762</v>
      </c>
      <c r="J423" s="16">
        <f>TeamHero生成!I423</f>
        <v>34148</v>
      </c>
    </row>
    <row r="424" ht="14.25" customHeight="1" spans="1:10">
      <c r="A424" s="16">
        <f>TeamHero生成!A424</f>
        <v>420</v>
      </c>
      <c r="B424" s="16">
        <f>TeamHero生成!B424</f>
        <v>1017</v>
      </c>
      <c r="C424" s="16">
        <f>TeamHero生成!C424</f>
        <v>52</v>
      </c>
      <c r="D424" s="17">
        <f>TeamHero生成!D424</f>
        <v>1481644</v>
      </c>
      <c r="E424" s="17">
        <f>TeamHero生成!E424</f>
        <v>32806</v>
      </c>
      <c r="F424" s="17">
        <f>TeamHero生成!F424</f>
        <v>26881</v>
      </c>
      <c r="G424" s="16" t="str">
        <f>TeamHero生成!AG424</f>
        <v>有效</v>
      </c>
      <c r="H424" s="16">
        <f>TeamHero生成!G424</f>
        <v>2922907</v>
      </c>
      <c r="I424" s="16">
        <f>TeamHero生成!H424</f>
        <v>48914</v>
      </c>
      <c r="J424" s="16">
        <f>TeamHero生成!I424</f>
        <v>27318</v>
      </c>
    </row>
    <row r="425" ht="14.25" customHeight="1" spans="1:10">
      <c r="A425" s="16">
        <f>TeamHero生成!A425</f>
        <v>421</v>
      </c>
      <c r="B425" s="16">
        <f>TeamHero生成!B425</f>
        <v>1004</v>
      </c>
      <c r="C425" s="16">
        <f>TeamHero生成!C425</f>
        <v>52</v>
      </c>
      <c r="D425" s="17">
        <f>TeamHero生成!D425</f>
        <v>2266920</v>
      </c>
      <c r="E425" s="17">
        <f>TeamHero生成!E425</f>
        <v>27789</v>
      </c>
      <c r="F425" s="17">
        <f>TeamHero生成!F425</f>
        <v>40722</v>
      </c>
      <c r="G425" s="16" t="str">
        <f>TeamHero生成!AG425</f>
        <v>有效</v>
      </c>
      <c r="H425" s="16">
        <f>TeamHero生成!G425</f>
        <v>4525812</v>
      </c>
      <c r="I425" s="16">
        <f>TeamHero生成!H425</f>
        <v>41816</v>
      </c>
      <c r="J425" s="16">
        <f>TeamHero生成!I425</f>
        <v>41635</v>
      </c>
    </row>
    <row r="426" ht="14.25" customHeight="1" spans="1:10">
      <c r="A426" s="16">
        <f>TeamHero生成!A426</f>
        <v>422</v>
      </c>
      <c r="B426" s="16">
        <f>TeamHero生成!B426</f>
        <v>1005</v>
      </c>
      <c r="C426" s="16">
        <f>TeamHero生成!C426</f>
        <v>52</v>
      </c>
      <c r="D426" s="17">
        <f>TeamHero生成!D426</f>
        <v>1511280</v>
      </c>
      <c r="E426" s="17">
        <f>TeamHero生成!E426</f>
        <v>33347</v>
      </c>
      <c r="F426" s="17">
        <f>TeamHero生成!F426</f>
        <v>27148</v>
      </c>
      <c r="G426" s="16" t="str">
        <f>TeamHero生成!AG426</f>
        <v>有效</v>
      </c>
      <c r="H426" s="16">
        <f>TeamHero生成!G426</f>
        <v>3017208</v>
      </c>
      <c r="I426" s="16">
        <f>TeamHero生成!H426</f>
        <v>50179</v>
      </c>
      <c r="J426" s="16">
        <f>TeamHero生成!I426</f>
        <v>27756</v>
      </c>
    </row>
    <row r="427" ht="14.25" customHeight="1" spans="1:10">
      <c r="A427" s="16">
        <f>TeamHero生成!A427</f>
        <v>423</v>
      </c>
      <c r="B427" s="16">
        <f>TeamHero生成!B427</f>
        <v>1005</v>
      </c>
      <c r="C427" s="16">
        <f>TeamHero生成!C427</f>
        <v>52</v>
      </c>
      <c r="D427" s="17">
        <f>TeamHero生成!D427</f>
        <v>1511280</v>
      </c>
      <c r="E427" s="17">
        <f>TeamHero生成!E427</f>
        <v>33347</v>
      </c>
      <c r="F427" s="17">
        <f>TeamHero生成!F427</f>
        <v>27148</v>
      </c>
      <c r="G427" s="16" t="str">
        <f>TeamHero生成!AG427</f>
        <v>有效</v>
      </c>
      <c r="H427" s="16">
        <f>TeamHero生成!G427</f>
        <v>3017208</v>
      </c>
      <c r="I427" s="16">
        <f>TeamHero生成!H427</f>
        <v>50179</v>
      </c>
      <c r="J427" s="16">
        <f>TeamHero生成!I427</f>
        <v>27756</v>
      </c>
    </row>
    <row r="428" ht="14.25" customHeight="1" spans="1:10">
      <c r="A428" s="16">
        <f>TeamHero生成!A428</f>
        <v>424</v>
      </c>
      <c r="B428" s="16">
        <f>TeamHero生成!B428</f>
        <v>1007</v>
      </c>
      <c r="C428" s="16">
        <f>TeamHero生成!C428</f>
        <v>52</v>
      </c>
      <c r="D428" s="17">
        <f>TeamHero生成!D428</f>
        <v>1889100</v>
      </c>
      <c r="E428" s="17">
        <f>TeamHero生成!E428</f>
        <v>27789</v>
      </c>
      <c r="F428" s="17">
        <f>TeamHero生成!F428</f>
        <v>33935</v>
      </c>
      <c r="G428" s="16" t="str">
        <f>TeamHero生成!AG428</f>
        <v>有效</v>
      </c>
      <c r="H428" s="16">
        <f>TeamHero生成!G428</f>
        <v>3771510</v>
      </c>
      <c r="I428" s="16">
        <f>TeamHero生成!H428</f>
        <v>41816</v>
      </c>
      <c r="J428" s="16">
        <f>TeamHero生成!I428</f>
        <v>34696</v>
      </c>
    </row>
    <row r="429" ht="14.25" customHeight="1" spans="1:10">
      <c r="A429" s="16">
        <f>TeamHero生成!A429</f>
        <v>425</v>
      </c>
      <c r="B429" s="16">
        <f>TeamHero生成!B429</f>
        <v>1040</v>
      </c>
      <c r="C429" s="16">
        <f>TeamHero生成!C429</f>
        <v>52</v>
      </c>
      <c r="D429" s="17">
        <f>TeamHero生成!D429</f>
        <v>1889100</v>
      </c>
      <c r="E429" s="17">
        <f>TeamHero生成!E429</f>
        <v>27789</v>
      </c>
      <c r="F429" s="17">
        <f>TeamHero生成!F429</f>
        <v>33935</v>
      </c>
      <c r="G429" s="16" t="str">
        <f>TeamHero生成!AG429</f>
        <v>有效</v>
      </c>
      <c r="H429" s="16">
        <f>TeamHero生成!G429</f>
        <v>3771510</v>
      </c>
      <c r="I429" s="16">
        <f>TeamHero生成!H429</f>
        <v>41816</v>
      </c>
      <c r="J429" s="16">
        <f>TeamHero生成!I429</f>
        <v>34696</v>
      </c>
    </row>
    <row r="430" ht="14.25" customHeight="1" spans="1:10">
      <c r="A430" s="16">
        <f>TeamHero生成!A430</f>
        <v>426</v>
      </c>
      <c r="B430" s="16">
        <f>TeamHero生成!B430</f>
        <v>1003</v>
      </c>
      <c r="C430" s="16">
        <f>TeamHero生成!C430</f>
        <v>53</v>
      </c>
      <c r="D430" s="17">
        <f>TeamHero生成!D430</f>
        <v>2284482</v>
      </c>
      <c r="E430" s="17">
        <f>TeamHero生成!E430</f>
        <v>28019</v>
      </c>
      <c r="F430" s="17">
        <f>TeamHero生成!F430</f>
        <v>40922</v>
      </c>
      <c r="G430" s="16" t="str">
        <f>TeamHero生成!AG430</f>
        <v>有效</v>
      </c>
      <c r="H430" s="16">
        <f>TeamHero生成!G430</f>
        <v>4670668</v>
      </c>
      <c r="I430" s="16">
        <f>TeamHero生成!H430</f>
        <v>42895</v>
      </c>
      <c r="J430" s="16">
        <f>TeamHero生成!I430</f>
        <v>42297</v>
      </c>
    </row>
    <row r="431" ht="14.25" customHeight="1" spans="1:10">
      <c r="A431" s="16">
        <f>TeamHero生成!A431</f>
        <v>427</v>
      </c>
      <c r="B431" s="16">
        <f>TeamHero生成!B431</f>
        <v>1001</v>
      </c>
      <c r="C431" s="16">
        <f>TeamHero生成!C431</f>
        <v>53</v>
      </c>
      <c r="D431" s="17">
        <f>TeamHero生成!D431</f>
        <v>1522988</v>
      </c>
      <c r="E431" s="17">
        <f>TeamHero生成!E431</f>
        <v>33622</v>
      </c>
      <c r="F431" s="17">
        <f>TeamHero生成!F431</f>
        <v>27281</v>
      </c>
      <c r="G431" s="16" t="str">
        <f>TeamHero生成!AG431</f>
        <v>有效</v>
      </c>
      <c r="H431" s="16">
        <f>TeamHero生成!G431</f>
        <v>3113779</v>
      </c>
      <c r="I431" s="16">
        <f>TeamHero生成!H431</f>
        <v>51474</v>
      </c>
      <c r="J431" s="16">
        <f>TeamHero生成!I431</f>
        <v>28198</v>
      </c>
    </row>
    <row r="432" ht="14.25" customHeight="1" spans="1:10">
      <c r="A432" s="16">
        <f>TeamHero生成!A432</f>
        <v>428</v>
      </c>
      <c r="B432" s="16">
        <f>TeamHero生成!B432</f>
        <v>1011</v>
      </c>
      <c r="C432" s="16">
        <f>TeamHero生成!C432</f>
        <v>53</v>
      </c>
      <c r="D432" s="17">
        <f>TeamHero生成!D432</f>
        <v>1903735</v>
      </c>
      <c r="E432" s="17">
        <f>TeamHero生成!E432</f>
        <v>28019</v>
      </c>
      <c r="F432" s="17">
        <f>TeamHero生成!F432</f>
        <v>34101</v>
      </c>
      <c r="G432" s="16" t="str">
        <f>TeamHero生成!AG432</f>
        <v>有效</v>
      </c>
      <c r="H432" s="16">
        <f>TeamHero生成!G432</f>
        <v>3892224</v>
      </c>
      <c r="I432" s="16">
        <f>TeamHero生成!H432</f>
        <v>42895</v>
      </c>
      <c r="J432" s="16">
        <f>TeamHero生成!I432</f>
        <v>35248</v>
      </c>
    </row>
    <row r="433" ht="14.25" customHeight="1" spans="1:10">
      <c r="A433" s="16">
        <f>TeamHero生成!A433</f>
        <v>429</v>
      </c>
      <c r="B433" s="16">
        <f>TeamHero生成!B433</f>
        <v>1013</v>
      </c>
      <c r="C433" s="16">
        <f>TeamHero生成!C433</f>
        <v>53</v>
      </c>
      <c r="D433" s="17">
        <f>TeamHero生成!D433</f>
        <v>1522988</v>
      </c>
      <c r="E433" s="17">
        <f>TeamHero生成!E433</f>
        <v>33622</v>
      </c>
      <c r="F433" s="17">
        <f>TeamHero生成!F433</f>
        <v>27281</v>
      </c>
      <c r="G433" s="16" t="str">
        <f>TeamHero生成!AG433</f>
        <v>有效</v>
      </c>
      <c r="H433" s="16">
        <f>TeamHero生成!G433</f>
        <v>3113779</v>
      </c>
      <c r="I433" s="16">
        <f>TeamHero生成!H433</f>
        <v>51474</v>
      </c>
      <c r="J433" s="16">
        <f>TeamHero生成!I433</f>
        <v>28198</v>
      </c>
    </row>
    <row r="434" ht="14.25" customHeight="1" spans="1:10">
      <c r="A434" s="16">
        <f>TeamHero生成!A434</f>
        <v>430</v>
      </c>
      <c r="B434" s="16">
        <f>TeamHero生成!B434</f>
        <v>1005</v>
      </c>
      <c r="C434" s="16">
        <f>TeamHero生成!C434</f>
        <v>53</v>
      </c>
      <c r="D434" s="17">
        <f>TeamHero生成!D434</f>
        <v>1522988</v>
      </c>
      <c r="E434" s="17">
        <f>TeamHero生成!E434</f>
        <v>33622</v>
      </c>
      <c r="F434" s="17">
        <f>TeamHero生成!F434</f>
        <v>27281</v>
      </c>
      <c r="G434" s="16" t="str">
        <f>TeamHero生成!AG434</f>
        <v>有效</v>
      </c>
      <c r="H434" s="16">
        <f>TeamHero生成!G434</f>
        <v>3113779</v>
      </c>
      <c r="I434" s="16">
        <f>TeamHero生成!H434</f>
        <v>51474</v>
      </c>
      <c r="J434" s="16">
        <f>TeamHero生成!I434</f>
        <v>28198</v>
      </c>
    </row>
    <row r="435" ht="14.25" customHeight="1" spans="1:10">
      <c r="A435" s="16">
        <f>TeamHero生成!A435</f>
        <v>431</v>
      </c>
      <c r="B435" s="16">
        <f>TeamHero生成!B435</f>
        <v>1004</v>
      </c>
      <c r="C435" s="16">
        <f>TeamHero生成!C435</f>
        <v>53</v>
      </c>
      <c r="D435" s="17">
        <f>TeamHero生成!D435</f>
        <v>2304153</v>
      </c>
      <c r="E435" s="17">
        <f>TeamHero生成!E435</f>
        <v>28256</v>
      </c>
      <c r="F435" s="17">
        <f>TeamHero生成!F435</f>
        <v>41123</v>
      </c>
      <c r="G435" s="16" t="str">
        <f>TeamHero生成!AG435</f>
        <v>有效</v>
      </c>
      <c r="H435" s="16">
        <f>TeamHero生成!G435</f>
        <v>4818981</v>
      </c>
      <c r="I435" s="16">
        <f>TeamHero生成!H435</f>
        <v>43999</v>
      </c>
      <c r="J435" s="16">
        <f>TeamHero生成!I435</f>
        <v>42963</v>
      </c>
    </row>
    <row r="436" ht="14.25" customHeight="1" spans="1:10">
      <c r="A436" s="16">
        <f>TeamHero生成!A436</f>
        <v>432</v>
      </c>
      <c r="B436" s="16">
        <f>TeamHero生成!B436</f>
        <v>1011</v>
      </c>
      <c r="C436" s="16">
        <f>TeamHero生成!C436</f>
        <v>53</v>
      </c>
      <c r="D436" s="17">
        <f>TeamHero生成!D436</f>
        <v>1920127</v>
      </c>
      <c r="E436" s="17">
        <f>TeamHero生成!E436</f>
        <v>28256</v>
      </c>
      <c r="F436" s="17">
        <f>TeamHero生成!F436</f>
        <v>34269</v>
      </c>
      <c r="G436" s="16" t="str">
        <f>TeamHero生成!AG436</f>
        <v>有效</v>
      </c>
      <c r="H436" s="16">
        <f>TeamHero生成!G436</f>
        <v>4015818</v>
      </c>
      <c r="I436" s="16">
        <f>TeamHero生成!H436</f>
        <v>43999</v>
      </c>
      <c r="J436" s="16">
        <f>TeamHero生成!I436</f>
        <v>35803</v>
      </c>
    </row>
    <row r="437" ht="14.25" customHeight="1" spans="1:10">
      <c r="A437" s="16">
        <f>TeamHero生成!A437</f>
        <v>433</v>
      </c>
      <c r="B437" s="16">
        <f>TeamHero生成!B437</f>
        <v>1008</v>
      </c>
      <c r="C437" s="16">
        <f>TeamHero生成!C437</f>
        <v>53</v>
      </c>
      <c r="D437" s="17">
        <f>TeamHero生成!D437</f>
        <v>1536102</v>
      </c>
      <c r="E437" s="17">
        <f>TeamHero生成!E437</f>
        <v>33907</v>
      </c>
      <c r="F437" s="17">
        <f>TeamHero生成!F437</f>
        <v>27415</v>
      </c>
      <c r="G437" s="16" t="str">
        <f>TeamHero生成!AG437</f>
        <v>有效</v>
      </c>
      <c r="H437" s="16">
        <f>TeamHero生成!G437</f>
        <v>3212654</v>
      </c>
      <c r="I437" s="16">
        <f>TeamHero生成!H437</f>
        <v>52798</v>
      </c>
      <c r="J437" s="16">
        <f>TeamHero生成!I437</f>
        <v>28642</v>
      </c>
    </row>
    <row r="438" ht="14.25" customHeight="1" spans="1:10">
      <c r="A438" s="16">
        <f>TeamHero生成!A438</f>
        <v>434</v>
      </c>
      <c r="B438" s="16">
        <f>TeamHero生成!B438</f>
        <v>1006</v>
      </c>
      <c r="C438" s="16">
        <f>TeamHero生成!C438</f>
        <v>53</v>
      </c>
      <c r="D438" s="17">
        <f>TeamHero生成!D438</f>
        <v>1536102</v>
      </c>
      <c r="E438" s="17">
        <f>TeamHero生成!E438</f>
        <v>33907</v>
      </c>
      <c r="F438" s="17">
        <f>TeamHero生成!F438</f>
        <v>27415</v>
      </c>
      <c r="G438" s="16" t="str">
        <f>TeamHero生成!AG438</f>
        <v>有效</v>
      </c>
      <c r="H438" s="16">
        <f>TeamHero生成!G438</f>
        <v>3212654</v>
      </c>
      <c r="I438" s="16">
        <f>TeamHero生成!H438</f>
        <v>52798</v>
      </c>
      <c r="J438" s="16">
        <f>TeamHero生成!I438</f>
        <v>28642</v>
      </c>
    </row>
    <row r="439" ht="14.25" customHeight="1" spans="1:10">
      <c r="A439" s="16">
        <f>TeamHero生成!A439</f>
        <v>435</v>
      </c>
      <c r="B439" s="16">
        <f>TeamHero生成!B439</f>
        <v>1005</v>
      </c>
      <c r="C439" s="16">
        <f>TeamHero生成!C439</f>
        <v>53</v>
      </c>
      <c r="D439" s="17">
        <f>TeamHero生成!D439</f>
        <v>1536102</v>
      </c>
      <c r="E439" s="17">
        <f>TeamHero生成!E439</f>
        <v>33907</v>
      </c>
      <c r="F439" s="17">
        <f>TeamHero生成!F439</f>
        <v>27415</v>
      </c>
      <c r="G439" s="16" t="str">
        <f>TeamHero生成!AG439</f>
        <v>有效</v>
      </c>
      <c r="H439" s="16">
        <f>TeamHero生成!G439</f>
        <v>3212654</v>
      </c>
      <c r="I439" s="16">
        <f>TeamHero生成!H439</f>
        <v>52798</v>
      </c>
      <c r="J439" s="16">
        <f>TeamHero生成!I439</f>
        <v>28642</v>
      </c>
    </row>
    <row r="440" ht="14.25" customHeight="1" spans="1:10">
      <c r="A440" s="16">
        <f>TeamHero生成!A440</f>
        <v>436</v>
      </c>
      <c r="B440" s="16">
        <f>TeamHero生成!B440</f>
        <v>1004</v>
      </c>
      <c r="C440" s="16">
        <f>TeamHero生成!C440</f>
        <v>54</v>
      </c>
      <c r="D440" s="17">
        <f>TeamHero生成!D440</f>
        <v>2324608</v>
      </c>
      <c r="E440" s="17">
        <f>TeamHero生成!E440</f>
        <v>28499</v>
      </c>
      <c r="F440" s="17">
        <f>TeamHero生成!F440</f>
        <v>41324</v>
      </c>
      <c r="G440" s="16" t="str">
        <f>TeamHero生成!AG440</f>
        <v>有效</v>
      </c>
      <c r="H440" s="16">
        <f>TeamHero生成!G440</f>
        <v>4970808</v>
      </c>
      <c r="I440" s="16">
        <f>TeamHero生成!H440</f>
        <v>45131</v>
      </c>
      <c r="J440" s="16">
        <f>TeamHero生成!I440</f>
        <v>43634</v>
      </c>
    </row>
    <row r="441" ht="14.25" customHeight="1" spans="1:10">
      <c r="A441" s="16">
        <f>TeamHero生成!A441</f>
        <v>437</v>
      </c>
      <c r="B441" s="16">
        <f>TeamHero生成!B441</f>
        <v>1001</v>
      </c>
      <c r="C441" s="16">
        <f>TeamHero生成!C441</f>
        <v>54</v>
      </c>
      <c r="D441" s="17">
        <f>TeamHero生成!D441</f>
        <v>1549739</v>
      </c>
      <c r="E441" s="17">
        <f>TeamHero生成!E441</f>
        <v>34199</v>
      </c>
      <c r="F441" s="17">
        <f>TeamHero生成!F441</f>
        <v>27549</v>
      </c>
      <c r="G441" s="16" t="str">
        <f>TeamHero生成!AG441</f>
        <v>有效</v>
      </c>
      <c r="H441" s="16">
        <f>TeamHero生成!G441</f>
        <v>3313872</v>
      </c>
      <c r="I441" s="16">
        <f>TeamHero生成!H441</f>
        <v>54157</v>
      </c>
      <c r="J441" s="16">
        <f>TeamHero生成!I441</f>
        <v>29089</v>
      </c>
    </row>
    <row r="442" ht="14.25" customHeight="1" spans="1:10">
      <c r="A442" s="16">
        <f>TeamHero生成!A442</f>
        <v>438</v>
      </c>
      <c r="B442" s="16">
        <f>TeamHero生成!B442</f>
        <v>1005</v>
      </c>
      <c r="C442" s="16">
        <f>TeamHero生成!C442</f>
        <v>54</v>
      </c>
      <c r="D442" s="17">
        <f>TeamHero生成!D442</f>
        <v>1549739</v>
      </c>
      <c r="E442" s="17">
        <f>TeamHero生成!E442</f>
        <v>34199</v>
      </c>
      <c r="F442" s="17">
        <f>TeamHero生成!F442</f>
        <v>27549</v>
      </c>
      <c r="G442" s="16" t="str">
        <f>TeamHero生成!AG442</f>
        <v>有效</v>
      </c>
      <c r="H442" s="16">
        <f>TeamHero生成!G442</f>
        <v>3313872</v>
      </c>
      <c r="I442" s="16">
        <f>TeamHero生成!H442</f>
        <v>54157</v>
      </c>
      <c r="J442" s="16">
        <f>TeamHero生成!I442</f>
        <v>29089</v>
      </c>
    </row>
    <row r="443" ht="14.25" customHeight="1" spans="1:10">
      <c r="A443" s="16">
        <f>TeamHero生成!A443</f>
        <v>439</v>
      </c>
      <c r="B443" s="16">
        <f>TeamHero生成!B443</f>
        <v>1008</v>
      </c>
      <c r="C443" s="16">
        <f>TeamHero生成!C443</f>
        <v>54</v>
      </c>
      <c r="D443" s="17">
        <f>TeamHero生成!D443</f>
        <v>1549739</v>
      </c>
      <c r="E443" s="17">
        <f>TeamHero生成!E443</f>
        <v>34199</v>
      </c>
      <c r="F443" s="17">
        <f>TeamHero生成!F443</f>
        <v>27549</v>
      </c>
      <c r="G443" s="16" t="str">
        <f>TeamHero生成!AG443</f>
        <v>有效</v>
      </c>
      <c r="H443" s="16">
        <f>TeamHero生成!G443</f>
        <v>3313872</v>
      </c>
      <c r="I443" s="16">
        <f>TeamHero生成!H443</f>
        <v>54157</v>
      </c>
      <c r="J443" s="16">
        <f>TeamHero生成!I443</f>
        <v>29089</v>
      </c>
    </row>
    <row r="444" ht="14.25" customHeight="1" spans="1:10">
      <c r="A444" s="16">
        <f>TeamHero生成!A444</f>
        <v>440</v>
      </c>
      <c r="B444" s="16">
        <f>TeamHero生成!B444</f>
        <v>1007</v>
      </c>
      <c r="C444" s="16">
        <f>TeamHero生成!C444</f>
        <v>54</v>
      </c>
      <c r="D444" s="17">
        <f>TeamHero生成!D444</f>
        <v>1937174</v>
      </c>
      <c r="E444" s="17">
        <f>TeamHero生成!E444</f>
        <v>28499</v>
      </c>
      <c r="F444" s="17">
        <f>TeamHero生成!F444</f>
        <v>34436</v>
      </c>
      <c r="G444" s="16" t="str">
        <f>TeamHero生成!AG444</f>
        <v>有效</v>
      </c>
      <c r="H444" s="16">
        <f>TeamHero生成!G444</f>
        <v>4142340</v>
      </c>
      <c r="I444" s="16">
        <f>TeamHero生成!H444</f>
        <v>45131</v>
      </c>
      <c r="J444" s="16">
        <f>TeamHero生成!I444</f>
        <v>36362</v>
      </c>
    </row>
    <row r="445" ht="14.25" customHeight="1" spans="1:10">
      <c r="A445" s="16">
        <f>TeamHero生成!A445</f>
        <v>441</v>
      </c>
      <c r="B445" s="16">
        <f>TeamHero生成!B445</f>
        <v>1003</v>
      </c>
      <c r="C445" s="16">
        <f>TeamHero生成!C445</f>
        <v>54</v>
      </c>
      <c r="D445" s="17">
        <f>TeamHero生成!D445</f>
        <v>2369523</v>
      </c>
      <c r="E445" s="17">
        <f>TeamHero生成!E445</f>
        <v>28966</v>
      </c>
      <c r="F445" s="17">
        <f>TeamHero生成!F445</f>
        <v>41727</v>
      </c>
      <c r="G445" s="16" t="str">
        <f>TeamHero生成!AG445</f>
        <v>有效</v>
      </c>
      <c r="H445" s="16">
        <f>TeamHero生成!G445</f>
        <v>5126220</v>
      </c>
      <c r="I445" s="16">
        <f>TeamHero生成!H445</f>
        <v>46290</v>
      </c>
      <c r="J445" s="16">
        <f>TeamHero生成!I445</f>
        <v>44310</v>
      </c>
    </row>
    <row r="446" ht="14.25" customHeight="1" spans="1:10">
      <c r="A446" s="16">
        <f>TeamHero生成!A446</f>
        <v>442</v>
      </c>
      <c r="B446" s="16">
        <f>TeamHero生成!B446</f>
        <v>1013</v>
      </c>
      <c r="C446" s="16">
        <f>TeamHero生成!C446</f>
        <v>54</v>
      </c>
      <c r="D446" s="17">
        <f>TeamHero生成!D446</f>
        <v>1579682</v>
      </c>
      <c r="E446" s="17">
        <f>TeamHero生成!E446</f>
        <v>34759</v>
      </c>
      <c r="F446" s="17">
        <f>TeamHero生成!F446</f>
        <v>27818</v>
      </c>
      <c r="G446" s="16" t="str">
        <f>TeamHero生成!AG446</f>
        <v>有效</v>
      </c>
      <c r="H446" s="16">
        <f>TeamHero生成!G446</f>
        <v>3417480</v>
      </c>
      <c r="I446" s="16">
        <f>TeamHero生成!H446</f>
        <v>55548</v>
      </c>
      <c r="J446" s="16">
        <f>TeamHero生成!I446</f>
        <v>29540</v>
      </c>
    </row>
    <row r="447" ht="14.25" customHeight="1" spans="1:10">
      <c r="A447" s="16">
        <f>TeamHero生成!A447</f>
        <v>443</v>
      </c>
      <c r="B447" s="16">
        <f>TeamHero生成!B447</f>
        <v>1001</v>
      </c>
      <c r="C447" s="16">
        <f>TeamHero生成!C447</f>
        <v>54</v>
      </c>
      <c r="D447" s="17">
        <f>TeamHero生成!D447</f>
        <v>1579682</v>
      </c>
      <c r="E447" s="17">
        <f>TeamHero生成!E447</f>
        <v>34759</v>
      </c>
      <c r="F447" s="17">
        <f>TeamHero生成!F447</f>
        <v>27818</v>
      </c>
      <c r="G447" s="16" t="str">
        <f>TeamHero生成!AG447</f>
        <v>有效</v>
      </c>
      <c r="H447" s="16">
        <f>TeamHero生成!G447</f>
        <v>3417480</v>
      </c>
      <c r="I447" s="16">
        <f>TeamHero生成!H447</f>
        <v>55548</v>
      </c>
      <c r="J447" s="16">
        <f>TeamHero生成!I447</f>
        <v>29540</v>
      </c>
    </row>
    <row r="448" ht="14.25" customHeight="1" spans="1:10">
      <c r="A448" s="16">
        <f>TeamHero生成!A448</f>
        <v>444</v>
      </c>
      <c r="B448" s="16">
        <f>TeamHero生成!B448</f>
        <v>1006</v>
      </c>
      <c r="C448" s="16">
        <f>TeamHero生成!C448</f>
        <v>54</v>
      </c>
      <c r="D448" s="17">
        <f>TeamHero生成!D448</f>
        <v>1579682</v>
      </c>
      <c r="E448" s="17">
        <f>TeamHero生成!E448</f>
        <v>34759</v>
      </c>
      <c r="F448" s="17">
        <f>TeamHero生成!F448</f>
        <v>27818</v>
      </c>
      <c r="G448" s="16" t="str">
        <f>TeamHero生成!AG448</f>
        <v>有效</v>
      </c>
      <c r="H448" s="16">
        <f>TeamHero生成!G448</f>
        <v>3417480</v>
      </c>
      <c r="I448" s="16">
        <f>TeamHero生成!H448</f>
        <v>55548</v>
      </c>
      <c r="J448" s="16">
        <f>TeamHero生成!I448</f>
        <v>29540</v>
      </c>
    </row>
    <row r="449" ht="14.25" customHeight="1" spans="1:10">
      <c r="A449" s="16">
        <f>TeamHero生成!A449</f>
        <v>445</v>
      </c>
      <c r="B449" s="16">
        <f>TeamHero生成!B449</f>
        <v>1011</v>
      </c>
      <c r="C449" s="16">
        <f>TeamHero生成!C449</f>
        <v>54</v>
      </c>
      <c r="D449" s="17">
        <f>TeamHero生成!D449</f>
        <v>1974602</v>
      </c>
      <c r="E449" s="17">
        <f>TeamHero生成!E449</f>
        <v>28966</v>
      </c>
      <c r="F449" s="17">
        <f>TeamHero生成!F449</f>
        <v>34773</v>
      </c>
      <c r="G449" s="16" t="str">
        <f>TeamHero生成!AG449</f>
        <v>有效</v>
      </c>
      <c r="H449" s="16">
        <f>TeamHero生成!G449</f>
        <v>4271850</v>
      </c>
      <c r="I449" s="16">
        <f>TeamHero生成!H449</f>
        <v>46290</v>
      </c>
      <c r="J449" s="16">
        <f>TeamHero生成!I449</f>
        <v>36925</v>
      </c>
    </row>
    <row r="450" ht="14.25" customHeight="1" spans="1:10">
      <c r="A450" s="16">
        <f>TeamHero生成!A450</f>
        <v>446</v>
      </c>
      <c r="B450" s="16">
        <f>TeamHero生成!B450</f>
        <v>1004</v>
      </c>
      <c r="C450" s="16">
        <f>TeamHero生成!C450</f>
        <v>55</v>
      </c>
      <c r="D450" s="17">
        <f>TeamHero生成!D450</f>
        <v>2417174</v>
      </c>
      <c r="E450" s="17">
        <f>TeamHero生成!E450</f>
        <v>29407</v>
      </c>
      <c r="F450" s="17">
        <f>TeamHero生成!F450</f>
        <v>41928</v>
      </c>
      <c r="G450" s="16" t="str">
        <f>TeamHero生成!AG450</f>
        <v>有效</v>
      </c>
      <c r="H450" s="16">
        <f>TeamHero生成!G450</f>
        <v>5285275</v>
      </c>
      <c r="I450" s="16">
        <f>TeamHero生成!H450</f>
        <v>47477</v>
      </c>
      <c r="J450" s="16">
        <f>TeamHero生成!I450</f>
        <v>44989</v>
      </c>
    </row>
    <row r="451" ht="14.25" customHeight="1" spans="1:10">
      <c r="A451" s="16">
        <f>TeamHero生成!A451</f>
        <v>447</v>
      </c>
      <c r="B451" s="16">
        <f>TeamHero生成!B451</f>
        <v>1005</v>
      </c>
      <c r="C451" s="16">
        <f>TeamHero生成!C451</f>
        <v>55</v>
      </c>
      <c r="D451" s="17">
        <f>TeamHero生成!D451</f>
        <v>1611449</v>
      </c>
      <c r="E451" s="17">
        <f>TeamHero生成!E451</f>
        <v>35288</v>
      </c>
      <c r="F451" s="17">
        <f>TeamHero生成!F451</f>
        <v>27952</v>
      </c>
      <c r="G451" s="16" t="str">
        <f>TeamHero生成!AG451</f>
        <v>有效</v>
      </c>
      <c r="H451" s="16">
        <f>TeamHero生成!G451</f>
        <v>3523516</v>
      </c>
      <c r="I451" s="16">
        <f>TeamHero生成!H451</f>
        <v>56972</v>
      </c>
      <c r="J451" s="16">
        <f>TeamHero生成!I451</f>
        <v>29992</v>
      </c>
    </row>
    <row r="452" ht="14.25" customHeight="1" spans="1:10">
      <c r="A452" s="16">
        <f>TeamHero生成!A452</f>
        <v>448</v>
      </c>
      <c r="B452" s="16">
        <f>TeamHero生成!B452</f>
        <v>1005</v>
      </c>
      <c r="C452" s="16">
        <f>TeamHero生成!C452</f>
        <v>55</v>
      </c>
      <c r="D452" s="17">
        <f>TeamHero生成!D452</f>
        <v>1611449</v>
      </c>
      <c r="E452" s="17">
        <f>TeamHero生成!E452</f>
        <v>35288</v>
      </c>
      <c r="F452" s="17">
        <f>TeamHero生成!F452</f>
        <v>27952</v>
      </c>
      <c r="G452" s="16" t="str">
        <f>TeamHero生成!AG452</f>
        <v>有效</v>
      </c>
      <c r="H452" s="16">
        <f>TeamHero生成!G452</f>
        <v>3523516</v>
      </c>
      <c r="I452" s="16">
        <f>TeamHero生成!H452</f>
        <v>56972</v>
      </c>
      <c r="J452" s="16">
        <f>TeamHero生成!I452</f>
        <v>29992</v>
      </c>
    </row>
    <row r="453" ht="14.25" customHeight="1" spans="1:10">
      <c r="A453" s="16">
        <f>TeamHero生成!A453</f>
        <v>449</v>
      </c>
      <c r="B453" s="16">
        <f>TeamHero生成!B453</f>
        <v>1029</v>
      </c>
      <c r="C453" s="16">
        <f>TeamHero生成!C453</f>
        <v>55</v>
      </c>
      <c r="D453" s="17">
        <f>TeamHero生成!D453</f>
        <v>2014312</v>
      </c>
      <c r="E453" s="17">
        <f>TeamHero生成!E453</f>
        <v>29407</v>
      </c>
      <c r="F453" s="17">
        <f>TeamHero生成!F453</f>
        <v>34940</v>
      </c>
      <c r="G453" s="16" t="str">
        <f>TeamHero生成!AG453</f>
        <v>有效</v>
      </c>
      <c r="H453" s="16">
        <f>TeamHero生成!G453</f>
        <v>4404396</v>
      </c>
      <c r="I453" s="16">
        <f>TeamHero生成!H453</f>
        <v>47477</v>
      </c>
      <c r="J453" s="16">
        <f>TeamHero生成!I453</f>
        <v>37491</v>
      </c>
    </row>
    <row r="454" ht="14.25" customHeight="1" spans="1:10">
      <c r="A454" s="16">
        <f>TeamHero生成!A454</f>
        <v>450</v>
      </c>
      <c r="B454" s="16">
        <f>TeamHero生成!B454</f>
        <v>1007</v>
      </c>
      <c r="C454" s="16">
        <f>TeamHero生成!C454</f>
        <v>55</v>
      </c>
      <c r="D454" s="17">
        <f>TeamHero生成!D454</f>
        <v>2014312</v>
      </c>
      <c r="E454" s="17">
        <f>TeamHero生成!E454</f>
        <v>29407</v>
      </c>
      <c r="F454" s="17">
        <f>TeamHero生成!F454</f>
        <v>34940</v>
      </c>
      <c r="G454" s="16" t="str">
        <f>TeamHero生成!AG454</f>
        <v>有效</v>
      </c>
      <c r="H454" s="16">
        <f>TeamHero生成!G454</f>
        <v>4404396</v>
      </c>
      <c r="I454" s="16">
        <f>TeamHero生成!H454</f>
        <v>47477</v>
      </c>
      <c r="J454" s="16">
        <f>TeamHero生成!I454</f>
        <v>37491</v>
      </c>
    </row>
    <row r="455" ht="14.25" customHeight="1" spans="1:10">
      <c r="A455" s="16">
        <f>TeamHero生成!A455</f>
        <v>451</v>
      </c>
      <c r="B455" s="16">
        <f>TeamHero生成!B455</f>
        <v>1003</v>
      </c>
      <c r="C455" s="16">
        <f>TeamHero生成!C455</f>
        <v>55</v>
      </c>
      <c r="D455" s="17">
        <f>TeamHero生成!D455</f>
        <v>2437024</v>
      </c>
      <c r="E455" s="17">
        <f>TeamHero生成!E455</f>
        <v>29653</v>
      </c>
      <c r="F455" s="17">
        <f>TeamHero生成!F455</f>
        <v>42131</v>
      </c>
      <c r="G455" s="16" t="str">
        <f>TeamHero生成!AG455</f>
        <v>有效</v>
      </c>
      <c r="H455" s="16">
        <f>TeamHero生成!G455</f>
        <v>5448031</v>
      </c>
      <c r="I455" s="16">
        <f>TeamHero生成!H455</f>
        <v>48692</v>
      </c>
      <c r="J455" s="16">
        <f>TeamHero生成!I455</f>
        <v>45673</v>
      </c>
    </row>
    <row r="456" ht="14.25" customHeight="1" spans="1:10">
      <c r="A456" s="16">
        <f>TeamHero生成!A456</f>
        <v>452</v>
      </c>
      <c r="B456" s="16">
        <f>TeamHero生成!B456</f>
        <v>1007</v>
      </c>
      <c r="C456" s="16">
        <f>TeamHero生成!C456</f>
        <v>55</v>
      </c>
      <c r="D456" s="17">
        <f>TeamHero生成!D456</f>
        <v>2030853</v>
      </c>
      <c r="E456" s="17">
        <f>TeamHero生成!E456</f>
        <v>29653</v>
      </c>
      <c r="F456" s="17">
        <f>TeamHero生成!F456</f>
        <v>35109</v>
      </c>
      <c r="G456" s="16" t="str">
        <f>TeamHero生成!AG456</f>
        <v>有效</v>
      </c>
      <c r="H456" s="16">
        <f>TeamHero生成!G456</f>
        <v>4540026</v>
      </c>
      <c r="I456" s="16">
        <f>TeamHero生成!H456</f>
        <v>48692</v>
      </c>
      <c r="J456" s="16">
        <f>TeamHero生成!I456</f>
        <v>38061</v>
      </c>
    </row>
    <row r="457" ht="14.25" customHeight="1" spans="1:10">
      <c r="A457" s="16">
        <f>TeamHero生成!A457</f>
        <v>453</v>
      </c>
      <c r="B457" s="16">
        <f>TeamHero生成!B457</f>
        <v>1006</v>
      </c>
      <c r="C457" s="16">
        <f>TeamHero生成!C457</f>
        <v>55</v>
      </c>
      <c r="D457" s="17">
        <f>TeamHero生成!D457</f>
        <v>1624682</v>
      </c>
      <c r="E457" s="17">
        <f>TeamHero生成!E457</f>
        <v>35583</v>
      </c>
      <c r="F457" s="17">
        <f>TeamHero生成!F457</f>
        <v>28087</v>
      </c>
      <c r="G457" s="16" t="str">
        <f>TeamHero生成!AG457</f>
        <v>有效</v>
      </c>
      <c r="H457" s="16">
        <f>TeamHero生成!G457</f>
        <v>3632020</v>
      </c>
      <c r="I457" s="16">
        <f>TeamHero生成!H457</f>
        <v>58430</v>
      </c>
      <c r="J457" s="16">
        <f>TeamHero生成!I457</f>
        <v>30448</v>
      </c>
    </row>
    <row r="458" ht="14.25" customHeight="1" spans="1:10">
      <c r="A458" s="16">
        <f>TeamHero生成!A458</f>
        <v>454</v>
      </c>
      <c r="B458" s="16">
        <f>TeamHero生成!B458</f>
        <v>1017</v>
      </c>
      <c r="C458" s="16">
        <f>TeamHero生成!C458</f>
        <v>55</v>
      </c>
      <c r="D458" s="17">
        <f>TeamHero生成!D458</f>
        <v>1624682</v>
      </c>
      <c r="E458" s="17">
        <f>TeamHero生成!E458</f>
        <v>35583</v>
      </c>
      <c r="F458" s="17">
        <f>TeamHero生成!F458</f>
        <v>28087</v>
      </c>
      <c r="G458" s="16" t="str">
        <f>TeamHero生成!AG458</f>
        <v>有效</v>
      </c>
      <c r="H458" s="16">
        <f>TeamHero生成!G458</f>
        <v>3632020</v>
      </c>
      <c r="I458" s="16">
        <f>TeamHero生成!H458</f>
        <v>58430</v>
      </c>
      <c r="J458" s="16">
        <f>TeamHero生成!I458</f>
        <v>30448</v>
      </c>
    </row>
    <row r="459" ht="14.25" customHeight="1" spans="1:10">
      <c r="A459" s="16">
        <f>TeamHero生成!A459</f>
        <v>455</v>
      </c>
      <c r="B459" s="16">
        <f>TeamHero生成!B459</f>
        <v>1013</v>
      </c>
      <c r="C459" s="16">
        <f>TeamHero生成!C459</f>
        <v>55</v>
      </c>
      <c r="D459" s="17">
        <f>TeamHero生成!D459</f>
        <v>1624682</v>
      </c>
      <c r="E459" s="17">
        <f>TeamHero生成!E459</f>
        <v>35583</v>
      </c>
      <c r="F459" s="17">
        <f>TeamHero生成!F459</f>
        <v>28087</v>
      </c>
      <c r="G459" s="16" t="str">
        <f>TeamHero生成!AG459</f>
        <v>有效</v>
      </c>
      <c r="H459" s="16">
        <f>TeamHero生成!G459</f>
        <v>3632020</v>
      </c>
      <c r="I459" s="16">
        <f>TeamHero生成!H459</f>
        <v>58430</v>
      </c>
      <c r="J459" s="16">
        <f>TeamHero生成!I459</f>
        <v>30448</v>
      </c>
    </row>
    <row r="460" ht="14.25" customHeight="1" spans="1:10">
      <c r="A460" s="16">
        <f>TeamHero生成!A460</f>
        <v>456</v>
      </c>
      <c r="B460" s="16">
        <f>TeamHero生成!B460</f>
        <v>1004</v>
      </c>
      <c r="C460" s="16">
        <f>TeamHero生成!C460</f>
        <v>56</v>
      </c>
      <c r="D460" s="17">
        <f>TeamHero生成!D460</f>
        <v>2452155</v>
      </c>
      <c r="E460" s="17">
        <f>TeamHero生成!E460</f>
        <v>29838</v>
      </c>
      <c r="F460" s="17">
        <f>TeamHero生成!F460</f>
        <v>42333</v>
      </c>
      <c r="G460" s="16" t="str">
        <f>TeamHero生成!AG460</f>
        <v>有效</v>
      </c>
      <c r="H460" s="16">
        <f>TeamHero生成!G460</f>
        <v>5614552</v>
      </c>
      <c r="I460" s="16">
        <f>TeamHero生成!H460</f>
        <v>49938</v>
      </c>
      <c r="J460" s="16">
        <f>TeamHero生成!I460</f>
        <v>46360</v>
      </c>
    </row>
    <row r="461" ht="14.25" customHeight="1" spans="1:10">
      <c r="A461" s="16">
        <f>TeamHero生成!A461</f>
        <v>457</v>
      </c>
      <c r="B461" s="16">
        <f>TeamHero生成!B461</f>
        <v>1013</v>
      </c>
      <c r="C461" s="16">
        <f>TeamHero生成!C461</f>
        <v>56</v>
      </c>
      <c r="D461" s="17">
        <f>TeamHero生成!D461</f>
        <v>1634770</v>
      </c>
      <c r="E461" s="17">
        <f>TeamHero生成!E461</f>
        <v>35806</v>
      </c>
      <c r="F461" s="17">
        <f>TeamHero生成!F461</f>
        <v>28222</v>
      </c>
      <c r="G461" s="16" t="str">
        <f>TeamHero生成!AG461</f>
        <v>有效</v>
      </c>
      <c r="H461" s="16">
        <f>TeamHero生成!G461</f>
        <v>3743035</v>
      </c>
      <c r="I461" s="16">
        <f>TeamHero生成!H461</f>
        <v>59925</v>
      </c>
      <c r="J461" s="16">
        <f>TeamHero生成!I461</f>
        <v>30907</v>
      </c>
    </row>
    <row r="462" ht="14.25" customHeight="1" spans="1:10">
      <c r="A462" s="16">
        <f>TeamHero生成!A462</f>
        <v>458</v>
      </c>
      <c r="B462" s="16">
        <f>TeamHero生成!B462</f>
        <v>1007</v>
      </c>
      <c r="C462" s="16">
        <f>TeamHero生成!C462</f>
        <v>56</v>
      </c>
      <c r="D462" s="17">
        <f>TeamHero生成!D462</f>
        <v>2043462</v>
      </c>
      <c r="E462" s="17">
        <f>TeamHero生成!E462</f>
        <v>29838</v>
      </c>
      <c r="F462" s="17">
        <f>TeamHero生成!F462</f>
        <v>35278</v>
      </c>
      <c r="G462" s="16" t="str">
        <f>TeamHero生成!AG462</f>
        <v>有效</v>
      </c>
      <c r="H462" s="16">
        <f>TeamHero生成!G462</f>
        <v>4678794</v>
      </c>
      <c r="I462" s="16">
        <f>TeamHero生成!H462</f>
        <v>49938</v>
      </c>
      <c r="J462" s="16">
        <f>TeamHero生成!I462</f>
        <v>38634</v>
      </c>
    </row>
    <row r="463" ht="14.25" customHeight="1" spans="1:10">
      <c r="A463" s="16">
        <f>TeamHero生成!A463</f>
        <v>459</v>
      </c>
      <c r="B463" s="16">
        <f>TeamHero生成!B463</f>
        <v>1005</v>
      </c>
      <c r="C463" s="16">
        <f>TeamHero生成!C463</f>
        <v>56</v>
      </c>
      <c r="D463" s="17">
        <f>TeamHero生成!D463</f>
        <v>1634770</v>
      </c>
      <c r="E463" s="17">
        <f>TeamHero生成!E463</f>
        <v>35806</v>
      </c>
      <c r="F463" s="17">
        <f>TeamHero生成!F463</f>
        <v>28222</v>
      </c>
      <c r="G463" s="16" t="str">
        <f>TeamHero生成!AG463</f>
        <v>有效</v>
      </c>
      <c r="H463" s="16">
        <f>TeamHero生成!G463</f>
        <v>3743035</v>
      </c>
      <c r="I463" s="16">
        <f>TeamHero生成!H463</f>
        <v>59925</v>
      </c>
      <c r="J463" s="16">
        <f>TeamHero生成!I463</f>
        <v>30907</v>
      </c>
    </row>
    <row r="464" ht="14.25" customHeight="1" spans="1:10">
      <c r="A464" s="16">
        <f>TeamHero生成!A464</f>
        <v>460</v>
      </c>
      <c r="B464" s="16">
        <f>TeamHero生成!B464</f>
        <v>1013</v>
      </c>
      <c r="C464" s="16">
        <f>TeamHero生成!C464</f>
        <v>56</v>
      </c>
      <c r="D464" s="17">
        <f>TeamHero生成!D464</f>
        <v>1634770</v>
      </c>
      <c r="E464" s="17">
        <f>TeamHero生成!E464</f>
        <v>35806</v>
      </c>
      <c r="F464" s="17">
        <f>TeamHero生成!F464</f>
        <v>28222</v>
      </c>
      <c r="G464" s="16" t="str">
        <f>TeamHero生成!AG464</f>
        <v>有效</v>
      </c>
      <c r="H464" s="16">
        <f>TeamHero生成!G464</f>
        <v>3743035</v>
      </c>
      <c r="I464" s="16">
        <f>TeamHero生成!H464</f>
        <v>59925</v>
      </c>
      <c r="J464" s="16">
        <f>TeamHero生成!I464</f>
        <v>30907</v>
      </c>
    </row>
    <row r="465" ht="14.25" customHeight="1" spans="1:10">
      <c r="A465" s="16">
        <f>TeamHero生成!A465</f>
        <v>461</v>
      </c>
      <c r="B465" s="16">
        <f>TeamHero生成!B465</f>
        <v>1004</v>
      </c>
      <c r="C465" s="16">
        <f>TeamHero生成!C465</f>
        <v>56</v>
      </c>
      <c r="D465" s="17">
        <f>TeamHero生成!D465</f>
        <v>2495233</v>
      </c>
      <c r="E465" s="17">
        <f>TeamHero生成!E465</f>
        <v>30303</v>
      </c>
      <c r="F465" s="17">
        <f>TeamHero生成!F465</f>
        <v>42740</v>
      </c>
      <c r="G465" s="16" t="str">
        <f>TeamHero生成!AG465</f>
        <v>有效</v>
      </c>
      <c r="H465" s="16">
        <f>TeamHero生成!G465</f>
        <v>5784912</v>
      </c>
      <c r="I465" s="16">
        <f>TeamHero生成!H465</f>
        <v>51214</v>
      </c>
      <c r="J465" s="16">
        <f>TeamHero生成!I465</f>
        <v>47054</v>
      </c>
    </row>
    <row r="466" ht="14.25" customHeight="1" spans="1:10">
      <c r="A466" s="16">
        <f>TeamHero生成!A466</f>
        <v>462</v>
      </c>
      <c r="B466" s="16">
        <f>TeamHero生成!B466</f>
        <v>1006</v>
      </c>
      <c r="C466" s="16">
        <f>TeamHero生成!C466</f>
        <v>56</v>
      </c>
      <c r="D466" s="17">
        <f>TeamHero生成!D466</f>
        <v>1663489</v>
      </c>
      <c r="E466" s="17">
        <f>TeamHero生成!E466</f>
        <v>36363</v>
      </c>
      <c r="F466" s="17">
        <f>TeamHero生成!F466</f>
        <v>28493</v>
      </c>
      <c r="G466" s="16" t="str">
        <f>TeamHero生成!AG466</f>
        <v>有效</v>
      </c>
      <c r="H466" s="16">
        <f>TeamHero生成!G466</f>
        <v>3856608</v>
      </c>
      <c r="I466" s="16">
        <f>TeamHero生成!H466</f>
        <v>61456</v>
      </c>
      <c r="J466" s="16">
        <f>TeamHero生成!I466</f>
        <v>31369</v>
      </c>
    </row>
    <row r="467" ht="14.25" customHeight="1" spans="1:10">
      <c r="A467" s="16">
        <f>TeamHero生成!A467</f>
        <v>463</v>
      </c>
      <c r="B467" s="16">
        <f>TeamHero生成!B467</f>
        <v>1017</v>
      </c>
      <c r="C467" s="16">
        <f>TeamHero生成!C467</f>
        <v>56</v>
      </c>
      <c r="D467" s="17">
        <f>TeamHero生成!D467</f>
        <v>1663489</v>
      </c>
      <c r="E467" s="17">
        <f>TeamHero生成!E467</f>
        <v>36363</v>
      </c>
      <c r="F467" s="17">
        <f>TeamHero生成!F467</f>
        <v>28493</v>
      </c>
      <c r="G467" s="16" t="str">
        <f>TeamHero生成!AG467</f>
        <v>有效</v>
      </c>
      <c r="H467" s="16">
        <f>TeamHero生成!G467</f>
        <v>3856608</v>
      </c>
      <c r="I467" s="16">
        <f>TeamHero生成!H467</f>
        <v>61456</v>
      </c>
      <c r="J467" s="16">
        <f>TeamHero生成!I467</f>
        <v>31369</v>
      </c>
    </row>
    <row r="468" ht="14.25" customHeight="1" spans="1:10">
      <c r="A468" s="16">
        <f>TeamHero生成!A468</f>
        <v>464</v>
      </c>
      <c r="B468" s="16">
        <f>TeamHero生成!B468</f>
        <v>1007</v>
      </c>
      <c r="C468" s="16">
        <f>TeamHero生成!C468</f>
        <v>56</v>
      </c>
      <c r="D468" s="17">
        <f>TeamHero生成!D468</f>
        <v>2079361</v>
      </c>
      <c r="E468" s="17">
        <f>TeamHero生成!E468</f>
        <v>30303</v>
      </c>
      <c r="F468" s="17">
        <f>TeamHero生成!F468</f>
        <v>35616</v>
      </c>
      <c r="G468" s="16" t="str">
        <f>TeamHero生成!AG468</f>
        <v>有效</v>
      </c>
      <c r="H468" s="16">
        <f>TeamHero生成!G468</f>
        <v>4820760</v>
      </c>
      <c r="I468" s="16">
        <f>TeamHero生成!H468</f>
        <v>51214</v>
      </c>
      <c r="J468" s="16">
        <f>TeamHero生成!I468</f>
        <v>39212</v>
      </c>
    </row>
    <row r="469" ht="14.25" customHeight="1" spans="1:10">
      <c r="A469" s="16">
        <f>TeamHero生成!A469</f>
        <v>465</v>
      </c>
      <c r="B469" s="16">
        <f>TeamHero生成!B469</f>
        <v>1013</v>
      </c>
      <c r="C469" s="16">
        <f>TeamHero生成!C469</f>
        <v>56</v>
      </c>
      <c r="D469" s="17">
        <f>TeamHero生成!D469</f>
        <v>1663489</v>
      </c>
      <c r="E469" s="17">
        <f>TeamHero生成!E469</f>
        <v>36363</v>
      </c>
      <c r="F469" s="17">
        <f>TeamHero生成!F469</f>
        <v>28493</v>
      </c>
      <c r="G469" s="16" t="str">
        <f>TeamHero生成!AG469</f>
        <v>有效</v>
      </c>
      <c r="H469" s="16">
        <f>TeamHero生成!G469</f>
        <v>3856608</v>
      </c>
      <c r="I469" s="16">
        <f>TeamHero生成!H469</f>
        <v>61456</v>
      </c>
      <c r="J469" s="16">
        <f>TeamHero生成!I469</f>
        <v>31369</v>
      </c>
    </row>
    <row r="470" ht="14.25" customHeight="1" spans="1:10">
      <c r="A470" s="16">
        <f>TeamHero生成!A470</f>
        <v>466</v>
      </c>
      <c r="B470" s="16">
        <f>TeamHero生成!B470</f>
        <v>1004</v>
      </c>
      <c r="C470" s="16">
        <f>TeamHero生成!C470</f>
        <v>57</v>
      </c>
      <c r="D470" s="17">
        <f>TeamHero生成!D470</f>
        <v>2517976</v>
      </c>
      <c r="E470" s="17">
        <f>TeamHero生成!E470</f>
        <v>30567</v>
      </c>
      <c r="F470" s="17">
        <f>TeamHero生成!F470</f>
        <v>42944</v>
      </c>
      <c r="G470" s="16" t="str">
        <f>TeamHero生成!AG470</f>
        <v>有效</v>
      </c>
      <c r="H470" s="16">
        <f>TeamHero生成!G470</f>
        <v>5959159</v>
      </c>
      <c r="I470" s="16">
        <f>TeamHero生成!H470</f>
        <v>52520</v>
      </c>
      <c r="J470" s="16">
        <f>TeamHero生成!I470</f>
        <v>47750</v>
      </c>
    </row>
    <row r="471" ht="14.25" customHeight="1" spans="1:10">
      <c r="A471" s="16">
        <f>TeamHero生成!A471</f>
        <v>467</v>
      </c>
      <c r="B471" s="16">
        <f>TeamHero生成!B471</f>
        <v>1008</v>
      </c>
      <c r="C471" s="16">
        <f>TeamHero生成!C471</f>
        <v>57</v>
      </c>
      <c r="D471" s="17">
        <f>TeamHero生成!D471</f>
        <v>1678651</v>
      </c>
      <c r="E471" s="17">
        <f>TeamHero生成!E471</f>
        <v>36681</v>
      </c>
      <c r="F471" s="17">
        <f>TeamHero生成!F471</f>
        <v>28629</v>
      </c>
      <c r="G471" s="16" t="str">
        <f>TeamHero生成!AG471</f>
        <v>有效</v>
      </c>
      <c r="H471" s="16">
        <f>TeamHero生成!G471</f>
        <v>3972772</v>
      </c>
      <c r="I471" s="16">
        <f>TeamHero生成!H471</f>
        <v>63024</v>
      </c>
      <c r="J471" s="16">
        <f>TeamHero生成!I471</f>
        <v>31833</v>
      </c>
    </row>
    <row r="472" ht="14.25" customHeight="1" spans="1:10">
      <c r="A472" s="16">
        <f>TeamHero生成!A472</f>
        <v>468</v>
      </c>
      <c r="B472" s="16">
        <f>TeamHero生成!B472</f>
        <v>1006</v>
      </c>
      <c r="C472" s="16">
        <f>TeamHero生成!C472</f>
        <v>57</v>
      </c>
      <c r="D472" s="17">
        <f>TeamHero生成!D472</f>
        <v>1678651</v>
      </c>
      <c r="E472" s="17">
        <f>TeamHero生成!E472</f>
        <v>36681</v>
      </c>
      <c r="F472" s="17">
        <f>TeamHero生成!F472</f>
        <v>28629</v>
      </c>
      <c r="G472" s="16" t="str">
        <f>TeamHero生成!AG472</f>
        <v>有效</v>
      </c>
      <c r="H472" s="16">
        <f>TeamHero生成!G472</f>
        <v>3972772</v>
      </c>
      <c r="I472" s="16">
        <f>TeamHero生成!H472</f>
        <v>63024</v>
      </c>
      <c r="J472" s="16">
        <f>TeamHero生成!I472</f>
        <v>31833</v>
      </c>
    </row>
    <row r="473" ht="14.25" customHeight="1" spans="1:10">
      <c r="A473" s="16">
        <f>TeamHero生成!A473</f>
        <v>469</v>
      </c>
      <c r="B473" s="16">
        <f>TeamHero生成!B473</f>
        <v>1005</v>
      </c>
      <c r="C473" s="16">
        <f>TeamHero生成!C473</f>
        <v>57</v>
      </c>
      <c r="D473" s="17">
        <f>TeamHero生成!D473</f>
        <v>1678651</v>
      </c>
      <c r="E473" s="17">
        <f>TeamHero生成!E473</f>
        <v>36681</v>
      </c>
      <c r="F473" s="17">
        <f>TeamHero生成!F473</f>
        <v>28629</v>
      </c>
      <c r="G473" s="16" t="str">
        <f>TeamHero生成!AG473</f>
        <v>有效</v>
      </c>
      <c r="H473" s="16">
        <f>TeamHero生成!G473</f>
        <v>3972772</v>
      </c>
      <c r="I473" s="16">
        <f>TeamHero生成!H473</f>
        <v>63024</v>
      </c>
      <c r="J473" s="16">
        <f>TeamHero生成!I473</f>
        <v>31833</v>
      </c>
    </row>
    <row r="474" ht="14.25" customHeight="1" spans="1:10">
      <c r="A474" s="16">
        <f>TeamHero生成!A474</f>
        <v>470</v>
      </c>
      <c r="B474" s="16">
        <f>TeamHero生成!B474</f>
        <v>1007</v>
      </c>
      <c r="C474" s="16">
        <f>TeamHero生成!C474</f>
        <v>57</v>
      </c>
      <c r="D474" s="17">
        <f>TeamHero生成!D474</f>
        <v>2098314</v>
      </c>
      <c r="E474" s="17">
        <f>TeamHero生成!E474</f>
        <v>30567</v>
      </c>
      <c r="F474" s="17">
        <f>TeamHero生成!F474</f>
        <v>35786</v>
      </c>
      <c r="G474" s="16" t="str">
        <f>TeamHero生成!AG474</f>
        <v>有效</v>
      </c>
      <c r="H474" s="16">
        <f>TeamHero生成!G474</f>
        <v>4965966</v>
      </c>
      <c r="I474" s="16">
        <f>TeamHero生成!H474</f>
        <v>52520</v>
      </c>
      <c r="J474" s="16">
        <f>TeamHero生成!I474</f>
        <v>39792</v>
      </c>
    </row>
    <row r="475" ht="14.25" customHeight="1" spans="1:10">
      <c r="A475" s="16">
        <f>TeamHero生成!A475</f>
        <v>471</v>
      </c>
      <c r="B475" s="16">
        <f>TeamHero生成!B475</f>
        <v>1003</v>
      </c>
      <c r="C475" s="16">
        <f>TeamHero生成!C475</f>
        <v>57</v>
      </c>
      <c r="D475" s="17">
        <f>TeamHero生成!D475</f>
        <v>2541395</v>
      </c>
      <c r="E475" s="17">
        <f>TeamHero生成!E475</f>
        <v>30836</v>
      </c>
      <c r="F475" s="17">
        <f>TeamHero生成!F475</f>
        <v>43148</v>
      </c>
      <c r="G475" s="16" t="str">
        <f>TeamHero生成!AG475</f>
        <v>有效</v>
      </c>
      <c r="H475" s="16">
        <f>TeamHero生成!G475</f>
        <v>6137373</v>
      </c>
      <c r="I475" s="16">
        <f>TeamHero生成!H475</f>
        <v>53860</v>
      </c>
      <c r="J475" s="16">
        <f>TeamHero生成!I475</f>
        <v>48452</v>
      </c>
    </row>
    <row r="476" ht="14.25" customHeight="1" spans="1:10">
      <c r="A476" s="16">
        <f>TeamHero生成!A476</f>
        <v>472</v>
      </c>
      <c r="B476" s="16">
        <f>TeamHero生成!B476</f>
        <v>1017</v>
      </c>
      <c r="C476" s="16">
        <f>TeamHero生成!C476</f>
        <v>57</v>
      </c>
      <c r="D476" s="17">
        <f>TeamHero生成!D476</f>
        <v>1694263</v>
      </c>
      <c r="E476" s="17">
        <f>TeamHero生成!E476</f>
        <v>37003</v>
      </c>
      <c r="F476" s="17">
        <f>TeamHero生成!F476</f>
        <v>28765</v>
      </c>
      <c r="G476" s="16" t="str">
        <f>TeamHero生成!AG476</f>
        <v>有效</v>
      </c>
      <c r="H476" s="16">
        <f>TeamHero生成!G476</f>
        <v>4091582</v>
      </c>
      <c r="I476" s="16">
        <f>TeamHero生成!H476</f>
        <v>64632</v>
      </c>
      <c r="J476" s="16">
        <f>TeamHero生成!I476</f>
        <v>32301</v>
      </c>
    </row>
    <row r="477" ht="14.25" customHeight="1" spans="1:10">
      <c r="A477" s="16">
        <f>TeamHero生成!A477</f>
        <v>473</v>
      </c>
      <c r="B477" s="16">
        <f>TeamHero生成!B477</f>
        <v>1017</v>
      </c>
      <c r="C477" s="16">
        <f>TeamHero生成!C477</f>
        <v>57</v>
      </c>
      <c r="D477" s="17">
        <f>TeamHero生成!D477</f>
        <v>1694263</v>
      </c>
      <c r="E477" s="17">
        <f>TeamHero生成!E477</f>
        <v>37003</v>
      </c>
      <c r="F477" s="17">
        <f>TeamHero生成!F477</f>
        <v>28765</v>
      </c>
      <c r="G477" s="16" t="str">
        <f>TeamHero生成!AG477</f>
        <v>有效</v>
      </c>
      <c r="H477" s="16">
        <f>TeamHero生成!G477</f>
        <v>4091582</v>
      </c>
      <c r="I477" s="16">
        <f>TeamHero生成!H477</f>
        <v>64632</v>
      </c>
      <c r="J477" s="16">
        <f>TeamHero生成!I477</f>
        <v>32301</v>
      </c>
    </row>
    <row r="478" ht="14.25" customHeight="1" spans="1:10">
      <c r="A478" s="16">
        <f>TeamHero生成!A478</f>
        <v>474</v>
      </c>
      <c r="B478" s="16">
        <f>TeamHero生成!B478</f>
        <v>1017</v>
      </c>
      <c r="C478" s="16">
        <f>TeamHero生成!C478</f>
        <v>57</v>
      </c>
      <c r="D478" s="17">
        <f>TeamHero生成!D478</f>
        <v>1694263</v>
      </c>
      <c r="E478" s="17">
        <f>TeamHero生成!E478</f>
        <v>37003</v>
      </c>
      <c r="F478" s="17">
        <f>TeamHero生成!F478</f>
        <v>28765</v>
      </c>
      <c r="G478" s="16" t="str">
        <f>TeamHero生成!AG478</f>
        <v>有效</v>
      </c>
      <c r="H478" s="16">
        <f>TeamHero生成!G478</f>
        <v>4091582</v>
      </c>
      <c r="I478" s="16">
        <f>TeamHero生成!H478</f>
        <v>64632</v>
      </c>
      <c r="J478" s="16">
        <f>TeamHero生成!I478</f>
        <v>32301</v>
      </c>
    </row>
    <row r="479" ht="14.25" customHeight="1" spans="1:10">
      <c r="A479" s="16">
        <f>TeamHero生成!A479</f>
        <v>475</v>
      </c>
      <c r="B479" s="16">
        <f>TeamHero生成!B479</f>
        <v>1007</v>
      </c>
      <c r="C479" s="16">
        <f>TeamHero生成!C479</f>
        <v>57</v>
      </c>
      <c r="D479" s="17">
        <f>TeamHero生成!D479</f>
        <v>2117829</v>
      </c>
      <c r="E479" s="17">
        <f>TeamHero生成!E479</f>
        <v>30836</v>
      </c>
      <c r="F479" s="17">
        <f>TeamHero生成!F479</f>
        <v>35956</v>
      </c>
      <c r="G479" s="16" t="str">
        <f>TeamHero生成!AG479</f>
        <v>有效</v>
      </c>
      <c r="H479" s="16">
        <f>TeamHero生成!G479</f>
        <v>5114478</v>
      </c>
      <c r="I479" s="16">
        <f>TeamHero生成!H479</f>
        <v>53860</v>
      </c>
      <c r="J479" s="16">
        <f>TeamHero生成!I479</f>
        <v>40377</v>
      </c>
    </row>
    <row r="480" ht="14.25" customHeight="1" spans="1:10">
      <c r="A480" s="16">
        <f>TeamHero生成!A480</f>
        <v>476</v>
      </c>
      <c r="B480" s="16">
        <f>TeamHero生成!B480</f>
        <v>1003</v>
      </c>
      <c r="C480" s="16">
        <f>TeamHero生成!C480</f>
        <v>58</v>
      </c>
      <c r="D480" s="17">
        <f>TeamHero生成!D480</f>
        <v>2564024</v>
      </c>
      <c r="E480" s="17">
        <f>TeamHero生成!E480</f>
        <v>31098</v>
      </c>
      <c r="F480" s="17">
        <f>TeamHero生成!F480</f>
        <v>43352</v>
      </c>
      <c r="G480" s="16" t="str">
        <f>TeamHero生成!AG480</f>
        <v>有效</v>
      </c>
      <c r="H480" s="16">
        <f>TeamHero生成!G480</f>
        <v>6319612</v>
      </c>
      <c r="I480" s="16">
        <f>TeamHero生成!H480</f>
        <v>55231</v>
      </c>
      <c r="J480" s="16">
        <f>TeamHero生成!I480</f>
        <v>49158</v>
      </c>
    </row>
    <row r="481" ht="14.25" customHeight="1" spans="1:10">
      <c r="A481" s="16">
        <f>TeamHero生成!A481</f>
        <v>477</v>
      </c>
      <c r="B481" s="16">
        <f>TeamHero生成!B481</f>
        <v>1017</v>
      </c>
      <c r="C481" s="16">
        <f>TeamHero生成!C481</f>
        <v>58</v>
      </c>
      <c r="D481" s="17">
        <f>TeamHero生成!D481</f>
        <v>1709349</v>
      </c>
      <c r="E481" s="17">
        <f>TeamHero生成!E481</f>
        <v>37318</v>
      </c>
      <c r="F481" s="17">
        <f>TeamHero生成!F481</f>
        <v>28901</v>
      </c>
      <c r="G481" s="16" t="str">
        <f>TeamHero生成!AG481</f>
        <v>有效</v>
      </c>
      <c r="H481" s="16">
        <f>TeamHero生成!G481</f>
        <v>4213075</v>
      </c>
      <c r="I481" s="16">
        <f>TeamHero生成!H481</f>
        <v>66277</v>
      </c>
      <c r="J481" s="16">
        <f>TeamHero生成!I481</f>
        <v>32772</v>
      </c>
    </row>
    <row r="482" ht="14.25" customHeight="1" spans="1:10">
      <c r="A482" s="16">
        <f>TeamHero生成!A482</f>
        <v>478</v>
      </c>
      <c r="B482" s="16">
        <f>TeamHero生成!B482</f>
        <v>1008</v>
      </c>
      <c r="C482" s="16">
        <f>TeamHero生成!C482</f>
        <v>58</v>
      </c>
      <c r="D482" s="17">
        <f>TeamHero生成!D482</f>
        <v>1709349</v>
      </c>
      <c r="E482" s="17">
        <f>TeamHero生成!E482</f>
        <v>37318</v>
      </c>
      <c r="F482" s="17">
        <f>TeamHero生成!F482</f>
        <v>28901</v>
      </c>
      <c r="G482" s="16" t="str">
        <f>TeamHero生成!AG482</f>
        <v>有效</v>
      </c>
      <c r="H482" s="16">
        <f>TeamHero生成!G482</f>
        <v>4213075</v>
      </c>
      <c r="I482" s="16">
        <f>TeamHero生成!H482</f>
        <v>66277</v>
      </c>
      <c r="J482" s="16">
        <f>TeamHero生成!I482</f>
        <v>32772</v>
      </c>
    </row>
    <row r="483" ht="14.25" customHeight="1" spans="1:10">
      <c r="A483" s="16">
        <f>TeamHero生成!A483</f>
        <v>479</v>
      </c>
      <c r="B483" s="16">
        <f>TeamHero生成!B483</f>
        <v>1007</v>
      </c>
      <c r="C483" s="16">
        <f>TeamHero生成!C483</f>
        <v>58</v>
      </c>
      <c r="D483" s="17">
        <f>TeamHero生成!D483</f>
        <v>2136687</v>
      </c>
      <c r="E483" s="17">
        <f>TeamHero生成!E483</f>
        <v>31098</v>
      </c>
      <c r="F483" s="17">
        <f>TeamHero生成!F483</f>
        <v>36126</v>
      </c>
      <c r="G483" s="16" t="str">
        <f>TeamHero生成!AG483</f>
        <v>有效</v>
      </c>
      <c r="H483" s="16">
        <f>TeamHero生成!G483</f>
        <v>5266344</v>
      </c>
      <c r="I483" s="16">
        <f>TeamHero生成!H483</f>
        <v>55231</v>
      </c>
      <c r="J483" s="16">
        <f>TeamHero生成!I483</f>
        <v>40965</v>
      </c>
    </row>
    <row r="484" ht="14.25" customHeight="1" spans="1:10">
      <c r="A484" s="16">
        <f>TeamHero生成!A484</f>
        <v>480</v>
      </c>
      <c r="B484" s="16">
        <f>TeamHero生成!B484</f>
        <v>1005</v>
      </c>
      <c r="C484" s="16">
        <f>TeamHero生成!C484</f>
        <v>58</v>
      </c>
      <c r="D484" s="17">
        <f>TeamHero生成!D484</f>
        <v>1709349</v>
      </c>
      <c r="E484" s="17">
        <f>TeamHero生成!E484</f>
        <v>37318</v>
      </c>
      <c r="F484" s="17">
        <f>TeamHero生成!F484</f>
        <v>28901</v>
      </c>
      <c r="G484" s="16" t="str">
        <f>TeamHero生成!AG484</f>
        <v>有效</v>
      </c>
      <c r="H484" s="16">
        <f>TeamHero生成!G484</f>
        <v>4213075</v>
      </c>
      <c r="I484" s="16">
        <f>TeamHero生成!H484</f>
        <v>66277</v>
      </c>
      <c r="J484" s="16">
        <f>TeamHero生成!I484</f>
        <v>32772</v>
      </c>
    </row>
    <row r="485" ht="14.25" customHeight="1" spans="1:10">
      <c r="A485" s="16">
        <f>TeamHero生成!A485</f>
        <v>481</v>
      </c>
      <c r="B485" s="16">
        <f>TeamHero生成!B485</f>
        <v>1004</v>
      </c>
      <c r="C485" s="16">
        <f>TeamHero生成!C485</f>
        <v>58</v>
      </c>
      <c r="D485" s="17">
        <f>TeamHero生成!D485</f>
        <v>2586965</v>
      </c>
      <c r="E485" s="17">
        <f>TeamHero生成!E485</f>
        <v>31365</v>
      </c>
      <c r="F485" s="17">
        <f>TeamHero生成!F485</f>
        <v>43557</v>
      </c>
      <c r="G485" s="16" t="str">
        <f>TeamHero生成!AG485</f>
        <v>有效</v>
      </c>
      <c r="H485" s="16">
        <f>TeamHero生成!G485</f>
        <v>6505956</v>
      </c>
      <c r="I485" s="16">
        <f>TeamHero生成!H485</f>
        <v>56638</v>
      </c>
      <c r="J485" s="16">
        <f>TeamHero生成!I485</f>
        <v>49868</v>
      </c>
    </row>
    <row r="486" ht="14.25" customHeight="1" spans="1:10">
      <c r="A486" s="16">
        <f>TeamHero生成!A486</f>
        <v>482</v>
      </c>
      <c r="B486" s="16">
        <f>TeamHero生成!B486</f>
        <v>1017</v>
      </c>
      <c r="C486" s="16">
        <f>TeamHero生成!C486</f>
        <v>58</v>
      </c>
      <c r="D486" s="17">
        <f>TeamHero生成!D486</f>
        <v>1724643</v>
      </c>
      <c r="E486" s="17">
        <f>TeamHero生成!E486</f>
        <v>37638</v>
      </c>
      <c r="F486" s="17">
        <f>TeamHero生成!F486</f>
        <v>29038</v>
      </c>
      <c r="G486" s="16" t="str">
        <f>TeamHero生成!AG486</f>
        <v>有效</v>
      </c>
      <c r="H486" s="16">
        <f>TeamHero生成!G486</f>
        <v>4337304</v>
      </c>
      <c r="I486" s="16">
        <f>TeamHero生成!H486</f>
        <v>67965</v>
      </c>
      <c r="J486" s="16">
        <f>TeamHero生成!I486</f>
        <v>33245</v>
      </c>
    </row>
    <row r="487" ht="14.25" customHeight="1" spans="1:10">
      <c r="A487" s="16">
        <f>TeamHero生成!A487</f>
        <v>483</v>
      </c>
      <c r="B487" s="16">
        <f>TeamHero生成!B487</f>
        <v>1007</v>
      </c>
      <c r="C487" s="16">
        <f>TeamHero生成!C487</f>
        <v>58</v>
      </c>
      <c r="D487" s="17">
        <f>TeamHero生成!D487</f>
        <v>2155804</v>
      </c>
      <c r="E487" s="17">
        <f>TeamHero生成!E487</f>
        <v>31365</v>
      </c>
      <c r="F487" s="17">
        <f>TeamHero生成!F487</f>
        <v>36298</v>
      </c>
      <c r="G487" s="16" t="str">
        <f>TeamHero生成!AG487</f>
        <v>有效</v>
      </c>
      <c r="H487" s="16">
        <f>TeamHero生成!G487</f>
        <v>5421630</v>
      </c>
      <c r="I487" s="16">
        <f>TeamHero生成!H487</f>
        <v>56638</v>
      </c>
      <c r="J487" s="16">
        <f>TeamHero生成!I487</f>
        <v>41557</v>
      </c>
    </row>
    <row r="488" ht="14.25" customHeight="1" spans="1:10">
      <c r="A488" s="16">
        <f>TeamHero生成!A488</f>
        <v>484</v>
      </c>
      <c r="B488" s="16">
        <f>TeamHero生成!B488</f>
        <v>1017</v>
      </c>
      <c r="C488" s="16">
        <f>TeamHero生成!C488</f>
        <v>58</v>
      </c>
      <c r="D488" s="17">
        <f>TeamHero生成!D488</f>
        <v>1724643</v>
      </c>
      <c r="E488" s="17">
        <f>TeamHero生成!E488</f>
        <v>37638</v>
      </c>
      <c r="F488" s="17">
        <f>TeamHero生成!F488</f>
        <v>29038</v>
      </c>
      <c r="G488" s="16" t="str">
        <f>TeamHero生成!AG488</f>
        <v>有效</v>
      </c>
      <c r="H488" s="16">
        <f>TeamHero生成!G488</f>
        <v>4337304</v>
      </c>
      <c r="I488" s="16">
        <f>TeamHero生成!H488</f>
        <v>67965</v>
      </c>
      <c r="J488" s="16">
        <f>TeamHero生成!I488</f>
        <v>33245</v>
      </c>
    </row>
    <row r="489" ht="14.25" customHeight="1" spans="1:10">
      <c r="A489" s="16">
        <f>TeamHero生成!A489</f>
        <v>485</v>
      </c>
      <c r="B489" s="16">
        <f>TeamHero生成!B489</f>
        <v>1013</v>
      </c>
      <c r="C489" s="16">
        <f>TeamHero生成!C489</f>
        <v>58</v>
      </c>
      <c r="D489" s="17">
        <f>TeamHero生成!D489</f>
        <v>1724643</v>
      </c>
      <c r="E489" s="17">
        <f>TeamHero生成!E489</f>
        <v>37638</v>
      </c>
      <c r="F489" s="17">
        <f>TeamHero生成!F489</f>
        <v>29038</v>
      </c>
      <c r="G489" s="16" t="str">
        <f>TeamHero生成!AG489</f>
        <v>有效</v>
      </c>
      <c r="H489" s="16">
        <f>TeamHero生成!G489</f>
        <v>4337304</v>
      </c>
      <c r="I489" s="16">
        <f>TeamHero生成!H489</f>
        <v>67965</v>
      </c>
      <c r="J489" s="16">
        <f>TeamHero生成!I489</f>
        <v>33245</v>
      </c>
    </row>
    <row r="490" ht="14.25" customHeight="1" spans="1:10">
      <c r="A490" s="16">
        <f>TeamHero生成!A490</f>
        <v>486</v>
      </c>
      <c r="B490" s="16">
        <f>TeamHero生成!B490</f>
        <v>1003</v>
      </c>
      <c r="C490" s="16">
        <f>TeamHero生成!C490</f>
        <v>59</v>
      </c>
      <c r="D490" s="17">
        <f>TeamHero生成!D490</f>
        <v>2636273</v>
      </c>
      <c r="E490" s="17">
        <f>TeamHero生成!E490</f>
        <v>31871</v>
      </c>
      <c r="F490" s="17">
        <f>TeamHero生成!F490</f>
        <v>43967</v>
      </c>
      <c r="G490" s="16" t="str">
        <f>TeamHero生成!AG490</f>
        <v>有效</v>
      </c>
      <c r="H490" s="16">
        <f>TeamHero生成!G490</f>
        <v>6696453</v>
      </c>
      <c r="I490" s="16">
        <f>TeamHero生成!H490</f>
        <v>58078</v>
      </c>
      <c r="J490" s="16">
        <f>TeamHero生成!I490</f>
        <v>50582</v>
      </c>
    </row>
    <row r="491" ht="14.25" customHeight="1" spans="1:10">
      <c r="A491" s="16">
        <f>TeamHero生成!A491</f>
        <v>487</v>
      </c>
      <c r="B491" s="16">
        <f>TeamHero生成!B491</f>
        <v>1005</v>
      </c>
      <c r="C491" s="16">
        <f>TeamHero生成!C491</f>
        <v>59</v>
      </c>
      <c r="D491" s="17">
        <f>TeamHero生成!D491</f>
        <v>1757515</v>
      </c>
      <c r="E491" s="17">
        <f>TeamHero生成!E491</f>
        <v>38245</v>
      </c>
      <c r="F491" s="17">
        <f>TeamHero生成!F491</f>
        <v>29311</v>
      </c>
      <c r="G491" s="16" t="str">
        <f>TeamHero生成!AG491</f>
        <v>有效</v>
      </c>
      <c r="H491" s="16">
        <f>TeamHero生成!G491</f>
        <v>4464302</v>
      </c>
      <c r="I491" s="16">
        <f>TeamHero生成!H491</f>
        <v>69693</v>
      </c>
      <c r="J491" s="16">
        <f>TeamHero生成!I491</f>
        <v>33721</v>
      </c>
    </row>
    <row r="492" ht="14.25" customHeight="1" spans="1:10">
      <c r="A492" s="16">
        <f>TeamHero生成!A492</f>
        <v>488</v>
      </c>
      <c r="B492" s="16">
        <f>TeamHero生成!B492</f>
        <v>1005</v>
      </c>
      <c r="C492" s="16">
        <f>TeamHero生成!C492</f>
        <v>59</v>
      </c>
      <c r="D492" s="17">
        <f>TeamHero生成!D492</f>
        <v>1757515</v>
      </c>
      <c r="E492" s="17">
        <f>TeamHero生成!E492</f>
        <v>38245</v>
      </c>
      <c r="F492" s="17">
        <f>TeamHero生成!F492</f>
        <v>29311</v>
      </c>
      <c r="G492" s="16" t="str">
        <f>TeamHero生成!AG492</f>
        <v>有效</v>
      </c>
      <c r="H492" s="16">
        <f>TeamHero生成!G492</f>
        <v>4464302</v>
      </c>
      <c r="I492" s="16">
        <f>TeamHero生成!H492</f>
        <v>69693</v>
      </c>
      <c r="J492" s="16">
        <f>TeamHero生成!I492</f>
        <v>33721</v>
      </c>
    </row>
    <row r="493" ht="14.25" customHeight="1" spans="1:10">
      <c r="A493" s="16">
        <f>TeamHero生成!A493</f>
        <v>489</v>
      </c>
      <c r="B493" s="16">
        <f>TeamHero生成!B493</f>
        <v>1017</v>
      </c>
      <c r="C493" s="16">
        <f>TeamHero生成!C493</f>
        <v>59</v>
      </c>
      <c r="D493" s="17">
        <f>TeamHero生成!D493</f>
        <v>1757515</v>
      </c>
      <c r="E493" s="17">
        <f>TeamHero生成!E493</f>
        <v>38245</v>
      </c>
      <c r="F493" s="17">
        <f>TeamHero生成!F493</f>
        <v>29311</v>
      </c>
      <c r="G493" s="16" t="str">
        <f>TeamHero生成!AG493</f>
        <v>有效</v>
      </c>
      <c r="H493" s="16">
        <f>TeamHero生成!G493</f>
        <v>4464302</v>
      </c>
      <c r="I493" s="16">
        <f>TeamHero生成!H493</f>
        <v>69693</v>
      </c>
      <c r="J493" s="16">
        <f>TeamHero生成!I493</f>
        <v>33721</v>
      </c>
    </row>
    <row r="494" ht="14.25" customHeight="1" spans="1:10">
      <c r="A494" s="16">
        <f>TeamHero生成!A494</f>
        <v>490</v>
      </c>
      <c r="B494" s="16">
        <f>TeamHero生成!B494</f>
        <v>1007</v>
      </c>
      <c r="C494" s="16">
        <f>TeamHero生成!C494</f>
        <v>59</v>
      </c>
      <c r="D494" s="17">
        <f>TeamHero生成!D494</f>
        <v>2196894</v>
      </c>
      <c r="E494" s="17">
        <f>TeamHero生成!E494</f>
        <v>31871</v>
      </c>
      <c r="F494" s="17">
        <f>TeamHero生成!F494</f>
        <v>36639</v>
      </c>
      <c r="G494" s="16" t="str">
        <f>TeamHero生成!AG494</f>
        <v>有效</v>
      </c>
      <c r="H494" s="16">
        <f>TeamHero生成!G494</f>
        <v>5580378</v>
      </c>
      <c r="I494" s="16">
        <f>TeamHero生成!H494</f>
        <v>58078</v>
      </c>
      <c r="J494" s="16">
        <f>TeamHero生成!I494</f>
        <v>42152</v>
      </c>
    </row>
    <row r="495" ht="14.25" customHeight="1" spans="1:10">
      <c r="A495" s="16">
        <f>TeamHero生成!A495</f>
        <v>491</v>
      </c>
      <c r="B495" s="16">
        <f>TeamHero生成!B495</f>
        <v>1003</v>
      </c>
      <c r="C495" s="16">
        <f>TeamHero生成!C495</f>
        <v>59</v>
      </c>
      <c r="D495" s="17">
        <f>TeamHero生成!D495</f>
        <v>2657191</v>
      </c>
      <c r="E495" s="17">
        <f>TeamHero生成!E495</f>
        <v>32133</v>
      </c>
      <c r="F495" s="17">
        <f>TeamHero生成!F495</f>
        <v>44174</v>
      </c>
      <c r="G495" s="16" t="str">
        <f>TeamHero生成!AG495</f>
        <v>有效</v>
      </c>
      <c r="H495" s="16">
        <f>TeamHero生成!G495</f>
        <v>6891192</v>
      </c>
      <c r="I495" s="16">
        <f>TeamHero生成!H495</f>
        <v>59554</v>
      </c>
      <c r="J495" s="16">
        <f>TeamHero生成!I495</f>
        <v>51301</v>
      </c>
    </row>
    <row r="496" ht="14.25" customHeight="1" spans="1:10">
      <c r="A496" s="16">
        <f>TeamHero生成!A496</f>
        <v>492</v>
      </c>
      <c r="B496" s="16">
        <f>TeamHero生成!B496</f>
        <v>1017</v>
      </c>
      <c r="C496" s="16">
        <f>TeamHero生成!C496</f>
        <v>59</v>
      </c>
      <c r="D496" s="17">
        <f>TeamHero生成!D496</f>
        <v>1771461</v>
      </c>
      <c r="E496" s="17">
        <f>TeamHero生成!E496</f>
        <v>38560</v>
      </c>
      <c r="F496" s="17">
        <f>TeamHero生成!F496</f>
        <v>29449</v>
      </c>
      <c r="G496" s="16" t="str">
        <f>TeamHero生成!AG496</f>
        <v>有效</v>
      </c>
      <c r="H496" s="16">
        <f>TeamHero生成!G496</f>
        <v>4594128</v>
      </c>
      <c r="I496" s="16">
        <f>TeamHero生成!H496</f>
        <v>71464</v>
      </c>
      <c r="J496" s="16">
        <f>TeamHero生成!I496</f>
        <v>34200</v>
      </c>
    </row>
    <row r="497" ht="14.25" customHeight="1" spans="1:10">
      <c r="A497" s="16">
        <f>TeamHero生成!A497</f>
        <v>493</v>
      </c>
      <c r="B497" s="16">
        <f>TeamHero生成!B497</f>
        <v>1017</v>
      </c>
      <c r="C497" s="16">
        <f>TeamHero生成!C497</f>
        <v>59</v>
      </c>
      <c r="D497" s="17">
        <f>TeamHero生成!D497</f>
        <v>1771461</v>
      </c>
      <c r="E497" s="17">
        <f>TeamHero生成!E497</f>
        <v>38560</v>
      </c>
      <c r="F497" s="17">
        <f>TeamHero生成!F497</f>
        <v>29449</v>
      </c>
      <c r="G497" s="16" t="str">
        <f>TeamHero生成!AG497</f>
        <v>有效</v>
      </c>
      <c r="H497" s="16">
        <f>TeamHero生成!G497</f>
        <v>4594128</v>
      </c>
      <c r="I497" s="16">
        <f>TeamHero生成!H497</f>
        <v>71464</v>
      </c>
      <c r="J497" s="16">
        <f>TeamHero生成!I497</f>
        <v>34200</v>
      </c>
    </row>
    <row r="498" ht="14.25" customHeight="1" spans="1:10">
      <c r="A498" s="16">
        <f>TeamHero生成!A498</f>
        <v>494</v>
      </c>
      <c r="B498" s="16">
        <f>TeamHero生成!B498</f>
        <v>1008</v>
      </c>
      <c r="C498" s="16">
        <f>TeamHero生成!C498</f>
        <v>59</v>
      </c>
      <c r="D498" s="17">
        <f>TeamHero生成!D498</f>
        <v>1771461</v>
      </c>
      <c r="E498" s="17">
        <f>TeamHero生成!E498</f>
        <v>38560</v>
      </c>
      <c r="F498" s="17">
        <f>TeamHero生成!F498</f>
        <v>29449</v>
      </c>
      <c r="G498" s="16" t="str">
        <f>TeamHero生成!AG498</f>
        <v>有效</v>
      </c>
      <c r="H498" s="16">
        <f>TeamHero生成!G498</f>
        <v>4594128</v>
      </c>
      <c r="I498" s="16">
        <f>TeamHero生成!H498</f>
        <v>71464</v>
      </c>
      <c r="J498" s="16">
        <f>TeamHero生成!I498</f>
        <v>34200</v>
      </c>
    </row>
    <row r="499" ht="14.25" customHeight="1" spans="1:10">
      <c r="A499" s="16">
        <f>TeamHero生成!A499</f>
        <v>495</v>
      </c>
      <c r="B499" s="16">
        <f>TeamHero生成!B499</f>
        <v>1007</v>
      </c>
      <c r="C499" s="16">
        <f>TeamHero生成!C499</f>
        <v>59</v>
      </c>
      <c r="D499" s="17">
        <f>TeamHero生成!D499</f>
        <v>2214326</v>
      </c>
      <c r="E499" s="17">
        <f>TeamHero生成!E499</f>
        <v>32133</v>
      </c>
      <c r="F499" s="17">
        <f>TeamHero生成!F499</f>
        <v>36811</v>
      </c>
      <c r="G499" s="16" t="str">
        <f>TeamHero生成!AG499</f>
        <v>有效</v>
      </c>
      <c r="H499" s="16">
        <f>TeamHero生成!G499</f>
        <v>5742660</v>
      </c>
      <c r="I499" s="16">
        <f>TeamHero生成!H499</f>
        <v>59554</v>
      </c>
      <c r="J499" s="16">
        <f>TeamHero生成!I499</f>
        <v>42751</v>
      </c>
    </row>
    <row r="500" ht="14.25" customHeight="1" spans="1:10">
      <c r="A500" s="16">
        <f>TeamHero生成!A500</f>
        <v>496</v>
      </c>
      <c r="B500" s="16">
        <f>TeamHero生成!B500</f>
        <v>1003</v>
      </c>
      <c r="C500" s="16">
        <f>TeamHero生成!C500</f>
        <v>60</v>
      </c>
      <c r="D500" s="17">
        <f>TeamHero生成!D500</f>
        <v>2685426</v>
      </c>
      <c r="E500" s="17">
        <f>TeamHero生成!E500</f>
        <v>32431</v>
      </c>
      <c r="F500" s="17">
        <f>TeamHero生成!F500</f>
        <v>44379</v>
      </c>
      <c r="G500" s="16" t="str">
        <f>TeamHero生成!AG500</f>
        <v>有效</v>
      </c>
      <c r="H500" s="16">
        <f>TeamHero生成!G500</f>
        <v>7140672</v>
      </c>
      <c r="I500" s="16">
        <f>TeamHero生成!H500</f>
        <v>61451</v>
      </c>
      <c r="J500" s="16">
        <f>TeamHero生成!I500</f>
        <v>52206</v>
      </c>
    </row>
    <row r="501" ht="14.25" customHeight="1" spans="1:10">
      <c r="A501" s="16">
        <f>TeamHero生成!A501</f>
        <v>497</v>
      </c>
      <c r="B501" s="16">
        <f>TeamHero生成!B501</f>
        <v>1005</v>
      </c>
      <c r="C501" s="16">
        <f>TeamHero生成!C501</f>
        <v>60</v>
      </c>
      <c r="D501" s="17">
        <f>TeamHero生成!D501</f>
        <v>1790284</v>
      </c>
      <c r="E501" s="17">
        <f>TeamHero生成!E501</f>
        <v>38918</v>
      </c>
      <c r="F501" s="17">
        <f>TeamHero生成!F501</f>
        <v>29586</v>
      </c>
      <c r="G501" s="16" t="str">
        <f>TeamHero生成!AG501</f>
        <v>有效</v>
      </c>
      <c r="H501" s="16">
        <f>TeamHero生成!G501</f>
        <v>4760448</v>
      </c>
      <c r="I501" s="16">
        <f>TeamHero生成!H501</f>
        <v>73741</v>
      </c>
      <c r="J501" s="16">
        <f>TeamHero生成!I501</f>
        <v>34804</v>
      </c>
    </row>
    <row r="502" ht="14.25" customHeight="1" spans="1:10">
      <c r="A502" s="16">
        <f>TeamHero生成!A502</f>
        <v>498</v>
      </c>
      <c r="B502" s="16">
        <f>TeamHero生成!B502</f>
        <v>1005</v>
      </c>
      <c r="C502" s="16">
        <f>TeamHero生成!C502</f>
        <v>60</v>
      </c>
      <c r="D502" s="17">
        <f>TeamHero生成!D502</f>
        <v>1790284</v>
      </c>
      <c r="E502" s="17">
        <f>TeamHero生成!E502</f>
        <v>38918</v>
      </c>
      <c r="F502" s="17">
        <f>TeamHero生成!F502</f>
        <v>29586</v>
      </c>
      <c r="G502" s="16" t="str">
        <f>TeamHero生成!AG502</f>
        <v>有效</v>
      </c>
      <c r="H502" s="16">
        <f>TeamHero生成!G502</f>
        <v>4760448</v>
      </c>
      <c r="I502" s="16">
        <f>TeamHero生成!H502</f>
        <v>73741</v>
      </c>
      <c r="J502" s="16">
        <f>TeamHero生成!I502</f>
        <v>34804</v>
      </c>
    </row>
    <row r="503" ht="14.25" customHeight="1" spans="1:10">
      <c r="A503" s="16">
        <f>TeamHero生成!A503</f>
        <v>499</v>
      </c>
      <c r="B503" s="16">
        <f>TeamHero生成!B503</f>
        <v>1005</v>
      </c>
      <c r="C503" s="16">
        <f>TeamHero生成!C503</f>
        <v>60</v>
      </c>
      <c r="D503" s="17">
        <f>TeamHero生成!D503</f>
        <v>1790284</v>
      </c>
      <c r="E503" s="17">
        <f>TeamHero生成!E503</f>
        <v>38918</v>
      </c>
      <c r="F503" s="17">
        <f>TeamHero生成!F503</f>
        <v>29586</v>
      </c>
      <c r="G503" s="16" t="str">
        <f>TeamHero生成!AG503</f>
        <v>有效</v>
      </c>
      <c r="H503" s="16">
        <f>TeamHero生成!G503</f>
        <v>4760448</v>
      </c>
      <c r="I503" s="16">
        <f>TeamHero生成!H503</f>
        <v>73741</v>
      </c>
      <c r="J503" s="16">
        <f>TeamHero生成!I503</f>
        <v>34804</v>
      </c>
    </row>
    <row r="504" ht="14.25" customHeight="1" spans="1:10">
      <c r="A504" s="16">
        <f>TeamHero生成!A504</f>
        <v>500</v>
      </c>
      <c r="B504" s="16">
        <f>TeamHero生成!B504</f>
        <v>1029</v>
      </c>
      <c r="C504" s="16">
        <f>TeamHero生成!C504</f>
        <v>60</v>
      </c>
      <c r="D504" s="17">
        <f>TeamHero生成!D504</f>
        <v>2237855</v>
      </c>
      <c r="E504" s="17">
        <f>TeamHero生成!E504</f>
        <v>32431</v>
      </c>
      <c r="F504" s="17">
        <f>TeamHero生成!F504</f>
        <v>36983</v>
      </c>
      <c r="G504" s="16" t="str">
        <f>TeamHero生成!AG504</f>
        <v>有效</v>
      </c>
      <c r="H504" s="16">
        <f>TeamHero生成!G504</f>
        <v>5950560</v>
      </c>
      <c r="I504" s="16">
        <f>TeamHero生成!H504</f>
        <v>61451</v>
      </c>
      <c r="J504" s="16">
        <f>TeamHero生成!I504</f>
        <v>43505</v>
      </c>
    </row>
    <row r="505" spans="1:10">
      <c r="A505">
        <f>TeamHero生成!A505</f>
        <v>501</v>
      </c>
      <c r="B505">
        <f>TeamHero生成!B505</f>
        <v>1003</v>
      </c>
      <c r="C505">
        <f>TeamHero生成!C505</f>
        <v>60</v>
      </c>
      <c r="D505">
        <f>TeamHero生成!D505</f>
        <v>2709589</v>
      </c>
      <c r="E505">
        <f>TeamHero生成!E505</f>
        <v>32607</v>
      </c>
      <c r="F505">
        <f>TeamHero生成!F505</f>
        <v>44586</v>
      </c>
      <c r="G505" t="str">
        <f>TeamHero生成!AG505</f>
        <v>有效</v>
      </c>
      <c r="H505">
        <f>TeamHero生成!G505</f>
        <v>0</v>
      </c>
      <c r="I505">
        <f>TeamHero生成!H505</f>
        <v>0</v>
      </c>
    </row>
    <row r="506" spans="1:10">
      <c r="A506">
        <f>TeamHero生成!A506</f>
        <v>502</v>
      </c>
      <c r="B506">
        <f>TeamHero生成!B506</f>
        <v>1005</v>
      </c>
      <c r="C506">
        <f>TeamHero生成!C506</f>
        <v>60</v>
      </c>
      <c r="D506">
        <f>TeamHero生成!D506</f>
        <v>1806393</v>
      </c>
      <c r="E506">
        <f>TeamHero生成!E506</f>
        <v>39128</v>
      </c>
      <c r="F506">
        <f>TeamHero生成!F506</f>
        <v>29724</v>
      </c>
      <c r="G506" t="str">
        <f>TeamHero生成!AG506</f>
        <v>有效</v>
      </c>
      <c r="H506">
        <f>TeamHero生成!G506</f>
        <v>0</v>
      </c>
      <c r="I506">
        <f>TeamHero生成!H506</f>
        <v>0</v>
      </c>
    </row>
    <row r="507" spans="1:10">
      <c r="A507">
        <f>TeamHero生成!A507</f>
        <v>503</v>
      </c>
      <c r="B507">
        <f>TeamHero生成!B507</f>
        <v>1005</v>
      </c>
      <c r="C507">
        <f>TeamHero生成!C507</f>
        <v>60</v>
      </c>
      <c r="D507">
        <f>TeamHero生成!D507</f>
        <v>1806393</v>
      </c>
      <c r="E507">
        <f>TeamHero生成!E507</f>
        <v>39128</v>
      </c>
      <c r="F507">
        <f>TeamHero生成!F507</f>
        <v>29724</v>
      </c>
      <c r="G507" t="str">
        <f>TeamHero生成!AG507</f>
        <v>有效</v>
      </c>
      <c r="H507">
        <f>TeamHero生成!G507</f>
        <v>0</v>
      </c>
      <c r="I507">
        <f>TeamHero生成!H507</f>
        <v>0</v>
      </c>
    </row>
    <row r="508" spans="1:10">
      <c r="A508">
        <f>TeamHero生成!A508</f>
        <v>504</v>
      </c>
      <c r="B508">
        <f>TeamHero生成!B508</f>
        <v>1005</v>
      </c>
      <c r="C508">
        <f>TeamHero生成!C508</f>
        <v>60</v>
      </c>
      <c r="D508">
        <f>TeamHero生成!D508</f>
        <v>1806393</v>
      </c>
      <c r="E508">
        <f>TeamHero生成!E508</f>
        <v>39128</v>
      </c>
      <c r="F508">
        <f>TeamHero生成!F508</f>
        <v>29724</v>
      </c>
      <c r="G508" t="str">
        <f>TeamHero生成!AG508</f>
        <v>有效</v>
      </c>
      <c r="H508">
        <f>TeamHero生成!G508</f>
        <v>0</v>
      </c>
      <c r="I508">
        <f>TeamHero生成!H508</f>
        <v>0</v>
      </c>
    </row>
    <row r="509" spans="1:10">
      <c r="A509">
        <f>TeamHero生成!A509</f>
        <v>505</v>
      </c>
      <c r="B509">
        <f>TeamHero生成!B509</f>
        <v>1029</v>
      </c>
      <c r="C509">
        <f>TeamHero生成!C509</f>
        <v>60</v>
      </c>
      <c r="D509">
        <f>TeamHero生成!D509</f>
        <v>2257991</v>
      </c>
      <c r="E509">
        <f>TeamHero生成!E509</f>
        <v>32607</v>
      </c>
      <c r="F509">
        <f>TeamHero生成!F509</f>
        <v>37155</v>
      </c>
      <c r="G509" t="str">
        <f>TeamHero生成!AG509</f>
        <v>有效</v>
      </c>
      <c r="H509">
        <f>TeamHero生成!G509</f>
        <v>0</v>
      </c>
      <c r="I509">
        <f>TeamHero生成!H509</f>
        <v>0</v>
      </c>
    </row>
    <row r="510" spans="1:10">
      <c r="A510">
        <f>TeamHero生成!A510</f>
        <v>506</v>
      </c>
      <c r="B510">
        <f>TeamHero生成!B510</f>
        <v>1003</v>
      </c>
      <c r="C510">
        <f>TeamHero生成!C510</f>
        <v>60</v>
      </c>
      <c r="D510">
        <f>TeamHero生成!D510</f>
        <v>2736075</v>
      </c>
      <c r="E510">
        <f>TeamHero生成!E510</f>
        <v>32846</v>
      </c>
      <c r="F510">
        <f>TeamHero生成!F510</f>
        <v>44792</v>
      </c>
      <c r="G510" t="str">
        <f>TeamHero生成!AG510</f>
        <v>有效</v>
      </c>
      <c r="H510">
        <f>TeamHero生成!G510</f>
        <v>0</v>
      </c>
      <c r="I510">
        <f>TeamHero生成!H510</f>
        <v>0</v>
      </c>
    </row>
    <row r="511" spans="1:10">
      <c r="A511">
        <f>TeamHero生成!A511</f>
        <v>507</v>
      </c>
      <c r="B511">
        <f>TeamHero生成!B511</f>
        <v>1005</v>
      </c>
      <c r="C511">
        <f>TeamHero生成!C511</f>
        <v>60</v>
      </c>
      <c r="D511">
        <f>TeamHero生成!D511</f>
        <v>1824050</v>
      </c>
      <c r="E511">
        <f>TeamHero生成!E511</f>
        <v>39415</v>
      </c>
      <c r="F511">
        <f>TeamHero生成!F511</f>
        <v>29861</v>
      </c>
      <c r="G511" t="str">
        <f>TeamHero生成!AG511</f>
        <v>有效</v>
      </c>
      <c r="H511">
        <f>TeamHero生成!G511</f>
        <v>0</v>
      </c>
      <c r="I511">
        <f>TeamHero生成!H511</f>
        <v>0</v>
      </c>
    </row>
    <row r="512" spans="1:10">
      <c r="A512">
        <f>TeamHero生成!A512</f>
        <v>508</v>
      </c>
      <c r="B512">
        <f>TeamHero生成!B512</f>
        <v>1005</v>
      </c>
      <c r="C512">
        <f>TeamHero生成!C512</f>
        <v>60</v>
      </c>
      <c r="D512">
        <f>TeamHero生成!D512</f>
        <v>1824050</v>
      </c>
      <c r="E512">
        <f>TeamHero生成!E512</f>
        <v>39415</v>
      </c>
      <c r="F512">
        <f>TeamHero生成!F512</f>
        <v>29861</v>
      </c>
      <c r="G512" t="str">
        <f>TeamHero生成!AG512</f>
        <v>有效</v>
      </c>
      <c r="H512">
        <f>TeamHero生成!G512</f>
        <v>0</v>
      </c>
      <c r="I512">
        <f>TeamHero生成!H512</f>
        <v>0</v>
      </c>
    </row>
    <row r="513" spans="1:9">
      <c r="A513">
        <f>TeamHero生成!A513</f>
        <v>509</v>
      </c>
      <c r="B513">
        <f>TeamHero生成!B513</f>
        <v>1005</v>
      </c>
      <c r="C513">
        <f>TeamHero生成!C513</f>
        <v>60</v>
      </c>
      <c r="D513">
        <f>TeamHero生成!D513</f>
        <v>1824050</v>
      </c>
      <c r="E513">
        <f>TeamHero生成!E513</f>
        <v>39415</v>
      </c>
      <c r="F513">
        <f>TeamHero生成!F513</f>
        <v>29861</v>
      </c>
      <c r="G513" t="str">
        <f>TeamHero生成!AG513</f>
        <v>有效</v>
      </c>
      <c r="H513">
        <f>TeamHero生成!G513</f>
        <v>0</v>
      </c>
      <c r="I513">
        <f>TeamHero生成!H513</f>
        <v>0</v>
      </c>
    </row>
    <row r="514" spans="1:9">
      <c r="A514">
        <f>TeamHero生成!A514</f>
        <v>510</v>
      </c>
      <c r="B514">
        <f>TeamHero生成!B514</f>
        <v>1029</v>
      </c>
      <c r="C514">
        <f>TeamHero生成!C514</f>
        <v>60</v>
      </c>
      <c r="D514">
        <f>TeamHero生成!D514</f>
        <v>2280063</v>
      </c>
      <c r="E514">
        <f>TeamHero生成!E514</f>
        <v>32846</v>
      </c>
      <c r="F514">
        <f>TeamHero生成!F514</f>
        <v>37326</v>
      </c>
      <c r="G514" t="str">
        <f>TeamHero生成!AG514</f>
        <v>有效</v>
      </c>
      <c r="H514">
        <f>TeamHero生成!G514</f>
        <v>0</v>
      </c>
      <c r="I514">
        <f>TeamHero生成!H514</f>
        <v>0</v>
      </c>
    </row>
    <row r="515" spans="1:9">
      <c r="A515">
        <f>TeamHero生成!A515</f>
        <v>511</v>
      </c>
      <c r="B515">
        <f>TeamHero生成!B515</f>
        <v>1003</v>
      </c>
      <c r="C515">
        <f>TeamHero生成!C515</f>
        <v>60</v>
      </c>
      <c r="D515">
        <f>TeamHero生成!D515</f>
        <v>2789642</v>
      </c>
      <c r="E515">
        <f>TeamHero生成!E515</f>
        <v>33328</v>
      </c>
      <c r="F515">
        <f>TeamHero生成!F515</f>
        <v>45207</v>
      </c>
      <c r="G515" t="str">
        <f>TeamHero生成!AG515</f>
        <v>有效</v>
      </c>
      <c r="H515">
        <f>TeamHero生成!G515</f>
        <v>0</v>
      </c>
      <c r="I515">
        <f>TeamHero生成!H515</f>
        <v>0</v>
      </c>
    </row>
    <row r="516" spans="1:9">
      <c r="A516">
        <f>TeamHero生成!A516</f>
        <v>512</v>
      </c>
      <c r="B516">
        <f>TeamHero生成!B516</f>
        <v>1005</v>
      </c>
      <c r="C516">
        <f>TeamHero生成!C516</f>
        <v>60</v>
      </c>
      <c r="D516">
        <f>TeamHero生成!D516</f>
        <v>1859761</v>
      </c>
      <c r="E516">
        <f>TeamHero生成!E516</f>
        <v>39993</v>
      </c>
      <c r="F516">
        <f>TeamHero生成!F516</f>
        <v>30138</v>
      </c>
      <c r="G516" t="str">
        <f>TeamHero生成!AG516</f>
        <v>有效</v>
      </c>
      <c r="H516">
        <f>TeamHero生成!G516</f>
        <v>0</v>
      </c>
      <c r="I516">
        <f>TeamHero生成!H516</f>
        <v>0</v>
      </c>
    </row>
    <row r="517" spans="1:9">
      <c r="A517">
        <f>TeamHero生成!A517</f>
        <v>513</v>
      </c>
      <c r="B517">
        <f>TeamHero生成!B517</f>
        <v>1005</v>
      </c>
      <c r="C517">
        <f>TeamHero生成!C517</f>
        <v>60</v>
      </c>
      <c r="D517">
        <f>TeamHero生成!D517</f>
        <v>1859761</v>
      </c>
      <c r="E517">
        <f>TeamHero生成!E517</f>
        <v>39993</v>
      </c>
      <c r="F517">
        <f>TeamHero生成!F517</f>
        <v>30138</v>
      </c>
      <c r="G517" t="str">
        <f>TeamHero生成!AG517</f>
        <v>有效</v>
      </c>
      <c r="H517">
        <f>TeamHero生成!G517</f>
        <v>0</v>
      </c>
      <c r="I517">
        <f>TeamHero生成!H517</f>
        <v>0</v>
      </c>
    </row>
    <row r="518" spans="1:9">
      <c r="A518">
        <f>TeamHero生成!A518</f>
        <v>514</v>
      </c>
      <c r="B518">
        <f>TeamHero生成!B518</f>
        <v>1005</v>
      </c>
      <c r="C518">
        <f>TeamHero生成!C518</f>
        <v>60</v>
      </c>
      <c r="D518">
        <f>TeamHero生成!D518</f>
        <v>1859761</v>
      </c>
      <c r="E518">
        <f>TeamHero生成!E518</f>
        <v>39993</v>
      </c>
      <c r="F518">
        <f>TeamHero生成!F518</f>
        <v>30138</v>
      </c>
      <c r="G518" t="str">
        <f>TeamHero生成!AG518</f>
        <v>有效</v>
      </c>
      <c r="H518">
        <f>TeamHero生成!G518</f>
        <v>0</v>
      </c>
      <c r="I518">
        <f>TeamHero生成!H518</f>
        <v>0</v>
      </c>
    </row>
    <row r="519" spans="1:9">
      <c r="A519">
        <f>TeamHero生成!A519</f>
        <v>515</v>
      </c>
      <c r="B519">
        <f>TeamHero生成!B519</f>
        <v>1029</v>
      </c>
      <c r="C519">
        <f>TeamHero生成!C519</f>
        <v>60</v>
      </c>
      <c r="D519">
        <f>TeamHero生成!D519</f>
        <v>2324701</v>
      </c>
      <c r="E519">
        <f>TeamHero生成!E519</f>
        <v>33328</v>
      </c>
      <c r="F519">
        <f>TeamHero生成!F519</f>
        <v>37673</v>
      </c>
      <c r="G519" t="str">
        <f>TeamHero生成!AG519</f>
        <v>有效</v>
      </c>
      <c r="H519">
        <f>TeamHero生成!G519</f>
        <v>0</v>
      </c>
      <c r="I519">
        <f>TeamHero生成!H519</f>
        <v>0</v>
      </c>
    </row>
    <row r="520" spans="1:9">
      <c r="A520">
        <f>TeamHero生成!A520</f>
        <v>516</v>
      </c>
      <c r="B520">
        <f>TeamHero生成!B520</f>
        <v>1003</v>
      </c>
      <c r="C520">
        <f>TeamHero生成!C520</f>
        <v>60</v>
      </c>
      <c r="D520">
        <f>TeamHero生成!D520</f>
        <v>2816729</v>
      </c>
      <c r="E520">
        <f>TeamHero生成!E520</f>
        <v>33571</v>
      </c>
      <c r="F520">
        <f>TeamHero生成!F520</f>
        <v>45414</v>
      </c>
      <c r="G520" t="str">
        <f>TeamHero生成!AG520</f>
        <v>有效</v>
      </c>
      <c r="H520">
        <f>TeamHero生成!G520</f>
        <v>0</v>
      </c>
      <c r="I520">
        <f>TeamHero生成!H520</f>
        <v>0</v>
      </c>
    </row>
    <row r="521" spans="1:9">
      <c r="A521">
        <f>TeamHero生成!A521</f>
        <v>517</v>
      </c>
      <c r="B521">
        <f>TeamHero生成!B521</f>
        <v>1005</v>
      </c>
      <c r="C521">
        <f>TeamHero生成!C521</f>
        <v>60</v>
      </c>
      <c r="D521">
        <f>TeamHero生成!D521</f>
        <v>1877819</v>
      </c>
      <c r="E521">
        <f>TeamHero生成!E521</f>
        <v>40285</v>
      </c>
      <c r="F521">
        <f>TeamHero生成!F521</f>
        <v>30276</v>
      </c>
      <c r="G521" t="str">
        <f>TeamHero生成!AG521</f>
        <v>有效</v>
      </c>
      <c r="H521">
        <f>TeamHero生成!G521</f>
        <v>0</v>
      </c>
      <c r="I521">
        <f>TeamHero生成!H521</f>
        <v>0</v>
      </c>
    </row>
    <row r="522" spans="1:9">
      <c r="A522">
        <f>TeamHero生成!A522</f>
        <v>518</v>
      </c>
      <c r="B522">
        <f>TeamHero生成!B522</f>
        <v>1005</v>
      </c>
      <c r="C522">
        <f>TeamHero生成!C522</f>
        <v>60</v>
      </c>
      <c r="D522">
        <f>TeamHero生成!D522</f>
        <v>1877819</v>
      </c>
      <c r="E522">
        <f>TeamHero生成!E522</f>
        <v>40285</v>
      </c>
      <c r="F522">
        <f>TeamHero生成!F522</f>
        <v>30276</v>
      </c>
      <c r="G522" t="str">
        <f>TeamHero生成!AG522</f>
        <v>有效</v>
      </c>
      <c r="H522">
        <f>TeamHero生成!G522</f>
        <v>0</v>
      </c>
      <c r="I522">
        <f>TeamHero生成!H522</f>
        <v>0</v>
      </c>
    </row>
    <row r="523" spans="1:9">
      <c r="A523">
        <f>TeamHero生成!A523</f>
        <v>519</v>
      </c>
      <c r="B523">
        <f>TeamHero生成!B523</f>
        <v>1005</v>
      </c>
      <c r="C523">
        <f>TeamHero生成!C523</f>
        <v>60</v>
      </c>
      <c r="D523">
        <f>TeamHero生成!D523</f>
        <v>1877819</v>
      </c>
      <c r="E523">
        <f>TeamHero生成!E523</f>
        <v>40285</v>
      </c>
      <c r="F523">
        <f>TeamHero生成!F523</f>
        <v>30276</v>
      </c>
      <c r="G523" t="str">
        <f>TeamHero生成!AG523</f>
        <v>有效</v>
      </c>
      <c r="H523">
        <f>TeamHero生成!G523</f>
        <v>0</v>
      </c>
      <c r="I523">
        <f>TeamHero生成!H523</f>
        <v>0</v>
      </c>
    </row>
    <row r="524" spans="1:9">
      <c r="A524">
        <f>TeamHero生成!A524</f>
        <v>520</v>
      </c>
      <c r="B524">
        <f>TeamHero生成!B524</f>
        <v>1029</v>
      </c>
      <c r="C524">
        <f>TeamHero生成!C524</f>
        <v>60</v>
      </c>
      <c r="D524">
        <f>TeamHero生成!D524</f>
        <v>2347274</v>
      </c>
      <c r="E524">
        <f>TeamHero生成!E524</f>
        <v>33571</v>
      </c>
      <c r="F524">
        <f>TeamHero生成!F524</f>
        <v>37845</v>
      </c>
      <c r="G524" t="str">
        <f>TeamHero生成!AG524</f>
        <v>有效</v>
      </c>
      <c r="H524">
        <f>TeamHero生成!G524</f>
        <v>0</v>
      </c>
      <c r="I524">
        <f>TeamHero生成!H524</f>
        <v>0</v>
      </c>
    </row>
    <row r="525" spans="1:9">
      <c r="A525">
        <f>TeamHero生成!A525</f>
        <v>521</v>
      </c>
      <c r="B525">
        <f>TeamHero生成!B525</f>
        <v>1003</v>
      </c>
      <c r="C525">
        <f>TeamHero生成!C525</f>
        <v>60</v>
      </c>
      <c r="D525">
        <f>TeamHero生成!D525</f>
        <v>2857292</v>
      </c>
      <c r="E525">
        <f>TeamHero生成!E525</f>
        <v>33669</v>
      </c>
      <c r="F525">
        <f>TeamHero生成!F525</f>
        <v>45623</v>
      </c>
      <c r="G525" t="str">
        <f>TeamHero生成!AG525</f>
        <v>有效</v>
      </c>
      <c r="H525">
        <f>TeamHero生成!G525</f>
        <v>0</v>
      </c>
      <c r="I525">
        <f>TeamHero生成!H525</f>
        <v>0</v>
      </c>
    </row>
    <row r="526" spans="1:9">
      <c r="A526">
        <f>TeamHero生成!A526</f>
        <v>522</v>
      </c>
      <c r="B526">
        <f>TeamHero生成!B526</f>
        <v>1005</v>
      </c>
      <c r="C526">
        <f>TeamHero生成!C526</f>
        <v>60</v>
      </c>
      <c r="D526">
        <f>TeamHero生成!D526</f>
        <v>1904861</v>
      </c>
      <c r="E526">
        <f>TeamHero生成!E526</f>
        <v>40402</v>
      </c>
      <c r="F526">
        <f>TeamHero生成!F526</f>
        <v>30415</v>
      </c>
      <c r="G526" t="str">
        <f>TeamHero生成!AG526</f>
        <v>有效</v>
      </c>
      <c r="H526">
        <f>TeamHero生成!G526</f>
        <v>0</v>
      </c>
      <c r="I526">
        <f>TeamHero生成!H526</f>
        <v>0</v>
      </c>
    </row>
    <row r="527" spans="1:9">
      <c r="A527">
        <f>TeamHero生成!A527</f>
        <v>523</v>
      </c>
      <c r="B527">
        <f>TeamHero生成!B527</f>
        <v>1005</v>
      </c>
      <c r="C527">
        <f>TeamHero生成!C527</f>
        <v>60</v>
      </c>
      <c r="D527">
        <f>TeamHero生成!D527</f>
        <v>1904861</v>
      </c>
      <c r="E527">
        <f>TeamHero生成!E527</f>
        <v>40402</v>
      </c>
      <c r="F527">
        <f>TeamHero生成!F527</f>
        <v>30415</v>
      </c>
      <c r="G527" t="str">
        <f>TeamHero生成!AG527</f>
        <v>有效</v>
      </c>
      <c r="H527">
        <f>TeamHero生成!G527</f>
        <v>0</v>
      </c>
      <c r="I527">
        <f>TeamHero生成!H527</f>
        <v>0</v>
      </c>
    </row>
    <row r="528" spans="1:9">
      <c r="A528">
        <f>TeamHero生成!A528</f>
        <v>524</v>
      </c>
      <c r="B528">
        <f>TeamHero生成!B528</f>
        <v>1005</v>
      </c>
      <c r="C528">
        <f>TeamHero生成!C528</f>
        <v>60</v>
      </c>
      <c r="D528">
        <f>TeamHero生成!D528</f>
        <v>1904861</v>
      </c>
      <c r="E528">
        <f>TeamHero生成!E528</f>
        <v>40402</v>
      </c>
      <c r="F528">
        <f>TeamHero生成!F528</f>
        <v>30415</v>
      </c>
      <c r="G528" t="str">
        <f>TeamHero生成!AG528</f>
        <v>有效</v>
      </c>
      <c r="H528">
        <f>TeamHero生成!G528</f>
        <v>0</v>
      </c>
      <c r="I528">
        <f>TeamHero生成!H528</f>
        <v>0</v>
      </c>
    </row>
    <row r="529" spans="1:9">
      <c r="A529">
        <f>TeamHero生成!A529</f>
        <v>525</v>
      </c>
      <c r="B529">
        <f>TeamHero生成!B529</f>
        <v>1029</v>
      </c>
      <c r="C529">
        <f>TeamHero生成!C529</f>
        <v>60</v>
      </c>
      <c r="D529">
        <f>TeamHero生成!D529</f>
        <v>2381076</v>
      </c>
      <c r="E529">
        <f>TeamHero生成!E529</f>
        <v>33669</v>
      </c>
      <c r="F529">
        <f>TeamHero生成!F529</f>
        <v>38019</v>
      </c>
      <c r="G529" t="str">
        <f>TeamHero生成!AG529</f>
        <v>有效</v>
      </c>
      <c r="H529">
        <f>TeamHero生成!G529</f>
        <v>0</v>
      </c>
      <c r="I529">
        <f>TeamHero生成!H529</f>
        <v>0</v>
      </c>
    </row>
    <row r="530" spans="1:9">
      <c r="A530">
        <f>TeamHero生成!A530</f>
        <v>526</v>
      </c>
      <c r="B530">
        <f>TeamHero生成!B530</f>
        <v>1003</v>
      </c>
      <c r="C530">
        <f>TeamHero生成!C530</f>
        <v>60</v>
      </c>
      <c r="D530">
        <f>TeamHero生成!D530</f>
        <v>2871491</v>
      </c>
      <c r="E530">
        <f>TeamHero生成!E530</f>
        <v>34062</v>
      </c>
      <c r="F530">
        <f>TeamHero生成!F530</f>
        <v>45831</v>
      </c>
      <c r="G530" t="str">
        <f>TeamHero生成!AG530</f>
        <v>有效</v>
      </c>
      <c r="H530">
        <f>TeamHero生成!G530</f>
        <v>0</v>
      </c>
      <c r="I530">
        <f>TeamHero生成!H530</f>
        <v>0</v>
      </c>
    </row>
    <row r="531" spans="1:9">
      <c r="A531">
        <f>TeamHero生成!A531</f>
        <v>527</v>
      </c>
      <c r="B531">
        <f>TeamHero生成!B531</f>
        <v>1005</v>
      </c>
      <c r="C531">
        <f>TeamHero生成!C531</f>
        <v>60</v>
      </c>
      <c r="D531">
        <f>TeamHero生成!D531</f>
        <v>1914327</v>
      </c>
      <c r="E531">
        <f>TeamHero生成!E531</f>
        <v>40874</v>
      </c>
      <c r="F531">
        <f>TeamHero生成!F531</f>
        <v>30554</v>
      </c>
      <c r="G531" t="str">
        <f>TeamHero生成!AG531</f>
        <v>有效</v>
      </c>
      <c r="H531">
        <f>TeamHero生成!G531</f>
        <v>0</v>
      </c>
      <c r="I531">
        <f>TeamHero生成!H531</f>
        <v>0</v>
      </c>
    </row>
    <row r="532" spans="1:9">
      <c r="A532">
        <f>TeamHero生成!A532</f>
        <v>528</v>
      </c>
      <c r="B532">
        <f>TeamHero生成!B532</f>
        <v>1005</v>
      </c>
      <c r="C532">
        <f>TeamHero生成!C532</f>
        <v>60</v>
      </c>
      <c r="D532">
        <f>TeamHero生成!D532</f>
        <v>1914327</v>
      </c>
      <c r="E532">
        <f>TeamHero生成!E532</f>
        <v>40874</v>
      </c>
      <c r="F532">
        <f>TeamHero生成!F532</f>
        <v>30554</v>
      </c>
      <c r="G532" t="str">
        <f>TeamHero生成!AG532</f>
        <v>有效</v>
      </c>
      <c r="H532">
        <f>TeamHero生成!G532</f>
        <v>0</v>
      </c>
      <c r="I532">
        <f>TeamHero生成!H532</f>
        <v>0</v>
      </c>
    </row>
    <row r="533" spans="1:9">
      <c r="A533">
        <f>TeamHero生成!A533</f>
        <v>529</v>
      </c>
      <c r="B533">
        <f>TeamHero生成!B533</f>
        <v>1005</v>
      </c>
      <c r="C533">
        <f>TeamHero生成!C533</f>
        <v>60</v>
      </c>
      <c r="D533">
        <f>TeamHero生成!D533</f>
        <v>1914327</v>
      </c>
      <c r="E533">
        <f>TeamHero生成!E533</f>
        <v>40874</v>
      </c>
      <c r="F533">
        <f>TeamHero生成!F533</f>
        <v>30554</v>
      </c>
      <c r="G533" t="str">
        <f>TeamHero生成!AG533</f>
        <v>有效</v>
      </c>
      <c r="H533">
        <f>TeamHero生成!G533</f>
        <v>0</v>
      </c>
      <c r="I533">
        <f>TeamHero生成!H533</f>
        <v>0</v>
      </c>
    </row>
    <row r="534" spans="1:9">
      <c r="A534">
        <f>TeamHero生成!A534</f>
        <v>530</v>
      </c>
      <c r="B534">
        <f>TeamHero生成!B534</f>
        <v>1029</v>
      </c>
      <c r="C534">
        <f>TeamHero生成!C534</f>
        <v>60</v>
      </c>
      <c r="D534">
        <f>TeamHero生成!D534</f>
        <v>2392909</v>
      </c>
      <c r="E534">
        <f>TeamHero生成!E534</f>
        <v>34062</v>
      </c>
      <c r="F534">
        <f>TeamHero生成!F534</f>
        <v>38193</v>
      </c>
      <c r="G534" t="str">
        <f>TeamHero生成!AG534</f>
        <v>有效</v>
      </c>
      <c r="H534">
        <f>TeamHero生成!G534</f>
        <v>0</v>
      </c>
      <c r="I534">
        <f>TeamHero生成!H534</f>
        <v>0</v>
      </c>
    </row>
    <row r="535" spans="1:9">
      <c r="A535">
        <f>TeamHero生成!A535</f>
        <v>531</v>
      </c>
      <c r="B535">
        <f>TeamHero生成!B535</f>
        <v>1003</v>
      </c>
      <c r="C535">
        <f>TeamHero生成!C535</f>
        <v>60</v>
      </c>
      <c r="D535">
        <f>TeamHero生成!D535</f>
        <v>2899180</v>
      </c>
      <c r="E535">
        <f>TeamHero生成!E535</f>
        <v>34309</v>
      </c>
      <c r="F535">
        <f>TeamHero生成!F535</f>
        <v>46040</v>
      </c>
      <c r="G535" t="str">
        <f>TeamHero生成!AG535</f>
        <v>有效</v>
      </c>
      <c r="H535">
        <f>TeamHero生成!G535</f>
        <v>0</v>
      </c>
      <c r="I535">
        <f>TeamHero生成!H535</f>
        <v>0</v>
      </c>
    </row>
    <row r="536" spans="1:9">
      <c r="A536">
        <f>TeamHero生成!A536</f>
        <v>532</v>
      </c>
      <c r="B536">
        <f>TeamHero生成!B536</f>
        <v>1005</v>
      </c>
      <c r="C536">
        <f>TeamHero生成!C536</f>
        <v>60</v>
      </c>
      <c r="D536">
        <f>TeamHero生成!D536</f>
        <v>1932786</v>
      </c>
      <c r="E536">
        <f>TeamHero生成!E536</f>
        <v>41170</v>
      </c>
      <c r="F536">
        <f>TeamHero生成!F536</f>
        <v>30693</v>
      </c>
      <c r="G536" t="str">
        <f>TeamHero生成!AG536</f>
        <v>有效</v>
      </c>
      <c r="H536">
        <f>TeamHero生成!G536</f>
        <v>0</v>
      </c>
      <c r="I536">
        <f>TeamHero生成!H536</f>
        <v>0</v>
      </c>
    </row>
    <row r="537" spans="1:9">
      <c r="A537">
        <f>TeamHero生成!A537</f>
        <v>533</v>
      </c>
      <c r="B537">
        <f>TeamHero生成!B537</f>
        <v>1005</v>
      </c>
      <c r="C537">
        <f>TeamHero生成!C537</f>
        <v>60</v>
      </c>
      <c r="D537">
        <f>TeamHero生成!D537</f>
        <v>1932786</v>
      </c>
      <c r="E537">
        <f>TeamHero生成!E537</f>
        <v>41170</v>
      </c>
      <c r="F537">
        <f>TeamHero生成!F537</f>
        <v>30693</v>
      </c>
      <c r="G537" t="str">
        <f>TeamHero生成!AG537</f>
        <v>有效</v>
      </c>
      <c r="H537">
        <f>TeamHero生成!G537</f>
        <v>0</v>
      </c>
      <c r="I537">
        <f>TeamHero生成!H537</f>
        <v>0</v>
      </c>
    </row>
    <row r="538" spans="1:9">
      <c r="A538">
        <f>TeamHero生成!A538</f>
        <v>534</v>
      </c>
      <c r="B538">
        <f>TeamHero生成!B538</f>
        <v>1005</v>
      </c>
      <c r="C538">
        <f>TeamHero生成!C538</f>
        <v>60</v>
      </c>
      <c r="D538">
        <f>TeamHero生成!D538</f>
        <v>1932786</v>
      </c>
      <c r="E538">
        <f>TeamHero生成!E538</f>
        <v>41170</v>
      </c>
      <c r="F538">
        <f>TeamHero生成!F538</f>
        <v>30693</v>
      </c>
      <c r="G538" t="str">
        <f>TeamHero生成!AG538</f>
        <v>有效</v>
      </c>
      <c r="H538">
        <f>TeamHero生成!G538</f>
        <v>0</v>
      </c>
      <c r="I538">
        <f>TeamHero生成!H538</f>
        <v>0</v>
      </c>
    </row>
    <row r="539" spans="1:9">
      <c r="A539">
        <f>TeamHero生成!A539</f>
        <v>535</v>
      </c>
      <c r="B539">
        <f>TeamHero生成!B539</f>
        <v>1029</v>
      </c>
      <c r="C539">
        <f>TeamHero生成!C539</f>
        <v>60</v>
      </c>
      <c r="D539">
        <f>TeamHero生成!D539</f>
        <v>2415983</v>
      </c>
      <c r="E539">
        <f>TeamHero生成!E539</f>
        <v>34309</v>
      </c>
      <c r="F539">
        <f>TeamHero生成!F539</f>
        <v>38366</v>
      </c>
      <c r="G539" t="str">
        <f>TeamHero生成!AG539</f>
        <v>有效</v>
      </c>
      <c r="H539">
        <f>TeamHero生成!G539</f>
        <v>0</v>
      </c>
      <c r="I539">
        <f>TeamHero生成!H539</f>
        <v>0</v>
      </c>
    </row>
    <row r="540" spans="1:9">
      <c r="A540">
        <f>TeamHero生成!A540</f>
        <v>536</v>
      </c>
      <c r="B540">
        <f>TeamHero生成!B540</f>
        <v>1003</v>
      </c>
      <c r="C540">
        <f>TeamHero生成!C540</f>
        <v>60</v>
      </c>
      <c r="D540">
        <f>TeamHero生成!D540</f>
        <v>2955158</v>
      </c>
      <c r="E540">
        <f>TeamHero生成!E540</f>
        <v>34806</v>
      </c>
      <c r="F540">
        <f>TeamHero生成!F540</f>
        <v>46458</v>
      </c>
      <c r="G540" t="str">
        <f>TeamHero生成!AG540</f>
        <v>有效</v>
      </c>
      <c r="H540">
        <f>TeamHero生成!G540</f>
        <v>0</v>
      </c>
      <c r="I540">
        <f>TeamHero生成!H540</f>
        <v>0</v>
      </c>
    </row>
    <row r="541" spans="1:9">
      <c r="A541">
        <f>TeamHero生成!A541</f>
        <v>537</v>
      </c>
      <c r="B541">
        <f>TeamHero生成!B541</f>
        <v>1005</v>
      </c>
      <c r="C541">
        <f>TeamHero生成!C541</f>
        <v>60</v>
      </c>
      <c r="D541">
        <f>TeamHero生成!D541</f>
        <v>1970105</v>
      </c>
      <c r="E541">
        <f>TeamHero生成!E541</f>
        <v>41767</v>
      </c>
      <c r="F541">
        <f>TeamHero生成!F541</f>
        <v>30972</v>
      </c>
      <c r="G541" t="str">
        <f>TeamHero生成!AG541</f>
        <v>有效</v>
      </c>
      <c r="H541">
        <f>TeamHero生成!G541</f>
        <v>0</v>
      </c>
      <c r="I541">
        <f>TeamHero生成!H541</f>
        <v>0</v>
      </c>
    </row>
    <row r="542" spans="1:9">
      <c r="A542">
        <f>TeamHero生成!A542</f>
        <v>538</v>
      </c>
      <c r="B542">
        <f>TeamHero生成!B542</f>
        <v>1005</v>
      </c>
      <c r="C542">
        <f>TeamHero生成!C542</f>
        <v>60</v>
      </c>
      <c r="D542">
        <f>TeamHero生成!D542</f>
        <v>1970105</v>
      </c>
      <c r="E542">
        <f>TeamHero生成!E542</f>
        <v>41767</v>
      </c>
      <c r="F542">
        <f>TeamHero生成!F542</f>
        <v>30972</v>
      </c>
      <c r="G542" t="str">
        <f>TeamHero生成!AG542</f>
        <v>有效</v>
      </c>
      <c r="H542">
        <f>TeamHero生成!G542</f>
        <v>0</v>
      </c>
      <c r="I542">
        <f>TeamHero生成!H542</f>
        <v>0</v>
      </c>
    </row>
    <row r="543" spans="1:9">
      <c r="A543">
        <f>TeamHero生成!A543</f>
        <v>539</v>
      </c>
      <c r="B543">
        <f>TeamHero生成!B543</f>
        <v>1005</v>
      </c>
      <c r="C543">
        <f>TeamHero生成!C543</f>
        <v>60</v>
      </c>
      <c r="D543">
        <f>TeamHero生成!D543</f>
        <v>1970105</v>
      </c>
      <c r="E543">
        <f>TeamHero生成!E543</f>
        <v>41767</v>
      </c>
      <c r="F543">
        <f>TeamHero生成!F543</f>
        <v>30972</v>
      </c>
      <c r="G543" t="str">
        <f>TeamHero生成!AG543</f>
        <v>有效</v>
      </c>
      <c r="H543">
        <f>TeamHero生成!G543</f>
        <v>0</v>
      </c>
      <c r="I543">
        <f>TeamHero生成!H543</f>
        <v>0</v>
      </c>
    </row>
    <row r="544" spans="1:9">
      <c r="A544">
        <f>TeamHero生成!A544</f>
        <v>540</v>
      </c>
      <c r="B544">
        <f>TeamHero生成!B544</f>
        <v>1029</v>
      </c>
      <c r="C544">
        <f>TeamHero生成!C544</f>
        <v>60</v>
      </c>
      <c r="D544">
        <f>TeamHero生成!D544</f>
        <v>2462631</v>
      </c>
      <c r="E544">
        <f>TeamHero生成!E544</f>
        <v>34806</v>
      </c>
      <c r="F544">
        <f>TeamHero生成!F544</f>
        <v>38715</v>
      </c>
      <c r="G544" t="str">
        <f>TeamHero生成!AG544</f>
        <v>有效</v>
      </c>
      <c r="H544">
        <f>TeamHero生成!G544</f>
        <v>0</v>
      </c>
      <c r="I544">
        <f>TeamHero生成!H544</f>
        <v>0</v>
      </c>
    </row>
    <row r="545" spans="1:9">
      <c r="A545">
        <f>TeamHero生成!A545</f>
        <v>541</v>
      </c>
      <c r="B545">
        <f>TeamHero生成!B545</f>
        <v>1003</v>
      </c>
      <c r="C545">
        <f>TeamHero生成!C545</f>
        <v>60</v>
      </c>
      <c r="D545">
        <f>TeamHero生成!D545</f>
        <v>2983454</v>
      </c>
      <c r="E545">
        <f>TeamHero生成!E545</f>
        <v>35057</v>
      </c>
      <c r="F545">
        <f>TeamHero生成!F545</f>
        <v>46668</v>
      </c>
      <c r="G545" t="str">
        <f>TeamHero生成!AG545</f>
        <v>有效</v>
      </c>
      <c r="H545">
        <f>TeamHero生成!G545</f>
        <v>0</v>
      </c>
      <c r="I545">
        <f>TeamHero生成!H545</f>
        <v>0</v>
      </c>
    </row>
    <row r="546" spans="1:9">
      <c r="A546">
        <f>TeamHero生成!A546</f>
        <v>542</v>
      </c>
      <c r="B546">
        <f>TeamHero生成!B546</f>
        <v>1005</v>
      </c>
      <c r="C546">
        <f>TeamHero生成!C546</f>
        <v>60</v>
      </c>
      <c r="D546">
        <f>TeamHero生成!D546</f>
        <v>1988969</v>
      </c>
      <c r="E546">
        <f>TeamHero生成!E546</f>
        <v>42069</v>
      </c>
      <c r="F546">
        <f>TeamHero生成!F546</f>
        <v>31112</v>
      </c>
      <c r="G546" t="str">
        <f>TeamHero生成!AG546</f>
        <v>有效</v>
      </c>
      <c r="H546">
        <f>TeamHero生成!G546</f>
        <v>0</v>
      </c>
      <c r="I546">
        <f>TeamHero生成!H546</f>
        <v>0</v>
      </c>
    </row>
    <row r="547" spans="1:9">
      <c r="A547">
        <f>TeamHero生成!A547</f>
        <v>543</v>
      </c>
      <c r="B547">
        <f>TeamHero生成!B547</f>
        <v>1005</v>
      </c>
      <c r="C547">
        <f>TeamHero生成!C547</f>
        <v>60</v>
      </c>
      <c r="D547">
        <f>TeamHero生成!D547</f>
        <v>1988969</v>
      </c>
      <c r="E547">
        <f>TeamHero生成!E547</f>
        <v>42069</v>
      </c>
      <c r="F547">
        <f>TeamHero生成!F547</f>
        <v>31112</v>
      </c>
      <c r="G547" t="str">
        <f>TeamHero生成!AG547</f>
        <v>有效</v>
      </c>
      <c r="H547">
        <f>TeamHero生成!G547</f>
        <v>0</v>
      </c>
      <c r="I547">
        <f>TeamHero生成!H547</f>
        <v>0</v>
      </c>
    </row>
    <row r="548" spans="1:9">
      <c r="A548">
        <f>TeamHero生成!A548</f>
        <v>544</v>
      </c>
      <c r="B548">
        <f>TeamHero生成!B548</f>
        <v>1005</v>
      </c>
      <c r="C548">
        <f>TeamHero生成!C548</f>
        <v>60</v>
      </c>
      <c r="D548">
        <f>TeamHero生成!D548</f>
        <v>1988969</v>
      </c>
      <c r="E548">
        <f>TeamHero生成!E548</f>
        <v>42069</v>
      </c>
      <c r="F548">
        <f>TeamHero生成!F548</f>
        <v>31112</v>
      </c>
      <c r="G548" t="str">
        <f>TeamHero生成!AG548</f>
        <v>有效</v>
      </c>
      <c r="H548">
        <f>TeamHero生成!G548</f>
        <v>0</v>
      </c>
      <c r="I548">
        <f>TeamHero生成!H548</f>
        <v>0</v>
      </c>
    </row>
    <row r="549" spans="1:9">
      <c r="A549">
        <f>TeamHero生成!A549</f>
        <v>545</v>
      </c>
      <c r="B549">
        <f>TeamHero生成!B549</f>
        <v>1029</v>
      </c>
      <c r="C549">
        <f>TeamHero生成!C549</f>
        <v>60</v>
      </c>
      <c r="D549">
        <f>TeamHero生成!D549</f>
        <v>2486212</v>
      </c>
      <c r="E549">
        <f>TeamHero生成!E549</f>
        <v>35057</v>
      </c>
      <c r="F549">
        <f>TeamHero生成!F549</f>
        <v>38890</v>
      </c>
      <c r="G549" t="str">
        <f>TeamHero生成!AG549</f>
        <v>有效</v>
      </c>
      <c r="H549">
        <f>TeamHero生成!G549</f>
        <v>0</v>
      </c>
      <c r="I549">
        <f>TeamHero生成!H549</f>
        <v>0</v>
      </c>
    </row>
    <row r="550" spans="1:9">
      <c r="A550">
        <f>TeamHero生成!A550</f>
        <v>546</v>
      </c>
      <c r="B550">
        <f>TeamHero生成!B550</f>
        <v>1003</v>
      </c>
      <c r="C550">
        <f>TeamHero生成!C550</f>
        <v>60</v>
      </c>
      <c r="D550">
        <f>TeamHero生成!D550</f>
        <v>3014355</v>
      </c>
      <c r="E550">
        <f>TeamHero生成!E550</f>
        <v>35377</v>
      </c>
      <c r="F550">
        <f>TeamHero生成!F550</f>
        <v>46878</v>
      </c>
      <c r="G550" t="str">
        <f>TeamHero生成!AG550</f>
        <v>有效</v>
      </c>
      <c r="H550">
        <f>TeamHero生成!G550</f>
        <v>0</v>
      </c>
      <c r="I550">
        <f>TeamHero生成!H550</f>
        <v>0</v>
      </c>
    </row>
    <row r="551" spans="1:9">
      <c r="A551">
        <f>TeamHero生成!A551</f>
        <v>547</v>
      </c>
      <c r="B551">
        <f>TeamHero生成!B551</f>
        <v>1005</v>
      </c>
      <c r="C551">
        <f>TeamHero生成!C551</f>
        <v>60</v>
      </c>
      <c r="D551">
        <f>TeamHero生成!D551</f>
        <v>2009570</v>
      </c>
      <c r="E551">
        <f>TeamHero生成!E551</f>
        <v>42453</v>
      </c>
      <c r="F551">
        <f>TeamHero生成!F551</f>
        <v>31252</v>
      </c>
      <c r="G551" t="str">
        <f>TeamHero生成!AG551</f>
        <v>有效</v>
      </c>
      <c r="H551">
        <f>TeamHero生成!G551</f>
        <v>0</v>
      </c>
      <c r="I551">
        <f>TeamHero生成!H551</f>
        <v>0</v>
      </c>
    </row>
    <row r="552" spans="1:9">
      <c r="A552">
        <f>TeamHero生成!A552</f>
        <v>548</v>
      </c>
      <c r="B552">
        <f>TeamHero生成!B552</f>
        <v>1005</v>
      </c>
      <c r="C552">
        <f>TeamHero生成!C552</f>
        <v>60</v>
      </c>
      <c r="D552">
        <f>TeamHero生成!D552</f>
        <v>2009570</v>
      </c>
      <c r="E552">
        <f>TeamHero生成!E552</f>
        <v>42453</v>
      </c>
      <c r="F552">
        <f>TeamHero生成!F552</f>
        <v>31252</v>
      </c>
      <c r="G552" t="str">
        <f>TeamHero生成!AG552</f>
        <v>有效</v>
      </c>
      <c r="H552">
        <f>TeamHero生成!G552</f>
        <v>0</v>
      </c>
      <c r="I552">
        <f>TeamHero生成!H552</f>
        <v>0</v>
      </c>
    </row>
    <row r="553" spans="1:9">
      <c r="A553">
        <f>TeamHero生成!A553</f>
        <v>549</v>
      </c>
      <c r="B553">
        <f>TeamHero生成!B553</f>
        <v>1005</v>
      </c>
      <c r="C553">
        <f>TeamHero生成!C553</f>
        <v>60</v>
      </c>
      <c r="D553">
        <f>TeamHero生成!D553</f>
        <v>2009570</v>
      </c>
      <c r="E553">
        <f>TeamHero生成!E553</f>
        <v>42453</v>
      </c>
      <c r="F553">
        <f>TeamHero生成!F553</f>
        <v>31252</v>
      </c>
      <c r="G553" t="str">
        <f>TeamHero生成!AG553</f>
        <v>有效</v>
      </c>
      <c r="H553">
        <f>TeamHero生成!G553</f>
        <v>0</v>
      </c>
      <c r="I553">
        <f>TeamHero生成!H553</f>
        <v>0</v>
      </c>
    </row>
    <row r="554" spans="1:9">
      <c r="A554">
        <f>TeamHero生成!A554</f>
        <v>550</v>
      </c>
      <c r="B554">
        <f>TeamHero生成!B554</f>
        <v>1029</v>
      </c>
      <c r="C554">
        <f>TeamHero生成!C554</f>
        <v>60</v>
      </c>
      <c r="D554">
        <f>TeamHero生成!D554</f>
        <v>2511962</v>
      </c>
      <c r="E554">
        <f>TeamHero生成!E554</f>
        <v>35377</v>
      </c>
      <c r="F554">
        <f>TeamHero生成!F554</f>
        <v>39065</v>
      </c>
      <c r="G554" t="str">
        <f>TeamHero生成!AG554</f>
        <v>有效</v>
      </c>
      <c r="H554">
        <f>TeamHero生成!G554</f>
        <v>0</v>
      </c>
      <c r="I554">
        <f>TeamHero生成!H554</f>
        <v>0</v>
      </c>
    </row>
    <row r="555" spans="1:9">
      <c r="A555">
        <f>TeamHero生成!A555</f>
        <v>551</v>
      </c>
      <c r="B555">
        <f>TeamHero生成!B555</f>
        <v>1003</v>
      </c>
      <c r="C555">
        <f>TeamHero生成!C555</f>
        <v>60</v>
      </c>
      <c r="D555">
        <f>TeamHero生成!D555</f>
        <v>3040675</v>
      </c>
      <c r="E555">
        <f>TeamHero生成!E555</f>
        <v>35564</v>
      </c>
      <c r="F555">
        <f>TeamHero生成!F555</f>
        <v>47090</v>
      </c>
      <c r="G555" t="str">
        <f>TeamHero生成!AG555</f>
        <v>有效</v>
      </c>
      <c r="H555">
        <f>TeamHero生成!G555</f>
        <v>0</v>
      </c>
      <c r="I555">
        <f>TeamHero生成!H555</f>
        <v>0</v>
      </c>
    </row>
    <row r="556" spans="1:9">
      <c r="A556">
        <f>TeamHero生成!A556</f>
        <v>552</v>
      </c>
      <c r="B556">
        <f>TeamHero生成!B556</f>
        <v>1005</v>
      </c>
      <c r="C556">
        <f>TeamHero生成!C556</f>
        <v>60</v>
      </c>
      <c r="D556">
        <f>TeamHero生成!D556</f>
        <v>2027117</v>
      </c>
      <c r="E556">
        <f>TeamHero生成!E556</f>
        <v>42676</v>
      </c>
      <c r="F556">
        <f>TeamHero生成!F556</f>
        <v>31393</v>
      </c>
      <c r="G556" t="str">
        <f>TeamHero生成!AG556</f>
        <v>有效</v>
      </c>
      <c r="H556">
        <f>TeamHero生成!G556</f>
        <v>0</v>
      </c>
      <c r="I556">
        <f>TeamHero生成!H556</f>
        <v>0</v>
      </c>
    </row>
    <row r="557" spans="1:9">
      <c r="A557">
        <f>TeamHero生成!A557</f>
        <v>553</v>
      </c>
      <c r="B557">
        <f>TeamHero生成!B557</f>
        <v>1005</v>
      </c>
      <c r="C557">
        <f>TeamHero生成!C557</f>
        <v>60</v>
      </c>
      <c r="D557">
        <f>TeamHero生成!D557</f>
        <v>2027117</v>
      </c>
      <c r="E557">
        <f>TeamHero生成!E557</f>
        <v>42676</v>
      </c>
      <c r="F557">
        <f>TeamHero生成!F557</f>
        <v>31393</v>
      </c>
      <c r="G557" t="str">
        <f>TeamHero生成!AG557</f>
        <v>有效</v>
      </c>
      <c r="H557">
        <f>TeamHero生成!G557</f>
        <v>0</v>
      </c>
      <c r="I557">
        <f>TeamHero生成!H557</f>
        <v>0</v>
      </c>
    </row>
    <row r="558" spans="1:9">
      <c r="A558">
        <f>TeamHero生成!A558</f>
        <v>554</v>
      </c>
      <c r="B558">
        <f>TeamHero生成!B558</f>
        <v>1005</v>
      </c>
      <c r="C558">
        <f>TeamHero生成!C558</f>
        <v>60</v>
      </c>
      <c r="D558">
        <f>TeamHero生成!D558</f>
        <v>2027117</v>
      </c>
      <c r="E558">
        <f>TeamHero生成!E558</f>
        <v>42676</v>
      </c>
      <c r="F558">
        <f>TeamHero生成!F558</f>
        <v>31393</v>
      </c>
      <c r="G558" t="str">
        <f>TeamHero生成!AG558</f>
        <v>有效</v>
      </c>
      <c r="H558">
        <f>TeamHero生成!G558</f>
        <v>0</v>
      </c>
      <c r="I558">
        <f>TeamHero生成!H558</f>
        <v>0</v>
      </c>
    </row>
    <row r="559" spans="1:9">
      <c r="A559">
        <f>TeamHero生成!A559</f>
        <v>555</v>
      </c>
      <c r="B559">
        <f>TeamHero生成!B559</f>
        <v>1029</v>
      </c>
      <c r="C559">
        <f>TeamHero生成!C559</f>
        <v>60</v>
      </c>
      <c r="D559">
        <f>TeamHero生成!D559</f>
        <v>2533896</v>
      </c>
      <c r="E559">
        <f>TeamHero生成!E559</f>
        <v>35564</v>
      </c>
      <c r="F559">
        <f>TeamHero生成!F559</f>
        <v>39241</v>
      </c>
      <c r="G559" t="str">
        <f>TeamHero生成!AG559</f>
        <v>有效</v>
      </c>
      <c r="H559">
        <f>TeamHero生成!G559</f>
        <v>0</v>
      </c>
      <c r="I559">
        <f>TeamHero生成!H559</f>
        <v>0</v>
      </c>
    </row>
    <row r="560" spans="1:9">
      <c r="A560">
        <f>TeamHero生成!A560</f>
        <v>556</v>
      </c>
      <c r="B560">
        <f>TeamHero生成!B560</f>
        <v>1003</v>
      </c>
      <c r="C560">
        <f>TeamHero生成!C560</f>
        <v>60</v>
      </c>
      <c r="D560">
        <f>TeamHero生成!D560</f>
        <v>3098727</v>
      </c>
      <c r="E560">
        <f>TeamHero生成!E560</f>
        <v>36075</v>
      </c>
      <c r="F560">
        <f>TeamHero生成!F560</f>
        <v>47511</v>
      </c>
      <c r="G560" t="str">
        <f>TeamHero生成!AG560</f>
        <v>有效</v>
      </c>
      <c r="H560">
        <f>TeamHero生成!G560</f>
        <v>0</v>
      </c>
      <c r="I560">
        <f>TeamHero生成!H560</f>
        <v>0</v>
      </c>
    </row>
    <row r="561" spans="1:9">
      <c r="A561">
        <f>TeamHero生成!A561</f>
        <v>557</v>
      </c>
      <c r="B561">
        <f>TeamHero生成!B561</f>
        <v>1005</v>
      </c>
      <c r="C561">
        <f>TeamHero生成!C561</f>
        <v>60</v>
      </c>
      <c r="D561">
        <f>TeamHero生成!D561</f>
        <v>2065818</v>
      </c>
      <c r="E561">
        <f>TeamHero生成!E561</f>
        <v>43290</v>
      </c>
      <c r="F561">
        <f>TeamHero生成!F561</f>
        <v>31674</v>
      </c>
      <c r="G561" t="str">
        <f>TeamHero生成!AG561</f>
        <v>有效</v>
      </c>
      <c r="H561">
        <f>TeamHero生成!G561</f>
        <v>0</v>
      </c>
      <c r="I561">
        <f>TeamHero生成!H561</f>
        <v>0</v>
      </c>
    </row>
    <row r="562" spans="1:9">
      <c r="A562">
        <f>TeamHero生成!A562</f>
        <v>558</v>
      </c>
      <c r="B562">
        <f>TeamHero生成!B562</f>
        <v>1005</v>
      </c>
      <c r="C562">
        <f>TeamHero生成!C562</f>
        <v>60</v>
      </c>
      <c r="D562">
        <f>TeamHero生成!D562</f>
        <v>2065818</v>
      </c>
      <c r="E562">
        <f>TeamHero生成!E562</f>
        <v>43290</v>
      </c>
      <c r="F562">
        <f>TeamHero生成!F562</f>
        <v>31674</v>
      </c>
      <c r="G562" t="str">
        <f>TeamHero生成!AG562</f>
        <v>有效</v>
      </c>
      <c r="H562">
        <f>TeamHero生成!G562</f>
        <v>0</v>
      </c>
      <c r="I562">
        <f>TeamHero生成!H562</f>
        <v>0</v>
      </c>
    </row>
    <row r="563" spans="1:9">
      <c r="A563">
        <f>TeamHero生成!A563</f>
        <v>559</v>
      </c>
      <c r="B563">
        <f>TeamHero生成!B563</f>
        <v>1005</v>
      </c>
      <c r="C563">
        <f>TeamHero生成!C563</f>
        <v>60</v>
      </c>
      <c r="D563">
        <f>TeamHero生成!D563</f>
        <v>2065818</v>
      </c>
      <c r="E563">
        <f>TeamHero生成!E563</f>
        <v>43290</v>
      </c>
      <c r="F563">
        <f>TeamHero生成!F563</f>
        <v>31674</v>
      </c>
      <c r="G563" t="str">
        <f>TeamHero生成!AG563</f>
        <v>有效</v>
      </c>
      <c r="H563">
        <f>TeamHero生成!G563</f>
        <v>0</v>
      </c>
      <c r="I563">
        <f>TeamHero生成!H563</f>
        <v>0</v>
      </c>
    </row>
    <row r="564" spans="1:9">
      <c r="A564">
        <f>TeamHero生成!A564</f>
        <v>560</v>
      </c>
      <c r="B564">
        <f>TeamHero生成!B564</f>
        <v>1029</v>
      </c>
      <c r="C564">
        <f>TeamHero生成!C564</f>
        <v>60</v>
      </c>
      <c r="D564">
        <f>TeamHero生成!D564</f>
        <v>2582272</v>
      </c>
      <c r="E564">
        <f>TeamHero生成!E564</f>
        <v>36075</v>
      </c>
      <c r="F564">
        <f>TeamHero生成!F564</f>
        <v>39593</v>
      </c>
      <c r="G564" t="str">
        <f>TeamHero生成!AG564</f>
        <v>有效</v>
      </c>
      <c r="H564">
        <f>TeamHero生成!G564</f>
        <v>0</v>
      </c>
      <c r="I564">
        <f>TeamHero生成!H564</f>
        <v>0</v>
      </c>
    </row>
    <row r="565" spans="1:9">
      <c r="A565">
        <f>TeamHero生成!A565</f>
        <v>561</v>
      </c>
      <c r="B565">
        <f>TeamHero生成!B565</f>
        <v>1003</v>
      </c>
      <c r="C565">
        <f>TeamHero生成!C565</f>
        <v>60</v>
      </c>
      <c r="D565">
        <f>TeamHero生成!D565</f>
        <v>3128063</v>
      </c>
      <c r="E565">
        <f>TeamHero生成!E565</f>
        <v>36334</v>
      </c>
      <c r="F565">
        <f>TeamHero生成!F565</f>
        <v>47723</v>
      </c>
      <c r="G565" t="str">
        <f>TeamHero生成!AG565</f>
        <v>有效</v>
      </c>
      <c r="H565">
        <f>TeamHero生成!G565</f>
        <v>0</v>
      </c>
      <c r="I565">
        <f>TeamHero生成!H565</f>
        <v>0</v>
      </c>
    </row>
    <row r="566" spans="1:9">
      <c r="A566">
        <f>TeamHero生成!A566</f>
        <v>562</v>
      </c>
      <c r="B566">
        <f>TeamHero生成!B566</f>
        <v>1005</v>
      </c>
      <c r="C566">
        <f>TeamHero生成!C566</f>
        <v>60</v>
      </c>
      <c r="D566">
        <f>TeamHero生成!D566</f>
        <v>2085376</v>
      </c>
      <c r="E566">
        <f>TeamHero生成!E566</f>
        <v>43600</v>
      </c>
      <c r="F566">
        <f>TeamHero生成!F566</f>
        <v>31815</v>
      </c>
      <c r="G566" t="str">
        <f>TeamHero生成!AG566</f>
        <v>有效</v>
      </c>
      <c r="H566">
        <f>TeamHero生成!G566</f>
        <v>0</v>
      </c>
      <c r="I566">
        <f>TeamHero生成!H566</f>
        <v>0</v>
      </c>
    </row>
    <row r="567" spans="1:9">
      <c r="A567">
        <f>TeamHero生成!A567</f>
        <v>563</v>
      </c>
      <c r="B567">
        <f>TeamHero生成!B567</f>
        <v>1005</v>
      </c>
      <c r="C567">
        <f>TeamHero生成!C567</f>
        <v>60</v>
      </c>
      <c r="D567">
        <f>TeamHero生成!D567</f>
        <v>2085376</v>
      </c>
      <c r="E567">
        <f>TeamHero生成!E567</f>
        <v>43600</v>
      </c>
      <c r="F567">
        <f>TeamHero生成!F567</f>
        <v>31815</v>
      </c>
      <c r="G567" t="str">
        <f>TeamHero生成!AG567</f>
        <v>有效</v>
      </c>
      <c r="H567">
        <f>TeamHero生成!G567</f>
        <v>0</v>
      </c>
      <c r="I567">
        <f>TeamHero生成!H567</f>
        <v>0</v>
      </c>
    </row>
    <row r="568" spans="1:9">
      <c r="A568">
        <f>TeamHero生成!A568</f>
        <v>564</v>
      </c>
      <c r="B568">
        <f>TeamHero生成!B568</f>
        <v>1005</v>
      </c>
      <c r="C568">
        <f>TeamHero生成!C568</f>
        <v>60</v>
      </c>
      <c r="D568">
        <f>TeamHero生成!D568</f>
        <v>2085376</v>
      </c>
      <c r="E568">
        <f>TeamHero生成!E568</f>
        <v>43600</v>
      </c>
      <c r="F568">
        <f>TeamHero生成!F568</f>
        <v>31815</v>
      </c>
      <c r="G568" t="str">
        <f>TeamHero生成!AG568</f>
        <v>有效</v>
      </c>
      <c r="H568">
        <f>TeamHero生成!G568</f>
        <v>0</v>
      </c>
      <c r="I568">
        <f>TeamHero生成!H568</f>
        <v>0</v>
      </c>
    </row>
    <row r="569" spans="1:9">
      <c r="A569">
        <f>TeamHero生成!A569</f>
        <v>565</v>
      </c>
      <c r="B569">
        <f>TeamHero生成!B569</f>
        <v>1029</v>
      </c>
      <c r="C569">
        <f>TeamHero生成!C569</f>
        <v>60</v>
      </c>
      <c r="D569">
        <f>TeamHero生成!D569</f>
        <v>2606720</v>
      </c>
      <c r="E569">
        <f>TeamHero生成!E569</f>
        <v>36334</v>
      </c>
      <c r="F569">
        <f>TeamHero生成!F569</f>
        <v>39769</v>
      </c>
      <c r="G569" t="str">
        <f>TeamHero生成!AG569</f>
        <v>有效</v>
      </c>
      <c r="H569">
        <f>TeamHero生成!G569</f>
        <v>0</v>
      </c>
      <c r="I569">
        <f>TeamHero生成!H569</f>
        <v>0</v>
      </c>
    </row>
    <row r="570" spans="1:9">
      <c r="A570">
        <f>TeamHero生成!A570</f>
        <v>566</v>
      </c>
      <c r="B570">
        <f>TeamHero生成!B570</f>
        <v>1003</v>
      </c>
      <c r="C570">
        <f>TeamHero生成!C570</f>
        <v>60</v>
      </c>
      <c r="D570">
        <f>TeamHero生成!D570</f>
        <v>3187385</v>
      </c>
      <c r="E570">
        <f>TeamHero生成!E570</f>
        <v>36854</v>
      </c>
      <c r="F570">
        <f>TeamHero生成!F570</f>
        <v>48147</v>
      </c>
      <c r="G570" t="str">
        <f>TeamHero生成!AG570</f>
        <v>有效</v>
      </c>
      <c r="H570">
        <f>TeamHero生成!G570</f>
        <v>0</v>
      </c>
      <c r="I570">
        <f>TeamHero生成!H570</f>
        <v>0</v>
      </c>
    </row>
    <row r="571" spans="1:9">
      <c r="A571">
        <f>TeamHero生成!A571</f>
        <v>567</v>
      </c>
      <c r="B571">
        <f>TeamHero生成!B571</f>
        <v>1005</v>
      </c>
      <c r="C571">
        <f>TeamHero生成!C571</f>
        <v>60</v>
      </c>
      <c r="D571">
        <f>TeamHero生成!D571</f>
        <v>2124923</v>
      </c>
      <c r="E571">
        <f>TeamHero生成!E571</f>
        <v>44224</v>
      </c>
      <c r="F571">
        <f>TeamHero生成!F571</f>
        <v>32098</v>
      </c>
      <c r="G571" t="str">
        <f>TeamHero生成!AG571</f>
        <v>有效</v>
      </c>
      <c r="H571">
        <f>TeamHero生成!G571</f>
        <v>0</v>
      </c>
      <c r="I571">
        <f>TeamHero生成!H571</f>
        <v>0</v>
      </c>
    </row>
    <row r="572" spans="1:9">
      <c r="A572">
        <f>TeamHero生成!A572</f>
        <v>568</v>
      </c>
      <c r="B572">
        <f>TeamHero生成!B572</f>
        <v>1005</v>
      </c>
      <c r="C572">
        <f>TeamHero生成!C572</f>
        <v>60</v>
      </c>
      <c r="D572">
        <f>TeamHero生成!D572</f>
        <v>2124923</v>
      </c>
      <c r="E572">
        <f>TeamHero生成!E572</f>
        <v>44224</v>
      </c>
      <c r="F572">
        <f>TeamHero生成!F572</f>
        <v>32098</v>
      </c>
      <c r="G572" t="str">
        <f>TeamHero生成!AG572</f>
        <v>有效</v>
      </c>
      <c r="H572">
        <f>TeamHero生成!G572</f>
        <v>0</v>
      </c>
      <c r="I572">
        <f>TeamHero生成!H572</f>
        <v>0</v>
      </c>
    </row>
    <row r="573" spans="1:9">
      <c r="A573">
        <f>TeamHero生成!A573</f>
        <v>569</v>
      </c>
      <c r="B573">
        <f>TeamHero生成!B573</f>
        <v>1005</v>
      </c>
      <c r="C573">
        <f>TeamHero生成!C573</f>
        <v>60</v>
      </c>
      <c r="D573">
        <f>TeamHero生成!D573</f>
        <v>2124923</v>
      </c>
      <c r="E573">
        <f>TeamHero生成!E573</f>
        <v>44224</v>
      </c>
      <c r="F573">
        <f>TeamHero生成!F573</f>
        <v>32098</v>
      </c>
      <c r="G573" t="str">
        <f>TeamHero生成!AG573</f>
        <v>有效</v>
      </c>
      <c r="H573">
        <f>TeamHero生成!G573</f>
        <v>0</v>
      </c>
      <c r="I573">
        <f>TeamHero生成!H573</f>
        <v>0</v>
      </c>
    </row>
    <row r="574" spans="1:9">
      <c r="A574">
        <f>TeamHero生成!A574</f>
        <v>570</v>
      </c>
      <c r="B574">
        <f>TeamHero生成!B574</f>
        <v>1029</v>
      </c>
      <c r="C574">
        <f>TeamHero生成!C574</f>
        <v>60</v>
      </c>
      <c r="D574">
        <f>TeamHero生成!D574</f>
        <v>2656154</v>
      </c>
      <c r="E574">
        <f>TeamHero生成!E574</f>
        <v>36854</v>
      </c>
      <c r="F574">
        <f>TeamHero生成!F574</f>
        <v>40123</v>
      </c>
      <c r="G574" t="str">
        <f>TeamHero生成!AG574</f>
        <v>有效</v>
      </c>
      <c r="H574">
        <f>TeamHero生成!G574</f>
        <v>0</v>
      </c>
      <c r="I574">
        <f>TeamHero生成!H574</f>
        <v>0</v>
      </c>
    </row>
    <row r="575" spans="1:9">
      <c r="A575">
        <f>TeamHero生成!A575</f>
        <v>571</v>
      </c>
      <c r="B575">
        <f>TeamHero生成!B575</f>
        <v>1003</v>
      </c>
      <c r="C575">
        <f>TeamHero生成!C575</f>
        <v>60</v>
      </c>
      <c r="D575">
        <f>TeamHero生成!D575</f>
        <v>3232401</v>
      </c>
      <c r="E575">
        <f>TeamHero生成!E575</f>
        <v>36956</v>
      </c>
      <c r="F575">
        <f>TeamHero生成!F575</f>
        <v>48360</v>
      </c>
      <c r="G575" t="str">
        <f>TeamHero生成!AG575</f>
        <v>有效</v>
      </c>
      <c r="H575">
        <f>TeamHero生成!G575</f>
        <v>0</v>
      </c>
      <c r="I575">
        <f>TeamHero生成!H575</f>
        <v>0</v>
      </c>
    </row>
    <row r="576" spans="1:9">
      <c r="A576">
        <f>TeamHero生成!A576</f>
        <v>572</v>
      </c>
      <c r="B576">
        <f>TeamHero生成!B576</f>
        <v>1005</v>
      </c>
      <c r="C576">
        <f>TeamHero生成!C576</f>
        <v>60</v>
      </c>
      <c r="D576">
        <f>TeamHero生成!D576</f>
        <v>2154934</v>
      </c>
      <c r="E576">
        <f>TeamHero生成!E576</f>
        <v>44347</v>
      </c>
      <c r="F576">
        <f>TeamHero生成!F576</f>
        <v>32240</v>
      </c>
      <c r="G576" t="str">
        <f>TeamHero生成!AG576</f>
        <v>有效</v>
      </c>
      <c r="H576">
        <f>TeamHero生成!G576</f>
        <v>0</v>
      </c>
      <c r="I576">
        <f>TeamHero生成!H576</f>
        <v>0</v>
      </c>
    </row>
    <row r="577" spans="1:9">
      <c r="A577">
        <f>TeamHero生成!A577</f>
        <v>573</v>
      </c>
      <c r="B577">
        <f>TeamHero生成!B577</f>
        <v>1005</v>
      </c>
      <c r="C577">
        <f>TeamHero生成!C577</f>
        <v>60</v>
      </c>
      <c r="D577">
        <f>TeamHero生成!D577</f>
        <v>2154934</v>
      </c>
      <c r="E577">
        <f>TeamHero生成!E577</f>
        <v>44347</v>
      </c>
      <c r="F577">
        <f>TeamHero生成!F577</f>
        <v>32240</v>
      </c>
      <c r="G577" t="str">
        <f>TeamHero生成!AG577</f>
        <v>有效</v>
      </c>
      <c r="H577">
        <f>TeamHero生成!G577</f>
        <v>0</v>
      </c>
      <c r="I577">
        <f>TeamHero生成!H577</f>
        <v>0</v>
      </c>
    </row>
    <row r="578" spans="1:9">
      <c r="A578">
        <f>TeamHero生成!A578</f>
        <v>574</v>
      </c>
      <c r="B578">
        <f>TeamHero生成!B578</f>
        <v>1005</v>
      </c>
      <c r="C578">
        <f>TeamHero生成!C578</f>
        <v>60</v>
      </c>
      <c r="D578">
        <f>TeamHero生成!D578</f>
        <v>2154934</v>
      </c>
      <c r="E578">
        <f>TeamHero生成!E578</f>
        <v>44347</v>
      </c>
      <c r="F578">
        <f>TeamHero生成!F578</f>
        <v>32240</v>
      </c>
      <c r="G578" t="str">
        <f>TeamHero生成!AG578</f>
        <v>有效</v>
      </c>
      <c r="H578">
        <f>TeamHero生成!G578</f>
        <v>0</v>
      </c>
      <c r="I578">
        <f>TeamHero生成!H578</f>
        <v>0</v>
      </c>
    </row>
    <row r="579" spans="1:9">
      <c r="A579">
        <f>TeamHero生成!A579</f>
        <v>575</v>
      </c>
      <c r="B579">
        <f>TeamHero生成!B579</f>
        <v>1029</v>
      </c>
      <c r="C579">
        <f>TeamHero生成!C579</f>
        <v>60</v>
      </c>
      <c r="D579">
        <f>TeamHero生成!D579</f>
        <v>2693667</v>
      </c>
      <c r="E579">
        <f>TeamHero生成!E579</f>
        <v>36956</v>
      </c>
      <c r="F579">
        <f>TeamHero生成!F579</f>
        <v>40300</v>
      </c>
      <c r="G579" t="str">
        <f>TeamHero生成!AG579</f>
        <v>有效</v>
      </c>
      <c r="H579">
        <f>TeamHero生成!G579</f>
        <v>0</v>
      </c>
      <c r="I579">
        <f>TeamHero生成!H579</f>
        <v>0</v>
      </c>
    </row>
    <row r="580" spans="1:9">
      <c r="A580">
        <f>TeamHero生成!A580</f>
        <v>576</v>
      </c>
      <c r="B580">
        <f>TeamHero生成!B580</f>
        <v>1003</v>
      </c>
      <c r="C580">
        <f>TeamHero生成!C580</f>
        <v>60</v>
      </c>
      <c r="D580">
        <f>TeamHero生成!D580</f>
        <v>3247565</v>
      </c>
      <c r="E580">
        <f>TeamHero生成!E580</f>
        <v>37379</v>
      </c>
      <c r="F580">
        <f>TeamHero生成!F580</f>
        <v>48573</v>
      </c>
      <c r="G580" t="str">
        <f>TeamHero生成!AG580</f>
        <v>有效</v>
      </c>
      <c r="H580">
        <f>TeamHero生成!G580</f>
        <v>0</v>
      </c>
      <c r="I580">
        <f>TeamHero生成!H580</f>
        <v>0</v>
      </c>
    </row>
    <row r="581" spans="1:9">
      <c r="A581">
        <f>TeamHero生成!A581</f>
        <v>577</v>
      </c>
      <c r="B581">
        <f>TeamHero生成!B581</f>
        <v>1005</v>
      </c>
      <c r="C581">
        <f>TeamHero生成!C581</f>
        <v>60</v>
      </c>
      <c r="D581">
        <f>TeamHero生成!D581</f>
        <v>2165043</v>
      </c>
      <c r="E581">
        <f>TeamHero生成!E581</f>
        <v>44855</v>
      </c>
      <c r="F581">
        <f>TeamHero生成!F581</f>
        <v>32382</v>
      </c>
      <c r="G581" t="str">
        <f>TeamHero生成!AG581</f>
        <v>有效</v>
      </c>
      <c r="H581">
        <f>TeamHero生成!G581</f>
        <v>0</v>
      </c>
      <c r="I581">
        <f>TeamHero生成!H581</f>
        <v>0</v>
      </c>
    </row>
    <row r="582" spans="1:9">
      <c r="A582">
        <f>TeamHero生成!A582</f>
        <v>578</v>
      </c>
      <c r="B582">
        <f>TeamHero生成!B582</f>
        <v>1005</v>
      </c>
      <c r="C582">
        <f>TeamHero生成!C582</f>
        <v>60</v>
      </c>
      <c r="D582">
        <f>TeamHero生成!D582</f>
        <v>2165043</v>
      </c>
      <c r="E582">
        <f>TeamHero生成!E582</f>
        <v>44855</v>
      </c>
      <c r="F582">
        <f>TeamHero生成!F582</f>
        <v>32382</v>
      </c>
      <c r="G582" t="str">
        <f>TeamHero生成!AG582</f>
        <v>有效</v>
      </c>
      <c r="H582">
        <f>TeamHero生成!G582</f>
        <v>0</v>
      </c>
      <c r="I582">
        <f>TeamHero生成!H582</f>
        <v>0</v>
      </c>
    </row>
    <row r="583" spans="1:9">
      <c r="A583">
        <f>TeamHero生成!A583</f>
        <v>579</v>
      </c>
      <c r="B583">
        <f>TeamHero生成!B583</f>
        <v>1005</v>
      </c>
      <c r="C583">
        <f>TeamHero生成!C583</f>
        <v>60</v>
      </c>
      <c r="D583">
        <f>TeamHero生成!D583</f>
        <v>2165043</v>
      </c>
      <c r="E583">
        <f>TeamHero生成!E583</f>
        <v>44855</v>
      </c>
      <c r="F583">
        <f>TeamHero生成!F583</f>
        <v>32382</v>
      </c>
      <c r="G583" t="str">
        <f>TeamHero生成!AG583</f>
        <v>有效</v>
      </c>
      <c r="H583">
        <f>TeamHero生成!G583</f>
        <v>0</v>
      </c>
      <c r="I583">
        <f>TeamHero生成!H583</f>
        <v>0</v>
      </c>
    </row>
    <row r="584" spans="1:9">
      <c r="A584">
        <f>TeamHero生成!A584</f>
        <v>580</v>
      </c>
      <c r="B584">
        <f>TeamHero生成!B584</f>
        <v>1029</v>
      </c>
      <c r="C584">
        <f>TeamHero生成!C584</f>
        <v>60</v>
      </c>
      <c r="D584">
        <f>TeamHero生成!D584</f>
        <v>2706304</v>
      </c>
      <c r="E584">
        <f>TeamHero生成!E584</f>
        <v>37379</v>
      </c>
      <c r="F584">
        <f>TeamHero生成!F584</f>
        <v>40478</v>
      </c>
      <c r="G584" t="str">
        <f>TeamHero生成!AG584</f>
        <v>有效</v>
      </c>
      <c r="H584">
        <f>TeamHero生成!G584</f>
        <v>0</v>
      </c>
      <c r="I584">
        <f>TeamHero生成!H584</f>
        <v>0</v>
      </c>
    </row>
    <row r="585" spans="1:9">
      <c r="A585">
        <f>TeamHero生成!A585</f>
        <v>581</v>
      </c>
      <c r="B585">
        <f>TeamHero生成!B585</f>
        <v>1003</v>
      </c>
      <c r="C585">
        <f>TeamHero生成!C585</f>
        <v>60</v>
      </c>
      <c r="D585">
        <f>TeamHero生成!D585</f>
        <v>3308609</v>
      </c>
      <c r="E585">
        <f>TeamHero生成!E585</f>
        <v>37912</v>
      </c>
      <c r="F585">
        <f>TeamHero生成!F585</f>
        <v>48999</v>
      </c>
      <c r="G585" t="str">
        <f>TeamHero生成!AG585</f>
        <v>有效</v>
      </c>
      <c r="H585">
        <f>TeamHero生成!G585</f>
        <v>0</v>
      </c>
      <c r="I585">
        <f>TeamHero生成!H585</f>
        <v>0</v>
      </c>
    </row>
    <row r="586" spans="1:9">
      <c r="A586">
        <f>TeamHero生成!A586</f>
        <v>582</v>
      </c>
      <c r="B586">
        <f>TeamHero生成!B586</f>
        <v>1005</v>
      </c>
      <c r="C586">
        <f>TeamHero生成!C586</f>
        <v>60</v>
      </c>
      <c r="D586">
        <f>TeamHero生成!D586</f>
        <v>2205739</v>
      </c>
      <c r="E586">
        <f>TeamHero生成!E586</f>
        <v>45494</v>
      </c>
      <c r="F586">
        <f>TeamHero生成!F586</f>
        <v>32666</v>
      </c>
      <c r="G586" t="str">
        <f>TeamHero生成!AG586</f>
        <v>有效</v>
      </c>
      <c r="H586">
        <f>TeamHero生成!G586</f>
        <v>0</v>
      </c>
      <c r="I586">
        <f>TeamHero生成!H586</f>
        <v>0</v>
      </c>
    </row>
    <row r="587" spans="1:9">
      <c r="A587">
        <f>TeamHero生成!A587</f>
        <v>583</v>
      </c>
      <c r="B587">
        <f>TeamHero生成!B587</f>
        <v>1005</v>
      </c>
      <c r="C587">
        <f>TeamHero生成!C587</f>
        <v>60</v>
      </c>
      <c r="D587">
        <f>TeamHero生成!D587</f>
        <v>2205739</v>
      </c>
      <c r="E587">
        <f>TeamHero生成!E587</f>
        <v>45494</v>
      </c>
      <c r="F587">
        <f>TeamHero生成!F587</f>
        <v>32666</v>
      </c>
      <c r="G587" t="str">
        <f>TeamHero生成!AG587</f>
        <v>有效</v>
      </c>
      <c r="H587">
        <f>TeamHero生成!G587</f>
        <v>0</v>
      </c>
      <c r="I587">
        <f>TeamHero生成!H587</f>
        <v>0</v>
      </c>
    </row>
    <row r="588" spans="1:9">
      <c r="A588">
        <f>TeamHero生成!A588</f>
        <v>584</v>
      </c>
      <c r="B588">
        <f>TeamHero生成!B588</f>
        <v>1005</v>
      </c>
      <c r="C588">
        <f>TeamHero生成!C588</f>
        <v>60</v>
      </c>
      <c r="D588">
        <f>TeamHero生成!D588</f>
        <v>2205739</v>
      </c>
      <c r="E588">
        <f>TeamHero生成!E588</f>
        <v>45494</v>
      </c>
      <c r="F588">
        <f>TeamHero生成!F588</f>
        <v>32666</v>
      </c>
      <c r="G588" t="str">
        <f>TeamHero生成!AG588</f>
        <v>有效</v>
      </c>
      <c r="H588">
        <f>TeamHero生成!G588</f>
        <v>0</v>
      </c>
      <c r="I588">
        <f>TeamHero生成!H588</f>
        <v>0</v>
      </c>
    </row>
    <row r="589" spans="1:9">
      <c r="A589">
        <f>TeamHero生成!A589</f>
        <v>585</v>
      </c>
      <c r="B589">
        <f>TeamHero生成!B589</f>
        <v>1029</v>
      </c>
      <c r="C589">
        <f>TeamHero生成!C589</f>
        <v>60</v>
      </c>
      <c r="D589">
        <f>TeamHero生成!D589</f>
        <v>2757174</v>
      </c>
      <c r="E589">
        <f>TeamHero生成!E589</f>
        <v>37912</v>
      </c>
      <c r="F589">
        <f>TeamHero生成!F589</f>
        <v>40833</v>
      </c>
      <c r="G589" t="str">
        <f>TeamHero生成!AG589</f>
        <v>有效</v>
      </c>
      <c r="H589">
        <f>TeamHero生成!G589</f>
        <v>0</v>
      </c>
      <c r="I589">
        <f>TeamHero生成!H589</f>
        <v>0</v>
      </c>
    </row>
    <row r="590" spans="1:9">
      <c r="A590">
        <f>TeamHero生成!A590</f>
        <v>586</v>
      </c>
      <c r="B590">
        <f>TeamHero生成!B590</f>
        <v>1003</v>
      </c>
      <c r="C590">
        <f>TeamHero生成!C590</f>
        <v>60</v>
      </c>
      <c r="D590">
        <f>TeamHero生成!D590</f>
        <v>3339466</v>
      </c>
      <c r="E590">
        <f>TeamHero生成!E590</f>
        <v>38180</v>
      </c>
      <c r="F590">
        <f>TeamHero生成!F590</f>
        <v>49214</v>
      </c>
      <c r="G590" t="str">
        <f>TeamHero生成!AG590</f>
        <v>有效</v>
      </c>
      <c r="H590">
        <f>TeamHero生成!G590</f>
        <v>0</v>
      </c>
      <c r="I590">
        <f>TeamHero生成!H590</f>
        <v>0</v>
      </c>
    </row>
    <row r="591" spans="1:9">
      <c r="A591">
        <f>TeamHero生成!A591</f>
        <v>587</v>
      </c>
      <c r="B591">
        <f>TeamHero生成!B591</f>
        <v>1005</v>
      </c>
      <c r="C591">
        <f>TeamHero生成!C591</f>
        <v>60</v>
      </c>
      <c r="D591">
        <f>TeamHero生成!D591</f>
        <v>2226310</v>
      </c>
      <c r="E591">
        <f>TeamHero生成!E591</f>
        <v>45816</v>
      </c>
      <c r="F591">
        <f>TeamHero生成!F591</f>
        <v>32809</v>
      </c>
      <c r="G591" t="str">
        <f>TeamHero生成!AG591</f>
        <v>有效</v>
      </c>
      <c r="H591">
        <f>TeamHero生成!G591</f>
        <v>0</v>
      </c>
      <c r="I591">
        <f>TeamHero生成!H591</f>
        <v>0</v>
      </c>
    </row>
    <row r="592" spans="1:9">
      <c r="A592">
        <f>TeamHero生成!A592</f>
        <v>588</v>
      </c>
      <c r="B592">
        <f>TeamHero生成!B592</f>
        <v>1005</v>
      </c>
      <c r="C592">
        <f>TeamHero生成!C592</f>
        <v>60</v>
      </c>
      <c r="D592">
        <f>TeamHero生成!D592</f>
        <v>2226310</v>
      </c>
      <c r="E592">
        <f>TeamHero生成!E592</f>
        <v>45816</v>
      </c>
      <c r="F592">
        <f>TeamHero生成!F592</f>
        <v>32809</v>
      </c>
      <c r="G592" t="str">
        <f>TeamHero生成!AG592</f>
        <v>有效</v>
      </c>
      <c r="H592">
        <f>TeamHero生成!G592</f>
        <v>0</v>
      </c>
      <c r="I592">
        <f>TeamHero生成!H592</f>
        <v>0</v>
      </c>
    </row>
    <row r="593" spans="1:9">
      <c r="A593">
        <f>TeamHero生成!A593</f>
        <v>589</v>
      </c>
      <c r="B593">
        <f>TeamHero生成!B593</f>
        <v>1005</v>
      </c>
      <c r="C593">
        <f>TeamHero生成!C593</f>
        <v>60</v>
      </c>
      <c r="D593">
        <f>TeamHero生成!D593</f>
        <v>2226310</v>
      </c>
      <c r="E593">
        <f>TeamHero生成!E593</f>
        <v>45816</v>
      </c>
      <c r="F593">
        <f>TeamHero生成!F593</f>
        <v>32809</v>
      </c>
      <c r="G593" t="str">
        <f>TeamHero生成!AG593</f>
        <v>有效</v>
      </c>
      <c r="H593">
        <f>TeamHero生成!G593</f>
        <v>0</v>
      </c>
      <c r="I593">
        <f>TeamHero生成!H593</f>
        <v>0</v>
      </c>
    </row>
    <row r="594" spans="1:9">
      <c r="A594">
        <f>TeamHero生成!A594</f>
        <v>590</v>
      </c>
      <c r="B594">
        <f>TeamHero生成!B594</f>
        <v>1029</v>
      </c>
      <c r="C594">
        <f>TeamHero生成!C594</f>
        <v>60</v>
      </c>
      <c r="D594">
        <f>TeamHero生成!D594</f>
        <v>2782888</v>
      </c>
      <c r="E594">
        <f>TeamHero生成!E594</f>
        <v>38180</v>
      </c>
      <c r="F594">
        <f>TeamHero生成!F594</f>
        <v>41011</v>
      </c>
      <c r="G594" t="str">
        <f>TeamHero生成!AG594</f>
        <v>有效</v>
      </c>
      <c r="H594">
        <f>TeamHero生成!G594</f>
        <v>0</v>
      </c>
      <c r="I594">
        <f>TeamHero生成!H594</f>
        <v>0</v>
      </c>
    </row>
    <row r="595" spans="1:9">
      <c r="A595">
        <f>TeamHero生成!A595</f>
        <v>591</v>
      </c>
      <c r="B595">
        <f>TeamHero生成!B595</f>
        <v>1003</v>
      </c>
      <c r="C595">
        <f>TeamHero生成!C595</f>
        <v>60</v>
      </c>
      <c r="D595">
        <f>TeamHero生成!D595</f>
        <v>3401827</v>
      </c>
      <c r="E595">
        <f>TeamHero生成!E595</f>
        <v>38720</v>
      </c>
      <c r="F595">
        <f>TeamHero生成!F595</f>
        <v>49643</v>
      </c>
      <c r="G595" t="str">
        <f>TeamHero生成!AG595</f>
        <v>有效</v>
      </c>
      <c r="H595">
        <f>TeamHero生成!G595</f>
        <v>0</v>
      </c>
      <c r="I595">
        <f>TeamHero生成!H595</f>
        <v>0</v>
      </c>
    </row>
    <row r="596" spans="1:9">
      <c r="A596">
        <f>TeamHero生成!A596</f>
        <v>592</v>
      </c>
      <c r="B596">
        <f>TeamHero生成!B596</f>
        <v>1005</v>
      </c>
      <c r="C596">
        <f>TeamHero生成!C596</f>
        <v>60</v>
      </c>
      <c r="D596">
        <f>TeamHero生成!D596</f>
        <v>2267885</v>
      </c>
      <c r="E596">
        <f>TeamHero生成!E596</f>
        <v>46464</v>
      </c>
      <c r="F596">
        <f>TeamHero生成!F596</f>
        <v>33095</v>
      </c>
      <c r="G596" t="str">
        <f>TeamHero生成!AG596</f>
        <v>有效</v>
      </c>
      <c r="H596">
        <f>TeamHero生成!G596</f>
        <v>0</v>
      </c>
      <c r="I596">
        <f>TeamHero生成!H596</f>
        <v>0</v>
      </c>
    </row>
    <row r="597" spans="1:9">
      <c r="A597">
        <f>TeamHero生成!A597</f>
        <v>593</v>
      </c>
      <c r="B597">
        <f>TeamHero生成!B597</f>
        <v>1005</v>
      </c>
      <c r="C597">
        <f>TeamHero生成!C597</f>
        <v>60</v>
      </c>
      <c r="D597">
        <f>TeamHero生成!D597</f>
        <v>2267885</v>
      </c>
      <c r="E597">
        <f>TeamHero生成!E597</f>
        <v>46464</v>
      </c>
      <c r="F597">
        <f>TeamHero生成!F597</f>
        <v>33095</v>
      </c>
      <c r="G597" t="str">
        <f>TeamHero生成!AG597</f>
        <v>有效</v>
      </c>
      <c r="H597">
        <f>TeamHero生成!G597</f>
        <v>0</v>
      </c>
      <c r="I597">
        <f>TeamHero生成!H597</f>
        <v>0</v>
      </c>
    </row>
    <row r="598" spans="1:9">
      <c r="A598">
        <f>TeamHero生成!A598</f>
        <v>594</v>
      </c>
      <c r="B598">
        <f>TeamHero生成!B598</f>
        <v>1005</v>
      </c>
      <c r="C598">
        <f>TeamHero生成!C598</f>
        <v>60</v>
      </c>
      <c r="D598">
        <f>TeamHero生成!D598</f>
        <v>2267885</v>
      </c>
      <c r="E598">
        <f>TeamHero生成!E598</f>
        <v>46464</v>
      </c>
      <c r="F598">
        <f>TeamHero生成!F598</f>
        <v>33095</v>
      </c>
      <c r="G598" t="str">
        <f>TeamHero生成!AG598</f>
        <v>有效</v>
      </c>
      <c r="H598">
        <f>TeamHero生成!G598</f>
        <v>0</v>
      </c>
      <c r="I598">
        <f>TeamHero生成!H598</f>
        <v>0</v>
      </c>
    </row>
    <row r="599" spans="1:9">
      <c r="A599">
        <f>TeamHero生成!A599</f>
        <v>595</v>
      </c>
      <c r="B599">
        <f>TeamHero生成!B599</f>
        <v>1029</v>
      </c>
      <c r="C599">
        <f>TeamHero生成!C599</f>
        <v>60</v>
      </c>
      <c r="D599">
        <f>TeamHero生成!D599</f>
        <v>2834856</v>
      </c>
      <c r="E599">
        <f>TeamHero生成!E599</f>
        <v>38720</v>
      </c>
      <c r="F599">
        <f>TeamHero生成!F599</f>
        <v>41369</v>
      </c>
      <c r="G599" t="str">
        <f>TeamHero生成!AG599</f>
        <v>有效</v>
      </c>
      <c r="H599">
        <f>TeamHero生成!G599</f>
        <v>0</v>
      </c>
      <c r="I599">
        <f>TeamHero生成!H599</f>
        <v>0</v>
      </c>
    </row>
    <row r="600" spans="1:9">
      <c r="A600">
        <f>TeamHero生成!A600</f>
        <v>596</v>
      </c>
      <c r="B600">
        <f>TeamHero生成!B600</f>
        <v>1003</v>
      </c>
      <c r="C600">
        <f>TeamHero生成!C600</f>
        <v>60</v>
      </c>
      <c r="D600">
        <f>TeamHero生成!D600</f>
        <v>3436069</v>
      </c>
      <c r="E600">
        <f>TeamHero生成!E600</f>
        <v>39067</v>
      </c>
      <c r="F600">
        <f>TeamHero生成!F600</f>
        <v>49857</v>
      </c>
      <c r="G600" t="str">
        <f>TeamHero生成!AG600</f>
        <v>有效</v>
      </c>
      <c r="H600">
        <f>TeamHero生成!G600</f>
        <v>0</v>
      </c>
      <c r="I600">
        <f>TeamHero生成!H600</f>
        <v>0</v>
      </c>
    </row>
    <row r="601" spans="1:9">
      <c r="A601">
        <f>TeamHero生成!A601</f>
        <v>597</v>
      </c>
      <c r="B601">
        <f>TeamHero生成!B601</f>
        <v>1005</v>
      </c>
      <c r="C601">
        <f>TeamHero生成!C601</f>
        <v>60</v>
      </c>
      <c r="D601">
        <f>TeamHero生成!D601</f>
        <v>2290713</v>
      </c>
      <c r="E601">
        <f>TeamHero生成!E601</f>
        <v>46880</v>
      </c>
      <c r="F601">
        <f>TeamHero生成!F601</f>
        <v>33238</v>
      </c>
      <c r="G601" t="str">
        <f>TeamHero生成!AG601</f>
        <v>有效</v>
      </c>
      <c r="H601">
        <f>TeamHero生成!G601</f>
        <v>0</v>
      </c>
      <c r="I601">
        <f>TeamHero生成!H601</f>
        <v>0</v>
      </c>
    </row>
    <row r="602" spans="1:9">
      <c r="A602">
        <f>TeamHero生成!A602</f>
        <v>598</v>
      </c>
      <c r="B602">
        <f>TeamHero生成!B602</f>
        <v>1005</v>
      </c>
      <c r="C602">
        <f>TeamHero生成!C602</f>
        <v>60</v>
      </c>
      <c r="D602">
        <f>TeamHero生成!D602</f>
        <v>2290713</v>
      </c>
      <c r="E602">
        <f>TeamHero生成!E602</f>
        <v>46880</v>
      </c>
      <c r="F602">
        <f>TeamHero生成!F602</f>
        <v>33238</v>
      </c>
      <c r="G602" t="str">
        <f>TeamHero生成!AG602</f>
        <v>有效</v>
      </c>
      <c r="H602">
        <f>TeamHero生成!G602</f>
        <v>0</v>
      </c>
      <c r="I602">
        <f>TeamHero生成!H602</f>
        <v>0</v>
      </c>
    </row>
    <row r="603" spans="1:9">
      <c r="A603">
        <f>TeamHero生成!A603</f>
        <v>599</v>
      </c>
      <c r="B603">
        <f>TeamHero生成!B603</f>
        <v>1005</v>
      </c>
      <c r="C603">
        <f>TeamHero生成!C603</f>
        <v>60</v>
      </c>
      <c r="D603">
        <f>TeamHero生成!D603</f>
        <v>2290713</v>
      </c>
      <c r="E603">
        <f>TeamHero生成!E603</f>
        <v>46880</v>
      </c>
      <c r="F603">
        <f>TeamHero生成!F603</f>
        <v>33238</v>
      </c>
      <c r="G603" t="str">
        <f>TeamHero生成!AG603</f>
        <v>有效</v>
      </c>
      <c r="H603">
        <f>TeamHero生成!G603</f>
        <v>0</v>
      </c>
      <c r="I603">
        <f>TeamHero生成!H603</f>
        <v>0</v>
      </c>
    </row>
    <row r="604" spans="1:9">
      <c r="A604">
        <f>TeamHero生成!A604</f>
        <v>600</v>
      </c>
      <c r="B604">
        <f>TeamHero生成!B604</f>
        <v>1029</v>
      </c>
      <c r="C604">
        <f>TeamHero生成!C604</f>
        <v>60</v>
      </c>
      <c r="D604">
        <f>TeamHero生成!D604</f>
        <v>2863391</v>
      </c>
      <c r="E604">
        <f>TeamHero生成!E604</f>
        <v>39067</v>
      </c>
      <c r="F604">
        <f>TeamHero生成!F604</f>
        <v>41548</v>
      </c>
      <c r="G604" t="str">
        <f>TeamHero生成!AG604</f>
        <v>有效</v>
      </c>
      <c r="H604">
        <f>TeamHero生成!G604</f>
        <v>0</v>
      </c>
      <c r="I604">
        <f>TeamHero生成!H604</f>
        <v>0</v>
      </c>
    </row>
    <row r="605" spans="1:9">
      <c r="A605">
        <f>TeamHero生成!A605</f>
        <v>601</v>
      </c>
      <c r="B605">
        <f>TeamHero生成!B605</f>
        <v>1003</v>
      </c>
      <c r="C605">
        <f>TeamHero生成!C605</f>
        <v>60</v>
      </c>
      <c r="D605">
        <f>TeamHero生成!D605</f>
        <v>3497044</v>
      </c>
      <c r="E605">
        <f>TeamHero生成!E605</f>
        <v>39542</v>
      </c>
      <c r="F605">
        <f>TeamHero生成!F605</f>
        <v>50288</v>
      </c>
      <c r="G605" t="str">
        <f>TeamHero生成!AG605</f>
        <v>有效</v>
      </c>
      <c r="H605">
        <f>TeamHero生成!G605</f>
        <v>0</v>
      </c>
      <c r="I605">
        <f>TeamHero生成!H605</f>
        <v>0</v>
      </c>
    </row>
    <row r="606" spans="1:9">
      <c r="A606">
        <f>TeamHero生成!A606</f>
        <v>602</v>
      </c>
      <c r="B606">
        <f>TeamHero生成!B606</f>
        <v>1005</v>
      </c>
      <c r="C606">
        <f>TeamHero生成!C606</f>
        <v>60</v>
      </c>
      <c r="D606">
        <f>TeamHero生成!D606</f>
        <v>2331363</v>
      </c>
      <c r="E606">
        <f>TeamHero生成!E606</f>
        <v>47450</v>
      </c>
      <c r="F606">
        <f>TeamHero生成!F606</f>
        <v>33525</v>
      </c>
      <c r="G606" t="str">
        <f>TeamHero生成!AG606</f>
        <v>有效</v>
      </c>
      <c r="H606">
        <f>TeamHero生成!G606</f>
        <v>0</v>
      </c>
      <c r="I606">
        <f>TeamHero生成!H606</f>
        <v>0</v>
      </c>
    </row>
    <row r="607" spans="1:9">
      <c r="A607">
        <f>TeamHero生成!A607</f>
        <v>603</v>
      </c>
      <c r="B607">
        <f>TeamHero生成!B607</f>
        <v>1005</v>
      </c>
      <c r="C607">
        <f>TeamHero生成!C607</f>
        <v>60</v>
      </c>
      <c r="D607">
        <f>TeamHero生成!D607</f>
        <v>2331363</v>
      </c>
      <c r="E607">
        <f>TeamHero生成!E607</f>
        <v>47450</v>
      </c>
      <c r="F607">
        <f>TeamHero生成!F607</f>
        <v>33525</v>
      </c>
      <c r="G607" t="str">
        <f>TeamHero生成!AG607</f>
        <v>有效</v>
      </c>
      <c r="H607">
        <f>TeamHero生成!G607</f>
        <v>0</v>
      </c>
      <c r="I607">
        <f>TeamHero生成!H607</f>
        <v>0</v>
      </c>
    </row>
    <row r="608" spans="1:9">
      <c r="A608">
        <f>TeamHero生成!A608</f>
        <v>604</v>
      </c>
      <c r="B608">
        <f>TeamHero生成!B608</f>
        <v>1005</v>
      </c>
      <c r="C608">
        <f>TeamHero生成!C608</f>
        <v>60</v>
      </c>
      <c r="D608">
        <f>TeamHero生成!D608</f>
        <v>2331363</v>
      </c>
      <c r="E608">
        <f>TeamHero生成!E608</f>
        <v>47450</v>
      </c>
      <c r="F608">
        <f>TeamHero生成!F608</f>
        <v>33525</v>
      </c>
      <c r="G608" t="str">
        <f>TeamHero生成!AG608</f>
        <v>有效</v>
      </c>
      <c r="H608">
        <f>TeamHero生成!G608</f>
        <v>0</v>
      </c>
      <c r="I608">
        <f>TeamHero生成!H608</f>
        <v>0</v>
      </c>
    </row>
    <row r="609" spans="1:9">
      <c r="A609">
        <f>TeamHero生成!A609</f>
        <v>605</v>
      </c>
      <c r="B609">
        <f>TeamHero生成!B609</f>
        <v>1029</v>
      </c>
      <c r="C609">
        <f>TeamHero生成!C609</f>
        <v>60</v>
      </c>
      <c r="D609">
        <f>TeamHero生成!D609</f>
        <v>2914204</v>
      </c>
      <c r="E609">
        <f>TeamHero生成!E609</f>
        <v>39542</v>
      </c>
      <c r="F609">
        <f>TeamHero生成!F609</f>
        <v>41906</v>
      </c>
      <c r="G609" t="str">
        <f>TeamHero生成!AG609</f>
        <v>有效</v>
      </c>
      <c r="H609">
        <f>TeamHero生成!G609</f>
        <v>0</v>
      </c>
      <c r="I609">
        <f>TeamHero生成!H609</f>
        <v>0</v>
      </c>
    </row>
    <row r="610" spans="1:9">
      <c r="A610">
        <f>TeamHero生成!A610</f>
        <v>606</v>
      </c>
      <c r="B610">
        <f>TeamHero生成!B610</f>
        <v>1003</v>
      </c>
      <c r="C610">
        <f>TeamHero生成!C610</f>
        <v>60</v>
      </c>
      <c r="D610">
        <f>TeamHero生成!D610</f>
        <v>3529238</v>
      </c>
      <c r="E610">
        <f>TeamHero生成!E610</f>
        <v>39818</v>
      </c>
      <c r="F610">
        <f>TeamHero生成!F610</f>
        <v>50504</v>
      </c>
      <c r="G610" t="str">
        <f>TeamHero生成!AG610</f>
        <v>有效</v>
      </c>
      <c r="H610">
        <f>TeamHero生成!G610</f>
        <v>0</v>
      </c>
      <c r="I610">
        <f>TeamHero生成!H610</f>
        <v>0</v>
      </c>
    </row>
    <row r="611" spans="1:9">
      <c r="A611">
        <f>TeamHero生成!A611</f>
        <v>607</v>
      </c>
      <c r="B611">
        <f>TeamHero生成!B611</f>
        <v>1005</v>
      </c>
      <c r="C611">
        <f>TeamHero生成!C611</f>
        <v>60</v>
      </c>
      <c r="D611">
        <f>TeamHero生成!D611</f>
        <v>2352826</v>
      </c>
      <c r="E611">
        <f>TeamHero生成!E611</f>
        <v>47782</v>
      </c>
      <c r="F611">
        <f>TeamHero生成!F611</f>
        <v>33669</v>
      </c>
      <c r="G611" t="str">
        <f>TeamHero生成!AG611</f>
        <v>有效</v>
      </c>
      <c r="H611">
        <f>TeamHero生成!G611</f>
        <v>0</v>
      </c>
      <c r="I611">
        <f>TeamHero生成!H611</f>
        <v>0</v>
      </c>
    </row>
    <row r="612" spans="1:9">
      <c r="A612">
        <f>TeamHero生成!A612</f>
        <v>608</v>
      </c>
      <c r="B612">
        <f>TeamHero生成!B612</f>
        <v>1005</v>
      </c>
      <c r="C612">
        <f>TeamHero生成!C612</f>
        <v>60</v>
      </c>
      <c r="D612">
        <f>TeamHero生成!D612</f>
        <v>2352826</v>
      </c>
      <c r="E612">
        <f>TeamHero生成!E612</f>
        <v>47782</v>
      </c>
      <c r="F612">
        <f>TeamHero生成!F612</f>
        <v>33669</v>
      </c>
      <c r="G612" t="str">
        <f>TeamHero生成!AG612</f>
        <v>有效</v>
      </c>
      <c r="H612">
        <f>TeamHero生成!G612</f>
        <v>0</v>
      </c>
      <c r="I612">
        <f>TeamHero生成!H612</f>
        <v>0</v>
      </c>
    </row>
    <row r="613" spans="1:9">
      <c r="A613">
        <f>TeamHero生成!A613</f>
        <v>609</v>
      </c>
      <c r="B613">
        <f>TeamHero生成!B613</f>
        <v>1005</v>
      </c>
      <c r="C613">
        <f>TeamHero生成!C613</f>
        <v>60</v>
      </c>
      <c r="D613">
        <f>TeamHero生成!D613</f>
        <v>2352826</v>
      </c>
      <c r="E613">
        <f>TeamHero生成!E613</f>
        <v>47782</v>
      </c>
      <c r="F613">
        <f>TeamHero生成!F613</f>
        <v>33669</v>
      </c>
      <c r="G613" t="str">
        <f>TeamHero生成!AG613</f>
        <v>有效</v>
      </c>
      <c r="H613">
        <f>TeamHero生成!G613</f>
        <v>0</v>
      </c>
      <c r="I613">
        <f>TeamHero生成!H613</f>
        <v>0</v>
      </c>
    </row>
    <row r="614" spans="1:9">
      <c r="A614">
        <f>TeamHero生成!A614</f>
        <v>610</v>
      </c>
      <c r="B614">
        <f>TeamHero生成!B614</f>
        <v>1029</v>
      </c>
      <c r="C614">
        <f>TeamHero生成!C614</f>
        <v>60</v>
      </c>
      <c r="D614">
        <f>TeamHero生成!D614</f>
        <v>2941032</v>
      </c>
      <c r="E614">
        <f>TeamHero生成!E614</f>
        <v>39818</v>
      </c>
      <c r="F614">
        <f>TeamHero生成!F614</f>
        <v>42086</v>
      </c>
      <c r="G614" t="str">
        <f>TeamHero生成!AG614</f>
        <v>有效</v>
      </c>
      <c r="H614">
        <f>TeamHero生成!G614</f>
        <v>0</v>
      </c>
      <c r="I614">
        <f>TeamHero生成!H614</f>
        <v>0</v>
      </c>
    </row>
    <row r="615" spans="1:9">
      <c r="A615">
        <f>TeamHero生成!A615</f>
        <v>611</v>
      </c>
      <c r="B615">
        <f>TeamHero生成!B615</f>
        <v>1003</v>
      </c>
      <c r="C615">
        <f>TeamHero生成!C615</f>
        <v>60</v>
      </c>
      <c r="D615">
        <f>TeamHero生成!D615</f>
        <v>3594302</v>
      </c>
      <c r="E615">
        <f>TeamHero生成!E615</f>
        <v>40376</v>
      </c>
      <c r="F615">
        <f>TeamHero生成!F615</f>
        <v>50937</v>
      </c>
      <c r="G615" t="str">
        <f>TeamHero生成!AG615</f>
        <v>有效</v>
      </c>
      <c r="H615">
        <f>TeamHero生成!G615</f>
        <v>0</v>
      </c>
      <c r="I615">
        <f>TeamHero生成!H615</f>
        <v>0</v>
      </c>
    </row>
    <row r="616" spans="1:9">
      <c r="A616">
        <f>TeamHero生成!A616</f>
        <v>612</v>
      </c>
      <c r="B616">
        <f>TeamHero生成!B616</f>
        <v>1005</v>
      </c>
      <c r="C616">
        <f>TeamHero生成!C616</f>
        <v>60</v>
      </c>
      <c r="D616">
        <f>TeamHero生成!D616</f>
        <v>2396201</v>
      </c>
      <c r="E616">
        <f>TeamHero生成!E616</f>
        <v>48451</v>
      </c>
      <c r="F616">
        <f>TeamHero生成!F616</f>
        <v>33958</v>
      </c>
      <c r="G616" t="str">
        <f>TeamHero生成!AG616</f>
        <v>有效</v>
      </c>
      <c r="H616">
        <f>TeamHero生成!G616</f>
        <v>0</v>
      </c>
      <c r="I616">
        <f>TeamHero生成!H616</f>
        <v>0</v>
      </c>
    </row>
    <row r="617" spans="1:9">
      <c r="A617">
        <f>TeamHero生成!A617</f>
        <v>613</v>
      </c>
      <c r="B617">
        <f>TeamHero生成!B617</f>
        <v>1005</v>
      </c>
      <c r="C617">
        <f>TeamHero生成!C617</f>
        <v>60</v>
      </c>
      <c r="D617">
        <f>TeamHero生成!D617</f>
        <v>2396201</v>
      </c>
      <c r="E617">
        <f>TeamHero生成!E617</f>
        <v>48451</v>
      </c>
      <c r="F617">
        <f>TeamHero生成!F617</f>
        <v>33958</v>
      </c>
      <c r="G617" t="str">
        <f>TeamHero生成!AG617</f>
        <v>有效</v>
      </c>
      <c r="H617">
        <f>TeamHero生成!G617</f>
        <v>0</v>
      </c>
      <c r="I617">
        <f>TeamHero生成!H617</f>
        <v>0</v>
      </c>
    </row>
    <row r="618" spans="1:9">
      <c r="A618">
        <f>TeamHero生成!A618</f>
        <v>614</v>
      </c>
      <c r="B618">
        <f>TeamHero生成!B618</f>
        <v>1005</v>
      </c>
      <c r="C618">
        <f>TeamHero生成!C618</f>
        <v>60</v>
      </c>
      <c r="D618">
        <f>TeamHero生成!D618</f>
        <v>2396201</v>
      </c>
      <c r="E618">
        <f>TeamHero生成!E618</f>
        <v>48451</v>
      </c>
      <c r="F618">
        <f>TeamHero生成!F618</f>
        <v>33958</v>
      </c>
      <c r="G618" t="str">
        <f>TeamHero生成!AG618</f>
        <v>有效</v>
      </c>
      <c r="H618">
        <f>TeamHero生成!G618</f>
        <v>0</v>
      </c>
      <c r="I618">
        <f>TeamHero生成!H618</f>
        <v>0</v>
      </c>
    </row>
    <row r="619" spans="1:9">
      <c r="A619">
        <f>TeamHero生成!A619</f>
        <v>615</v>
      </c>
      <c r="B619">
        <f>TeamHero生成!B619</f>
        <v>1029</v>
      </c>
      <c r="C619">
        <f>TeamHero生成!C619</f>
        <v>60</v>
      </c>
      <c r="D619">
        <f>TeamHero生成!D619</f>
        <v>2995252</v>
      </c>
      <c r="E619">
        <f>TeamHero生成!E619</f>
        <v>40376</v>
      </c>
      <c r="F619">
        <f>TeamHero生成!F619</f>
        <v>42448</v>
      </c>
      <c r="G619" t="str">
        <f>TeamHero生成!AG619</f>
        <v>有效</v>
      </c>
      <c r="H619">
        <f>TeamHero生成!G619</f>
        <v>0</v>
      </c>
      <c r="I619">
        <f>TeamHero生成!H619</f>
        <v>0</v>
      </c>
    </row>
    <row r="620" spans="1:9">
      <c r="A620">
        <f>TeamHero生成!A620</f>
        <v>616</v>
      </c>
      <c r="B620">
        <f>TeamHero生成!B620</f>
        <v>1003</v>
      </c>
      <c r="C620">
        <f>TeamHero生成!C620</f>
        <v>60</v>
      </c>
      <c r="D620">
        <f>TeamHero生成!D620</f>
        <v>3627178</v>
      </c>
      <c r="E620">
        <f>TeamHero生成!E620</f>
        <v>40657</v>
      </c>
      <c r="F620">
        <f>TeamHero生成!F620</f>
        <v>51155</v>
      </c>
      <c r="G620" t="str">
        <f>TeamHero生成!AG620</f>
        <v>有效</v>
      </c>
      <c r="H620">
        <f>TeamHero生成!G620</f>
        <v>0</v>
      </c>
      <c r="I620">
        <f>TeamHero生成!H620</f>
        <v>0</v>
      </c>
    </row>
    <row r="621" spans="1:9">
      <c r="A621">
        <f>TeamHero生成!A621</f>
        <v>617</v>
      </c>
      <c r="B621">
        <f>TeamHero生成!B621</f>
        <v>1005</v>
      </c>
      <c r="C621">
        <f>TeamHero生成!C621</f>
        <v>60</v>
      </c>
      <c r="D621">
        <f>TeamHero生成!D621</f>
        <v>2418119</v>
      </c>
      <c r="E621">
        <f>TeamHero生成!E621</f>
        <v>48789</v>
      </c>
      <c r="F621">
        <f>TeamHero生成!F621</f>
        <v>34103</v>
      </c>
      <c r="G621" t="str">
        <f>TeamHero生成!AG621</f>
        <v>有效</v>
      </c>
      <c r="H621">
        <f>TeamHero生成!G621</f>
        <v>0</v>
      </c>
      <c r="I621">
        <f>TeamHero生成!H621</f>
        <v>0</v>
      </c>
    </row>
    <row r="622" spans="1:9">
      <c r="A622">
        <f>TeamHero生成!A622</f>
        <v>618</v>
      </c>
      <c r="B622">
        <f>TeamHero生成!B622</f>
        <v>1005</v>
      </c>
      <c r="C622">
        <f>TeamHero生成!C622</f>
        <v>60</v>
      </c>
      <c r="D622">
        <f>TeamHero生成!D622</f>
        <v>2418119</v>
      </c>
      <c r="E622">
        <f>TeamHero生成!E622</f>
        <v>48789</v>
      </c>
      <c r="F622">
        <f>TeamHero生成!F622</f>
        <v>34103</v>
      </c>
      <c r="G622" t="str">
        <f>TeamHero生成!AG622</f>
        <v>有效</v>
      </c>
      <c r="H622">
        <f>TeamHero生成!G622</f>
        <v>0</v>
      </c>
      <c r="I622">
        <f>TeamHero生成!H622</f>
        <v>0</v>
      </c>
    </row>
    <row r="623" spans="1:9">
      <c r="A623">
        <f>TeamHero生成!A623</f>
        <v>619</v>
      </c>
      <c r="B623">
        <f>TeamHero生成!B623</f>
        <v>1005</v>
      </c>
      <c r="C623">
        <f>TeamHero生成!C623</f>
        <v>60</v>
      </c>
      <c r="D623">
        <f>TeamHero生成!D623</f>
        <v>2418119</v>
      </c>
      <c r="E623">
        <f>TeamHero生成!E623</f>
        <v>48789</v>
      </c>
      <c r="F623">
        <f>TeamHero生成!F623</f>
        <v>34103</v>
      </c>
      <c r="G623" t="str">
        <f>TeamHero生成!AG623</f>
        <v>有效</v>
      </c>
      <c r="H623">
        <f>TeamHero生成!G623</f>
        <v>0</v>
      </c>
      <c r="I623">
        <f>TeamHero生成!H623</f>
        <v>0</v>
      </c>
    </row>
    <row r="624" spans="1:9">
      <c r="A624">
        <f>TeamHero生成!A624</f>
        <v>620</v>
      </c>
      <c r="B624">
        <f>TeamHero生成!B624</f>
        <v>1029</v>
      </c>
      <c r="C624">
        <f>TeamHero生成!C624</f>
        <v>60</v>
      </c>
      <c r="D624">
        <f>TeamHero生成!D624</f>
        <v>3022648</v>
      </c>
      <c r="E624">
        <f>TeamHero生成!E624</f>
        <v>40657</v>
      </c>
      <c r="F624">
        <f>TeamHero生成!F624</f>
        <v>42629</v>
      </c>
      <c r="G624" t="str">
        <f>TeamHero生成!AG624</f>
        <v>有效</v>
      </c>
      <c r="H624">
        <f>TeamHero生成!G624</f>
        <v>0</v>
      </c>
      <c r="I624">
        <f>TeamHero生成!H624</f>
        <v>0</v>
      </c>
    </row>
    <row r="625" spans="1:9">
      <c r="A625">
        <f>TeamHero生成!A625</f>
        <v>621</v>
      </c>
      <c r="B625">
        <f>TeamHero生成!B625</f>
        <v>1003</v>
      </c>
      <c r="C625">
        <f>TeamHero生成!C625</f>
        <v>60</v>
      </c>
      <c r="D625">
        <f>TeamHero生成!D625</f>
        <v>3710882</v>
      </c>
      <c r="E625">
        <f>TeamHero生成!E625</f>
        <v>41047</v>
      </c>
      <c r="F625">
        <f>TeamHero生成!F625</f>
        <v>51590</v>
      </c>
      <c r="G625" t="str">
        <f>TeamHero生成!AG625</f>
        <v>有效</v>
      </c>
      <c r="H625">
        <f>TeamHero生成!G625</f>
        <v>0</v>
      </c>
      <c r="I625">
        <f>TeamHero生成!H625</f>
        <v>0</v>
      </c>
    </row>
    <row r="626" spans="1:9">
      <c r="A626">
        <f>TeamHero生成!A626</f>
        <v>622</v>
      </c>
      <c r="B626">
        <f>TeamHero生成!B626</f>
        <v>1005</v>
      </c>
      <c r="C626">
        <f>TeamHero生成!C626</f>
        <v>60</v>
      </c>
      <c r="D626">
        <f>TeamHero生成!D626</f>
        <v>2473921</v>
      </c>
      <c r="E626">
        <f>TeamHero生成!E626</f>
        <v>49256</v>
      </c>
      <c r="F626">
        <f>TeamHero生成!F626</f>
        <v>34393</v>
      </c>
      <c r="G626" t="str">
        <f>TeamHero生成!AG626</f>
        <v>有效</v>
      </c>
      <c r="H626">
        <f>TeamHero生成!G626</f>
        <v>0</v>
      </c>
      <c r="I626">
        <f>TeamHero生成!H626</f>
        <v>0</v>
      </c>
    </row>
    <row r="627" spans="1:9">
      <c r="A627">
        <f>TeamHero生成!A627</f>
        <v>623</v>
      </c>
      <c r="B627">
        <f>TeamHero生成!B627</f>
        <v>1005</v>
      </c>
      <c r="C627">
        <f>TeamHero生成!C627</f>
        <v>60</v>
      </c>
      <c r="D627">
        <f>TeamHero生成!D627</f>
        <v>2473921</v>
      </c>
      <c r="E627">
        <f>TeamHero生成!E627</f>
        <v>49256</v>
      </c>
      <c r="F627">
        <f>TeamHero生成!F627</f>
        <v>34393</v>
      </c>
      <c r="G627" t="str">
        <f>TeamHero生成!AG627</f>
        <v>有效</v>
      </c>
      <c r="H627">
        <f>TeamHero生成!G627</f>
        <v>0</v>
      </c>
      <c r="I627">
        <f>TeamHero生成!H627</f>
        <v>0</v>
      </c>
    </row>
    <row r="628" spans="1:9">
      <c r="A628">
        <f>TeamHero生成!A628</f>
        <v>624</v>
      </c>
      <c r="B628">
        <f>TeamHero生成!B628</f>
        <v>1005</v>
      </c>
      <c r="C628">
        <f>TeamHero生成!C628</f>
        <v>60</v>
      </c>
      <c r="D628">
        <f>TeamHero生成!D628</f>
        <v>2473921</v>
      </c>
      <c r="E628">
        <f>TeamHero生成!E628</f>
        <v>49256</v>
      </c>
      <c r="F628">
        <f>TeamHero生成!F628</f>
        <v>34393</v>
      </c>
      <c r="G628" t="str">
        <f>TeamHero生成!AG628</f>
        <v>有效</v>
      </c>
      <c r="H628">
        <f>TeamHero生成!G628</f>
        <v>0</v>
      </c>
      <c r="I628">
        <f>TeamHero生成!H628</f>
        <v>0</v>
      </c>
    </row>
    <row r="629" spans="1:9">
      <c r="A629">
        <f>TeamHero生成!A629</f>
        <v>625</v>
      </c>
      <c r="B629">
        <f>TeamHero生成!B629</f>
        <v>1029</v>
      </c>
      <c r="C629">
        <f>TeamHero生成!C629</f>
        <v>60</v>
      </c>
      <c r="D629">
        <f>TeamHero生成!D629</f>
        <v>3092401</v>
      </c>
      <c r="E629">
        <f>TeamHero生成!E629</f>
        <v>41047</v>
      </c>
      <c r="F629">
        <f>TeamHero生成!F629</f>
        <v>42991</v>
      </c>
      <c r="G629" t="str">
        <f>TeamHero生成!AG629</f>
        <v>有效</v>
      </c>
      <c r="H629">
        <f>TeamHero生成!G629</f>
        <v>0</v>
      </c>
      <c r="I629">
        <f>TeamHero生成!H629</f>
        <v>0</v>
      </c>
    </row>
    <row r="630" spans="1:9">
      <c r="A630">
        <f>TeamHero生成!A630</f>
        <v>626</v>
      </c>
      <c r="B630">
        <f>TeamHero生成!B630</f>
        <v>1003</v>
      </c>
      <c r="C630">
        <f>TeamHero生成!C630</f>
        <v>60</v>
      </c>
      <c r="D630">
        <f>TeamHero生成!D630</f>
        <v>3761007</v>
      </c>
      <c r="E630">
        <f>TeamHero生成!E630</f>
        <v>41799</v>
      </c>
      <c r="F630">
        <f>TeamHero生成!F630</f>
        <v>52026</v>
      </c>
      <c r="G630" t="str">
        <f>TeamHero生成!AG630</f>
        <v>有效</v>
      </c>
      <c r="H630">
        <f>TeamHero生成!G630</f>
        <v>0</v>
      </c>
      <c r="I630">
        <f>TeamHero生成!H630</f>
        <v>0</v>
      </c>
    </row>
    <row r="631" spans="1:9">
      <c r="A631">
        <f>TeamHero生成!A631</f>
        <v>627</v>
      </c>
      <c r="B631">
        <f>TeamHero生成!B631</f>
        <v>1005</v>
      </c>
      <c r="C631">
        <f>TeamHero生成!C631</f>
        <v>60</v>
      </c>
      <c r="D631">
        <f>TeamHero生成!D631</f>
        <v>2507338</v>
      </c>
      <c r="E631">
        <f>TeamHero生成!E631</f>
        <v>50158</v>
      </c>
      <c r="F631">
        <f>TeamHero生成!F631</f>
        <v>34684</v>
      </c>
      <c r="G631" t="str">
        <f>TeamHero生成!AG631</f>
        <v>有效</v>
      </c>
      <c r="H631">
        <f>TeamHero生成!G631</f>
        <v>0</v>
      </c>
      <c r="I631">
        <f>TeamHero生成!H631</f>
        <v>0</v>
      </c>
    </row>
    <row r="632" spans="1:9">
      <c r="A632">
        <f>TeamHero生成!A632</f>
        <v>628</v>
      </c>
      <c r="B632">
        <f>TeamHero生成!B632</f>
        <v>1005</v>
      </c>
      <c r="C632">
        <f>TeamHero生成!C632</f>
        <v>60</v>
      </c>
      <c r="D632">
        <f>TeamHero生成!D632</f>
        <v>2507338</v>
      </c>
      <c r="E632">
        <f>TeamHero生成!E632</f>
        <v>50158</v>
      </c>
      <c r="F632">
        <f>TeamHero生成!F632</f>
        <v>34684</v>
      </c>
      <c r="G632" t="str">
        <f>TeamHero生成!AG632</f>
        <v>有效</v>
      </c>
      <c r="H632">
        <f>TeamHero生成!G632</f>
        <v>0</v>
      </c>
      <c r="I632">
        <f>TeamHero生成!H632</f>
        <v>0</v>
      </c>
    </row>
    <row r="633" spans="1:9">
      <c r="A633">
        <f>TeamHero生成!A633</f>
        <v>629</v>
      </c>
      <c r="B633">
        <f>TeamHero生成!B633</f>
        <v>1005</v>
      </c>
      <c r="C633">
        <f>TeamHero生成!C633</f>
        <v>60</v>
      </c>
      <c r="D633">
        <f>TeamHero生成!D633</f>
        <v>2507338</v>
      </c>
      <c r="E633">
        <f>TeamHero生成!E633</f>
        <v>50158</v>
      </c>
      <c r="F633">
        <f>TeamHero生成!F633</f>
        <v>34684</v>
      </c>
      <c r="G633" t="str">
        <f>TeamHero生成!AG633</f>
        <v>有效</v>
      </c>
      <c r="H633">
        <f>TeamHero生成!G633</f>
        <v>0</v>
      </c>
      <c r="I633">
        <f>TeamHero生成!H633</f>
        <v>0</v>
      </c>
    </row>
    <row r="634" spans="1:9">
      <c r="A634">
        <f>TeamHero生成!A634</f>
        <v>630</v>
      </c>
      <c r="B634">
        <f>TeamHero生成!B634</f>
        <v>1029</v>
      </c>
      <c r="C634">
        <f>TeamHero生成!C634</f>
        <v>60</v>
      </c>
      <c r="D634">
        <f>TeamHero生成!D634</f>
        <v>3134172</v>
      </c>
      <c r="E634">
        <f>TeamHero生成!E634</f>
        <v>41799</v>
      </c>
      <c r="F634">
        <f>TeamHero生成!F634</f>
        <v>43355</v>
      </c>
      <c r="G634" t="str">
        <f>TeamHero生成!AG634</f>
        <v>有效</v>
      </c>
      <c r="H634">
        <f>TeamHero生成!G634</f>
        <v>0</v>
      </c>
      <c r="I634">
        <f>TeamHero生成!H634</f>
        <v>0</v>
      </c>
    </row>
    <row r="635" spans="1:9">
      <c r="A635">
        <f>TeamHero生成!A635</f>
        <v>631</v>
      </c>
      <c r="B635">
        <f>TeamHero生成!B635</f>
        <v>1003</v>
      </c>
      <c r="C635">
        <f>TeamHero生成!C635</f>
        <v>60</v>
      </c>
      <c r="D635">
        <f>TeamHero生成!D635</f>
        <v>3795051</v>
      </c>
      <c r="E635">
        <f>TeamHero生成!E635</f>
        <v>42088</v>
      </c>
      <c r="F635">
        <f>TeamHero生成!F635</f>
        <v>52244</v>
      </c>
      <c r="G635" t="str">
        <f>TeamHero生成!AG635</f>
        <v>有效</v>
      </c>
      <c r="H635">
        <f>TeamHero生成!G635</f>
        <v>0</v>
      </c>
      <c r="I635">
        <f>TeamHero生成!H635</f>
        <v>0</v>
      </c>
    </row>
    <row r="636" spans="1:9">
      <c r="A636">
        <f>TeamHero生成!A636</f>
        <v>632</v>
      </c>
      <c r="B636">
        <f>TeamHero生成!B636</f>
        <v>1005</v>
      </c>
      <c r="C636">
        <f>TeamHero生成!C636</f>
        <v>60</v>
      </c>
      <c r="D636">
        <f>TeamHero生成!D636</f>
        <v>2530034</v>
      </c>
      <c r="E636">
        <f>TeamHero生成!E636</f>
        <v>50505</v>
      </c>
      <c r="F636">
        <f>TeamHero生成!F636</f>
        <v>34829</v>
      </c>
      <c r="G636" t="str">
        <f>TeamHero生成!AG636</f>
        <v>有效</v>
      </c>
      <c r="H636">
        <f>TeamHero生成!G636</f>
        <v>0</v>
      </c>
      <c r="I636">
        <f>TeamHero生成!H636</f>
        <v>0</v>
      </c>
    </row>
    <row r="637" spans="1:9">
      <c r="A637">
        <f>TeamHero生成!A637</f>
        <v>633</v>
      </c>
      <c r="B637">
        <f>TeamHero生成!B637</f>
        <v>1005</v>
      </c>
      <c r="C637">
        <f>TeamHero生成!C637</f>
        <v>60</v>
      </c>
      <c r="D637">
        <f>TeamHero生成!D637</f>
        <v>2530034</v>
      </c>
      <c r="E637">
        <f>TeamHero生成!E637</f>
        <v>50505</v>
      </c>
      <c r="F637">
        <f>TeamHero生成!F637</f>
        <v>34829</v>
      </c>
      <c r="G637" t="str">
        <f>TeamHero生成!AG637</f>
        <v>有效</v>
      </c>
      <c r="H637">
        <f>TeamHero生成!G637</f>
        <v>0</v>
      </c>
      <c r="I637">
        <f>TeamHero生成!H637</f>
        <v>0</v>
      </c>
    </row>
    <row r="638" spans="1:9">
      <c r="A638">
        <f>TeamHero生成!A638</f>
        <v>634</v>
      </c>
      <c r="B638">
        <f>TeamHero生成!B638</f>
        <v>1005</v>
      </c>
      <c r="C638">
        <f>TeamHero生成!C638</f>
        <v>60</v>
      </c>
      <c r="D638">
        <f>TeamHero生成!D638</f>
        <v>2530034</v>
      </c>
      <c r="E638">
        <f>TeamHero生成!E638</f>
        <v>50505</v>
      </c>
      <c r="F638">
        <f>TeamHero生成!F638</f>
        <v>34829</v>
      </c>
      <c r="G638" t="str">
        <f>TeamHero生成!AG638</f>
        <v>有效</v>
      </c>
      <c r="H638">
        <f>TeamHero生成!G638</f>
        <v>0</v>
      </c>
      <c r="I638">
        <f>TeamHero生成!H638</f>
        <v>0</v>
      </c>
    </row>
    <row r="639" spans="1:9">
      <c r="A639">
        <f>TeamHero生成!A639</f>
        <v>635</v>
      </c>
      <c r="B639">
        <f>TeamHero生成!B639</f>
        <v>1029</v>
      </c>
      <c r="C639">
        <f>TeamHero生成!C639</f>
        <v>60</v>
      </c>
      <c r="D639">
        <f>TeamHero生成!D639</f>
        <v>3162543</v>
      </c>
      <c r="E639">
        <f>TeamHero生成!E639</f>
        <v>42088</v>
      </c>
      <c r="F639">
        <f>TeamHero生成!F639</f>
        <v>43536</v>
      </c>
      <c r="G639" t="str">
        <f>TeamHero生成!AG639</f>
        <v>有效</v>
      </c>
      <c r="H639">
        <f>TeamHero生成!G639</f>
        <v>0</v>
      </c>
      <c r="I639">
        <f>TeamHero生成!H639</f>
        <v>0</v>
      </c>
    </row>
    <row r="640" spans="1:9">
      <c r="A640">
        <f>TeamHero生成!A640</f>
        <v>636</v>
      </c>
      <c r="B640">
        <f>TeamHero生成!B640</f>
        <v>1003</v>
      </c>
      <c r="C640">
        <f>TeamHero生成!C640</f>
        <v>60</v>
      </c>
      <c r="D640">
        <f>TeamHero生成!D640</f>
        <v>3863850</v>
      </c>
      <c r="E640">
        <f>TeamHero生成!E640</f>
        <v>42670</v>
      </c>
      <c r="F640">
        <f>TeamHero生成!F640</f>
        <v>52683</v>
      </c>
      <c r="G640" t="str">
        <f>TeamHero生成!AG640</f>
        <v>有效</v>
      </c>
      <c r="H640">
        <f>TeamHero生成!G640</f>
        <v>0</v>
      </c>
      <c r="I640">
        <f>TeamHero生成!H640</f>
        <v>0</v>
      </c>
    </row>
    <row r="641" spans="1:9">
      <c r="A641">
        <f>TeamHero生成!A641</f>
        <v>637</v>
      </c>
      <c r="B641">
        <f>TeamHero生成!B641</f>
        <v>1005</v>
      </c>
      <c r="C641">
        <f>TeamHero生成!C641</f>
        <v>60</v>
      </c>
      <c r="D641">
        <f>TeamHero生成!D641</f>
        <v>2575900</v>
      </c>
      <c r="E641">
        <f>TeamHero生成!E641</f>
        <v>51204</v>
      </c>
      <c r="F641">
        <f>TeamHero生成!F641</f>
        <v>35122</v>
      </c>
      <c r="G641" t="str">
        <f>TeamHero生成!AG641</f>
        <v>有效</v>
      </c>
      <c r="H641">
        <f>TeamHero生成!G641</f>
        <v>0</v>
      </c>
      <c r="I641">
        <f>TeamHero生成!H641</f>
        <v>0</v>
      </c>
    </row>
    <row r="642" spans="1:9">
      <c r="A642">
        <f>TeamHero生成!A642</f>
        <v>638</v>
      </c>
      <c r="B642">
        <f>TeamHero生成!B642</f>
        <v>1005</v>
      </c>
      <c r="C642">
        <f>TeamHero生成!C642</f>
        <v>60</v>
      </c>
      <c r="D642">
        <f>TeamHero生成!D642</f>
        <v>2575900</v>
      </c>
      <c r="E642">
        <f>TeamHero生成!E642</f>
        <v>51204</v>
      </c>
      <c r="F642">
        <f>TeamHero生成!F642</f>
        <v>35122</v>
      </c>
      <c r="G642" t="str">
        <f>TeamHero生成!AG642</f>
        <v>有效</v>
      </c>
      <c r="H642">
        <f>TeamHero生成!G642</f>
        <v>0</v>
      </c>
      <c r="I642">
        <f>TeamHero生成!H642</f>
        <v>0</v>
      </c>
    </row>
    <row r="643" spans="1:9">
      <c r="A643">
        <f>TeamHero生成!A643</f>
        <v>639</v>
      </c>
      <c r="B643">
        <f>TeamHero生成!B643</f>
        <v>1005</v>
      </c>
      <c r="C643">
        <f>TeamHero生成!C643</f>
        <v>60</v>
      </c>
      <c r="D643">
        <f>TeamHero生成!D643</f>
        <v>2575900</v>
      </c>
      <c r="E643">
        <f>TeamHero生成!E643</f>
        <v>51204</v>
      </c>
      <c r="F643">
        <f>TeamHero生成!F643</f>
        <v>35122</v>
      </c>
      <c r="G643" t="str">
        <f>TeamHero生成!AG643</f>
        <v>有效</v>
      </c>
      <c r="H643">
        <f>TeamHero生成!G643</f>
        <v>0</v>
      </c>
      <c r="I643">
        <f>TeamHero生成!H643</f>
        <v>0</v>
      </c>
    </row>
    <row r="644" spans="1:9">
      <c r="A644">
        <f>TeamHero生成!A644</f>
        <v>640</v>
      </c>
      <c r="B644">
        <f>TeamHero生成!B644</f>
        <v>1029</v>
      </c>
      <c r="C644">
        <f>TeamHero生成!C644</f>
        <v>60</v>
      </c>
      <c r="D644">
        <f>TeamHero生成!D644</f>
        <v>3219875</v>
      </c>
      <c r="E644">
        <f>TeamHero生成!E644</f>
        <v>42670</v>
      </c>
      <c r="F644">
        <f>TeamHero生成!F644</f>
        <v>43903</v>
      </c>
      <c r="G644" t="str">
        <f>TeamHero生成!AG644</f>
        <v>有效</v>
      </c>
      <c r="H644">
        <f>TeamHero生成!G644</f>
        <v>0</v>
      </c>
      <c r="I644">
        <f>TeamHero生成!H644</f>
        <v>0</v>
      </c>
    </row>
    <row r="645" spans="1:9">
      <c r="A645">
        <f>TeamHero生成!A645</f>
        <v>641</v>
      </c>
      <c r="B645">
        <f>TeamHero生成!B645</f>
        <v>1003</v>
      </c>
      <c r="C645">
        <f>TeamHero生成!C645</f>
        <v>60</v>
      </c>
      <c r="D645">
        <f>TeamHero生成!D645</f>
        <v>3898611</v>
      </c>
      <c r="E645">
        <f>TeamHero生成!E645</f>
        <v>42964</v>
      </c>
      <c r="F645">
        <f>TeamHero生成!F645</f>
        <v>52902</v>
      </c>
      <c r="G645" t="str">
        <f>TeamHero生成!AG645</f>
        <v>有效</v>
      </c>
      <c r="H645">
        <f>TeamHero生成!G645</f>
        <v>0</v>
      </c>
      <c r="I645">
        <f>TeamHero生成!H645</f>
        <v>0</v>
      </c>
    </row>
    <row r="646" spans="1:9">
      <c r="A646">
        <f>TeamHero生成!A646</f>
        <v>642</v>
      </c>
      <c r="B646">
        <f>TeamHero生成!B646</f>
        <v>1005</v>
      </c>
      <c r="C646">
        <f>TeamHero生成!C646</f>
        <v>60</v>
      </c>
      <c r="D646">
        <f>TeamHero生成!D646</f>
        <v>2599074</v>
      </c>
      <c r="E646">
        <f>TeamHero生成!E646</f>
        <v>51557</v>
      </c>
      <c r="F646">
        <f>TeamHero生成!F646</f>
        <v>35268</v>
      </c>
      <c r="G646" t="str">
        <f>TeamHero生成!AG646</f>
        <v>有效</v>
      </c>
      <c r="H646">
        <f>TeamHero生成!G646</f>
        <v>0</v>
      </c>
      <c r="I646">
        <f>TeamHero生成!H646</f>
        <v>0</v>
      </c>
    </row>
    <row r="647" spans="1:9">
      <c r="A647">
        <f>TeamHero生成!A647</f>
        <v>643</v>
      </c>
      <c r="B647">
        <f>TeamHero生成!B647</f>
        <v>1005</v>
      </c>
      <c r="C647">
        <f>TeamHero生成!C647</f>
        <v>60</v>
      </c>
      <c r="D647">
        <f>TeamHero生成!D647</f>
        <v>2599074</v>
      </c>
      <c r="E647">
        <f>TeamHero生成!E647</f>
        <v>51557</v>
      </c>
      <c r="F647">
        <f>TeamHero生成!F647</f>
        <v>35268</v>
      </c>
      <c r="G647" t="str">
        <f>TeamHero生成!AG647</f>
        <v>有效</v>
      </c>
      <c r="H647">
        <f>TeamHero生成!G647</f>
        <v>0</v>
      </c>
      <c r="I647">
        <f>TeamHero生成!H647</f>
        <v>0</v>
      </c>
    </row>
    <row r="648" spans="1:9">
      <c r="A648">
        <f>TeamHero生成!A648</f>
        <v>644</v>
      </c>
      <c r="B648">
        <f>TeamHero生成!B648</f>
        <v>1005</v>
      </c>
      <c r="C648">
        <f>TeamHero生成!C648</f>
        <v>60</v>
      </c>
      <c r="D648">
        <f>TeamHero生成!D648</f>
        <v>2599074</v>
      </c>
      <c r="E648">
        <f>TeamHero生成!E648</f>
        <v>51557</v>
      </c>
      <c r="F648">
        <f>TeamHero生成!F648</f>
        <v>35268</v>
      </c>
      <c r="G648" t="str">
        <f>TeamHero生成!AG648</f>
        <v>有效</v>
      </c>
      <c r="H648">
        <f>TeamHero生成!G648</f>
        <v>0</v>
      </c>
      <c r="I648">
        <f>TeamHero生成!H648</f>
        <v>0</v>
      </c>
    </row>
    <row r="649" spans="1:9">
      <c r="A649">
        <f>TeamHero生成!A649</f>
        <v>645</v>
      </c>
      <c r="B649">
        <f>TeamHero生成!B649</f>
        <v>1029</v>
      </c>
      <c r="C649">
        <f>TeamHero生成!C649</f>
        <v>60</v>
      </c>
      <c r="D649">
        <f>TeamHero生成!D649</f>
        <v>3248843</v>
      </c>
      <c r="E649">
        <f>TeamHero生成!E649</f>
        <v>42964</v>
      </c>
      <c r="F649">
        <f>TeamHero生成!F649</f>
        <v>44085</v>
      </c>
      <c r="G649" t="str">
        <f>TeamHero生成!AG649</f>
        <v>有效</v>
      </c>
      <c r="H649">
        <f>TeamHero生成!G649</f>
        <v>0</v>
      </c>
      <c r="I649">
        <f>TeamHero生成!H649</f>
        <v>0</v>
      </c>
    </row>
    <row r="650" spans="1:9">
      <c r="A650">
        <f>TeamHero生成!A650</f>
        <v>646</v>
      </c>
      <c r="B650">
        <f>TeamHero生成!B650</f>
        <v>1003</v>
      </c>
      <c r="C650">
        <f>TeamHero生成!C650</f>
        <v>60</v>
      </c>
      <c r="D650">
        <f>TeamHero生成!D650</f>
        <v>3972005</v>
      </c>
      <c r="E650">
        <f>TeamHero生成!E650</f>
        <v>43639</v>
      </c>
      <c r="F650">
        <f>TeamHero生成!F650</f>
        <v>53343</v>
      </c>
      <c r="G650" t="str">
        <f>TeamHero生成!AG650</f>
        <v>有效</v>
      </c>
      <c r="H650">
        <f>TeamHero生成!G650</f>
        <v>0</v>
      </c>
      <c r="I650">
        <f>TeamHero生成!H650</f>
        <v>0</v>
      </c>
    </row>
    <row r="651" spans="1:9">
      <c r="A651">
        <f>TeamHero生成!A651</f>
        <v>647</v>
      </c>
      <c r="B651">
        <f>TeamHero生成!B651</f>
        <v>1005</v>
      </c>
      <c r="C651">
        <f>TeamHero生成!C651</f>
        <v>60</v>
      </c>
      <c r="D651">
        <f>TeamHero生成!D651</f>
        <v>2648003</v>
      </c>
      <c r="E651">
        <f>TeamHero生成!E651</f>
        <v>52366</v>
      </c>
      <c r="F651">
        <f>TeamHero生成!F651</f>
        <v>35562</v>
      </c>
      <c r="G651" t="str">
        <f>TeamHero生成!AG651</f>
        <v>有效</v>
      </c>
      <c r="H651">
        <f>TeamHero生成!G651</f>
        <v>0</v>
      </c>
      <c r="I651">
        <f>TeamHero生成!H651</f>
        <v>0</v>
      </c>
    </row>
    <row r="652" spans="1:9">
      <c r="A652">
        <f>TeamHero生成!A652</f>
        <v>648</v>
      </c>
      <c r="B652">
        <f>TeamHero生成!B652</f>
        <v>1005</v>
      </c>
      <c r="C652">
        <f>TeamHero生成!C652</f>
        <v>60</v>
      </c>
      <c r="D652">
        <f>TeamHero生成!D652</f>
        <v>2648003</v>
      </c>
      <c r="E652">
        <f>TeamHero生成!E652</f>
        <v>52366</v>
      </c>
      <c r="F652">
        <f>TeamHero生成!F652</f>
        <v>35562</v>
      </c>
      <c r="G652" t="str">
        <f>TeamHero生成!AG652</f>
        <v>有效</v>
      </c>
      <c r="H652">
        <f>TeamHero生成!G652</f>
        <v>0</v>
      </c>
      <c r="I652">
        <f>TeamHero生成!H652</f>
        <v>0</v>
      </c>
    </row>
    <row r="653" spans="1:9">
      <c r="A653">
        <f>TeamHero生成!A653</f>
        <v>649</v>
      </c>
      <c r="B653">
        <f>TeamHero生成!B653</f>
        <v>1005</v>
      </c>
      <c r="C653">
        <f>TeamHero生成!C653</f>
        <v>60</v>
      </c>
      <c r="D653">
        <f>TeamHero生成!D653</f>
        <v>2648003</v>
      </c>
      <c r="E653">
        <f>TeamHero生成!E653</f>
        <v>52366</v>
      </c>
      <c r="F653">
        <f>TeamHero生成!F653</f>
        <v>35562</v>
      </c>
      <c r="G653" t="str">
        <f>TeamHero生成!AG653</f>
        <v>有效</v>
      </c>
      <c r="H653">
        <f>TeamHero生成!G653</f>
        <v>0</v>
      </c>
      <c r="I653">
        <f>TeamHero生成!H653</f>
        <v>0</v>
      </c>
    </row>
    <row r="654" spans="1:9">
      <c r="A654">
        <f>TeamHero生成!A654</f>
        <v>650</v>
      </c>
      <c r="B654">
        <f>TeamHero生成!B654</f>
        <v>1029</v>
      </c>
      <c r="C654">
        <f>TeamHero生成!C654</f>
        <v>60</v>
      </c>
      <c r="D654">
        <f>TeamHero生成!D654</f>
        <v>3310004</v>
      </c>
      <c r="E654">
        <f>TeamHero生成!E654</f>
        <v>43639</v>
      </c>
      <c r="F654">
        <f>TeamHero生成!F654</f>
        <v>44453</v>
      </c>
      <c r="G654" t="str">
        <f>TeamHero生成!AG654</f>
        <v>有效</v>
      </c>
      <c r="H654">
        <f>TeamHero生成!G654</f>
        <v>0</v>
      </c>
      <c r="I654">
        <f>TeamHero生成!H654</f>
        <v>0</v>
      </c>
    </row>
    <row r="655" spans="1:9">
      <c r="A655">
        <f>TeamHero生成!A655</f>
        <v>651</v>
      </c>
      <c r="B655">
        <f>TeamHero生成!B655</f>
        <v>1003</v>
      </c>
      <c r="C655">
        <f>TeamHero生成!C655</f>
        <v>60</v>
      </c>
      <c r="D655">
        <f>TeamHero生成!D655</f>
        <v>4040066</v>
      </c>
      <c r="E655">
        <f>TeamHero生成!E655</f>
        <v>44154</v>
      </c>
      <c r="F655">
        <f>TeamHero生成!F655</f>
        <v>53784</v>
      </c>
      <c r="G655" t="str">
        <f>TeamHero生成!AG655</f>
        <v>有效</v>
      </c>
      <c r="H655">
        <f>TeamHero生成!G655</f>
        <v>0</v>
      </c>
      <c r="I655">
        <f>TeamHero生成!H655</f>
        <v>0</v>
      </c>
    </row>
    <row r="656" spans="1:9">
      <c r="A656">
        <f>TeamHero生成!A656</f>
        <v>652</v>
      </c>
      <c r="B656">
        <f>TeamHero生成!B656</f>
        <v>1005</v>
      </c>
      <c r="C656">
        <f>TeamHero生成!C656</f>
        <v>60</v>
      </c>
      <c r="D656">
        <f>TeamHero生成!D656</f>
        <v>2693377</v>
      </c>
      <c r="E656">
        <f>TeamHero生成!E656</f>
        <v>52985</v>
      </c>
      <c r="F656">
        <f>TeamHero生成!F656</f>
        <v>35856</v>
      </c>
      <c r="G656" t="str">
        <f>TeamHero生成!AG656</f>
        <v>有效</v>
      </c>
      <c r="H656">
        <f>TeamHero生成!G656</f>
        <v>0</v>
      </c>
      <c r="I656">
        <f>TeamHero生成!H656</f>
        <v>0</v>
      </c>
    </row>
    <row r="657" spans="1:9">
      <c r="A657">
        <f>TeamHero生成!A657</f>
        <v>653</v>
      </c>
      <c r="B657">
        <f>TeamHero生成!B657</f>
        <v>1005</v>
      </c>
      <c r="C657">
        <f>TeamHero生成!C657</f>
        <v>60</v>
      </c>
      <c r="D657">
        <f>TeamHero生成!D657</f>
        <v>2693377</v>
      </c>
      <c r="E657">
        <f>TeamHero生成!E657</f>
        <v>52985</v>
      </c>
      <c r="F657">
        <f>TeamHero生成!F657</f>
        <v>35856</v>
      </c>
      <c r="G657" t="str">
        <f>TeamHero生成!AG657</f>
        <v>有效</v>
      </c>
      <c r="H657">
        <f>TeamHero生成!G657</f>
        <v>0</v>
      </c>
      <c r="I657">
        <f>TeamHero生成!H657</f>
        <v>0</v>
      </c>
    </row>
    <row r="658" spans="1:9">
      <c r="A658">
        <f>TeamHero生成!A658</f>
        <v>654</v>
      </c>
      <c r="B658">
        <f>TeamHero生成!B658</f>
        <v>1005</v>
      </c>
      <c r="C658">
        <f>TeamHero生成!C658</f>
        <v>60</v>
      </c>
      <c r="D658">
        <f>TeamHero生成!D658</f>
        <v>2693377</v>
      </c>
      <c r="E658">
        <f>TeamHero生成!E658</f>
        <v>52985</v>
      </c>
      <c r="F658">
        <f>TeamHero生成!F658</f>
        <v>35856</v>
      </c>
      <c r="G658" t="str">
        <f>TeamHero生成!AG658</f>
        <v>有效</v>
      </c>
      <c r="H658">
        <f>TeamHero生成!G658</f>
        <v>0</v>
      </c>
      <c r="I658">
        <f>TeamHero生成!H658</f>
        <v>0</v>
      </c>
    </row>
    <row r="659" spans="1:9">
      <c r="A659">
        <f>TeamHero生成!A659</f>
        <v>655</v>
      </c>
      <c r="B659">
        <f>TeamHero生成!B659</f>
        <v>1029</v>
      </c>
      <c r="C659">
        <f>TeamHero生成!C659</f>
        <v>60</v>
      </c>
      <c r="D659">
        <f>TeamHero生成!D659</f>
        <v>3366722</v>
      </c>
      <c r="E659">
        <f>TeamHero生成!E659</f>
        <v>44154</v>
      </c>
      <c r="F659">
        <f>TeamHero生成!F659</f>
        <v>44820</v>
      </c>
      <c r="G659" t="str">
        <f>TeamHero生成!AG659</f>
        <v>有效</v>
      </c>
      <c r="H659">
        <f>TeamHero生成!G659</f>
        <v>0</v>
      </c>
      <c r="I659">
        <f>TeamHero生成!H659</f>
        <v>0</v>
      </c>
    </row>
    <row r="660" spans="1:9">
      <c r="A660">
        <f>TeamHero生成!A660</f>
        <v>656</v>
      </c>
      <c r="B660">
        <f>TeamHero生成!B660</f>
        <v>1003</v>
      </c>
      <c r="C660">
        <f>TeamHero生成!C660</f>
        <v>60</v>
      </c>
      <c r="D660">
        <f>TeamHero生成!D660</f>
        <v>4112269</v>
      </c>
      <c r="E660">
        <f>TeamHero生成!E660</f>
        <v>44760</v>
      </c>
      <c r="F660">
        <f>TeamHero生成!F660</f>
        <v>54228</v>
      </c>
      <c r="G660" t="str">
        <f>TeamHero生成!AG660</f>
        <v>有效</v>
      </c>
      <c r="H660">
        <f>TeamHero生成!G660</f>
        <v>0</v>
      </c>
      <c r="I660">
        <f>TeamHero生成!H660</f>
        <v>0</v>
      </c>
    </row>
    <row r="661" spans="1:9">
      <c r="A661">
        <f>TeamHero生成!A661</f>
        <v>657</v>
      </c>
      <c r="B661">
        <f>TeamHero生成!B661</f>
        <v>1005</v>
      </c>
      <c r="C661">
        <f>TeamHero生成!C661</f>
        <v>60</v>
      </c>
      <c r="D661">
        <f>TeamHero生成!D661</f>
        <v>2741513</v>
      </c>
      <c r="E661">
        <f>TeamHero生成!E661</f>
        <v>53712</v>
      </c>
      <c r="F661">
        <f>TeamHero生成!F661</f>
        <v>36152</v>
      </c>
      <c r="G661" t="str">
        <f>TeamHero生成!AG661</f>
        <v>有效</v>
      </c>
      <c r="H661">
        <f>TeamHero生成!G661</f>
        <v>0</v>
      </c>
      <c r="I661">
        <f>TeamHero生成!H661</f>
        <v>0</v>
      </c>
    </row>
    <row r="662" spans="1:9">
      <c r="A662">
        <f>TeamHero生成!A662</f>
        <v>658</v>
      </c>
      <c r="B662">
        <f>TeamHero生成!B662</f>
        <v>1005</v>
      </c>
      <c r="C662">
        <f>TeamHero生成!C662</f>
        <v>60</v>
      </c>
      <c r="D662">
        <f>TeamHero生成!D662</f>
        <v>2741513</v>
      </c>
      <c r="E662">
        <f>TeamHero生成!E662</f>
        <v>53712</v>
      </c>
      <c r="F662">
        <f>TeamHero生成!F662</f>
        <v>36152</v>
      </c>
      <c r="G662" t="str">
        <f>TeamHero生成!AG662</f>
        <v>有效</v>
      </c>
      <c r="H662">
        <f>TeamHero生成!G662</f>
        <v>0</v>
      </c>
      <c r="I662">
        <f>TeamHero生成!H662</f>
        <v>0</v>
      </c>
    </row>
    <row r="663" spans="1:9">
      <c r="A663">
        <f>TeamHero生成!A663</f>
        <v>659</v>
      </c>
      <c r="B663">
        <f>TeamHero生成!B663</f>
        <v>1005</v>
      </c>
      <c r="C663">
        <f>TeamHero生成!C663</f>
        <v>60</v>
      </c>
      <c r="D663">
        <f>TeamHero生成!D663</f>
        <v>2741513</v>
      </c>
      <c r="E663">
        <f>TeamHero生成!E663</f>
        <v>53712</v>
      </c>
      <c r="F663">
        <f>TeamHero生成!F663</f>
        <v>36152</v>
      </c>
      <c r="G663" t="str">
        <f>TeamHero生成!AG663</f>
        <v>有效</v>
      </c>
      <c r="H663">
        <f>TeamHero生成!G663</f>
        <v>0</v>
      </c>
      <c r="I663">
        <f>TeamHero生成!H663</f>
        <v>0</v>
      </c>
    </row>
    <row r="664" spans="1:9">
      <c r="A664">
        <f>TeamHero生成!A664</f>
        <v>660</v>
      </c>
      <c r="B664">
        <f>TeamHero生成!B664</f>
        <v>1029</v>
      </c>
      <c r="C664">
        <f>TeamHero生成!C664</f>
        <v>60</v>
      </c>
      <c r="D664">
        <f>TeamHero生成!D664</f>
        <v>3426891</v>
      </c>
      <c r="E664">
        <f>TeamHero生成!E664</f>
        <v>44760</v>
      </c>
      <c r="F664">
        <f>TeamHero生成!F664</f>
        <v>45190</v>
      </c>
      <c r="G664" t="str">
        <f>TeamHero生成!AG664</f>
        <v>有效</v>
      </c>
      <c r="H664">
        <f>TeamHero生成!G664</f>
        <v>0</v>
      </c>
      <c r="I664">
        <f>TeamHero生成!H664</f>
        <v>0</v>
      </c>
    </row>
    <row r="665" spans="1:9">
      <c r="A665">
        <f>TeamHero生成!A665</f>
        <v>661</v>
      </c>
      <c r="B665">
        <f>TeamHero生成!B665</f>
        <v>1003</v>
      </c>
      <c r="C665">
        <f>TeamHero生成!C665</f>
        <v>60</v>
      </c>
      <c r="D665">
        <f>TeamHero生成!D665</f>
        <v>4148739</v>
      </c>
      <c r="E665">
        <f>TeamHero生成!E665</f>
        <v>45064</v>
      </c>
      <c r="F665">
        <f>TeamHero生成!F665</f>
        <v>54450</v>
      </c>
      <c r="G665" t="str">
        <f>TeamHero生成!AG665</f>
        <v>有效</v>
      </c>
      <c r="H665">
        <f>TeamHero生成!G665</f>
        <v>0</v>
      </c>
      <c r="I665">
        <f>TeamHero生成!H665</f>
        <v>0</v>
      </c>
    </row>
    <row r="666" spans="1:9">
      <c r="A666">
        <f>TeamHero生成!A666</f>
        <v>662</v>
      </c>
      <c r="B666">
        <f>TeamHero生成!B666</f>
        <v>1005</v>
      </c>
      <c r="C666">
        <f>TeamHero生成!C666</f>
        <v>60</v>
      </c>
      <c r="D666">
        <f>TeamHero生成!D666</f>
        <v>2765826</v>
      </c>
      <c r="E666">
        <f>TeamHero生成!E666</f>
        <v>54077</v>
      </c>
      <c r="F666">
        <f>TeamHero生成!F666</f>
        <v>36300</v>
      </c>
      <c r="G666" t="str">
        <f>TeamHero生成!AG666</f>
        <v>有效</v>
      </c>
      <c r="H666">
        <f>TeamHero生成!G666</f>
        <v>0</v>
      </c>
      <c r="I666">
        <f>TeamHero生成!H666</f>
        <v>0</v>
      </c>
    </row>
    <row r="667" spans="1:9">
      <c r="A667">
        <f>TeamHero生成!A667</f>
        <v>663</v>
      </c>
      <c r="B667">
        <f>TeamHero生成!B667</f>
        <v>1005</v>
      </c>
      <c r="C667">
        <f>TeamHero生成!C667</f>
        <v>60</v>
      </c>
      <c r="D667">
        <f>TeamHero生成!D667</f>
        <v>2765826</v>
      </c>
      <c r="E667">
        <f>TeamHero生成!E667</f>
        <v>54077</v>
      </c>
      <c r="F667">
        <f>TeamHero生成!F667</f>
        <v>36300</v>
      </c>
      <c r="G667" t="str">
        <f>TeamHero生成!AG667</f>
        <v>有效</v>
      </c>
      <c r="H667">
        <f>TeamHero生成!G667</f>
        <v>0</v>
      </c>
      <c r="I667">
        <f>TeamHero生成!H667</f>
        <v>0</v>
      </c>
    </row>
    <row r="668" spans="1:9">
      <c r="A668">
        <f>TeamHero生成!A668</f>
        <v>664</v>
      </c>
      <c r="B668">
        <f>TeamHero生成!B668</f>
        <v>1005</v>
      </c>
      <c r="C668">
        <f>TeamHero生成!C668</f>
        <v>60</v>
      </c>
      <c r="D668">
        <f>TeamHero生成!D668</f>
        <v>2765826</v>
      </c>
      <c r="E668">
        <f>TeamHero生成!E668</f>
        <v>54077</v>
      </c>
      <c r="F668">
        <f>TeamHero生成!F668</f>
        <v>36300</v>
      </c>
      <c r="G668" t="str">
        <f>TeamHero生成!AG668</f>
        <v>有效</v>
      </c>
      <c r="H668">
        <f>TeamHero生成!G668</f>
        <v>0</v>
      </c>
      <c r="I668">
        <f>TeamHero生成!H668</f>
        <v>0</v>
      </c>
    </row>
    <row r="669" spans="1:9">
      <c r="A669">
        <f>TeamHero生成!A669</f>
        <v>665</v>
      </c>
      <c r="B669">
        <f>TeamHero生成!B669</f>
        <v>1029</v>
      </c>
      <c r="C669">
        <f>TeamHero生成!C669</f>
        <v>60</v>
      </c>
      <c r="D669">
        <f>TeamHero生成!D669</f>
        <v>3457283</v>
      </c>
      <c r="E669">
        <f>TeamHero生成!E669</f>
        <v>45064</v>
      </c>
      <c r="F669">
        <f>TeamHero生成!F669</f>
        <v>45375</v>
      </c>
      <c r="G669" t="str">
        <f>TeamHero生成!AG669</f>
        <v>有效</v>
      </c>
      <c r="H669">
        <f>TeamHero生成!G669</f>
        <v>0</v>
      </c>
      <c r="I669">
        <f>TeamHero生成!H669</f>
        <v>0</v>
      </c>
    </row>
    <row r="670" spans="1:9">
      <c r="A670">
        <f>TeamHero生成!A670</f>
        <v>666</v>
      </c>
      <c r="B670">
        <f>TeamHero生成!B670</f>
        <v>1003</v>
      </c>
      <c r="C670">
        <f>TeamHero生成!C670</f>
        <v>60</v>
      </c>
      <c r="D670">
        <f>TeamHero生成!D670</f>
        <v>4222442</v>
      </c>
      <c r="E670">
        <f>TeamHero生成!E670</f>
        <v>45679</v>
      </c>
      <c r="F670">
        <f>TeamHero生成!F670</f>
        <v>54896</v>
      </c>
      <c r="G670" t="str">
        <f>TeamHero生成!AG670</f>
        <v>有效</v>
      </c>
      <c r="H670">
        <f>TeamHero生成!G670</f>
        <v>0</v>
      </c>
      <c r="I670">
        <f>TeamHero生成!H670</f>
        <v>0</v>
      </c>
    </row>
    <row r="671" spans="1:9">
      <c r="A671">
        <f>TeamHero生成!A671</f>
        <v>667</v>
      </c>
      <c r="B671">
        <f>TeamHero生成!B671</f>
        <v>1005</v>
      </c>
      <c r="C671">
        <f>TeamHero生成!C671</f>
        <v>60</v>
      </c>
      <c r="D671">
        <f>TeamHero生成!D671</f>
        <v>2814961</v>
      </c>
      <c r="E671">
        <f>TeamHero生成!E671</f>
        <v>54815</v>
      </c>
      <c r="F671">
        <f>TeamHero生成!F671</f>
        <v>36597</v>
      </c>
      <c r="G671" t="str">
        <f>TeamHero生成!AG671</f>
        <v>有效</v>
      </c>
      <c r="H671">
        <f>TeamHero生成!G671</f>
        <v>0</v>
      </c>
      <c r="I671">
        <f>TeamHero生成!H671</f>
        <v>0</v>
      </c>
    </row>
    <row r="672" spans="1:9">
      <c r="A672">
        <f>TeamHero生成!A672</f>
        <v>668</v>
      </c>
      <c r="B672">
        <f>TeamHero生成!B672</f>
        <v>1005</v>
      </c>
      <c r="C672">
        <f>TeamHero生成!C672</f>
        <v>60</v>
      </c>
      <c r="D672">
        <f>TeamHero生成!D672</f>
        <v>2814961</v>
      </c>
      <c r="E672">
        <f>TeamHero生成!E672</f>
        <v>54815</v>
      </c>
      <c r="F672">
        <f>TeamHero生成!F672</f>
        <v>36597</v>
      </c>
      <c r="G672" t="str">
        <f>TeamHero生成!AG672</f>
        <v>有效</v>
      </c>
      <c r="H672">
        <f>TeamHero生成!G672</f>
        <v>0</v>
      </c>
      <c r="I672">
        <f>TeamHero生成!H672</f>
        <v>0</v>
      </c>
    </row>
    <row r="673" spans="1:9">
      <c r="A673">
        <f>TeamHero生成!A673</f>
        <v>669</v>
      </c>
      <c r="B673">
        <f>TeamHero生成!B673</f>
        <v>1005</v>
      </c>
      <c r="C673">
        <f>TeamHero生成!C673</f>
        <v>60</v>
      </c>
      <c r="D673">
        <f>TeamHero生成!D673</f>
        <v>2814961</v>
      </c>
      <c r="E673">
        <f>TeamHero生成!E673</f>
        <v>54815</v>
      </c>
      <c r="F673">
        <f>TeamHero生成!F673</f>
        <v>36597</v>
      </c>
      <c r="G673" t="str">
        <f>TeamHero生成!AG673</f>
        <v>有效</v>
      </c>
      <c r="H673">
        <f>TeamHero生成!G673</f>
        <v>0</v>
      </c>
      <c r="I673">
        <f>TeamHero生成!H673</f>
        <v>0</v>
      </c>
    </row>
    <row r="674" spans="1:9">
      <c r="A674">
        <f>TeamHero生成!A674</f>
        <v>670</v>
      </c>
      <c r="B674">
        <f>TeamHero生成!B674</f>
        <v>1029</v>
      </c>
      <c r="C674">
        <f>TeamHero生成!C674</f>
        <v>60</v>
      </c>
      <c r="D674">
        <f>TeamHero生成!D674</f>
        <v>3518702</v>
      </c>
      <c r="E674">
        <f>TeamHero生成!E674</f>
        <v>45679</v>
      </c>
      <c r="F674">
        <f>TeamHero生成!F674</f>
        <v>45746</v>
      </c>
      <c r="G674" t="str">
        <f>TeamHero生成!AG674</f>
        <v>有效</v>
      </c>
      <c r="H674">
        <f>TeamHero生成!G674</f>
        <v>0</v>
      </c>
      <c r="I674">
        <f>TeamHero生成!H674</f>
        <v>0</v>
      </c>
    </row>
    <row r="675" spans="1:9">
      <c r="A675">
        <f>TeamHero生成!A675</f>
        <v>671</v>
      </c>
      <c r="B675">
        <f>TeamHero生成!B675</f>
        <v>1003</v>
      </c>
      <c r="C675">
        <f>TeamHero生成!C675</f>
        <v>60</v>
      </c>
      <c r="D675">
        <f>TeamHero生成!D675</f>
        <v>4317220</v>
      </c>
      <c r="E675">
        <f>TeamHero生成!E675</f>
        <v>46101</v>
      </c>
      <c r="F675">
        <f>TeamHero生成!F675</f>
        <v>55343</v>
      </c>
      <c r="G675" t="str">
        <f>TeamHero生成!AG675</f>
        <v>有效</v>
      </c>
      <c r="H675">
        <f>TeamHero生成!G675</f>
        <v>0</v>
      </c>
      <c r="I675">
        <f>TeamHero生成!H675</f>
        <v>0</v>
      </c>
    </row>
    <row r="676" spans="1:9">
      <c r="A676">
        <f>TeamHero生成!A676</f>
        <v>672</v>
      </c>
      <c r="B676">
        <f>TeamHero生成!B676</f>
        <v>1005</v>
      </c>
      <c r="C676">
        <f>TeamHero生成!C676</f>
        <v>60</v>
      </c>
      <c r="D676">
        <f>TeamHero生成!D676</f>
        <v>2878147</v>
      </c>
      <c r="E676">
        <f>TeamHero生成!E676</f>
        <v>55321</v>
      </c>
      <c r="F676">
        <f>TeamHero生成!F676</f>
        <v>36895</v>
      </c>
      <c r="G676" t="str">
        <f>TeamHero生成!AG676</f>
        <v>有效</v>
      </c>
      <c r="H676">
        <f>TeamHero生成!G676</f>
        <v>0</v>
      </c>
      <c r="I676">
        <f>TeamHero生成!H676</f>
        <v>0</v>
      </c>
    </row>
    <row r="677" spans="1:9">
      <c r="A677">
        <f>TeamHero生成!A677</f>
        <v>673</v>
      </c>
      <c r="B677">
        <f>TeamHero生成!B677</f>
        <v>1005</v>
      </c>
      <c r="C677">
        <f>TeamHero生成!C677</f>
        <v>60</v>
      </c>
      <c r="D677">
        <f>TeamHero生成!D677</f>
        <v>2878147</v>
      </c>
      <c r="E677">
        <f>TeamHero生成!E677</f>
        <v>55321</v>
      </c>
      <c r="F677">
        <f>TeamHero生成!F677</f>
        <v>36895</v>
      </c>
      <c r="G677" t="str">
        <f>TeamHero生成!AG677</f>
        <v>有效</v>
      </c>
      <c r="H677">
        <f>TeamHero生成!G677</f>
        <v>0</v>
      </c>
      <c r="I677">
        <f>TeamHero生成!H677</f>
        <v>0</v>
      </c>
    </row>
    <row r="678" spans="1:9">
      <c r="A678">
        <f>TeamHero生成!A678</f>
        <v>674</v>
      </c>
      <c r="B678">
        <f>TeamHero生成!B678</f>
        <v>1005</v>
      </c>
      <c r="C678">
        <f>TeamHero生成!C678</f>
        <v>60</v>
      </c>
      <c r="D678">
        <f>TeamHero生成!D678</f>
        <v>2878147</v>
      </c>
      <c r="E678">
        <f>TeamHero生成!E678</f>
        <v>55321</v>
      </c>
      <c r="F678">
        <f>TeamHero生成!F678</f>
        <v>36895</v>
      </c>
      <c r="G678" t="str">
        <f>TeamHero生成!AG678</f>
        <v>有效</v>
      </c>
      <c r="H678">
        <f>TeamHero生成!G678</f>
        <v>0</v>
      </c>
      <c r="I678">
        <f>TeamHero生成!H678</f>
        <v>0</v>
      </c>
    </row>
    <row r="679" spans="1:9">
      <c r="A679">
        <f>TeamHero生成!A679</f>
        <v>675</v>
      </c>
      <c r="B679">
        <f>TeamHero生成!B679</f>
        <v>1029</v>
      </c>
      <c r="C679">
        <f>TeamHero生成!C679</f>
        <v>60</v>
      </c>
      <c r="D679">
        <f>TeamHero生成!D679</f>
        <v>3597683</v>
      </c>
      <c r="E679">
        <f>TeamHero生成!E679</f>
        <v>46101</v>
      </c>
      <c r="F679">
        <f>TeamHero生成!F679</f>
        <v>46119</v>
      </c>
      <c r="G679" t="str">
        <f>TeamHero生成!AG679</f>
        <v>有效</v>
      </c>
      <c r="H679">
        <f>TeamHero生成!G679</f>
        <v>0</v>
      </c>
      <c r="I679">
        <f>TeamHero生成!H679</f>
        <v>0</v>
      </c>
    </row>
    <row r="680" spans="1:9">
      <c r="A680">
        <f>TeamHero生成!A680</f>
        <v>676</v>
      </c>
      <c r="B680">
        <f>TeamHero生成!B680</f>
        <v>1003</v>
      </c>
      <c r="C680">
        <f>TeamHero生成!C680</f>
        <v>60</v>
      </c>
      <c r="D680">
        <f>TeamHero生成!D680</f>
        <v>4372874</v>
      </c>
      <c r="E680">
        <f>TeamHero生成!E680</f>
        <v>46929</v>
      </c>
      <c r="F680">
        <f>TeamHero生成!F680</f>
        <v>55790</v>
      </c>
      <c r="G680" t="str">
        <f>TeamHero生成!AG680</f>
        <v>有效</v>
      </c>
      <c r="H680">
        <f>TeamHero生成!G680</f>
        <v>0</v>
      </c>
      <c r="I680">
        <f>TeamHero生成!H680</f>
        <v>0</v>
      </c>
    </row>
    <row r="681" spans="1:9">
      <c r="A681">
        <f>TeamHero生成!A681</f>
        <v>677</v>
      </c>
      <c r="B681">
        <f>TeamHero生成!B681</f>
        <v>1005</v>
      </c>
      <c r="C681">
        <f>TeamHero生成!C681</f>
        <v>60</v>
      </c>
      <c r="D681">
        <f>TeamHero生成!D681</f>
        <v>2915250</v>
      </c>
      <c r="E681">
        <f>TeamHero生成!E681</f>
        <v>56315</v>
      </c>
      <c r="F681">
        <f>TeamHero生成!F681</f>
        <v>37193</v>
      </c>
      <c r="G681" t="str">
        <f>TeamHero生成!AG681</f>
        <v>有效</v>
      </c>
      <c r="H681">
        <f>TeamHero生成!G681</f>
        <v>0</v>
      </c>
      <c r="I681">
        <f>TeamHero生成!H681</f>
        <v>0</v>
      </c>
    </row>
    <row r="682" spans="1:9">
      <c r="A682">
        <f>TeamHero生成!A682</f>
        <v>678</v>
      </c>
      <c r="B682">
        <f>TeamHero生成!B682</f>
        <v>1005</v>
      </c>
      <c r="C682">
        <f>TeamHero生成!C682</f>
        <v>60</v>
      </c>
      <c r="D682">
        <f>TeamHero生成!D682</f>
        <v>2915250</v>
      </c>
      <c r="E682">
        <f>TeamHero生成!E682</f>
        <v>56315</v>
      </c>
      <c r="F682">
        <f>TeamHero生成!F682</f>
        <v>37193</v>
      </c>
      <c r="G682" t="str">
        <f>TeamHero生成!AG682</f>
        <v>有效</v>
      </c>
      <c r="H682">
        <f>TeamHero生成!G682</f>
        <v>0</v>
      </c>
      <c r="I682">
        <f>TeamHero生成!H682</f>
        <v>0</v>
      </c>
    </row>
    <row r="683" spans="1:9">
      <c r="A683">
        <f>TeamHero生成!A683</f>
        <v>679</v>
      </c>
      <c r="B683">
        <f>TeamHero生成!B683</f>
        <v>1005</v>
      </c>
      <c r="C683">
        <f>TeamHero生成!C683</f>
        <v>60</v>
      </c>
      <c r="D683">
        <f>TeamHero生成!D683</f>
        <v>2915250</v>
      </c>
      <c r="E683">
        <f>TeamHero生成!E683</f>
        <v>56315</v>
      </c>
      <c r="F683">
        <f>TeamHero生成!F683</f>
        <v>37193</v>
      </c>
      <c r="G683" t="str">
        <f>TeamHero生成!AG683</f>
        <v>有效</v>
      </c>
      <c r="H683">
        <f>TeamHero生成!G683</f>
        <v>0</v>
      </c>
      <c r="I683">
        <f>TeamHero生成!H683</f>
        <v>0</v>
      </c>
    </row>
    <row r="684" spans="1:9">
      <c r="A684">
        <f>TeamHero生成!A684</f>
        <v>680</v>
      </c>
      <c r="B684">
        <f>TeamHero生成!B684</f>
        <v>1029</v>
      </c>
      <c r="C684">
        <f>TeamHero生成!C684</f>
        <v>60</v>
      </c>
      <c r="D684">
        <f>TeamHero生成!D684</f>
        <v>3644062</v>
      </c>
      <c r="E684">
        <f>TeamHero生成!E684</f>
        <v>46929</v>
      </c>
      <c r="F684">
        <f>TeamHero生成!F684</f>
        <v>46491</v>
      </c>
      <c r="G684" t="str">
        <f>TeamHero生成!AG684</f>
        <v>有效</v>
      </c>
      <c r="H684">
        <f>TeamHero生成!G684</f>
        <v>0</v>
      </c>
      <c r="I684">
        <f>TeamHero生成!H684</f>
        <v>0</v>
      </c>
    </row>
    <row r="685" spans="1:9">
      <c r="A685">
        <f>TeamHero生成!A685</f>
        <v>681</v>
      </c>
      <c r="B685">
        <f>TeamHero生成!B685</f>
        <v>1003</v>
      </c>
      <c r="C685">
        <f>TeamHero生成!C685</f>
        <v>60</v>
      </c>
      <c r="D685">
        <f>TeamHero生成!D685</f>
        <v>4449637</v>
      </c>
      <c r="E685">
        <f>TeamHero生成!E685</f>
        <v>47563</v>
      </c>
      <c r="F685">
        <f>TeamHero生成!F685</f>
        <v>56240</v>
      </c>
      <c r="G685" t="str">
        <f>TeamHero生成!AG685</f>
        <v>有效</v>
      </c>
      <c r="H685">
        <f>TeamHero生成!G685</f>
        <v>0</v>
      </c>
      <c r="I685">
        <f>TeamHero生成!H685</f>
        <v>0</v>
      </c>
    </row>
    <row r="686" spans="1:9">
      <c r="A686">
        <f>TeamHero生成!A686</f>
        <v>682</v>
      </c>
      <c r="B686">
        <f>TeamHero生成!B686</f>
        <v>1005</v>
      </c>
      <c r="C686">
        <f>TeamHero生成!C686</f>
        <v>60</v>
      </c>
      <c r="D686">
        <f>TeamHero生成!D686</f>
        <v>2966425</v>
      </c>
      <c r="E686">
        <f>TeamHero生成!E686</f>
        <v>57076</v>
      </c>
      <c r="F686">
        <f>TeamHero生成!F686</f>
        <v>37493</v>
      </c>
      <c r="G686" t="str">
        <f>TeamHero生成!AG686</f>
        <v>有效</v>
      </c>
      <c r="H686">
        <f>TeamHero生成!G686</f>
        <v>0</v>
      </c>
      <c r="I686">
        <f>TeamHero生成!H686</f>
        <v>0</v>
      </c>
    </row>
    <row r="687" spans="1:9">
      <c r="A687">
        <f>TeamHero生成!A687</f>
        <v>683</v>
      </c>
      <c r="B687">
        <f>TeamHero生成!B687</f>
        <v>1005</v>
      </c>
      <c r="C687">
        <f>TeamHero生成!C687</f>
        <v>60</v>
      </c>
      <c r="D687">
        <f>TeamHero生成!D687</f>
        <v>2966425</v>
      </c>
      <c r="E687">
        <f>TeamHero生成!E687</f>
        <v>57076</v>
      </c>
      <c r="F687">
        <f>TeamHero生成!F687</f>
        <v>37493</v>
      </c>
      <c r="G687" t="str">
        <f>TeamHero生成!AG687</f>
        <v>有效</v>
      </c>
      <c r="H687">
        <f>TeamHero生成!G687</f>
        <v>0</v>
      </c>
      <c r="I687">
        <f>TeamHero生成!H687</f>
        <v>0</v>
      </c>
    </row>
    <row r="688" spans="1:9">
      <c r="A688">
        <f>TeamHero生成!A688</f>
        <v>684</v>
      </c>
      <c r="B688">
        <f>TeamHero生成!B688</f>
        <v>1005</v>
      </c>
      <c r="C688">
        <f>TeamHero生成!C688</f>
        <v>60</v>
      </c>
      <c r="D688">
        <f>TeamHero生成!D688</f>
        <v>2966425</v>
      </c>
      <c r="E688">
        <f>TeamHero生成!E688</f>
        <v>57076</v>
      </c>
      <c r="F688">
        <f>TeamHero生成!F688</f>
        <v>37493</v>
      </c>
      <c r="G688" t="str">
        <f>TeamHero生成!AG688</f>
        <v>有效</v>
      </c>
      <c r="H688">
        <f>TeamHero生成!G688</f>
        <v>0</v>
      </c>
      <c r="I688">
        <f>TeamHero生成!H688</f>
        <v>0</v>
      </c>
    </row>
    <row r="689" spans="1:9">
      <c r="A689">
        <f>TeamHero生成!A689</f>
        <v>685</v>
      </c>
      <c r="B689">
        <f>TeamHero生成!B689</f>
        <v>1029</v>
      </c>
      <c r="C689">
        <f>TeamHero生成!C689</f>
        <v>60</v>
      </c>
      <c r="D689">
        <f>TeamHero生成!D689</f>
        <v>3708031</v>
      </c>
      <c r="E689">
        <f>TeamHero生成!E689</f>
        <v>47563</v>
      </c>
      <c r="F689">
        <f>TeamHero生成!F689</f>
        <v>46866</v>
      </c>
      <c r="G689" t="str">
        <f>TeamHero生成!AG689</f>
        <v>有效</v>
      </c>
      <c r="H689">
        <f>TeamHero生成!G689</f>
        <v>0</v>
      </c>
      <c r="I689">
        <f>TeamHero生成!H689</f>
        <v>0</v>
      </c>
    </row>
    <row r="690" spans="1:9">
      <c r="A690">
        <f>TeamHero生成!A690</f>
        <v>686</v>
      </c>
      <c r="B690">
        <f>TeamHero生成!B690</f>
        <v>1003</v>
      </c>
      <c r="C690">
        <f>TeamHero生成!C690</f>
        <v>60</v>
      </c>
      <c r="D690">
        <f>TeamHero生成!D690</f>
        <v>4488404</v>
      </c>
      <c r="E690">
        <f>TeamHero生成!E690</f>
        <v>47883</v>
      </c>
      <c r="F690">
        <f>TeamHero生成!F690</f>
        <v>56465</v>
      </c>
      <c r="G690" t="str">
        <f>TeamHero生成!AG690</f>
        <v>有效</v>
      </c>
      <c r="H690">
        <f>TeamHero生成!G690</f>
        <v>0</v>
      </c>
      <c r="I690">
        <f>TeamHero生成!H690</f>
        <v>0</v>
      </c>
    </row>
    <row r="691" spans="1:9">
      <c r="A691">
        <f>TeamHero生成!A691</f>
        <v>687</v>
      </c>
      <c r="B691">
        <f>TeamHero生成!B691</f>
        <v>1005</v>
      </c>
      <c r="C691">
        <f>TeamHero生成!C691</f>
        <v>60</v>
      </c>
      <c r="D691">
        <f>TeamHero生成!D691</f>
        <v>2992269</v>
      </c>
      <c r="E691">
        <f>TeamHero生成!E691</f>
        <v>57459</v>
      </c>
      <c r="F691">
        <f>TeamHero生成!F691</f>
        <v>37643</v>
      </c>
      <c r="G691" t="str">
        <f>TeamHero生成!AG691</f>
        <v>有效</v>
      </c>
      <c r="H691">
        <f>TeamHero生成!G691</f>
        <v>0</v>
      </c>
      <c r="I691">
        <f>TeamHero生成!H691</f>
        <v>0</v>
      </c>
    </row>
    <row r="692" spans="1:9">
      <c r="A692">
        <f>TeamHero生成!A692</f>
        <v>688</v>
      </c>
      <c r="B692">
        <f>TeamHero生成!B692</f>
        <v>1005</v>
      </c>
      <c r="C692">
        <f>TeamHero生成!C692</f>
        <v>60</v>
      </c>
      <c r="D692">
        <f>TeamHero生成!D692</f>
        <v>2992269</v>
      </c>
      <c r="E692">
        <f>TeamHero生成!E692</f>
        <v>57459</v>
      </c>
      <c r="F692">
        <f>TeamHero生成!F692</f>
        <v>37643</v>
      </c>
      <c r="G692" t="str">
        <f>TeamHero生成!AG692</f>
        <v>有效</v>
      </c>
      <c r="H692">
        <f>TeamHero生成!G692</f>
        <v>0</v>
      </c>
      <c r="I692">
        <f>TeamHero生成!H692</f>
        <v>0</v>
      </c>
    </row>
    <row r="693" spans="1:9">
      <c r="A693">
        <f>TeamHero生成!A693</f>
        <v>689</v>
      </c>
      <c r="B693">
        <f>TeamHero生成!B693</f>
        <v>1005</v>
      </c>
      <c r="C693">
        <f>TeamHero生成!C693</f>
        <v>60</v>
      </c>
      <c r="D693">
        <f>TeamHero生成!D693</f>
        <v>2992269</v>
      </c>
      <c r="E693">
        <f>TeamHero生成!E693</f>
        <v>57459</v>
      </c>
      <c r="F693">
        <f>TeamHero生成!F693</f>
        <v>37643</v>
      </c>
      <c r="G693" t="str">
        <f>TeamHero生成!AG693</f>
        <v>有效</v>
      </c>
      <c r="H693">
        <f>TeamHero生成!G693</f>
        <v>0</v>
      </c>
      <c r="I693">
        <f>TeamHero生成!H693</f>
        <v>0</v>
      </c>
    </row>
    <row r="694" spans="1:9">
      <c r="A694">
        <f>TeamHero生成!A694</f>
        <v>690</v>
      </c>
      <c r="B694">
        <f>TeamHero生成!B694</f>
        <v>1029</v>
      </c>
      <c r="C694">
        <f>TeamHero生成!C694</f>
        <v>60</v>
      </c>
      <c r="D694">
        <f>TeamHero生成!D694</f>
        <v>3740337</v>
      </c>
      <c r="E694">
        <f>TeamHero生成!E694</f>
        <v>47883</v>
      </c>
      <c r="F694">
        <f>TeamHero生成!F694</f>
        <v>47054</v>
      </c>
      <c r="G694" t="str">
        <f>TeamHero生成!AG694</f>
        <v>有效</v>
      </c>
      <c r="H694">
        <f>TeamHero生成!G694</f>
        <v>0</v>
      </c>
      <c r="I694">
        <f>TeamHero生成!H694</f>
        <v>0</v>
      </c>
    </row>
    <row r="695" spans="1:9">
      <c r="A695">
        <f>TeamHero生成!A695</f>
        <v>691</v>
      </c>
      <c r="B695">
        <f>TeamHero生成!B695</f>
        <v>1003</v>
      </c>
      <c r="C695">
        <f>TeamHero生成!C695</f>
        <v>60</v>
      </c>
      <c r="D695">
        <f>TeamHero生成!D695</f>
        <v>4566734</v>
      </c>
      <c r="E695">
        <f>TeamHero生成!E695</f>
        <v>48527</v>
      </c>
      <c r="F695">
        <f>TeamHero生成!F695</f>
        <v>56916</v>
      </c>
      <c r="G695" t="str">
        <f>TeamHero生成!AG695</f>
        <v>有效</v>
      </c>
      <c r="H695">
        <f>TeamHero生成!G695</f>
        <v>0</v>
      </c>
      <c r="I695">
        <f>TeamHero生成!H695</f>
        <v>0</v>
      </c>
    </row>
    <row r="696" spans="1:9">
      <c r="A696">
        <f>TeamHero生成!A696</f>
        <v>692</v>
      </c>
      <c r="B696">
        <f>TeamHero生成!B696</f>
        <v>1005</v>
      </c>
      <c r="C696">
        <f>TeamHero生成!C696</f>
        <v>60</v>
      </c>
      <c r="D696">
        <f>TeamHero生成!D696</f>
        <v>3044489</v>
      </c>
      <c r="E696">
        <f>TeamHero生成!E696</f>
        <v>58233</v>
      </c>
      <c r="F696">
        <f>TeamHero生成!F696</f>
        <v>37944</v>
      </c>
      <c r="G696" t="str">
        <f>TeamHero生成!AG696</f>
        <v>有效</v>
      </c>
      <c r="H696">
        <f>TeamHero生成!G696</f>
        <v>0</v>
      </c>
      <c r="I696">
        <f>TeamHero生成!H696</f>
        <v>0</v>
      </c>
    </row>
    <row r="697" spans="1:9">
      <c r="A697">
        <f>TeamHero生成!A697</f>
        <v>693</v>
      </c>
      <c r="B697">
        <f>TeamHero生成!B697</f>
        <v>1005</v>
      </c>
      <c r="C697">
        <f>TeamHero生成!C697</f>
        <v>60</v>
      </c>
      <c r="D697">
        <f>TeamHero生成!D697</f>
        <v>3044489</v>
      </c>
      <c r="E697">
        <f>TeamHero生成!E697</f>
        <v>58233</v>
      </c>
      <c r="F697">
        <f>TeamHero生成!F697</f>
        <v>37944</v>
      </c>
      <c r="G697" t="str">
        <f>TeamHero生成!AG697</f>
        <v>有效</v>
      </c>
      <c r="H697">
        <f>TeamHero生成!G697</f>
        <v>0</v>
      </c>
      <c r="I697">
        <f>TeamHero生成!H697</f>
        <v>0</v>
      </c>
    </row>
    <row r="698" spans="1:9">
      <c r="A698">
        <f>TeamHero生成!A698</f>
        <v>694</v>
      </c>
      <c r="B698">
        <f>TeamHero生成!B698</f>
        <v>1005</v>
      </c>
      <c r="C698">
        <f>TeamHero生成!C698</f>
        <v>60</v>
      </c>
      <c r="D698">
        <f>TeamHero生成!D698</f>
        <v>3044489</v>
      </c>
      <c r="E698">
        <f>TeamHero生成!E698</f>
        <v>58233</v>
      </c>
      <c r="F698">
        <f>TeamHero生成!F698</f>
        <v>37944</v>
      </c>
      <c r="G698" t="str">
        <f>TeamHero生成!AG698</f>
        <v>有效</v>
      </c>
      <c r="H698">
        <f>TeamHero生成!G698</f>
        <v>0</v>
      </c>
      <c r="I698">
        <f>TeamHero生成!H698</f>
        <v>0</v>
      </c>
    </row>
    <row r="699" spans="1:9">
      <c r="A699">
        <f>TeamHero生成!A699</f>
        <v>695</v>
      </c>
      <c r="B699">
        <f>TeamHero生成!B699</f>
        <v>1029</v>
      </c>
      <c r="C699">
        <f>TeamHero生成!C699</f>
        <v>60</v>
      </c>
      <c r="D699">
        <f>TeamHero生成!D699</f>
        <v>3805612</v>
      </c>
      <c r="E699">
        <f>TeamHero生成!E699</f>
        <v>48527</v>
      </c>
      <c r="F699">
        <f>TeamHero生成!F699</f>
        <v>47430</v>
      </c>
      <c r="G699" t="str">
        <f>TeamHero生成!AG699</f>
        <v>有效</v>
      </c>
      <c r="H699">
        <f>TeamHero生成!G699</f>
        <v>0</v>
      </c>
      <c r="I699">
        <f>TeamHero生成!H699</f>
        <v>0</v>
      </c>
    </row>
    <row r="700" spans="1:9">
      <c r="A700">
        <f>TeamHero生成!A700</f>
        <v>696</v>
      </c>
      <c r="B700">
        <f>TeamHero生成!B700</f>
        <v>1003</v>
      </c>
      <c r="C700">
        <f>TeamHero生成!C700</f>
        <v>60</v>
      </c>
      <c r="D700">
        <f>TeamHero生成!D700</f>
        <v>4649812</v>
      </c>
      <c r="E700">
        <f>TeamHero生成!E700</f>
        <v>49274</v>
      </c>
      <c r="F700">
        <f>TeamHero生成!F700</f>
        <v>57369</v>
      </c>
      <c r="G700" t="str">
        <f>TeamHero生成!AG700</f>
        <v>有效</v>
      </c>
      <c r="H700">
        <f>TeamHero生成!G700</f>
        <v>0</v>
      </c>
      <c r="I700">
        <f>TeamHero生成!H700</f>
        <v>0</v>
      </c>
    </row>
    <row r="701" spans="1:9">
      <c r="A701">
        <f>TeamHero生成!A701</f>
        <v>697</v>
      </c>
      <c r="B701">
        <f>TeamHero生成!B701</f>
        <v>1005</v>
      </c>
      <c r="C701">
        <f>TeamHero生成!C701</f>
        <v>60</v>
      </c>
      <c r="D701">
        <f>TeamHero生成!D701</f>
        <v>3099875</v>
      </c>
      <c r="E701">
        <f>TeamHero生成!E701</f>
        <v>59129</v>
      </c>
      <c r="F701">
        <f>TeamHero生成!F701</f>
        <v>38246</v>
      </c>
      <c r="G701" t="str">
        <f>TeamHero生成!AG701</f>
        <v>有效</v>
      </c>
      <c r="H701">
        <f>TeamHero生成!G701</f>
        <v>0</v>
      </c>
      <c r="I701">
        <f>TeamHero生成!H701</f>
        <v>0</v>
      </c>
    </row>
    <row r="702" spans="1:9">
      <c r="A702">
        <f>TeamHero生成!A702</f>
        <v>698</v>
      </c>
      <c r="B702">
        <f>TeamHero生成!B702</f>
        <v>1005</v>
      </c>
      <c r="C702">
        <f>TeamHero生成!C702</f>
        <v>60</v>
      </c>
      <c r="D702">
        <f>TeamHero生成!D702</f>
        <v>3099875</v>
      </c>
      <c r="E702">
        <f>TeamHero生成!E702</f>
        <v>59129</v>
      </c>
      <c r="F702">
        <f>TeamHero生成!F702</f>
        <v>38246</v>
      </c>
      <c r="G702" t="str">
        <f>TeamHero生成!AG702</f>
        <v>有效</v>
      </c>
      <c r="H702">
        <f>TeamHero生成!G702</f>
        <v>0</v>
      </c>
      <c r="I702">
        <f>TeamHero生成!H702</f>
        <v>0</v>
      </c>
    </row>
    <row r="703" spans="1:9">
      <c r="A703">
        <f>TeamHero生成!A703</f>
        <v>699</v>
      </c>
      <c r="B703">
        <f>TeamHero生成!B703</f>
        <v>1005</v>
      </c>
      <c r="C703">
        <f>TeamHero生成!C703</f>
        <v>60</v>
      </c>
      <c r="D703">
        <f>TeamHero生成!D703</f>
        <v>3099875</v>
      </c>
      <c r="E703">
        <f>TeamHero生成!E703</f>
        <v>59129</v>
      </c>
      <c r="F703">
        <f>TeamHero生成!F703</f>
        <v>38246</v>
      </c>
      <c r="G703" t="str">
        <f>TeamHero生成!AG703</f>
        <v>有效</v>
      </c>
      <c r="H703">
        <f>TeamHero生成!G703</f>
        <v>0</v>
      </c>
      <c r="I703">
        <f>TeamHero生成!H703</f>
        <v>0</v>
      </c>
    </row>
    <row r="704" spans="1:9">
      <c r="A704">
        <f>TeamHero生成!A704</f>
        <v>700</v>
      </c>
      <c r="B704">
        <f>TeamHero生成!B704</f>
        <v>1029</v>
      </c>
      <c r="C704">
        <f>TeamHero生成!C704</f>
        <v>60</v>
      </c>
      <c r="D704">
        <f>TeamHero生成!D704</f>
        <v>3874844</v>
      </c>
      <c r="E704">
        <f>TeamHero生成!E704</f>
        <v>49274</v>
      </c>
      <c r="F704">
        <f>TeamHero生成!F704</f>
        <v>47808</v>
      </c>
      <c r="G704" t="str">
        <f>TeamHero生成!AG704</f>
        <v>有效</v>
      </c>
      <c r="H704">
        <f>TeamHero生成!G704</f>
        <v>0</v>
      </c>
      <c r="I704">
        <f>TeamHero生成!H704</f>
        <v>0</v>
      </c>
    </row>
    <row r="705" spans="1:9">
      <c r="A705">
        <f>TeamHero生成!A705</f>
        <v>701</v>
      </c>
      <c r="B705">
        <f>TeamHero生成!B705</f>
        <v>1003</v>
      </c>
      <c r="C705">
        <f>TeamHero生成!C705</f>
        <v>60</v>
      </c>
      <c r="D705">
        <f>TeamHero生成!D705</f>
        <v>4726569</v>
      </c>
      <c r="E705">
        <f>TeamHero生成!E705</f>
        <v>49838</v>
      </c>
      <c r="F705">
        <f>TeamHero生成!F705</f>
        <v>57822</v>
      </c>
      <c r="G705" t="str">
        <f>TeamHero生成!AG705</f>
        <v>有效</v>
      </c>
      <c r="H705">
        <f>TeamHero生成!G705</f>
        <v>0</v>
      </c>
      <c r="I705">
        <f>TeamHero生成!H705</f>
        <v>0</v>
      </c>
    </row>
    <row r="706" spans="1:9">
      <c r="A706">
        <f>TeamHero生成!A706</f>
        <v>702</v>
      </c>
      <c r="B706">
        <f>TeamHero生成!B706</f>
        <v>1005</v>
      </c>
      <c r="C706">
        <f>TeamHero生成!C706</f>
        <v>60</v>
      </c>
      <c r="D706">
        <f>TeamHero生成!D706</f>
        <v>3151046</v>
      </c>
      <c r="E706">
        <f>TeamHero生成!E706</f>
        <v>59805</v>
      </c>
      <c r="F706">
        <f>TeamHero生成!F706</f>
        <v>38548</v>
      </c>
      <c r="G706" t="str">
        <f>TeamHero生成!AG706</f>
        <v>有效</v>
      </c>
      <c r="H706">
        <f>TeamHero生成!G706</f>
        <v>0</v>
      </c>
      <c r="I706">
        <f>TeamHero生成!H706</f>
        <v>0</v>
      </c>
    </row>
    <row r="707" spans="1:9">
      <c r="A707">
        <f>TeamHero生成!A707</f>
        <v>703</v>
      </c>
      <c r="B707">
        <f>TeamHero生成!B707</f>
        <v>1005</v>
      </c>
      <c r="C707">
        <f>TeamHero生成!C707</f>
        <v>60</v>
      </c>
      <c r="D707">
        <f>TeamHero生成!D707</f>
        <v>3151046</v>
      </c>
      <c r="E707">
        <f>TeamHero生成!E707</f>
        <v>59805</v>
      </c>
      <c r="F707">
        <f>TeamHero生成!F707</f>
        <v>38548</v>
      </c>
      <c r="G707" t="str">
        <f>TeamHero生成!AG707</f>
        <v>有效</v>
      </c>
      <c r="H707">
        <f>TeamHero生成!G707</f>
        <v>0</v>
      </c>
      <c r="I707">
        <f>TeamHero生成!H707</f>
        <v>0</v>
      </c>
    </row>
    <row r="708" spans="1:9">
      <c r="A708">
        <f>TeamHero生成!A708</f>
        <v>704</v>
      </c>
      <c r="B708">
        <f>TeamHero生成!B708</f>
        <v>1005</v>
      </c>
      <c r="C708">
        <f>TeamHero生成!C708</f>
        <v>60</v>
      </c>
      <c r="D708">
        <f>TeamHero生成!D708</f>
        <v>3151046</v>
      </c>
      <c r="E708">
        <f>TeamHero生成!E708</f>
        <v>59805</v>
      </c>
      <c r="F708">
        <f>TeamHero生成!F708</f>
        <v>38548</v>
      </c>
      <c r="G708" t="str">
        <f>TeamHero生成!AG708</f>
        <v>有效</v>
      </c>
      <c r="H708">
        <f>TeamHero生成!G708</f>
        <v>0</v>
      </c>
      <c r="I708">
        <f>TeamHero生成!H708</f>
        <v>0</v>
      </c>
    </row>
    <row r="709" spans="1:9">
      <c r="A709">
        <f>TeamHero生成!A709</f>
        <v>705</v>
      </c>
      <c r="B709">
        <f>TeamHero生成!B709</f>
        <v>1029</v>
      </c>
      <c r="C709">
        <f>TeamHero生成!C709</f>
        <v>60</v>
      </c>
      <c r="D709">
        <f>TeamHero生成!D709</f>
        <v>3938807</v>
      </c>
      <c r="E709">
        <f>TeamHero生成!E709</f>
        <v>49838</v>
      </c>
      <c r="F709">
        <f>TeamHero生成!F709</f>
        <v>48185</v>
      </c>
      <c r="G709" t="str">
        <f>TeamHero生成!AG709</f>
        <v>有效</v>
      </c>
      <c r="H709">
        <f>TeamHero生成!G709</f>
        <v>0</v>
      </c>
      <c r="I709">
        <f>TeamHero生成!H709</f>
        <v>0</v>
      </c>
    </row>
    <row r="710" spans="1:9">
      <c r="A710">
        <f>TeamHero生成!A710</f>
        <v>706</v>
      </c>
      <c r="B710">
        <f>TeamHero生成!B710</f>
        <v>1003</v>
      </c>
      <c r="C710">
        <f>TeamHero生成!C710</f>
        <v>60</v>
      </c>
      <c r="D710">
        <f>TeamHero生成!D710</f>
        <v>4808108</v>
      </c>
      <c r="E710">
        <f>TeamHero生成!E710</f>
        <v>50503</v>
      </c>
      <c r="F710">
        <f>TeamHero生成!F710</f>
        <v>58278</v>
      </c>
      <c r="G710" t="str">
        <f>TeamHero生成!AG710</f>
        <v>有效</v>
      </c>
      <c r="H710">
        <f>TeamHero生成!G710</f>
        <v>0</v>
      </c>
      <c r="I710">
        <f>TeamHero生成!H710</f>
        <v>0</v>
      </c>
    </row>
    <row r="711" spans="1:9">
      <c r="A711">
        <f>TeamHero生成!A711</f>
        <v>707</v>
      </c>
      <c r="B711">
        <f>TeamHero生成!B711</f>
        <v>1005</v>
      </c>
      <c r="C711">
        <f>TeamHero生成!C711</f>
        <v>60</v>
      </c>
      <c r="D711">
        <f>TeamHero生成!D711</f>
        <v>3205405</v>
      </c>
      <c r="E711">
        <f>TeamHero生成!E711</f>
        <v>60604</v>
      </c>
      <c r="F711">
        <f>TeamHero生成!F711</f>
        <v>38852</v>
      </c>
      <c r="G711" t="str">
        <f>TeamHero生成!AG711</f>
        <v>有效</v>
      </c>
      <c r="H711">
        <f>TeamHero生成!G711</f>
        <v>0</v>
      </c>
      <c r="I711">
        <f>TeamHero生成!H711</f>
        <v>0</v>
      </c>
    </row>
    <row r="712" spans="1:9">
      <c r="A712">
        <f>TeamHero生成!A712</f>
        <v>708</v>
      </c>
      <c r="B712">
        <f>TeamHero生成!B712</f>
        <v>1005</v>
      </c>
      <c r="C712">
        <f>TeamHero生成!C712</f>
        <v>60</v>
      </c>
      <c r="D712">
        <f>TeamHero生成!D712</f>
        <v>3205405</v>
      </c>
      <c r="E712">
        <f>TeamHero生成!E712</f>
        <v>60604</v>
      </c>
      <c r="F712">
        <f>TeamHero生成!F712</f>
        <v>38852</v>
      </c>
      <c r="G712" t="str">
        <f>TeamHero生成!AG712</f>
        <v>有效</v>
      </c>
      <c r="H712">
        <f>TeamHero生成!G712</f>
        <v>0</v>
      </c>
      <c r="I712">
        <f>TeamHero生成!H712</f>
        <v>0</v>
      </c>
    </row>
    <row r="713" spans="1:9">
      <c r="A713">
        <f>TeamHero生成!A713</f>
        <v>709</v>
      </c>
      <c r="B713">
        <f>TeamHero生成!B713</f>
        <v>1005</v>
      </c>
      <c r="C713">
        <f>TeamHero生成!C713</f>
        <v>60</v>
      </c>
      <c r="D713">
        <f>TeamHero生成!D713</f>
        <v>3205405</v>
      </c>
      <c r="E713">
        <f>TeamHero生成!E713</f>
        <v>60604</v>
      </c>
      <c r="F713">
        <f>TeamHero生成!F713</f>
        <v>38852</v>
      </c>
      <c r="G713" t="str">
        <f>TeamHero生成!AG713</f>
        <v>有效</v>
      </c>
      <c r="H713">
        <f>TeamHero生成!G713</f>
        <v>0</v>
      </c>
      <c r="I713">
        <f>TeamHero生成!H713</f>
        <v>0</v>
      </c>
    </row>
    <row r="714" spans="1:9">
      <c r="A714">
        <f>TeamHero生成!A714</f>
        <v>710</v>
      </c>
      <c r="B714">
        <f>TeamHero生成!B714</f>
        <v>1029</v>
      </c>
      <c r="C714">
        <f>TeamHero生成!C714</f>
        <v>60</v>
      </c>
      <c r="D714">
        <f>TeamHero生成!D714</f>
        <v>4006756</v>
      </c>
      <c r="E714">
        <f>TeamHero生成!E714</f>
        <v>50503</v>
      </c>
      <c r="F714">
        <f>TeamHero生成!F714</f>
        <v>48565</v>
      </c>
      <c r="G714" t="str">
        <f>TeamHero生成!AG714</f>
        <v>有效</v>
      </c>
      <c r="H714">
        <f>TeamHero生成!G714</f>
        <v>0</v>
      </c>
      <c r="I714">
        <f>TeamHero生成!H714</f>
        <v>0</v>
      </c>
    </row>
    <row r="715" spans="1:9">
      <c r="A715">
        <f>TeamHero生成!A715</f>
        <v>711</v>
      </c>
      <c r="B715">
        <f>TeamHero生成!B715</f>
        <v>1003</v>
      </c>
      <c r="C715">
        <f>TeamHero生成!C715</f>
        <v>60</v>
      </c>
      <c r="D715">
        <f>TeamHero生成!D715</f>
        <v>4890734</v>
      </c>
      <c r="E715">
        <f>TeamHero生成!E715</f>
        <v>51177</v>
      </c>
      <c r="F715">
        <f>TeamHero生成!F715</f>
        <v>58736</v>
      </c>
      <c r="G715" t="str">
        <f>TeamHero生成!AG715</f>
        <v>有效</v>
      </c>
      <c r="H715">
        <f>TeamHero生成!G715</f>
        <v>0</v>
      </c>
      <c r="I715">
        <f>TeamHero生成!H715</f>
        <v>0</v>
      </c>
    </row>
    <row r="716" spans="1:9">
      <c r="A716">
        <f>TeamHero生成!A716</f>
        <v>712</v>
      </c>
      <c r="B716">
        <f>TeamHero生成!B716</f>
        <v>1005</v>
      </c>
      <c r="C716">
        <f>TeamHero生成!C716</f>
        <v>60</v>
      </c>
      <c r="D716">
        <f>TeamHero生成!D716</f>
        <v>3260489</v>
      </c>
      <c r="E716">
        <f>TeamHero生成!E716</f>
        <v>61412</v>
      </c>
      <c r="F716">
        <f>TeamHero生成!F716</f>
        <v>39157</v>
      </c>
      <c r="G716" t="str">
        <f>TeamHero生成!AG716</f>
        <v>有效</v>
      </c>
      <c r="H716">
        <f>TeamHero生成!G716</f>
        <v>0</v>
      </c>
      <c r="I716">
        <f>TeamHero生成!H716</f>
        <v>0</v>
      </c>
    </row>
    <row r="717" spans="1:9">
      <c r="A717">
        <f>TeamHero生成!A717</f>
        <v>713</v>
      </c>
      <c r="B717">
        <f>TeamHero生成!B717</f>
        <v>1005</v>
      </c>
      <c r="C717">
        <f>TeamHero生成!C717</f>
        <v>60</v>
      </c>
      <c r="D717">
        <f>TeamHero生成!D717</f>
        <v>3260489</v>
      </c>
      <c r="E717">
        <f>TeamHero生成!E717</f>
        <v>61412</v>
      </c>
      <c r="F717">
        <f>TeamHero生成!F717</f>
        <v>39157</v>
      </c>
      <c r="G717" t="str">
        <f>TeamHero生成!AG717</f>
        <v>有效</v>
      </c>
      <c r="H717">
        <f>TeamHero生成!G717</f>
        <v>0</v>
      </c>
      <c r="I717">
        <f>TeamHero生成!H717</f>
        <v>0</v>
      </c>
    </row>
    <row r="718" spans="1:9">
      <c r="A718">
        <f>TeamHero生成!A718</f>
        <v>714</v>
      </c>
      <c r="B718">
        <f>TeamHero生成!B718</f>
        <v>1005</v>
      </c>
      <c r="C718">
        <f>TeamHero生成!C718</f>
        <v>60</v>
      </c>
      <c r="D718">
        <f>TeamHero生成!D718</f>
        <v>3260489</v>
      </c>
      <c r="E718">
        <f>TeamHero生成!E718</f>
        <v>61412</v>
      </c>
      <c r="F718">
        <f>TeamHero生成!F718</f>
        <v>39157</v>
      </c>
      <c r="G718" t="str">
        <f>TeamHero生成!AG718</f>
        <v>有效</v>
      </c>
      <c r="H718">
        <f>TeamHero生成!G718</f>
        <v>0</v>
      </c>
      <c r="I718">
        <f>TeamHero生成!H718</f>
        <v>0</v>
      </c>
    </row>
    <row r="719" spans="1:9">
      <c r="A719">
        <f>TeamHero生成!A719</f>
        <v>715</v>
      </c>
      <c r="B719">
        <f>TeamHero生成!B719</f>
        <v>1029</v>
      </c>
      <c r="C719">
        <f>TeamHero生成!C719</f>
        <v>60</v>
      </c>
      <c r="D719">
        <f>TeamHero生成!D719</f>
        <v>4075612</v>
      </c>
      <c r="E719">
        <f>TeamHero生成!E719</f>
        <v>51177</v>
      </c>
      <c r="F719">
        <f>TeamHero生成!F719</f>
        <v>48946</v>
      </c>
      <c r="G719" t="str">
        <f>TeamHero生成!AG719</f>
        <v>有效</v>
      </c>
      <c r="H719">
        <f>TeamHero生成!G719</f>
        <v>0</v>
      </c>
      <c r="I719">
        <f>TeamHero生成!H719</f>
        <v>0</v>
      </c>
    </row>
    <row r="720" spans="1:9">
      <c r="A720">
        <f>TeamHero生成!A720</f>
        <v>716</v>
      </c>
      <c r="B720">
        <f>TeamHero生成!B720</f>
        <v>1003</v>
      </c>
      <c r="C720">
        <f>TeamHero生成!C720</f>
        <v>60</v>
      </c>
      <c r="D720">
        <f>TeamHero生成!D720</f>
        <v>4974461</v>
      </c>
      <c r="E720">
        <f>TeamHero生成!E720</f>
        <v>51856</v>
      </c>
      <c r="F720">
        <f>TeamHero生成!F720</f>
        <v>59193</v>
      </c>
      <c r="G720" t="str">
        <f>TeamHero生成!AG720</f>
        <v>有效</v>
      </c>
      <c r="H720">
        <f>TeamHero生成!G720</f>
        <v>0</v>
      </c>
      <c r="I720">
        <f>TeamHero生成!H720</f>
        <v>0</v>
      </c>
    </row>
    <row r="721" spans="1:9">
      <c r="A721">
        <f>TeamHero生成!A721</f>
        <v>717</v>
      </c>
      <c r="B721">
        <f>TeamHero生成!B721</f>
        <v>1005</v>
      </c>
      <c r="C721">
        <f>TeamHero生成!C721</f>
        <v>60</v>
      </c>
      <c r="D721">
        <f>TeamHero生成!D721</f>
        <v>3316307</v>
      </c>
      <c r="E721">
        <f>TeamHero生成!E721</f>
        <v>62227</v>
      </c>
      <c r="F721">
        <f>TeamHero生成!F721</f>
        <v>39462</v>
      </c>
      <c r="G721" t="str">
        <f>TeamHero生成!AG721</f>
        <v>有效</v>
      </c>
      <c r="H721">
        <f>TeamHero生成!G721</f>
        <v>0</v>
      </c>
      <c r="I721">
        <f>TeamHero生成!H721</f>
        <v>0</v>
      </c>
    </row>
    <row r="722" spans="1:9">
      <c r="A722">
        <f>TeamHero生成!A722</f>
        <v>718</v>
      </c>
      <c r="B722">
        <f>TeamHero生成!B722</f>
        <v>1005</v>
      </c>
      <c r="C722">
        <f>TeamHero生成!C722</f>
        <v>60</v>
      </c>
      <c r="D722">
        <f>TeamHero生成!D722</f>
        <v>3316307</v>
      </c>
      <c r="E722">
        <f>TeamHero生成!E722</f>
        <v>62227</v>
      </c>
      <c r="F722">
        <f>TeamHero生成!F722</f>
        <v>39462</v>
      </c>
      <c r="G722" t="str">
        <f>TeamHero生成!AG722</f>
        <v>有效</v>
      </c>
      <c r="H722">
        <f>TeamHero生成!G722</f>
        <v>0</v>
      </c>
      <c r="I722">
        <f>TeamHero生成!H722</f>
        <v>0</v>
      </c>
    </row>
    <row r="723" spans="1:9">
      <c r="A723">
        <f>TeamHero生成!A723</f>
        <v>719</v>
      </c>
      <c r="B723">
        <f>TeamHero生成!B723</f>
        <v>1005</v>
      </c>
      <c r="C723">
        <f>TeamHero生成!C723</f>
        <v>60</v>
      </c>
      <c r="D723">
        <f>TeamHero生成!D723</f>
        <v>3316307</v>
      </c>
      <c r="E723">
        <f>TeamHero生成!E723</f>
        <v>62227</v>
      </c>
      <c r="F723">
        <f>TeamHero生成!F723</f>
        <v>39462</v>
      </c>
      <c r="G723" t="str">
        <f>TeamHero生成!AG723</f>
        <v>有效</v>
      </c>
      <c r="H723">
        <f>TeamHero生成!G723</f>
        <v>0</v>
      </c>
      <c r="I723">
        <f>TeamHero生成!H723</f>
        <v>0</v>
      </c>
    </row>
    <row r="724" spans="1:9">
      <c r="A724">
        <f>TeamHero生成!A724</f>
        <v>720</v>
      </c>
      <c r="B724">
        <f>TeamHero生成!B724</f>
        <v>1029</v>
      </c>
      <c r="C724">
        <f>TeamHero生成!C724</f>
        <v>60</v>
      </c>
      <c r="D724">
        <f>TeamHero生成!D724</f>
        <v>4145384</v>
      </c>
      <c r="E724">
        <f>TeamHero生成!E724</f>
        <v>51856</v>
      </c>
      <c r="F724">
        <f>TeamHero生成!F724</f>
        <v>49328</v>
      </c>
      <c r="G724" t="str">
        <f>TeamHero生成!AG724</f>
        <v>有效</v>
      </c>
      <c r="H724">
        <f>TeamHero生成!G724</f>
        <v>0</v>
      </c>
      <c r="I724">
        <f>TeamHero生成!H724</f>
        <v>0</v>
      </c>
    </row>
    <row r="725" spans="1:9">
      <c r="A725">
        <f>TeamHero生成!A725</f>
        <v>721</v>
      </c>
      <c r="B725">
        <f>TeamHero生成!B725</f>
        <v>1003</v>
      </c>
      <c r="C725">
        <f>TeamHero生成!C725</f>
        <v>60</v>
      </c>
      <c r="D725">
        <f>TeamHero生成!D725</f>
        <v>5082938</v>
      </c>
      <c r="E725">
        <f>TeamHero生成!E725</f>
        <v>52316</v>
      </c>
      <c r="F725">
        <f>TeamHero生成!F725</f>
        <v>59654</v>
      </c>
      <c r="G725" t="str">
        <f>TeamHero生成!AG725</f>
        <v>有效</v>
      </c>
      <c r="H725">
        <f>TeamHero生成!G725</f>
        <v>0</v>
      </c>
      <c r="I725">
        <f>TeamHero生成!H725</f>
        <v>0</v>
      </c>
    </row>
    <row r="726" spans="1:9">
      <c r="A726">
        <f>TeamHero生成!A726</f>
        <v>722</v>
      </c>
      <c r="B726">
        <f>TeamHero生成!B726</f>
        <v>1005</v>
      </c>
      <c r="C726">
        <f>TeamHero生成!C726</f>
        <v>60</v>
      </c>
      <c r="D726">
        <f>TeamHero生成!D726</f>
        <v>3388626</v>
      </c>
      <c r="E726">
        <f>TeamHero生成!E726</f>
        <v>62779</v>
      </c>
      <c r="F726">
        <f>TeamHero生成!F726</f>
        <v>39769</v>
      </c>
      <c r="G726" t="str">
        <f>TeamHero生成!AG726</f>
        <v>有效</v>
      </c>
      <c r="H726">
        <f>TeamHero生成!G726</f>
        <v>0</v>
      </c>
      <c r="I726">
        <f>TeamHero生成!H726</f>
        <v>0</v>
      </c>
    </row>
    <row r="727" spans="1:9">
      <c r="A727">
        <f>TeamHero生成!A727</f>
        <v>723</v>
      </c>
      <c r="B727">
        <f>TeamHero生成!B727</f>
        <v>1005</v>
      </c>
      <c r="C727">
        <f>TeamHero生成!C727</f>
        <v>60</v>
      </c>
      <c r="D727">
        <f>TeamHero生成!D727</f>
        <v>3388626</v>
      </c>
      <c r="E727">
        <f>TeamHero生成!E727</f>
        <v>62779</v>
      </c>
      <c r="F727">
        <f>TeamHero生成!F727</f>
        <v>39769</v>
      </c>
      <c r="G727" t="str">
        <f>TeamHero生成!AG727</f>
        <v>有效</v>
      </c>
      <c r="H727">
        <f>TeamHero生成!G727</f>
        <v>0</v>
      </c>
      <c r="I727">
        <f>TeamHero生成!H727</f>
        <v>0</v>
      </c>
    </row>
    <row r="728" spans="1:9">
      <c r="A728">
        <f>TeamHero生成!A728</f>
        <v>724</v>
      </c>
      <c r="B728">
        <f>TeamHero生成!B728</f>
        <v>1005</v>
      </c>
      <c r="C728">
        <f>TeamHero生成!C728</f>
        <v>60</v>
      </c>
      <c r="D728">
        <f>TeamHero生成!D728</f>
        <v>3388626</v>
      </c>
      <c r="E728">
        <f>TeamHero生成!E728</f>
        <v>62779</v>
      </c>
      <c r="F728">
        <f>TeamHero生成!F728</f>
        <v>39769</v>
      </c>
      <c r="G728" t="str">
        <f>TeamHero生成!AG728</f>
        <v>有效</v>
      </c>
      <c r="H728">
        <f>TeamHero生成!G728</f>
        <v>0</v>
      </c>
      <c r="I728">
        <f>TeamHero生成!H728</f>
        <v>0</v>
      </c>
    </row>
    <row r="729" spans="1:9">
      <c r="A729">
        <f>TeamHero生成!A729</f>
        <v>725</v>
      </c>
      <c r="B729">
        <f>TeamHero生成!B729</f>
        <v>1029</v>
      </c>
      <c r="C729">
        <f>TeamHero生成!C729</f>
        <v>60</v>
      </c>
      <c r="D729">
        <f>TeamHero生成!D729</f>
        <v>4235782</v>
      </c>
      <c r="E729">
        <f>TeamHero生成!E729</f>
        <v>52316</v>
      </c>
      <c r="F729">
        <f>TeamHero生成!F729</f>
        <v>49711</v>
      </c>
      <c r="G729" t="str">
        <f>TeamHero生成!AG729</f>
        <v>有效</v>
      </c>
      <c r="H729">
        <f>TeamHero生成!G729</f>
        <v>0</v>
      </c>
      <c r="I729">
        <f>TeamHero生成!H729</f>
        <v>0</v>
      </c>
    </row>
    <row r="730" spans="1:9">
      <c r="A730">
        <f>TeamHero生成!A730</f>
        <v>726</v>
      </c>
      <c r="B730">
        <f>TeamHero生成!B730</f>
        <v>1003</v>
      </c>
      <c r="C730">
        <f>TeamHero生成!C730</f>
        <v>60</v>
      </c>
      <c r="D730">
        <f>TeamHero生成!D730</f>
        <v>5145273</v>
      </c>
      <c r="E730">
        <f>TeamHero生成!E730</f>
        <v>53237</v>
      </c>
      <c r="F730">
        <f>TeamHero生成!F730</f>
        <v>60114</v>
      </c>
      <c r="G730" t="str">
        <f>TeamHero生成!AG730</f>
        <v>有效</v>
      </c>
      <c r="H730">
        <f>TeamHero生成!G730</f>
        <v>0</v>
      </c>
      <c r="I730">
        <f>TeamHero生成!H730</f>
        <v>0</v>
      </c>
    </row>
    <row r="731" spans="1:9">
      <c r="A731">
        <f>TeamHero生成!A731</f>
        <v>727</v>
      </c>
      <c r="B731">
        <f>TeamHero生成!B731</f>
        <v>1005</v>
      </c>
      <c r="C731">
        <f>TeamHero生成!C731</f>
        <v>60</v>
      </c>
      <c r="D731">
        <f>TeamHero生成!D731</f>
        <v>3430182</v>
      </c>
      <c r="E731">
        <f>TeamHero生成!E731</f>
        <v>63885</v>
      </c>
      <c r="F731">
        <f>TeamHero生成!F731</f>
        <v>40076</v>
      </c>
      <c r="G731" t="str">
        <f>TeamHero生成!AG731</f>
        <v>有效</v>
      </c>
      <c r="H731">
        <f>TeamHero生成!G731</f>
        <v>0</v>
      </c>
      <c r="I731">
        <f>TeamHero生成!H731</f>
        <v>0</v>
      </c>
    </row>
    <row r="732" spans="1:9">
      <c r="A732">
        <f>TeamHero生成!A732</f>
        <v>728</v>
      </c>
      <c r="B732">
        <f>TeamHero生成!B732</f>
        <v>1005</v>
      </c>
      <c r="C732">
        <f>TeamHero生成!C732</f>
        <v>60</v>
      </c>
      <c r="D732">
        <f>TeamHero生成!D732</f>
        <v>3430182</v>
      </c>
      <c r="E732">
        <f>TeamHero生成!E732</f>
        <v>63885</v>
      </c>
      <c r="F732">
        <f>TeamHero生成!F732</f>
        <v>40076</v>
      </c>
      <c r="G732" t="str">
        <f>TeamHero生成!AG732</f>
        <v>有效</v>
      </c>
      <c r="H732">
        <f>TeamHero生成!G732</f>
        <v>0</v>
      </c>
      <c r="I732">
        <f>TeamHero生成!H732</f>
        <v>0</v>
      </c>
    </row>
    <row r="733" spans="1:9">
      <c r="A733">
        <f>TeamHero生成!A733</f>
        <v>729</v>
      </c>
      <c r="B733">
        <f>TeamHero生成!B733</f>
        <v>1005</v>
      </c>
      <c r="C733">
        <f>TeamHero生成!C733</f>
        <v>60</v>
      </c>
      <c r="D733">
        <f>TeamHero生成!D733</f>
        <v>3430182</v>
      </c>
      <c r="E733">
        <f>TeamHero生成!E733</f>
        <v>63885</v>
      </c>
      <c r="F733">
        <f>TeamHero生成!F733</f>
        <v>40076</v>
      </c>
      <c r="G733" t="str">
        <f>TeamHero生成!AG733</f>
        <v>有效</v>
      </c>
      <c r="H733">
        <f>TeamHero生成!G733</f>
        <v>0</v>
      </c>
      <c r="I733">
        <f>TeamHero生成!H733</f>
        <v>0</v>
      </c>
    </row>
    <row r="734" spans="1:9">
      <c r="A734">
        <f>TeamHero生成!A734</f>
        <v>730</v>
      </c>
      <c r="B734">
        <f>TeamHero生成!B734</f>
        <v>1029</v>
      </c>
      <c r="C734">
        <f>TeamHero生成!C734</f>
        <v>60</v>
      </c>
      <c r="D734">
        <f>TeamHero生成!D734</f>
        <v>4287727</v>
      </c>
      <c r="E734">
        <f>TeamHero生成!E734</f>
        <v>53237</v>
      </c>
      <c r="F734">
        <f>TeamHero生成!F734</f>
        <v>50095</v>
      </c>
      <c r="G734" t="str">
        <f>TeamHero生成!AG734</f>
        <v>有效</v>
      </c>
      <c r="H734">
        <f>TeamHero生成!G734</f>
        <v>0</v>
      </c>
      <c r="I734">
        <f>TeamHero生成!H734</f>
        <v>0</v>
      </c>
    </row>
    <row r="735" spans="1:9">
      <c r="A735">
        <f>TeamHero生成!A735</f>
        <v>731</v>
      </c>
      <c r="B735">
        <f>TeamHero生成!B735</f>
        <v>1003</v>
      </c>
      <c r="C735">
        <f>TeamHero生成!C735</f>
        <v>60</v>
      </c>
      <c r="D735">
        <f>TeamHero生成!D735</f>
        <v>5232378</v>
      </c>
      <c r="E735">
        <f>TeamHero生成!E735</f>
        <v>53939</v>
      </c>
      <c r="F735">
        <f>TeamHero生成!F735</f>
        <v>60576</v>
      </c>
      <c r="G735" t="str">
        <f>TeamHero生成!AG735</f>
        <v>有效</v>
      </c>
      <c r="H735">
        <f>TeamHero生成!G735</f>
        <v>0</v>
      </c>
      <c r="I735">
        <f>TeamHero生成!H735</f>
        <v>0</v>
      </c>
    </row>
    <row r="736" spans="1:9">
      <c r="A736">
        <f>TeamHero生成!A736</f>
        <v>732</v>
      </c>
      <c r="B736">
        <f>TeamHero生成!B736</f>
        <v>1005</v>
      </c>
      <c r="C736">
        <f>TeamHero生成!C736</f>
        <v>60</v>
      </c>
      <c r="D736">
        <f>TeamHero生成!D736</f>
        <v>3488252</v>
      </c>
      <c r="E736">
        <f>TeamHero生成!E736</f>
        <v>64727</v>
      </c>
      <c r="F736">
        <f>TeamHero生成!F736</f>
        <v>40384</v>
      </c>
      <c r="G736" t="str">
        <f>TeamHero生成!AG736</f>
        <v>有效</v>
      </c>
      <c r="H736">
        <f>TeamHero生成!G736</f>
        <v>0</v>
      </c>
      <c r="I736">
        <f>TeamHero生成!H736</f>
        <v>0</v>
      </c>
    </row>
    <row r="737" spans="1:9">
      <c r="A737">
        <f>TeamHero生成!A737</f>
        <v>733</v>
      </c>
      <c r="B737">
        <f>TeamHero生成!B737</f>
        <v>1005</v>
      </c>
      <c r="C737">
        <f>TeamHero生成!C737</f>
        <v>60</v>
      </c>
      <c r="D737">
        <f>TeamHero生成!D737</f>
        <v>3488252</v>
      </c>
      <c r="E737">
        <f>TeamHero生成!E737</f>
        <v>64727</v>
      </c>
      <c r="F737">
        <f>TeamHero生成!F737</f>
        <v>40384</v>
      </c>
      <c r="G737" t="str">
        <f>TeamHero生成!AG737</f>
        <v>有效</v>
      </c>
      <c r="H737">
        <f>TeamHero生成!G737</f>
        <v>0</v>
      </c>
      <c r="I737">
        <f>TeamHero生成!H737</f>
        <v>0</v>
      </c>
    </row>
    <row r="738" spans="1:9">
      <c r="A738">
        <f>TeamHero生成!A738</f>
        <v>734</v>
      </c>
      <c r="B738">
        <f>TeamHero生成!B738</f>
        <v>1005</v>
      </c>
      <c r="C738">
        <f>TeamHero生成!C738</f>
        <v>60</v>
      </c>
      <c r="D738">
        <f>TeamHero生成!D738</f>
        <v>3488252</v>
      </c>
      <c r="E738">
        <f>TeamHero生成!E738</f>
        <v>64727</v>
      </c>
      <c r="F738">
        <f>TeamHero生成!F738</f>
        <v>40384</v>
      </c>
      <c r="G738" t="str">
        <f>TeamHero生成!AG738</f>
        <v>有效</v>
      </c>
      <c r="H738">
        <f>TeamHero生成!G738</f>
        <v>0</v>
      </c>
      <c r="I738">
        <f>TeamHero生成!H738</f>
        <v>0</v>
      </c>
    </row>
    <row r="739" spans="1:9">
      <c r="A739">
        <f>TeamHero生成!A739</f>
        <v>735</v>
      </c>
      <c r="B739">
        <f>TeamHero生成!B739</f>
        <v>1029</v>
      </c>
      <c r="C739">
        <f>TeamHero生成!C739</f>
        <v>60</v>
      </c>
      <c r="D739">
        <f>TeamHero生成!D739</f>
        <v>4360315</v>
      </c>
      <c r="E739">
        <f>TeamHero生成!E739</f>
        <v>53939</v>
      </c>
      <c r="F739">
        <f>TeamHero生成!F739</f>
        <v>50480</v>
      </c>
      <c r="G739" t="str">
        <f>TeamHero生成!AG739</f>
        <v>有效</v>
      </c>
      <c r="H739">
        <f>TeamHero生成!G739</f>
        <v>0</v>
      </c>
      <c r="I739">
        <f>TeamHero生成!H739</f>
        <v>0</v>
      </c>
    </row>
    <row r="740" spans="1:9">
      <c r="A740">
        <f>TeamHero生成!A740</f>
        <v>736</v>
      </c>
      <c r="B740">
        <f>TeamHero生成!B740</f>
        <v>1003</v>
      </c>
      <c r="C740">
        <f>TeamHero生成!C740</f>
        <v>60</v>
      </c>
      <c r="D740">
        <f>TeamHero生成!D740</f>
        <v>5320631</v>
      </c>
      <c r="E740">
        <f>TeamHero生成!E740</f>
        <v>54647</v>
      </c>
      <c r="F740">
        <f>TeamHero生成!F740</f>
        <v>61040</v>
      </c>
      <c r="G740" t="str">
        <f>TeamHero生成!AG740</f>
        <v>有效</v>
      </c>
      <c r="H740">
        <f>TeamHero生成!G740</f>
        <v>0</v>
      </c>
      <c r="I740">
        <f>TeamHero生成!H740</f>
        <v>0</v>
      </c>
    </row>
    <row r="741" spans="1:9">
      <c r="A741">
        <f>TeamHero生成!A741</f>
        <v>737</v>
      </c>
      <c r="B741">
        <f>TeamHero生成!B741</f>
        <v>1005</v>
      </c>
      <c r="C741">
        <f>TeamHero生成!C741</f>
        <v>60</v>
      </c>
      <c r="D741">
        <f>TeamHero生成!D741</f>
        <v>3547087</v>
      </c>
      <c r="E741">
        <f>TeamHero生成!E741</f>
        <v>65577</v>
      </c>
      <c r="F741">
        <f>TeamHero生成!F741</f>
        <v>40693</v>
      </c>
      <c r="G741" t="str">
        <f>TeamHero生成!AG741</f>
        <v>有效</v>
      </c>
      <c r="H741">
        <f>TeamHero生成!G741</f>
        <v>0</v>
      </c>
      <c r="I741">
        <f>TeamHero生成!H741</f>
        <v>0</v>
      </c>
    </row>
    <row r="742" spans="1:9">
      <c r="A742">
        <f>TeamHero生成!A742</f>
        <v>738</v>
      </c>
      <c r="B742">
        <f>TeamHero生成!B742</f>
        <v>1005</v>
      </c>
      <c r="C742">
        <f>TeamHero生成!C742</f>
        <v>60</v>
      </c>
      <c r="D742">
        <f>TeamHero生成!D742</f>
        <v>3547087</v>
      </c>
      <c r="E742">
        <f>TeamHero生成!E742</f>
        <v>65577</v>
      </c>
      <c r="F742">
        <f>TeamHero生成!F742</f>
        <v>40693</v>
      </c>
      <c r="G742" t="str">
        <f>TeamHero生成!AG742</f>
        <v>有效</v>
      </c>
      <c r="H742">
        <f>TeamHero生成!G742</f>
        <v>0</v>
      </c>
      <c r="I742">
        <f>TeamHero生成!H742</f>
        <v>0</v>
      </c>
    </row>
    <row r="743" spans="1:9">
      <c r="A743">
        <f>TeamHero生成!A743</f>
        <v>739</v>
      </c>
      <c r="B743">
        <f>TeamHero生成!B743</f>
        <v>1005</v>
      </c>
      <c r="C743">
        <f>TeamHero生成!C743</f>
        <v>60</v>
      </c>
      <c r="D743">
        <f>TeamHero生成!D743</f>
        <v>3547087</v>
      </c>
      <c r="E743">
        <f>TeamHero生成!E743</f>
        <v>65577</v>
      </c>
      <c r="F743">
        <f>TeamHero生成!F743</f>
        <v>40693</v>
      </c>
      <c r="G743" t="str">
        <f>TeamHero生成!AG743</f>
        <v>有效</v>
      </c>
      <c r="H743">
        <f>TeamHero生成!G743</f>
        <v>0</v>
      </c>
      <c r="I743">
        <f>TeamHero生成!H743</f>
        <v>0</v>
      </c>
    </row>
    <row r="744" spans="1:9">
      <c r="A744">
        <f>TeamHero生成!A744</f>
        <v>740</v>
      </c>
      <c r="B744">
        <f>TeamHero生成!B744</f>
        <v>1029</v>
      </c>
      <c r="C744">
        <f>TeamHero生成!C744</f>
        <v>60</v>
      </c>
      <c r="D744">
        <f>TeamHero生成!D744</f>
        <v>4433859</v>
      </c>
      <c r="E744">
        <f>TeamHero生成!E744</f>
        <v>54647</v>
      </c>
      <c r="F744">
        <f>TeamHero生成!F744</f>
        <v>50866</v>
      </c>
      <c r="G744" t="str">
        <f>TeamHero生成!AG744</f>
        <v>有效</v>
      </c>
      <c r="H744">
        <f>TeamHero生成!G744</f>
        <v>0</v>
      </c>
      <c r="I744">
        <f>TeamHero生成!H744</f>
        <v>0</v>
      </c>
    </row>
    <row r="745" spans="1:9">
      <c r="A745">
        <f>TeamHero生成!A745</f>
        <v>741</v>
      </c>
      <c r="B745">
        <f>TeamHero生成!B745</f>
        <v>1003</v>
      </c>
      <c r="C745">
        <f>TeamHero生成!C745</f>
        <v>60</v>
      </c>
      <c r="D745">
        <f>TeamHero生成!D745</f>
        <v>5410039</v>
      </c>
      <c r="E745">
        <f>TeamHero生成!E745</f>
        <v>55364</v>
      </c>
      <c r="F745">
        <f>TeamHero生成!F745</f>
        <v>61505</v>
      </c>
      <c r="G745" t="str">
        <f>TeamHero生成!AG745</f>
        <v>有效</v>
      </c>
      <c r="H745">
        <f>TeamHero生成!G745</f>
        <v>0</v>
      </c>
      <c r="I745">
        <f>TeamHero生成!H745</f>
        <v>0</v>
      </c>
    </row>
    <row r="746" spans="1:9">
      <c r="A746">
        <f>TeamHero生成!A746</f>
        <v>742</v>
      </c>
      <c r="B746">
        <f>TeamHero生成!B746</f>
        <v>1005</v>
      </c>
      <c r="C746">
        <f>TeamHero生成!C746</f>
        <v>60</v>
      </c>
      <c r="D746">
        <f>TeamHero生成!D746</f>
        <v>3606693</v>
      </c>
      <c r="E746">
        <f>TeamHero生成!E746</f>
        <v>66437</v>
      </c>
      <c r="F746">
        <f>TeamHero生成!F746</f>
        <v>41003</v>
      </c>
      <c r="G746" t="str">
        <f>TeamHero生成!AG746</f>
        <v>有效</v>
      </c>
      <c r="H746">
        <f>TeamHero生成!G746</f>
        <v>0</v>
      </c>
      <c r="I746">
        <f>TeamHero生成!H746</f>
        <v>0</v>
      </c>
    </row>
    <row r="747" spans="1:9">
      <c r="A747">
        <f>TeamHero生成!A747</f>
        <v>743</v>
      </c>
      <c r="B747">
        <f>TeamHero生成!B747</f>
        <v>1005</v>
      </c>
      <c r="C747">
        <f>TeamHero生成!C747</f>
        <v>60</v>
      </c>
      <c r="D747">
        <f>TeamHero生成!D747</f>
        <v>3606693</v>
      </c>
      <c r="E747">
        <f>TeamHero生成!E747</f>
        <v>66437</v>
      </c>
      <c r="F747">
        <f>TeamHero生成!F747</f>
        <v>41003</v>
      </c>
      <c r="G747" t="str">
        <f>TeamHero生成!AG747</f>
        <v>有效</v>
      </c>
      <c r="H747">
        <f>TeamHero生成!G747</f>
        <v>0</v>
      </c>
      <c r="I747">
        <f>TeamHero生成!H747</f>
        <v>0</v>
      </c>
    </row>
    <row r="748" spans="1:9">
      <c r="A748">
        <f>TeamHero生成!A748</f>
        <v>744</v>
      </c>
      <c r="B748">
        <f>TeamHero生成!B748</f>
        <v>1005</v>
      </c>
      <c r="C748">
        <f>TeamHero生成!C748</f>
        <v>60</v>
      </c>
      <c r="D748">
        <f>TeamHero生成!D748</f>
        <v>3606693</v>
      </c>
      <c r="E748">
        <f>TeamHero生成!E748</f>
        <v>66437</v>
      </c>
      <c r="F748">
        <f>TeamHero生成!F748</f>
        <v>41003</v>
      </c>
      <c r="G748" t="str">
        <f>TeamHero生成!AG748</f>
        <v>有效</v>
      </c>
      <c r="H748">
        <f>TeamHero生成!G748</f>
        <v>0</v>
      </c>
      <c r="I748">
        <f>TeamHero生成!H748</f>
        <v>0</v>
      </c>
    </row>
    <row r="749" spans="1:9">
      <c r="A749">
        <f>TeamHero生成!A749</f>
        <v>745</v>
      </c>
      <c r="B749">
        <f>TeamHero生成!B749</f>
        <v>1029</v>
      </c>
      <c r="C749">
        <f>TeamHero生成!C749</f>
        <v>60</v>
      </c>
      <c r="D749">
        <f>TeamHero生成!D749</f>
        <v>4508366</v>
      </c>
      <c r="E749">
        <f>TeamHero生成!E749</f>
        <v>55364</v>
      </c>
      <c r="F749">
        <f>TeamHero生成!F749</f>
        <v>51254</v>
      </c>
      <c r="G749" t="str">
        <f>TeamHero生成!AG749</f>
        <v>有效</v>
      </c>
      <c r="H749">
        <f>TeamHero生成!G749</f>
        <v>0</v>
      </c>
      <c r="I749">
        <f>TeamHero生成!H749</f>
        <v>0</v>
      </c>
    </row>
    <row r="750" spans="1:9">
      <c r="A750">
        <f>TeamHero生成!A750</f>
        <v>746</v>
      </c>
      <c r="B750">
        <f>TeamHero生成!B750</f>
        <v>1003</v>
      </c>
      <c r="C750">
        <f>TeamHero生成!C750</f>
        <v>60</v>
      </c>
      <c r="D750">
        <f>TeamHero生成!D750</f>
        <v>5505003</v>
      </c>
      <c r="E750">
        <f>TeamHero生成!E750</f>
        <v>56195</v>
      </c>
      <c r="F750">
        <f>TeamHero生成!F750</f>
        <v>61971</v>
      </c>
      <c r="G750" t="str">
        <f>TeamHero生成!AG750</f>
        <v>有效</v>
      </c>
      <c r="H750">
        <f>TeamHero生成!G750</f>
        <v>0</v>
      </c>
      <c r="I750">
        <f>TeamHero生成!H750</f>
        <v>0</v>
      </c>
    </row>
    <row r="751" spans="1:9">
      <c r="A751">
        <f>TeamHero生成!A751</f>
        <v>747</v>
      </c>
      <c r="B751">
        <f>TeamHero生成!B751</f>
        <v>1005</v>
      </c>
      <c r="C751">
        <f>TeamHero生成!C751</f>
        <v>60</v>
      </c>
      <c r="D751">
        <f>TeamHero生成!D751</f>
        <v>3670002</v>
      </c>
      <c r="E751">
        <f>TeamHero生成!E751</f>
        <v>67434</v>
      </c>
      <c r="F751">
        <f>TeamHero生成!F751</f>
        <v>41314</v>
      </c>
      <c r="G751" t="str">
        <f>TeamHero生成!AG751</f>
        <v>有效</v>
      </c>
      <c r="H751">
        <f>TeamHero生成!G751</f>
        <v>0</v>
      </c>
      <c r="I751">
        <f>TeamHero生成!H751</f>
        <v>0</v>
      </c>
    </row>
    <row r="752" spans="1:9">
      <c r="A752">
        <f>TeamHero生成!A752</f>
        <v>748</v>
      </c>
      <c r="B752">
        <f>TeamHero生成!B752</f>
        <v>1005</v>
      </c>
      <c r="C752">
        <f>TeamHero生成!C752</f>
        <v>60</v>
      </c>
      <c r="D752">
        <f>TeamHero生成!D752</f>
        <v>3670002</v>
      </c>
      <c r="E752">
        <f>TeamHero生成!E752</f>
        <v>67434</v>
      </c>
      <c r="F752">
        <f>TeamHero生成!F752</f>
        <v>41314</v>
      </c>
      <c r="G752" t="str">
        <f>TeamHero生成!AG752</f>
        <v>有效</v>
      </c>
      <c r="H752">
        <f>TeamHero生成!G752</f>
        <v>0</v>
      </c>
      <c r="I752">
        <f>TeamHero生成!H752</f>
        <v>0</v>
      </c>
    </row>
    <row r="753" spans="1:9">
      <c r="A753">
        <f>TeamHero生成!A753</f>
        <v>749</v>
      </c>
      <c r="B753">
        <f>TeamHero生成!B753</f>
        <v>1005</v>
      </c>
      <c r="C753">
        <f>TeamHero生成!C753</f>
        <v>60</v>
      </c>
      <c r="D753">
        <f>TeamHero生成!D753</f>
        <v>3670002</v>
      </c>
      <c r="E753">
        <f>TeamHero生成!E753</f>
        <v>67434</v>
      </c>
      <c r="F753">
        <f>TeamHero生成!F753</f>
        <v>41314</v>
      </c>
      <c r="G753" t="str">
        <f>TeamHero生成!AG753</f>
        <v>有效</v>
      </c>
      <c r="H753">
        <f>TeamHero生成!G753</f>
        <v>0</v>
      </c>
      <c r="I753">
        <f>TeamHero生成!H753</f>
        <v>0</v>
      </c>
    </row>
    <row r="754" spans="1:9">
      <c r="A754">
        <f>TeamHero生成!A754</f>
        <v>750</v>
      </c>
      <c r="B754">
        <f>TeamHero生成!B754</f>
        <v>1029</v>
      </c>
      <c r="C754">
        <f>TeamHero生成!C754</f>
        <v>60</v>
      </c>
      <c r="D754">
        <f>TeamHero生成!D754</f>
        <v>4587503</v>
      </c>
      <c r="E754">
        <f>TeamHero生成!E754</f>
        <v>56195</v>
      </c>
      <c r="F754">
        <f>TeamHero生成!F754</f>
        <v>51643</v>
      </c>
      <c r="G754" t="str">
        <f>TeamHero生成!AG754</f>
        <v>有效</v>
      </c>
      <c r="H754">
        <f>TeamHero生成!G754</f>
        <v>0</v>
      </c>
      <c r="I754">
        <f>TeamHero生成!H754</f>
        <v>0</v>
      </c>
    </row>
    <row r="755" spans="1:9">
      <c r="A755">
        <f>TeamHero生成!A755</f>
        <v>751</v>
      </c>
      <c r="B755">
        <f>TeamHero生成!B755</f>
        <v>1003</v>
      </c>
      <c r="C755">
        <f>TeamHero生成!C755</f>
        <v>60</v>
      </c>
      <c r="D755">
        <f>TeamHero生成!D755</f>
        <v>5592395</v>
      </c>
      <c r="E755">
        <f>TeamHero生成!E755</f>
        <v>56820</v>
      </c>
      <c r="F755">
        <f>TeamHero生成!F755</f>
        <v>62439</v>
      </c>
      <c r="G755" t="str">
        <f>TeamHero生成!AG755</f>
        <v>有效</v>
      </c>
      <c r="H755">
        <f>TeamHero生成!G755</f>
        <v>0</v>
      </c>
      <c r="I755">
        <f>TeamHero生成!H755</f>
        <v>0</v>
      </c>
    </row>
    <row r="756" spans="1:9">
      <c r="A756">
        <f>TeamHero生成!A756</f>
        <v>752</v>
      </c>
      <c r="B756">
        <f>TeamHero生成!B756</f>
        <v>1005</v>
      </c>
      <c r="C756">
        <f>TeamHero生成!C756</f>
        <v>60</v>
      </c>
      <c r="D756">
        <f>TeamHero生成!D756</f>
        <v>3728263</v>
      </c>
      <c r="E756">
        <f>TeamHero生成!E756</f>
        <v>68184</v>
      </c>
      <c r="F756">
        <f>TeamHero生成!F756</f>
        <v>41626</v>
      </c>
      <c r="G756" t="str">
        <f>TeamHero生成!AG756</f>
        <v>有效</v>
      </c>
      <c r="H756">
        <f>TeamHero生成!G756</f>
        <v>0</v>
      </c>
      <c r="I756">
        <f>TeamHero生成!H756</f>
        <v>0</v>
      </c>
    </row>
    <row r="757" spans="1:9">
      <c r="A757">
        <f>TeamHero生成!A757</f>
        <v>753</v>
      </c>
      <c r="B757">
        <f>TeamHero生成!B757</f>
        <v>1005</v>
      </c>
      <c r="C757">
        <f>TeamHero生成!C757</f>
        <v>60</v>
      </c>
      <c r="D757">
        <f>TeamHero生成!D757</f>
        <v>3728263</v>
      </c>
      <c r="E757">
        <f>TeamHero生成!E757</f>
        <v>68184</v>
      </c>
      <c r="F757">
        <f>TeamHero生成!F757</f>
        <v>41626</v>
      </c>
      <c r="G757" t="str">
        <f>TeamHero生成!AG757</f>
        <v>有效</v>
      </c>
      <c r="H757">
        <f>TeamHero生成!G757</f>
        <v>0</v>
      </c>
      <c r="I757">
        <f>TeamHero生成!H757</f>
        <v>0</v>
      </c>
    </row>
    <row r="758" spans="1:9">
      <c r="A758">
        <f>TeamHero生成!A758</f>
        <v>754</v>
      </c>
      <c r="B758">
        <f>TeamHero生成!B758</f>
        <v>1005</v>
      </c>
      <c r="C758">
        <f>TeamHero生成!C758</f>
        <v>60</v>
      </c>
      <c r="D758">
        <f>TeamHero生成!D758</f>
        <v>3728263</v>
      </c>
      <c r="E758">
        <f>TeamHero生成!E758</f>
        <v>68184</v>
      </c>
      <c r="F758">
        <f>TeamHero生成!F758</f>
        <v>41626</v>
      </c>
      <c r="G758" t="str">
        <f>TeamHero生成!AG758</f>
        <v>有效</v>
      </c>
      <c r="H758">
        <f>TeamHero生成!G758</f>
        <v>0</v>
      </c>
      <c r="I758">
        <f>TeamHero生成!H758</f>
        <v>0</v>
      </c>
    </row>
    <row r="759" spans="1:9">
      <c r="A759">
        <f>TeamHero生成!A759</f>
        <v>755</v>
      </c>
      <c r="B759">
        <f>TeamHero生成!B759</f>
        <v>1029</v>
      </c>
      <c r="C759">
        <f>TeamHero生成!C759</f>
        <v>60</v>
      </c>
      <c r="D759">
        <f>TeamHero生成!D759</f>
        <v>4660329</v>
      </c>
      <c r="E759">
        <f>TeamHero生成!E759</f>
        <v>56820</v>
      </c>
      <c r="F759">
        <f>TeamHero生成!F759</f>
        <v>52033</v>
      </c>
      <c r="G759" t="str">
        <f>TeamHero生成!AG759</f>
        <v>有效</v>
      </c>
      <c r="H759">
        <f>TeamHero生成!G759</f>
        <v>0</v>
      </c>
      <c r="I759">
        <f>TeamHero生成!H759</f>
        <v>0</v>
      </c>
    </row>
    <row r="760" spans="1:9">
      <c r="A760">
        <f>TeamHero生成!A760</f>
        <v>756</v>
      </c>
      <c r="B760">
        <f>TeamHero生成!B760</f>
        <v>1003</v>
      </c>
      <c r="C760">
        <f>TeamHero生成!C760</f>
        <v>60</v>
      </c>
      <c r="D760">
        <f>TeamHero生成!D760</f>
        <v>5685356</v>
      </c>
      <c r="E760">
        <f>TeamHero生成!E760</f>
        <v>57559</v>
      </c>
      <c r="F760">
        <f>TeamHero生成!F760</f>
        <v>62909</v>
      </c>
      <c r="G760" t="str">
        <f>TeamHero生成!AG760</f>
        <v>有效</v>
      </c>
      <c r="H760">
        <f>TeamHero生成!G760</f>
        <v>0</v>
      </c>
      <c r="I760">
        <f>TeamHero生成!H760</f>
        <v>0</v>
      </c>
    </row>
    <row r="761" spans="1:9">
      <c r="A761">
        <f>TeamHero生成!A761</f>
        <v>757</v>
      </c>
      <c r="B761">
        <f>TeamHero生成!B761</f>
        <v>1005</v>
      </c>
      <c r="C761">
        <f>TeamHero生成!C761</f>
        <v>60</v>
      </c>
      <c r="D761">
        <f>TeamHero生成!D761</f>
        <v>3790237</v>
      </c>
      <c r="E761">
        <f>TeamHero生成!E761</f>
        <v>69071</v>
      </c>
      <c r="F761">
        <f>TeamHero生成!F761</f>
        <v>41939</v>
      </c>
      <c r="G761" t="str">
        <f>TeamHero生成!AG761</f>
        <v>有效</v>
      </c>
      <c r="H761">
        <f>TeamHero生成!G761</f>
        <v>0</v>
      </c>
      <c r="I761">
        <f>TeamHero生成!H761</f>
        <v>0</v>
      </c>
    </row>
    <row r="762" spans="1:9">
      <c r="A762">
        <f>TeamHero生成!A762</f>
        <v>758</v>
      </c>
      <c r="B762">
        <f>TeamHero生成!B762</f>
        <v>1005</v>
      </c>
      <c r="C762">
        <f>TeamHero生成!C762</f>
        <v>60</v>
      </c>
      <c r="D762">
        <f>TeamHero生成!D762</f>
        <v>3790237</v>
      </c>
      <c r="E762">
        <f>TeamHero生成!E762</f>
        <v>69071</v>
      </c>
      <c r="F762">
        <f>TeamHero生成!F762</f>
        <v>41939</v>
      </c>
      <c r="G762" t="str">
        <f>TeamHero生成!AG762</f>
        <v>有效</v>
      </c>
      <c r="H762">
        <f>TeamHero生成!G762</f>
        <v>0</v>
      </c>
      <c r="I762">
        <f>TeamHero生成!H762</f>
        <v>0</v>
      </c>
    </row>
    <row r="763" spans="1:9">
      <c r="A763">
        <f>TeamHero生成!A763</f>
        <v>759</v>
      </c>
      <c r="B763">
        <f>TeamHero生成!B763</f>
        <v>1005</v>
      </c>
      <c r="C763">
        <f>TeamHero生成!C763</f>
        <v>60</v>
      </c>
      <c r="D763">
        <f>TeamHero生成!D763</f>
        <v>3790237</v>
      </c>
      <c r="E763">
        <f>TeamHero生成!E763</f>
        <v>69071</v>
      </c>
      <c r="F763">
        <f>TeamHero生成!F763</f>
        <v>41939</v>
      </c>
      <c r="G763" t="str">
        <f>TeamHero生成!AG763</f>
        <v>有效</v>
      </c>
      <c r="H763">
        <f>TeamHero生成!G763</f>
        <v>0</v>
      </c>
      <c r="I763">
        <f>TeamHero生成!H763</f>
        <v>0</v>
      </c>
    </row>
    <row r="764" spans="1:9">
      <c r="A764">
        <f>TeamHero生成!A764</f>
        <v>760</v>
      </c>
      <c r="B764">
        <f>TeamHero生成!B764</f>
        <v>1029</v>
      </c>
      <c r="C764">
        <f>TeamHero生成!C764</f>
        <v>60</v>
      </c>
      <c r="D764">
        <f>TeamHero生成!D764</f>
        <v>4737797</v>
      </c>
      <c r="E764">
        <f>TeamHero生成!E764</f>
        <v>57559</v>
      </c>
      <c r="F764">
        <f>TeamHero生成!F764</f>
        <v>52424</v>
      </c>
      <c r="G764" t="str">
        <f>TeamHero生成!AG764</f>
        <v>有效</v>
      </c>
      <c r="H764">
        <f>TeamHero生成!G764</f>
        <v>0</v>
      </c>
      <c r="I764">
        <f>TeamHero生成!H764</f>
        <v>0</v>
      </c>
    </row>
    <row r="765" spans="1:9">
      <c r="A765">
        <f>TeamHero生成!A765</f>
        <v>761</v>
      </c>
      <c r="B765">
        <f>TeamHero生成!B765</f>
        <v>1003</v>
      </c>
      <c r="C765">
        <f>TeamHero生成!C765</f>
        <v>60</v>
      </c>
      <c r="D765">
        <f>TeamHero生成!D765</f>
        <v>5827074</v>
      </c>
      <c r="E765">
        <f>TeamHero生成!E765</f>
        <v>58682</v>
      </c>
      <c r="F765">
        <f>TeamHero生成!F765</f>
        <v>63615</v>
      </c>
      <c r="G765" t="str">
        <f>TeamHero生成!AG765</f>
        <v>有效</v>
      </c>
      <c r="H765">
        <f>TeamHero生成!G765</f>
        <v>0</v>
      </c>
      <c r="I765">
        <f>TeamHero生成!H765</f>
        <v>0</v>
      </c>
    </row>
    <row r="766" spans="1:9">
      <c r="A766">
        <f>TeamHero生成!A766</f>
        <v>762</v>
      </c>
      <c r="B766">
        <f>TeamHero生成!B766</f>
        <v>1005</v>
      </c>
      <c r="C766">
        <f>TeamHero生成!C766</f>
        <v>60</v>
      </c>
      <c r="D766">
        <f>TeamHero生成!D766</f>
        <v>3884716</v>
      </c>
      <c r="E766">
        <f>TeamHero生成!E766</f>
        <v>70419</v>
      </c>
      <c r="F766">
        <f>TeamHero生成!F766</f>
        <v>42410</v>
      </c>
      <c r="G766" t="str">
        <f>TeamHero生成!AG766</f>
        <v>有效</v>
      </c>
      <c r="H766">
        <f>TeamHero生成!G766</f>
        <v>0</v>
      </c>
      <c r="I766">
        <f>TeamHero生成!H766</f>
        <v>0</v>
      </c>
    </row>
    <row r="767" spans="1:9">
      <c r="A767">
        <f>TeamHero生成!A767</f>
        <v>763</v>
      </c>
      <c r="B767">
        <f>TeamHero生成!B767</f>
        <v>1005</v>
      </c>
      <c r="C767">
        <f>TeamHero生成!C767</f>
        <v>60</v>
      </c>
      <c r="D767">
        <f>TeamHero生成!D767</f>
        <v>3884716</v>
      </c>
      <c r="E767">
        <f>TeamHero生成!E767</f>
        <v>70419</v>
      </c>
      <c r="F767">
        <f>TeamHero生成!F767</f>
        <v>42410</v>
      </c>
      <c r="G767" t="str">
        <f>TeamHero生成!AG767</f>
        <v>有效</v>
      </c>
      <c r="H767">
        <f>TeamHero生成!G767</f>
        <v>0</v>
      </c>
      <c r="I767">
        <f>TeamHero生成!H767</f>
        <v>0</v>
      </c>
    </row>
    <row r="768" spans="1:9">
      <c r="A768">
        <f>TeamHero生成!A768</f>
        <v>764</v>
      </c>
      <c r="B768">
        <f>TeamHero生成!B768</f>
        <v>1005</v>
      </c>
      <c r="C768">
        <f>TeamHero生成!C768</f>
        <v>60</v>
      </c>
      <c r="D768">
        <f>TeamHero生成!D768</f>
        <v>3884716</v>
      </c>
      <c r="E768">
        <f>TeamHero生成!E768</f>
        <v>70419</v>
      </c>
      <c r="F768">
        <f>TeamHero生成!F768</f>
        <v>42410</v>
      </c>
      <c r="G768" t="str">
        <f>TeamHero生成!AG768</f>
        <v>有效</v>
      </c>
      <c r="H768">
        <f>TeamHero生成!G768</f>
        <v>0</v>
      </c>
      <c r="I768">
        <f>TeamHero生成!H768</f>
        <v>0</v>
      </c>
    </row>
    <row r="769" spans="1:9">
      <c r="A769">
        <f>TeamHero生成!A769</f>
        <v>765</v>
      </c>
      <c r="B769">
        <f>TeamHero生成!B769</f>
        <v>1029</v>
      </c>
      <c r="C769">
        <f>TeamHero生成!C769</f>
        <v>60</v>
      </c>
      <c r="D769">
        <f>TeamHero生成!D769</f>
        <v>4855895</v>
      </c>
      <c r="E769">
        <f>TeamHero生成!E769</f>
        <v>58682</v>
      </c>
      <c r="F769">
        <f>TeamHero生成!F769</f>
        <v>53013</v>
      </c>
      <c r="G769" t="str">
        <f>TeamHero生成!AG769</f>
        <v>有效</v>
      </c>
      <c r="H769">
        <f>TeamHero生成!G769</f>
        <v>0</v>
      </c>
      <c r="I769">
        <f>TeamHero生成!H769</f>
        <v>0</v>
      </c>
    </row>
    <row r="770" spans="1:9">
      <c r="A770">
        <f>TeamHero生成!A770</f>
        <v>766</v>
      </c>
      <c r="B770">
        <f>TeamHero生成!B770</f>
        <v>1003</v>
      </c>
      <c r="C770">
        <f>TeamHero生成!C770</f>
        <v>60</v>
      </c>
      <c r="D770">
        <f>TeamHero生成!D770</f>
        <v>5923075</v>
      </c>
      <c r="E770">
        <f>TeamHero生成!E770</f>
        <v>59442</v>
      </c>
      <c r="F770">
        <f>TeamHero生成!F770</f>
        <v>64088</v>
      </c>
      <c r="G770" t="str">
        <f>TeamHero生成!AG770</f>
        <v>有效</v>
      </c>
      <c r="H770">
        <f>TeamHero生成!G770</f>
        <v>0</v>
      </c>
      <c r="I770">
        <f>TeamHero生成!H770</f>
        <v>0</v>
      </c>
    </row>
    <row r="771" spans="1:9">
      <c r="A771">
        <f>TeamHero生成!A771</f>
        <v>767</v>
      </c>
      <c r="B771">
        <f>TeamHero生成!B771</f>
        <v>1005</v>
      </c>
      <c r="C771">
        <f>TeamHero生成!C771</f>
        <v>60</v>
      </c>
      <c r="D771">
        <f>TeamHero生成!D771</f>
        <v>3948717</v>
      </c>
      <c r="E771">
        <f>TeamHero生成!E771</f>
        <v>71330</v>
      </c>
      <c r="F771">
        <f>TeamHero生成!F771</f>
        <v>42725</v>
      </c>
      <c r="G771" t="str">
        <f>TeamHero生成!AG771</f>
        <v>有效</v>
      </c>
      <c r="H771">
        <f>TeamHero生成!G771</f>
        <v>0</v>
      </c>
      <c r="I771">
        <f>TeamHero生成!H771</f>
        <v>0</v>
      </c>
    </row>
    <row r="772" spans="1:9">
      <c r="A772">
        <f>TeamHero生成!A772</f>
        <v>768</v>
      </c>
      <c r="B772">
        <f>TeamHero生成!B772</f>
        <v>1005</v>
      </c>
      <c r="C772">
        <f>TeamHero生成!C772</f>
        <v>60</v>
      </c>
      <c r="D772">
        <f>TeamHero生成!D772</f>
        <v>3948717</v>
      </c>
      <c r="E772">
        <f>TeamHero生成!E772</f>
        <v>71330</v>
      </c>
      <c r="F772">
        <f>TeamHero生成!F772</f>
        <v>42725</v>
      </c>
      <c r="G772" t="str">
        <f>TeamHero生成!AG772</f>
        <v>有效</v>
      </c>
      <c r="H772">
        <f>TeamHero生成!G772</f>
        <v>0</v>
      </c>
      <c r="I772">
        <f>TeamHero生成!H772</f>
        <v>0</v>
      </c>
    </row>
    <row r="773" spans="1:9">
      <c r="A773">
        <f>TeamHero生成!A773</f>
        <v>769</v>
      </c>
      <c r="B773">
        <f>TeamHero生成!B773</f>
        <v>1005</v>
      </c>
      <c r="C773">
        <f>TeamHero生成!C773</f>
        <v>60</v>
      </c>
      <c r="D773">
        <f>TeamHero生成!D773</f>
        <v>3948717</v>
      </c>
      <c r="E773">
        <f>TeamHero生成!E773</f>
        <v>71330</v>
      </c>
      <c r="F773">
        <f>TeamHero生成!F773</f>
        <v>42725</v>
      </c>
      <c r="G773" t="str">
        <f>TeamHero生成!AG773</f>
        <v>有效</v>
      </c>
      <c r="H773">
        <f>TeamHero生成!G773</f>
        <v>0</v>
      </c>
      <c r="I773">
        <f>TeamHero生成!H773</f>
        <v>0</v>
      </c>
    </row>
    <row r="774" spans="1:9">
      <c r="A774">
        <f>TeamHero生成!A774</f>
        <v>770</v>
      </c>
      <c r="B774">
        <f>TeamHero生成!B774</f>
        <v>1029</v>
      </c>
      <c r="C774">
        <f>TeamHero生成!C774</f>
        <v>60</v>
      </c>
      <c r="D774">
        <f>TeamHero生成!D774</f>
        <v>4935896</v>
      </c>
      <c r="E774">
        <f>TeamHero生成!E774</f>
        <v>59442</v>
      </c>
      <c r="F774">
        <f>TeamHero生成!F774</f>
        <v>53406</v>
      </c>
      <c r="G774" t="str">
        <f>TeamHero生成!AG774</f>
        <v>有效</v>
      </c>
      <c r="H774">
        <f>TeamHero生成!G774</f>
        <v>0</v>
      </c>
      <c r="I774">
        <f>TeamHero生成!H774</f>
        <v>0</v>
      </c>
    </row>
    <row r="775" spans="1:9">
      <c r="A775">
        <f>TeamHero生成!A775</f>
        <v>771</v>
      </c>
      <c r="B775">
        <f>TeamHero生成!B775</f>
        <v>1003</v>
      </c>
      <c r="C775">
        <f>TeamHero生成!C775</f>
        <v>60</v>
      </c>
      <c r="D775">
        <f>TeamHero生成!D775</f>
        <v>6048444</v>
      </c>
      <c r="E775">
        <f>TeamHero生成!E775</f>
        <v>59948</v>
      </c>
      <c r="F775">
        <f>TeamHero生成!F775</f>
        <v>64562</v>
      </c>
      <c r="G775" t="str">
        <f>TeamHero生成!AG775</f>
        <v>有效</v>
      </c>
      <c r="H775">
        <f>TeamHero生成!G775</f>
        <v>0</v>
      </c>
      <c r="I775">
        <f>TeamHero生成!H775</f>
        <v>0</v>
      </c>
    </row>
    <row r="776" spans="1:9">
      <c r="A776">
        <f>TeamHero生成!A776</f>
        <v>772</v>
      </c>
      <c r="B776">
        <f>TeamHero生成!B776</f>
        <v>1005</v>
      </c>
      <c r="C776">
        <f>TeamHero生成!C776</f>
        <v>60</v>
      </c>
      <c r="D776">
        <f>TeamHero生成!D776</f>
        <v>4032296</v>
      </c>
      <c r="E776">
        <f>TeamHero生成!E776</f>
        <v>71937</v>
      </c>
      <c r="F776">
        <f>TeamHero生成!F776</f>
        <v>43041</v>
      </c>
      <c r="G776" t="str">
        <f>TeamHero生成!AG776</f>
        <v>有效</v>
      </c>
      <c r="H776">
        <f>TeamHero生成!G776</f>
        <v>0</v>
      </c>
      <c r="I776">
        <f>TeamHero生成!H776</f>
        <v>0</v>
      </c>
    </row>
    <row r="777" spans="1:9">
      <c r="A777">
        <f>TeamHero生成!A777</f>
        <v>773</v>
      </c>
      <c r="B777">
        <f>TeamHero生成!B777</f>
        <v>1005</v>
      </c>
      <c r="C777">
        <f>TeamHero生成!C777</f>
        <v>60</v>
      </c>
      <c r="D777">
        <f>TeamHero生成!D777</f>
        <v>4032296</v>
      </c>
      <c r="E777">
        <f>TeamHero生成!E777</f>
        <v>71937</v>
      </c>
      <c r="F777">
        <f>TeamHero生成!F777</f>
        <v>43041</v>
      </c>
      <c r="G777" t="str">
        <f>TeamHero生成!AG777</f>
        <v>有效</v>
      </c>
      <c r="H777">
        <f>TeamHero生成!G777</f>
        <v>0</v>
      </c>
      <c r="I777">
        <f>TeamHero生成!H777</f>
        <v>0</v>
      </c>
    </row>
    <row r="778" spans="1:9">
      <c r="A778">
        <f>TeamHero生成!A778</f>
        <v>774</v>
      </c>
      <c r="B778">
        <f>TeamHero生成!B778</f>
        <v>1005</v>
      </c>
      <c r="C778">
        <f>TeamHero生成!C778</f>
        <v>60</v>
      </c>
      <c r="D778">
        <f>TeamHero生成!D778</f>
        <v>4032296</v>
      </c>
      <c r="E778">
        <f>TeamHero生成!E778</f>
        <v>71937</v>
      </c>
      <c r="F778">
        <f>TeamHero生成!F778</f>
        <v>43041</v>
      </c>
      <c r="G778" t="str">
        <f>TeamHero生成!AG778</f>
        <v>有效</v>
      </c>
      <c r="H778">
        <f>TeamHero生成!G778</f>
        <v>0</v>
      </c>
      <c r="I778">
        <f>TeamHero生成!H778</f>
        <v>0</v>
      </c>
    </row>
    <row r="779" spans="1:9">
      <c r="A779">
        <f>TeamHero生成!A779</f>
        <v>775</v>
      </c>
      <c r="B779">
        <f>TeamHero生成!B779</f>
        <v>1029</v>
      </c>
      <c r="C779">
        <f>TeamHero生成!C779</f>
        <v>60</v>
      </c>
      <c r="D779">
        <f>TeamHero生成!D779</f>
        <v>5040370</v>
      </c>
      <c r="E779">
        <f>TeamHero生成!E779</f>
        <v>59948</v>
      </c>
      <c r="F779">
        <f>TeamHero生成!F779</f>
        <v>53801</v>
      </c>
      <c r="G779" t="str">
        <f>TeamHero生成!AG779</f>
        <v>有效</v>
      </c>
      <c r="H779">
        <f>TeamHero生成!G779</f>
        <v>0</v>
      </c>
      <c r="I779">
        <f>TeamHero生成!H779</f>
        <v>0</v>
      </c>
    </row>
    <row r="780" spans="1:9">
      <c r="A780">
        <f>TeamHero生成!A780</f>
        <v>776</v>
      </c>
      <c r="B780">
        <f>TeamHero生成!B780</f>
        <v>1003</v>
      </c>
      <c r="C780">
        <f>TeamHero生成!C780</f>
        <v>60</v>
      </c>
      <c r="D780">
        <f>TeamHero生成!D780</f>
        <v>6118820</v>
      </c>
      <c r="E780">
        <f>TeamHero生成!E780</f>
        <v>60982</v>
      </c>
      <c r="F780">
        <f>TeamHero生成!F780</f>
        <v>65036</v>
      </c>
      <c r="G780" t="str">
        <f>TeamHero生成!AG780</f>
        <v>有效</v>
      </c>
      <c r="H780">
        <f>TeamHero生成!G780</f>
        <v>0</v>
      </c>
      <c r="I780">
        <f>TeamHero生成!H780</f>
        <v>0</v>
      </c>
    </row>
    <row r="781" spans="1:9">
      <c r="A781">
        <f>TeamHero生成!A781</f>
        <v>777</v>
      </c>
      <c r="B781">
        <f>TeamHero生成!B781</f>
        <v>1005</v>
      </c>
      <c r="C781">
        <f>TeamHero生成!C781</f>
        <v>60</v>
      </c>
      <c r="D781">
        <f>TeamHero生成!D781</f>
        <v>4079213</v>
      </c>
      <c r="E781">
        <f>TeamHero生成!E781</f>
        <v>73179</v>
      </c>
      <c r="F781">
        <f>TeamHero生成!F781</f>
        <v>43357</v>
      </c>
      <c r="G781" t="str">
        <f>TeamHero生成!AG781</f>
        <v>有效</v>
      </c>
      <c r="H781">
        <f>TeamHero生成!G781</f>
        <v>0</v>
      </c>
      <c r="I781">
        <f>TeamHero生成!H781</f>
        <v>0</v>
      </c>
    </row>
    <row r="782" spans="1:9">
      <c r="A782">
        <f>TeamHero生成!A782</f>
        <v>778</v>
      </c>
      <c r="B782">
        <f>TeamHero生成!B782</f>
        <v>1005</v>
      </c>
      <c r="C782">
        <f>TeamHero生成!C782</f>
        <v>60</v>
      </c>
      <c r="D782">
        <f>TeamHero生成!D782</f>
        <v>4079213</v>
      </c>
      <c r="E782">
        <f>TeamHero生成!E782</f>
        <v>73179</v>
      </c>
      <c r="F782">
        <f>TeamHero生成!F782</f>
        <v>43357</v>
      </c>
      <c r="G782" t="str">
        <f>TeamHero生成!AG782</f>
        <v>有效</v>
      </c>
      <c r="H782">
        <f>TeamHero生成!G782</f>
        <v>0</v>
      </c>
      <c r="I782">
        <f>TeamHero生成!H782</f>
        <v>0</v>
      </c>
    </row>
    <row r="783" spans="1:9">
      <c r="A783">
        <f>TeamHero生成!A783</f>
        <v>779</v>
      </c>
      <c r="B783">
        <f>TeamHero生成!B783</f>
        <v>1005</v>
      </c>
      <c r="C783">
        <f>TeamHero生成!C783</f>
        <v>60</v>
      </c>
      <c r="D783">
        <f>TeamHero生成!D783</f>
        <v>4079213</v>
      </c>
      <c r="E783">
        <f>TeamHero生成!E783</f>
        <v>73179</v>
      </c>
      <c r="F783">
        <f>TeamHero生成!F783</f>
        <v>43357</v>
      </c>
      <c r="G783" t="str">
        <f>TeamHero生成!AG783</f>
        <v>有效</v>
      </c>
      <c r="H783">
        <f>TeamHero生成!G783</f>
        <v>0</v>
      </c>
      <c r="I783">
        <f>TeamHero生成!H783</f>
        <v>0</v>
      </c>
    </row>
    <row r="784" spans="1:9">
      <c r="A784">
        <f>TeamHero生成!A784</f>
        <v>780</v>
      </c>
      <c r="B784">
        <f>TeamHero生成!B784</f>
        <v>1029</v>
      </c>
      <c r="C784">
        <f>TeamHero生成!C784</f>
        <v>60</v>
      </c>
      <c r="D784">
        <f>TeamHero生成!D784</f>
        <v>5099016</v>
      </c>
      <c r="E784">
        <f>TeamHero生成!E784</f>
        <v>60982</v>
      </c>
      <c r="F784">
        <f>TeamHero生成!F784</f>
        <v>54196</v>
      </c>
      <c r="G784" t="str">
        <f>TeamHero生成!AG784</f>
        <v>有效</v>
      </c>
      <c r="H784">
        <f>TeamHero生成!G784</f>
        <v>0</v>
      </c>
      <c r="I784">
        <f>TeamHero生成!H784</f>
        <v>0</v>
      </c>
    </row>
    <row r="785" spans="1:9">
      <c r="A785">
        <f>TeamHero生成!A785</f>
        <v>781</v>
      </c>
      <c r="B785">
        <f>TeamHero生成!B785</f>
        <v>1003</v>
      </c>
      <c r="C785">
        <f>TeamHero生成!C785</f>
        <v>60</v>
      </c>
      <c r="D785">
        <f>TeamHero生成!D785</f>
        <v>6218576</v>
      </c>
      <c r="E785">
        <f>TeamHero生成!E785</f>
        <v>61766</v>
      </c>
      <c r="F785">
        <f>TeamHero生成!F785</f>
        <v>65513</v>
      </c>
      <c r="G785" t="str">
        <f>TeamHero生成!AG785</f>
        <v>有效</v>
      </c>
      <c r="H785">
        <f>TeamHero生成!G785</f>
        <v>0</v>
      </c>
      <c r="I785">
        <f>TeamHero生成!H785</f>
        <v>0</v>
      </c>
    </row>
    <row r="786" spans="1:9">
      <c r="A786">
        <f>TeamHero生成!A786</f>
        <v>782</v>
      </c>
      <c r="B786">
        <f>TeamHero生成!B786</f>
        <v>1005</v>
      </c>
      <c r="C786">
        <f>TeamHero生成!C786</f>
        <v>60</v>
      </c>
      <c r="D786">
        <f>TeamHero生成!D786</f>
        <v>4145718</v>
      </c>
      <c r="E786">
        <f>TeamHero生成!E786</f>
        <v>74119</v>
      </c>
      <c r="F786">
        <f>TeamHero生成!F786</f>
        <v>43675</v>
      </c>
      <c r="G786" t="str">
        <f>TeamHero生成!AG786</f>
        <v>有效</v>
      </c>
      <c r="H786">
        <f>TeamHero生成!G786</f>
        <v>0</v>
      </c>
      <c r="I786">
        <f>TeamHero生成!H786</f>
        <v>0</v>
      </c>
    </row>
    <row r="787" spans="1:9">
      <c r="A787">
        <f>TeamHero生成!A787</f>
        <v>783</v>
      </c>
      <c r="B787">
        <f>TeamHero生成!B787</f>
        <v>1005</v>
      </c>
      <c r="C787">
        <f>TeamHero生成!C787</f>
        <v>60</v>
      </c>
      <c r="D787">
        <f>TeamHero生成!D787</f>
        <v>4145718</v>
      </c>
      <c r="E787">
        <f>TeamHero生成!E787</f>
        <v>74119</v>
      </c>
      <c r="F787">
        <f>TeamHero生成!F787</f>
        <v>43675</v>
      </c>
      <c r="G787" t="str">
        <f>TeamHero生成!AG787</f>
        <v>有效</v>
      </c>
      <c r="H787">
        <f>TeamHero生成!G787</f>
        <v>0</v>
      </c>
      <c r="I787">
        <f>TeamHero生成!H787</f>
        <v>0</v>
      </c>
    </row>
    <row r="788" spans="1:9">
      <c r="A788">
        <f>TeamHero生成!A788</f>
        <v>784</v>
      </c>
      <c r="B788">
        <f>TeamHero生成!B788</f>
        <v>1005</v>
      </c>
      <c r="C788">
        <f>TeamHero生成!C788</f>
        <v>60</v>
      </c>
      <c r="D788">
        <f>TeamHero生成!D788</f>
        <v>4145718</v>
      </c>
      <c r="E788">
        <f>TeamHero生成!E788</f>
        <v>74119</v>
      </c>
      <c r="F788">
        <f>TeamHero生成!F788</f>
        <v>43675</v>
      </c>
      <c r="G788" t="str">
        <f>TeamHero生成!AG788</f>
        <v>有效</v>
      </c>
      <c r="H788">
        <f>TeamHero生成!G788</f>
        <v>0</v>
      </c>
      <c r="I788">
        <f>TeamHero生成!H788</f>
        <v>0</v>
      </c>
    </row>
    <row r="789" spans="1:9">
      <c r="A789">
        <f>TeamHero生成!A789</f>
        <v>785</v>
      </c>
      <c r="B789">
        <f>TeamHero生成!B789</f>
        <v>1029</v>
      </c>
      <c r="C789">
        <f>TeamHero生成!C789</f>
        <v>60</v>
      </c>
      <c r="D789">
        <f>TeamHero生成!D789</f>
        <v>5182147</v>
      </c>
      <c r="E789">
        <f>TeamHero生成!E789</f>
        <v>61766</v>
      </c>
      <c r="F789">
        <f>TeamHero生成!F789</f>
        <v>54594</v>
      </c>
      <c r="G789" t="str">
        <f>TeamHero生成!AG789</f>
        <v>有效</v>
      </c>
      <c r="H789">
        <f>TeamHero生成!G789</f>
        <v>0</v>
      </c>
      <c r="I789">
        <f>TeamHero生成!H789</f>
        <v>0</v>
      </c>
    </row>
    <row r="790" spans="1:9">
      <c r="A790">
        <f>TeamHero生成!A790</f>
        <v>786</v>
      </c>
      <c r="B790">
        <f>TeamHero生成!B790</f>
        <v>1003</v>
      </c>
      <c r="C790">
        <f>TeamHero生成!C790</f>
        <v>60</v>
      </c>
      <c r="D790">
        <f>TeamHero生成!D790</f>
        <v>6370603</v>
      </c>
      <c r="E790">
        <f>TeamHero生成!E790</f>
        <v>62955</v>
      </c>
      <c r="F790">
        <f>TeamHero生成!F790</f>
        <v>66231</v>
      </c>
      <c r="G790" t="str">
        <f>TeamHero生成!AG790</f>
        <v>有效</v>
      </c>
      <c r="H790">
        <f>TeamHero生成!G790</f>
        <v>0</v>
      </c>
      <c r="I790">
        <f>TeamHero生成!H790</f>
        <v>0</v>
      </c>
    </row>
    <row r="791" spans="1:9">
      <c r="A791">
        <f>TeamHero生成!A791</f>
        <v>787</v>
      </c>
      <c r="B791">
        <f>TeamHero生成!B791</f>
        <v>1005</v>
      </c>
      <c r="C791">
        <f>TeamHero生成!C791</f>
        <v>60</v>
      </c>
      <c r="D791">
        <f>TeamHero生成!D791</f>
        <v>4247068</v>
      </c>
      <c r="E791">
        <f>TeamHero生成!E791</f>
        <v>75546</v>
      </c>
      <c r="F791">
        <f>TeamHero生成!F791</f>
        <v>44154</v>
      </c>
      <c r="G791" t="str">
        <f>TeamHero生成!AG791</f>
        <v>有效</v>
      </c>
      <c r="H791">
        <f>TeamHero生成!G791</f>
        <v>0</v>
      </c>
      <c r="I791">
        <f>TeamHero生成!H791</f>
        <v>0</v>
      </c>
    </row>
    <row r="792" spans="1:9">
      <c r="A792">
        <f>TeamHero生成!A792</f>
        <v>788</v>
      </c>
      <c r="B792">
        <f>TeamHero生成!B792</f>
        <v>1005</v>
      </c>
      <c r="C792">
        <f>TeamHero生成!C792</f>
        <v>60</v>
      </c>
      <c r="D792">
        <f>TeamHero生成!D792</f>
        <v>4247068</v>
      </c>
      <c r="E792">
        <f>TeamHero生成!E792</f>
        <v>75546</v>
      </c>
      <c r="F792">
        <f>TeamHero生成!F792</f>
        <v>44154</v>
      </c>
      <c r="G792" t="str">
        <f>TeamHero生成!AG792</f>
        <v>有效</v>
      </c>
      <c r="H792">
        <f>TeamHero生成!G792</f>
        <v>0</v>
      </c>
      <c r="I792">
        <f>TeamHero生成!H792</f>
        <v>0</v>
      </c>
    </row>
    <row r="793" spans="1:9">
      <c r="A793">
        <f>TeamHero生成!A793</f>
        <v>789</v>
      </c>
      <c r="B793">
        <f>TeamHero生成!B793</f>
        <v>1005</v>
      </c>
      <c r="C793">
        <f>TeamHero生成!C793</f>
        <v>60</v>
      </c>
      <c r="D793">
        <f>TeamHero生成!D793</f>
        <v>4247068</v>
      </c>
      <c r="E793">
        <f>TeamHero生成!E793</f>
        <v>75546</v>
      </c>
      <c r="F793">
        <f>TeamHero生成!F793</f>
        <v>44154</v>
      </c>
      <c r="G793" t="str">
        <f>TeamHero生成!AG793</f>
        <v>有效</v>
      </c>
      <c r="H793">
        <f>TeamHero生成!G793</f>
        <v>0</v>
      </c>
      <c r="I793">
        <f>TeamHero生成!H793</f>
        <v>0</v>
      </c>
    </row>
    <row r="794" spans="1:9">
      <c r="A794">
        <f>TeamHero生成!A794</f>
        <v>790</v>
      </c>
      <c r="B794">
        <f>TeamHero生成!B794</f>
        <v>1029</v>
      </c>
      <c r="C794">
        <f>TeamHero生成!C794</f>
        <v>60</v>
      </c>
      <c r="D794">
        <f>TeamHero生成!D794</f>
        <v>5308836</v>
      </c>
      <c r="E794">
        <f>TeamHero生成!E794</f>
        <v>62955</v>
      </c>
      <c r="F794">
        <f>TeamHero生成!F794</f>
        <v>55193</v>
      </c>
      <c r="G794" t="str">
        <f>TeamHero生成!AG794</f>
        <v>有效</v>
      </c>
      <c r="H794">
        <f>TeamHero生成!G794</f>
        <v>0</v>
      </c>
      <c r="I794">
        <f>TeamHero生成!H794</f>
        <v>0</v>
      </c>
    </row>
    <row r="795" spans="1:9">
      <c r="A795">
        <f>TeamHero生成!A795</f>
        <v>791</v>
      </c>
      <c r="B795">
        <f>TeamHero生成!B795</f>
        <v>1003</v>
      </c>
      <c r="C795">
        <f>TeamHero生成!C795</f>
        <v>60</v>
      </c>
      <c r="D795">
        <f>TeamHero生成!D795</f>
        <v>6473575</v>
      </c>
      <c r="E795">
        <f>TeamHero生成!E795</f>
        <v>63758</v>
      </c>
      <c r="F795">
        <f>TeamHero生成!F795</f>
        <v>66711</v>
      </c>
      <c r="G795" t="str">
        <f>TeamHero生成!AG795</f>
        <v>有效</v>
      </c>
      <c r="H795">
        <f>TeamHero生成!G795</f>
        <v>0</v>
      </c>
      <c r="I795">
        <f>TeamHero生成!H795</f>
        <v>0</v>
      </c>
    </row>
    <row r="796" spans="1:9">
      <c r="A796">
        <f>TeamHero生成!A796</f>
        <v>792</v>
      </c>
      <c r="B796">
        <f>TeamHero生成!B796</f>
        <v>1005</v>
      </c>
      <c r="C796">
        <f>TeamHero生成!C796</f>
        <v>60</v>
      </c>
      <c r="D796">
        <f>TeamHero生成!D796</f>
        <v>4315716</v>
      </c>
      <c r="E796">
        <f>TeamHero生成!E796</f>
        <v>76510</v>
      </c>
      <c r="F796">
        <f>TeamHero生成!F796</f>
        <v>44474</v>
      </c>
      <c r="G796" t="str">
        <f>TeamHero生成!AG796</f>
        <v>有效</v>
      </c>
      <c r="H796">
        <f>TeamHero生成!G796</f>
        <v>0</v>
      </c>
      <c r="I796">
        <f>TeamHero生成!H796</f>
        <v>0</v>
      </c>
    </row>
    <row r="797" spans="1:9">
      <c r="A797">
        <f>TeamHero生成!A797</f>
        <v>793</v>
      </c>
      <c r="B797">
        <f>TeamHero生成!B797</f>
        <v>1005</v>
      </c>
      <c r="C797">
        <f>TeamHero生成!C797</f>
        <v>60</v>
      </c>
      <c r="D797">
        <f>TeamHero生成!D797</f>
        <v>4315716</v>
      </c>
      <c r="E797">
        <f>TeamHero生成!E797</f>
        <v>76510</v>
      </c>
      <c r="F797">
        <f>TeamHero生成!F797</f>
        <v>44474</v>
      </c>
      <c r="G797" t="str">
        <f>TeamHero生成!AG797</f>
        <v>有效</v>
      </c>
      <c r="H797">
        <f>TeamHero生成!G797</f>
        <v>0</v>
      </c>
      <c r="I797">
        <f>TeamHero生成!H797</f>
        <v>0</v>
      </c>
    </row>
    <row r="798" spans="1:9">
      <c r="A798">
        <f>TeamHero生成!A798</f>
        <v>794</v>
      </c>
      <c r="B798">
        <f>TeamHero生成!B798</f>
        <v>1005</v>
      </c>
      <c r="C798">
        <f>TeamHero生成!C798</f>
        <v>60</v>
      </c>
      <c r="D798">
        <f>TeamHero生成!D798</f>
        <v>4315716</v>
      </c>
      <c r="E798">
        <f>TeamHero生成!E798</f>
        <v>76510</v>
      </c>
      <c r="F798">
        <f>TeamHero生成!F798</f>
        <v>44474</v>
      </c>
      <c r="G798" t="str">
        <f>TeamHero生成!AG798</f>
        <v>有效</v>
      </c>
      <c r="H798">
        <f>TeamHero生成!G798</f>
        <v>0</v>
      </c>
      <c r="I798">
        <f>TeamHero生成!H798</f>
        <v>0</v>
      </c>
    </row>
    <row r="799" spans="1:9">
      <c r="A799">
        <f>TeamHero生成!A799</f>
        <v>795</v>
      </c>
      <c r="B799">
        <f>TeamHero生成!B799</f>
        <v>1029</v>
      </c>
      <c r="C799">
        <f>TeamHero生成!C799</f>
        <v>60</v>
      </c>
      <c r="D799">
        <f>TeamHero生成!D799</f>
        <v>5394646</v>
      </c>
      <c r="E799">
        <f>TeamHero生成!E799</f>
        <v>63758</v>
      </c>
      <c r="F799">
        <f>TeamHero生成!F799</f>
        <v>55593</v>
      </c>
      <c r="G799" t="str">
        <f>TeamHero生成!AG799</f>
        <v>有效</v>
      </c>
      <c r="H799">
        <f>TeamHero生成!G799</f>
        <v>0</v>
      </c>
      <c r="I799">
        <f>TeamHero生成!H799</f>
        <v>0</v>
      </c>
    </row>
    <row r="800" spans="1:9">
      <c r="A800">
        <f>TeamHero生成!A800</f>
        <v>796</v>
      </c>
      <c r="B800">
        <f>TeamHero生成!B800</f>
        <v>1003</v>
      </c>
      <c r="C800">
        <f>TeamHero生成!C800</f>
        <v>60</v>
      </c>
      <c r="D800">
        <f>TeamHero生成!D800</f>
        <v>6583081</v>
      </c>
      <c r="E800">
        <f>TeamHero生成!E800</f>
        <v>64694</v>
      </c>
      <c r="F800">
        <f>TeamHero生成!F800</f>
        <v>67193</v>
      </c>
      <c r="G800" t="str">
        <f>TeamHero生成!AG800</f>
        <v>有效</v>
      </c>
      <c r="H800">
        <f>TeamHero生成!G800</f>
        <v>0</v>
      </c>
      <c r="I800">
        <f>TeamHero生成!H800</f>
        <v>0</v>
      </c>
    </row>
    <row r="801" spans="1:9">
      <c r="A801">
        <f>TeamHero生成!A801</f>
        <v>797</v>
      </c>
      <c r="B801">
        <f>TeamHero生成!B801</f>
        <v>1005</v>
      </c>
      <c r="C801">
        <f>TeamHero生成!C801</f>
        <v>60</v>
      </c>
      <c r="D801">
        <f>TeamHero生成!D801</f>
        <v>4388721</v>
      </c>
      <c r="E801">
        <f>TeamHero生成!E801</f>
        <v>77632</v>
      </c>
      <c r="F801">
        <f>TeamHero生成!F801</f>
        <v>44795</v>
      </c>
      <c r="G801" t="str">
        <f>TeamHero生成!AG801</f>
        <v>有效</v>
      </c>
      <c r="H801">
        <f>TeamHero生成!G801</f>
        <v>0</v>
      </c>
      <c r="I801">
        <f>TeamHero生成!H801</f>
        <v>0</v>
      </c>
    </row>
    <row r="802" spans="1:9">
      <c r="A802">
        <f>TeamHero生成!A802</f>
        <v>798</v>
      </c>
      <c r="B802">
        <f>TeamHero生成!B802</f>
        <v>1005</v>
      </c>
      <c r="C802">
        <f>TeamHero生成!C802</f>
        <v>60</v>
      </c>
      <c r="D802">
        <f>TeamHero生成!D802</f>
        <v>4388721</v>
      </c>
      <c r="E802">
        <f>TeamHero生成!E802</f>
        <v>77632</v>
      </c>
      <c r="F802">
        <f>TeamHero生成!F802</f>
        <v>44795</v>
      </c>
      <c r="G802" t="str">
        <f>TeamHero生成!AG802</f>
        <v>有效</v>
      </c>
      <c r="H802">
        <f>TeamHero生成!G802</f>
        <v>0</v>
      </c>
      <c r="I802">
        <f>TeamHero生成!H802</f>
        <v>0</v>
      </c>
    </row>
    <row r="803" spans="1:9">
      <c r="A803">
        <f>TeamHero生成!A803</f>
        <v>799</v>
      </c>
      <c r="B803">
        <f>TeamHero生成!B803</f>
        <v>1005</v>
      </c>
      <c r="C803">
        <f>TeamHero生成!C803</f>
        <v>60</v>
      </c>
      <c r="D803">
        <f>TeamHero生成!D803</f>
        <v>4388721</v>
      </c>
      <c r="E803">
        <f>TeamHero生成!E803</f>
        <v>77632</v>
      </c>
      <c r="F803">
        <f>TeamHero生成!F803</f>
        <v>44795</v>
      </c>
      <c r="G803" t="str">
        <f>TeamHero生成!AG803</f>
        <v>有效</v>
      </c>
      <c r="H803">
        <f>TeamHero生成!G803</f>
        <v>0</v>
      </c>
      <c r="I803">
        <f>TeamHero生成!H803</f>
        <v>0</v>
      </c>
    </row>
    <row r="804" spans="1:9">
      <c r="A804">
        <f>TeamHero生成!A804</f>
        <v>800</v>
      </c>
      <c r="B804">
        <f>TeamHero生成!B804</f>
        <v>1029</v>
      </c>
      <c r="C804">
        <f>TeamHero生成!C804</f>
        <v>60</v>
      </c>
      <c r="D804">
        <f>TeamHero生成!D804</f>
        <v>5485901</v>
      </c>
      <c r="E804">
        <f>TeamHero生成!E804</f>
        <v>64694</v>
      </c>
      <c r="F804">
        <f>TeamHero生成!F804</f>
        <v>55994</v>
      </c>
      <c r="G804" t="str">
        <f>TeamHero生成!AG804</f>
        <v>有效</v>
      </c>
      <c r="H804">
        <f>TeamHero生成!G804</f>
        <v>0</v>
      </c>
      <c r="I804">
        <f>TeamHero生成!H804</f>
        <v>0</v>
      </c>
    </row>
    <row r="805" spans="1:9">
      <c r="A805">
        <f>TeamHero生成!A805</f>
        <v>801</v>
      </c>
      <c r="B805">
        <f>TeamHero生成!B805</f>
        <v>1003</v>
      </c>
      <c r="C805">
        <f>TeamHero生成!C805</f>
        <v>60</v>
      </c>
      <c r="D805">
        <f>TeamHero生成!D805</f>
        <v>6683450</v>
      </c>
      <c r="E805">
        <f>TeamHero生成!E805</f>
        <v>65391</v>
      </c>
      <c r="F805">
        <f>TeamHero生成!F805</f>
        <v>67674</v>
      </c>
      <c r="G805" t="str">
        <f>TeamHero生成!AG805</f>
        <v>有效</v>
      </c>
      <c r="H805">
        <f>TeamHero生成!G805</f>
        <v>0</v>
      </c>
      <c r="I805">
        <f>TeamHero生成!H805</f>
        <v>0</v>
      </c>
    </row>
    <row r="806" spans="1:9">
      <c r="A806">
        <f>TeamHero生成!A806</f>
        <v>802</v>
      </c>
      <c r="B806">
        <f>TeamHero生成!B806</f>
        <v>1005</v>
      </c>
      <c r="C806">
        <f>TeamHero生成!C806</f>
        <v>60</v>
      </c>
      <c r="D806">
        <f>TeamHero生成!D806</f>
        <v>4455633</v>
      </c>
      <c r="E806">
        <f>TeamHero生成!E806</f>
        <v>78469</v>
      </c>
      <c r="F806">
        <f>TeamHero生成!F806</f>
        <v>45116</v>
      </c>
      <c r="G806" t="str">
        <f>TeamHero生成!AG806</f>
        <v>有效</v>
      </c>
      <c r="H806">
        <f>TeamHero生成!G806</f>
        <v>0</v>
      </c>
      <c r="I806">
        <f>TeamHero生成!H806</f>
        <v>0</v>
      </c>
    </row>
    <row r="807" spans="1:9">
      <c r="A807">
        <f>TeamHero生成!A807</f>
        <v>803</v>
      </c>
      <c r="B807">
        <f>TeamHero生成!B807</f>
        <v>1005</v>
      </c>
      <c r="C807">
        <f>TeamHero生成!C807</f>
        <v>60</v>
      </c>
      <c r="D807">
        <f>TeamHero生成!D807</f>
        <v>4455633</v>
      </c>
      <c r="E807">
        <f>TeamHero生成!E807</f>
        <v>78469</v>
      </c>
      <c r="F807">
        <f>TeamHero生成!F807</f>
        <v>45116</v>
      </c>
      <c r="G807" t="str">
        <f>TeamHero生成!AG807</f>
        <v>有效</v>
      </c>
      <c r="H807">
        <f>TeamHero生成!G807</f>
        <v>0</v>
      </c>
      <c r="I807">
        <f>TeamHero生成!H807</f>
        <v>0</v>
      </c>
    </row>
    <row r="808" spans="1:9">
      <c r="A808">
        <f>TeamHero生成!A808</f>
        <v>804</v>
      </c>
      <c r="B808">
        <f>TeamHero生成!B808</f>
        <v>1005</v>
      </c>
      <c r="C808">
        <f>TeamHero生成!C808</f>
        <v>60</v>
      </c>
      <c r="D808">
        <f>TeamHero生成!D808</f>
        <v>4455633</v>
      </c>
      <c r="E808">
        <f>TeamHero生成!E808</f>
        <v>78469</v>
      </c>
      <c r="F808">
        <f>TeamHero生成!F808</f>
        <v>45116</v>
      </c>
      <c r="G808" t="str">
        <f>TeamHero生成!AG808</f>
        <v>有效</v>
      </c>
      <c r="H808">
        <f>TeamHero生成!G808</f>
        <v>0</v>
      </c>
      <c r="I808">
        <f>TeamHero生成!H808</f>
        <v>0</v>
      </c>
    </row>
    <row r="809" spans="1:9">
      <c r="A809">
        <f>TeamHero生成!A809</f>
        <v>805</v>
      </c>
      <c r="B809">
        <f>TeamHero生成!B809</f>
        <v>1029</v>
      </c>
      <c r="C809">
        <f>TeamHero生成!C809</f>
        <v>60</v>
      </c>
      <c r="D809">
        <f>TeamHero生成!D809</f>
        <v>5569542</v>
      </c>
      <c r="E809">
        <f>TeamHero生成!E809</f>
        <v>65391</v>
      </c>
      <c r="F809">
        <f>TeamHero生成!F809</f>
        <v>56395</v>
      </c>
      <c r="G809" t="str">
        <f>TeamHero生成!AG809</f>
        <v>有效</v>
      </c>
      <c r="H809">
        <f>TeamHero生成!G809</f>
        <v>0</v>
      </c>
      <c r="I809">
        <f>TeamHero生成!H809</f>
        <v>0</v>
      </c>
    </row>
    <row r="810" spans="1:9">
      <c r="A810">
        <f>TeamHero生成!A810</f>
        <v>806</v>
      </c>
      <c r="B810">
        <f>TeamHero生成!B810</f>
        <v>1003</v>
      </c>
      <c r="C810">
        <f>TeamHero生成!C810</f>
        <v>60</v>
      </c>
      <c r="D810">
        <f>TeamHero生成!D810</f>
        <v>6844352</v>
      </c>
      <c r="E810">
        <f>TeamHero生成!E810</f>
        <v>66636</v>
      </c>
      <c r="F810">
        <f>TeamHero生成!F810</f>
        <v>68402</v>
      </c>
      <c r="G810" t="str">
        <f>TeamHero生成!AG810</f>
        <v>有效</v>
      </c>
      <c r="H810">
        <f>TeamHero生成!G810</f>
        <v>0</v>
      </c>
      <c r="I810">
        <f>TeamHero生成!H810</f>
        <v>0</v>
      </c>
    </row>
    <row r="811" spans="1:9">
      <c r="A811">
        <f>TeamHero生成!A811</f>
        <v>807</v>
      </c>
      <c r="B811">
        <f>TeamHero生成!B811</f>
        <v>1005</v>
      </c>
      <c r="C811">
        <f>TeamHero生成!C811</f>
        <v>60</v>
      </c>
      <c r="D811">
        <f>TeamHero生成!D811</f>
        <v>4562902</v>
      </c>
      <c r="E811">
        <f>TeamHero生成!E811</f>
        <v>79964</v>
      </c>
      <c r="F811">
        <f>TeamHero生成!F811</f>
        <v>45601</v>
      </c>
      <c r="G811" t="str">
        <f>TeamHero生成!AG811</f>
        <v>有效</v>
      </c>
      <c r="H811">
        <f>TeamHero生成!G811</f>
        <v>0</v>
      </c>
      <c r="I811">
        <f>TeamHero生成!H811</f>
        <v>0</v>
      </c>
    </row>
    <row r="812" spans="1:9">
      <c r="A812">
        <f>TeamHero生成!A812</f>
        <v>808</v>
      </c>
      <c r="B812">
        <f>TeamHero生成!B812</f>
        <v>1005</v>
      </c>
      <c r="C812">
        <f>TeamHero生成!C812</f>
        <v>60</v>
      </c>
      <c r="D812">
        <f>TeamHero生成!D812</f>
        <v>4562902</v>
      </c>
      <c r="E812">
        <f>TeamHero生成!E812</f>
        <v>79964</v>
      </c>
      <c r="F812">
        <f>TeamHero生成!F812</f>
        <v>45601</v>
      </c>
      <c r="G812" t="str">
        <f>TeamHero生成!AG812</f>
        <v>有效</v>
      </c>
      <c r="H812">
        <f>TeamHero生成!G812</f>
        <v>0</v>
      </c>
      <c r="I812">
        <f>TeamHero生成!H812</f>
        <v>0</v>
      </c>
    </row>
    <row r="813" spans="1:9">
      <c r="A813">
        <f>TeamHero生成!A813</f>
        <v>809</v>
      </c>
      <c r="B813">
        <f>TeamHero生成!B813</f>
        <v>1005</v>
      </c>
      <c r="C813">
        <f>TeamHero生成!C813</f>
        <v>60</v>
      </c>
      <c r="D813">
        <f>TeamHero生成!D813</f>
        <v>4562902</v>
      </c>
      <c r="E813">
        <f>TeamHero生成!E813</f>
        <v>79964</v>
      </c>
      <c r="F813">
        <f>TeamHero生成!F813</f>
        <v>45601</v>
      </c>
      <c r="G813" t="str">
        <f>TeamHero生成!AG813</f>
        <v>有效</v>
      </c>
      <c r="H813">
        <f>TeamHero生成!G813</f>
        <v>0</v>
      </c>
      <c r="I813">
        <f>TeamHero生成!H813</f>
        <v>0</v>
      </c>
    </row>
    <row r="814" spans="1:9">
      <c r="A814">
        <f>TeamHero生成!A814</f>
        <v>810</v>
      </c>
      <c r="B814">
        <f>TeamHero生成!B814</f>
        <v>1029</v>
      </c>
      <c r="C814">
        <f>TeamHero生成!C814</f>
        <v>60</v>
      </c>
      <c r="D814">
        <f>TeamHero生成!D814</f>
        <v>5703627</v>
      </c>
      <c r="E814">
        <f>TeamHero生成!E814</f>
        <v>66636</v>
      </c>
      <c r="F814">
        <f>TeamHero生成!F814</f>
        <v>57001</v>
      </c>
      <c r="G814" t="str">
        <f>TeamHero生成!AG814</f>
        <v>有效</v>
      </c>
      <c r="H814">
        <f>TeamHero生成!G814</f>
        <v>0</v>
      </c>
      <c r="I814">
        <f>TeamHero生成!H814</f>
        <v>0</v>
      </c>
    </row>
    <row r="815" spans="1:9">
      <c r="A815">
        <f>TeamHero生成!A815</f>
        <v>811</v>
      </c>
      <c r="B815">
        <f>TeamHero生成!B815</f>
        <v>1003</v>
      </c>
      <c r="C815">
        <f>TeamHero生成!C815</f>
        <v>60</v>
      </c>
      <c r="D815">
        <f>TeamHero生成!D815</f>
        <v>6953309</v>
      </c>
      <c r="E815">
        <f>TeamHero生成!E815</f>
        <v>67479</v>
      </c>
      <c r="F815">
        <f>TeamHero生成!F815</f>
        <v>68888</v>
      </c>
      <c r="G815" t="str">
        <f>TeamHero生成!AG815</f>
        <v>有效</v>
      </c>
      <c r="H815">
        <f>TeamHero生成!G815</f>
        <v>0</v>
      </c>
      <c r="I815">
        <f>TeamHero生成!H815</f>
        <v>0</v>
      </c>
    </row>
    <row r="816" spans="1:9">
      <c r="A816">
        <f>TeamHero生成!A816</f>
        <v>812</v>
      </c>
      <c r="B816">
        <f>TeamHero生成!B816</f>
        <v>1005</v>
      </c>
      <c r="C816">
        <f>TeamHero生成!C816</f>
        <v>60</v>
      </c>
      <c r="D816">
        <f>TeamHero生成!D816</f>
        <v>4635540</v>
      </c>
      <c r="E816">
        <f>TeamHero生成!E816</f>
        <v>80975</v>
      </c>
      <c r="F816">
        <f>TeamHero生成!F816</f>
        <v>45925</v>
      </c>
      <c r="G816" t="str">
        <f>TeamHero生成!AG816</f>
        <v>有效</v>
      </c>
      <c r="H816">
        <f>TeamHero生成!G816</f>
        <v>0</v>
      </c>
      <c r="I816">
        <f>TeamHero生成!H816</f>
        <v>0</v>
      </c>
    </row>
    <row r="817" spans="1:9">
      <c r="A817">
        <f>TeamHero生成!A817</f>
        <v>813</v>
      </c>
      <c r="B817">
        <f>TeamHero生成!B817</f>
        <v>1005</v>
      </c>
      <c r="C817">
        <f>TeamHero生成!C817</f>
        <v>60</v>
      </c>
      <c r="D817">
        <f>TeamHero生成!D817</f>
        <v>4635540</v>
      </c>
      <c r="E817">
        <f>TeamHero生成!E817</f>
        <v>80975</v>
      </c>
      <c r="F817">
        <f>TeamHero生成!F817</f>
        <v>45925</v>
      </c>
      <c r="G817" t="str">
        <f>TeamHero生成!AG817</f>
        <v>有效</v>
      </c>
      <c r="H817">
        <f>TeamHero生成!G817</f>
        <v>0</v>
      </c>
      <c r="I817">
        <f>TeamHero生成!H817</f>
        <v>0</v>
      </c>
    </row>
    <row r="818" spans="1:9">
      <c r="A818">
        <f>TeamHero生成!A818</f>
        <v>814</v>
      </c>
      <c r="B818">
        <f>TeamHero生成!B818</f>
        <v>1005</v>
      </c>
      <c r="C818">
        <f>TeamHero生成!C818</f>
        <v>60</v>
      </c>
      <c r="D818">
        <f>TeamHero生成!D818</f>
        <v>4635540</v>
      </c>
      <c r="E818">
        <f>TeamHero生成!E818</f>
        <v>80975</v>
      </c>
      <c r="F818">
        <f>TeamHero生成!F818</f>
        <v>45925</v>
      </c>
      <c r="G818" t="str">
        <f>TeamHero生成!AG818</f>
        <v>有效</v>
      </c>
      <c r="H818">
        <f>TeamHero生成!G818</f>
        <v>0</v>
      </c>
      <c r="I818">
        <f>TeamHero生成!H818</f>
        <v>0</v>
      </c>
    </row>
    <row r="819" spans="1:9">
      <c r="A819">
        <f>TeamHero生成!A819</f>
        <v>815</v>
      </c>
      <c r="B819">
        <f>TeamHero生成!B819</f>
        <v>1029</v>
      </c>
      <c r="C819">
        <f>TeamHero生成!C819</f>
        <v>60</v>
      </c>
      <c r="D819">
        <f>TeamHero生成!D819</f>
        <v>5794424</v>
      </c>
      <c r="E819">
        <f>TeamHero生成!E819</f>
        <v>67479</v>
      </c>
      <c r="F819">
        <f>TeamHero生成!F819</f>
        <v>57406</v>
      </c>
      <c r="G819" t="str">
        <f>TeamHero生成!AG819</f>
        <v>有效</v>
      </c>
      <c r="H819">
        <f>TeamHero生成!G819</f>
        <v>0</v>
      </c>
      <c r="I819">
        <f>TeamHero生成!H819</f>
        <v>0</v>
      </c>
    </row>
    <row r="820" spans="1:9">
      <c r="A820">
        <f>TeamHero生成!A820</f>
        <v>816</v>
      </c>
      <c r="B820">
        <f>TeamHero生成!B820</f>
        <v>1003</v>
      </c>
      <c r="C820">
        <f>TeamHero生成!C820</f>
        <v>60</v>
      </c>
      <c r="D820">
        <f>TeamHero生成!D820</f>
        <v>7119312</v>
      </c>
      <c r="E820">
        <f>TeamHero生成!E820</f>
        <v>68757</v>
      </c>
      <c r="F820">
        <f>TeamHero生成!F820</f>
        <v>69620</v>
      </c>
      <c r="G820" t="str">
        <f>TeamHero生成!AG820</f>
        <v>有效</v>
      </c>
      <c r="H820">
        <f>TeamHero生成!G820</f>
        <v>0</v>
      </c>
      <c r="I820">
        <f>TeamHero生成!H820</f>
        <v>0</v>
      </c>
    </row>
    <row r="821" spans="1:9">
      <c r="A821">
        <f>TeamHero生成!A821</f>
        <v>817</v>
      </c>
      <c r="B821">
        <f>TeamHero生成!B821</f>
        <v>1005</v>
      </c>
      <c r="C821">
        <f>TeamHero生成!C821</f>
        <v>60</v>
      </c>
      <c r="D821">
        <f>TeamHero生成!D821</f>
        <v>4746208</v>
      </c>
      <c r="E821">
        <f>TeamHero生成!E821</f>
        <v>82509</v>
      </c>
      <c r="F821">
        <f>TeamHero生成!F821</f>
        <v>46413</v>
      </c>
      <c r="G821" t="str">
        <f>TeamHero生成!AG821</f>
        <v>有效</v>
      </c>
      <c r="H821">
        <f>TeamHero生成!G821</f>
        <v>0</v>
      </c>
      <c r="I821">
        <f>TeamHero生成!H821</f>
        <v>0</v>
      </c>
    </row>
    <row r="822" spans="1:9">
      <c r="A822">
        <f>TeamHero生成!A822</f>
        <v>818</v>
      </c>
      <c r="B822">
        <f>TeamHero生成!B822</f>
        <v>1005</v>
      </c>
      <c r="C822">
        <f>TeamHero生成!C822</f>
        <v>60</v>
      </c>
      <c r="D822">
        <f>TeamHero生成!D822</f>
        <v>4746208</v>
      </c>
      <c r="E822">
        <f>TeamHero生成!E822</f>
        <v>82509</v>
      </c>
      <c r="F822">
        <f>TeamHero生成!F822</f>
        <v>46413</v>
      </c>
      <c r="G822" t="str">
        <f>TeamHero生成!AG822</f>
        <v>有效</v>
      </c>
      <c r="H822">
        <f>TeamHero生成!G822</f>
        <v>0</v>
      </c>
      <c r="I822">
        <f>TeamHero生成!H822</f>
        <v>0</v>
      </c>
    </row>
    <row r="823" spans="1:9">
      <c r="A823">
        <f>TeamHero生成!A823</f>
        <v>819</v>
      </c>
      <c r="B823">
        <f>TeamHero生成!B823</f>
        <v>1005</v>
      </c>
      <c r="C823">
        <f>TeamHero生成!C823</f>
        <v>60</v>
      </c>
      <c r="D823">
        <f>TeamHero生成!D823</f>
        <v>4746208</v>
      </c>
      <c r="E823">
        <f>TeamHero生成!E823</f>
        <v>82509</v>
      </c>
      <c r="F823">
        <f>TeamHero生成!F823</f>
        <v>46413</v>
      </c>
      <c r="G823" t="str">
        <f>TeamHero生成!AG823</f>
        <v>有效</v>
      </c>
      <c r="H823">
        <f>TeamHero生成!G823</f>
        <v>0</v>
      </c>
      <c r="I823">
        <f>TeamHero生成!H823</f>
        <v>0</v>
      </c>
    </row>
    <row r="824" spans="1:9">
      <c r="A824">
        <f>TeamHero生成!A824</f>
        <v>820</v>
      </c>
      <c r="B824">
        <f>TeamHero生成!B824</f>
        <v>1029</v>
      </c>
      <c r="C824">
        <f>TeamHero生成!C824</f>
        <v>60</v>
      </c>
      <c r="D824">
        <f>TeamHero生成!D824</f>
        <v>5932760</v>
      </c>
      <c r="E824">
        <f>TeamHero生成!E824</f>
        <v>68757</v>
      </c>
      <c r="F824">
        <f>TeamHero生成!F824</f>
        <v>58016</v>
      </c>
      <c r="G824" t="str">
        <f>TeamHero生成!AG824</f>
        <v>有效</v>
      </c>
      <c r="H824">
        <f>TeamHero生成!G824</f>
        <v>0</v>
      </c>
      <c r="I824">
        <f>TeamHero生成!H824</f>
        <v>0</v>
      </c>
    </row>
    <row r="825" spans="1:9">
      <c r="A825">
        <f>TeamHero生成!A825</f>
        <v>821</v>
      </c>
      <c r="B825">
        <f>TeamHero生成!B825</f>
        <v>1003</v>
      </c>
      <c r="C825">
        <f>TeamHero生成!C825</f>
        <v>60</v>
      </c>
      <c r="D825">
        <f>TeamHero生成!D825</f>
        <v>7265498</v>
      </c>
      <c r="E825">
        <f>TeamHero生成!E825</f>
        <v>69320</v>
      </c>
      <c r="F825">
        <f>TeamHero生成!F825</f>
        <v>70109</v>
      </c>
      <c r="G825" t="str">
        <f>TeamHero生成!AG825</f>
        <v>有效</v>
      </c>
      <c r="H825">
        <f>TeamHero生成!G825</f>
        <v>0</v>
      </c>
      <c r="I825">
        <f>TeamHero生成!H825</f>
        <v>0</v>
      </c>
    </row>
    <row r="826" spans="1:9">
      <c r="A826">
        <f>TeamHero生成!A826</f>
        <v>822</v>
      </c>
      <c r="B826">
        <f>TeamHero生成!B826</f>
        <v>1005</v>
      </c>
      <c r="C826">
        <f>TeamHero生成!C826</f>
        <v>60</v>
      </c>
      <c r="D826">
        <f>TeamHero生成!D826</f>
        <v>4843665</v>
      </c>
      <c r="E826">
        <f>TeamHero生成!E826</f>
        <v>83184</v>
      </c>
      <c r="F826">
        <f>TeamHero生成!F826</f>
        <v>46739</v>
      </c>
      <c r="G826" t="str">
        <f>TeamHero生成!AG826</f>
        <v>有效</v>
      </c>
      <c r="H826">
        <f>TeamHero生成!G826</f>
        <v>0</v>
      </c>
      <c r="I826">
        <f>TeamHero生成!H826</f>
        <v>0</v>
      </c>
    </row>
    <row r="827" spans="1:9">
      <c r="A827">
        <f>TeamHero生成!A827</f>
        <v>823</v>
      </c>
      <c r="B827">
        <f>TeamHero生成!B827</f>
        <v>1005</v>
      </c>
      <c r="C827">
        <f>TeamHero生成!C827</f>
        <v>60</v>
      </c>
      <c r="D827">
        <f>TeamHero生成!D827</f>
        <v>4843665</v>
      </c>
      <c r="E827">
        <f>TeamHero生成!E827</f>
        <v>83184</v>
      </c>
      <c r="F827">
        <f>TeamHero生成!F827</f>
        <v>46739</v>
      </c>
      <c r="G827" t="str">
        <f>TeamHero生成!AG827</f>
        <v>有效</v>
      </c>
      <c r="H827">
        <f>TeamHero生成!G827</f>
        <v>0</v>
      </c>
      <c r="I827">
        <f>TeamHero生成!H827</f>
        <v>0</v>
      </c>
    </row>
    <row r="828" spans="1:9">
      <c r="A828">
        <f>TeamHero生成!A828</f>
        <v>824</v>
      </c>
      <c r="B828">
        <f>TeamHero生成!B828</f>
        <v>1005</v>
      </c>
      <c r="C828">
        <f>TeamHero生成!C828</f>
        <v>60</v>
      </c>
      <c r="D828">
        <f>TeamHero生成!D828</f>
        <v>4843665</v>
      </c>
      <c r="E828">
        <f>TeamHero生成!E828</f>
        <v>83184</v>
      </c>
      <c r="F828">
        <f>TeamHero生成!F828</f>
        <v>46739</v>
      </c>
      <c r="G828" t="str">
        <f>TeamHero生成!AG828</f>
        <v>有效</v>
      </c>
      <c r="H828">
        <f>TeamHero生成!G828</f>
        <v>0</v>
      </c>
      <c r="I828">
        <f>TeamHero生成!H828</f>
        <v>0</v>
      </c>
    </row>
    <row r="829" spans="1:9">
      <c r="A829">
        <f>TeamHero生成!A829</f>
        <v>825</v>
      </c>
      <c r="B829">
        <f>TeamHero生成!B829</f>
        <v>1029</v>
      </c>
      <c r="C829">
        <f>TeamHero生成!C829</f>
        <v>60</v>
      </c>
      <c r="D829">
        <f>TeamHero生成!D829</f>
        <v>6054582</v>
      </c>
      <c r="E829">
        <f>TeamHero生成!E829</f>
        <v>69320</v>
      </c>
      <c r="F829">
        <f>TeamHero生成!F829</f>
        <v>58424</v>
      </c>
      <c r="G829" t="str">
        <f>TeamHero生成!AG829</f>
        <v>有效</v>
      </c>
      <c r="H829">
        <f>TeamHero生成!G829</f>
        <v>0</v>
      </c>
      <c r="I829">
        <f>TeamHero生成!H829</f>
        <v>0</v>
      </c>
    </row>
    <row r="830" spans="1:9">
      <c r="A830">
        <f>TeamHero生成!A830</f>
        <v>826</v>
      </c>
      <c r="B830">
        <f>TeamHero生成!B830</f>
        <v>1003</v>
      </c>
      <c r="C830">
        <f>TeamHero生成!C830</f>
        <v>60</v>
      </c>
      <c r="D830">
        <f>TeamHero生成!D830</f>
        <v>7345507</v>
      </c>
      <c r="E830">
        <f>TeamHero生成!E830</f>
        <v>70493</v>
      </c>
      <c r="F830">
        <f>TeamHero生成!F830</f>
        <v>70601</v>
      </c>
      <c r="G830" t="str">
        <f>TeamHero生成!AG830</f>
        <v>有效</v>
      </c>
      <c r="H830">
        <f>TeamHero生成!G830</f>
        <v>0</v>
      </c>
      <c r="I830">
        <f>TeamHero生成!H830</f>
        <v>0</v>
      </c>
    </row>
    <row r="831" spans="1:9">
      <c r="A831">
        <f>TeamHero生成!A831</f>
        <v>827</v>
      </c>
      <c r="B831">
        <f>TeamHero生成!B831</f>
        <v>1005</v>
      </c>
      <c r="C831">
        <f>TeamHero生成!C831</f>
        <v>60</v>
      </c>
      <c r="D831">
        <f>TeamHero生成!D831</f>
        <v>4897005</v>
      </c>
      <c r="E831">
        <f>TeamHero生成!E831</f>
        <v>84592</v>
      </c>
      <c r="F831">
        <f>TeamHero生成!F831</f>
        <v>47067</v>
      </c>
      <c r="G831" t="str">
        <f>TeamHero生成!AG831</f>
        <v>有效</v>
      </c>
      <c r="H831">
        <f>TeamHero生成!G831</f>
        <v>0</v>
      </c>
      <c r="I831">
        <f>TeamHero生成!H831</f>
        <v>0</v>
      </c>
    </row>
    <row r="832" spans="1:9">
      <c r="A832">
        <f>TeamHero生成!A832</f>
        <v>828</v>
      </c>
      <c r="B832">
        <f>TeamHero生成!B832</f>
        <v>1005</v>
      </c>
      <c r="C832">
        <f>TeamHero生成!C832</f>
        <v>60</v>
      </c>
      <c r="D832">
        <f>TeamHero生成!D832</f>
        <v>4897005</v>
      </c>
      <c r="E832">
        <f>TeamHero生成!E832</f>
        <v>84592</v>
      </c>
      <c r="F832">
        <f>TeamHero生成!F832</f>
        <v>47067</v>
      </c>
      <c r="G832" t="str">
        <f>TeamHero生成!AG832</f>
        <v>有效</v>
      </c>
      <c r="H832">
        <f>TeamHero生成!G832</f>
        <v>0</v>
      </c>
      <c r="I832">
        <f>TeamHero生成!H832</f>
        <v>0</v>
      </c>
    </row>
    <row r="833" spans="1:9">
      <c r="A833">
        <f>TeamHero生成!A833</f>
        <v>829</v>
      </c>
      <c r="B833">
        <f>TeamHero生成!B833</f>
        <v>1005</v>
      </c>
      <c r="C833">
        <f>TeamHero生成!C833</f>
        <v>60</v>
      </c>
      <c r="D833">
        <f>TeamHero生成!D833</f>
        <v>4897005</v>
      </c>
      <c r="E833">
        <f>TeamHero生成!E833</f>
        <v>84592</v>
      </c>
      <c r="F833">
        <f>TeamHero生成!F833</f>
        <v>47067</v>
      </c>
      <c r="G833" t="str">
        <f>TeamHero生成!AG833</f>
        <v>有效</v>
      </c>
      <c r="H833">
        <f>TeamHero生成!G833</f>
        <v>0</v>
      </c>
      <c r="I833">
        <f>TeamHero生成!H833</f>
        <v>0</v>
      </c>
    </row>
    <row r="834" spans="1:9">
      <c r="A834">
        <f>TeamHero生成!A834</f>
        <v>830</v>
      </c>
      <c r="B834">
        <f>TeamHero生成!B834</f>
        <v>1029</v>
      </c>
      <c r="C834">
        <f>TeamHero生成!C834</f>
        <v>60</v>
      </c>
      <c r="D834">
        <f>TeamHero生成!D834</f>
        <v>6121256</v>
      </c>
      <c r="E834">
        <f>TeamHero生成!E834</f>
        <v>70493</v>
      </c>
      <c r="F834">
        <f>TeamHero生成!F834</f>
        <v>58834</v>
      </c>
      <c r="G834" t="str">
        <f>TeamHero生成!AG834</f>
        <v>有效</v>
      </c>
      <c r="H834">
        <f>TeamHero生成!G834</f>
        <v>0</v>
      </c>
      <c r="I834">
        <f>TeamHero生成!H834</f>
        <v>0</v>
      </c>
    </row>
    <row r="835" spans="1:9">
      <c r="A835">
        <f>TeamHero生成!A835</f>
        <v>831</v>
      </c>
      <c r="B835">
        <f>TeamHero生成!B835</f>
        <v>1003</v>
      </c>
      <c r="C835">
        <f>TeamHero生成!C835</f>
        <v>60</v>
      </c>
      <c r="D835">
        <f>TeamHero生成!D835</f>
        <v>7518865</v>
      </c>
      <c r="E835">
        <f>TeamHero生成!E835</f>
        <v>71819</v>
      </c>
      <c r="F835">
        <f>TeamHero生成!F835</f>
        <v>71339</v>
      </c>
      <c r="G835" t="str">
        <f>TeamHero生成!AG835</f>
        <v>有效</v>
      </c>
      <c r="H835">
        <f>TeamHero生成!G835</f>
        <v>0</v>
      </c>
      <c r="I835">
        <f>TeamHero生成!H835</f>
        <v>0</v>
      </c>
    </row>
    <row r="836" spans="1:9">
      <c r="A836">
        <f>TeamHero生成!A836</f>
        <v>832</v>
      </c>
      <c r="B836">
        <f>TeamHero生成!B836</f>
        <v>1005</v>
      </c>
      <c r="C836">
        <f>TeamHero生成!C836</f>
        <v>60</v>
      </c>
      <c r="D836">
        <f>TeamHero生成!D836</f>
        <v>5012577</v>
      </c>
      <c r="E836">
        <f>TeamHero生成!E836</f>
        <v>86183</v>
      </c>
      <c r="F836">
        <f>TeamHero生成!F836</f>
        <v>47559</v>
      </c>
      <c r="G836" t="str">
        <f>TeamHero生成!AG836</f>
        <v>有效</v>
      </c>
      <c r="H836">
        <f>TeamHero生成!G836</f>
        <v>0</v>
      </c>
      <c r="I836">
        <f>TeamHero生成!H836</f>
        <v>0</v>
      </c>
    </row>
    <row r="837" spans="1:9">
      <c r="A837">
        <f>TeamHero生成!A837</f>
        <v>833</v>
      </c>
      <c r="B837">
        <f>TeamHero生成!B837</f>
        <v>1005</v>
      </c>
      <c r="C837">
        <f>TeamHero生成!C837</f>
        <v>60</v>
      </c>
      <c r="D837">
        <f>TeamHero生成!D837</f>
        <v>5012577</v>
      </c>
      <c r="E837">
        <f>TeamHero生成!E837</f>
        <v>86183</v>
      </c>
      <c r="F837">
        <f>TeamHero生成!F837</f>
        <v>47559</v>
      </c>
      <c r="G837" t="str">
        <f>TeamHero生成!AG837</f>
        <v>有效</v>
      </c>
      <c r="H837">
        <f>TeamHero生成!G837</f>
        <v>0</v>
      </c>
      <c r="I837">
        <f>TeamHero生成!H837</f>
        <v>0</v>
      </c>
    </row>
    <row r="838" spans="1:9">
      <c r="A838">
        <f>TeamHero生成!A838</f>
        <v>834</v>
      </c>
      <c r="B838">
        <f>TeamHero生成!B838</f>
        <v>1005</v>
      </c>
      <c r="C838">
        <f>TeamHero生成!C838</f>
        <v>60</v>
      </c>
      <c r="D838">
        <f>TeamHero生成!D838</f>
        <v>5012577</v>
      </c>
      <c r="E838">
        <f>TeamHero生成!E838</f>
        <v>86183</v>
      </c>
      <c r="F838">
        <f>TeamHero生成!F838</f>
        <v>47559</v>
      </c>
      <c r="G838" t="str">
        <f>TeamHero生成!AG838</f>
        <v>有效</v>
      </c>
      <c r="H838">
        <f>TeamHero生成!G838</f>
        <v>0</v>
      </c>
      <c r="I838">
        <f>TeamHero生成!H838</f>
        <v>0</v>
      </c>
    </row>
    <row r="839" spans="1:9">
      <c r="A839">
        <f>TeamHero生成!A839</f>
        <v>835</v>
      </c>
      <c r="B839">
        <f>TeamHero生成!B839</f>
        <v>1029</v>
      </c>
      <c r="C839">
        <f>TeamHero生成!C839</f>
        <v>60</v>
      </c>
      <c r="D839">
        <f>TeamHero生成!D839</f>
        <v>6265721</v>
      </c>
      <c r="E839">
        <f>TeamHero生成!E839</f>
        <v>71819</v>
      </c>
      <c r="F839">
        <f>TeamHero生成!F839</f>
        <v>59449</v>
      </c>
      <c r="G839" t="str">
        <f>TeamHero生成!AG839</f>
        <v>有效</v>
      </c>
      <c r="H839">
        <f>TeamHero生成!G839</f>
        <v>0</v>
      </c>
      <c r="I839">
        <f>TeamHero生成!H839</f>
        <v>0</v>
      </c>
    </row>
    <row r="840" spans="1:9">
      <c r="A840">
        <f>TeamHero生成!A840</f>
        <v>836</v>
      </c>
      <c r="B840">
        <f>TeamHero生成!B840</f>
        <v>1003</v>
      </c>
      <c r="C840">
        <f>TeamHero生成!C840</f>
        <v>60</v>
      </c>
      <c r="D840">
        <f>TeamHero生成!D840</f>
        <v>7636225</v>
      </c>
      <c r="E840">
        <f>TeamHero生成!E840</f>
        <v>72714</v>
      </c>
      <c r="F840">
        <f>TeamHero生成!F840</f>
        <v>71834</v>
      </c>
      <c r="G840" t="str">
        <f>TeamHero生成!AG840</f>
        <v>有效</v>
      </c>
      <c r="H840">
        <f>TeamHero生成!G840</f>
        <v>0</v>
      </c>
      <c r="I840">
        <f>TeamHero生成!H840</f>
        <v>0</v>
      </c>
    </row>
    <row r="841" spans="1:9">
      <c r="A841">
        <f>TeamHero生成!A841</f>
        <v>837</v>
      </c>
      <c r="B841">
        <f>TeamHero生成!B841</f>
        <v>1005</v>
      </c>
      <c r="C841">
        <f>TeamHero生成!C841</f>
        <v>60</v>
      </c>
      <c r="D841">
        <f>TeamHero生成!D841</f>
        <v>5090817</v>
      </c>
      <c r="E841">
        <f>TeamHero生成!E841</f>
        <v>87257</v>
      </c>
      <c r="F841">
        <f>TeamHero生成!F841</f>
        <v>47889</v>
      </c>
      <c r="G841" t="str">
        <f>TeamHero生成!AG841</f>
        <v>有效</v>
      </c>
      <c r="H841">
        <f>TeamHero生成!G841</f>
        <v>0</v>
      </c>
      <c r="I841">
        <f>TeamHero生成!H841</f>
        <v>0</v>
      </c>
    </row>
    <row r="842" spans="1:9">
      <c r="A842">
        <f>TeamHero生成!A842</f>
        <v>838</v>
      </c>
      <c r="B842">
        <f>TeamHero生成!B842</f>
        <v>1005</v>
      </c>
      <c r="C842">
        <f>TeamHero生成!C842</f>
        <v>60</v>
      </c>
      <c r="D842">
        <f>TeamHero生成!D842</f>
        <v>5090817</v>
      </c>
      <c r="E842">
        <f>TeamHero生成!E842</f>
        <v>87257</v>
      </c>
      <c r="F842">
        <f>TeamHero生成!F842</f>
        <v>47889</v>
      </c>
      <c r="G842" t="str">
        <f>TeamHero生成!AG842</f>
        <v>有效</v>
      </c>
      <c r="H842">
        <f>TeamHero生成!G842</f>
        <v>0</v>
      </c>
      <c r="I842">
        <f>TeamHero生成!H842</f>
        <v>0</v>
      </c>
    </row>
    <row r="843" spans="1:9">
      <c r="A843">
        <f>TeamHero生成!A843</f>
        <v>839</v>
      </c>
      <c r="B843">
        <f>TeamHero生成!B843</f>
        <v>1005</v>
      </c>
      <c r="C843">
        <f>TeamHero生成!C843</f>
        <v>60</v>
      </c>
      <c r="D843">
        <f>TeamHero生成!D843</f>
        <v>5090817</v>
      </c>
      <c r="E843">
        <f>TeamHero生成!E843</f>
        <v>87257</v>
      </c>
      <c r="F843">
        <f>TeamHero生成!F843</f>
        <v>47889</v>
      </c>
      <c r="G843" t="str">
        <f>TeamHero生成!AG843</f>
        <v>有效</v>
      </c>
      <c r="H843">
        <f>TeamHero生成!G843</f>
        <v>0</v>
      </c>
      <c r="I843">
        <f>TeamHero生成!H843</f>
        <v>0</v>
      </c>
    </row>
    <row r="844" spans="1:9">
      <c r="A844">
        <f>TeamHero生成!A844</f>
        <v>840</v>
      </c>
      <c r="B844">
        <f>TeamHero生成!B844</f>
        <v>1029</v>
      </c>
      <c r="C844">
        <f>TeamHero生成!C844</f>
        <v>60</v>
      </c>
      <c r="D844">
        <f>TeamHero生成!D844</f>
        <v>6363521</v>
      </c>
      <c r="E844">
        <f>TeamHero生成!E844</f>
        <v>72714</v>
      </c>
      <c r="F844">
        <f>TeamHero生成!F844</f>
        <v>59861</v>
      </c>
      <c r="G844" t="str">
        <f>TeamHero生成!AG844</f>
        <v>有效</v>
      </c>
      <c r="H844">
        <f>TeamHero生成!G844</f>
        <v>0</v>
      </c>
      <c r="I844">
        <f>TeamHero生成!H844</f>
        <v>0</v>
      </c>
    </row>
    <row r="845" spans="1:9">
      <c r="A845">
        <f>TeamHero生成!A845</f>
        <v>841</v>
      </c>
      <c r="B845">
        <f>TeamHero生成!B845</f>
        <v>1003</v>
      </c>
      <c r="C845">
        <f>TeamHero生成!C845</f>
        <v>60</v>
      </c>
      <c r="D845">
        <f>TeamHero生成!D845</f>
        <v>7814981</v>
      </c>
      <c r="E845">
        <f>TeamHero生成!E845</f>
        <v>74074</v>
      </c>
      <c r="F845">
        <f>TeamHero生成!F845</f>
        <v>72578</v>
      </c>
      <c r="G845" t="str">
        <f>TeamHero生成!AG845</f>
        <v>有效</v>
      </c>
      <c r="H845">
        <f>TeamHero生成!G845</f>
        <v>0</v>
      </c>
      <c r="I845">
        <f>TeamHero生成!H845</f>
        <v>0</v>
      </c>
    </row>
    <row r="846" spans="1:9">
      <c r="A846">
        <f>TeamHero生成!A846</f>
        <v>842</v>
      </c>
      <c r="B846">
        <f>TeamHero生成!B846</f>
        <v>1005</v>
      </c>
      <c r="C846">
        <f>TeamHero生成!C846</f>
        <v>60</v>
      </c>
      <c r="D846">
        <f>TeamHero生成!D846</f>
        <v>5209987</v>
      </c>
      <c r="E846">
        <f>TeamHero生成!E846</f>
        <v>88889</v>
      </c>
      <c r="F846">
        <f>TeamHero生成!F846</f>
        <v>48385</v>
      </c>
      <c r="G846" t="str">
        <f>TeamHero生成!AG846</f>
        <v>有效</v>
      </c>
      <c r="H846">
        <f>TeamHero生成!G846</f>
        <v>0</v>
      </c>
      <c r="I846">
        <f>TeamHero生成!H846</f>
        <v>0</v>
      </c>
    </row>
    <row r="847" spans="1:9">
      <c r="A847">
        <f>TeamHero生成!A847</f>
        <v>843</v>
      </c>
      <c r="B847">
        <f>TeamHero生成!B847</f>
        <v>1005</v>
      </c>
      <c r="C847">
        <f>TeamHero生成!C847</f>
        <v>60</v>
      </c>
      <c r="D847">
        <f>TeamHero生成!D847</f>
        <v>5209987</v>
      </c>
      <c r="E847">
        <f>TeamHero生成!E847</f>
        <v>88889</v>
      </c>
      <c r="F847">
        <f>TeamHero生成!F847</f>
        <v>48385</v>
      </c>
      <c r="G847" t="str">
        <f>TeamHero生成!AG847</f>
        <v>有效</v>
      </c>
      <c r="H847">
        <f>TeamHero生成!G847</f>
        <v>0</v>
      </c>
      <c r="I847">
        <f>TeamHero生成!H847</f>
        <v>0</v>
      </c>
    </row>
    <row r="848" spans="1:9">
      <c r="A848">
        <f>TeamHero生成!A848</f>
        <v>844</v>
      </c>
      <c r="B848">
        <f>TeamHero生成!B848</f>
        <v>1005</v>
      </c>
      <c r="C848">
        <f>TeamHero生成!C848</f>
        <v>60</v>
      </c>
      <c r="D848">
        <f>TeamHero生成!D848</f>
        <v>5209987</v>
      </c>
      <c r="E848">
        <f>TeamHero生成!E848</f>
        <v>88889</v>
      </c>
      <c r="F848">
        <f>TeamHero生成!F848</f>
        <v>48385</v>
      </c>
      <c r="G848" t="str">
        <f>TeamHero生成!AG848</f>
        <v>有效</v>
      </c>
      <c r="H848">
        <f>TeamHero生成!G848</f>
        <v>0</v>
      </c>
      <c r="I848">
        <f>TeamHero生成!H848</f>
        <v>0</v>
      </c>
    </row>
    <row r="849" spans="1:9">
      <c r="A849">
        <f>TeamHero生成!A849</f>
        <v>845</v>
      </c>
      <c r="B849">
        <f>TeamHero生成!B849</f>
        <v>1029</v>
      </c>
      <c r="C849">
        <f>TeamHero生成!C849</f>
        <v>60</v>
      </c>
      <c r="D849">
        <f>TeamHero生成!D849</f>
        <v>6512484</v>
      </c>
      <c r="E849">
        <f>TeamHero生成!E849</f>
        <v>74074</v>
      </c>
      <c r="F849">
        <f>TeamHero生成!F849</f>
        <v>60481</v>
      </c>
      <c r="G849" t="str">
        <f>TeamHero生成!AG849</f>
        <v>有效</v>
      </c>
      <c r="H849">
        <f>TeamHero生成!G849</f>
        <v>0</v>
      </c>
      <c r="I849">
        <f>TeamHero生成!H849</f>
        <v>0</v>
      </c>
    </row>
    <row r="850" spans="1:9">
      <c r="A850">
        <f>TeamHero生成!A850</f>
        <v>846</v>
      </c>
      <c r="B850">
        <f>TeamHero生成!B850</f>
        <v>1003</v>
      </c>
      <c r="C850">
        <f>TeamHero生成!C850</f>
        <v>60</v>
      </c>
      <c r="D850">
        <f>TeamHero生成!D850</f>
        <v>7942306</v>
      </c>
      <c r="E850">
        <f>TeamHero生成!E850</f>
        <v>75136</v>
      </c>
      <c r="F850">
        <f>TeamHero生成!F850</f>
        <v>73076</v>
      </c>
      <c r="G850" t="str">
        <f>TeamHero生成!AG850</f>
        <v>有效</v>
      </c>
      <c r="H850">
        <f>TeamHero生成!G850</f>
        <v>0</v>
      </c>
      <c r="I850">
        <f>TeamHero生成!H850</f>
        <v>0</v>
      </c>
    </row>
    <row r="851" spans="1:9">
      <c r="A851">
        <f>TeamHero生成!A851</f>
        <v>847</v>
      </c>
      <c r="B851">
        <f>TeamHero生成!B851</f>
        <v>1005</v>
      </c>
      <c r="C851">
        <f>TeamHero生成!C851</f>
        <v>60</v>
      </c>
      <c r="D851">
        <f>TeamHero生成!D851</f>
        <v>5294871</v>
      </c>
      <c r="E851">
        <f>TeamHero生成!E851</f>
        <v>90164</v>
      </c>
      <c r="F851">
        <f>TeamHero生成!F851</f>
        <v>48717</v>
      </c>
      <c r="G851" t="str">
        <f>TeamHero生成!AG851</f>
        <v>有效</v>
      </c>
      <c r="H851">
        <f>TeamHero生成!G851</f>
        <v>0</v>
      </c>
      <c r="I851">
        <f>TeamHero生成!H851</f>
        <v>0</v>
      </c>
    </row>
    <row r="852" spans="1:9">
      <c r="A852">
        <f>TeamHero生成!A852</f>
        <v>848</v>
      </c>
      <c r="B852">
        <f>TeamHero生成!B852</f>
        <v>1005</v>
      </c>
      <c r="C852">
        <f>TeamHero生成!C852</f>
        <v>60</v>
      </c>
      <c r="D852">
        <f>TeamHero生成!D852</f>
        <v>5294871</v>
      </c>
      <c r="E852">
        <f>TeamHero生成!E852</f>
        <v>90164</v>
      </c>
      <c r="F852">
        <f>TeamHero生成!F852</f>
        <v>48717</v>
      </c>
      <c r="G852" t="str">
        <f>TeamHero生成!AG852</f>
        <v>有效</v>
      </c>
      <c r="H852">
        <f>TeamHero生成!G852</f>
        <v>0</v>
      </c>
      <c r="I852">
        <f>TeamHero生成!H852</f>
        <v>0</v>
      </c>
    </row>
    <row r="853" spans="1:9">
      <c r="A853">
        <f>TeamHero生成!A853</f>
        <v>849</v>
      </c>
      <c r="B853">
        <f>TeamHero生成!B853</f>
        <v>1005</v>
      </c>
      <c r="C853">
        <f>TeamHero生成!C853</f>
        <v>60</v>
      </c>
      <c r="D853">
        <f>TeamHero生成!D853</f>
        <v>5294871</v>
      </c>
      <c r="E853">
        <f>TeamHero生成!E853</f>
        <v>90164</v>
      </c>
      <c r="F853">
        <f>TeamHero生成!F853</f>
        <v>48717</v>
      </c>
      <c r="G853" t="str">
        <f>TeamHero生成!AG853</f>
        <v>有效</v>
      </c>
      <c r="H853">
        <f>TeamHero生成!G853</f>
        <v>0</v>
      </c>
      <c r="I853">
        <f>TeamHero生成!H853</f>
        <v>0</v>
      </c>
    </row>
    <row r="854" spans="1:9">
      <c r="A854">
        <f>TeamHero生成!A854</f>
        <v>850</v>
      </c>
      <c r="B854">
        <f>TeamHero生成!B854</f>
        <v>1029</v>
      </c>
      <c r="C854">
        <f>TeamHero生成!C854</f>
        <v>60</v>
      </c>
      <c r="D854">
        <f>TeamHero生成!D854</f>
        <v>6618588</v>
      </c>
      <c r="E854">
        <f>TeamHero生成!E854</f>
        <v>75136</v>
      </c>
      <c r="F854">
        <f>TeamHero生成!F854</f>
        <v>60896</v>
      </c>
      <c r="G854" t="str">
        <f>TeamHero生成!AG854</f>
        <v>有效</v>
      </c>
      <c r="H854">
        <f>TeamHero生成!G854</f>
        <v>0</v>
      </c>
      <c r="I854">
        <f>TeamHero生成!H854</f>
        <v>0</v>
      </c>
    </row>
    <row r="855" spans="1:9">
      <c r="A855">
        <f>TeamHero生成!A855</f>
        <v>851</v>
      </c>
      <c r="B855">
        <f>TeamHero生成!B855</f>
        <v>1003</v>
      </c>
      <c r="C855">
        <f>TeamHero生成!C855</f>
        <v>60</v>
      </c>
      <c r="D855">
        <f>TeamHero生成!D855</f>
        <v>8120290</v>
      </c>
      <c r="E855">
        <f>TeamHero生成!E855</f>
        <v>76388</v>
      </c>
      <c r="F855">
        <f>TeamHero生成!F855</f>
        <v>73824</v>
      </c>
      <c r="G855" t="str">
        <f>TeamHero生成!AG855</f>
        <v>有效</v>
      </c>
      <c r="H855">
        <f>TeamHero生成!G855</f>
        <v>0</v>
      </c>
      <c r="I855">
        <f>TeamHero生成!H855</f>
        <v>0</v>
      </c>
    </row>
    <row r="856" spans="1:9">
      <c r="A856">
        <f>TeamHero生成!A856</f>
        <v>852</v>
      </c>
      <c r="B856">
        <f>TeamHero生成!B856</f>
        <v>1005</v>
      </c>
      <c r="C856">
        <f>TeamHero生成!C856</f>
        <v>60</v>
      </c>
      <c r="D856">
        <f>TeamHero生成!D856</f>
        <v>5413527</v>
      </c>
      <c r="E856">
        <f>TeamHero生成!E856</f>
        <v>91666</v>
      </c>
      <c r="F856">
        <f>TeamHero生成!F856</f>
        <v>49216</v>
      </c>
      <c r="G856" t="str">
        <f>TeamHero生成!AG856</f>
        <v>有效</v>
      </c>
      <c r="H856">
        <f>TeamHero生成!G856</f>
        <v>0</v>
      </c>
      <c r="I856">
        <f>TeamHero生成!H856</f>
        <v>0</v>
      </c>
    </row>
    <row r="857" spans="1:9">
      <c r="A857">
        <f>TeamHero生成!A857</f>
        <v>853</v>
      </c>
      <c r="B857">
        <f>TeamHero生成!B857</f>
        <v>1005</v>
      </c>
      <c r="C857">
        <f>TeamHero生成!C857</f>
        <v>60</v>
      </c>
      <c r="D857">
        <f>TeamHero生成!D857</f>
        <v>5413527</v>
      </c>
      <c r="E857">
        <f>TeamHero生成!E857</f>
        <v>91666</v>
      </c>
      <c r="F857">
        <f>TeamHero生成!F857</f>
        <v>49216</v>
      </c>
      <c r="G857" t="str">
        <f>TeamHero生成!AG857</f>
        <v>有效</v>
      </c>
      <c r="H857">
        <f>TeamHero生成!G857</f>
        <v>0</v>
      </c>
      <c r="I857">
        <f>TeamHero生成!H857</f>
        <v>0</v>
      </c>
    </row>
    <row r="858" spans="1:9">
      <c r="A858">
        <f>TeamHero生成!A858</f>
        <v>854</v>
      </c>
      <c r="B858">
        <f>TeamHero生成!B858</f>
        <v>1005</v>
      </c>
      <c r="C858">
        <f>TeamHero生成!C858</f>
        <v>60</v>
      </c>
      <c r="D858">
        <f>TeamHero生成!D858</f>
        <v>5413527</v>
      </c>
      <c r="E858">
        <f>TeamHero生成!E858</f>
        <v>91666</v>
      </c>
      <c r="F858">
        <f>TeamHero生成!F858</f>
        <v>49216</v>
      </c>
      <c r="G858" t="str">
        <f>TeamHero生成!AG858</f>
        <v>有效</v>
      </c>
      <c r="H858">
        <f>TeamHero生成!G858</f>
        <v>0</v>
      </c>
      <c r="I858">
        <f>TeamHero生成!H858</f>
        <v>0</v>
      </c>
    </row>
    <row r="859" spans="1:9">
      <c r="A859">
        <f>TeamHero生成!A859</f>
        <v>855</v>
      </c>
      <c r="B859">
        <f>TeamHero生成!B859</f>
        <v>1029</v>
      </c>
      <c r="C859">
        <f>TeamHero生成!C859</f>
        <v>60</v>
      </c>
      <c r="D859">
        <f>TeamHero生成!D859</f>
        <v>6766908</v>
      </c>
      <c r="E859">
        <f>TeamHero生成!E859</f>
        <v>76388</v>
      </c>
      <c r="F859">
        <f>TeamHero生成!F859</f>
        <v>61520</v>
      </c>
      <c r="G859" t="str">
        <f>TeamHero生成!AG859</f>
        <v>有效</v>
      </c>
      <c r="H859">
        <f>TeamHero生成!G859</f>
        <v>0</v>
      </c>
      <c r="I859">
        <f>TeamHero生成!H859</f>
        <v>0</v>
      </c>
    </row>
    <row r="860" spans="1:9">
      <c r="A860">
        <f>TeamHero生成!A860</f>
        <v>856</v>
      </c>
      <c r="B860">
        <f>TeamHero生成!B860</f>
        <v>1003</v>
      </c>
      <c r="C860">
        <f>TeamHero生成!C860</f>
        <v>60</v>
      </c>
      <c r="D860">
        <f>TeamHero生成!D860</f>
        <v>8245040</v>
      </c>
      <c r="E860">
        <f>TeamHero生成!E860</f>
        <v>77330</v>
      </c>
      <c r="F860">
        <f>TeamHero生成!F860</f>
        <v>74325</v>
      </c>
      <c r="G860" t="str">
        <f>TeamHero生成!AG860</f>
        <v>有效</v>
      </c>
      <c r="H860">
        <f>TeamHero生成!G860</f>
        <v>0</v>
      </c>
      <c r="I860">
        <f>TeamHero生成!H860</f>
        <v>0</v>
      </c>
    </row>
    <row r="861" spans="1:9">
      <c r="A861">
        <f>TeamHero生成!A861</f>
        <v>857</v>
      </c>
      <c r="B861">
        <f>TeamHero生成!B861</f>
        <v>1005</v>
      </c>
      <c r="C861">
        <f>TeamHero生成!C861</f>
        <v>60</v>
      </c>
      <c r="D861">
        <f>TeamHero生成!D861</f>
        <v>5496693</v>
      </c>
      <c r="E861">
        <f>TeamHero生成!E861</f>
        <v>92796</v>
      </c>
      <c r="F861">
        <f>TeamHero生成!F861</f>
        <v>49550</v>
      </c>
      <c r="G861" t="str">
        <f>TeamHero生成!AG861</f>
        <v>有效</v>
      </c>
      <c r="H861">
        <f>TeamHero生成!G861</f>
        <v>0</v>
      </c>
      <c r="I861">
        <f>TeamHero生成!H861</f>
        <v>0</v>
      </c>
    </row>
    <row r="862" spans="1:9">
      <c r="A862">
        <f>TeamHero生成!A862</f>
        <v>858</v>
      </c>
      <c r="B862">
        <f>TeamHero生成!B862</f>
        <v>1005</v>
      </c>
      <c r="C862">
        <f>TeamHero生成!C862</f>
        <v>60</v>
      </c>
      <c r="D862">
        <f>TeamHero生成!D862</f>
        <v>5496693</v>
      </c>
      <c r="E862">
        <f>TeamHero生成!E862</f>
        <v>92796</v>
      </c>
      <c r="F862">
        <f>TeamHero生成!F862</f>
        <v>49550</v>
      </c>
      <c r="G862" t="str">
        <f>TeamHero生成!AG862</f>
        <v>有效</v>
      </c>
      <c r="H862">
        <f>TeamHero生成!G862</f>
        <v>0</v>
      </c>
      <c r="I862">
        <f>TeamHero生成!H862</f>
        <v>0</v>
      </c>
    </row>
    <row r="863" spans="1:9">
      <c r="A863">
        <f>TeamHero生成!A863</f>
        <v>859</v>
      </c>
      <c r="B863">
        <f>TeamHero生成!B863</f>
        <v>1005</v>
      </c>
      <c r="C863">
        <f>TeamHero生成!C863</f>
        <v>60</v>
      </c>
      <c r="D863">
        <f>TeamHero生成!D863</f>
        <v>5496693</v>
      </c>
      <c r="E863">
        <f>TeamHero生成!E863</f>
        <v>92796</v>
      </c>
      <c r="F863">
        <f>TeamHero生成!F863</f>
        <v>49550</v>
      </c>
      <c r="G863" t="str">
        <f>TeamHero生成!AG863</f>
        <v>有效</v>
      </c>
      <c r="H863">
        <f>TeamHero生成!G863</f>
        <v>0</v>
      </c>
      <c r="I863">
        <f>TeamHero生成!H863</f>
        <v>0</v>
      </c>
    </row>
    <row r="864" spans="1:9">
      <c r="A864">
        <f>TeamHero生成!A864</f>
        <v>860</v>
      </c>
      <c r="B864">
        <f>TeamHero生成!B864</f>
        <v>1029</v>
      </c>
      <c r="C864">
        <f>TeamHero生成!C864</f>
        <v>60</v>
      </c>
      <c r="D864">
        <f>TeamHero生成!D864</f>
        <v>6870867</v>
      </c>
      <c r="E864">
        <f>TeamHero生成!E864</f>
        <v>77330</v>
      </c>
      <c r="F864">
        <f>TeamHero生成!F864</f>
        <v>61938</v>
      </c>
      <c r="G864" t="str">
        <f>TeamHero生成!AG864</f>
        <v>有效</v>
      </c>
      <c r="H864">
        <f>TeamHero生成!G864</f>
        <v>0</v>
      </c>
      <c r="I864">
        <f>TeamHero生成!H864</f>
        <v>0</v>
      </c>
    </row>
    <row r="865" spans="1:9">
      <c r="A865">
        <f>TeamHero生成!A865</f>
        <v>861</v>
      </c>
      <c r="B865">
        <f>TeamHero生成!B865</f>
        <v>1003</v>
      </c>
      <c r="C865">
        <f>TeamHero生成!C865</f>
        <v>60</v>
      </c>
      <c r="D865">
        <f>TeamHero生成!D865</f>
        <v>8435009</v>
      </c>
      <c r="E865">
        <f>TeamHero生成!E865</f>
        <v>78762</v>
      </c>
      <c r="F865">
        <f>TeamHero生成!F865</f>
        <v>75080</v>
      </c>
      <c r="G865" t="str">
        <f>TeamHero生成!AG865</f>
        <v>有效</v>
      </c>
      <c r="H865">
        <f>TeamHero生成!G865</f>
        <v>0</v>
      </c>
      <c r="I865">
        <f>TeamHero生成!H865</f>
        <v>0</v>
      </c>
    </row>
    <row r="866" spans="1:9">
      <c r="A866">
        <f>TeamHero生成!A866</f>
        <v>862</v>
      </c>
      <c r="B866">
        <f>TeamHero生成!B866</f>
        <v>1005</v>
      </c>
      <c r="C866">
        <f>TeamHero生成!C866</f>
        <v>60</v>
      </c>
      <c r="D866">
        <f>TeamHero生成!D866</f>
        <v>5623339</v>
      </c>
      <c r="E866">
        <f>TeamHero生成!E866</f>
        <v>94514</v>
      </c>
      <c r="F866">
        <f>TeamHero生成!F866</f>
        <v>50053</v>
      </c>
      <c r="G866" t="str">
        <f>TeamHero生成!AG866</f>
        <v>有效</v>
      </c>
      <c r="H866">
        <f>TeamHero生成!G866</f>
        <v>0</v>
      </c>
      <c r="I866">
        <f>TeamHero生成!H866</f>
        <v>0</v>
      </c>
    </row>
    <row r="867" spans="1:9">
      <c r="A867">
        <f>TeamHero生成!A867</f>
        <v>863</v>
      </c>
      <c r="B867">
        <f>TeamHero生成!B867</f>
        <v>1005</v>
      </c>
      <c r="C867">
        <f>TeamHero生成!C867</f>
        <v>60</v>
      </c>
      <c r="D867">
        <f>TeamHero生成!D867</f>
        <v>5623339</v>
      </c>
      <c r="E867">
        <f>TeamHero生成!E867</f>
        <v>94514</v>
      </c>
      <c r="F867">
        <f>TeamHero生成!F867</f>
        <v>50053</v>
      </c>
      <c r="G867" t="str">
        <f>TeamHero生成!AG867</f>
        <v>有效</v>
      </c>
      <c r="H867">
        <f>TeamHero生成!G867</f>
        <v>0</v>
      </c>
      <c r="I867">
        <f>TeamHero生成!H867</f>
        <v>0</v>
      </c>
    </row>
    <row r="868" spans="1:9">
      <c r="A868">
        <f>TeamHero生成!A868</f>
        <v>864</v>
      </c>
      <c r="B868">
        <f>TeamHero生成!B868</f>
        <v>1005</v>
      </c>
      <c r="C868">
        <f>TeamHero生成!C868</f>
        <v>60</v>
      </c>
      <c r="D868">
        <f>TeamHero生成!D868</f>
        <v>5623339</v>
      </c>
      <c r="E868">
        <f>TeamHero生成!E868</f>
        <v>94514</v>
      </c>
      <c r="F868">
        <f>TeamHero生成!F868</f>
        <v>50053</v>
      </c>
      <c r="G868" t="str">
        <f>TeamHero生成!AG868</f>
        <v>有效</v>
      </c>
      <c r="H868">
        <f>TeamHero生成!G868</f>
        <v>0</v>
      </c>
      <c r="I868">
        <f>TeamHero生成!H868</f>
        <v>0</v>
      </c>
    </row>
    <row r="869" spans="1:9">
      <c r="A869">
        <f>TeamHero生成!A869</f>
        <v>865</v>
      </c>
      <c r="B869">
        <f>TeamHero生成!B869</f>
        <v>1029</v>
      </c>
      <c r="C869">
        <f>TeamHero生成!C869</f>
        <v>60</v>
      </c>
      <c r="D869">
        <f>TeamHero生成!D869</f>
        <v>7029174</v>
      </c>
      <c r="E869">
        <f>TeamHero生成!E869</f>
        <v>78762</v>
      </c>
      <c r="F869">
        <f>TeamHero生成!F869</f>
        <v>62566</v>
      </c>
      <c r="G869" t="str">
        <f>TeamHero生成!AG869</f>
        <v>有效</v>
      </c>
      <c r="H869">
        <f>TeamHero生成!G869</f>
        <v>0</v>
      </c>
      <c r="I869">
        <f>TeamHero生成!H869</f>
        <v>0</v>
      </c>
    </row>
    <row r="870" spans="1:9">
      <c r="A870">
        <f>TeamHero生成!A870</f>
        <v>866</v>
      </c>
      <c r="B870">
        <f>TeamHero生成!B870</f>
        <v>1003</v>
      </c>
      <c r="C870">
        <f>TeamHero生成!C870</f>
        <v>60</v>
      </c>
      <c r="D870">
        <f>TeamHero生成!D870</f>
        <v>8563582</v>
      </c>
      <c r="E870">
        <f>TeamHero生成!E870</f>
        <v>79728</v>
      </c>
      <c r="F870">
        <f>TeamHero生成!F870</f>
        <v>75585</v>
      </c>
      <c r="G870" t="str">
        <f>TeamHero生成!AG870</f>
        <v>有效</v>
      </c>
      <c r="H870">
        <f>TeamHero生成!G870</f>
        <v>0</v>
      </c>
      <c r="I870">
        <f>TeamHero生成!H870</f>
        <v>0</v>
      </c>
    </row>
    <row r="871" spans="1:9">
      <c r="A871">
        <f>TeamHero生成!A871</f>
        <v>867</v>
      </c>
      <c r="B871">
        <f>TeamHero生成!B871</f>
        <v>1005</v>
      </c>
      <c r="C871">
        <f>TeamHero生成!C871</f>
        <v>60</v>
      </c>
      <c r="D871">
        <f>TeamHero生成!D871</f>
        <v>5709055</v>
      </c>
      <c r="E871">
        <f>TeamHero生成!E871</f>
        <v>95673</v>
      </c>
      <c r="F871">
        <f>TeamHero生成!F871</f>
        <v>50390</v>
      </c>
      <c r="G871" t="str">
        <f>TeamHero生成!AG871</f>
        <v>有效</v>
      </c>
      <c r="H871">
        <f>TeamHero生成!G871</f>
        <v>0</v>
      </c>
      <c r="I871">
        <f>TeamHero生成!H871</f>
        <v>0</v>
      </c>
    </row>
    <row r="872" spans="1:9">
      <c r="A872">
        <f>TeamHero生成!A872</f>
        <v>868</v>
      </c>
      <c r="B872">
        <f>TeamHero生成!B872</f>
        <v>1005</v>
      </c>
      <c r="C872">
        <f>TeamHero生成!C872</f>
        <v>60</v>
      </c>
      <c r="D872">
        <f>TeamHero生成!D872</f>
        <v>5709055</v>
      </c>
      <c r="E872">
        <f>TeamHero生成!E872</f>
        <v>95673</v>
      </c>
      <c r="F872">
        <f>TeamHero生成!F872</f>
        <v>50390</v>
      </c>
      <c r="G872" t="str">
        <f>TeamHero生成!AG872</f>
        <v>有效</v>
      </c>
      <c r="H872">
        <f>TeamHero生成!G872</f>
        <v>0</v>
      </c>
      <c r="I872">
        <f>TeamHero生成!H872</f>
        <v>0</v>
      </c>
    </row>
    <row r="873" spans="1:9">
      <c r="A873">
        <f>TeamHero生成!A873</f>
        <v>869</v>
      </c>
      <c r="B873">
        <f>TeamHero生成!B873</f>
        <v>1005</v>
      </c>
      <c r="C873">
        <f>TeamHero生成!C873</f>
        <v>60</v>
      </c>
      <c r="D873">
        <f>TeamHero生成!D873</f>
        <v>5709055</v>
      </c>
      <c r="E873">
        <f>TeamHero生成!E873</f>
        <v>95673</v>
      </c>
      <c r="F873">
        <f>TeamHero生成!F873</f>
        <v>50390</v>
      </c>
      <c r="G873" t="str">
        <f>TeamHero生成!AG873</f>
        <v>有效</v>
      </c>
      <c r="H873">
        <f>TeamHero生成!G873</f>
        <v>0</v>
      </c>
      <c r="I873">
        <f>TeamHero生成!H873</f>
        <v>0</v>
      </c>
    </row>
    <row r="874" spans="1:9">
      <c r="A874">
        <f>TeamHero生成!A874</f>
        <v>870</v>
      </c>
      <c r="B874">
        <f>TeamHero生成!B874</f>
        <v>1029</v>
      </c>
      <c r="C874">
        <f>TeamHero生成!C874</f>
        <v>60</v>
      </c>
      <c r="D874">
        <f>TeamHero生成!D874</f>
        <v>7136318</v>
      </c>
      <c r="E874">
        <f>TeamHero生成!E874</f>
        <v>79728</v>
      </c>
      <c r="F874">
        <f>TeamHero生成!F874</f>
        <v>62988</v>
      </c>
      <c r="G874" t="str">
        <f>TeamHero生成!AG874</f>
        <v>有效</v>
      </c>
      <c r="H874">
        <f>TeamHero生成!G874</f>
        <v>0</v>
      </c>
      <c r="I874">
        <f>TeamHero生成!H874</f>
        <v>0</v>
      </c>
    </row>
    <row r="875" spans="1:9">
      <c r="A875">
        <f>TeamHero生成!A875</f>
        <v>871</v>
      </c>
      <c r="B875">
        <f>TeamHero生成!B875</f>
        <v>1003</v>
      </c>
      <c r="C875">
        <f>TeamHero生成!C875</f>
        <v>60</v>
      </c>
      <c r="D875">
        <f>TeamHero生成!D875</f>
        <v>8800288</v>
      </c>
      <c r="E875">
        <f>TeamHero生成!E875</f>
        <v>80845</v>
      </c>
      <c r="F875">
        <f>TeamHero生成!F875</f>
        <v>76344</v>
      </c>
      <c r="G875" t="str">
        <f>TeamHero生成!AG875</f>
        <v>有效</v>
      </c>
      <c r="H875">
        <f>TeamHero生成!G875</f>
        <v>0</v>
      </c>
      <c r="I875">
        <f>TeamHero生成!H875</f>
        <v>0</v>
      </c>
    </row>
    <row r="876" spans="1:9">
      <c r="A876">
        <f>TeamHero生成!A876</f>
        <v>872</v>
      </c>
      <c r="B876">
        <f>TeamHero生成!B876</f>
        <v>1005</v>
      </c>
      <c r="C876">
        <f>TeamHero生成!C876</f>
        <v>60</v>
      </c>
      <c r="D876">
        <f>TeamHero生成!D876</f>
        <v>5866858</v>
      </c>
      <c r="E876">
        <f>TeamHero生成!E876</f>
        <v>97013</v>
      </c>
      <c r="F876">
        <f>TeamHero生成!F876</f>
        <v>50896</v>
      </c>
      <c r="G876" t="str">
        <f>TeamHero生成!AG876</f>
        <v>有效</v>
      </c>
      <c r="H876">
        <f>TeamHero生成!G876</f>
        <v>0</v>
      </c>
      <c r="I876">
        <f>TeamHero生成!H876</f>
        <v>0</v>
      </c>
    </row>
    <row r="877" spans="1:9">
      <c r="A877">
        <f>TeamHero生成!A877</f>
        <v>873</v>
      </c>
      <c r="B877">
        <f>TeamHero生成!B877</f>
        <v>1005</v>
      </c>
      <c r="C877">
        <f>TeamHero生成!C877</f>
        <v>60</v>
      </c>
      <c r="D877">
        <f>TeamHero生成!D877</f>
        <v>5866858</v>
      </c>
      <c r="E877">
        <f>TeamHero生成!E877</f>
        <v>97013</v>
      </c>
      <c r="F877">
        <f>TeamHero生成!F877</f>
        <v>50896</v>
      </c>
      <c r="G877" t="str">
        <f>TeamHero生成!AG877</f>
        <v>有效</v>
      </c>
      <c r="H877">
        <f>TeamHero生成!G877</f>
        <v>0</v>
      </c>
      <c r="I877">
        <f>TeamHero生成!H877</f>
        <v>0</v>
      </c>
    </row>
    <row r="878" spans="1:9">
      <c r="A878">
        <f>TeamHero生成!A878</f>
        <v>874</v>
      </c>
      <c r="B878">
        <f>TeamHero生成!B878</f>
        <v>1005</v>
      </c>
      <c r="C878">
        <f>TeamHero生成!C878</f>
        <v>60</v>
      </c>
      <c r="D878">
        <f>TeamHero生成!D878</f>
        <v>5866858</v>
      </c>
      <c r="E878">
        <f>TeamHero生成!E878</f>
        <v>97013</v>
      </c>
      <c r="F878">
        <f>TeamHero生成!F878</f>
        <v>50896</v>
      </c>
      <c r="G878" t="str">
        <f>TeamHero生成!AG878</f>
        <v>有效</v>
      </c>
      <c r="H878">
        <f>TeamHero生成!G878</f>
        <v>0</v>
      </c>
      <c r="I878">
        <f>TeamHero生成!H878</f>
        <v>0</v>
      </c>
    </row>
    <row r="879" spans="1:9">
      <c r="A879">
        <f>TeamHero生成!A879</f>
        <v>875</v>
      </c>
      <c r="B879">
        <f>TeamHero生成!B879</f>
        <v>1029</v>
      </c>
      <c r="C879">
        <f>TeamHero生成!C879</f>
        <v>60</v>
      </c>
      <c r="D879">
        <f>TeamHero生成!D879</f>
        <v>7333573</v>
      </c>
      <c r="E879">
        <f>TeamHero生成!E879</f>
        <v>80845</v>
      </c>
      <c r="F879">
        <f>TeamHero生成!F879</f>
        <v>63620</v>
      </c>
      <c r="G879" t="str">
        <f>TeamHero生成!AG879</f>
        <v>有效</v>
      </c>
      <c r="H879">
        <f>TeamHero生成!G879</f>
        <v>0</v>
      </c>
      <c r="I879">
        <f>TeamHero生成!H879</f>
        <v>0</v>
      </c>
    </row>
    <row r="880" spans="1:9">
      <c r="A880">
        <f>TeamHero生成!A880</f>
        <v>876</v>
      </c>
      <c r="B880">
        <f>TeamHero生成!B880</f>
        <v>1003</v>
      </c>
      <c r="C880">
        <f>TeamHero生成!C880</f>
        <v>60</v>
      </c>
      <c r="D880">
        <f>TeamHero生成!D880</f>
        <v>8958704</v>
      </c>
      <c r="E880">
        <f>TeamHero生成!E880</f>
        <v>82687</v>
      </c>
      <c r="F880">
        <f>TeamHero生成!F880</f>
        <v>77106</v>
      </c>
      <c r="G880" t="str">
        <f>TeamHero生成!AG880</f>
        <v>有效</v>
      </c>
      <c r="H880">
        <f>TeamHero生成!G880</f>
        <v>0</v>
      </c>
      <c r="I880">
        <f>TeamHero生成!H880</f>
        <v>0</v>
      </c>
    </row>
    <row r="881" spans="1:9">
      <c r="A881">
        <f>TeamHero生成!A881</f>
        <v>877</v>
      </c>
      <c r="B881">
        <f>TeamHero生成!B881</f>
        <v>1005</v>
      </c>
      <c r="C881">
        <f>TeamHero生成!C881</f>
        <v>60</v>
      </c>
      <c r="D881">
        <f>TeamHero生成!D881</f>
        <v>5972470</v>
      </c>
      <c r="E881">
        <f>TeamHero生成!E881</f>
        <v>99224</v>
      </c>
      <c r="F881">
        <f>TeamHero生成!F881</f>
        <v>51404</v>
      </c>
      <c r="G881" t="str">
        <f>TeamHero生成!AG881</f>
        <v>有效</v>
      </c>
      <c r="H881">
        <f>TeamHero生成!G881</f>
        <v>0</v>
      </c>
      <c r="I881">
        <f>TeamHero生成!H881</f>
        <v>0</v>
      </c>
    </row>
    <row r="882" spans="1:9">
      <c r="A882">
        <f>TeamHero生成!A882</f>
        <v>878</v>
      </c>
      <c r="B882">
        <f>TeamHero生成!B882</f>
        <v>1005</v>
      </c>
      <c r="C882">
        <f>TeamHero生成!C882</f>
        <v>60</v>
      </c>
      <c r="D882">
        <f>TeamHero生成!D882</f>
        <v>5972470</v>
      </c>
      <c r="E882">
        <f>TeamHero生成!E882</f>
        <v>99224</v>
      </c>
      <c r="F882">
        <f>TeamHero生成!F882</f>
        <v>51404</v>
      </c>
      <c r="G882" t="str">
        <f>TeamHero生成!AG882</f>
        <v>有效</v>
      </c>
      <c r="H882">
        <f>TeamHero生成!G882</f>
        <v>0</v>
      </c>
      <c r="I882">
        <f>TeamHero生成!H882</f>
        <v>0</v>
      </c>
    </row>
    <row r="883" spans="1:9">
      <c r="A883">
        <f>TeamHero生成!A883</f>
        <v>879</v>
      </c>
      <c r="B883">
        <f>TeamHero生成!B883</f>
        <v>1005</v>
      </c>
      <c r="C883">
        <f>TeamHero生成!C883</f>
        <v>60</v>
      </c>
      <c r="D883">
        <f>TeamHero生成!D883</f>
        <v>5972470</v>
      </c>
      <c r="E883">
        <f>TeamHero生成!E883</f>
        <v>99224</v>
      </c>
      <c r="F883">
        <f>TeamHero生成!F883</f>
        <v>51404</v>
      </c>
      <c r="G883" t="str">
        <f>TeamHero生成!AG883</f>
        <v>有效</v>
      </c>
      <c r="H883">
        <f>TeamHero生成!G883</f>
        <v>0</v>
      </c>
      <c r="I883">
        <f>TeamHero生成!H883</f>
        <v>0</v>
      </c>
    </row>
    <row r="884" spans="1:9">
      <c r="A884">
        <f>TeamHero生成!A884</f>
        <v>880</v>
      </c>
      <c r="B884">
        <f>TeamHero生成!B884</f>
        <v>1029</v>
      </c>
      <c r="C884">
        <f>TeamHero生成!C884</f>
        <v>60</v>
      </c>
      <c r="D884">
        <f>TeamHero生成!D884</f>
        <v>7465587</v>
      </c>
      <c r="E884">
        <f>TeamHero生成!E884</f>
        <v>82687</v>
      </c>
      <c r="F884">
        <f>TeamHero生成!F884</f>
        <v>64255</v>
      </c>
      <c r="G884" t="str">
        <f>TeamHero生成!AG884</f>
        <v>有效</v>
      </c>
      <c r="H884">
        <f>TeamHero生成!G884</f>
        <v>0</v>
      </c>
      <c r="I884">
        <f>TeamHero生成!H884</f>
        <v>0</v>
      </c>
    </row>
    <row r="885" spans="1:9">
      <c r="A885">
        <f>TeamHero生成!A885</f>
        <v>881</v>
      </c>
      <c r="B885">
        <f>TeamHero生成!B885</f>
        <v>1003</v>
      </c>
      <c r="C885">
        <f>TeamHero生成!C885</f>
        <v>60</v>
      </c>
      <c r="D885">
        <f>TeamHero生成!D885</f>
        <v>9093594</v>
      </c>
      <c r="E885">
        <f>TeamHero生成!E885</f>
        <v>83693</v>
      </c>
      <c r="F885">
        <f>TeamHero生成!F885</f>
        <v>77616</v>
      </c>
      <c r="G885" t="str">
        <f>TeamHero生成!AG885</f>
        <v>有效</v>
      </c>
      <c r="H885">
        <f>TeamHero生成!G885</f>
        <v>0</v>
      </c>
      <c r="I885">
        <f>TeamHero生成!H885</f>
        <v>0</v>
      </c>
    </row>
    <row r="886" spans="1:9">
      <c r="A886">
        <f>TeamHero生成!A886</f>
        <v>882</v>
      </c>
      <c r="B886">
        <f>TeamHero生成!B886</f>
        <v>1005</v>
      </c>
      <c r="C886">
        <f>TeamHero生成!C886</f>
        <v>60</v>
      </c>
      <c r="D886">
        <f>TeamHero生成!D886</f>
        <v>6062396</v>
      </c>
      <c r="E886">
        <f>TeamHero生成!E886</f>
        <v>100432</v>
      </c>
      <c r="F886">
        <f>TeamHero生成!F886</f>
        <v>51744</v>
      </c>
      <c r="G886" t="str">
        <f>TeamHero生成!AG886</f>
        <v>有效</v>
      </c>
      <c r="H886">
        <f>TeamHero生成!G886</f>
        <v>0</v>
      </c>
      <c r="I886">
        <f>TeamHero生成!H886</f>
        <v>0</v>
      </c>
    </row>
    <row r="887" spans="1:9">
      <c r="A887">
        <f>TeamHero生成!A887</f>
        <v>883</v>
      </c>
      <c r="B887">
        <f>TeamHero生成!B887</f>
        <v>1005</v>
      </c>
      <c r="C887">
        <f>TeamHero生成!C887</f>
        <v>60</v>
      </c>
      <c r="D887">
        <f>TeamHero生成!D887</f>
        <v>6062396</v>
      </c>
      <c r="E887">
        <f>TeamHero生成!E887</f>
        <v>100432</v>
      </c>
      <c r="F887">
        <f>TeamHero生成!F887</f>
        <v>51744</v>
      </c>
      <c r="G887" t="str">
        <f>TeamHero生成!AG887</f>
        <v>有效</v>
      </c>
      <c r="H887">
        <f>TeamHero生成!G887</f>
        <v>0</v>
      </c>
      <c r="I887">
        <f>TeamHero生成!H887</f>
        <v>0</v>
      </c>
    </row>
    <row r="888" spans="1:9">
      <c r="A888">
        <f>TeamHero生成!A888</f>
        <v>884</v>
      </c>
      <c r="B888">
        <f>TeamHero生成!B888</f>
        <v>1005</v>
      </c>
      <c r="C888">
        <f>TeamHero生成!C888</f>
        <v>60</v>
      </c>
      <c r="D888">
        <f>TeamHero生成!D888</f>
        <v>6062396</v>
      </c>
      <c r="E888">
        <f>TeamHero生成!E888</f>
        <v>100432</v>
      </c>
      <c r="F888">
        <f>TeamHero生成!F888</f>
        <v>51744</v>
      </c>
      <c r="G888" t="str">
        <f>TeamHero生成!AG888</f>
        <v>有效</v>
      </c>
      <c r="H888">
        <f>TeamHero生成!G888</f>
        <v>0</v>
      </c>
      <c r="I888">
        <f>TeamHero生成!H888</f>
        <v>0</v>
      </c>
    </row>
    <row r="889" spans="1:9">
      <c r="A889">
        <f>TeamHero生成!A889</f>
        <v>885</v>
      </c>
      <c r="B889">
        <f>TeamHero生成!B889</f>
        <v>1029</v>
      </c>
      <c r="C889">
        <f>TeamHero生成!C889</f>
        <v>60</v>
      </c>
      <c r="D889">
        <f>TeamHero生成!D889</f>
        <v>7577995</v>
      </c>
      <c r="E889">
        <f>TeamHero生成!E889</f>
        <v>83693</v>
      </c>
      <c r="F889">
        <f>TeamHero生成!F889</f>
        <v>64680</v>
      </c>
      <c r="G889" t="str">
        <f>TeamHero生成!AG889</f>
        <v>有效</v>
      </c>
      <c r="H889">
        <f>TeamHero生成!G889</f>
        <v>0</v>
      </c>
      <c r="I889">
        <f>TeamHero生成!H889</f>
        <v>0</v>
      </c>
    </row>
    <row r="890" spans="1:9">
      <c r="A890">
        <f>TeamHero生成!A890</f>
        <v>886</v>
      </c>
      <c r="B890">
        <f>TeamHero生成!B890</f>
        <v>1003</v>
      </c>
      <c r="C890">
        <f>TeamHero生成!C890</f>
        <v>60</v>
      </c>
      <c r="D890">
        <f>TeamHero生成!D890</f>
        <v>9298964</v>
      </c>
      <c r="E890">
        <f>TeamHero生成!E890</f>
        <v>85222</v>
      </c>
      <c r="F890">
        <f>TeamHero生成!F890</f>
        <v>78384</v>
      </c>
      <c r="G890" t="str">
        <f>TeamHero生成!AG890</f>
        <v>有效</v>
      </c>
      <c r="H890">
        <f>TeamHero生成!G890</f>
        <v>0</v>
      </c>
      <c r="I890">
        <f>TeamHero生成!H890</f>
        <v>0</v>
      </c>
    </row>
    <row r="891" spans="1:9">
      <c r="A891">
        <f>TeamHero生成!A891</f>
        <v>887</v>
      </c>
      <c r="B891">
        <f>TeamHero生成!B891</f>
        <v>1005</v>
      </c>
      <c r="C891">
        <f>TeamHero生成!C891</f>
        <v>60</v>
      </c>
      <c r="D891">
        <f>TeamHero生成!D891</f>
        <v>6199309</v>
      </c>
      <c r="E891">
        <f>TeamHero生成!E891</f>
        <v>102266</v>
      </c>
      <c r="F891">
        <f>TeamHero生成!F891</f>
        <v>52256</v>
      </c>
      <c r="G891" t="str">
        <f>TeamHero生成!AG891</f>
        <v>有效</v>
      </c>
      <c r="H891">
        <f>TeamHero生成!G891</f>
        <v>0</v>
      </c>
      <c r="I891">
        <f>TeamHero生成!H891</f>
        <v>0</v>
      </c>
    </row>
    <row r="892" spans="1:9">
      <c r="A892">
        <f>TeamHero生成!A892</f>
        <v>888</v>
      </c>
      <c r="B892">
        <f>TeamHero生成!B892</f>
        <v>1005</v>
      </c>
      <c r="C892">
        <f>TeamHero生成!C892</f>
        <v>60</v>
      </c>
      <c r="D892">
        <f>TeamHero生成!D892</f>
        <v>6199309</v>
      </c>
      <c r="E892">
        <f>TeamHero生成!E892</f>
        <v>102266</v>
      </c>
      <c r="F892">
        <f>TeamHero生成!F892</f>
        <v>52256</v>
      </c>
      <c r="G892" t="str">
        <f>TeamHero生成!AG892</f>
        <v>有效</v>
      </c>
      <c r="H892">
        <f>TeamHero生成!G892</f>
        <v>0</v>
      </c>
      <c r="I892">
        <f>TeamHero生成!H892</f>
        <v>0</v>
      </c>
    </row>
    <row r="893" spans="1:9">
      <c r="A893">
        <f>TeamHero生成!A893</f>
        <v>889</v>
      </c>
      <c r="B893">
        <f>TeamHero生成!B893</f>
        <v>1005</v>
      </c>
      <c r="C893">
        <f>TeamHero生成!C893</f>
        <v>60</v>
      </c>
      <c r="D893">
        <f>TeamHero生成!D893</f>
        <v>6199309</v>
      </c>
      <c r="E893">
        <f>TeamHero生成!E893</f>
        <v>102266</v>
      </c>
      <c r="F893">
        <f>TeamHero生成!F893</f>
        <v>52256</v>
      </c>
      <c r="G893" t="str">
        <f>TeamHero生成!AG893</f>
        <v>有效</v>
      </c>
      <c r="H893">
        <f>TeamHero生成!G893</f>
        <v>0</v>
      </c>
      <c r="I893">
        <f>TeamHero生成!H893</f>
        <v>0</v>
      </c>
    </row>
    <row r="894" spans="1:9">
      <c r="A894">
        <f>TeamHero生成!A894</f>
        <v>890</v>
      </c>
      <c r="B894">
        <f>TeamHero生成!B894</f>
        <v>1029</v>
      </c>
      <c r="C894">
        <f>TeamHero生成!C894</f>
        <v>60</v>
      </c>
      <c r="D894">
        <f>TeamHero生成!D894</f>
        <v>7749136</v>
      </c>
      <c r="E894">
        <f>TeamHero生成!E894</f>
        <v>85222</v>
      </c>
      <c r="F894">
        <f>TeamHero生成!F894</f>
        <v>65320</v>
      </c>
      <c r="G894" t="str">
        <f>TeamHero生成!AG894</f>
        <v>有效</v>
      </c>
      <c r="H894">
        <f>TeamHero生成!G894</f>
        <v>0</v>
      </c>
      <c r="I894">
        <f>TeamHero生成!H894</f>
        <v>0</v>
      </c>
    </row>
    <row r="895" spans="1:9">
      <c r="A895">
        <f>TeamHero生成!A895</f>
        <v>891</v>
      </c>
      <c r="B895">
        <f>TeamHero生成!B895</f>
        <v>1003</v>
      </c>
      <c r="C895">
        <f>TeamHero生成!C895</f>
        <v>60</v>
      </c>
      <c r="D895">
        <f>TeamHero生成!D895</f>
        <v>9437926</v>
      </c>
      <c r="E895">
        <f>TeamHero生成!E895</f>
        <v>86254</v>
      </c>
      <c r="F895">
        <f>TeamHero生成!F895</f>
        <v>78899</v>
      </c>
      <c r="G895" t="str">
        <f>TeamHero生成!AG895</f>
        <v>有效</v>
      </c>
      <c r="H895">
        <f>TeamHero生成!G895</f>
        <v>0</v>
      </c>
      <c r="I895">
        <f>TeamHero生成!H895</f>
        <v>0</v>
      </c>
    </row>
    <row r="896" spans="1:9">
      <c r="A896">
        <f>TeamHero生成!A896</f>
        <v>892</v>
      </c>
      <c r="B896">
        <f>TeamHero生成!B896</f>
        <v>1005</v>
      </c>
      <c r="C896">
        <f>TeamHero生成!C896</f>
        <v>60</v>
      </c>
      <c r="D896">
        <f>TeamHero生成!D896</f>
        <v>6291951</v>
      </c>
      <c r="E896">
        <f>TeamHero生成!E896</f>
        <v>103505</v>
      </c>
      <c r="F896">
        <f>TeamHero生成!F896</f>
        <v>52599</v>
      </c>
      <c r="G896" t="str">
        <f>TeamHero生成!AG896</f>
        <v>有效</v>
      </c>
      <c r="H896">
        <f>TeamHero生成!G896</f>
        <v>0</v>
      </c>
      <c r="I896">
        <f>TeamHero生成!H896</f>
        <v>0</v>
      </c>
    </row>
    <row r="897" spans="1:9">
      <c r="A897">
        <f>TeamHero生成!A897</f>
        <v>893</v>
      </c>
      <c r="B897">
        <f>TeamHero生成!B897</f>
        <v>1005</v>
      </c>
      <c r="C897">
        <f>TeamHero生成!C897</f>
        <v>60</v>
      </c>
      <c r="D897">
        <f>TeamHero生成!D897</f>
        <v>6291951</v>
      </c>
      <c r="E897">
        <f>TeamHero生成!E897</f>
        <v>103505</v>
      </c>
      <c r="F897">
        <f>TeamHero生成!F897</f>
        <v>52599</v>
      </c>
      <c r="G897" t="str">
        <f>TeamHero生成!AG897</f>
        <v>有效</v>
      </c>
      <c r="H897">
        <f>TeamHero生成!G897</f>
        <v>0</v>
      </c>
      <c r="I897">
        <f>TeamHero生成!H897</f>
        <v>0</v>
      </c>
    </row>
    <row r="898" spans="1:9">
      <c r="A898">
        <f>TeamHero生成!A898</f>
        <v>894</v>
      </c>
      <c r="B898">
        <f>TeamHero生成!B898</f>
        <v>1005</v>
      </c>
      <c r="C898">
        <f>TeamHero生成!C898</f>
        <v>60</v>
      </c>
      <c r="D898">
        <f>TeamHero生成!D898</f>
        <v>6291951</v>
      </c>
      <c r="E898">
        <f>TeamHero生成!E898</f>
        <v>103505</v>
      </c>
      <c r="F898">
        <f>TeamHero生成!F898</f>
        <v>52599</v>
      </c>
      <c r="G898" t="str">
        <f>TeamHero生成!AG898</f>
        <v>有效</v>
      </c>
      <c r="H898">
        <f>TeamHero生成!G898</f>
        <v>0</v>
      </c>
      <c r="I898">
        <f>TeamHero生成!H898</f>
        <v>0</v>
      </c>
    </row>
    <row r="899" spans="1:9">
      <c r="A899">
        <f>TeamHero生成!A899</f>
        <v>895</v>
      </c>
      <c r="B899">
        <f>TeamHero生成!B899</f>
        <v>1029</v>
      </c>
      <c r="C899">
        <f>TeamHero生成!C899</f>
        <v>60</v>
      </c>
      <c r="D899">
        <f>TeamHero生成!D899</f>
        <v>7864938</v>
      </c>
      <c r="E899">
        <f>TeamHero生成!E899</f>
        <v>86254</v>
      </c>
      <c r="F899">
        <f>TeamHero生成!F899</f>
        <v>65749</v>
      </c>
      <c r="G899" t="str">
        <f>TeamHero生成!AG899</f>
        <v>有效</v>
      </c>
      <c r="H899">
        <f>TeamHero生成!G899</f>
        <v>0</v>
      </c>
      <c r="I899">
        <f>TeamHero生成!H899</f>
        <v>0</v>
      </c>
    </row>
    <row r="900" spans="1:9">
      <c r="A900">
        <f>TeamHero生成!A900</f>
        <v>896</v>
      </c>
      <c r="B900">
        <f>TeamHero生成!B900</f>
        <v>1003</v>
      </c>
      <c r="C900">
        <f>TeamHero生成!C900</f>
        <v>60</v>
      </c>
      <c r="D900">
        <f>TeamHero生成!D900</f>
        <v>9657157</v>
      </c>
      <c r="E900">
        <f>TeamHero生成!E900</f>
        <v>87991</v>
      </c>
      <c r="F900">
        <f>TeamHero生成!F900</f>
        <v>79671</v>
      </c>
      <c r="G900" t="str">
        <f>TeamHero生成!AG900</f>
        <v>有效</v>
      </c>
      <c r="H900">
        <f>TeamHero生成!G900</f>
        <v>0</v>
      </c>
      <c r="I900">
        <f>TeamHero生成!H900</f>
        <v>0</v>
      </c>
    </row>
    <row r="901" spans="1:9">
      <c r="A901">
        <f>TeamHero生成!A901</f>
        <v>897</v>
      </c>
      <c r="B901">
        <f>TeamHero生成!B901</f>
        <v>1005</v>
      </c>
      <c r="C901">
        <f>TeamHero生成!C901</f>
        <v>60</v>
      </c>
      <c r="D901">
        <f>TeamHero生成!D901</f>
        <v>6438104</v>
      </c>
      <c r="E901">
        <f>TeamHero生成!E901</f>
        <v>105589</v>
      </c>
      <c r="F901">
        <f>TeamHero生成!F901</f>
        <v>53114</v>
      </c>
      <c r="G901" t="str">
        <f>TeamHero生成!AG901</f>
        <v>有效</v>
      </c>
      <c r="H901">
        <f>TeamHero生成!G901</f>
        <v>0</v>
      </c>
      <c r="I901">
        <f>TeamHero生成!H901</f>
        <v>0</v>
      </c>
    </row>
    <row r="902" spans="1:9">
      <c r="A902">
        <f>TeamHero生成!A902</f>
        <v>898</v>
      </c>
      <c r="B902">
        <f>TeamHero生成!B902</f>
        <v>1005</v>
      </c>
      <c r="C902">
        <f>TeamHero生成!C902</f>
        <v>60</v>
      </c>
      <c r="D902">
        <f>TeamHero生成!D902</f>
        <v>6438104</v>
      </c>
      <c r="E902">
        <f>TeamHero生成!E902</f>
        <v>105589</v>
      </c>
      <c r="F902">
        <f>TeamHero生成!F902</f>
        <v>53114</v>
      </c>
      <c r="G902" t="str">
        <f>TeamHero生成!AG902</f>
        <v>有效</v>
      </c>
      <c r="H902">
        <f>TeamHero生成!G902</f>
        <v>0</v>
      </c>
      <c r="I902">
        <f>TeamHero生成!H902</f>
        <v>0</v>
      </c>
    </row>
    <row r="903" spans="1:9">
      <c r="A903">
        <f>TeamHero生成!A903</f>
        <v>899</v>
      </c>
      <c r="B903">
        <f>TeamHero生成!B903</f>
        <v>1005</v>
      </c>
      <c r="C903">
        <f>TeamHero生成!C903</f>
        <v>60</v>
      </c>
      <c r="D903">
        <f>TeamHero生成!D903</f>
        <v>6438104</v>
      </c>
      <c r="E903">
        <f>TeamHero生成!E903</f>
        <v>105589</v>
      </c>
      <c r="F903">
        <f>TeamHero生成!F903</f>
        <v>53114</v>
      </c>
      <c r="G903" t="str">
        <f>TeamHero生成!AG903</f>
        <v>有效</v>
      </c>
      <c r="H903">
        <f>TeamHero生成!G903</f>
        <v>0</v>
      </c>
      <c r="I903">
        <f>TeamHero生成!H903</f>
        <v>0</v>
      </c>
    </row>
    <row r="904" spans="1:9">
      <c r="A904">
        <f>TeamHero生成!A904</f>
        <v>900</v>
      </c>
      <c r="B904">
        <f>TeamHero生成!B904</f>
        <v>1029</v>
      </c>
      <c r="C904">
        <f>TeamHero生成!C904</f>
        <v>60</v>
      </c>
      <c r="D904">
        <f>TeamHero生成!D904</f>
        <v>8047630</v>
      </c>
      <c r="E904">
        <f>TeamHero生成!E904</f>
        <v>87991</v>
      </c>
      <c r="F904">
        <f>TeamHero生成!F904</f>
        <v>66393</v>
      </c>
      <c r="G904" t="str">
        <f>TeamHero生成!AG904</f>
        <v>有效</v>
      </c>
      <c r="H904">
        <f>TeamHero生成!G904</f>
        <v>0</v>
      </c>
      <c r="I904">
        <f>TeamHero生成!H904</f>
        <v>0</v>
      </c>
    </row>
    <row r="905" spans="1:9">
      <c r="A905">
        <f>TeamHero生成!A905</f>
        <v>901</v>
      </c>
      <c r="B905">
        <f>TeamHero生成!B905</f>
        <v>1003</v>
      </c>
      <c r="C905">
        <f>TeamHero生成!C905</f>
        <v>60</v>
      </c>
      <c r="D905">
        <f>TeamHero生成!D905</f>
        <v>9864810</v>
      </c>
      <c r="E905">
        <f>TeamHero生成!E905</f>
        <v>89415</v>
      </c>
      <c r="F905">
        <f>TeamHero生成!F905</f>
        <v>80447</v>
      </c>
      <c r="G905" t="str">
        <f>TeamHero生成!AG905</f>
        <v>有效</v>
      </c>
      <c r="H905">
        <f>TeamHero生成!G905</f>
        <v>0</v>
      </c>
      <c r="I905">
        <f>TeamHero生成!H905</f>
        <v>0</v>
      </c>
    </row>
    <row r="906" spans="1:9">
      <c r="A906">
        <f>TeamHero生成!A906</f>
        <v>902</v>
      </c>
      <c r="B906">
        <f>TeamHero生成!B906</f>
        <v>1005</v>
      </c>
      <c r="C906">
        <f>TeamHero生成!C906</f>
        <v>60</v>
      </c>
      <c r="D906">
        <f>TeamHero生成!D906</f>
        <v>6576540</v>
      </c>
      <c r="E906">
        <f>TeamHero生成!E906</f>
        <v>107298</v>
      </c>
      <c r="F906">
        <f>TeamHero生成!F906</f>
        <v>53631</v>
      </c>
      <c r="G906" t="str">
        <f>TeamHero生成!AG906</f>
        <v>有效</v>
      </c>
      <c r="H906">
        <f>TeamHero生成!G906</f>
        <v>0</v>
      </c>
      <c r="I906">
        <f>TeamHero生成!H906</f>
        <v>0</v>
      </c>
    </row>
    <row r="907" spans="1:9">
      <c r="A907">
        <f>TeamHero生成!A907</f>
        <v>903</v>
      </c>
      <c r="B907">
        <f>TeamHero生成!B907</f>
        <v>1005</v>
      </c>
      <c r="C907">
        <f>TeamHero生成!C907</f>
        <v>60</v>
      </c>
      <c r="D907">
        <f>TeamHero生成!D907</f>
        <v>6576540</v>
      </c>
      <c r="E907">
        <f>TeamHero生成!E907</f>
        <v>107298</v>
      </c>
      <c r="F907">
        <f>TeamHero生成!F907</f>
        <v>53631</v>
      </c>
      <c r="G907" t="str">
        <f>TeamHero生成!AG907</f>
        <v>有效</v>
      </c>
      <c r="H907">
        <f>TeamHero生成!G907</f>
        <v>0</v>
      </c>
      <c r="I907">
        <f>TeamHero生成!H907</f>
        <v>0</v>
      </c>
    </row>
    <row r="908" spans="1:9">
      <c r="A908">
        <f>TeamHero生成!A908</f>
        <v>904</v>
      </c>
      <c r="B908">
        <f>TeamHero生成!B908</f>
        <v>1005</v>
      </c>
      <c r="C908">
        <f>TeamHero生成!C908</f>
        <v>60</v>
      </c>
      <c r="D908">
        <f>TeamHero生成!D908</f>
        <v>6576540</v>
      </c>
      <c r="E908">
        <f>TeamHero生成!E908</f>
        <v>107298</v>
      </c>
      <c r="F908">
        <f>TeamHero生成!F908</f>
        <v>53631</v>
      </c>
      <c r="G908" t="str">
        <f>TeamHero生成!AG908</f>
        <v>有效</v>
      </c>
      <c r="H908">
        <f>TeamHero生成!G908</f>
        <v>0</v>
      </c>
      <c r="I908">
        <f>TeamHero生成!H908</f>
        <v>0</v>
      </c>
    </row>
    <row r="909" spans="1:9">
      <c r="A909">
        <f>TeamHero生成!A909</f>
        <v>905</v>
      </c>
      <c r="B909">
        <f>TeamHero生成!B909</f>
        <v>1029</v>
      </c>
      <c r="C909">
        <f>TeamHero生成!C909</f>
        <v>60</v>
      </c>
      <c r="D909">
        <f>TeamHero生成!D909</f>
        <v>8220675</v>
      </c>
      <c r="E909">
        <f>TeamHero生成!E909</f>
        <v>89415</v>
      </c>
      <c r="F909">
        <f>TeamHero生成!F909</f>
        <v>67039</v>
      </c>
      <c r="G909" t="str">
        <f>TeamHero生成!AG909</f>
        <v>有效</v>
      </c>
      <c r="H909">
        <f>TeamHero生成!G909</f>
        <v>0</v>
      </c>
      <c r="I909">
        <f>TeamHero生成!H909</f>
        <v>0</v>
      </c>
    </row>
    <row r="910" spans="1:9">
      <c r="A910">
        <f>TeamHero生成!A910</f>
        <v>906</v>
      </c>
      <c r="B910">
        <f>TeamHero生成!B910</f>
        <v>1003</v>
      </c>
      <c r="C910">
        <f>TeamHero生成!C910</f>
        <v>60</v>
      </c>
      <c r="D910">
        <f>TeamHero生成!D910</f>
        <v>10083980</v>
      </c>
      <c r="E910">
        <f>TeamHero生成!E910</f>
        <v>91031</v>
      </c>
      <c r="F910">
        <f>TeamHero生成!F910</f>
        <v>81225</v>
      </c>
      <c r="G910" t="str">
        <f>TeamHero生成!AG910</f>
        <v>有效</v>
      </c>
      <c r="H910">
        <f>TeamHero生成!G910</f>
        <v>0</v>
      </c>
      <c r="I910">
        <f>TeamHero生成!H910</f>
        <v>0</v>
      </c>
    </row>
    <row r="911" spans="1:9">
      <c r="A911">
        <f>TeamHero生成!A911</f>
        <v>907</v>
      </c>
      <c r="B911">
        <f>TeamHero生成!B911</f>
        <v>1005</v>
      </c>
      <c r="C911">
        <f>TeamHero生成!C911</f>
        <v>60</v>
      </c>
      <c r="D911">
        <f>TeamHero生成!D911</f>
        <v>6722654</v>
      </c>
      <c r="E911">
        <f>TeamHero生成!E911</f>
        <v>109237</v>
      </c>
      <c r="F911">
        <f>TeamHero生成!F911</f>
        <v>54150</v>
      </c>
      <c r="G911" t="str">
        <f>TeamHero生成!AG911</f>
        <v>有效</v>
      </c>
      <c r="H911">
        <f>TeamHero生成!G911</f>
        <v>0</v>
      </c>
      <c r="I911">
        <f>TeamHero生成!H911</f>
        <v>0</v>
      </c>
    </row>
    <row r="912" spans="1:9">
      <c r="A912">
        <f>TeamHero生成!A912</f>
        <v>908</v>
      </c>
      <c r="B912">
        <f>TeamHero生成!B912</f>
        <v>1005</v>
      </c>
      <c r="C912">
        <f>TeamHero生成!C912</f>
        <v>60</v>
      </c>
      <c r="D912">
        <f>TeamHero生成!D912</f>
        <v>6722654</v>
      </c>
      <c r="E912">
        <f>TeamHero生成!E912</f>
        <v>109237</v>
      </c>
      <c r="F912">
        <f>TeamHero生成!F912</f>
        <v>54150</v>
      </c>
      <c r="G912" t="str">
        <f>TeamHero生成!AG912</f>
        <v>有效</v>
      </c>
      <c r="H912">
        <f>TeamHero生成!G912</f>
        <v>0</v>
      </c>
      <c r="I912">
        <f>TeamHero生成!H912</f>
        <v>0</v>
      </c>
    </row>
    <row r="913" spans="1:9">
      <c r="A913">
        <f>TeamHero生成!A913</f>
        <v>909</v>
      </c>
      <c r="B913">
        <f>TeamHero生成!B913</f>
        <v>1005</v>
      </c>
      <c r="C913">
        <f>TeamHero生成!C913</f>
        <v>60</v>
      </c>
      <c r="D913">
        <f>TeamHero生成!D913</f>
        <v>6722654</v>
      </c>
      <c r="E913">
        <f>TeamHero生成!E913</f>
        <v>109237</v>
      </c>
      <c r="F913">
        <f>TeamHero生成!F913</f>
        <v>54150</v>
      </c>
      <c r="G913" t="str">
        <f>TeamHero生成!AG913</f>
        <v>有效</v>
      </c>
      <c r="H913">
        <f>TeamHero生成!G913</f>
        <v>0</v>
      </c>
      <c r="I913">
        <f>TeamHero生成!H913</f>
        <v>0</v>
      </c>
    </row>
    <row r="914" spans="1:9">
      <c r="A914">
        <f>TeamHero生成!A914</f>
        <v>910</v>
      </c>
      <c r="B914">
        <f>TeamHero生成!B914</f>
        <v>1029</v>
      </c>
      <c r="C914">
        <f>TeamHero生成!C914</f>
        <v>60</v>
      </c>
      <c r="D914">
        <f>TeamHero生成!D914</f>
        <v>8403317</v>
      </c>
      <c r="E914">
        <f>TeamHero生成!E914</f>
        <v>91031</v>
      </c>
      <c r="F914">
        <f>TeamHero生成!F914</f>
        <v>67688</v>
      </c>
      <c r="G914" t="str">
        <f>TeamHero生成!AG914</f>
        <v>有效</v>
      </c>
      <c r="H914">
        <f>TeamHero生成!G914</f>
        <v>0</v>
      </c>
      <c r="I914">
        <f>TeamHero生成!H914</f>
        <v>0</v>
      </c>
    </row>
    <row r="915" spans="1:9">
      <c r="A915">
        <f>TeamHero生成!A915</f>
        <v>911</v>
      </c>
      <c r="B915">
        <f>TeamHero生成!B915</f>
        <v>1003</v>
      </c>
      <c r="C915">
        <f>TeamHero生成!C915</f>
        <v>60</v>
      </c>
      <c r="D915">
        <f>TeamHero生成!D915</f>
        <v>10307028</v>
      </c>
      <c r="E915">
        <f>TeamHero生成!E915</f>
        <v>92672</v>
      </c>
      <c r="F915">
        <f>TeamHero生成!F915</f>
        <v>82008</v>
      </c>
      <c r="G915" t="str">
        <f>TeamHero生成!AG915</f>
        <v>有效</v>
      </c>
      <c r="H915">
        <f>TeamHero生成!G915</f>
        <v>0</v>
      </c>
      <c r="I915">
        <f>TeamHero生成!H915</f>
        <v>0</v>
      </c>
    </row>
    <row r="916" spans="1:9">
      <c r="A916">
        <f>TeamHero生成!A916</f>
        <v>912</v>
      </c>
      <c r="B916">
        <f>TeamHero生成!B916</f>
        <v>1005</v>
      </c>
      <c r="C916">
        <f>TeamHero生成!C916</f>
        <v>60</v>
      </c>
      <c r="D916">
        <f>TeamHero生成!D916</f>
        <v>6871352</v>
      </c>
      <c r="E916">
        <f>TeamHero生成!E916</f>
        <v>111207</v>
      </c>
      <c r="F916">
        <f>TeamHero生成!F916</f>
        <v>54672</v>
      </c>
      <c r="G916" t="str">
        <f>TeamHero生成!AG916</f>
        <v>有效</v>
      </c>
      <c r="H916">
        <f>TeamHero生成!G916</f>
        <v>0</v>
      </c>
      <c r="I916">
        <f>TeamHero生成!H916</f>
        <v>0</v>
      </c>
    </row>
    <row r="917" spans="1:9">
      <c r="A917">
        <f>TeamHero生成!A917</f>
        <v>913</v>
      </c>
      <c r="B917">
        <f>TeamHero生成!B917</f>
        <v>1005</v>
      </c>
      <c r="C917">
        <f>TeamHero生成!C917</f>
        <v>60</v>
      </c>
      <c r="D917">
        <f>TeamHero生成!D917</f>
        <v>6871352</v>
      </c>
      <c r="E917">
        <f>TeamHero生成!E917</f>
        <v>111207</v>
      </c>
      <c r="F917">
        <f>TeamHero生成!F917</f>
        <v>54672</v>
      </c>
      <c r="G917" t="str">
        <f>TeamHero生成!AG917</f>
        <v>有效</v>
      </c>
      <c r="H917">
        <f>TeamHero生成!G917</f>
        <v>0</v>
      </c>
      <c r="I917">
        <f>TeamHero生成!H917</f>
        <v>0</v>
      </c>
    </row>
    <row r="918" spans="1:9">
      <c r="A918">
        <f>TeamHero生成!A918</f>
        <v>914</v>
      </c>
      <c r="B918">
        <f>TeamHero生成!B918</f>
        <v>1005</v>
      </c>
      <c r="C918">
        <f>TeamHero生成!C918</f>
        <v>60</v>
      </c>
      <c r="D918">
        <f>TeamHero生成!D918</f>
        <v>6871352</v>
      </c>
      <c r="E918">
        <f>TeamHero生成!E918</f>
        <v>111207</v>
      </c>
      <c r="F918">
        <f>TeamHero生成!F918</f>
        <v>54672</v>
      </c>
      <c r="G918" t="str">
        <f>TeamHero生成!AG918</f>
        <v>有效</v>
      </c>
      <c r="H918">
        <f>TeamHero生成!G918</f>
        <v>0</v>
      </c>
      <c r="I918">
        <f>TeamHero生成!H918</f>
        <v>0</v>
      </c>
    </row>
    <row r="919" spans="1:9">
      <c r="A919">
        <f>TeamHero生成!A919</f>
        <v>915</v>
      </c>
      <c r="B919">
        <f>TeamHero生成!B919</f>
        <v>1029</v>
      </c>
      <c r="C919">
        <f>TeamHero生成!C919</f>
        <v>60</v>
      </c>
      <c r="D919">
        <f>TeamHero生成!D919</f>
        <v>8589190</v>
      </c>
      <c r="E919">
        <f>TeamHero生成!E919</f>
        <v>92672</v>
      </c>
      <c r="F919">
        <f>TeamHero生成!F919</f>
        <v>68340</v>
      </c>
      <c r="G919" t="str">
        <f>TeamHero生成!AG919</f>
        <v>有效</v>
      </c>
      <c r="H919">
        <f>TeamHero生成!G919</f>
        <v>0</v>
      </c>
      <c r="I919">
        <f>TeamHero生成!H919</f>
        <v>0</v>
      </c>
    </row>
    <row r="920" spans="1:9">
      <c r="A920">
        <f>TeamHero生成!A920</f>
        <v>916</v>
      </c>
      <c r="B920">
        <f>TeamHero生成!B920</f>
        <v>1003</v>
      </c>
      <c r="C920">
        <f>TeamHero生成!C920</f>
        <v>60</v>
      </c>
      <c r="D920">
        <f>TeamHero生成!D920</f>
        <v>10534020</v>
      </c>
      <c r="E920">
        <f>TeamHero生成!E920</f>
        <v>94338</v>
      </c>
      <c r="F920">
        <f>TeamHero生成!F920</f>
        <v>82793</v>
      </c>
      <c r="G920" t="str">
        <f>TeamHero生成!AG920</f>
        <v>有效</v>
      </c>
      <c r="H920">
        <f>TeamHero生成!G920</f>
        <v>0</v>
      </c>
      <c r="I920">
        <f>TeamHero生成!H920</f>
        <v>0</v>
      </c>
    </row>
    <row r="921" spans="1:9">
      <c r="A921">
        <f>TeamHero生成!A921</f>
        <v>917</v>
      </c>
      <c r="B921">
        <f>TeamHero生成!B921</f>
        <v>1005</v>
      </c>
      <c r="C921">
        <f>TeamHero生成!C921</f>
        <v>60</v>
      </c>
      <c r="D921">
        <f>TeamHero生成!D921</f>
        <v>7022680</v>
      </c>
      <c r="E921">
        <f>TeamHero生成!E921</f>
        <v>113205</v>
      </c>
      <c r="F921">
        <f>TeamHero生成!F921</f>
        <v>55195</v>
      </c>
      <c r="G921" t="str">
        <f>TeamHero生成!AG921</f>
        <v>有效</v>
      </c>
      <c r="H921">
        <f>TeamHero生成!G921</f>
        <v>0</v>
      </c>
      <c r="I921">
        <f>TeamHero生成!H921</f>
        <v>0</v>
      </c>
    </row>
    <row r="922" spans="1:9">
      <c r="A922">
        <f>TeamHero生成!A922</f>
        <v>918</v>
      </c>
      <c r="B922">
        <f>TeamHero生成!B922</f>
        <v>1005</v>
      </c>
      <c r="C922">
        <f>TeamHero生成!C922</f>
        <v>60</v>
      </c>
      <c r="D922">
        <f>TeamHero生成!D922</f>
        <v>7022680</v>
      </c>
      <c r="E922">
        <f>TeamHero生成!E922</f>
        <v>113205</v>
      </c>
      <c r="F922">
        <f>TeamHero生成!F922</f>
        <v>55195</v>
      </c>
      <c r="G922" t="str">
        <f>TeamHero生成!AG922</f>
        <v>有效</v>
      </c>
      <c r="H922">
        <f>TeamHero生成!G922</f>
        <v>0</v>
      </c>
      <c r="I922">
        <f>TeamHero生成!H922</f>
        <v>0</v>
      </c>
    </row>
    <row r="923" spans="1:9">
      <c r="A923">
        <f>TeamHero生成!A923</f>
        <v>919</v>
      </c>
      <c r="B923">
        <f>TeamHero生成!B923</f>
        <v>1005</v>
      </c>
      <c r="C923">
        <f>TeamHero生成!C923</f>
        <v>60</v>
      </c>
      <c r="D923">
        <f>TeamHero生成!D923</f>
        <v>7022680</v>
      </c>
      <c r="E923">
        <f>TeamHero生成!E923</f>
        <v>113205</v>
      </c>
      <c r="F923">
        <f>TeamHero生成!F923</f>
        <v>55195</v>
      </c>
      <c r="G923" t="str">
        <f>TeamHero生成!AG923</f>
        <v>有效</v>
      </c>
      <c r="H923">
        <f>TeamHero生成!G923</f>
        <v>0</v>
      </c>
      <c r="I923">
        <f>TeamHero生成!H923</f>
        <v>0</v>
      </c>
    </row>
    <row r="924" spans="1:9">
      <c r="A924">
        <f>TeamHero生成!A924</f>
        <v>920</v>
      </c>
      <c r="B924">
        <f>TeamHero生成!B924</f>
        <v>1029</v>
      </c>
      <c r="C924">
        <f>TeamHero生成!C924</f>
        <v>60</v>
      </c>
      <c r="D924">
        <f>TeamHero生成!D924</f>
        <v>8778350</v>
      </c>
      <c r="E924">
        <f>TeamHero生成!E924</f>
        <v>94338</v>
      </c>
      <c r="F924">
        <f>TeamHero生成!F924</f>
        <v>68994</v>
      </c>
      <c r="G924" t="str">
        <f>TeamHero生成!AG924</f>
        <v>有效</v>
      </c>
      <c r="H924">
        <f>TeamHero生成!G924</f>
        <v>0</v>
      </c>
      <c r="I924">
        <f>TeamHero生成!H924</f>
        <v>0</v>
      </c>
    </row>
    <row r="925" spans="1:9">
      <c r="A925">
        <f>TeamHero生成!A925</f>
        <v>921</v>
      </c>
      <c r="B925">
        <f>TeamHero生成!B925</f>
        <v>1003</v>
      </c>
      <c r="C925">
        <f>TeamHero生成!C925</f>
        <v>60</v>
      </c>
      <c r="D925">
        <f>TeamHero生成!D925</f>
        <v>10815302</v>
      </c>
      <c r="E925">
        <f>TeamHero生成!E925</f>
        <v>95614</v>
      </c>
      <c r="F925">
        <f>TeamHero生成!F925</f>
        <v>83580</v>
      </c>
      <c r="G925" t="str">
        <f>TeamHero生成!AG925</f>
        <v>有效</v>
      </c>
      <c r="H925">
        <f>TeamHero生成!G925</f>
        <v>0</v>
      </c>
      <c r="I925">
        <f>TeamHero生成!H925</f>
        <v>0</v>
      </c>
    </row>
    <row r="926" spans="1:9">
      <c r="A926">
        <f>TeamHero生成!A926</f>
        <v>922</v>
      </c>
      <c r="B926">
        <f>TeamHero生成!B926</f>
        <v>1005</v>
      </c>
      <c r="C926">
        <f>TeamHero生成!C926</f>
        <v>60</v>
      </c>
      <c r="D926">
        <f>TeamHero生成!D926</f>
        <v>7210202</v>
      </c>
      <c r="E926">
        <f>TeamHero生成!E926</f>
        <v>114737</v>
      </c>
      <c r="F926">
        <f>TeamHero生成!F926</f>
        <v>55720</v>
      </c>
      <c r="G926" t="str">
        <f>TeamHero生成!AG926</f>
        <v>有效</v>
      </c>
      <c r="H926">
        <f>TeamHero生成!G926</f>
        <v>0</v>
      </c>
      <c r="I926">
        <f>TeamHero生成!H926</f>
        <v>0</v>
      </c>
    </row>
    <row r="927" spans="1:9">
      <c r="A927">
        <f>TeamHero生成!A927</f>
        <v>923</v>
      </c>
      <c r="B927">
        <f>TeamHero生成!B927</f>
        <v>1005</v>
      </c>
      <c r="C927">
        <f>TeamHero生成!C927</f>
        <v>60</v>
      </c>
      <c r="D927">
        <f>TeamHero生成!D927</f>
        <v>7210202</v>
      </c>
      <c r="E927">
        <f>TeamHero生成!E927</f>
        <v>114737</v>
      </c>
      <c r="F927">
        <f>TeamHero生成!F927</f>
        <v>55720</v>
      </c>
      <c r="G927" t="str">
        <f>TeamHero生成!AG927</f>
        <v>有效</v>
      </c>
      <c r="H927">
        <f>TeamHero生成!G927</f>
        <v>0</v>
      </c>
      <c r="I927">
        <f>TeamHero生成!H927</f>
        <v>0</v>
      </c>
    </row>
    <row r="928" spans="1:9">
      <c r="A928">
        <f>TeamHero生成!A928</f>
        <v>924</v>
      </c>
      <c r="B928">
        <f>TeamHero生成!B928</f>
        <v>1005</v>
      </c>
      <c r="C928">
        <f>TeamHero生成!C928</f>
        <v>60</v>
      </c>
      <c r="D928">
        <f>TeamHero生成!D928</f>
        <v>7210202</v>
      </c>
      <c r="E928">
        <f>TeamHero生成!E928</f>
        <v>114737</v>
      </c>
      <c r="F928">
        <f>TeamHero生成!F928</f>
        <v>55720</v>
      </c>
      <c r="G928" t="str">
        <f>TeamHero生成!AG928</f>
        <v>有效</v>
      </c>
      <c r="H928">
        <f>TeamHero生成!G928</f>
        <v>0</v>
      </c>
      <c r="I928">
        <f>TeamHero生成!H928</f>
        <v>0</v>
      </c>
    </row>
    <row r="929" spans="1:9">
      <c r="A929">
        <f>TeamHero生成!A929</f>
        <v>925</v>
      </c>
      <c r="B929">
        <f>TeamHero生成!B929</f>
        <v>1029</v>
      </c>
      <c r="C929">
        <f>TeamHero生成!C929</f>
        <v>60</v>
      </c>
      <c r="D929">
        <f>TeamHero生成!D929</f>
        <v>9012752</v>
      </c>
      <c r="E929">
        <f>TeamHero生成!E929</f>
        <v>95614</v>
      </c>
      <c r="F929">
        <f>TeamHero生成!F929</f>
        <v>69650</v>
      </c>
      <c r="G929" t="str">
        <f>TeamHero生成!AG929</f>
        <v>有效</v>
      </c>
      <c r="H929">
        <f>TeamHero生成!G929</f>
        <v>0</v>
      </c>
      <c r="I929">
        <f>TeamHero生成!H929</f>
        <v>0</v>
      </c>
    </row>
    <row r="930" spans="1:9">
      <c r="A930">
        <f>TeamHero生成!A930</f>
        <v>926</v>
      </c>
      <c r="B930">
        <f>TeamHero生成!B930</f>
        <v>1003</v>
      </c>
      <c r="C930">
        <f>TeamHero生成!C930</f>
        <v>60</v>
      </c>
      <c r="D930">
        <f>TeamHero生成!D930</f>
        <v>11000049</v>
      </c>
      <c r="E930">
        <f>TeamHero生成!E930</f>
        <v>97746</v>
      </c>
      <c r="F930">
        <f>TeamHero生成!F930</f>
        <v>84372</v>
      </c>
      <c r="G930" t="str">
        <f>TeamHero生成!AG930</f>
        <v>有效</v>
      </c>
      <c r="H930">
        <f>TeamHero生成!G930</f>
        <v>0</v>
      </c>
      <c r="I930">
        <f>TeamHero生成!H930</f>
        <v>0</v>
      </c>
    </row>
    <row r="931" spans="1:9">
      <c r="A931">
        <f>TeamHero生成!A931</f>
        <v>927</v>
      </c>
      <c r="B931">
        <f>TeamHero生成!B931</f>
        <v>1005</v>
      </c>
      <c r="C931">
        <f>TeamHero生成!C931</f>
        <v>60</v>
      </c>
      <c r="D931">
        <f>TeamHero生成!D931</f>
        <v>7333366</v>
      </c>
      <c r="E931">
        <f>TeamHero生成!E931</f>
        <v>117295</v>
      </c>
      <c r="F931">
        <f>TeamHero生成!F931</f>
        <v>56248</v>
      </c>
      <c r="G931" t="str">
        <f>TeamHero生成!AG931</f>
        <v>有效</v>
      </c>
      <c r="H931">
        <f>TeamHero生成!G931</f>
        <v>0</v>
      </c>
      <c r="I931">
        <f>TeamHero生成!H931</f>
        <v>0</v>
      </c>
    </row>
    <row r="932" spans="1:9">
      <c r="A932">
        <f>TeamHero生成!A932</f>
        <v>928</v>
      </c>
      <c r="B932">
        <f>TeamHero生成!B932</f>
        <v>1005</v>
      </c>
      <c r="C932">
        <f>TeamHero生成!C932</f>
        <v>60</v>
      </c>
      <c r="D932">
        <f>TeamHero生成!D932</f>
        <v>7333366</v>
      </c>
      <c r="E932">
        <f>TeamHero生成!E932</f>
        <v>117295</v>
      </c>
      <c r="F932">
        <f>TeamHero生成!F932</f>
        <v>56248</v>
      </c>
      <c r="G932" t="str">
        <f>TeamHero生成!AG932</f>
        <v>有效</v>
      </c>
      <c r="H932">
        <f>TeamHero生成!G932</f>
        <v>0</v>
      </c>
      <c r="I932">
        <f>TeamHero生成!H932</f>
        <v>0</v>
      </c>
    </row>
    <row r="933" spans="1:9">
      <c r="A933">
        <f>TeamHero生成!A933</f>
        <v>929</v>
      </c>
      <c r="B933">
        <f>TeamHero生成!B933</f>
        <v>1005</v>
      </c>
      <c r="C933">
        <f>TeamHero生成!C933</f>
        <v>60</v>
      </c>
      <c r="D933">
        <f>TeamHero生成!D933</f>
        <v>7333366</v>
      </c>
      <c r="E933">
        <f>TeamHero生成!E933</f>
        <v>117295</v>
      </c>
      <c r="F933">
        <f>TeamHero生成!F933</f>
        <v>56248</v>
      </c>
      <c r="G933" t="str">
        <f>TeamHero生成!AG933</f>
        <v>有效</v>
      </c>
      <c r="H933">
        <f>TeamHero生成!G933</f>
        <v>0</v>
      </c>
      <c r="I933">
        <f>TeamHero生成!H933</f>
        <v>0</v>
      </c>
    </row>
    <row r="934" spans="1:9">
      <c r="A934">
        <f>TeamHero生成!A934</f>
        <v>930</v>
      </c>
      <c r="B934">
        <f>TeamHero生成!B934</f>
        <v>1029</v>
      </c>
      <c r="C934">
        <f>TeamHero生成!C934</f>
        <v>60</v>
      </c>
      <c r="D934">
        <f>TeamHero生成!D934</f>
        <v>9166708</v>
      </c>
      <c r="E934">
        <f>TeamHero生成!E934</f>
        <v>97746</v>
      </c>
      <c r="F934">
        <f>TeamHero生成!F934</f>
        <v>70310</v>
      </c>
      <c r="G934" t="str">
        <f>TeamHero生成!AG934</f>
        <v>有效</v>
      </c>
      <c r="H934">
        <f>TeamHero生成!G934</f>
        <v>0</v>
      </c>
      <c r="I934">
        <f>TeamHero生成!H934</f>
        <v>0</v>
      </c>
    </row>
    <row r="935" spans="1:9">
      <c r="A935">
        <f>TeamHero生成!A935</f>
        <v>931</v>
      </c>
      <c r="B935">
        <f>TeamHero生成!B935</f>
        <v>1003</v>
      </c>
      <c r="C935">
        <f>TeamHero生成!C935</f>
        <v>60</v>
      </c>
      <c r="D935">
        <f>TeamHero生成!D935</f>
        <v>11239201</v>
      </c>
      <c r="E935">
        <f>TeamHero生成!E935</f>
        <v>99488</v>
      </c>
      <c r="F935">
        <f>TeamHero生成!F935</f>
        <v>85166</v>
      </c>
      <c r="G935" t="str">
        <f>TeamHero生成!AG935</f>
        <v>有效</v>
      </c>
      <c r="H935">
        <f>TeamHero生成!G935</f>
        <v>0</v>
      </c>
      <c r="I935">
        <f>TeamHero生成!H935</f>
        <v>0</v>
      </c>
    </row>
    <row r="936" spans="1:9">
      <c r="A936">
        <f>TeamHero生成!A936</f>
        <v>932</v>
      </c>
      <c r="B936">
        <f>TeamHero生成!B936</f>
        <v>1005</v>
      </c>
      <c r="C936">
        <f>TeamHero生成!C936</f>
        <v>60</v>
      </c>
      <c r="D936">
        <f>TeamHero生成!D936</f>
        <v>7492800</v>
      </c>
      <c r="E936">
        <f>TeamHero生成!E936</f>
        <v>119386</v>
      </c>
      <c r="F936">
        <f>TeamHero生成!F936</f>
        <v>56777</v>
      </c>
      <c r="G936" t="str">
        <f>TeamHero生成!AG936</f>
        <v>有效</v>
      </c>
      <c r="H936">
        <f>TeamHero生成!G936</f>
        <v>0</v>
      </c>
      <c r="I936">
        <f>TeamHero生成!H936</f>
        <v>0</v>
      </c>
    </row>
    <row r="937" spans="1:9">
      <c r="A937">
        <f>TeamHero生成!A937</f>
        <v>933</v>
      </c>
      <c r="B937">
        <f>TeamHero生成!B937</f>
        <v>1005</v>
      </c>
      <c r="C937">
        <f>TeamHero生成!C937</f>
        <v>60</v>
      </c>
      <c r="D937">
        <f>TeamHero生成!D937</f>
        <v>7492800</v>
      </c>
      <c r="E937">
        <f>TeamHero生成!E937</f>
        <v>119386</v>
      </c>
      <c r="F937">
        <f>TeamHero生成!F937</f>
        <v>56777</v>
      </c>
      <c r="G937" t="str">
        <f>TeamHero生成!AG937</f>
        <v>有效</v>
      </c>
      <c r="H937">
        <f>TeamHero生成!G937</f>
        <v>0</v>
      </c>
      <c r="I937">
        <f>TeamHero生成!H937</f>
        <v>0</v>
      </c>
    </row>
    <row r="938" spans="1:9">
      <c r="A938">
        <f>TeamHero生成!A938</f>
        <v>934</v>
      </c>
      <c r="B938">
        <f>TeamHero生成!B938</f>
        <v>1005</v>
      </c>
      <c r="C938">
        <f>TeamHero生成!C938</f>
        <v>60</v>
      </c>
      <c r="D938">
        <f>TeamHero生成!D938</f>
        <v>7492800</v>
      </c>
      <c r="E938">
        <f>TeamHero生成!E938</f>
        <v>119386</v>
      </c>
      <c r="F938">
        <f>TeamHero生成!F938</f>
        <v>56777</v>
      </c>
      <c r="G938" t="str">
        <f>TeamHero生成!AG938</f>
        <v>有效</v>
      </c>
      <c r="H938">
        <f>TeamHero生成!G938</f>
        <v>0</v>
      </c>
      <c r="I938">
        <f>TeamHero生成!H938</f>
        <v>0</v>
      </c>
    </row>
    <row r="939" spans="1:9">
      <c r="A939">
        <f>TeamHero生成!A939</f>
        <v>935</v>
      </c>
      <c r="B939">
        <f>TeamHero生成!B939</f>
        <v>1029</v>
      </c>
      <c r="C939">
        <f>TeamHero生成!C939</f>
        <v>60</v>
      </c>
      <c r="D939">
        <f>TeamHero生成!D939</f>
        <v>9366001</v>
      </c>
      <c r="E939">
        <f>TeamHero生成!E939</f>
        <v>99488</v>
      </c>
      <c r="F939">
        <f>TeamHero生成!F939</f>
        <v>70971</v>
      </c>
      <c r="G939" t="str">
        <f>TeamHero生成!AG939</f>
        <v>有效</v>
      </c>
      <c r="H939">
        <f>TeamHero生成!G939</f>
        <v>0</v>
      </c>
      <c r="I939">
        <f>TeamHero生成!H939</f>
        <v>0</v>
      </c>
    </row>
    <row r="940" spans="1:9">
      <c r="A940">
        <f>TeamHero生成!A940</f>
        <v>936</v>
      </c>
      <c r="B940">
        <f>TeamHero生成!B940</f>
        <v>1003</v>
      </c>
      <c r="C940">
        <f>TeamHero生成!C940</f>
        <v>60</v>
      </c>
      <c r="D940">
        <f>TeamHero生成!D940</f>
        <v>11482520</v>
      </c>
      <c r="E940">
        <f>TeamHero生成!E940</f>
        <v>101258</v>
      </c>
      <c r="F940">
        <f>TeamHero生成!F940</f>
        <v>85964</v>
      </c>
      <c r="G940" t="str">
        <f>TeamHero生成!AG940</f>
        <v>有效</v>
      </c>
      <c r="H940">
        <f>TeamHero生成!G940</f>
        <v>0</v>
      </c>
      <c r="I940">
        <f>TeamHero生成!H940</f>
        <v>0</v>
      </c>
    </row>
    <row r="941" spans="1:9">
      <c r="A941">
        <f>TeamHero生成!A941</f>
        <v>937</v>
      </c>
      <c r="B941">
        <f>TeamHero生成!B941</f>
        <v>1005</v>
      </c>
      <c r="C941">
        <f>TeamHero生成!C941</f>
        <v>60</v>
      </c>
      <c r="D941">
        <f>TeamHero生成!D941</f>
        <v>7655013</v>
      </c>
      <c r="E941">
        <f>TeamHero生成!E941</f>
        <v>121509</v>
      </c>
      <c r="F941">
        <f>TeamHero生成!F941</f>
        <v>57309</v>
      </c>
      <c r="G941" t="str">
        <f>TeamHero生成!AG941</f>
        <v>有效</v>
      </c>
      <c r="H941">
        <f>TeamHero生成!G941</f>
        <v>0</v>
      </c>
      <c r="I941">
        <f>TeamHero生成!H941</f>
        <v>0</v>
      </c>
    </row>
    <row r="942" spans="1:9">
      <c r="A942">
        <f>TeamHero生成!A942</f>
        <v>938</v>
      </c>
      <c r="B942">
        <f>TeamHero生成!B942</f>
        <v>1005</v>
      </c>
      <c r="C942">
        <f>TeamHero生成!C942</f>
        <v>60</v>
      </c>
      <c r="D942">
        <f>TeamHero生成!D942</f>
        <v>7655013</v>
      </c>
      <c r="E942">
        <f>TeamHero生成!E942</f>
        <v>121509</v>
      </c>
      <c r="F942">
        <f>TeamHero生成!F942</f>
        <v>57309</v>
      </c>
      <c r="G942" t="str">
        <f>TeamHero生成!AG942</f>
        <v>有效</v>
      </c>
      <c r="H942">
        <f>TeamHero生成!G942</f>
        <v>0</v>
      </c>
      <c r="I942">
        <f>TeamHero生成!H942</f>
        <v>0</v>
      </c>
    </row>
    <row r="943" spans="1:9">
      <c r="A943">
        <f>TeamHero生成!A943</f>
        <v>939</v>
      </c>
      <c r="B943">
        <f>TeamHero生成!B943</f>
        <v>1005</v>
      </c>
      <c r="C943">
        <f>TeamHero生成!C943</f>
        <v>60</v>
      </c>
      <c r="D943">
        <f>TeamHero生成!D943</f>
        <v>7655013</v>
      </c>
      <c r="E943">
        <f>TeamHero生成!E943</f>
        <v>121509</v>
      </c>
      <c r="F943">
        <f>TeamHero生成!F943</f>
        <v>57309</v>
      </c>
      <c r="G943" t="str">
        <f>TeamHero生成!AG943</f>
        <v>有效</v>
      </c>
      <c r="H943">
        <f>TeamHero生成!G943</f>
        <v>0</v>
      </c>
      <c r="I943">
        <f>TeamHero生成!H943</f>
        <v>0</v>
      </c>
    </row>
    <row r="944" spans="1:9">
      <c r="A944">
        <f>TeamHero生成!A944</f>
        <v>940</v>
      </c>
      <c r="B944">
        <f>TeamHero生成!B944</f>
        <v>1029</v>
      </c>
      <c r="C944">
        <f>TeamHero生成!C944</f>
        <v>60</v>
      </c>
      <c r="D944">
        <f>TeamHero生成!D944</f>
        <v>9568766</v>
      </c>
      <c r="E944">
        <f>TeamHero生成!E944</f>
        <v>101258</v>
      </c>
      <c r="F944">
        <f>TeamHero生成!F944</f>
        <v>71636</v>
      </c>
      <c r="G944" t="str">
        <f>TeamHero生成!AG944</f>
        <v>有效</v>
      </c>
      <c r="H944">
        <f>TeamHero生成!G944</f>
        <v>0</v>
      </c>
      <c r="I944">
        <f>TeamHero生成!H944</f>
        <v>0</v>
      </c>
    </row>
    <row r="945" spans="1:9">
      <c r="A945">
        <f>TeamHero生成!A945</f>
        <v>941</v>
      </c>
      <c r="B945">
        <f>TeamHero生成!B945</f>
        <v>1003</v>
      </c>
      <c r="C945">
        <f>TeamHero生成!C945</f>
        <v>60</v>
      </c>
      <c r="D945">
        <f>TeamHero生成!D945</f>
        <v>11730067</v>
      </c>
      <c r="E945">
        <f>TeamHero生成!E945</f>
        <v>103053</v>
      </c>
      <c r="F945">
        <f>TeamHero生成!F945</f>
        <v>86763</v>
      </c>
      <c r="G945" t="str">
        <f>TeamHero生成!AG945</f>
        <v>有效</v>
      </c>
      <c r="H945">
        <f>TeamHero生成!G945</f>
        <v>0</v>
      </c>
      <c r="I945">
        <f>TeamHero生成!H945</f>
        <v>0</v>
      </c>
    </row>
    <row r="946" spans="1:9">
      <c r="A946">
        <f>TeamHero生成!A946</f>
        <v>942</v>
      </c>
      <c r="B946">
        <f>TeamHero生成!B946</f>
        <v>1005</v>
      </c>
      <c r="C946">
        <f>TeamHero生成!C946</f>
        <v>60</v>
      </c>
      <c r="D946">
        <f>TeamHero生成!D946</f>
        <v>7820045</v>
      </c>
      <c r="E946">
        <f>TeamHero生成!E946</f>
        <v>123664</v>
      </c>
      <c r="F946">
        <f>TeamHero生成!F946</f>
        <v>57842</v>
      </c>
      <c r="G946" t="str">
        <f>TeamHero生成!AG946</f>
        <v>有效</v>
      </c>
      <c r="H946">
        <f>TeamHero生成!G946</f>
        <v>0</v>
      </c>
      <c r="I946">
        <f>TeamHero生成!H946</f>
        <v>0</v>
      </c>
    </row>
    <row r="947" spans="1:9">
      <c r="A947">
        <f>TeamHero生成!A947</f>
        <v>943</v>
      </c>
      <c r="B947">
        <f>TeamHero生成!B947</f>
        <v>1005</v>
      </c>
      <c r="C947">
        <f>TeamHero生成!C947</f>
        <v>60</v>
      </c>
      <c r="D947">
        <f>TeamHero生成!D947</f>
        <v>7820045</v>
      </c>
      <c r="E947">
        <f>TeamHero生成!E947</f>
        <v>123664</v>
      </c>
      <c r="F947">
        <f>TeamHero生成!F947</f>
        <v>57842</v>
      </c>
      <c r="G947" t="str">
        <f>TeamHero生成!AG947</f>
        <v>有效</v>
      </c>
      <c r="H947">
        <f>TeamHero生成!G947</f>
        <v>0</v>
      </c>
      <c r="I947">
        <f>TeamHero生成!H947</f>
        <v>0</v>
      </c>
    </row>
    <row r="948" spans="1:9">
      <c r="A948">
        <f>TeamHero生成!A948</f>
        <v>944</v>
      </c>
      <c r="B948">
        <f>TeamHero生成!B948</f>
        <v>1005</v>
      </c>
      <c r="C948">
        <f>TeamHero生成!C948</f>
        <v>60</v>
      </c>
      <c r="D948">
        <f>TeamHero生成!D948</f>
        <v>7820045</v>
      </c>
      <c r="E948">
        <f>TeamHero生成!E948</f>
        <v>123664</v>
      </c>
      <c r="F948">
        <f>TeamHero生成!F948</f>
        <v>57842</v>
      </c>
      <c r="G948" t="str">
        <f>TeamHero生成!AG948</f>
        <v>有效</v>
      </c>
      <c r="H948">
        <f>TeamHero生成!G948</f>
        <v>0</v>
      </c>
      <c r="I948">
        <f>TeamHero生成!H948</f>
        <v>0</v>
      </c>
    </row>
    <row r="949" spans="1:9">
      <c r="A949">
        <f>TeamHero生成!A949</f>
        <v>945</v>
      </c>
      <c r="B949">
        <f>TeamHero生成!B949</f>
        <v>1029</v>
      </c>
      <c r="C949">
        <f>TeamHero生成!C949</f>
        <v>60</v>
      </c>
      <c r="D949">
        <f>TeamHero生成!D949</f>
        <v>9775056</v>
      </c>
      <c r="E949">
        <f>TeamHero生成!E949</f>
        <v>103053</v>
      </c>
      <c r="F949">
        <f>TeamHero生成!F949</f>
        <v>72303</v>
      </c>
      <c r="G949" t="str">
        <f>TeamHero生成!AG949</f>
        <v>有效</v>
      </c>
      <c r="H949">
        <f>TeamHero生成!G949</f>
        <v>0</v>
      </c>
      <c r="I949">
        <f>TeamHero生成!H949</f>
        <v>0</v>
      </c>
    </row>
    <row r="950" spans="1:9">
      <c r="A950">
        <f>TeamHero生成!A950</f>
        <v>946</v>
      </c>
      <c r="B950">
        <f>TeamHero生成!B950</f>
        <v>1003</v>
      </c>
      <c r="C950">
        <f>TeamHero生成!C950</f>
        <v>60</v>
      </c>
      <c r="D950">
        <f>TeamHero生成!D950</f>
        <v>11991419</v>
      </c>
      <c r="E950">
        <f>TeamHero生成!E950</f>
        <v>105077</v>
      </c>
      <c r="F950">
        <f>TeamHero生成!F950</f>
        <v>87567</v>
      </c>
      <c r="G950" t="str">
        <f>TeamHero生成!AG950</f>
        <v>有效</v>
      </c>
      <c r="H950">
        <f>TeamHero生成!G950</f>
        <v>0</v>
      </c>
      <c r="I950">
        <f>TeamHero生成!H950</f>
        <v>0</v>
      </c>
    </row>
    <row r="951" spans="1:9">
      <c r="A951">
        <f>TeamHero生成!A951</f>
        <v>947</v>
      </c>
      <c r="B951">
        <f>TeamHero生成!B951</f>
        <v>1005</v>
      </c>
      <c r="C951">
        <f>TeamHero生成!C951</f>
        <v>60</v>
      </c>
      <c r="D951">
        <f>TeamHero生成!D951</f>
        <v>7994279</v>
      </c>
      <c r="E951">
        <f>TeamHero生成!E951</f>
        <v>126092</v>
      </c>
      <c r="F951">
        <f>TeamHero生成!F951</f>
        <v>58378</v>
      </c>
      <c r="G951" t="str">
        <f>TeamHero生成!AG951</f>
        <v>有效</v>
      </c>
      <c r="H951">
        <f>TeamHero生成!G951</f>
        <v>0</v>
      </c>
      <c r="I951">
        <f>TeamHero生成!H951</f>
        <v>0</v>
      </c>
    </row>
    <row r="952" spans="1:9">
      <c r="A952">
        <f>TeamHero生成!A952</f>
        <v>948</v>
      </c>
      <c r="B952">
        <f>TeamHero生成!B952</f>
        <v>1005</v>
      </c>
      <c r="C952">
        <f>TeamHero生成!C952</f>
        <v>60</v>
      </c>
      <c r="D952">
        <f>TeamHero生成!D952</f>
        <v>7994279</v>
      </c>
      <c r="E952">
        <f>TeamHero生成!E952</f>
        <v>126092</v>
      </c>
      <c r="F952">
        <f>TeamHero生成!F952</f>
        <v>58378</v>
      </c>
      <c r="G952" t="str">
        <f>TeamHero生成!AG952</f>
        <v>有效</v>
      </c>
      <c r="H952">
        <f>TeamHero生成!G952</f>
        <v>0</v>
      </c>
      <c r="I952">
        <f>TeamHero生成!H952</f>
        <v>0</v>
      </c>
    </row>
    <row r="953" spans="1:9">
      <c r="A953">
        <f>TeamHero生成!A953</f>
        <v>949</v>
      </c>
      <c r="B953">
        <f>TeamHero生成!B953</f>
        <v>1005</v>
      </c>
      <c r="C953">
        <f>TeamHero生成!C953</f>
        <v>60</v>
      </c>
      <c r="D953">
        <f>TeamHero生成!D953</f>
        <v>7994279</v>
      </c>
      <c r="E953">
        <f>TeamHero生成!E953</f>
        <v>126092</v>
      </c>
      <c r="F953">
        <f>TeamHero生成!F953</f>
        <v>58378</v>
      </c>
      <c r="G953" t="str">
        <f>TeamHero生成!AG953</f>
        <v>有效</v>
      </c>
      <c r="H953">
        <f>TeamHero生成!G953</f>
        <v>0</v>
      </c>
      <c r="I953">
        <f>TeamHero生成!H953</f>
        <v>0</v>
      </c>
    </row>
    <row r="954" spans="1:9">
      <c r="A954">
        <f>TeamHero生成!A954</f>
        <v>950</v>
      </c>
      <c r="B954">
        <f>TeamHero生成!B954</f>
        <v>1029</v>
      </c>
      <c r="C954">
        <f>TeamHero生成!C954</f>
        <v>60</v>
      </c>
      <c r="D954">
        <f>TeamHero生成!D954</f>
        <v>9992849</v>
      </c>
      <c r="E954">
        <f>TeamHero生成!E954</f>
        <v>105077</v>
      </c>
      <c r="F954">
        <f>TeamHero生成!F954</f>
        <v>72973</v>
      </c>
      <c r="G954" t="str">
        <f>TeamHero生成!AG954</f>
        <v>有效</v>
      </c>
      <c r="H954">
        <f>TeamHero生成!G954</f>
        <v>0</v>
      </c>
      <c r="I954">
        <f>TeamHero生成!H954</f>
        <v>0</v>
      </c>
    </row>
    <row r="955" spans="1:9">
      <c r="A955">
        <f>TeamHero生成!A955</f>
        <v>951</v>
      </c>
      <c r="B955">
        <f>TeamHero生成!B955</f>
        <v>1003</v>
      </c>
      <c r="C955">
        <f>TeamHero生成!C955</f>
        <v>60</v>
      </c>
      <c r="D955">
        <f>TeamHero生成!D955</f>
        <v>12324426</v>
      </c>
      <c r="E955">
        <f>TeamHero生成!E955</f>
        <v>107350</v>
      </c>
      <c r="F955">
        <f>TeamHero生成!F955</f>
        <v>88643</v>
      </c>
      <c r="G955" t="str">
        <f>TeamHero生成!AG955</f>
        <v>有效</v>
      </c>
      <c r="H955">
        <f>TeamHero生成!G955</f>
        <v>0</v>
      </c>
      <c r="I955">
        <f>TeamHero生成!H955</f>
        <v>0</v>
      </c>
    </row>
    <row r="956" spans="1:9">
      <c r="A956">
        <f>TeamHero生成!A956</f>
        <v>952</v>
      </c>
      <c r="B956">
        <f>TeamHero生成!B956</f>
        <v>1005</v>
      </c>
      <c r="C956">
        <f>TeamHero生成!C956</f>
        <v>60</v>
      </c>
      <c r="D956">
        <f>TeamHero生成!D956</f>
        <v>8216284</v>
      </c>
      <c r="E956">
        <f>TeamHero生成!E956</f>
        <v>128820</v>
      </c>
      <c r="F956">
        <f>TeamHero生成!F956</f>
        <v>59095</v>
      </c>
      <c r="G956" t="str">
        <f>TeamHero生成!AG956</f>
        <v>有效</v>
      </c>
      <c r="H956">
        <f>TeamHero生成!G956</f>
        <v>0</v>
      </c>
      <c r="I956">
        <f>TeamHero生成!H956</f>
        <v>0</v>
      </c>
    </row>
    <row r="957" spans="1:9">
      <c r="A957">
        <f>TeamHero生成!A957</f>
        <v>953</v>
      </c>
      <c r="B957">
        <f>TeamHero生成!B957</f>
        <v>1005</v>
      </c>
      <c r="C957">
        <f>TeamHero生成!C957</f>
        <v>60</v>
      </c>
      <c r="D957">
        <f>TeamHero生成!D957</f>
        <v>8216284</v>
      </c>
      <c r="E957">
        <f>TeamHero生成!E957</f>
        <v>128820</v>
      </c>
      <c r="F957">
        <f>TeamHero生成!F957</f>
        <v>59095</v>
      </c>
      <c r="G957" t="str">
        <f>TeamHero生成!AG957</f>
        <v>有效</v>
      </c>
      <c r="H957">
        <f>TeamHero生成!G957</f>
        <v>0</v>
      </c>
      <c r="I957">
        <f>TeamHero生成!H957</f>
        <v>0</v>
      </c>
    </row>
    <row r="958" spans="1:9">
      <c r="A958">
        <f>TeamHero生成!A958</f>
        <v>954</v>
      </c>
      <c r="B958">
        <f>TeamHero生成!B958</f>
        <v>1005</v>
      </c>
      <c r="C958">
        <f>TeamHero生成!C958</f>
        <v>60</v>
      </c>
      <c r="D958">
        <f>TeamHero生成!D958</f>
        <v>8216284</v>
      </c>
      <c r="E958">
        <f>TeamHero生成!E958</f>
        <v>128820</v>
      </c>
      <c r="F958">
        <f>TeamHero生成!F958</f>
        <v>59095</v>
      </c>
      <c r="G958" t="str">
        <f>TeamHero生成!AG958</f>
        <v>有效</v>
      </c>
      <c r="H958">
        <f>TeamHero生成!G958</f>
        <v>0</v>
      </c>
      <c r="I958">
        <f>TeamHero生成!H958</f>
        <v>0</v>
      </c>
    </row>
    <row r="959" spans="1:9">
      <c r="A959">
        <f>TeamHero生成!A959</f>
        <v>955</v>
      </c>
      <c r="B959">
        <f>TeamHero生成!B959</f>
        <v>1029</v>
      </c>
      <c r="C959">
        <f>TeamHero生成!C959</f>
        <v>60</v>
      </c>
      <c r="D959">
        <f>TeamHero生成!D959</f>
        <v>10270355</v>
      </c>
      <c r="E959">
        <f>TeamHero生成!E959</f>
        <v>107350</v>
      </c>
      <c r="F959">
        <f>TeamHero生成!F959</f>
        <v>73869</v>
      </c>
      <c r="G959" t="str">
        <f>TeamHero生成!AG959</f>
        <v>有效</v>
      </c>
      <c r="H959">
        <f>TeamHero生成!G959</f>
        <v>0</v>
      </c>
      <c r="I959">
        <f>TeamHero生成!H959</f>
        <v>0</v>
      </c>
    </row>
    <row r="960" spans="1:9">
      <c r="A960">
        <f>TeamHero生成!A960</f>
        <v>956</v>
      </c>
      <c r="B960">
        <f>TeamHero生成!B960</f>
        <v>1003</v>
      </c>
      <c r="C960">
        <f>TeamHero生成!C960</f>
        <v>60</v>
      </c>
      <c r="D960">
        <f>TeamHero生成!D960</f>
        <v>12674825</v>
      </c>
      <c r="E960">
        <f>TeamHero生成!E960</f>
        <v>109872</v>
      </c>
      <c r="F960">
        <f>TeamHero生成!F960</f>
        <v>89724</v>
      </c>
      <c r="G960" t="str">
        <f>TeamHero生成!AG960</f>
        <v>有效</v>
      </c>
      <c r="H960">
        <f>TeamHero生成!G960</f>
        <v>0</v>
      </c>
      <c r="I960">
        <f>TeamHero生成!H960</f>
        <v>0</v>
      </c>
    </row>
    <row r="961" spans="1:9">
      <c r="A961">
        <f>TeamHero生成!A961</f>
        <v>957</v>
      </c>
      <c r="B961">
        <f>TeamHero生成!B961</f>
        <v>1005</v>
      </c>
      <c r="C961">
        <f>TeamHero生成!C961</f>
        <v>60</v>
      </c>
      <c r="D961">
        <f>TeamHero生成!D961</f>
        <v>8449883</v>
      </c>
      <c r="E961">
        <f>TeamHero生成!E961</f>
        <v>131846</v>
      </c>
      <c r="F961">
        <f>TeamHero生成!F961</f>
        <v>59816</v>
      </c>
      <c r="G961" t="str">
        <f>TeamHero生成!AG961</f>
        <v>有效</v>
      </c>
      <c r="H961">
        <f>TeamHero生成!G961</f>
        <v>0</v>
      </c>
      <c r="I961">
        <f>TeamHero生成!H961</f>
        <v>0</v>
      </c>
    </row>
    <row r="962" spans="1:9">
      <c r="A962">
        <f>TeamHero生成!A962</f>
        <v>958</v>
      </c>
      <c r="B962">
        <f>TeamHero生成!B962</f>
        <v>1005</v>
      </c>
      <c r="C962">
        <f>TeamHero生成!C962</f>
        <v>60</v>
      </c>
      <c r="D962">
        <f>TeamHero生成!D962</f>
        <v>8449883</v>
      </c>
      <c r="E962">
        <f>TeamHero生成!E962</f>
        <v>131846</v>
      </c>
      <c r="F962">
        <f>TeamHero生成!F962</f>
        <v>59816</v>
      </c>
      <c r="G962" t="str">
        <f>TeamHero生成!AG962</f>
        <v>有效</v>
      </c>
      <c r="H962">
        <f>TeamHero生成!G962</f>
        <v>0</v>
      </c>
      <c r="I962">
        <f>TeamHero生成!H962</f>
        <v>0</v>
      </c>
    </row>
    <row r="963" spans="1:9">
      <c r="A963">
        <f>TeamHero生成!A963</f>
        <v>959</v>
      </c>
      <c r="B963">
        <f>TeamHero生成!B963</f>
        <v>1005</v>
      </c>
      <c r="C963">
        <f>TeamHero生成!C963</f>
        <v>60</v>
      </c>
      <c r="D963">
        <f>TeamHero生成!D963</f>
        <v>8449883</v>
      </c>
      <c r="E963">
        <f>TeamHero生成!E963</f>
        <v>131846</v>
      </c>
      <c r="F963">
        <f>TeamHero生成!F963</f>
        <v>59816</v>
      </c>
      <c r="G963" t="str">
        <f>TeamHero生成!AG963</f>
        <v>有效</v>
      </c>
      <c r="H963">
        <f>TeamHero生成!G963</f>
        <v>0</v>
      </c>
      <c r="I963">
        <f>TeamHero生成!H963</f>
        <v>0</v>
      </c>
    </row>
    <row r="964" spans="1:9">
      <c r="A964">
        <f>TeamHero生成!A964</f>
        <v>960</v>
      </c>
      <c r="B964">
        <f>TeamHero生成!B964</f>
        <v>1029</v>
      </c>
      <c r="C964">
        <f>TeamHero生成!C964</f>
        <v>60</v>
      </c>
      <c r="D964">
        <f>TeamHero生成!D964</f>
        <v>10562354</v>
      </c>
      <c r="E964">
        <f>TeamHero生成!E964</f>
        <v>109872</v>
      </c>
      <c r="F964">
        <f>TeamHero生成!F964</f>
        <v>74770</v>
      </c>
      <c r="G964" t="str">
        <f>TeamHero生成!AG964</f>
        <v>有效</v>
      </c>
      <c r="H964">
        <f>TeamHero生成!G964</f>
        <v>0</v>
      </c>
      <c r="I964">
        <f>TeamHero生成!H964</f>
        <v>0</v>
      </c>
    </row>
    <row r="965" spans="1:9">
      <c r="A965">
        <f>TeamHero生成!A965</f>
        <v>961</v>
      </c>
      <c r="B965">
        <f>TeamHero生成!B965</f>
        <v>1003</v>
      </c>
      <c r="C965">
        <f>TeamHero生成!C965</f>
        <v>60</v>
      </c>
      <c r="D965">
        <f>TeamHero生成!D965</f>
        <v>12942874</v>
      </c>
      <c r="E965">
        <f>TeamHero生成!E965</f>
        <v>111798</v>
      </c>
      <c r="F965">
        <f>TeamHero生成!F965</f>
        <v>90540</v>
      </c>
      <c r="G965" t="str">
        <f>TeamHero生成!AG965</f>
        <v>有效</v>
      </c>
      <c r="H965">
        <f>TeamHero生成!G965</f>
        <v>0</v>
      </c>
      <c r="I965">
        <f>TeamHero生成!H965</f>
        <v>0</v>
      </c>
    </row>
    <row r="966" spans="1:9">
      <c r="A966">
        <f>TeamHero生成!A966</f>
        <v>962</v>
      </c>
      <c r="B966">
        <f>TeamHero生成!B966</f>
        <v>1005</v>
      </c>
      <c r="C966">
        <f>TeamHero生成!C966</f>
        <v>60</v>
      </c>
      <c r="D966">
        <f>TeamHero生成!D966</f>
        <v>8628582</v>
      </c>
      <c r="E966">
        <f>TeamHero生成!E966</f>
        <v>134157</v>
      </c>
      <c r="F966">
        <f>TeamHero生成!F966</f>
        <v>60360</v>
      </c>
      <c r="G966" t="str">
        <f>TeamHero生成!AG966</f>
        <v>有效</v>
      </c>
      <c r="H966">
        <f>TeamHero生成!G966</f>
        <v>0</v>
      </c>
      <c r="I966">
        <f>TeamHero生成!H966</f>
        <v>0</v>
      </c>
    </row>
    <row r="967" spans="1:9">
      <c r="A967">
        <f>TeamHero生成!A967</f>
        <v>963</v>
      </c>
      <c r="B967">
        <f>TeamHero生成!B967</f>
        <v>1005</v>
      </c>
      <c r="C967">
        <f>TeamHero生成!C967</f>
        <v>60</v>
      </c>
      <c r="D967">
        <f>TeamHero生成!D967</f>
        <v>8628582</v>
      </c>
      <c r="E967">
        <f>TeamHero生成!E967</f>
        <v>134157</v>
      </c>
      <c r="F967">
        <f>TeamHero生成!F967</f>
        <v>60360</v>
      </c>
      <c r="G967" t="str">
        <f>TeamHero生成!AG967</f>
        <v>有效</v>
      </c>
      <c r="H967">
        <f>TeamHero生成!G967</f>
        <v>0</v>
      </c>
      <c r="I967">
        <f>TeamHero生成!H967</f>
        <v>0</v>
      </c>
    </row>
    <row r="968" spans="1:9">
      <c r="A968">
        <f>TeamHero生成!A968</f>
        <v>964</v>
      </c>
      <c r="B968">
        <f>TeamHero生成!B968</f>
        <v>1005</v>
      </c>
      <c r="C968">
        <f>TeamHero生成!C968</f>
        <v>60</v>
      </c>
      <c r="D968">
        <f>TeamHero生成!D968</f>
        <v>8628582</v>
      </c>
      <c r="E968">
        <f>TeamHero生成!E968</f>
        <v>134157</v>
      </c>
      <c r="F968">
        <f>TeamHero生成!F968</f>
        <v>60360</v>
      </c>
      <c r="G968" t="str">
        <f>TeamHero生成!AG968</f>
        <v>有效</v>
      </c>
      <c r="H968">
        <f>TeamHero生成!G968</f>
        <v>0</v>
      </c>
      <c r="I968">
        <f>TeamHero生成!H968</f>
        <v>0</v>
      </c>
    </row>
    <row r="969" spans="1:9">
      <c r="A969">
        <f>TeamHero生成!A969</f>
        <v>965</v>
      </c>
      <c r="B969">
        <f>TeamHero生成!B969</f>
        <v>1029</v>
      </c>
      <c r="C969">
        <f>TeamHero生成!C969</f>
        <v>60</v>
      </c>
      <c r="D969">
        <f>TeamHero生成!D969</f>
        <v>10785728</v>
      </c>
      <c r="E969">
        <f>TeamHero生成!E969</f>
        <v>111798</v>
      </c>
      <c r="F969">
        <f>TeamHero生成!F969</f>
        <v>75450</v>
      </c>
      <c r="G969" t="str">
        <f>TeamHero生成!AG969</f>
        <v>有效</v>
      </c>
      <c r="H969">
        <f>TeamHero生成!G969</f>
        <v>0</v>
      </c>
      <c r="I969">
        <f>TeamHero生成!H969</f>
        <v>0</v>
      </c>
    </row>
    <row r="970" spans="1:9">
      <c r="A970">
        <f>TeamHero生成!A970</f>
        <v>966</v>
      </c>
      <c r="B970">
        <f>TeamHero生成!B970</f>
        <v>1003</v>
      </c>
      <c r="C970">
        <f>TeamHero生成!C970</f>
        <v>60</v>
      </c>
      <c r="D970">
        <f>TeamHero生成!D970</f>
        <v>13307383</v>
      </c>
      <c r="E970">
        <f>TeamHero生成!E970</f>
        <v>114410</v>
      </c>
      <c r="F970">
        <f>TeamHero生成!F970</f>
        <v>91631</v>
      </c>
      <c r="G970" t="str">
        <f>TeamHero生成!AG970</f>
        <v>有效</v>
      </c>
      <c r="H970">
        <f>TeamHero生成!G970</f>
        <v>0</v>
      </c>
      <c r="I970">
        <f>TeamHero生成!H970</f>
        <v>0</v>
      </c>
    </row>
    <row r="971" spans="1:9">
      <c r="A971">
        <f>TeamHero生成!A971</f>
        <v>967</v>
      </c>
      <c r="B971">
        <f>TeamHero生成!B971</f>
        <v>1005</v>
      </c>
      <c r="C971">
        <f>TeamHero生成!C971</f>
        <v>60</v>
      </c>
      <c r="D971">
        <f>TeamHero生成!D971</f>
        <v>8871588</v>
      </c>
      <c r="E971">
        <f>TeamHero生成!E971</f>
        <v>137291</v>
      </c>
      <c r="F971">
        <f>TeamHero生成!F971</f>
        <v>61087</v>
      </c>
      <c r="G971" t="str">
        <f>TeamHero生成!AG971</f>
        <v>有效</v>
      </c>
      <c r="H971">
        <f>TeamHero生成!G971</f>
        <v>0</v>
      </c>
      <c r="I971">
        <f>TeamHero生成!H971</f>
        <v>0</v>
      </c>
    </row>
    <row r="972" spans="1:9">
      <c r="A972">
        <f>TeamHero生成!A972</f>
        <v>968</v>
      </c>
      <c r="B972">
        <f>TeamHero生成!B972</f>
        <v>1005</v>
      </c>
      <c r="C972">
        <f>TeamHero生成!C972</f>
        <v>60</v>
      </c>
      <c r="D972">
        <f>TeamHero生成!D972</f>
        <v>8871588</v>
      </c>
      <c r="E972">
        <f>TeamHero生成!E972</f>
        <v>137291</v>
      </c>
      <c r="F972">
        <f>TeamHero生成!F972</f>
        <v>61087</v>
      </c>
      <c r="G972" t="str">
        <f>TeamHero生成!AG972</f>
        <v>有效</v>
      </c>
      <c r="H972">
        <f>TeamHero生成!G972</f>
        <v>0</v>
      </c>
      <c r="I972">
        <f>TeamHero生成!H972</f>
        <v>0</v>
      </c>
    </row>
    <row r="973" spans="1:9">
      <c r="A973">
        <f>TeamHero生成!A973</f>
        <v>969</v>
      </c>
      <c r="B973">
        <f>TeamHero生成!B973</f>
        <v>1005</v>
      </c>
      <c r="C973">
        <f>TeamHero生成!C973</f>
        <v>60</v>
      </c>
      <c r="D973">
        <f>TeamHero生成!D973</f>
        <v>8871588</v>
      </c>
      <c r="E973">
        <f>TeamHero生成!E973</f>
        <v>137291</v>
      </c>
      <c r="F973">
        <f>TeamHero生成!F973</f>
        <v>61087</v>
      </c>
      <c r="G973" t="str">
        <f>TeamHero生成!AG973</f>
        <v>有效</v>
      </c>
      <c r="H973">
        <f>TeamHero生成!G973</f>
        <v>0</v>
      </c>
      <c r="I973">
        <f>TeamHero生成!H973</f>
        <v>0</v>
      </c>
    </row>
    <row r="974" spans="1:9">
      <c r="A974">
        <f>TeamHero生成!A974</f>
        <v>970</v>
      </c>
      <c r="B974">
        <f>TeamHero生成!B974</f>
        <v>1029</v>
      </c>
      <c r="C974">
        <f>TeamHero生成!C974</f>
        <v>60</v>
      </c>
      <c r="D974">
        <f>TeamHero生成!D974</f>
        <v>11089486</v>
      </c>
      <c r="E974">
        <f>TeamHero生成!E974</f>
        <v>114410</v>
      </c>
      <c r="F974">
        <f>TeamHero生成!F974</f>
        <v>76359</v>
      </c>
      <c r="G974" t="str">
        <f>TeamHero生成!AG974</f>
        <v>有效</v>
      </c>
      <c r="H974">
        <f>TeamHero生成!G974</f>
        <v>0</v>
      </c>
      <c r="I974">
        <f>TeamHero生成!H974</f>
        <v>0</v>
      </c>
    </row>
    <row r="975" spans="1:9">
      <c r="A975">
        <f>TeamHero生成!A975</f>
        <v>971</v>
      </c>
      <c r="B975">
        <f>TeamHero生成!B975</f>
        <v>1003</v>
      </c>
      <c r="C975">
        <f>TeamHero生成!C975</f>
        <v>60</v>
      </c>
      <c r="D975">
        <f>TeamHero生成!D975</f>
        <v>13744069</v>
      </c>
      <c r="E975">
        <f>TeamHero生成!E975</f>
        <v>116568</v>
      </c>
      <c r="F975">
        <f>TeamHero生成!F975</f>
        <v>92727</v>
      </c>
      <c r="G975" t="str">
        <f>TeamHero生成!AG975</f>
        <v>有效</v>
      </c>
      <c r="H975">
        <f>TeamHero生成!G975</f>
        <v>0</v>
      </c>
      <c r="I975">
        <f>TeamHero生成!H975</f>
        <v>0</v>
      </c>
    </row>
    <row r="976" spans="1:9">
      <c r="A976">
        <f>TeamHero生成!A976</f>
        <v>972</v>
      </c>
      <c r="B976">
        <f>TeamHero生成!B976</f>
        <v>1005</v>
      </c>
      <c r="C976">
        <f>TeamHero生成!C976</f>
        <v>60</v>
      </c>
      <c r="D976">
        <f>TeamHero生成!D976</f>
        <v>9162713</v>
      </c>
      <c r="E976">
        <f>TeamHero生成!E976</f>
        <v>139881</v>
      </c>
      <c r="F976">
        <f>TeamHero生成!F976</f>
        <v>61818</v>
      </c>
      <c r="G976" t="str">
        <f>TeamHero生成!AG976</f>
        <v>有效</v>
      </c>
      <c r="H976">
        <f>TeamHero生成!G976</f>
        <v>0</v>
      </c>
      <c r="I976">
        <f>TeamHero生成!H976</f>
        <v>0</v>
      </c>
    </row>
    <row r="977" spans="1:9">
      <c r="A977">
        <f>TeamHero生成!A977</f>
        <v>973</v>
      </c>
      <c r="B977">
        <f>TeamHero生成!B977</f>
        <v>1005</v>
      </c>
      <c r="C977">
        <f>TeamHero生成!C977</f>
        <v>60</v>
      </c>
      <c r="D977">
        <f>TeamHero生成!D977</f>
        <v>9162713</v>
      </c>
      <c r="E977">
        <f>TeamHero生成!E977</f>
        <v>139881</v>
      </c>
      <c r="F977">
        <f>TeamHero生成!F977</f>
        <v>61818</v>
      </c>
      <c r="G977" t="str">
        <f>TeamHero生成!AG977</f>
        <v>有效</v>
      </c>
      <c r="H977">
        <f>TeamHero生成!G977</f>
        <v>0</v>
      </c>
      <c r="I977">
        <f>TeamHero生成!H977</f>
        <v>0</v>
      </c>
    </row>
    <row r="978" spans="1:9">
      <c r="A978">
        <f>TeamHero生成!A978</f>
        <v>974</v>
      </c>
      <c r="B978">
        <f>TeamHero生成!B978</f>
        <v>1005</v>
      </c>
      <c r="C978">
        <f>TeamHero生成!C978</f>
        <v>60</v>
      </c>
      <c r="D978">
        <f>TeamHero生成!D978</f>
        <v>9162713</v>
      </c>
      <c r="E978">
        <f>TeamHero生成!E978</f>
        <v>139881</v>
      </c>
      <c r="F978">
        <f>TeamHero生成!F978</f>
        <v>61818</v>
      </c>
      <c r="G978" t="str">
        <f>TeamHero生成!AG978</f>
        <v>有效</v>
      </c>
      <c r="H978">
        <f>TeamHero生成!G978</f>
        <v>0</v>
      </c>
      <c r="I978">
        <f>TeamHero生成!H978</f>
        <v>0</v>
      </c>
    </row>
    <row r="979" spans="1:9">
      <c r="A979">
        <f>TeamHero生成!A979</f>
        <v>975</v>
      </c>
      <c r="B979">
        <f>TeamHero生成!B979</f>
        <v>1029</v>
      </c>
      <c r="C979">
        <f>TeamHero生成!C979</f>
        <v>60</v>
      </c>
      <c r="D979">
        <f>TeamHero生成!D979</f>
        <v>11453391</v>
      </c>
      <c r="E979">
        <f>TeamHero生成!E979</f>
        <v>116568</v>
      </c>
      <c r="F979">
        <f>TeamHero生成!F979</f>
        <v>77273</v>
      </c>
      <c r="G979" t="str">
        <f>TeamHero生成!AG979</f>
        <v>有效</v>
      </c>
      <c r="H979">
        <f>TeamHero生成!G979</f>
        <v>0</v>
      </c>
      <c r="I979">
        <f>TeamHero生成!H979</f>
        <v>0</v>
      </c>
    </row>
    <row r="980" spans="1:9">
      <c r="A980">
        <f>TeamHero生成!A980</f>
        <v>976</v>
      </c>
      <c r="B980">
        <f>TeamHero生成!B980</f>
        <v>1003</v>
      </c>
      <c r="C980">
        <f>TeamHero生成!C980</f>
        <v>60</v>
      </c>
      <c r="D980">
        <f>TeamHero生成!D980</f>
        <v>14061354</v>
      </c>
      <c r="E980">
        <f>TeamHero生成!E980</f>
        <v>119791</v>
      </c>
      <c r="F980">
        <f>TeamHero生成!F980</f>
        <v>93830</v>
      </c>
      <c r="G980" t="str">
        <f>TeamHero生成!AG980</f>
        <v>有效</v>
      </c>
      <c r="H980">
        <f>TeamHero生成!G980</f>
        <v>0</v>
      </c>
      <c r="I980">
        <f>TeamHero生成!H980</f>
        <v>0</v>
      </c>
    </row>
    <row r="981" spans="1:9">
      <c r="A981">
        <f>TeamHero生成!A981</f>
        <v>977</v>
      </c>
      <c r="B981">
        <f>TeamHero生成!B981</f>
        <v>1005</v>
      </c>
      <c r="C981">
        <f>TeamHero生成!C981</f>
        <v>60</v>
      </c>
      <c r="D981">
        <f>TeamHero生成!D981</f>
        <v>9374236</v>
      </c>
      <c r="E981">
        <f>TeamHero生成!E981</f>
        <v>143750</v>
      </c>
      <c r="F981">
        <f>TeamHero生成!F981</f>
        <v>62553</v>
      </c>
      <c r="G981" t="str">
        <f>TeamHero生成!AG981</f>
        <v>有效</v>
      </c>
      <c r="H981">
        <f>TeamHero生成!G981</f>
        <v>0</v>
      </c>
      <c r="I981">
        <f>TeamHero生成!H981</f>
        <v>0</v>
      </c>
    </row>
    <row r="982" spans="1:9">
      <c r="A982">
        <f>TeamHero生成!A982</f>
        <v>978</v>
      </c>
      <c r="B982">
        <f>TeamHero生成!B982</f>
        <v>1005</v>
      </c>
      <c r="C982">
        <f>TeamHero生成!C982</f>
        <v>60</v>
      </c>
      <c r="D982">
        <f>TeamHero生成!D982</f>
        <v>9374236</v>
      </c>
      <c r="E982">
        <f>TeamHero生成!E982</f>
        <v>143750</v>
      </c>
      <c r="F982">
        <f>TeamHero生成!F982</f>
        <v>62553</v>
      </c>
      <c r="G982" t="str">
        <f>TeamHero生成!AG982</f>
        <v>有效</v>
      </c>
      <c r="H982">
        <f>TeamHero生成!G982</f>
        <v>0</v>
      </c>
      <c r="I982">
        <f>TeamHero生成!H982</f>
        <v>0</v>
      </c>
    </row>
    <row r="983" spans="1:9">
      <c r="A983">
        <f>TeamHero生成!A983</f>
        <v>979</v>
      </c>
      <c r="B983">
        <f>TeamHero生成!B983</f>
        <v>1005</v>
      </c>
      <c r="C983">
        <f>TeamHero生成!C983</f>
        <v>60</v>
      </c>
      <c r="D983">
        <f>TeamHero生成!D983</f>
        <v>9374236</v>
      </c>
      <c r="E983">
        <f>TeamHero生成!E983</f>
        <v>143750</v>
      </c>
      <c r="F983">
        <f>TeamHero生成!F983</f>
        <v>62553</v>
      </c>
      <c r="G983" t="str">
        <f>TeamHero生成!AG983</f>
        <v>有效</v>
      </c>
      <c r="H983">
        <f>TeamHero生成!G983</f>
        <v>0</v>
      </c>
      <c r="I983">
        <f>TeamHero生成!H983</f>
        <v>0</v>
      </c>
    </row>
    <row r="984" spans="1:9">
      <c r="A984">
        <f>TeamHero生成!A984</f>
        <v>980</v>
      </c>
      <c r="B984">
        <f>TeamHero生成!B984</f>
        <v>1029</v>
      </c>
      <c r="C984">
        <f>TeamHero生成!C984</f>
        <v>60</v>
      </c>
      <c r="D984">
        <f>TeamHero生成!D984</f>
        <v>11717795</v>
      </c>
      <c r="E984">
        <f>TeamHero生成!E984</f>
        <v>119791</v>
      </c>
      <c r="F984">
        <f>TeamHero生成!F984</f>
        <v>78191</v>
      </c>
      <c r="G984" t="str">
        <f>TeamHero生成!AG984</f>
        <v>有效</v>
      </c>
      <c r="H984">
        <f>TeamHero生成!G984</f>
        <v>0</v>
      </c>
      <c r="I984">
        <f>TeamHero生成!H984</f>
        <v>0</v>
      </c>
    </row>
    <row r="985" spans="1:9">
      <c r="A985">
        <f>TeamHero生成!A985</f>
        <v>981</v>
      </c>
      <c r="B985">
        <f>TeamHero生成!B985</f>
        <v>1003</v>
      </c>
      <c r="C985">
        <f>TeamHero生成!C985</f>
        <v>60</v>
      </c>
      <c r="D985">
        <f>TeamHero生成!D985</f>
        <v>14451113</v>
      </c>
      <c r="E985">
        <f>TeamHero生成!E985</f>
        <v>122563</v>
      </c>
      <c r="F985">
        <f>TeamHero生成!F985</f>
        <v>94937</v>
      </c>
      <c r="G985" t="str">
        <f>TeamHero生成!AG985</f>
        <v>有效</v>
      </c>
      <c r="H985">
        <f>TeamHero生成!G985</f>
        <v>0</v>
      </c>
      <c r="I985">
        <f>TeamHero生成!H985</f>
        <v>0</v>
      </c>
    </row>
    <row r="986" spans="1:9">
      <c r="A986">
        <f>TeamHero生成!A986</f>
        <v>982</v>
      </c>
      <c r="B986">
        <f>TeamHero生成!B986</f>
        <v>1005</v>
      </c>
      <c r="C986">
        <f>TeamHero生成!C986</f>
        <v>60</v>
      </c>
      <c r="D986">
        <f>TeamHero生成!D986</f>
        <v>9634075</v>
      </c>
      <c r="E986">
        <f>TeamHero生成!E986</f>
        <v>147076</v>
      </c>
      <c r="F986">
        <f>TeamHero生成!F986</f>
        <v>63291</v>
      </c>
      <c r="G986" t="str">
        <f>TeamHero生成!AG986</f>
        <v>有效</v>
      </c>
      <c r="H986">
        <f>TeamHero生成!G986</f>
        <v>0</v>
      </c>
      <c r="I986">
        <f>TeamHero生成!H986</f>
        <v>0</v>
      </c>
    </row>
    <row r="987" spans="1:9">
      <c r="A987">
        <f>TeamHero生成!A987</f>
        <v>983</v>
      </c>
      <c r="B987">
        <f>TeamHero生成!B987</f>
        <v>1005</v>
      </c>
      <c r="C987">
        <f>TeamHero生成!C987</f>
        <v>60</v>
      </c>
      <c r="D987">
        <f>TeamHero生成!D987</f>
        <v>9634075</v>
      </c>
      <c r="E987">
        <f>TeamHero生成!E987</f>
        <v>147076</v>
      </c>
      <c r="F987">
        <f>TeamHero生成!F987</f>
        <v>63291</v>
      </c>
      <c r="G987" t="str">
        <f>TeamHero生成!AG987</f>
        <v>有效</v>
      </c>
      <c r="H987">
        <f>TeamHero生成!G987</f>
        <v>0</v>
      </c>
      <c r="I987">
        <f>TeamHero生成!H987</f>
        <v>0</v>
      </c>
    </row>
    <row r="988" spans="1:9">
      <c r="A988">
        <f>TeamHero生成!A988</f>
        <v>984</v>
      </c>
      <c r="B988">
        <f>TeamHero生成!B988</f>
        <v>1005</v>
      </c>
      <c r="C988">
        <f>TeamHero生成!C988</f>
        <v>60</v>
      </c>
      <c r="D988">
        <f>TeamHero生成!D988</f>
        <v>9634075</v>
      </c>
      <c r="E988">
        <f>TeamHero生成!E988</f>
        <v>147076</v>
      </c>
      <c r="F988">
        <f>TeamHero生成!F988</f>
        <v>63291</v>
      </c>
      <c r="G988" t="str">
        <f>TeamHero生成!AG988</f>
        <v>有效</v>
      </c>
      <c r="H988">
        <f>TeamHero生成!G988</f>
        <v>0</v>
      </c>
      <c r="I988">
        <f>TeamHero生成!H988</f>
        <v>0</v>
      </c>
    </row>
    <row r="989" spans="1:9">
      <c r="A989">
        <f>TeamHero生成!A989</f>
        <v>985</v>
      </c>
      <c r="B989">
        <f>TeamHero生成!B989</f>
        <v>1029</v>
      </c>
      <c r="C989">
        <f>TeamHero生成!C989</f>
        <v>60</v>
      </c>
      <c r="D989">
        <f>TeamHero生成!D989</f>
        <v>12042594</v>
      </c>
      <c r="E989">
        <f>TeamHero生成!E989</f>
        <v>122563</v>
      </c>
      <c r="F989">
        <f>TeamHero生成!F989</f>
        <v>79114</v>
      </c>
      <c r="G989" t="str">
        <f>TeamHero生成!AG989</f>
        <v>有效</v>
      </c>
      <c r="H989">
        <f>TeamHero生成!G989</f>
        <v>0</v>
      </c>
      <c r="I989">
        <f>TeamHero生成!H989</f>
        <v>0</v>
      </c>
    </row>
    <row r="990" spans="1:9">
      <c r="A990">
        <f>TeamHero生成!A990</f>
        <v>986</v>
      </c>
      <c r="B990">
        <f>TeamHero生成!B990</f>
        <v>1003</v>
      </c>
      <c r="C990">
        <f>TeamHero生成!C990</f>
        <v>60</v>
      </c>
      <c r="D990">
        <f>TeamHero生成!D990</f>
        <v>14749154</v>
      </c>
      <c r="E990">
        <f>TeamHero生成!E990</f>
        <v>124678</v>
      </c>
      <c r="F990">
        <f>TeamHero生成!F990</f>
        <v>95771</v>
      </c>
      <c r="G990" t="str">
        <f>TeamHero生成!AG990</f>
        <v>有效</v>
      </c>
      <c r="H990">
        <f>TeamHero生成!G990</f>
        <v>0</v>
      </c>
      <c r="I990">
        <f>TeamHero生成!H990</f>
        <v>0</v>
      </c>
    </row>
    <row r="991" spans="1:9">
      <c r="A991">
        <f>TeamHero生成!A991</f>
        <v>987</v>
      </c>
      <c r="B991">
        <f>TeamHero生成!B991</f>
        <v>1005</v>
      </c>
      <c r="C991">
        <f>TeamHero生成!C991</f>
        <v>60</v>
      </c>
      <c r="D991">
        <f>TeamHero生成!D991</f>
        <v>9832769</v>
      </c>
      <c r="E991">
        <f>TeamHero生成!E991</f>
        <v>149614</v>
      </c>
      <c r="F991">
        <f>TeamHero生成!F991</f>
        <v>63847</v>
      </c>
      <c r="G991" t="str">
        <f>TeamHero生成!AG991</f>
        <v>有效</v>
      </c>
      <c r="H991">
        <f>TeamHero生成!G991</f>
        <v>0</v>
      </c>
      <c r="I991">
        <f>TeamHero生成!H991</f>
        <v>0</v>
      </c>
    </row>
    <row r="992" spans="1:9">
      <c r="A992">
        <f>TeamHero生成!A992</f>
        <v>988</v>
      </c>
      <c r="B992">
        <f>TeamHero生成!B992</f>
        <v>1005</v>
      </c>
      <c r="C992">
        <f>TeamHero生成!C992</f>
        <v>60</v>
      </c>
      <c r="D992">
        <f>TeamHero生成!D992</f>
        <v>9832769</v>
      </c>
      <c r="E992">
        <f>TeamHero生成!E992</f>
        <v>149614</v>
      </c>
      <c r="F992">
        <f>TeamHero生成!F992</f>
        <v>63847</v>
      </c>
      <c r="G992" t="str">
        <f>TeamHero生成!AG992</f>
        <v>有效</v>
      </c>
      <c r="H992">
        <f>TeamHero生成!G992</f>
        <v>0</v>
      </c>
      <c r="I992">
        <f>TeamHero生成!H992</f>
        <v>0</v>
      </c>
    </row>
    <row r="993" spans="1:9">
      <c r="A993">
        <f>TeamHero生成!A993</f>
        <v>989</v>
      </c>
      <c r="B993">
        <f>TeamHero生成!B993</f>
        <v>1005</v>
      </c>
      <c r="C993">
        <f>TeamHero生成!C993</f>
        <v>60</v>
      </c>
      <c r="D993">
        <f>TeamHero生成!D993</f>
        <v>9832769</v>
      </c>
      <c r="E993">
        <f>TeamHero生成!E993</f>
        <v>149614</v>
      </c>
      <c r="F993">
        <f>TeamHero生成!F993</f>
        <v>63847</v>
      </c>
      <c r="G993" t="str">
        <f>TeamHero生成!AG993</f>
        <v>有效</v>
      </c>
      <c r="H993">
        <f>TeamHero生成!G993</f>
        <v>0</v>
      </c>
      <c r="I993">
        <f>TeamHero生成!H993</f>
        <v>0</v>
      </c>
    </row>
    <row r="994" spans="1:9">
      <c r="A994">
        <f>TeamHero生成!A994</f>
        <v>990</v>
      </c>
      <c r="B994">
        <f>TeamHero生成!B994</f>
        <v>1029</v>
      </c>
      <c r="C994">
        <f>TeamHero生成!C994</f>
        <v>60</v>
      </c>
      <c r="D994">
        <f>TeamHero生成!D994</f>
        <v>12290961</v>
      </c>
      <c r="E994">
        <f>TeamHero生成!E994</f>
        <v>124678</v>
      </c>
      <c r="F994">
        <f>TeamHero生成!F994</f>
        <v>79809</v>
      </c>
      <c r="G994" t="str">
        <f>TeamHero生成!AG994</f>
        <v>有效</v>
      </c>
      <c r="H994">
        <f>TeamHero生成!G994</f>
        <v>0</v>
      </c>
      <c r="I994">
        <f>TeamHero生成!H994</f>
        <v>0</v>
      </c>
    </row>
    <row r="995" spans="1:9">
      <c r="A995">
        <f>TeamHero生成!A995</f>
        <v>991</v>
      </c>
      <c r="B995">
        <f>TeamHero生成!B995</f>
        <v>1003</v>
      </c>
      <c r="C995">
        <f>TeamHero生成!C995</f>
        <v>60</v>
      </c>
      <c r="D995">
        <f>TeamHero生成!D995</f>
        <v>15154294</v>
      </c>
      <c r="E995">
        <f>TeamHero生成!E995</f>
        <v>127547</v>
      </c>
      <c r="F995">
        <f>TeamHero生成!F995</f>
        <v>96888</v>
      </c>
      <c r="G995" t="str">
        <f>TeamHero生成!AG995</f>
        <v>有效</v>
      </c>
      <c r="H995">
        <f>TeamHero生成!G995</f>
        <v>0</v>
      </c>
      <c r="I995">
        <f>TeamHero生成!H995</f>
        <v>0</v>
      </c>
    </row>
    <row r="996" spans="1:9">
      <c r="A996">
        <f>TeamHero生成!A996</f>
        <v>992</v>
      </c>
      <c r="B996">
        <f>TeamHero生成!B996</f>
        <v>1005</v>
      </c>
      <c r="C996">
        <f>TeamHero生成!C996</f>
        <v>60</v>
      </c>
      <c r="D996">
        <f>TeamHero生成!D996</f>
        <v>10102863</v>
      </c>
      <c r="E996">
        <f>TeamHero生成!E996</f>
        <v>153057</v>
      </c>
      <c r="F996">
        <f>TeamHero生成!F996</f>
        <v>64592</v>
      </c>
      <c r="G996" t="str">
        <f>TeamHero生成!AG996</f>
        <v>有效</v>
      </c>
      <c r="H996">
        <f>TeamHero生成!G996</f>
        <v>0</v>
      </c>
      <c r="I996">
        <f>TeamHero生成!H996</f>
        <v>0</v>
      </c>
    </row>
    <row r="997" spans="1:9">
      <c r="A997">
        <f>TeamHero生成!A997</f>
        <v>993</v>
      </c>
      <c r="B997">
        <f>TeamHero生成!B997</f>
        <v>1005</v>
      </c>
      <c r="C997">
        <f>TeamHero生成!C997</f>
        <v>60</v>
      </c>
      <c r="D997">
        <f>TeamHero生成!D997</f>
        <v>10102863</v>
      </c>
      <c r="E997">
        <f>TeamHero生成!E997</f>
        <v>153057</v>
      </c>
      <c r="F997">
        <f>TeamHero生成!F997</f>
        <v>64592</v>
      </c>
      <c r="G997" t="str">
        <f>TeamHero生成!AG997</f>
        <v>有效</v>
      </c>
      <c r="H997">
        <f>TeamHero生成!G997</f>
        <v>0</v>
      </c>
      <c r="I997">
        <f>TeamHero生成!H997</f>
        <v>0</v>
      </c>
    </row>
    <row r="998" spans="1:9">
      <c r="A998">
        <f>TeamHero生成!A998</f>
        <v>994</v>
      </c>
      <c r="B998">
        <f>TeamHero生成!B998</f>
        <v>1005</v>
      </c>
      <c r="C998">
        <f>TeamHero生成!C998</f>
        <v>60</v>
      </c>
      <c r="D998">
        <f>TeamHero生成!D998</f>
        <v>10102863</v>
      </c>
      <c r="E998">
        <f>TeamHero生成!E998</f>
        <v>153057</v>
      </c>
      <c r="F998">
        <f>TeamHero生成!F998</f>
        <v>64592</v>
      </c>
      <c r="G998" t="str">
        <f>TeamHero生成!AG998</f>
        <v>有效</v>
      </c>
      <c r="H998">
        <f>TeamHero生成!G998</f>
        <v>0</v>
      </c>
      <c r="I998">
        <f>TeamHero生成!H998</f>
        <v>0</v>
      </c>
    </row>
    <row r="999" spans="1:9">
      <c r="A999">
        <f>TeamHero生成!A999</f>
        <v>995</v>
      </c>
      <c r="B999">
        <f>TeamHero生成!B999</f>
        <v>1029</v>
      </c>
      <c r="C999">
        <f>TeamHero生成!C999</f>
        <v>60</v>
      </c>
      <c r="D999">
        <f>TeamHero生成!D999</f>
        <v>12628578</v>
      </c>
      <c r="E999">
        <f>TeamHero生成!E999</f>
        <v>127547</v>
      </c>
      <c r="F999">
        <f>TeamHero生成!F999</f>
        <v>80740</v>
      </c>
      <c r="G999" t="str">
        <f>TeamHero生成!AG999</f>
        <v>有效</v>
      </c>
      <c r="H999">
        <f>TeamHero生成!G999</f>
        <v>0</v>
      </c>
      <c r="I999">
        <f>TeamHero生成!H999</f>
        <v>0</v>
      </c>
    </row>
    <row r="1000" spans="1:9">
      <c r="A1000">
        <f>TeamHero生成!A1000</f>
        <v>996</v>
      </c>
      <c r="B1000">
        <f>TeamHero生成!B1000</f>
        <v>1003</v>
      </c>
      <c r="C1000">
        <f>TeamHero生成!C1000</f>
        <v>60</v>
      </c>
      <c r="D1000">
        <f>TeamHero生成!D1000</f>
        <v>15580811</v>
      </c>
      <c r="E1000">
        <f>TeamHero生成!E1000</f>
        <v>130722</v>
      </c>
      <c r="F1000">
        <f>TeamHero生成!F1000</f>
        <v>98010</v>
      </c>
      <c r="G1000" t="str">
        <f>TeamHero生成!AG1000</f>
        <v>有效</v>
      </c>
      <c r="H1000">
        <f>TeamHero生成!G1000</f>
        <v>0</v>
      </c>
      <c r="I1000">
        <f>TeamHero生成!H1000</f>
        <v>0</v>
      </c>
    </row>
    <row r="1001" spans="1:9">
      <c r="A1001">
        <f>TeamHero生成!A1001</f>
        <v>997</v>
      </c>
      <c r="B1001">
        <f>TeamHero生成!B1001</f>
        <v>1005</v>
      </c>
      <c r="C1001">
        <f>TeamHero生成!C1001</f>
        <v>60</v>
      </c>
      <c r="D1001">
        <f>TeamHero生成!D1001</f>
        <v>10387208</v>
      </c>
      <c r="E1001">
        <f>TeamHero生成!E1001</f>
        <v>156866</v>
      </c>
      <c r="F1001">
        <f>TeamHero生成!F1001</f>
        <v>65340</v>
      </c>
      <c r="G1001" t="str">
        <f>TeamHero生成!AG1001</f>
        <v>有效</v>
      </c>
      <c r="H1001">
        <f>TeamHero生成!G1001</f>
        <v>0</v>
      </c>
      <c r="I1001">
        <f>TeamHero生成!H1001</f>
        <v>0</v>
      </c>
    </row>
    <row r="1002" spans="1:9">
      <c r="A1002">
        <f>TeamHero生成!A1002</f>
        <v>998</v>
      </c>
      <c r="B1002">
        <f>TeamHero生成!B1002</f>
        <v>1005</v>
      </c>
      <c r="C1002">
        <f>TeamHero生成!C1002</f>
        <v>60</v>
      </c>
      <c r="D1002">
        <f>TeamHero生成!D1002</f>
        <v>10387208</v>
      </c>
      <c r="E1002">
        <f>TeamHero生成!E1002</f>
        <v>156866</v>
      </c>
      <c r="F1002">
        <f>TeamHero生成!F1002</f>
        <v>65340</v>
      </c>
      <c r="G1002" t="str">
        <f>TeamHero生成!AG1002</f>
        <v>有效</v>
      </c>
      <c r="H1002">
        <f>TeamHero生成!G1002</f>
        <v>0</v>
      </c>
      <c r="I1002">
        <f>TeamHero生成!H1002</f>
        <v>0</v>
      </c>
    </row>
    <row r="1003" spans="1:9">
      <c r="A1003">
        <f>TeamHero生成!A1003</f>
        <v>999</v>
      </c>
      <c r="B1003">
        <f>TeamHero生成!B1003</f>
        <v>1005</v>
      </c>
      <c r="C1003">
        <f>TeamHero生成!C1003</f>
        <v>60</v>
      </c>
      <c r="D1003">
        <f>TeamHero生成!D1003</f>
        <v>10387208</v>
      </c>
      <c r="E1003">
        <f>TeamHero生成!E1003</f>
        <v>156866</v>
      </c>
      <c r="F1003">
        <f>TeamHero生成!F1003</f>
        <v>65340</v>
      </c>
      <c r="G1003" t="str">
        <f>TeamHero生成!AG1003</f>
        <v>有效</v>
      </c>
      <c r="H1003">
        <f>TeamHero生成!G1003</f>
        <v>0</v>
      </c>
      <c r="I1003">
        <f>TeamHero生成!H1003</f>
        <v>0</v>
      </c>
    </row>
    <row r="1004" spans="1:9">
      <c r="A1004">
        <f>TeamHero生成!A1004</f>
        <v>1000</v>
      </c>
      <c r="B1004">
        <f>TeamHero生成!B1004</f>
        <v>1029</v>
      </c>
      <c r="C1004">
        <f>TeamHero生成!C1004</f>
        <v>60</v>
      </c>
      <c r="D1004">
        <f>TeamHero生成!D1004</f>
        <v>12984010</v>
      </c>
      <c r="E1004">
        <f>TeamHero生成!E1004</f>
        <v>130722</v>
      </c>
      <c r="F1004">
        <f>TeamHero生成!F1004</f>
        <v>81675</v>
      </c>
      <c r="G1004" t="str">
        <f>TeamHero生成!AG1004</f>
        <v>有效</v>
      </c>
      <c r="H1004">
        <f>TeamHero生成!G1004</f>
        <v>0</v>
      </c>
      <c r="I1004">
        <f>TeamHero生成!H1004</f>
        <v>0</v>
      </c>
    </row>
  </sheetData>
  <mergeCells count="2">
    <mergeCell ref="A1:J1"/>
    <mergeCell ref="A2:J2"/>
  </mergeCells>
  <conditionalFormatting sqref="G5:G504">
    <cfRule type="expression" dxfId="0" priority="1">
      <formula>$G5="异常"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workbookViewId="0">
      <selection activeCell="A1" sqref="A1"/>
    </sheetView>
  </sheetViews>
  <sheetFormatPr defaultColWidth="9" defaultRowHeight="13.5"/>
  <cols>
    <col min="1" max="10" width="16" customWidth="1"/>
  </cols>
  <sheetData>
    <row r="1" ht="32" customHeight="1" spans="1:10">
      <c r="A1" s="11" t="s">
        <v>240</v>
      </c>
      <c r="B1" s="11" t="s">
        <v>241</v>
      </c>
      <c r="C1" s="11" t="s">
        <v>242</v>
      </c>
      <c r="D1" s="11" t="s">
        <v>243</v>
      </c>
      <c r="E1" s="11" t="s">
        <v>244</v>
      </c>
      <c r="F1" s="11" t="s">
        <v>245</v>
      </c>
      <c r="G1" s="11" t="s">
        <v>246</v>
      </c>
      <c r="H1" s="11" t="s">
        <v>247</v>
      </c>
      <c r="I1" s="11" t="s">
        <v>248</v>
      </c>
      <c r="J1" s="11" t="s">
        <v>249</v>
      </c>
    </row>
    <row r="2" spans="1:10">
      <c r="A2">
        <v>1</v>
      </c>
      <c r="B2">
        <v>24</v>
      </c>
      <c r="C2">
        <v>37</v>
      </c>
      <c r="D2">
        <f>INDEX(楼层配置!$D$5:$D$104,MATCH(A2,楼层配置!$B$5:$B$104,0))</f>
        <v>15</v>
      </c>
      <c r="E2" s="12">
        <v>5.5954829218417</v>
      </c>
      <c r="F2" s="12">
        <f>SUMIF(TeamHero生成!$K$5:$K$504,A2,TeamHero生成!$AH$5:$AH$504)/26573.2561562461</f>
        <v>1.9688363424757</v>
      </c>
      <c r="G2" s="12">
        <v>8.68099067253635</v>
      </c>
      <c r="H2" s="12">
        <f>79813.0282432991/SUMIF(TeamHero生成!$K$5:$K$504,A2,TeamHero生成!$E$5:$E$504)</f>
        <v>19.1766045755164</v>
      </c>
      <c r="I2" s="12">
        <f t="shared" ref="I2:I65" si="0">F2/E2</f>
        <v>0.351861737400795</v>
      </c>
      <c r="J2" s="12">
        <f t="shared" ref="J2:J65" si="1">H2/G2</f>
        <v>2.20903411821239</v>
      </c>
    </row>
    <row r="3" spans="1:10">
      <c r="A3">
        <v>2</v>
      </c>
      <c r="B3">
        <v>25</v>
      </c>
      <c r="C3">
        <v>44</v>
      </c>
      <c r="D3">
        <f>INDEX(楼层配置!$D$5:$D$104,MATCH(A3,楼层配置!$B$5:$B$104,0))</f>
        <v>18</v>
      </c>
      <c r="E3" s="12">
        <v>6.51765578967623</v>
      </c>
      <c r="F3" s="12">
        <f>SUMIF(TeamHero生成!$K$5:$K$504,A3,TeamHero生成!$AH$5:$AH$504)/28151.91071543</f>
        <v>2.3281771009268</v>
      </c>
      <c r="G3" s="12">
        <v>7.40897489021318</v>
      </c>
      <c r="H3" s="12">
        <f>83890.0209961094/SUMIF(TeamHero生成!$K$5:$K$504,A3,TeamHero生成!$E$5:$E$504)</f>
        <v>15.9517058368719</v>
      </c>
      <c r="I3" s="12">
        <f t="shared" si="0"/>
        <v>0.357210809539001</v>
      </c>
      <c r="J3" s="12">
        <f t="shared" si="1"/>
        <v>2.15302468603898</v>
      </c>
    </row>
    <row r="4" spans="1:10">
      <c r="A4">
        <v>3</v>
      </c>
      <c r="B4">
        <v>27</v>
      </c>
      <c r="C4">
        <v>51</v>
      </c>
      <c r="D4">
        <f>INDEX(楼层配置!$D$5:$D$104,MATCH(A4,楼层配置!$B$5:$B$104,0))</f>
        <v>22</v>
      </c>
      <c r="E4" s="12">
        <v>9.4142173213273</v>
      </c>
      <c r="F4" s="12">
        <f>SUMIF(TeamHero生成!$K$5:$K$504,A4,TeamHero生成!$AH$5:$AH$504)/31434.3368316531</f>
        <v>3.56288167643343</v>
      </c>
      <c r="G4" s="12">
        <v>8.28935632571941</v>
      </c>
      <c r="H4" s="12">
        <f>92272.4866090821/SUMIF(TeamHero生成!$K$5:$K$504,A4,TeamHero生成!$E$5:$E$504)</f>
        <v>16.70090255368</v>
      </c>
      <c r="I4" s="12">
        <f t="shared" si="0"/>
        <v>0.378457555718621</v>
      </c>
      <c r="J4" s="12">
        <f t="shared" si="1"/>
        <v>2.01474057784946</v>
      </c>
    </row>
    <row r="5" spans="1:10">
      <c r="A5">
        <v>4</v>
      </c>
      <c r="B5">
        <v>29</v>
      </c>
      <c r="C5">
        <v>59</v>
      </c>
      <c r="D5">
        <f>INDEX(楼层配置!$D$5:$D$104,MATCH(A5,楼层配置!$B$5:$B$104,0))</f>
        <v>25</v>
      </c>
      <c r="E5" s="12">
        <v>7.59459437601721</v>
      </c>
      <c r="F5" s="12">
        <f>SUMIF(TeamHero生成!$K$5:$K$504,A5,TeamHero生成!$AH$5:$AH$504)/34979.1578961386</f>
        <v>2.90760197263718</v>
      </c>
      <c r="G5" s="12">
        <v>6.82497214162308</v>
      </c>
      <c r="H5" s="12">
        <f>101159.979251686/SUMIF(TeamHero生成!$K$5:$K$504,A5,TeamHero生成!$E$5:$E$504)</f>
        <v>13.6795103788622</v>
      </c>
      <c r="I5" s="12">
        <f t="shared" si="0"/>
        <v>0.38285151631258</v>
      </c>
      <c r="J5" s="12">
        <f t="shared" si="1"/>
        <v>2.0043320463443</v>
      </c>
    </row>
    <row r="6" spans="1:10">
      <c r="A6">
        <v>5</v>
      </c>
      <c r="B6">
        <v>30</v>
      </c>
      <c r="C6">
        <v>65</v>
      </c>
      <c r="D6">
        <f>INDEX(楼层配置!$D$5:$D$104,MATCH(A6,楼层配置!$B$5:$B$104,0))</f>
        <v>28</v>
      </c>
      <c r="E6" s="12">
        <v>10.5939515485235</v>
      </c>
      <c r="F6" s="12">
        <f>SUMIF(TeamHero生成!$K$5:$K$504,A6,TeamHero生成!$AH$5:$AH$504)/36095.898235044</f>
        <v>3.96947575087337</v>
      </c>
      <c r="G6" s="12">
        <v>7.05902187643787</v>
      </c>
      <c r="H6" s="12">
        <f>103648.571416605/SUMIF(TeamHero生成!$K$5:$K$504,A6,TeamHero生成!$E$5:$E$504)</f>
        <v>14.1152895841761</v>
      </c>
      <c r="I6" s="12">
        <f t="shared" si="0"/>
        <v>0.374692647280098</v>
      </c>
      <c r="J6" s="12">
        <f t="shared" si="1"/>
        <v>1.99960983706413</v>
      </c>
    </row>
    <row r="7" spans="1:10">
      <c r="A7">
        <v>6</v>
      </c>
      <c r="B7">
        <v>32</v>
      </c>
      <c r="C7">
        <v>73</v>
      </c>
      <c r="D7">
        <f>INDEX(楼层配置!$D$5:$D$104,MATCH(A7,楼层配置!$B$5:$B$104,0))</f>
        <v>32</v>
      </c>
      <c r="E7" s="12">
        <v>9.76354475435241</v>
      </c>
      <c r="F7" s="12">
        <f>SUMIF(TeamHero生成!$K$5:$K$504,A7,TeamHero生成!$AH$5:$AH$504)/40188.015975026</f>
        <v>4.0798595069624</v>
      </c>
      <c r="G7" s="12">
        <v>6.75350278185777</v>
      </c>
      <c r="H7" s="12">
        <f>112891.038669981/SUMIF(TeamHero生成!$K$5:$K$504,A7,TeamHero生成!$E$5:$E$504)</f>
        <v>12.4645068643018</v>
      </c>
      <c r="I7" s="12">
        <f t="shared" si="0"/>
        <v>0.417866626272561</v>
      </c>
      <c r="J7" s="12">
        <f t="shared" si="1"/>
        <v>1.8456358525217</v>
      </c>
    </row>
    <row r="8" spans="1:10">
      <c r="A8">
        <v>7</v>
      </c>
      <c r="B8">
        <v>34</v>
      </c>
      <c r="C8">
        <v>79</v>
      </c>
      <c r="D8">
        <f>INDEX(楼层配置!$D$5:$D$104,MATCH(A8,楼层配置!$B$5:$B$104,0))</f>
        <v>35</v>
      </c>
      <c r="E8" s="12">
        <v>9.97885189230982</v>
      </c>
      <c r="F8" s="12">
        <f>SUMIF(TeamHero生成!$K$5:$K$504,A8,TeamHero生成!$AH$5:$AH$504)/44544.2269978621</f>
        <v>4.48832334119516</v>
      </c>
      <c r="G8" s="12">
        <v>7.39200577586841</v>
      </c>
      <c r="H8" s="12">
        <f>122519.471284751/SUMIF(TeamHero生成!$K$5:$K$504,A8,TeamHero生成!$E$5:$E$504)</f>
        <v>12.8710443623018</v>
      </c>
      <c r="I8" s="12">
        <f t="shared" si="0"/>
        <v>0.449783541196165</v>
      </c>
      <c r="J8" s="12">
        <f t="shared" si="1"/>
        <v>1.74121135082443</v>
      </c>
    </row>
    <row r="9" spans="1:10">
      <c r="A9">
        <v>8</v>
      </c>
      <c r="B9">
        <v>36</v>
      </c>
      <c r="C9">
        <v>86</v>
      </c>
      <c r="D9">
        <f>INDEX(楼层配置!$D$5:$D$104,MATCH(A9,楼层配置!$B$5:$B$104,0))</f>
        <v>38</v>
      </c>
      <c r="E9" s="12">
        <v>11.052119387831</v>
      </c>
      <c r="F9" s="12">
        <f>SUMIF(TeamHero生成!$K$5:$K$504,A9,TeamHero生成!$AH$5:$AH$504)/49292.6925072589</f>
        <v>4.98025069430286</v>
      </c>
      <c r="G9" s="12">
        <v>8.23368523776676</v>
      </c>
      <c r="H9" s="12">
        <f>132853.171023985/SUMIF(TeamHero生成!$K$5:$K$504,A9,TeamHero生成!$E$5:$E$504)</f>
        <v>14.2088952966829</v>
      </c>
      <c r="I9" s="12">
        <f t="shared" si="0"/>
        <v>0.450614992431804</v>
      </c>
      <c r="J9" s="12">
        <f t="shared" si="1"/>
        <v>1.7257029976697</v>
      </c>
    </row>
    <row r="10" spans="1:10">
      <c r="A10">
        <v>9</v>
      </c>
      <c r="B10">
        <v>38</v>
      </c>
      <c r="C10">
        <v>93</v>
      </c>
      <c r="D10">
        <f>INDEX(楼层配置!$D$5:$D$104,MATCH(A10,楼层配置!$B$5:$B$104,0))</f>
        <v>42</v>
      </c>
      <c r="E10" s="12">
        <v>10.2061983474411</v>
      </c>
      <c r="F10" s="12">
        <f>SUMIF(TeamHero生成!$K$5:$K$504,A10,TeamHero生成!$AH$5:$AH$504)/54339.9167049591</f>
        <v>4.97407376976466</v>
      </c>
      <c r="G10" s="12">
        <v>7.81344934902795</v>
      </c>
      <c r="H10" s="12">
        <f>143621.04196543/SUMIF(TeamHero生成!$K$5:$K$504,A10,TeamHero生成!$E$5:$E$504)</f>
        <v>12.7504476176696</v>
      </c>
      <c r="I10" s="12">
        <f t="shared" si="0"/>
        <v>0.48735813281659</v>
      </c>
      <c r="J10" s="12">
        <f t="shared" si="1"/>
        <v>1.63185899698138</v>
      </c>
    </row>
    <row r="11" spans="1:10">
      <c r="A11">
        <v>10</v>
      </c>
      <c r="B11">
        <v>40</v>
      </c>
      <c r="C11">
        <v>100</v>
      </c>
      <c r="D11">
        <f>INDEX(楼层配置!$D$5:$D$104,MATCH(A11,楼层配置!$B$5:$B$104,0))</f>
        <v>45</v>
      </c>
      <c r="E11" s="12">
        <v>9.31388391144785</v>
      </c>
      <c r="F11" s="12">
        <f>SUMIF(TeamHero生成!$K$5:$K$504,A11,TeamHero生成!$AH$5:$AH$504)/59707.7034555283</f>
        <v>4.69587446465486</v>
      </c>
      <c r="G11" s="12">
        <v>7.68835778264004</v>
      </c>
      <c r="H11" s="12">
        <f>154857.631643349/SUMIF(TeamHero生成!$K$5:$K$504,A11,TeamHero生成!$E$5:$E$504)</f>
        <v>12.2727557174948</v>
      </c>
      <c r="I11" s="12">
        <f t="shared" si="0"/>
        <v>0.504180050911208</v>
      </c>
      <c r="J11" s="12">
        <f t="shared" si="1"/>
        <v>1.59627791323735</v>
      </c>
    </row>
    <row r="12" spans="1:10">
      <c r="A12">
        <v>11</v>
      </c>
      <c r="B12">
        <v>42</v>
      </c>
      <c r="C12">
        <v>106</v>
      </c>
      <c r="D12">
        <f>INDEX(楼层配置!$D$5:$D$104,MATCH(A12,楼层配置!$B$5:$B$104,0))</f>
        <v>49</v>
      </c>
      <c r="E12" s="12">
        <v>9.32986902024131</v>
      </c>
      <c r="F12" s="12">
        <f>SUMIF(TeamHero生成!$K$5:$K$504,A12,TeamHero生成!$AH$5:$AH$504)/66623.8615756815</f>
        <v>4.86113190290092</v>
      </c>
      <c r="G12" s="12">
        <v>7.90856745510231</v>
      </c>
      <c r="H12" s="12">
        <f>169193.90679273/SUMIF(TeamHero生成!$K$5:$K$504,A12,TeamHero生成!$E$5:$E$504)</f>
        <v>12.2951752628973</v>
      </c>
      <c r="I12" s="12">
        <f t="shared" si="0"/>
        <v>0.521028954678207</v>
      </c>
      <c r="J12" s="12">
        <f t="shared" si="1"/>
        <v>1.55466528327642</v>
      </c>
    </row>
    <row r="13" spans="1:10">
      <c r="A13">
        <v>12</v>
      </c>
      <c r="B13">
        <v>44</v>
      </c>
      <c r="C13">
        <v>113</v>
      </c>
      <c r="D13">
        <f>INDEX(楼层配置!$D$5:$D$104,MATCH(A13,楼层配置!$B$5:$B$104,0))</f>
        <v>52</v>
      </c>
      <c r="E13" s="12">
        <v>10.7465246829535</v>
      </c>
      <c r="F13" s="12">
        <f>SUMIF(TeamHero生成!$K$5:$K$504,A13,TeamHero生成!$AH$5:$AH$504)/74012.7038046249</f>
        <v>5.3921190212627</v>
      </c>
      <c r="G13" s="12">
        <v>8.29949596766359</v>
      </c>
      <c r="H13" s="12">
        <f>184219.561156841/SUMIF(TeamHero生成!$K$5:$K$504,A13,TeamHero生成!$E$5:$E$504)</f>
        <v>13.1275964623987</v>
      </c>
      <c r="I13" s="12">
        <f t="shared" si="0"/>
        <v>0.501754677008825</v>
      </c>
      <c r="J13" s="12">
        <f t="shared" si="1"/>
        <v>1.5817341816354</v>
      </c>
    </row>
    <row r="14" spans="1:10">
      <c r="A14">
        <v>13</v>
      </c>
      <c r="B14">
        <v>47</v>
      </c>
      <c r="C14">
        <v>120</v>
      </c>
      <c r="D14">
        <f>INDEX(楼层配置!$D$5:$D$104,MATCH(A14,楼层配置!$B$5:$B$104,0))</f>
        <v>56</v>
      </c>
      <c r="E14" s="12">
        <v>8.83333579120045</v>
      </c>
      <c r="F14" s="12">
        <f>SUMIF(TeamHero生成!$K$5:$K$504,A14,TeamHero生成!$AH$5:$AH$504)/86038.3004210639</f>
        <v>4.48407366674979</v>
      </c>
      <c r="G14" s="12">
        <v>8.1290353899744</v>
      </c>
      <c r="H14" s="12">
        <f>208094.426016822/SUMIF(TeamHero生成!$K$5:$K$504,A14,TeamHero生成!$E$5:$E$504)</f>
        <v>12.7829980967395</v>
      </c>
      <c r="I14" s="12">
        <f t="shared" si="0"/>
        <v>0.507630839893657</v>
      </c>
      <c r="J14" s="12">
        <f t="shared" si="1"/>
        <v>1.57251106478203</v>
      </c>
    </row>
    <row r="15" spans="1:10">
      <c r="A15">
        <v>14</v>
      </c>
      <c r="B15">
        <v>49</v>
      </c>
      <c r="C15">
        <v>126</v>
      </c>
      <c r="D15">
        <f>INDEX(楼层配置!$D$5:$D$104,MATCH(A15,楼层配置!$B$5:$B$104,0))</f>
        <v>59</v>
      </c>
      <c r="E15" s="12">
        <v>11.2881652571781</v>
      </c>
      <c r="F15" s="12">
        <f>SUMIF(TeamHero生成!$K$5:$K$504,A15,TeamHero生成!$AH$5:$AH$504)/94722.8402641455</f>
        <v>5.49343234525698</v>
      </c>
      <c r="G15" s="12">
        <v>9.19623173702079</v>
      </c>
      <c r="H15" s="12">
        <f>224931.69827091/SUMIF(TeamHero生成!$K$5:$K$504,A15,TeamHero生成!$E$5:$E$504)</f>
        <v>14.6975756841943</v>
      </c>
      <c r="I15" s="12">
        <f t="shared" si="0"/>
        <v>0.48665413910057</v>
      </c>
      <c r="J15" s="12">
        <f t="shared" si="1"/>
        <v>1.59821719422609</v>
      </c>
    </row>
    <row r="16" spans="1:10">
      <c r="A16">
        <v>15</v>
      </c>
      <c r="B16">
        <v>51</v>
      </c>
      <c r="C16">
        <v>133</v>
      </c>
      <c r="D16">
        <f>INDEX(楼层配置!$D$5:$D$104,MATCH(A16,楼层配置!$B$5:$B$104,0))</f>
        <v>63</v>
      </c>
      <c r="E16" s="12">
        <v>11.1656721049002</v>
      </c>
      <c r="F16" s="12">
        <f>SUMIF(TeamHero生成!$K$5:$K$504,A16,TeamHero生成!$AH$5:$AH$504)/103974.32683706</f>
        <v>5.45094045359719</v>
      </c>
      <c r="G16" s="12">
        <v>8.86275654768563</v>
      </c>
      <c r="H16" s="12">
        <f>242529.808969775/SUMIF(TeamHero生成!$K$5:$K$504,A16,TeamHero生成!$E$5:$E$504)</f>
        <v>14.1013901372042</v>
      </c>
      <c r="I16" s="12">
        <f t="shared" si="0"/>
        <v>0.488187401742254</v>
      </c>
      <c r="J16" s="12">
        <f t="shared" si="1"/>
        <v>1.59108399980665</v>
      </c>
    </row>
    <row r="17" spans="1:10">
      <c r="A17">
        <v>16</v>
      </c>
      <c r="B17">
        <v>53</v>
      </c>
      <c r="C17">
        <v>141</v>
      </c>
      <c r="D17">
        <f>INDEX(楼层配置!$D$5:$D$104,MATCH(A17,楼层配置!$B$5:$B$104,0))</f>
        <v>66</v>
      </c>
      <c r="E17" s="12">
        <v>12.5594335542377</v>
      </c>
      <c r="F17" s="12">
        <f>SUMIF(TeamHero生成!$K$5:$K$504,A17,TeamHero生成!$AH$5:$AH$504)/113822.405455727</f>
        <v>5.79762215773365</v>
      </c>
      <c r="G17" s="12">
        <v>8.7635929939772</v>
      </c>
      <c r="H17" s="12">
        <f>260909.970617466/SUMIF(TeamHero生成!$K$5:$K$504,A17,TeamHero生成!$E$5:$E$504)</f>
        <v>14.3625437970641</v>
      </c>
      <c r="I17" s="12">
        <f t="shared" si="0"/>
        <v>0.461614939296165</v>
      </c>
      <c r="J17" s="12">
        <f t="shared" si="1"/>
        <v>1.63888758947783</v>
      </c>
    </row>
    <row r="18" spans="1:10">
      <c r="A18">
        <v>17</v>
      </c>
      <c r="B18">
        <v>55</v>
      </c>
      <c r="C18">
        <v>148</v>
      </c>
      <c r="D18">
        <f>INDEX(楼层配置!$D$5:$D$104,MATCH(A18,楼层配置!$B$5:$B$104,0))</f>
        <v>70</v>
      </c>
      <c r="E18" s="12">
        <v>13.1176798708932</v>
      </c>
      <c r="F18" s="12">
        <f>SUMIF(TeamHero生成!$K$5:$K$504,A18,TeamHero生成!$AH$5:$AH$504)/123546.244245202</f>
        <v>5.92498147331118</v>
      </c>
      <c r="G18" s="12">
        <v>8.74053028706996</v>
      </c>
      <c r="H18" s="12">
        <f>278746.593810699/SUMIF(TeamHero生成!$K$5:$K$504,A18,TeamHero生成!$E$5:$E$504)</f>
        <v>14.459310810805</v>
      </c>
      <c r="I18" s="12">
        <f t="shared" si="0"/>
        <v>0.451679072185479</v>
      </c>
      <c r="J18" s="12">
        <f t="shared" si="1"/>
        <v>1.65428301669465</v>
      </c>
    </row>
    <row r="19" spans="1:10">
      <c r="A19">
        <v>18</v>
      </c>
      <c r="B19">
        <v>58</v>
      </c>
      <c r="C19">
        <v>155</v>
      </c>
      <c r="D19">
        <f>INDEX(楼层配置!$D$5:$D$104,MATCH(A19,楼层配置!$B$5:$B$104,0))</f>
        <v>73</v>
      </c>
      <c r="E19" s="12">
        <v>11.7061535720668</v>
      </c>
      <c r="F19" s="12">
        <f>SUMIF(TeamHero生成!$K$5:$K$504,A19,TeamHero生成!$AH$5:$AH$504)/136607.494103308</f>
        <v>5.30523278272904</v>
      </c>
      <c r="G19" s="12">
        <v>8.96278647704307</v>
      </c>
      <c r="H19" s="12">
        <f>302293.344300543/SUMIF(TeamHero生成!$K$5:$K$504,A19,TeamHero生成!$E$5:$E$504)</f>
        <v>14.8292050184225</v>
      </c>
      <c r="I19" s="12">
        <f t="shared" si="0"/>
        <v>0.453200340322578</v>
      </c>
      <c r="J19" s="12">
        <f t="shared" si="1"/>
        <v>1.65453065923253</v>
      </c>
    </row>
    <row r="20" spans="1:10">
      <c r="A20">
        <v>19</v>
      </c>
      <c r="B20">
        <v>60</v>
      </c>
      <c r="C20">
        <v>162</v>
      </c>
      <c r="D20">
        <f>INDEX(楼层配置!$D$5:$D$104,MATCH(A20,楼层配置!$B$5:$B$104,0))</f>
        <v>77</v>
      </c>
      <c r="E20" s="12">
        <v>13.7833581001967</v>
      </c>
      <c r="F20" s="12">
        <f>SUMIF(TeamHero生成!$K$5:$K$504,A20,TeamHero生成!$AH$5:$AH$504)/145842.967208347</f>
        <v>6.0703812065566</v>
      </c>
      <c r="G20" s="12">
        <v>9.23570969248688</v>
      </c>
      <c r="H20" s="12">
        <f>318642.987455275/SUMIF(TeamHero生成!$K$5:$K$504,A20,TeamHero生成!$E$5:$E$504)</f>
        <v>15.4276647358998</v>
      </c>
      <c r="I20" s="12">
        <f t="shared" si="0"/>
        <v>0.44041380644895</v>
      </c>
      <c r="J20" s="12">
        <f t="shared" si="1"/>
        <v>1.67043630100782</v>
      </c>
    </row>
    <row r="21" spans="1:10">
      <c r="A21">
        <v>20</v>
      </c>
      <c r="B21">
        <v>62</v>
      </c>
      <c r="C21">
        <v>169</v>
      </c>
      <c r="D21">
        <f>INDEX(楼层配置!$D$5:$D$104,MATCH(A21,楼层配置!$B$5:$B$104,0))</f>
        <v>80</v>
      </c>
      <c r="E21" s="12">
        <v>12.1046688879446</v>
      </c>
      <c r="F21" s="12">
        <f>SUMIF(TeamHero生成!$K$5:$K$504,A21,TeamHero生成!$AH$5:$AH$504)/155520.17908224</f>
        <v>5.25438456730994</v>
      </c>
      <c r="G21" s="12">
        <v>8.49957235486862</v>
      </c>
      <c r="H21" s="12">
        <f>335526.961890731/SUMIF(TeamHero生成!$K$5:$K$504,A21,TeamHero生成!$E$5:$E$504)</f>
        <v>14.3854811306264</v>
      </c>
      <c r="I21" s="12">
        <f t="shared" si="0"/>
        <v>0.434079165316363</v>
      </c>
      <c r="J21" s="12">
        <f t="shared" si="1"/>
        <v>1.69249469620508</v>
      </c>
    </row>
    <row r="22" spans="1:10">
      <c r="A22">
        <v>21</v>
      </c>
      <c r="B22">
        <v>65</v>
      </c>
      <c r="C22">
        <v>176</v>
      </c>
      <c r="D22">
        <f>INDEX(楼层配置!$D$5:$D$104,MATCH(A22,楼层配置!$B$5:$B$104,0))</f>
        <v>84</v>
      </c>
      <c r="E22" s="12">
        <v>14.679419520164</v>
      </c>
      <c r="F22" s="12">
        <f>SUMIF(TeamHero生成!$K$5:$K$504,A22,TeamHero生成!$AH$5:$AH$504)/171927.518056296</f>
        <v>6.28764697795128</v>
      </c>
      <c r="G22" s="12">
        <v>9.05445161127348</v>
      </c>
      <c r="H22" s="12">
        <f>364957.353601821/SUMIF(TeamHero生成!$K$5:$K$504,A22,TeamHero生成!$E$5:$E$504)</f>
        <v>15.273377426316</v>
      </c>
      <c r="I22" s="12">
        <f t="shared" si="0"/>
        <v>0.428330763986574</v>
      </c>
      <c r="J22" s="12">
        <f t="shared" si="1"/>
        <v>1.68683627479984</v>
      </c>
    </row>
    <row r="23" spans="1:10">
      <c r="A23">
        <v>22</v>
      </c>
      <c r="B23">
        <v>67</v>
      </c>
      <c r="C23">
        <v>182</v>
      </c>
      <c r="D23">
        <f>INDEX(楼层配置!$D$5:$D$104,MATCH(A23,楼层配置!$B$5:$B$104,0))</f>
        <v>88</v>
      </c>
      <c r="E23" s="12">
        <v>14.1292340240251</v>
      </c>
      <c r="F23" s="12">
        <f>SUMIF(TeamHero生成!$K$5:$K$504,A23,TeamHero生成!$AH$5:$AH$504)/184909.132903604</f>
        <v>6.18458698447759</v>
      </c>
      <c r="G23" s="12">
        <v>8.90756498055476</v>
      </c>
      <c r="H23" s="12">
        <f>389605.676229175/SUMIF(TeamHero生成!$K$5:$K$504,A23,TeamHero生成!$E$5:$E$504)</f>
        <v>14.8099622240915</v>
      </c>
      <c r="I23" s="12">
        <f t="shared" si="0"/>
        <v>0.437715659175963</v>
      </c>
      <c r="J23" s="12">
        <f t="shared" si="1"/>
        <v>1.66262746961955</v>
      </c>
    </row>
    <row r="24" spans="1:10">
      <c r="A24">
        <v>23</v>
      </c>
      <c r="B24">
        <v>69</v>
      </c>
      <c r="C24">
        <v>186</v>
      </c>
      <c r="D24">
        <f>INDEX(楼层配置!$D$5:$D$104,MATCH(A24,楼层配置!$B$5:$B$104,0))</f>
        <v>92</v>
      </c>
      <c r="E24" s="12">
        <v>15.5197232813022</v>
      </c>
      <c r="F24" s="12">
        <f>SUMIF(TeamHero生成!$K$5:$K$504,A24,TeamHero生成!$AH$5:$AH$504)/198494.437394498</f>
        <v>6.8768954720735</v>
      </c>
      <c r="G24" s="12">
        <v>9.9115756474108</v>
      </c>
      <c r="H24" s="12">
        <f>415130.42266199/SUMIF(TeamHero生成!$K$5:$K$504,A24,TeamHero生成!$E$5:$E$504)</f>
        <v>16.2592206901923</v>
      </c>
      <c r="I24" s="12">
        <f t="shared" si="0"/>
        <v>0.443106835568301</v>
      </c>
      <c r="J24" s="12">
        <f t="shared" si="1"/>
        <v>1.64042744247628</v>
      </c>
    </row>
    <row r="25" spans="1:10">
      <c r="A25">
        <v>24</v>
      </c>
      <c r="B25">
        <v>72</v>
      </c>
      <c r="C25">
        <v>193</v>
      </c>
      <c r="D25">
        <f>INDEX(楼层配置!$D$5:$D$104,MATCH(A25,楼层配置!$B$5:$B$104,0))</f>
        <v>96</v>
      </c>
      <c r="E25" s="12">
        <v>15.4856026575642</v>
      </c>
      <c r="F25" s="12">
        <f>SUMIF(TeamHero生成!$K$5:$K$504,A25,TeamHero生成!$AH$5:$AH$504)/216890.590855432</f>
        <v>6.98491867712292</v>
      </c>
      <c r="G25" s="12">
        <v>10.6644685348191</v>
      </c>
      <c r="H25" s="12">
        <f>449316.591842609/SUMIF(TeamHero生成!$K$5:$K$504,A25,TeamHero生成!$E$5:$E$504)</f>
        <v>17.2747632388546</v>
      </c>
      <c r="I25" s="12">
        <f t="shared" si="0"/>
        <v>0.451058885571432</v>
      </c>
      <c r="J25" s="12">
        <f t="shared" si="1"/>
        <v>1.61984286253489</v>
      </c>
    </row>
    <row r="26" spans="1:10">
      <c r="A26">
        <v>25</v>
      </c>
      <c r="B26">
        <v>74</v>
      </c>
      <c r="C26">
        <v>198</v>
      </c>
      <c r="D26">
        <f>INDEX(楼层配置!$D$5:$D$104,MATCH(A26,楼层配置!$B$5:$B$104,0))</f>
        <v>100</v>
      </c>
      <c r="E26" s="12">
        <v>14.8636984558486</v>
      </c>
      <c r="F26" s="12">
        <f>SUMIF(TeamHero生成!$K$5:$K$504,A26,TeamHero生成!$AH$5:$AH$504)/229107.066317105</f>
        <v>6.82571301311966</v>
      </c>
      <c r="G26" s="12">
        <v>10.4209641377275</v>
      </c>
      <c r="H26" s="12">
        <f>471776.255639065/SUMIF(TeamHero生成!$K$5:$K$504,A26,TeamHero生成!$E$5:$E$504)</f>
        <v>16.686459011745</v>
      </c>
      <c r="I26" s="12">
        <f t="shared" si="0"/>
        <v>0.459220363854587</v>
      </c>
      <c r="J26" s="12">
        <f t="shared" si="1"/>
        <v>1.60123946222348</v>
      </c>
    </row>
    <row r="27" spans="1:10">
      <c r="A27">
        <v>26</v>
      </c>
      <c r="B27">
        <v>76</v>
      </c>
      <c r="C27">
        <v>201</v>
      </c>
      <c r="D27">
        <f>INDEX(楼层配置!$D$5:$D$104,MATCH(A27,楼层配置!$B$5:$B$104,0))</f>
        <v>104</v>
      </c>
      <c r="E27" s="12">
        <v>13.0474570319583</v>
      </c>
      <c r="F27" s="12">
        <f>SUMIF(TeamHero生成!$K$5:$K$504,A27,TeamHero生成!$AH$5:$AH$504)/241771.641497773</f>
        <v>6.46244861037349</v>
      </c>
      <c r="G27" s="12">
        <v>9.96210913687108</v>
      </c>
      <c r="H27" s="12">
        <f>494857.081367539/SUMIF(TeamHero生成!$K$5:$K$504,A27,TeamHero生成!$E$5:$E$504)</f>
        <v>15.2681830664755</v>
      </c>
      <c r="I27" s="12">
        <f t="shared" si="0"/>
        <v>0.495303306578779</v>
      </c>
      <c r="J27" s="12">
        <f t="shared" si="1"/>
        <v>1.53262555716901</v>
      </c>
    </row>
    <row r="28" spans="1:10">
      <c r="A28">
        <v>27</v>
      </c>
      <c r="B28">
        <v>79</v>
      </c>
      <c r="C28">
        <v>207</v>
      </c>
      <c r="D28">
        <f>INDEX(楼层配置!$D$5:$D$104,MATCH(A28,楼层配置!$B$5:$B$104,0))</f>
        <v>108</v>
      </c>
      <c r="E28" s="12">
        <v>15.5854272437086</v>
      </c>
      <c r="F28" s="12">
        <f>SUMIF(TeamHero生成!$K$5:$K$504,A28,TeamHero生成!$AH$5:$AH$504)/261637.468664633</f>
        <v>7.61062285422895</v>
      </c>
      <c r="G28" s="12">
        <v>11.0192988279702</v>
      </c>
      <c r="H28" s="12">
        <f>530664.445346228/SUMIF(TeamHero生成!$K$5:$K$504,A28,TeamHero生成!$E$5:$E$504)</f>
        <v>16.9098351075849</v>
      </c>
      <c r="I28" s="12">
        <f t="shared" si="0"/>
        <v>0.488316600836281</v>
      </c>
      <c r="J28" s="12">
        <f t="shared" si="1"/>
        <v>1.5345654357483</v>
      </c>
    </row>
    <row r="29" spans="1:10">
      <c r="A29">
        <v>28</v>
      </c>
      <c r="B29">
        <v>81</v>
      </c>
      <c r="C29">
        <v>211</v>
      </c>
      <c r="D29">
        <f>INDEX(楼层配置!$D$5:$D$104,MATCH(A29,楼层配置!$B$5:$B$104,0))</f>
        <v>112</v>
      </c>
      <c r="E29" s="12">
        <v>15.7806103772959</v>
      </c>
      <c r="F29" s="12">
        <f>SUMIF(TeamHero生成!$K$5:$K$504,A29,TeamHero生成!$AH$5:$AH$504)/275480.354315355</f>
        <v>7.93770121473032</v>
      </c>
      <c r="G29" s="12">
        <v>10.7684462426168</v>
      </c>
      <c r="H29" s="12">
        <f>555341.188571833/SUMIF(TeamHero生成!$K$5:$K$504,A29,TeamHero生成!$E$5:$E$504)</f>
        <v>16.2001513585716</v>
      </c>
      <c r="I29" s="12">
        <f t="shared" si="0"/>
        <v>0.503003434274669</v>
      </c>
      <c r="J29" s="12">
        <f t="shared" si="1"/>
        <v>1.5044093635773</v>
      </c>
    </row>
    <row r="30" spans="1:10">
      <c r="A30">
        <v>29</v>
      </c>
      <c r="B30">
        <v>84</v>
      </c>
      <c r="C30">
        <v>216</v>
      </c>
      <c r="D30">
        <f>INDEX(楼层配置!$D$5:$D$104,MATCH(A30,楼层配置!$B$5:$B$104,0))</f>
        <v>116</v>
      </c>
      <c r="E30" s="12">
        <v>14.0236540905299</v>
      </c>
      <c r="F30" s="12">
        <f>SUMIF(TeamHero生成!$K$5:$K$504,A30,TeamHero生成!$AH$5:$AH$504)/297177.924285563</f>
        <v>7.17537105969883</v>
      </c>
      <c r="G30" s="12">
        <v>10.6544507656704</v>
      </c>
      <c r="H30" s="12">
        <f>593588.996599568/SUMIF(TeamHero生成!$K$5:$K$504,A30,TeamHero生成!$E$5:$E$504)</f>
        <v>15.8938869681519</v>
      </c>
      <c r="I30" s="12">
        <f t="shared" si="0"/>
        <v>0.511662011439966</v>
      </c>
      <c r="J30" s="12">
        <f t="shared" si="1"/>
        <v>1.49176032793388</v>
      </c>
    </row>
    <row r="31" spans="1:10">
      <c r="A31">
        <v>30</v>
      </c>
      <c r="B31">
        <v>86</v>
      </c>
      <c r="C31">
        <v>220</v>
      </c>
      <c r="D31">
        <f>INDEX(楼层配置!$D$5:$D$104,MATCH(A31,楼层配置!$B$5:$B$104,0))</f>
        <v>120</v>
      </c>
      <c r="E31" s="12">
        <v>14.0528972023892</v>
      </c>
      <c r="F31" s="12">
        <f>SUMIF(TeamHero生成!$K$5:$K$504,A31,TeamHero生成!$AH$5:$AH$504)/309251.070113964</f>
        <v>7.40766118768522</v>
      </c>
      <c r="G31" s="12">
        <v>11.1551717874543</v>
      </c>
      <c r="H31" s="12">
        <f>614695.104720323/SUMIF(TeamHero生成!$K$5:$K$504,A31,TeamHero生成!$E$5:$E$504)</f>
        <v>16.3391484734676</v>
      </c>
      <c r="I31" s="12">
        <f t="shared" si="0"/>
        <v>0.527126974672939</v>
      </c>
      <c r="J31" s="12">
        <f t="shared" si="1"/>
        <v>1.46471509222686</v>
      </c>
    </row>
    <row r="32" spans="1:10">
      <c r="A32">
        <v>31</v>
      </c>
      <c r="B32">
        <v>89</v>
      </c>
      <c r="C32">
        <v>224</v>
      </c>
      <c r="D32">
        <f>INDEX(楼层配置!$D$5:$D$104,MATCH(A32,楼层配置!$B$5:$B$104,0))</f>
        <v>124</v>
      </c>
      <c r="E32" s="12">
        <v>13.9209374859203</v>
      </c>
      <c r="F32" s="12">
        <f>SUMIF(TeamHero生成!$K$5:$K$504,A32,TeamHero生成!$AH$5:$AH$504)/326620.567530564</f>
        <v>7.67634113656579</v>
      </c>
      <c r="G32" s="12">
        <v>11.4476163780535</v>
      </c>
      <c r="H32" s="12">
        <f>644822.593466224/SUMIF(TeamHero生成!$K$5:$K$504,A32,TeamHero生成!$E$5:$E$504)</f>
        <v>16.3089330129552</v>
      </c>
      <c r="I32" s="12">
        <f t="shared" si="0"/>
        <v>0.551424151162928</v>
      </c>
      <c r="J32" s="12">
        <f t="shared" si="1"/>
        <v>1.42465754217808</v>
      </c>
    </row>
    <row r="33" spans="1:10">
      <c r="A33">
        <v>32</v>
      </c>
      <c r="B33">
        <v>91</v>
      </c>
      <c r="C33">
        <v>227</v>
      </c>
      <c r="D33">
        <f>INDEX(楼层配置!$D$5:$D$104,MATCH(A33,楼层配置!$B$5:$B$104,0))</f>
        <v>128</v>
      </c>
      <c r="E33" s="12">
        <v>14.7441499060816</v>
      </c>
      <c r="F33" s="12">
        <f>SUMIF(TeamHero生成!$K$5:$K$504,A33,TeamHero生成!$AH$5:$AH$504)/338576.001251767</f>
        <v>8.47845678337197</v>
      </c>
      <c r="G33" s="12">
        <v>12.0388150349879</v>
      </c>
      <c r="H33" s="12">
        <f>665388.142051712/SUMIF(TeamHero生成!$K$5:$K$504,A33,TeamHero生成!$E$5:$E$504)</f>
        <v>16.6939671346207</v>
      </c>
      <c r="I33" s="12">
        <f t="shared" si="0"/>
        <v>0.575038699238592</v>
      </c>
      <c r="J33" s="12">
        <f t="shared" si="1"/>
        <v>1.38667859636548</v>
      </c>
    </row>
    <row r="34" spans="1:10">
      <c r="A34">
        <v>33</v>
      </c>
      <c r="B34">
        <v>94</v>
      </c>
      <c r="C34">
        <v>231</v>
      </c>
      <c r="D34">
        <f>INDEX(楼层配置!$D$5:$D$104,MATCH(A34,楼层配置!$B$5:$B$104,0))</f>
        <v>132</v>
      </c>
      <c r="E34" s="12">
        <v>13.889039500179</v>
      </c>
      <c r="F34" s="12">
        <f>SUMIF(TeamHero生成!$K$5:$K$504,A34,TeamHero生成!$AH$5:$AH$504)/357088.54534509</f>
        <v>8.20968320616461</v>
      </c>
      <c r="G34" s="12">
        <v>11.8215040581991</v>
      </c>
      <c r="H34" s="12">
        <f>696968.146649284/SUMIF(TeamHero生成!$K$5:$K$504,A34,TeamHero生成!$E$5:$E$504)</f>
        <v>16.1335219131779</v>
      </c>
      <c r="I34" s="12">
        <f t="shared" si="0"/>
        <v>0.591090781047804</v>
      </c>
      <c r="J34" s="12">
        <f t="shared" si="1"/>
        <v>1.36476051048581</v>
      </c>
    </row>
    <row r="35" spans="1:10">
      <c r="A35">
        <v>34</v>
      </c>
      <c r="B35">
        <v>96</v>
      </c>
      <c r="C35">
        <v>234</v>
      </c>
      <c r="D35">
        <f>INDEX(楼层配置!$D$5:$D$104,MATCH(A35,楼层配置!$B$5:$B$104,0))</f>
        <v>136</v>
      </c>
      <c r="E35" s="12">
        <v>13.952118420699</v>
      </c>
      <c r="F35" s="12">
        <f>SUMIF(TeamHero生成!$K$5:$K$504,A35,TeamHero生成!$AH$5:$AH$504)/369825.877110177</f>
        <v>8.59932848628803</v>
      </c>
      <c r="G35" s="12">
        <v>11.9256235107324</v>
      </c>
      <c r="H35" s="12">
        <f>718515.642412546/SUMIF(TeamHero生成!$K$5:$K$504,A35,TeamHero生成!$E$5:$E$504)</f>
        <v>15.8686287774144</v>
      </c>
      <c r="I35" s="12">
        <f t="shared" si="0"/>
        <v>0.616345720914344</v>
      </c>
      <c r="J35" s="12">
        <f t="shared" si="1"/>
        <v>1.330633049344</v>
      </c>
    </row>
    <row r="36" spans="1:10">
      <c r="A36">
        <v>35</v>
      </c>
      <c r="B36">
        <v>99</v>
      </c>
      <c r="C36">
        <v>238</v>
      </c>
      <c r="D36">
        <f>INDEX(楼层配置!$D$5:$D$104,MATCH(A36,楼层配置!$B$5:$B$104,0))</f>
        <v>140</v>
      </c>
      <c r="E36" s="12">
        <v>14.8156524452753</v>
      </c>
      <c r="F36" s="12">
        <f>SUMIF(TeamHero生成!$K$5:$K$504,A36,TeamHero生成!$AH$5:$AH$504)/389541.730298325</f>
        <v>9.18060034514453</v>
      </c>
      <c r="G36" s="12">
        <v>12.5612925672997</v>
      </c>
      <c r="H36" s="12">
        <f>751589.12299661/SUMIF(TeamHero生成!$K$5:$K$504,A36,TeamHero生成!$E$5:$E$504)</f>
        <v>16.6324936486813</v>
      </c>
      <c r="I36" s="12">
        <f t="shared" si="0"/>
        <v>0.619655487941216</v>
      </c>
      <c r="J36" s="12">
        <f t="shared" si="1"/>
        <v>1.32410685919218</v>
      </c>
    </row>
    <row r="37" spans="1:10">
      <c r="A37">
        <v>36</v>
      </c>
      <c r="B37">
        <v>101</v>
      </c>
      <c r="C37">
        <v>243</v>
      </c>
      <c r="D37">
        <f>INDEX(楼层配置!$D$5:$D$104,MATCH(A37,楼层配置!$B$5:$B$104,0))</f>
        <v>144</v>
      </c>
      <c r="E37" s="12">
        <v>14.3015158381316</v>
      </c>
      <c r="F37" s="12">
        <f>SUMIF(TeamHero生成!$K$5:$K$504,A37,TeamHero生成!$AH$5:$AH$504)/405743.55804063</f>
        <v>9.0871119941826</v>
      </c>
      <c r="G37" s="12">
        <v>12.0779696195182</v>
      </c>
      <c r="H37" s="12">
        <f>776696.17263262/SUMIF(TeamHero生成!$K$5:$K$504,A37,TeamHero生成!$E$5:$E$504)</f>
        <v>15.7640790061421</v>
      </c>
      <c r="I37" s="12">
        <f t="shared" si="0"/>
        <v>0.63539502364875</v>
      </c>
      <c r="J37" s="12">
        <f t="shared" si="1"/>
        <v>1.30519280166652</v>
      </c>
    </row>
    <row r="38" spans="1:10">
      <c r="A38">
        <v>37</v>
      </c>
      <c r="B38">
        <v>104</v>
      </c>
      <c r="C38">
        <v>249</v>
      </c>
      <c r="D38">
        <f>INDEX(楼层配置!$D$5:$D$104,MATCH(A38,楼层配置!$B$5:$B$104,0))</f>
        <v>148</v>
      </c>
      <c r="E38" s="12">
        <v>16.1072380387952</v>
      </c>
      <c r="F38" s="12">
        <f>SUMIF(TeamHero生成!$K$5:$K$504,A38,TeamHero生成!$AH$5:$AH$504)/438193.789707758</f>
        <v>10.0928997353345</v>
      </c>
      <c r="G38" s="12">
        <v>12.747689067503</v>
      </c>
      <c r="H38" s="12">
        <f>824109.783432817/SUMIF(TeamHero生成!$K$5:$K$504,A38,TeamHero生成!$E$5:$E$504)</f>
        <v>16.7264011250825</v>
      </c>
      <c r="I38" s="12">
        <f t="shared" si="0"/>
        <v>0.626606480330471</v>
      </c>
      <c r="J38" s="12">
        <f t="shared" si="1"/>
        <v>1.31211241790657</v>
      </c>
    </row>
    <row r="39" spans="1:10">
      <c r="A39">
        <v>38</v>
      </c>
      <c r="B39">
        <v>106</v>
      </c>
      <c r="C39">
        <v>253</v>
      </c>
      <c r="D39">
        <f>INDEX(楼层配置!$D$5:$D$104,MATCH(A39,楼层配置!$B$5:$B$104,0))</f>
        <v>152</v>
      </c>
      <c r="E39" s="12">
        <v>13.4503733257665</v>
      </c>
      <c r="F39" s="12">
        <f>SUMIF(TeamHero生成!$K$5:$K$504,A39,TeamHero生成!$AH$5:$AH$504)/460869.647293257</f>
        <v>8.66732878094757</v>
      </c>
      <c r="G39" s="12">
        <v>11.9379960074523</v>
      </c>
      <c r="H39" s="12">
        <f>856634.661818487/SUMIF(TeamHero生成!$K$5:$K$504,A39,TeamHero生成!$E$5:$E$504)</f>
        <v>15.4529568290518</v>
      </c>
      <c r="I39" s="12">
        <f t="shared" si="0"/>
        <v>0.644393175640992</v>
      </c>
      <c r="J39" s="12">
        <f t="shared" si="1"/>
        <v>1.29443474594943</v>
      </c>
    </row>
    <row r="40" spans="1:10">
      <c r="A40">
        <v>39</v>
      </c>
      <c r="B40">
        <v>109</v>
      </c>
      <c r="C40">
        <v>258</v>
      </c>
      <c r="D40">
        <f>INDEX(楼层配置!$D$5:$D$104,MATCH(A40,楼层配置!$B$5:$B$104,0))</f>
        <v>156</v>
      </c>
      <c r="E40" s="12">
        <v>14.3407579071774</v>
      </c>
      <c r="F40" s="12">
        <f>SUMIF(TeamHero生成!$K$5:$K$504,A40,TeamHero生成!$AH$5:$AH$504)/496512.167466768</f>
        <v>9.27200788953098</v>
      </c>
      <c r="G40" s="12">
        <v>12.1359920925472</v>
      </c>
      <c r="H40" s="12">
        <f>906819.150288173/SUMIF(TeamHero生成!$K$5:$K$504,A40,TeamHero生成!$E$5:$E$504)</f>
        <v>15.6477628086722</v>
      </c>
      <c r="I40" s="12">
        <f t="shared" si="0"/>
        <v>0.646549362979654</v>
      </c>
      <c r="J40" s="12">
        <f t="shared" si="1"/>
        <v>1.2893682435968</v>
      </c>
    </row>
    <row r="41" spans="1:10">
      <c r="A41">
        <v>40</v>
      </c>
      <c r="B41">
        <v>111</v>
      </c>
      <c r="C41">
        <v>263</v>
      </c>
      <c r="D41">
        <f>INDEX(楼层配置!$D$5:$D$104,MATCH(A41,楼层配置!$B$5:$B$104,0))</f>
        <v>160</v>
      </c>
      <c r="E41" s="12">
        <v>15.3614933264356</v>
      </c>
      <c r="F41" s="12">
        <f>SUMIF(TeamHero生成!$K$5:$K$504,A41,TeamHero生成!$AH$5:$AH$504)/521398.8462527</f>
        <v>9.82404018164525</v>
      </c>
      <c r="G41" s="12">
        <v>13.0353722235415</v>
      </c>
      <c r="H41" s="12">
        <f>941220.710756804/SUMIF(TeamHero生成!$K$5:$K$504,A41,TeamHero生成!$E$5:$E$504)</f>
        <v>16.9004652509661</v>
      </c>
      <c r="I41" s="12">
        <f t="shared" si="0"/>
        <v>0.639523773690612</v>
      </c>
      <c r="J41" s="12">
        <f t="shared" si="1"/>
        <v>1.29650806752141</v>
      </c>
    </row>
    <row r="42" spans="1:10">
      <c r="A42">
        <v>41</v>
      </c>
      <c r="B42">
        <v>114</v>
      </c>
      <c r="C42">
        <v>266</v>
      </c>
      <c r="D42">
        <f>INDEX(楼层配置!$D$5:$D$104,MATCH(A42,楼层配置!$B$5:$B$104,0))</f>
        <v>164</v>
      </c>
      <c r="E42" s="12">
        <v>15.9711363466944</v>
      </c>
      <c r="F42" s="12">
        <f>SUMIF(TeamHero生成!$K$5:$K$504,A42,TeamHero生成!$AH$5:$AH$504)/560485.544118464</f>
        <v>10.4135864424418</v>
      </c>
      <c r="G42" s="12">
        <v>13.3595235536546</v>
      </c>
      <c r="H42" s="12">
        <f>994264.71152202/SUMIF(TeamHero生成!$K$5:$K$504,A42,TeamHero生成!$E$5:$E$504)</f>
        <v>17.1023928636649</v>
      </c>
      <c r="I42" s="12">
        <f t="shared" si="0"/>
        <v>0.652025392332034</v>
      </c>
      <c r="J42" s="12">
        <f t="shared" si="1"/>
        <v>1.28016487975624</v>
      </c>
    </row>
    <row r="43" spans="1:10">
      <c r="A43">
        <v>42</v>
      </c>
      <c r="B43">
        <v>117</v>
      </c>
      <c r="C43">
        <v>272</v>
      </c>
      <c r="D43">
        <f>INDEX(楼层配置!$D$5:$D$104,MATCH(A43,楼层配置!$B$5:$B$104,0))</f>
        <v>167</v>
      </c>
      <c r="E43" s="12">
        <v>15.2438909988909</v>
      </c>
      <c r="F43" s="12">
        <f>SUMIF(TeamHero生成!$K$5:$K$504,A43,TeamHero生成!$AH$5:$AH$504)/595222.457060331</f>
        <v>9.69261373819195</v>
      </c>
      <c r="G43" s="12">
        <v>13.3686877722155</v>
      </c>
      <c r="H43" s="12">
        <f>1040579.6363749/SUMIF(TeamHero生成!$K$5:$K$504,A43,TeamHero生成!$E$5:$E$504)</f>
        <v>17.3786201108088</v>
      </c>
      <c r="I43" s="12">
        <f t="shared" si="0"/>
        <v>0.635835938402942</v>
      </c>
      <c r="J43" s="12">
        <f t="shared" si="1"/>
        <v>1.29994958420132</v>
      </c>
    </row>
    <row r="44" spans="1:10">
      <c r="A44">
        <v>43</v>
      </c>
      <c r="B44">
        <v>119</v>
      </c>
      <c r="C44">
        <v>275</v>
      </c>
      <c r="D44">
        <f>INDEX(楼层配置!$D$5:$D$104,MATCH(A44,楼层配置!$B$5:$B$104,0))</f>
        <v>171</v>
      </c>
      <c r="E44" s="12">
        <v>16.261343632532</v>
      </c>
      <c r="F44" s="12">
        <f>SUMIF(TeamHero生成!$K$5:$K$504,A44,TeamHero生成!$AH$5:$AH$504)/618477.56011896</f>
        <v>10.5369511077409</v>
      </c>
      <c r="G44" s="12">
        <v>13.4464573401114</v>
      </c>
      <c r="H44" s="12">
        <f>1071138.05099839/SUMIF(TeamHero生成!$K$5:$K$504,A44,TeamHero生成!$E$5:$E$504)</f>
        <v>17.2663945289572</v>
      </c>
      <c r="I44" s="12">
        <f t="shared" si="0"/>
        <v>0.647975428467111</v>
      </c>
      <c r="J44" s="12">
        <f t="shared" si="1"/>
        <v>1.28408502642929</v>
      </c>
    </row>
    <row r="45" spans="1:10">
      <c r="A45">
        <v>44</v>
      </c>
      <c r="B45">
        <v>122</v>
      </c>
      <c r="C45">
        <v>279</v>
      </c>
      <c r="D45">
        <f>INDEX(楼层配置!$D$5:$D$104,MATCH(A45,楼层配置!$B$5:$B$104,0))</f>
        <v>174</v>
      </c>
      <c r="E45" s="12">
        <v>16.2244126864652</v>
      </c>
      <c r="F45" s="12">
        <f>SUMIF(TeamHero生成!$K$5:$K$504,A45,TeamHero生成!$AH$5:$AH$504)/654667.477063402</f>
        <v>10.5540776349439</v>
      </c>
      <c r="G45" s="12">
        <v>13.5796287903225</v>
      </c>
      <c r="H45" s="12">
        <f>1117995.99828373/SUMIF(TeamHero生成!$K$5:$K$504,A45,TeamHero生成!$E$5:$E$504)</f>
        <v>17.3947597442701</v>
      </c>
      <c r="I45" s="12">
        <f t="shared" si="0"/>
        <v>0.650505989886979</v>
      </c>
      <c r="J45" s="12">
        <f t="shared" si="1"/>
        <v>1.28094515784308</v>
      </c>
    </row>
    <row r="46" spans="1:10">
      <c r="A46">
        <v>45</v>
      </c>
      <c r="B46">
        <v>124</v>
      </c>
      <c r="C46">
        <v>282</v>
      </c>
      <c r="D46">
        <f>INDEX(楼层配置!$D$5:$D$104,MATCH(A46,楼层配置!$B$5:$B$104,0))</f>
        <v>178</v>
      </c>
      <c r="E46" s="12">
        <v>14.3998514575293</v>
      </c>
      <c r="F46" s="12">
        <f>SUMIF(TeamHero生成!$K$5:$K$504,A46,TeamHero生成!$AH$5:$AH$504)/679690.33242124</f>
        <v>9.58938703813612</v>
      </c>
      <c r="G46" s="12">
        <v>13.1153561128978</v>
      </c>
      <c r="H46" s="12">
        <f>1149922.97980536/SUMIF(TeamHero生成!$K$5:$K$504,A46,TeamHero生成!$E$5:$E$504)</f>
        <v>16.6029884465111</v>
      </c>
      <c r="I46" s="12">
        <f t="shared" si="0"/>
        <v>0.665936524860614</v>
      </c>
      <c r="J46" s="12">
        <f t="shared" si="1"/>
        <v>1.26591975876153</v>
      </c>
    </row>
    <row r="47" spans="1:10">
      <c r="A47">
        <v>46</v>
      </c>
      <c r="B47">
        <v>127</v>
      </c>
      <c r="C47">
        <v>286</v>
      </c>
      <c r="D47">
        <f>INDEX(楼层配置!$D$5:$D$104,MATCH(A47,楼层配置!$B$5:$B$104,0))</f>
        <v>182</v>
      </c>
      <c r="E47" s="12">
        <v>16.199168382703</v>
      </c>
      <c r="F47" s="12">
        <f>SUMIF(TeamHero生成!$K$5:$K$504,A47,TeamHero生成!$AH$5:$AH$504)/718612.390671179</f>
        <v>10.8111835485267</v>
      </c>
      <c r="G47" s="12">
        <v>14.2491669830924</v>
      </c>
      <c r="H47" s="12">
        <f>1198860.00494108/SUMIF(TeamHero生成!$K$5:$K$504,A47,TeamHero生成!$E$5:$E$504)</f>
        <v>17.9846985439706</v>
      </c>
      <c r="I47" s="12">
        <f t="shared" si="0"/>
        <v>0.667391269299388</v>
      </c>
      <c r="J47" s="12">
        <f t="shared" si="1"/>
        <v>1.26215789072517</v>
      </c>
    </row>
    <row r="48" spans="1:10">
      <c r="A48">
        <v>47</v>
      </c>
      <c r="B48">
        <v>130</v>
      </c>
      <c r="C48">
        <v>289</v>
      </c>
      <c r="D48">
        <f>INDEX(楼层配置!$D$5:$D$104,MATCH(A48,楼层配置!$B$5:$B$104,0))</f>
        <v>185</v>
      </c>
      <c r="E48" s="12">
        <v>14.3322982805761</v>
      </c>
      <c r="F48" s="12">
        <f>SUMIF(TeamHero生成!$K$5:$K$504,A48,TeamHero生成!$AH$5:$AH$504)/757968.357025353</f>
        <v>9.62254575985689</v>
      </c>
      <c r="G48" s="12">
        <v>13.333081003615</v>
      </c>
      <c r="H48" s="12">
        <f>1247521.37459488/SUMIF(TeamHero生成!$K$5:$K$504,A48,TeamHero生成!$E$5:$E$504)</f>
        <v>16.7932663130141</v>
      </c>
      <c r="I48" s="12">
        <f t="shared" si="0"/>
        <v>0.67138888484465</v>
      </c>
      <c r="J48" s="12">
        <f t="shared" si="1"/>
        <v>1.25951880952804</v>
      </c>
    </row>
    <row r="49" spans="1:10">
      <c r="A49">
        <v>48</v>
      </c>
      <c r="B49">
        <v>132</v>
      </c>
      <c r="C49">
        <v>291</v>
      </c>
      <c r="D49">
        <f>INDEX(楼层配置!$D$5:$D$104,MATCH(A49,楼层配置!$B$5:$B$104,0))</f>
        <v>189</v>
      </c>
      <c r="E49" s="12">
        <v>15.1636414148667</v>
      </c>
      <c r="F49" s="12">
        <f>SUMIF(TeamHero生成!$K$5:$K$504,A49,TeamHero生成!$AH$5:$AH$504)/781156.424338479</f>
        <v>10.5177789955762</v>
      </c>
      <c r="G49" s="12">
        <v>13.9274993332199</v>
      </c>
      <c r="H49" s="12">
        <f>1275891.98519871/SUMIF(TeamHero生成!$K$5:$K$504,A49,TeamHero生成!$E$5:$E$504)</f>
        <v>17.200409625478</v>
      </c>
      <c r="I49" s="12">
        <f t="shared" si="0"/>
        <v>0.69361828783846</v>
      </c>
      <c r="J49" s="12">
        <f t="shared" si="1"/>
        <v>1.23499626271398</v>
      </c>
    </row>
    <row r="50" spans="1:10">
      <c r="A50">
        <v>49</v>
      </c>
      <c r="B50">
        <v>135</v>
      </c>
      <c r="C50">
        <v>295</v>
      </c>
      <c r="D50">
        <f>INDEX(楼层配置!$D$5:$D$104,MATCH(A50,楼层配置!$B$5:$B$104,0))</f>
        <v>192</v>
      </c>
      <c r="E50" s="12">
        <v>17.3581911043842</v>
      </c>
      <c r="F50" s="12">
        <f>SUMIF(TeamHero生成!$K$5:$K$504,A50,TeamHero生成!$AH$5:$AH$504)/816982.952001487</f>
        <v>11.8644445988787</v>
      </c>
      <c r="G50" s="12">
        <v>13.935647224494</v>
      </c>
      <c r="H50" s="12">
        <f>1319205.62267016/SUMIF(TeamHero生成!$K$5:$K$504,A50,TeamHero生成!$E$5:$E$504)</f>
        <v>17.3251421342477</v>
      </c>
      <c r="I50" s="12">
        <f t="shared" si="0"/>
        <v>0.683506969564475</v>
      </c>
      <c r="J50" s="12">
        <f t="shared" si="1"/>
        <v>1.24322479287479</v>
      </c>
    </row>
    <row r="51" spans="1:10">
      <c r="A51">
        <v>50</v>
      </c>
      <c r="B51">
        <v>138</v>
      </c>
      <c r="C51">
        <v>299</v>
      </c>
      <c r="D51">
        <f>INDEX(楼层配置!$D$5:$D$104,MATCH(A51,楼层配置!$B$5:$B$104,0))</f>
        <v>196</v>
      </c>
      <c r="E51" s="12">
        <v>15.4757073068838</v>
      </c>
      <c r="F51" s="12">
        <f>SUMIF(TeamHero生成!$K$5:$K$504,A51,TeamHero生成!$AH$5:$AH$504)/854095.555061231</f>
        <v>10.8098637482623</v>
      </c>
      <c r="G51" s="12">
        <v>13.9202655495899</v>
      </c>
      <c r="H51" s="12">
        <f>1363438.78560669/SUMIF(TeamHero生成!$K$5:$K$504,A51,TeamHero生成!$E$5:$E$504)</f>
        <v>17.1204548784084</v>
      </c>
      <c r="I51" s="12">
        <f t="shared" si="0"/>
        <v>0.698505311188839</v>
      </c>
      <c r="J51" s="12">
        <f t="shared" si="1"/>
        <v>1.22989427302361</v>
      </c>
    </row>
    <row r="52" spans="1:10">
      <c r="A52">
        <v>51</v>
      </c>
      <c r="B52">
        <v>140</v>
      </c>
      <c r="C52">
        <v>301</v>
      </c>
      <c r="D52">
        <f>INDEX(楼层配置!$D$5:$D$104,MATCH(A52,楼层配置!$B$5:$B$104,0))</f>
        <v>198</v>
      </c>
      <c r="E52" s="12">
        <v>13.6856294997114</v>
      </c>
      <c r="F52" s="12">
        <f>SUMIF(TeamHero生成!$K$5:$K$504,A52,TeamHero生成!$AH$5:$AH$504)/879570.325884401</f>
        <v>9.6017087315331</v>
      </c>
      <c r="G52" s="12">
        <v>12.9622454226162</v>
      </c>
      <c r="H52" s="12">
        <f>1393444.13795911/SUMIF(TeamHero生成!$K$5:$K$504,A52,TeamHero生成!$E$5:$E$504)</f>
        <v>15.9241659100521</v>
      </c>
      <c r="I52" s="12">
        <f t="shared" si="0"/>
        <v>0.701590579500605</v>
      </c>
      <c r="J52" s="12">
        <f t="shared" si="1"/>
        <v>1.22850365741942</v>
      </c>
    </row>
    <row r="53" spans="1:10">
      <c r="A53">
        <v>52</v>
      </c>
      <c r="B53">
        <v>143</v>
      </c>
      <c r="C53">
        <v>303</v>
      </c>
      <c r="D53">
        <f>INDEX(楼层配置!$D$5:$D$104,MATCH(A53,楼层配置!$B$5:$B$104,0))</f>
        <v>201</v>
      </c>
      <c r="E53" s="12">
        <v>14.4582858875513</v>
      </c>
      <c r="F53" s="12">
        <f>SUMIF(TeamHero生成!$K$5:$K$504,A53,TeamHero生成!$AH$5:$AH$504)/918910.439902437</f>
        <v>10.1594476611792</v>
      </c>
      <c r="G53" s="12">
        <v>13.5719304941646</v>
      </c>
      <c r="H53" s="12">
        <f>1439235.67570824/SUMIF(TeamHero生成!$K$5:$K$504,A53,TeamHero生成!$E$5:$E$504)</f>
        <v>16.6441428422042</v>
      </c>
      <c r="I53" s="12">
        <f t="shared" si="0"/>
        <v>0.702673037467505</v>
      </c>
      <c r="J53" s="12">
        <f t="shared" si="1"/>
        <v>1.22636516959474</v>
      </c>
    </row>
    <row r="54" spans="1:10">
      <c r="A54">
        <v>53</v>
      </c>
      <c r="B54">
        <v>146</v>
      </c>
      <c r="C54">
        <v>306</v>
      </c>
      <c r="D54">
        <f>INDEX(楼层配置!$D$5:$D$104,MATCH(A54,楼层配置!$B$5:$B$104,0))</f>
        <v>203</v>
      </c>
      <c r="E54" s="12">
        <v>14.525336741295</v>
      </c>
      <c r="F54" s="12">
        <f>SUMIF(TeamHero生成!$K$5:$K$504,A54,TeamHero生成!$AH$5:$AH$504)/956281.237189549</f>
        <v>10.0817705744539</v>
      </c>
      <c r="G54" s="12">
        <v>13.592099207231</v>
      </c>
      <c r="H54" s="12">
        <f>1482216.44272426/SUMIF(TeamHero生成!$K$5:$K$504,A54,TeamHero生成!$E$5:$E$504)</f>
        <v>16.7889952169028</v>
      </c>
      <c r="I54" s="12">
        <f t="shared" si="0"/>
        <v>0.694081710738714</v>
      </c>
      <c r="J54" s="12">
        <f t="shared" si="1"/>
        <v>1.23520252176875</v>
      </c>
    </row>
    <row r="55" spans="1:10">
      <c r="A55">
        <v>54</v>
      </c>
      <c r="B55">
        <v>148</v>
      </c>
      <c r="C55">
        <v>308</v>
      </c>
      <c r="D55">
        <f>INDEX(楼层配置!$D$5:$D$104,MATCH(A55,楼层配置!$B$5:$B$104,0))</f>
        <v>205</v>
      </c>
      <c r="E55" s="12">
        <v>14.5836983352688</v>
      </c>
      <c r="F55" s="12">
        <f>SUMIF(TeamHero生成!$K$5:$K$504,A55,TeamHero生成!$AH$5:$AH$504)/979708.960954923</f>
        <v>10.1417124681757</v>
      </c>
      <c r="G55" s="12">
        <v>13.5959773531303</v>
      </c>
      <c r="H55" s="12">
        <f>1508928.7098391/SUMIF(TeamHero生成!$K$5:$K$504,A55,TeamHero生成!$E$5:$E$504)</f>
        <v>16.7748211250345</v>
      </c>
      <c r="I55" s="12">
        <f t="shared" si="0"/>
        <v>0.695414306784533</v>
      </c>
      <c r="J55" s="12">
        <f t="shared" si="1"/>
        <v>1.23380766894057</v>
      </c>
    </row>
    <row r="56" spans="1:10">
      <c r="A56">
        <v>55</v>
      </c>
      <c r="B56">
        <v>151</v>
      </c>
      <c r="C56">
        <v>310</v>
      </c>
      <c r="D56">
        <f>INDEX(楼层配置!$D$5:$D$104,MATCH(A56,楼层配置!$B$5:$B$104,0))</f>
        <v>208</v>
      </c>
      <c r="E56" s="12">
        <v>15.4268769867601</v>
      </c>
      <c r="F56" s="12">
        <f>SUMIF(TeamHero生成!$K$5:$K$504,A56,TeamHero生成!$AH$5:$AH$504)/1015710.9736488</f>
        <v>10.8976594947199</v>
      </c>
      <c r="G56" s="12">
        <v>14.2033297843743</v>
      </c>
      <c r="H56" s="12">
        <f>1549578.77981835/SUMIF(TeamHero生成!$K$5:$K$504,A56,TeamHero生成!$E$5:$E$504)</f>
        <v>17.353477572298</v>
      </c>
      <c r="I56" s="12">
        <f t="shared" si="0"/>
        <v>0.706407363205957</v>
      </c>
      <c r="J56" s="12">
        <f t="shared" si="1"/>
        <v>1.22178938571076</v>
      </c>
    </row>
    <row r="57" spans="1:10">
      <c r="A57">
        <v>56</v>
      </c>
      <c r="B57">
        <v>154</v>
      </c>
      <c r="C57">
        <v>312</v>
      </c>
      <c r="D57">
        <f>INDEX(楼层配置!$D$5:$D$104,MATCH(A57,楼层配置!$B$5:$B$104,0))</f>
        <v>210</v>
      </c>
      <c r="E57" s="12">
        <v>14.4888083140153</v>
      </c>
      <c r="F57" s="12">
        <f>SUMIF(TeamHero生成!$K$5:$K$504,A57,TeamHero生成!$AH$5:$AH$504)/1052767.57141103</f>
        <v>10.1228091733564</v>
      </c>
      <c r="G57" s="12">
        <v>13.7426929117042</v>
      </c>
      <c r="H57" s="12">
        <f>1590933.45242591/SUMIF(TeamHero生成!$K$5:$K$504,A57,TeamHero生成!$E$5:$E$504)</f>
        <v>16.9089942652188</v>
      </c>
      <c r="I57" s="12">
        <f t="shared" si="0"/>
        <v>0.698664027707812</v>
      </c>
      <c r="J57" s="12">
        <f t="shared" si="1"/>
        <v>1.23039890171875</v>
      </c>
    </row>
    <row r="58" spans="1:10">
      <c r="A58">
        <v>57</v>
      </c>
      <c r="B58">
        <v>156</v>
      </c>
      <c r="C58">
        <v>314</v>
      </c>
      <c r="D58">
        <f>INDEX(楼层配置!$D$5:$D$104,MATCH(A58,楼层配置!$B$5:$B$104,0))</f>
        <v>212</v>
      </c>
      <c r="E58" s="12">
        <v>13.6784409026655</v>
      </c>
      <c r="F58" s="12">
        <f>SUMIF(TeamHero生成!$K$5:$K$504,A58,TeamHero生成!$AH$5:$AH$504)/1078070.30486749</f>
        <v>9.58621598919773</v>
      </c>
      <c r="G58" s="12">
        <v>13.2279581584156</v>
      </c>
      <c r="H58" s="12">
        <f>1618898.36300138/SUMIF(TeamHero生成!$K$5:$K$504,A58,TeamHero生成!$E$5:$E$504)</f>
        <v>16.2584070280235</v>
      </c>
      <c r="I58" s="12">
        <f t="shared" si="0"/>
        <v>0.700826655421648</v>
      </c>
      <c r="J58" s="12">
        <f t="shared" si="1"/>
        <v>1.22909422855106</v>
      </c>
    </row>
    <row r="59" spans="1:10">
      <c r="A59">
        <v>58</v>
      </c>
      <c r="B59">
        <v>159</v>
      </c>
      <c r="C59">
        <v>316</v>
      </c>
      <c r="D59">
        <f>INDEX(楼层配置!$D$5:$D$104,MATCH(A59,楼层配置!$B$5:$B$104,0))</f>
        <v>214</v>
      </c>
      <c r="E59" s="12">
        <v>13.6762461539419</v>
      </c>
      <c r="F59" s="12">
        <f>SUMIF(TeamHero生成!$K$5:$K$504,A59,TeamHero生成!$AH$5:$AH$504)/1116940.90910979</f>
        <v>9.60209735733876</v>
      </c>
      <c r="G59" s="12">
        <v>13.267856410365</v>
      </c>
      <c r="H59" s="12">
        <f>1661443.97388784/SUMIF(TeamHero生成!$K$5:$K$504,A59,TeamHero生成!$E$5:$E$504)</f>
        <v>16.2909024168792</v>
      </c>
      <c r="I59" s="12">
        <f t="shared" si="0"/>
        <v>0.70210036067325</v>
      </c>
      <c r="J59" s="12">
        <f t="shared" si="1"/>
        <v>1.22784735627321</v>
      </c>
    </row>
    <row r="60" spans="1:10">
      <c r="A60">
        <v>59</v>
      </c>
      <c r="B60">
        <v>162</v>
      </c>
      <c r="C60">
        <v>318</v>
      </c>
      <c r="D60">
        <f>INDEX(楼层配置!$D$5:$D$104,MATCH(A60,楼层配置!$B$5:$B$104,0))</f>
        <v>217</v>
      </c>
      <c r="E60" s="12">
        <v>14.6035398439894</v>
      </c>
      <c r="F60" s="12">
        <f>SUMIF(TeamHero生成!$K$5:$K$504,A60,TeamHero生成!$AH$5:$AH$504)/1152022.39224361</f>
        <v>10.2671996660421</v>
      </c>
      <c r="G60" s="12">
        <v>13.7870247567128</v>
      </c>
      <c r="H60" s="12">
        <f>1699526.14481933/SUMIF(TeamHero生成!$K$5:$K$504,A60,TeamHero生成!$E$5:$E$504)</f>
        <v>16.9026350083476</v>
      </c>
      <c r="I60" s="12">
        <f t="shared" si="0"/>
        <v>0.703062392798413</v>
      </c>
      <c r="J60" s="12">
        <f t="shared" si="1"/>
        <v>1.22598133437875</v>
      </c>
    </row>
    <row r="61" spans="1:10">
      <c r="A61">
        <v>60</v>
      </c>
      <c r="B61">
        <v>165</v>
      </c>
      <c r="C61">
        <v>321</v>
      </c>
      <c r="D61">
        <f>INDEX(楼层配置!$D$5:$D$104,MATCH(A61,楼层配置!$B$5:$B$104,0))</f>
        <v>219</v>
      </c>
      <c r="E61" s="12">
        <v>15.7294721731412</v>
      </c>
      <c r="F61" s="12">
        <f>SUMIF(TeamHero生成!$K$5:$K$504,A61,TeamHero生成!$AH$5:$AH$504)/1187088.1298715</f>
        <v>10.9159716830819</v>
      </c>
      <c r="G61" s="12">
        <v>14.2400991606691</v>
      </c>
      <c r="H61" s="12">
        <f>1737234.08803905/SUMIF(TeamHero生成!$K$5:$K$504,A61,TeamHero生成!$E$5:$E$504)</f>
        <v>17.5787149944251</v>
      </c>
      <c r="I61" s="12">
        <f t="shared" si="0"/>
        <v>0.693982071548559</v>
      </c>
      <c r="J61" s="12">
        <f t="shared" si="1"/>
        <v>1.23445172650041</v>
      </c>
    </row>
    <row r="62" spans="1:10">
      <c r="A62">
        <v>61</v>
      </c>
      <c r="B62">
        <v>167</v>
      </c>
      <c r="C62">
        <v>322</v>
      </c>
      <c r="D62">
        <f>INDEX(楼层配置!$D$5:$D$104,MATCH(A62,楼层配置!$B$5:$B$104,0))</f>
        <v>221</v>
      </c>
      <c r="E62" s="12">
        <v>13.8571415189577</v>
      </c>
      <c r="F62" s="12">
        <f>SUMIF(TeamHero生成!$K$5:$K$504,A62,TeamHero生成!$AH$5:$AH$504)/1210942.50611328</f>
        <v>9.78842984200509</v>
      </c>
      <c r="G62" s="12">
        <v>13.2550194056116</v>
      </c>
      <c r="H62" s="12">
        <f>1762677.83028673/SUMIF(TeamHero生成!$K$5:$K$504,A62,TeamHero生成!$E$5:$E$504)</f>
        <v>16.2188223358888</v>
      </c>
      <c r="I62" s="12">
        <f t="shared" si="0"/>
        <v>0.706381603205374</v>
      </c>
      <c r="J62" s="12">
        <f t="shared" si="1"/>
        <v>1.22359853573828</v>
      </c>
    </row>
    <row r="63" spans="1:10">
      <c r="A63">
        <v>62</v>
      </c>
      <c r="B63">
        <v>170</v>
      </c>
      <c r="C63">
        <v>324</v>
      </c>
      <c r="D63">
        <f>INDEX(楼层配置!$D$5:$D$104,MATCH(A63,楼层配置!$B$5:$B$104,0))</f>
        <v>223</v>
      </c>
      <c r="E63" s="12">
        <v>13.9154293438768</v>
      </c>
      <c r="F63" s="12">
        <f>SUMIF(TeamHero生成!$K$5:$K$504,A63,TeamHero生成!$AH$5:$AH$504)/1247452.69867163</f>
        <v>9.71499415571437</v>
      </c>
      <c r="G63" s="12">
        <v>13.2516799940698</v>
      </c>
      <c r="H63" s="12">
        <f>1801304.81588891/SUMIF(TeamHero生成!$K$5:$K$504,A63,TeamHero生成!$E$5:$E$504)</f>
        <v>16.3268147332401</v>
      </c>
      <c r="I63" s="12">
        <f t="shared" si="0"/>
        <v>0.698145484098142</v>
      </c>
      <c r="J63" s="12">
        <f t="shared" si="1"/>
        <v>1.2320562178189</v>
      </c>
    </row>
    <row r="64" spans="1:10">
      <c r="A64">
        <v>63</v>
      </c>
      <c r="B64">
        <v>173</v>
      </c>
      <c r="C64">
        <v>326</v>
      </c>
      <c r="D64">
        <f>INDEX(楼层配置!$D$5:$D$104,MATCH(A64,楼层配置!$B$5:$B$104,0))</f>
        <v>225</v>
      </c>
      <c r="E64" s="12">
        <v>14.923689671476</v>
      </c>
      <c r="F64" s="12">
        <f>SUMIF(TeamHero生成!$K$5:$K$504,A64,TeamHero生成!$AH$5:$AH$504)/1284852.82874669</f>
        <v>10.2853736519762</v>
      </c>
      <c r="G64" s="12">
        <v>13.7288153330256</v>
      </c>
      <c r="H64" s="12">
        <f>1840489.9100475/SUMIF(TeamHero生成!$K$5:$K$504,A64,TeamHero生成!$E$5:$E$504)</f>
        <v>17.0291167576264</v>
      </c>
      <c r="I64" s="12">
        <f t="shared" si="0"/>
        <v>0.689197770685014</v>
      </c>
      <c r="J64" s="12">
        <f t="shared" si="1"/>
        <v>1.24039229493179</v>
      </c>
    </row>
    <row r="65" spans="1:10">
      <c r="A65">
        <v>64</v>
      </c>
      <c r="B65">
        <v>176</v>
      </c>
      <c r="C65">
        <v>328</v>
      </c>
      <c r="D65">
        <f>INDEX(楼层配置!$D$5:$D$104,MATCH(A65,楼层配置!$B$5:$B$104,0))</f>
        <v>227</v>
      </c>
      <c r="E65" s="12">
        <v>14.0741741259646</v>
      </c>
      <c r="F65" s="12">
        <f>SUMIF(TeamHero生成!$K$5:$K$504,A65,TeamHero生成!$AH$5:$AH$504)/1320619.49238057</f>
        <v>9.72979110088899</v>
      </c>
      <c r="G65" s="12">
        <v>13.2158384298322</v>
      </c>
      <c r="H65" s="12">
        <f>1877665.20238618/SUMIF(TeamHero生成!$K$5:$K$504,A65,TeamHero生成!$E$5:$E$504)</f>
        <v>16.3773676614582</v>
      </c>
      <c r="I65" s="12">
        <f t="shared" si="0"/>
        <v>0.691322347855501</v>
      </c>
      <c r="J65" s="12">
        <f t="shared" si="1"/>
        <v>1.23922275142903</v>
      </c>
    </row>
    <row r="66" spans="1:10">
      <c r="A66">
        <v>65</v>
      </c>
      <c r="B66">
        <v>178</v>
      </c>
      <c r="C66">
        <v>329</v>
      </c>
      <c r="D66">
        <f>INDEX(楼层配置!$D$5:$D$104,MATCH(A66,楼层配置!$B$5:$B$104,0))</f>
        <v>229</v>
      </c>
      <c r="E66" s="12">
        <v>15.9753987087138</v>
      </c>
      <c r="F66" s="12">
        <f>SUMIF(TeamHero生成!$K$5:$K$504,A66,TeamHero生成!$AH$5:$AH$504)/1343291.09127086</f>
        <v>11.0366472208683</v>
      </c>
      <c r="G66" s="12">
        <v>14.2415861626372</v>
      </c>
      <c r="H66" s="12">
        <f>1901092.48870919/SUMIF(TeamHero生成!$K$5:$K$504,A66,TeamHero生成!$E$5:$E$504)</f>
        <v>17.6309503993359</v>
      </c>
      <c r="I66" s="12">
        <f t="shared" ref="I66:I101" si="2">F66/E66</f>
        <v>0.690852693075406</v>
      </c>
      <c r="J66" s="12">
        <f t="shared" ref="J66:J101" si="3">H66/G66</f>
        <v>1.2379906421934</v>
      </c>
    </row>
    <row r="67" spans="1:10">
      <c r="A67">
        <v>66</v>
      </c>
      <c r="B67">
        <v>181</v>
      </c>
      <c r="C67">
        <v>330</v>
      </c>
      <c r="D67">
        <f>INDEX(楼层配置!$D$5:$D$104,MATCH(A67,楼层配置!$B$5:$B$104,0))</f>
        <v>230</v>
      </c>
      <c r="E67" s="12">
        <v>14.0398000828952</v>
      </c>
      <c r="F67" s="12">
        <f>SUMIF(TeamHero生成!$K$5:$K$504,A67,TeamHero生成!$AH$5:$AH$504)/1377894.31762429</f>
        <v>9.73134511139591</v>
      </c>
      <c r="G67" s="12">
        <v>13.272955880196</v>
      </c>
      <c r="H67" s="12">
        <f>1936600.79811507/SUMIF(TeamHero生成!$K$5:$K$504,A67,TeamHero生成!$E$5:$E$504)</f>
        <v>16.4232839610159</v>
      </c>
      <c r="I67" s="12">
        <f t="shared" si="2"/>
        <v>0.693125618166863</v>
      </c>
      <c r="J67" s="12">
        <f t="shared" si="3"/>
        <v>1.23734939747071</v>
      </c>
    </row>
    <row r="68" spans="1:10">
      <c r="A68">
        <v>67</v>
      </c>
      <c r="B68">
        <v>184</v>
      </c>
      <c r="C68">
        <v>332</v>
      </c>
      <c r="D68">
        <f>INDEX(楼层配置!$D$5:$D$104,MATCH(A68,楼层配置!$B$5:$B$104,0))</f>
        <v>232</v>
      </c>
      <c r="E68" s="12">
        <v>14.1581785821592</v>
      </c>
      <c r="F68" s="12">
        <f>SUMIF(TeamHero生成!$K$5:$K$504,A68,TeamHero生成!$AH$5:$AH$504)/1413223.5244238</f>
        <v>9.70265115380386</v>
      </c>
      <c r="G68" s="12">
        <v>13.2280032366914</v>
      </c>
      <c r="H68" s="12">
        <f>1972553.08707658/SUMIF(TeamHero生成!$K$5:$K$504,A68,TeamHero生成!$E$5:$E$504)</f>
        <v>16.4784519199414</v>
      </c>
      <c r="I68" s="12">
        <f t="shared" si="2"/>
        <v>0.685303628393996</v>
      </c>
      <c r="J68" s="12">
        <f t="shared" si="3"/>
        <v>1.24572481765305</v>
      </c>
    </row>
    <row r="69" spans="1:10">
      <c r="A69">
        <v>68</v>
      </c>
      <c r="B69">
        <v>187</v>
      </c>
      <c r="C69">
        <v>333</v>
      </c>
      <c r="D69">
        <f>INDEX(楼层配置!$D$5:$D$104,MATCH(A69,楼层配置!$B$5:$B$104,0))</f>
        <v>234</v>
      </c>
      <c r="E69" s="12">
        <v>15.0829160636756</v>
      </c>
      <c r="F69" s="12">
        <f>SUMIF(TeamHero生成!$K$5:$K$504,A69,TeamHero生成!$AH$5:$AH$504)/1449291.22560258</f>
        <v>10.3406851596388</v>
      </c>
      <c r="G69" s="12">
        <v>13.7521717543757</v>
      </c>
      <c r="H69" s="12">
        <f>2008952.8834097/SUMIF(TeamHero生成!$K$5:$K$504,A69,TeamHero生成!$E$5:$E$504)</f>
        <v>17.1143672341179</v>
      </c>
      <c r="I69" s="12">
        <f t="shared" si="2"/>
        <v>0.68558925316454</v>
      </c>
      <c r="J69" s="12">
        <f t="shared" si="3"/>
        <v>1.24448469229396</v>
      </c>
    </row>
    <row r="70" spans="1:10">
      <c r="A70">
        <v>69</v>
      </c>
      <c r="B70">
        <v>190</v>
      </c>
      <c r="C70">
        <v>335</v>
      </c>
      <c r="D70">
        <f>INDEX(楼层配置!$D$5:$D$104,MATCH(A70,楼层配置!$B$5:$B$104,0))</f>
        <v>236</v>
      </c>
      <c r="E70" s="12">
        <v>15.2330077917342</v>
      </c>
      <c r="F70" s="12">
        <f>SUMIF(TeamHero生成!$K$5:$K$504,A70,TeamHero生成!$AH$5:$AH$504)/1485358.61627873</f>
        <v>10.3269992839145</v>
      </c>
      <c r="G70" s="12">
        <v>13.6909715824294</v>
      </c>
      <c r="H70" s="12">
        <f>2045070.07669523/SUMIF(TeamHero生成!$K$5:$K$504,A70,TeamHero生成!$E$5:$E$504)</f>
        <v>17.1513043492811</v>
      </c>
      <c r="I70" s="12">
        <f t="shared" si="2"/>
        <v>0.677935666094661</v>
      </c>
      <c r="J70" s="12">
        <f t="shared" si="3"/>
        <v>1.25274559559327</v>
      </c>
    </row>
    <row r="71" spans="1:10">
      <c r="A71">
        <v>70</v>
      </c>
      <c r="B71">
        <v>192</v>
      </c>
      <c r="C71">
        <v>337</v>
      </c>
      <c r="D71">
        <f>INDEX(楼层配置!$D$5:$D$104,MATCH(A71,楼层配置!$B$5:$B$104,0))</f>
        <v>238</v>
      </c>
      <c r="E71" s="12">
        <v>15.4510336794193</v>
      </c>
      <c r="F71" s="12">
        <f>SUMIF(TeamHero生成!$K$5:$K$504,A71,TeamHero生成!$AH$5:$AH$504)/1507516.52441406</f>
        <v>10.4932777027536</v>
      </c>
      <c r="G71" s="12">
        <v>13.587563110093</v>
      </c>
      <c r="H71" s="12">
        <f>2067160.09543407/SUMIF(TeamHero生成!$K$5:$K$504,A71,TeamHero生成!$E$5:$E$504)</f>
        <v>17.0047061254489</v>
      </c>
      <c r="I71" s="12">
        <f t="shared" si="2"/>
        <v>0.679131113197339</v>
      </c>
      <c r="J71" s="12">
        <f t="shared" si="3"/>
        <v>1.25149049816134</v>
      </c>
    </row>
    <row r="72" spans="1:10">
      <c r="A72">
        <v>71</v>
      </c>
      <c r="B72">
        <v>195</v>
      </c>
      <c r="C72">
        <v>337</v>
      </c>
      <c r="D72">
        <f>INDEX(楼层配置!$D$5:$D$104,MATCH(A72,楼层配置!$B$5:$B$104,0))</f>
        <v>240</v>
      </c>
      <c r="E72" s="12">
        <v>14.32136836543</v>
      </c>
      <c r="F72" s="12">
        <f>SUMIF(TeamHero生成!$K$5:$K$504,A72,TeamHero生成!$AH$5:$AH$504)/1541262.7954477</f>
        <v>9.88226688505818</v>
      </c>
      <c r="G72" s="12">
        <v>13.2027845010083</v>
      </c>
      <c r="H72" s="12">
        <f>2100599.36629256/SUMIF(TeamHero生成!$K$5:$K$504,A72,TeamHero生成!$E$5:$E$504)</f>
        <v>16.3844358443186</v>
      </c>
      <c r="I72" s="12">
        <f t="shared" si="2"/>
        <v>0.690036498810598</v>
      </c>
      <c r="J72" s="12">
        <f t="shared" si="3"/>
        <v>1.24098335794751</v>
      </c>
    </row>
    <row r="73" spans="1:10">
      <c r="A73">
        <v>72</v>
      </c>
      <c r="B73">
        <v>198</v>
      </c>
      <c r="C73">
        <v>338</v>
      </c>
      <c r="D73">
        <f>INDEX(楼层配置!$D$5:$D$104,MATCH(A73,楼层配置!$B$5:$B$104,0))</f>
        <v>241</v>
      </c>
      <c r="E73" s="12">
        <v>14.3310859718605</v>
      </c>
      <c r="F73" s="12">
        <f>SUMIF(TeamHero生成!$K$5:$K$504,A73,TeamHero生成!$AH$5:$AH$504)/1575628.58867343</f>
        <v>9.77124547953413</v>
      </c>
      <c r="G73" s="12">
        <v>13.21288977485</v>
      </c>
      <c r="H73" s="12">
        <f>2134406.03349888/SUMIF(TeamHero生成!$K$5:$K$504,A73,TeamHero生成!$E$5:$E$504)</f>
        <v>16.512374447814</v>
      </c>
      <c r="I73" s="12">
        <f t="shared" si="2"/>
        <v>0.681821705537198</v>
      </c>
      <c r="J73" s="12">
        <f t="shared" si="3"/>
        <v>1.24971711178915</v>
      </c>
    </row>
    <row r="74" spans="1:10">
      <c r="A74">
        <v>73</v>
      </c>
      <c r="B74">
        <v>201</v>
      </c>
      <c r="C74">
        <v>340</v>
      </c>
      <c r="D74">
        <f>INDEX(楼层配置!$D$5:$D$104,MATCH(A74,楼层配置!$B$5:$B$104,0))</f>
        <v>243</v>
      </c>
      <c r="E74" s="12">
        <v>14.5046151971287</v>
      </c>
      <c r="F74" s="12">
        <f>SUMIF(TeamHero生成!$K$5:$K$504,A74,TeamHero生成!$AH$5:$AH$504)/1610623.26580152</f>
        <v>9.90659199829059</v>
      </c>
      <c r="G74" s="12">
        <v>13.132485305728</v>
      </c>
      <c r="H74" s="12">
        <f>2168582.69940515/SUMIF(TeamHero生成!$K$5:$K$504,A74,TeamHero生成!$E$5:$E$504)</f>
        <v>16.396732871645</v>
      </c>
      <c r="I74" s="12">
        <f t="shared" si="2"/>
        <v>0.682995850882806</v>
      </c>
      <c r="J74" s="12">
        <f t="shared" si="3"/>
        <v>1.24856281883622</v>
      </c>
    </row>
    <row r="75" spans="1:10">
      <c r="A75">
        <v>74</v>
      </c>
      <c r="B75">
        <v>204</v>
      </c>
      <c r="C75">
        <v>341</v>
      </c>
      <c r="D75">
        <f>INDEX(楼层配置!$D$5:$D$104,MATCH(A75,楼层配置!$B$5:$B$104,0))</f>
        <v>245</v>
      </c>
      <c r="E75" s="12">
        <v>14.5305478979034</v>
      </c>
      <c r="F75" s="12">
        <f>SUMIF(TeamHero生成!$K$5:$K$504,A75,TeamHero生成!$AH$5:$AH$504)/1646256.29979071</f>
        <v>9.94118080071873</v>
      </c>
      <c r="G75" s="12">
        <v>13.1313420739</v>
      </c>
      <c r="H75" s="12">
        <f>2203131.97638232/SUMIF(TeamHero生成!$K$5:$K$504,A75,TeamHero生成!$E$5:$E$504)</f>
        <v>16.3808941393841</v>
      </c>
      <c r="I75" s="12">
        <f t="shared" si="2"/>
        <v>0.684157326383621</v>
      </c>
      <c r="J75" s="12">
        <f t="shared" si="3"/>
        <v>1.24746534262807</v>
      </c>
    </row>
    <row r="76" spans="1:10">
      <c r="A76">
        <v>75</v>
      </c>
      <c r="B76">
        <v>206</v>
      </c>
      <c r="C76">
        <v>342</v>
      </c>
      <c r="D76">
        <f>INDEX(楼层配置!$D$5:$D$104,MATCH(A76,楼层配置!$B$5:$B$104,0))</f>
        <v>247</v>
      </c>
      <c r="E76" s="12">
        <v>15.5904728499816</v>
      </c>
      <c r="F76" s="12">
        <f>SUMIF(TeamHero生成!$K$5:$K$504,A76,TeamHero生成!$AH$5:$AH$504)/1668578.0509932</f>
        <v>10.6703414570981</v>
      </c>
      <c r="G76" s="12">
        <v>13.5852955776312</v>
      </c>
      <c r="H76" s="12">
        <f>2224682.36762306/SUMIF(TeamHero生成!$K$5:$K$504,A76,TeamHero生成!$E$5:$E$504)</f>
        <v>16.9322868139394</v>
      </c>
      <c r="I76" s="12">
        <f t="shared" si="2"/>
        <v>0.684414229111125</v>
      </c>
      <c r="J76" s="12">
        <f t="shared" si="3"/>
        <v>1.24636867245047</v>
      </c>
    </row>
    <row r="77" spans="1:10">
      <c r="A77">
        <v>76</v>
      </c>
      <c r="B77">
        <v>209</v>
      </c>
      <c r="C77">
        <v>343</v>
      </c>
      <c r="D77">
        <f>INDEX(楼层配置!$D$5:$D$104,MATCH(A77,楼层配置!$B$5:$B$104,0))</f>
        <v>248</v>
      </c>
      <c r="E77" s="12">
        <v>14.6425727461625</v>
      </c>
      <c r="F77" s="12">
        <f>SUMIF(TeamHero生成!$K$5:$K$504,A77,TeamHero生成!$AH$5:$AH$504)/1701720.97311869</f>
        <v>10.0427099653838</v>
      </c>
      <c r="G77" s="12">
        <v>13.0913498928848</v>
      </c>
      <c r="H77" s="12">
        <f>2256520.78005421/SUMIF(TeamHero生成!$K$5:$K$504,A77,TeamHero生成!$E$5:$E$504)</f>
        <v>16.3092902474321</v>
      </c>
      <c r="I77" s="12">
        <f t="shared" si="2"/>
        <v>0.685856928251612</v>
      </c>
      <c r="J77" s="12">
        <f t="shared" si="3"/>
        <v>1.24580661130265</v>
      </c>
    </row>
    <row r="78" spans="1:10">
      <c r="A78">
        <v>77</v>
      </c>
      <c r="B78">
        <v>212</v>
      </c>
      <c r="C78">
        <v>345</v>
      </c>
      <c r="D78">
        <f>INDEX(楼层配置!$D$5:$D$104,MATCH(A78,楼层配置!$B$5:$B$104,0))</f>
        <v>250</v>
      </c>
      <c r="E78" s="12">
        <v>14.8451488619067</v>
      </c>
      <c r="F78" s="12">
        <f>SUMIF(TeamHero生成!$K$5:$K$504,A78,TeamHero生成!$AH$5:$AH$504)/1735406.79547979</f>
        <v>10.0715497219829</v>
      </c>
      <c r="G78" s="12">
        <v>12.9949082451808</v>
      </c>
      <c r="H78" s="12">
        <f>2288672.45723771/SUMIF(TeamHero生成!$K$5:$K$504,A78,TeamHero生成!$E$5:$E$504)</f>
        <v>16.2937745686601</v>
      </c>
      <c r="I78" s="12">
        <f t="shared" si="2"/>
        <v>0.678440466691911</v>
      </c>
      <c r="J78" s="12">
        <f t="shared" si="3"/>
        <v>1.25385837754589</v>
      </c>
    </row>
    <row r="79" spans="1:10">
      <c r="A79">
        <v>78</v>
      </c>
      <c r="B79">
        <v>215</v>
      </c>
      <c r="C79">
        <v>346</v>
      </c>
      <c r="D79">
        <f>INDEX(楼层配置!$D$5:$D$104,MATCH(A79,楼层配置!$B$5:$B$104,0))</f>
        <v>252</v>
      </c>
      <c r="E79" s="12">
        <v>14.896725382814</v>
      </c>
      <c r="F79" s="12">
        <f>SUMIF(TeamHero生成!$K$5:$K$504,A79,TeamHero生成!$AH$5:$AH$504)/1769642.84950686</f>
        <v>10.123631803088</v>
      </c>
      <c r="G79" s="12">
        <v>12.9778383642628</v>
      </c>
      <c r="H79" s="12">
        <f>2321139.40966373/SUMIF(TeamHero生成!$K$5:$K$504,A79,TeamHero生成!$E$5:$E$504)</f>
        <v>16.2576654362461</v>
      </c>
      <c r="I79" s="12">
        <f t="shared" si="2"/>
        <v>0.679587731057152</v>
      </c>
      <c r="J79" s="12">
        <f t="shared" si="3"/>
        <v>1.25272522125218</v>
      </c>
    </row>
    <row r="80" spans="1:10">
      <c r="A80">
        <v>79</v>
      </c>
      <c r="B80">
        <v>218</v>
      </c>
      <c r="C80">
        <v>347</v>
      </c>
      <c r="D80">
        <f>INDEX(楼层配置!$D$5:$D$104,MATCH(A80,楼层配置!$B$5:$B$104,0))</f>
        <v>253</v>
      </c>
      <c r="E80" s="12">
        <v>14.9547661956361</v>
      </c>
      <c r="F80" s="12">
        <f>SUMIF(TeamHero生成!$K$5:$K$504,A80,TeamHero生成!$AH$5:$AH$504)/1804436.54462738</f>
        <v>10.0456986566509</v>
      </c>
      <c r="G80" s="12">
        <v>12.9571966672145</v>
      </c>
      <c r="H80" s="12">
        <f>2353923.65493713/SUMIF(TeamHero生成!$K$5:$K$504,A80,TeamHero生成!$E$5:$E$504)</f>
        <v>16.3430602570063</v>
      </c>
      <c r="I80" s="12">
        <f t="shared" si="2"/>
        <v>0.671738930935762</v>
      </c>
      <c r="J80" s="12">
        <f t="shared" si="3"/>
        <v>1.26131142999157</v>
      </c>
    </row>
    <row r="81" spans="1:10">
      <c r="A81">
        <v>80</v>
      </c>
      <c r="B81">
        <v>221</v>
      </c>
      <c r="C81">
        <v>349</v>
      </c>
      <c r="D81">
        <f>INDEX(楼层配置!$D$5:$D$104,MATCH(A81,楼层配置!$B$5:$B$104,0))</f>
        <v>255</v>
      </c>
      <c r="E81" s="12">
        <v>17.2365237737221</v>
      </c>
      <c r="F81" s="12">
        <f>SUMIF(TeamHero生成!$K$5:$K$504,A81,TeamHero生成!$AH$5:$AH$504)/1838313.5717264</f>
        <v>11.4264120796315</v>
      </c>
      <c r="G81" s="12">
        <v>13.8390862540158</v>
      </c>
      <c r="H81" s="12">
        <f>2385668.99803777/SUMIF(TeamHero生成!$K$5:$K$504,A81,TeamHero生成!$E$5:$E$504)</f>
        <v>17.5664835505844</v>
      </c>
      <c r="I81" s="12">
        <f t="shared" si="2"/>
        <v>0.662918592497843</v>
      </c>
      <c r="J81" s="12">
        <f t="shared" si="3"/>
        <v>1.26933839620279</v>
      </c>
    </row>
    <row r="82" spans="1:10">
      <c r="A82">
        <v>81</v>
      </c>
      <c r="B82">
        <v>224</v>
      </c>
      <c r="C82">
        <v>350</v>
      </c>
      <c r="D82">
        <f>INDEX(楼层配置!$D$5:$D$104,MATCH(A82,楼层配置!$B$5:$B$104,0))</f>
        <v>256</v>
      </c>
      <c r="E82" s="12">
        <v>15.248252155429</v>
      </c>
      <c r="F82" s="12">
        <f>SUMIF(TeamHero生成!$K$5:$K$504,A82,TeamHero生成!$AH$5:$AH$504)/1871297.81959147</f>
        <v>10.0190384675833</v>
      </c>
      <c r="G82" s="12">
        <v>12.8233257025315</v>
      </c>
      <c r="H82" s="12">
        <f>2416416.55904012/SUMIF(TeamHero生成!$K$5:$K$504,A82,TeamHero生成!$E$5:$E$504)</f>
        <v>16.3871513179354</v>
      </c>
      <c r="I82" s="12">
        <f t="shared" si="2"/>
        <v>0.65706143664578</v>
      </c>
      <c r="J82" s="12">
        <f t="shared" si="3"/>
        <v>1.27791742158591</v>
      </c>
    </row>
    <row r="83" spans="1:10">
      <c r="A83">
        <v>82</v>
      </c>
      <c r="B83">
        <v>226</v>
      </c>
      <c r="C83">
        <v>351</v>
      </c>
      <c r="D83">
        <f>INDEX(楼层配置!$D$5:$D$104,MATCH(A83,楼层配置!$B$5:$B$104,0))</f>
        <v>258</v>
      </c>
      <c r="E83" s="12">
        <v>15.3518532288982</v>
      </c>
      <c r="F83" s="12">
        <f>SUMIF(TeamHero生成!$K$5:$K$504,A83,TeamHero生成!$AH$5:$AH$504)/1893559.36803585</f>
        <v>10.2298564390104</v>
      </c>
      <c r="G83" s="12">
        <v>12.7760115620435</v>
      </c>
      <c r="H83" s="12">
        <f>2437067.78239047/SUMIF(TeamHero生成!$K$5:$K$504,A83,TeamHero生成!$E$5:$E$504)</f>
        <v>16.1942174389692</v>
      </c>
      <c r="I83" s="12">
        <f t="shared" si="2"/>
        <v>0.666359708269865</v>
      </c>
      <c r="J83" s="12">
        <f t="shared" si="3"/>
        <v>1.26754874636157</v>
      </c>
    </row>
    <row r="84" spans="1:10">
      <c r="A84">
        <v>83</v>
      </c>
      <c r="B84">
        <v>229</v>
      </c>
      <c r="C84">
        <v>352</v>
      </c>
      <c r="D84">
        <f>INDEX(楼层配置!$D$5:$D$104,MATCH(A84,楼层配置!$B$5:$B$104,0))</f>
        <v>259</v>
      </c>
      <c r="E84" s="12">
        <v>15.4305238517259</v>
      </c>
      <c r="F84" s="12">
        <f>SUMIF(TeamHero生成!$K$5:$K$504,A84,TeamHero生成!$AH$5:$AH$504)/1927364.21561704</f>
        <v>10.1660370428796</v>
      </c>
      <c r="G84" s="12">
        <v>12.7441100768402</v>
      </c>
      <c r="H84" s="12">
        <f>2468275.09320939/SUMIF(TeamHero生成!$K$5:$K$504,A84,TeamHero生成!$E$5:$E$504)</f>
        <v>16.2637966145646</v>
      </c>
      <c r="I84" s="12">
        <f t="shared" si="2"/>
        <v>0.658826436520656</v>
      </c>
      <c r="J84" s="12">
        <f t="shared" si="3"/>
        <v>1.27618142942132</v>
      </c>
    </row>
    <row r="85" spans="1:10">
      <c r="A85">
        <v>84</v>
      </c>
      <c r="B85">
        <v>232</v>
      </c>
      <c r="C85">
        <v>353</v>
      </c>
      <c r="D85">
        <f>INDEX(楼层配置!$D$5:$D$104,MATCH(A85,楼层配置!$B$5:$B$104,0))</f>
        <v>260</v>
      </c>
      <c r="E85" s="12">
        <v>15.5143608478952</v>
      </c>
      <c r="F85" s="12">
        <f>SUMIF(TeamHero生成!$K$5:$K$504,A85,TeamHero生成!$AH$5:$AH$504)/1961669.48063103</f>
        <v>10.1061083407288</v>
      </c>
      <c r="G85" s="12">
        <v>12.70936122918</v>
      </c>
      <c r="H85" s="12">
        <f>2499760.42145522/SUMIF(TeamHero生成!$K$5:$K$504,A85,TeamHero生成!$E$5:$E$504)</f>
        <v>16.3280583519832</v>
      </c>
      <c r="I85" s="12">
        <f t="shared" si="2"/>
        <v>0.651403460304319</v>
      </c>
      <c r="J85" s="12">
        <f t="shared" si="3"/>
        <v>1.28472690779257</v>
      </c>
    </row>
    <row r="86" spans="1:10">
      <c r="A86">
        <v>85</v>
      </c>
      <c r="B86">
        <v>235</v>
      </c>
      <c r="C86">
        <v>354</v>
      </c>
      <c r="D86">
        <f>INDEX(楼层配置!$D$5:$D$104,MATCH(A86,楼层配置!$B$5:$B$104,0))</f>
        <v>262</v>
      </c>
      <c r="E86" s="12">
        <v>16.6638130849247</v>
      </c>
      <c r="F86" s="12">
        <f>SUMIF(TeamHero生成!$K$5:$K$504,A86,TeamHero生成!$AH$5:$AH$504)/1996055.27130673</f>
        <v>10.8590745539877</v>
      </c>
      <c r="G86" s="12">
        <v>13.1413816609685</v>
      </c>
      <c r="H86" s="12">
        <f>2531144.1730032/SUMIF(TeamHero生成!$K$5:$K$504,A86,TeamHero生成!$E$5:$E$504)</f>
        <v>16.8674350630957</v>
      </c>
      <c r="I86" s="12">
        <f t="shared" si="2"/>
        <v>0.651656046467038</v>
      </c>
      <c r="J86" s="12">
        <f t="shared" si="3"/>
        <v>1.28353589434161</v>
      </c>
    </row>
    <row r="87" spans="1:10">
      <c r="A87">
        <v>86</v>
      </c>
      <c r="B87">
        <v>238</v>
      </c>
      <c r="C87">
        <v>355</v>
      </c>
      <c r="D87">
        <f>INDEX(楼层配置!$D$5:$D$104,MATCH(A87,楼层配置!$B$5:$B$104,0))</f>
        <v>263</v>
      </c>
      <c r="E87" s="12">
        <v>15.696256205023</v>
      </c>
      <c r="F87" s="12">
        <f>SUMIF(TeamHero生成!$K$5:$K$504,A87,TeamHero生成!$AH$5:$AH$504)/2028989.08602258</f>
        <v>10.1286706008907</v>
      </c>
      <c r="G87" s="12">
        <v>12.6324216394099</v>
      </c>
      <c r="H87" s="12">
        <f>2561062.41485281/SUMIF(TeamHero生成!$K$5:$K$504,A87,TeamHero生成!$E$5:$E$504)</f>
        <v>16.322480082425</v>
      </c>
      <c r="I87" s="12">
        <f t="shared" si="2"/>
        <v>0.645292130084459</v>
      </c>
      <c r="J87" s="12">
        <f t="shared" si="3"/>
        <v>1.29211013915994</v>
      </c>
    </row>
    <row r="88" spans="1:10">
      <c r="A88">
        <v>87</v>
      </c>
      <c r="B88">
        <v>241</v>
      </c>
      <c r="C88">
        <v>356</v>
      </c>
      <c r="D88">
        <f>INDEX(楼层配置!$D$5:$D$104,MATCH(A88,楼层配置!$B$5:$B$104,0))</f>
        <v>264</v>
      </c>
      <c r="E88" s="12">
        <v>15.7940183137118</v>
      </c>
      <c r="F88" s="12">
        <f>SUMIF(TeamHero生成!$K$5:$K$504,A88,TeamHero生成!$AH$5:$AH$504)/2062374.78108052</f>
        <v>10.0788601718692</v>
      </c>
      <c r="G88" s="12">
        <v>12.5905278622781</v>
      </c>
      <c r="H88" s="12">
        <f>2591228.397565/SUMIF(TeamHero生成!$K$5:$K$504,A88,TeamHero生成!$E$5:$E$504)</f>
        <v>16.3760302690652</v>
      </c>
      <c r="I88" s="12">
        <f t="shared" si="2"/>
        <v>0.638144136069485</v>
      </c>
      <c r="J88" s="12">
        <f t="shared" si="3"/>
        <v>1.30066272424754</v>
      </c>
    </row>
    <row r="89" spans="1:10">
      <c r="A89">
        <v>88</v>
      </c>
      <c r="B89">
        <v>244</v>
      </c>
      <c r="C89">
        <v>357</v>
      </c>
      <c r="D89">
        <f>INDEX(楼层配置!$D$5:$D$104,MATCH(A89,楼层配置!$B$5:$B$104,0))</f>
        <v>265</v>
      </c>
      <c r="E89" s="12">
        <v>15.8959461779857</v>
      </c>
      <c r="F89" s="12">
        <f>SUMIF(TeamHero生成!$K$5:$K$504,A89,TeamHero生成!$AH$5:$AH$504)/2096217.47952772</f>
        <v>10.0322741024052</v>
      </c>
      <c r="G89" s="12">
        <v>12.5467156873839</v>
      </c>
      <c r="H89" s="12">
        <f>2621643.48204274/SUMIF(TeamHero生成!$K$5:$K$504,A89,TeamHero生成!$E$5:$E$504)</f>
        <v>16.4268522324806</v>
      </c>
      <c r="I89" s="12">
        <f t="shared" si="2"/>
        <v>0.631121544453823</v>
      </c>
      <c r="J89" s="12">
        <f t="shared" si="3"/>
        <v>1.30925515822426</v>
      </c>
    </row>
    <row r="90" spans="1:10">
      <c r="A90">
        <v>89</v>
      </c>
      <c r="B90">
        <v>247</v>
      </c>
      <c r="C90">
        <v>358</v>
      </c>
      <c r="D90">
        <f>INDEX(楼层配置!$D$5:$D$104,MATCH(A90,楼层配置!$B$5:$B$104,0))</f>
        <v>267</v>
      </c>
      <c r="E90" s="12">
        <v>16.0019001359812</v>
      </c>
      <c r="F90" s="12">
        <f>SUMIF(TeamHero生成!$K$5:$K$504,A90,TeamHero生成!$AH$5:$AH$504)/2130522.35028177</f>
        <v>10.1180743916036</v>
      </c>
      <c r="G90" s="12">
        <v>12.5010801325424</v>
      </c>
      <c r="H90" s="12">
        <f>2652309.03339959/SUMIF(TeamHero生成!$K$5:$K$504,A90,TeamHero生成!$E$5:$E$504)</f>
        <v>16.3511829392918</v>
      </c>
      <c r="I90" s="12">
        <f t="shared" si="2"/>
        <v>0.632304557935122</v>
      </c>
      <c r="J90" s="12">
        <f t="shared" si="3"/>
        <v>1.30798161166306</v>
      </c>
    </row>
    <row r="91" spans="1:10">
      <c r="A91">
        <v>90</v>
      </c>
      <c r="B91">
        <v>250</v>
      </c>
      <c r="C91">
        <v>360</v>
      </c>
      <c r="D91">
        <f>INDEX(楼层配置!$D$5:$D$104,MATCH(A91,楼层配置!$B$5:$B$104,0))</f>
        <v>268</v>
      </c>
      <c r="E91" s="12">
        <v>17.3904970127524</v>
      </c>
      <c r="F91" s="12">
        <f>SUMIF(TeamHero生成!$K$5:$K$504,A91,TeamHero生成!$AH$5:$AH$504)/2164947.01594005</f>
        <v>10.8594371050346</v>
      </c>
      <c r="G91" s="12">
        <v>12.8329979107253</v>
      </c>
      <c r="H91" s="12">
        <f>2682922.27977204/SUMIF(TeamHero生成!$K$5:$K$504,A91,TeamHero生成!$E$5:$E$504)</f>
        <v>16.895295753522</v>
      </c>
      <c r="I91" s="12">
        <f t="shared" si="2"/>
        <v>0.624446621454891</v>
      </c>
      <c r="J91" s="12">
        <f t="shared" si="3"/>
        <v>1.31655096268672</v>
      </c>
    </row>
    <row r="92" spans="1:10">
      <c r="A92">
        <v>91</v>
      </c>
      <c r="B92">
        <v>253</v>
      </c>
      <c r="C92">
        <v>361</v>
      </c>
      <c r="D92">
        <f>INDEX(楼层配置!$D$5:$D$104,MATCH(A92,楼层配置!$B$5:$B$104,0))</f>
        <v>269</v>
      </c>
      <c r="E92" s="12">
        <v>16.394899955779</v>
      </c>
      <c r="F92" s="12">
        <f>SUMIF(TeamHero生成!$K$5:$K$504,A92,TeamHero生成!$AH$5:$AH$504)/2198243.67261001</f>
        <v>10.1421679799434</v>
      </c>
      <c r="G92" s="12">
        <v>12.3260228765528</v>
      </c>
      <c r="H92" s="12">
        <f>2712396.19073115/SUMIF(TeamHero生成!$K$5:$K$504,A92,TeamHero生成!$E$5:$E$504)</f>
        <v>16.3343241138849</v>
      </c>
      <c r="I92" s="12">
        <f t="shared" si="2"/>
        <v>0.618617253371428</v>
      </c>
      <c r="J92" s="12">
        <f t="shared" si="3"/>
        <v>1.32519015074658</v>
      </c>
    </row>
    <row r="93" spans="1:10">
      <c r="A93">
        <v>92</v>
      </c>
      <c r="B93">
        <v>255</v>
      </c>
      <c r="C93">
        <v>361</v>
      </c>
      <c r="D93">
        <f>INDEX(楼层配置!$D$5:$D$104,MATCH(A93,楼层配置!$B$5:$B$104,0))</f>
        <v>270</v>
      </c>
      <c r="E93" s="12">
        <v>16.3599227854928</v>
      </c>
      <c r="F93" s="12">
        <f>SUMIF(TeamHero生成!$K$5:$K$504,A93,TeamHero生成!$AH$5:$AH$504)/2220678.49300332</f>
        <v>10.1302375334849</v>
      </c>
      <c r="G93" s="12">
        <v>12.3450809676718</v>
      </c>
      <c r="H93" s="12">
        <f>2732172.30996715/SUMIF(TeamHero生成!$K$5:$K$504,A93,TeamHero生成!$E$5:$E$504)</f>
        <v>16.3511096147507</v>
      </c>
      <c r="I93" s="12">
        <f t="shared" si="2"/>
        <v>0.619210595692294</v>
      </c>
      <c r="J93" s="12">
        <f t="shared" si="3"/>
        <v>1.32450403991432</v>
      </c>
    </row>
    <row r="94" spans="1:10">
      <c r="A94">
        <v>93</v>
      </c>
      <c r="B94">
        <v>258</v>
      </c>
      <c r="C94">
        <v>363</v>
      </c>
      <c r="D94">
        <f>INDEX(楼层配置!$D$5:$D$104,MATCH(A94,楼层配置!$B$5:$B$104,0))</f>
        <v>272</v>
      </c>
      <c r="E94" s="12">
        <v>16.6513582107128</v>
      </c>
      <c r="F94" s="12">
        <f>SUMIF(TeamHero生成!$K$5:$K$504,A94,TeamHero生成!$AH$5:$AH$504)/2254689.64998256</f>
        <v>10.2094542522233</v>
      </c>
      <c r="G94" s="12">
        <v>12.2156913497481</v>
      </c>
      <c r="H94" s="12">
        <f>2762027.63154784/SUMIF(TeamHero生成!$K$5:$K$504,A94,TeamHero生成!$E$5:$E$504)</f>
        <v>16.2764231801045</v>
      </c>
      <c r="I94" s="12">
        <f t="shared" si="2"/>
        <v>0.613130419935052</v>
      </c>
      <c r="J94" s="12">
        <f t="shared" si="3"/>
        <v>1.33241932151799</v>
      </c>
    </row>
    <row r="95" spans="1:10">
      <c r="A95">
        <v>94</v>
      </c>
      <c r="B95">
        <v>261</v>
      </c>
      <c r="C95">
        <v>364</v>
      </c>
      <c r="D95">
        <f>INDEX(楼层配置!$D$5:$D$104,MATCH(A95,楼层配置!$B$5:$B$104,0))</f>
        <v>273</v>
      </c>
      <c r="E95" s="12">
        <v>16.7758367460593</v>
      </c>
      <c r="F95" s="12">
        <f>SUMIF(TeamHero生成!$K$5:$K$504,A95,TeamHero生成!$AH$5:$AH$504)/2289135.57251998</f>
        <v>10.1757908694178</v>
      </c>
      <c r="G95" s="12">
        <v>12.1634491566443</v>
      </c>
      <c r="H95" s="12">
        <f>2792113.37702394/SUMIF(TeamHero生成!$K$5:$K$504,A95,TeamHero生成!$E$5:$E$504)</f>
        <v>16.3112648137538</v>
      </c>
      <c r="I95" s="12">
        <f t="shared" si="2"/>
        <v>0.60657426651509</v>
      </c>
      <c r="J95" s="12">
        <f t="shared" si="3"/>
        <v>1.34100653553879</v>
      </c>
    </row>
    <row r="96" spans="1:10">
      <c r="A96">
        <v>95</v>
      </c>
      <c r="B96">
        <v>264</v>
      </c>
      <c r="C96">
        <v>365</v>
      </c>
      <c r="D96">
        <f>INDEX(楼层配置!$D$5:$D$104,MATCH(A96,楼层配置!$B$5:$B$104,0))</f>
        <v>274</v>
      </c>
      <c r="E96" s="12">
        <v>16.9039371980181</v>
      </c>
      <c r="F96" s="12">
        <f>SUMIF(TeamHero生成!$K$5:$K$504,A96,TeamHero生成!$AH$5:$AH$504)/2324020.85623578</f>
        <v>10.144406748237</v>
      </c>
      <c r="G96" s="12">
        <v>12.1104008030565</v>
      </c>
      <c r="H96" s="12">
        <f>2822430.7337781/SUMIF(TeamHero生成!$K$5:$K$504,A96,TeamHero生成!$E$5:$E$504)</f>
        <v>16.3447671358059</v>
      </c>
      <c r="I96" s="12">
        <f t="shared" si="2"/>
        <v>0.600120943979035</v>
      </c>
      <c r="J96" s="12">
        <f t="shared" si="3"/>
        <v>1.34964708448631</v>
      </c>
    </row>
    <row r="97" spans="1:10">
      <c r="A97">
        <v>96</v>
      </c>
      <c r="B97">
        <v>267</v>
      </c>
      <c r="C97">
        <v>366</v>
      </c>
      <c r="D97">
        <f>INDEX(楼层配置!$D$5:$D$104,MATCH(A97,楼层配置!$B$5:$B$104,0))</f>
        <v>275</v>
      </c>
      <c r="E97" s="12">
        <v>17.0353070858243</v>
      </c>
      <c r="F97" s="12">
        <f>SUMIF(TeamHero生成!$K$5:$K$504,A97,TeamHero生成!$AH$5:$AH$504)/2358018.03420821</f>
        <v>10.115158031245</v>
      </c>
      <c r="G97" s="12">
        <v>12.0559462647561</v>
      </c>
      <c r="H97" s="12">
        <f>2851840.99737293/SUMIF(TeamHero生成!$K$5:$K$504,A97,TeamHero生成!$E$5:$E$504)</f>
        <v>16.3757737431693</v>
      </c>
      <c r="I97" s="12">
        <f t="shared" si="2"/>
        <v>0.593776089875255</v>
      </c>
      <c r="J97" s="12">
        <f t="shared" si="3"/>
        <v>1.35831509062392</v>
      </c>
    </row>
    <row r="98" spans="1:10">
      <c r="A98">
        <v>97</v>
      </c>
      <c r="B98">
        <v>270</v>
      </c>
      <c r="C98">
        <v>367</v>
      </c>
      <c r="D98">
        <f>INDEX(楼层配置!$D$5:$D$104,MATCH(A98,楼层配置!$B$5:$B$104,0))</f>
        <v>276</v>
      </c>
      <c r="E98" s="12">
        <v>17.1699288016811</v>
      </c>
      <c r="F98" s="12">
        <f>SUMIF(TeamHero生成!$K$5:$K$504,A98,TeamHero生成!$AH$5:$AH$504)/2392189.15150611</f>
        <v>10.0879200618806</v>
      </c>
      <c r="G98" s="12">
        <v>12.0007271520746</v>
      </c>
      <c r="H98" s="12">
        <f>2881262.13375399/SUMIF(TeamHero生成!$K$5:$K$504,A98,TeamHero生成!$E$5:$E$504)</f>
        <v>16.4039883728109</v>
      </c>
      <c r="I98" s="12">
        <f t="shared" si="2"/>
        <v>0.587534181323624</v>
      </c>
      <c r="J98" s="12">
        <f t="shared" si="3"/>
        <v>1.36691620140493</v>
      </c>
    </row>
    <row r="99" spans="1:10">
      <c r="A99">
        <v>98</v>
      </c>
      <c r="B99">
        <v>273</v>
      </c>
      <c r="C99">
        <v>368</v>
      </c>
      <c r="D99">
        <f>INDEX(楼层配置!$D$5:$D$104,MATCH(A99,楼层配置!$B$5:$B$104,0))</f>
        <v>278</v>
      </c>
      <c r="E99" s="12">
        <v>17.3078543297165</v>
      </c>
      <c r="F99" s="12">
        <f>SUMIF(TeamHero生成!$K$5:$K$504,A99,TeamHero生成!$AH$5:$AH$504)/2426774.48839207</f>
        <v>10.1898231512443</v>
      </c>
      <c r="G99" s="12">
        <v>11.9443442067692</v>
      </c>
      <c r="H99" s="12">
        <f>2910898.75588501/SUMIF(TeamHero生成!$K$5:$K$504,A99,TeamHero生成!$E$5:$E$504)</f>
        <v>16.3096575798843</v>
      </c>
      <c r="I99" s="12">
        <f t="shared" si="2"/>
        <v>0.5887398262735</v>
      </c>
      <c r="J99" s="12">
        <f t="shared" si="3"/>
        <v>1.36547116338469</v>
      </c>
    </row>
    <row r="100" spans="1:10">
      <c r="A100">
        <v>99</v>
      </c>
      <c r="B100">
        <v>276</v>
      </c>
      <c r="C100">
        <v>370</v>
      </c>
      <c r="D100">
        <f>INDEX(楼层配置!$D$5:$D$104,MATCH(A100,楼层配置!$B$5:$B$104,0))</f>
        <v>279</v>
      </c>
      <c r="E100" s="12">
        <v>17.6278907396156</v>
      </c>
      <c r="F100" s="12">
        <f>SUMIF(TeamHero生成!$K$5:$K$504,A100,TeamHero生成!$AH$5:$AH$504)/2461778.19932785</f>
        <v>10.1528097107269</v>
      </c>
      <c r="G100" s="12">
        <v>11.8122933421313</v>
      </c>
      <c r="H100" s="12">
        <f>2940751.92192427/SUMIF(TeamHero生成!$K$5:$K$504,A100,TeamHero生成!$E$5:$E$504)</f>
        <v>16.3424134013775</v>
      </c>
      <c r="I100" s="12">
        <f t="shared" si="2"/>
        <v>0.575951477161716</v>
      </c>
      <c r="J100" s="12">
        <f t="shared" si="3"/>
        <v>1.38350893666757</v>
      </c>
    </row>
    <row r="101" spans="1:10">
      <c r="A101">
        <v>100</v>
      </c>
      <c r="B101">
        <v>279</v>
      </c>
      <c r="C101">
        <v>370</v>
      </c>
      <c r="D101">
        <f>INDEX(楼层配置!$D$5:$D$104,MATCH(A101,楼层配置!$B$5:$B$104,0))</f>
        <v>280</v>
      </c>
      <c r="E101" s="12">
        <v>17.5923625077898</v>
      </c>
      <c r="F101" s="12">
        <f>SUMIF(TeamHero生成!$K$5:$K$504,A101,TeamHero生成!$AH$5:$AH$504)/2497204.47172538</f>
        <v>10.1430142197331</v>
      </c>
      <c r="G101" s="12">
        <v>11.8297257736823</v>
      </c>
      <c r="H101" s="12">
        <f>2970822.69299639/SUMIF(TeamHero生成!$K$5:$K$504,A101,TeamHero生成!$E$5:$E$504)</f>
        <v>16.3577145901043</v>
      </c>
      <c r="I101" s="12">
        <f t="shared" si="2"/>
        <v>0.576557822477899</v>
      </c>
      <c r="J101" s="12">
        <f t="shared" si="3"/>
        <v>1.38276363316008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showGridLines="0" workbookViewId="0">
      <selection activeCell="A1" sqref="A1"/>
    </sheetView>
  </sheetViews>
  <sheetFormatPr defaultColWidth="9" defaultRowHeight="13.5" outlineLevelCol="4"/>
  <cols>
    <col min="1" max="2" width="15" customWidth="1"/>
    <col min="3" max="4" width="22" customWidth="1"/>
    <col min="5" max="5" width="25" customWidth="1"/>
  </cols>
  <sheetData>
    <row r="1" ht="36" customHeight="1" spans="1:5">
      <c r="A1" s="1" t="s">
        <v>250</v>
      </c>
      <c r="B1" s="1" t="s">
        <v>251</v>
      </c>
      <c r="C1" s="1" t="s">
        <v>252</v>
      </c>
      <c r="D1" s="1" t="s">
        <v>253</v>
      </c>
      <c r="E1" s="1" t="s">
        <v>24</v>
      </c>
    </row>
    <row r="2" ht="25" customHeight="1" spans="1:5">
      <c r="A2" s="2">
        <v>1</v>
      </c>
      <c r="B2" s="2">
        <v>28</v>
      </c>
      <c r="C2" s="5">
        <v>15</v>
      </c>
      <c r="D2" s="2">
        <f t="shared" ref="D2:D22" si="0">C2-B2</f>
        <v>-13</v>
      </c>
      <c r="E2" s="6" t="s">
        <v>254</v>
      </c>
    </row>
    <row r="3" ht="25" customHeight="1" spans="1:5">
      <c r="A3" s="2">
        <v>10</v>
      </c>
      <c r="B3" s="2">
        <v>60</v>
      </c>
      <c r="C3" s="5">
        <v>45</v>
      </c>
      <c r="D3" s="2">
        <f t="shared" si="0"/>
        <v>-15</v>
      </c>
      <c r="E3" s="6" t="s">
        <v>254</v>
      </c>
    </row>
    <row r="4" ht="25" customHeight="1" spans="1:5">
      <c r="A4" s="2">
        <v>20</v>
      </c>
      <c r="B4" s="2">
        <v>104</v>
      </c>
      <c r="C4" s="5">
        <v>80</v>
      </c>
      <c r="D4" s="2">
        <f t="shared" si="0"/>
        <v>-24</v>
      </c>
      <c r="E4" s="6" t="s">
        <v>254</v>
      </c>
    </row>
    <row r="5" ht="25" customHeight="1" spans="1:5">
      <c r="A5" s="2">
        <v>30</v>
      </c>
      <c r="B5" s="2">
        <v>137</v>
      </c>
      <c r="C5" s="5">
        <v>120</v>
      </c>
      <c r="D5" s="2">
        <f t="shared" si="0"/>
        <v>-17</v>
      </c>
      <c r="E5" s="6" t="s">
        <v>254</v>
      </c>
    </row>
    <row r="6" ht="25" customHeight="1" spans="1:5">
      <c r="A6" s="2">
        <v>40</v>
      </c>
      <c r="B6" s="2">
        <v>167</v>
      </c>
      <c r="C6" s="5">
        <v>160</v>
      </c>
      <c r="D6" s="2">
        <f t="shared" si="0"/>
        <v>-7</v>
      </c>
      <c r="E6" s="6" t="s">
        <v>254</v>
      </c>
    </row>
    <row r="7" ht="25" customHeight="1" spans="1:5">
      <c r="A7" s="2">
        <v>50</v>
      </c>
      <c r="B7" s="2">
        <v>196</v>
      </c>
      <c r="C7" s="5">
        <v>196</v>
      </c>
      <c r="D7" s="2">
        <f t="shared" si="0"/>
        <v>0</v>
      </c>
      <c r="E7" s="6" t="s">
        <v>255</v>
      </c>
    </row>
    <row r="8" ht="25" customHeight="1" spans="1:5">
      <c r="A8" s="2">
        <v>60</v>
      </c>
      <c r="B8" s="2">
        <v>219</v>
      </c>
      <c r="C8" s="5">
        <v>219</v>
      </c>
      <c r="D8" s="2">
        <f t="shared" si="0"/>
        <v>0</v>
      </c>
      <c r="E8" s="6" t="s">
        <v>255</v>
      </c>
    </row>
    <row r="9" ht="25" customHeight="1" spans="1:5">
      <c r="A9" s="2">
        <v>70</v>
      </c>
      <c r="B9" s="2">
        <v>238</v>
      </c>
      <c r="C9" s="5">
        <v>238</v>
      </c>
      <c r="D9" s="2">
        <f t="shared" si="0"/>
        <v>0</v>
      </c>
      <c r="E9" s="6" t="s">
        <v>255</v>
      </c>
    </row>
    <row r="10" ht="25" customHeight="1" spans="1:5">
      <c r="A10" s="2">
        <v>80</v>
      </c>
      <c r="B10" s="2">
        <v>255</v>
      </c>
      <c r="C10" s="5">
        <v>255</v>
      </c>
      <c r="D10" s="2">
        <f t="shared" si="0"/>
        <v>0</v>
      </c>
      <c r="E10" s="6" t="s">
        <v>255</v>
      </c>
    </row>
    <row r="11" ht="25" customHeight="1" spans="1:5">
      <c r="A11" s="2">
        <v>90</v>
      </c>
      <c r="B11" s="2">
        <v>268</v>
      </c>
      <c r="C11" s="5">
        <v>268</v>
      </c>
      <c r="D11" s="2">
        <f t="shared" si="0"/>
        <v>0</v>
      </c>
      <c r="E11" s="6" t="s">
        <v>255</v>
      </c>
    </row>
    <row r="12" ht="25" customHeight="1" spans="1:5">
      <c r="A12" s="2">
        <v>100</v>
      </c>
      <c r="B12" s="2">
        <v>280</v>
      </c>
      <c r="C12" s="5">
        <v>280</v>
      </c>
      <c r="D12" s="2">
        <f t="shared" si="0"/>
        <v>0</v>
      </c>
      <c r="E12" s="6" t="s">
        <v>256</v>
      </c>
    </row>
    <row r="13" ht="25" customHeight="1" spans="1:5">
      <c r="A13" s="7">
        <v>110</v>
      </c>
      <c r="B13" s="7">
        <v>280</v>
      </c>
      <c r="C13" s="8">
        <v>292</v>
      </c>
      <c r="D13" s="7">
        <f t="shared" si="0"/>
        <v>12</v>
      </c>
      <c r="E13" s="9" t="s">
        <v>257</v>
      </c>
    </row>
    <row r="14" spans="1:5">
      <c r="A14">
        <v>120</v>
      </c>
      <c r="B14">
        <v>280</v>
      </c>
      <c r="C14">
        <v>306</v>
      </c>
      <c r="D14">
        <f t="shared" si="0"/>
        <v>26</v>
      </c>
      <c r="E14" t="s">
        <v>257</v>
      </c>
    </row>
    <row r="15" ht="30" customHeight="1" spans="1:5">
      <c r="A15" s="10">
        <v>130</v>
      </c>
      <c r="B15">
        <v>280</v>
      </c>
      <c r="C15">
        <v>322</v>
      </c>
      <c r="D15">
        <f t="shared" si="0"/>
        <v>42</v>
      </c>
      <c r="E15" t="s">
        <v>257</v>
      </c>
    </row>
    <row r="16" ht="30" customHeight="1" spans="1:5">
      <c r="A16" s="10">
        <v>140</v>
      </c>
      <c r="B16">
        <v>280</v>
      </c>
      <c r="C16">
        <v>340</v>
      </c>
      <c r="D16">
        <f t="shared" si="0"/>
        <v>60</v>
      </c>
      <c r="E16" t="s">
        <v>257</v>
      </c>
    </row>
    <row r="17" spans="1:5">
      <c r="A17">
        <v>150</v>
      </c>
      <c r="B17">
        <v>280</v>
      </c>
      <c r="C17">
        <v>360</v>
      </c>
      <c r="D17">
        <f t="shared" si="0"/>
        <v>80</v>
      </c>
      <c r="E17" t="s">
        <v>257</v>
      </c>
    </row>
    <row r="18" spans="1:5">
      <c r="A18">
        <v>160</v>
      </c>
      <c r="B18">
        <v>280</v>
      </c>
      <c r="C18">
        <v>382</v>
      </c>
      <c r="D18">
        <f t="shared" si="0"/>
        <v>102</v>
      </c>
      <c r="E18" t="s">
        <v>257</v>
      </c>
    </row>
    <row r="19" spans="1:5">
      <c r="A19">
        <v>170</v>
      </c>
      <c r="B19">
        <v>280</v>
      </c>
      <c r="C19">
        <v>406</v>
      </c>
      <c r="D19">
        <f t="shared" si="0"/>
        <v>126</v>
      </c>
      <c r="E19" t="s">
        <v>257</v>
      </c>
    </row>
    <row r="20" spans="1:5">
      <c r="A20">
        <v>180</v>
      </c>
      <c r="B20">
        <v>280</v>
      </c>
      <c r="C20">
        <v>432</v>
      </c>
      <c r="D20">
        <f t="shared" si="0"/>
        <v>152</v>
      </c>
      <c r="E20" t="s">
        <v>257</v>
      </c>
    </row>
    <row r="21" spans="1:5">
      <c r="A21">
        <v>190</v>
      </c>
      <c r="B21">
        <v>280</v>
      </c>
      <c r="C21">
        <v>462</v>
      </c>
      <c r="D21">
        <f t="shared" si="0"/>
        <v>182</v>
      </c>
      <c r="E21" t="s">
        <v>257</v>
      </c>
    </row>
    <row r="22" spans="1:5">
      <c r="A22">
        <v>200</v>
      </c>
      <c r="B22">
        <v>280</v>
      </c>
      <c r="C22">
        <v>500</v>
      </c>
      <c r="D22">
        <f t="shared" si="0"/>
        <v>220</v>
      </c>
      <c r="E22" t="s">
        <v>257</v>
      </c>
    </row>
    <row r="23" spans="1:5">
      <c r="A23" t="s">
        <v>258</v>
      </c>
    </row>
    <row r="24" spans="1:5">
      <c r="A24" t="s">
        <v>259</v>
      </c>
    </row>
  </sheetData>
  <mergeCells count="2">
    <mergeCell ref="A23:E23"/>
    <mergeCell ref="A24:E24"/>
  </mergeCells>
  <dataValidations count="1">
    <dataValidation type="whole" operator="between" sqref="C2:C13">
      <formula1>1</formula1>
      <formula2>500</formula2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showGridLines="0" workbookViewId="0">
      <selection activeCell="A1" sqref="A1"/>
    </sheetView>
  </sheetViews>
  <sheetFormatPr defaultColWidth="9" defaultRowHeight="13.5"/>
  <cols>
    <col min="1" max="10" width="15" customWidth="1"/>
  </cols>
  <sheetData>
    <row r="1" ht="36" customHeight="1" spans="1:10">
      <c r="A1" s="1" t="s">
        <v>240</v>
      </c>
      <c r="B1" s="1" t="s">
        <v>251</v>
      </c>
      <c r="C1" s="1" t="s">
        <v>260</v>
      </c>
      <c r="D1" s="1" t="s">
        <v>253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</row>
    <row r="2" ht="25" customHeight="1" spans="1:10">
      <c r="A2" s="2">
        <v>1</v>
      </c>
      <c r="B2" s="2">
        <v>28</v>
      </c>
      <c r="C2" s="2">
        <f>楼层配置!D5</f>
        <v>15</v>
      </c>
      <c r="D2" s="2">
        <f t="shared" ref="D2:D65" si="0">C2-B2</f>
        <v>-13</v>
      </c>
      <c r="E2" s="3">
        <v>4.78684942210594</v>
      </c>
      <c r="F2" s="3">
        <f>统一验算!F2</f>
        <v>1.9688363424757</v>
      </c>
      <c r="G2" s="3">
        <v>9.72855049284485</v>
      </c>
      <c r="H2" s="3">
        <f>统一验算!H2</f>
        <v>19.1766045755164</v>
      </c>
      <c r="I2" s="4">
        <f t="shared" ref="I2:I65" si="1">F2/E2-1</f>
        <v>-0.588698918878982</v>
      </c>
      <c r="J2" s="4">
        <f t="shared" ref="J2:J65" si="2">G2/H2-1</f>
        <v>-0.492686494392979</v>
      </c>
    </row>
    <row r="3" ht="25" customHeight="1" spans="1:10">
      <c r="A3" s="2">
        <v>2</v>
      </c>
      <c r="B3" s="2">
        <v>33</v>
      </c>
      <c r="C3" s="2">
        <f>楼层配置!D6</f>
        <v>18</v>
      </c>
      <c r="D3" s="2">
        <f t="shared" si="0"/>
        <v>-15</v>
      </c>
      <c r="E3" s="3">
        <v>5.67908166575604</v>
      </c>
      <c r="F3" s="3">
        <f>统一验算!F3</f>
        <v>2.3281771009268</v>
      </c>
      <c r="G3" s="3">
        <v>8.17960423128993</v>
      </c>
      <c r="H3" s="3">
        <f>统一验算!H3</f>
        <v>15.9517058368719</v>
      </c>
      <c r="I3" s="4">
        <f t="shared" si="1"/>
        <v>-0.590043384132801</v>
      </c>
      <c r="J3" s="4">
        <f t="shared" si="2"/>
        <v>-0.487226989079562</v>
      </c>
    </row>
    <row r="4" ht="25" customHeight="1" spans="1:10">
      <c r="A4" s="2">
        <v>3</v>
      </c>
      <c r="B4" s="2">
        <v>37</v>
      </c>
      <c r="C4" s="2">
        <f>楼层配置!D7</f>
        <v>22</v>
      </c>
      <c r="D4" s="2">
        <f t="shared" si="0"/>
        <v>-15</v>
      </c>
      <c r="E4" s="3">
        <v>7.93960068130614</v>
      </c>
      <c r="F4" s="3">
        <f>统一验算!F4</f>
        <v>3.56288167643343</v>
      </c>
      <c r="G4" s="3">
        <v>9.33459652089855</v>
      </c>
      <c r="H4" s="3">
        <f>统一验算!H4</f>
        <v>16.70090255368</v>
      </c>
      <c r="I4" s="4">
        <f t="shared" si="1"/>
        <v>-0.551251779598656</v>
      </c>
      <c r="J4" s="4">
        <f t="shared" si="2"/>
        <v>-0.441072331815882</v>
      </c>
    </row>
    <row r="5" ht="25" customHeight="1" spans="1:10">
      <c r="A5" s="2">
        <v>4</v>
      </c>
      <c r="B5" s="2">
        <v>42</v>
      </c>
      <c r="C5" s="2">
        <f>楼层配置!D8</f>
        <v>25</v>
      </c>
      <c r="D5" s="2">
        <f t="shared" si="0"/>
        <v>-17</v>
      </c>
      <c r="E5" s="3">
        <v>6.52218281223549</v>
      </c>
      <c r="F5" s="3">
        <f>统一验算!F5</f>
        <v>2.90760197263718</v>
      </c>
      <c r="G5" s="3">
        <v>7.59459303691341</v>
      </c>
      <c r="H5" s="3">
        <f>统一验算!H5</f>
        <v>13.6795103788622</v>
      </c>
      <c r="I5" s="4">
        <f t="shared" si="1"/>
        <v>-0.55419802597643</v>
      </c>
      <c r="J5" s="4">
        <f t="shared" si="2"/>
        <v>-0.444819819819816</v>
      </c>
    </row>
    <row r="6" ht="25" customHeight="1" spans="1:10">
      <c r="A6" s="2">
        <v>5</v>
      </c>
      <c r="B6" s="2">
        <v>46</v>
      </c>
      <c r="C6" s="2">
        <f>楼层配置!D9</f>
        <v>28</v>
      </c>
      <c r="D6" s="2">
        <f t="shared" si="0"/>
        <v>-18</v>
      </c>
      <c r="E6" s="3">
        <v>8.84838694261711</v>
      </c>
      <c r="F6" s="3">
        <f>统一验算!F6</f>
        <v>3.96947575087337</v>
      </c>
      <c r="G6" s="3">
        <v>7.98525203517759</v>
      </c>
      <c r="H6" s="3">
        <f>统一验算!H6</f>
        <v>14.1152895841761</v>
      </c>
      <c r="I6" s="4">
        <f t="shared" si="1"/>
        <v>-0.551389900033089</v>
      </c>
      <c r="J6" s="4">
        <f t="shared" si="2"/>
        <v>-0.434283513097072</v>
      </c>
    </row>
    <row r="7" ht="25" customHeight="1" spans="1:10">
      <c r="A7" s="2">
        <v>6</v>
      </c>
      <c r="B7" s="2">
        <v>49</v>
      </c>
      <c r="C7" s="2">
        <f>楼层配置!D10</f>
        <v>32</v>
      </c>
      <c r="D7" s="2">
        <f t="shared" si="0"/>
        <v>-17</v>
      </c>
      <c r="E7" s="3">
        <v>8.22546855959305</v>
      </c>
      <c r="F7" s="3">
        <f>统一验算!F7</f>
        <v>4.0798595069624</v>
      </c>
      <c r="G7" s="3">
        <v>7.59544093857104</v>
      </c>
      <c r="H7" s="3">
        <f>统一验算!H7</f>
        <v>12.4645068643018</v>
      </c>
      <c r="I7" s="4">
        <f t="shared" si="1"/>
        <v>-0.503996705184142</v>
      </c>
      <c r="J7" s="4">
        <f t="shared" si="2"/>
        <v>-0.390634461414248</v>
      </c>
    </row>
    <row r="8" ht="25" customHeight="1" spans="1:10">
      <c r="A8" s="2">
        <v>7</v>
      </c>
      <c r="B8" s="2">
        <v>52</v>
      </c>
      <c r="C8" s="2">
        <f>楼层配置!D11</f>
        <v>35</v>
      </c>
      <c r="D8" s="2">
        <f t="shared" si="0"/>
        <v>-17</v>
      </c>
      <c r="E8" s="3">
        <v>8.73539240510356</v>
      </c>
      <c r="F8" s="3">
        <f>统一验算!F8</f>
        <v>4.48832334119516</v>
      </c>
      <c r="G8" s="3">
        <v>8.0913664829449</v>
      </c>
      <c r="H8" s="3">
        <f>统一验算!H8</f>
        <v>12.8710443623018</v>
      </c>
      <c r="I8" s="4">
        <f t="shared" si="1"/>
        <v>-0.486190987988942</v>
      </c>
      <c r="J8" s="4">
        <f t="shared" si="2"/>
        <v>-0.371351208558971</v>
      </c>
    </row>
    <row r="9" ht="25" customHeight="1" spans="1:10">
      <c r="A9" s="2">
        <v>8</v>
      </c>
      <c r="B9" s="2">
        <v>54</v>
      </c>
      <c r="C9" s="2">
        <f>楼层配置!D12</f>
        <v>38</v>
      </c>
      <c r="D9" s="2">
        <f t="shared" si="0"/>
        <v>-16</v>
      </c>
      <c r="E9" s="3">
        <v>9.10855714178894</v>
      </c>
      <c r="F9" s="3">
        <f>统一验算!F9</f>
        <v>4.98025069430286</v>
      </c>
      <c r="G9" s="3">
        <v>9.37235774419653</v>
      </c>
      <c r="H9" s="3">
        <f>统一验算!H9</f>
        <v>14.2088952966829</v>
      </c>
      <c r="I9" s="4">
        <f t="shared" si="1"/>
        <v>-0.453233852872912</v>
      </c>
      <c r="J9" s="4">
        <f t="shared" si="2"/>
        <v>-0.34038800705467</v>
      </c>
    </row>
    <row r="10" ht="25" customHeight="1" spans="1:10">
      <c r="A10" s="2">
        <v>9</v>
      </c>
      <c r="B10" s="2">
        <v>57</v>
      </c>
      <c r="C10" s="2">
        <f>楼层配置!D13</f>
        <v>42</v>
      </c>
      <c r="D10" s="2">
        <f t="shared" si="0"/>
        <v>-15</v>
      </c>
      <c r="E10" s="3">
        <v>8.47714280647693</v>
      </c>
      <c r="F10" s="3">
        <f>统一验算!F10</f>
        <v>4.97407376976466</v>
      </c>
      <c r="G10" s="3">
        <v>8.84529420246538</v>
      </c>
      <c r="H10" s="3">
        <f>统一验算!H10</f>
        <v>12.7504476176696</v>
      </c>
      <c r="I10" s="4">
        <f t="shared" si="1"/>
        <v>-0.413236997026376</v>
      </c>
      <c r="J10" s="4">
        <f t="shared" si="2"/>
        <v>-0.306275789862657</v>
      </c>
    </row>
    <row r="11" ht="25" customHeight="1" spans="1:10">
      <c r="A11" s="2">
        <v>10</v>
      </c>
      <c r="B11" s="2">
        <v>60</v>
      </c>
      <c r="C11" s="2">
        <f>楼层配置!D14</f>
        <v>45</v>
      </c>
      <c r="D11" s="2">
        <f t="shared" si="0"/>
        <v>-15</v>
      </c>
      <c r="E11" s="3">
        <v>7.79512015028338</v>
      </c>
      <c r="F11" s="3">
        <f>统一验算!F11</f>
        <v>4.69587446465486</v>
      </c>
      <c r="G11" s="3">
        <v>8.66384869885582</v>
      </c>
      <c r="H11" s="3">
        <f>统一验算!H11</f>
        <v>12.2727557174948</v>
      </c>
      <c r="I11" s="4">
        <f t="shared" si="1"/>
        <v>-0.397587930125215</v>
      </c>
      <c r="J11" s="4">
        <f t="shared" si="2"/>
        <v>-0.294058408862035</v>
      </c>
    </row>
    <row r="12" ht="25" customHeight="1" spans="1:10">
      <c r="A12" s="2">
        <v>11</v>
      </c>
      <c r="B12" s="2">
        <v>64</v>
      </c>
      <c r="C12" s="2">
        <f>楼层配置!D15</f>
        <v>49</v>
      </c>
      <c r="D12" s="2">
        <f t="shared" si="0"/>
        <v>-15</v>
      </c>
      <c r="E12" s="3">
        <v>7.86414116417078</v>
      </c>
      <c r="F12" s="3">
        <f>统一验算!F12</f>
        <v>4.86113190290092</v>
      </c>
      <c r="G12" s="3">
        <v>8.8624957724965</v>
      </c>
      <c r="H12" s="3">
        <f>统一验算!H12</f>
        <v>12.2951752628973</v>
      </c>
      <c r="I12" s="4">
        <f t="shared" si="1"/>
        <v>-0.38186105749877</v>
      </c>
      <c r="J12" s="4">
        <f t="shared" si="2"/>
        <v>-0.279189146718346</v>
      </c>
    </row>
    <row r="13" ht="25" customHeight="1" spans="1:10">
      <c r="A13" s="2">
        <v>12</v>
      </c>
      <c r="B13" s="2">
        <v>69</v>
      </c>
      <c r="C13" s="2">
        <f>楼层配置!D16</f>
        <v>52</v>
      </c>
      <c r="D13" s="2">
        <f t="shared" si="0"/>
        <v>-17</v>
      </c>
      <c r="E13" s="3">
        <v>9.11606596323047</v>
      </c>
      <c r="F13" s="3">
        <f>统一验算!F13</f>
        <v>5.3921190212627</v>
      </c>
      <c r="G13" s="3">
        <v>9.23823083881657</v>
      </c>
      <c r="H13" s="3">
        <f>统一验算!H13</f>
        <v>13.1275964623987</v>
      </c>
      <c r="I13" s="4">
        <f t="shared" si="1"/>
        <v>-0.408503729238935</v>
      </c>
      <c r="J13" s="4">
        <f t="shared" si="2"/>
        <v>-0.296274008324557</v>
      </c>
    </row>
    <row r="14" ht="25" customHeight="1" spans="1:10">
      <c r="A14" s="2">
        <v>13</v>
      </c>
      <c r="B14" s="2">
        <v>73</v>
      </c>
      <c r="C14" s="2">
        <f>楼层配置!D17</f>
        <v>56</v>
      </c>
      <c r="D14" s="2">
        <f t="shared" si="0"/>
        <v>-17</v>
      </c>
      <c r="E14" s="3">
        <v>7.36267508849558</v>
      </c>
      <c r="F14" s="3">
        <f>统一验算!F14</f>
        <v>4.48407366674979</v>
      </c>
      <c r="G14" s="3">
        <v>9.15868254112153</v>
      </c>
      <c r="H14" s="3">
        <f>统一验算!H14</f>
        <v>12.7829980967395</v>
      </c>
      <c r="I14" s="4">
        <f t="shared" si="1"/>
        <v>-0.390972219627578</v>
      </c>
      <c r="J14" s="4">
        <f t="shared" si="2"/>
        <v>-0.283526253245895</v>
      </c>
    </row>
    <row r="15" ht="25" customHeight="1" spans="1:10">
      <c r="A15" s="2">
        <v>14</v>
      </c>
      <c r="B15" s="2">
        <v>78</v>
      </c>
      <c r="C15" s="2">
        <f>楼层配置!D18</f>
        <v>59</v>
      </c>
      <c r="D15" s="2">
        <f t="shared" si="0"/>
        <v>-19</v>
      </c>
      <c r="E15" s="3">
        <v>9.44577716161108</v>
      </c>
      <c r="F15" s="3">
        <f>统一验算!F15</f>
        <v>5.49343234525698</v>
      </c>
      <c r="G15" s="3">
        <v>10.3037882854288</v>
      </c>
      <c r="H15" s="3">
        <f>统一验算!H15</f>
        <v>14.6975756841943</v>
      </c>
      <c r="I15" s="4">
        <f t="shared" si="1"/>
        <v>-0.418424524391383</v>
      </c>
      <c r="J15" s="4">
        <f t="shared" si="2"/>
        <v>-0.298946404031148</v>
      </c>
    </row>
    <row r="16" ht="25" customHeight="1" spans="1:10">
      <c r="A16" s="2">
        <v>15</v>
      </c>
      <c r="B16" s="2">
        <v>82</v>
      </c>
      <c r="C16" s="2">
        <f>楼层配置!D19</f>
        <v>63</v>
      </c>
      <c r="D16" s="2">
        <f t="shared" si="0"/>
        <v>-19</v>
      </c>
      <c r="E16" s="3">
        <v>9.17402404172147</v>
      </c>
      <c r="F16" s="3">
        <f>统一验算!F16</f>
        <v>5.45094045359719</v>
      </c>
      <c r="G16" s="3">
        <v>10.0405634017709</v>
      </c>
      <c r="H16" s="3">
        <f>统一验算!H16</f>
        <v>14.1013901372042</v>
      </c>
      <c r="I16" s="4">
        <f t="shared" si="1"/>
        <v>-0.405828845792479</v>
      </c>
      <c r="J16" s="4">
        <f t="shared" si="2"/>
        <v>-0.287973504450421</v>
      </c>
    </row>
    <row r="17" ht="25" customHeight="1" spans="1:10">
      <c r="A17" s="2">
        <v>16</v>
      </c>
      <c r="B17" s="2">
        <v>86</v>
      </c>
      <c r="C17" s="2">
        <f>楼层配置!D20</f>
        <v>66</v>
      </c>
      <c r="D17" s="2">
        <f t="shared" si="0"/>
        <v>-20</v>
      </c>
      <c r="E17" s="3">
        <v>9.89317266805316</v>
      </c>
      <c r="F17" s="3">
        <f>统一验算!F17</f>
        <v>5.79762215773365</v>
      </c>
      <c r="G17" s="3">
        <v>10.1766897034662</v>
      </c>
      <c r="H17" s="3">
        <f>统一验算!H17</f>
        <v>14.3625437970641</v>
      </c>
      <c r="I17" s="4">
        <f t="shared" si="1"/>
        <v>-0.413977461805026</v>
      </c>
      <c r="J17" s="4">
        <f t="shared" si="2"/>
        <v>-0.291442390202043</v>
      </c>
    </row>
    <row r="18" ht="25" customHeight="1" spans="1:10">
      <c r="A18" s="2">
        <v>17</v>
      </c>
      <c r="B18" s="2">
        <v>91</v>
      </c>
      <c r="C18" s="2">
        <f>楼层配置!D21</f>
        <v>70</v>
      </c>
      <c r="D18" s="2">
        <f t="shared" si="0"/>
        <v>-21</v>
      </c>
      <c r="E18" s="3">
        <v>10.1799454077604</v>
      </c>
      <c r="F18" s="3">
        <f>统一验算!F18</f>
        <v>5.92498147331118</v>
      </c>
      <c r="G18" s="3">
        <v>10.2318611683992</v>
      </c>
      <c r="H18" s="3">
        <f>统一验算!H18</f>
        <v>14.459310810805</v>
      </c>
      <c r="I18" s="4">
        <f t="shared" si="1"/>
        <v>-0.417975123049831</v>
      </c>
      <c r="J18" s="4">
        <f t="shared" si="2"/>
        <v>-0.29236868186323</v>
      </c>
    </row>
    <row r="19" ht="25" customHeight="1" spans="1:10">
      <c r="A19" s="2">
        <v>18</v>
      </c>
      <c r="B19" s="2">
        <v>95</v>
      </c>
      <c r="C19" s="2">
        <f>楼层配置!D22</f>
        <v>73</v>
      </c>
      <c r="D19" s="2">
        <f t="shared" si="0"/>
        <v>-22</v>
      </c>
      <c r="E19" s="3">
        <v>9.16358056470652</v>
      </c>
      <c r="F19" s="3">
        <f>统一验算!F19</f>
        <v>5.30523278272904</v>
      </c>
      <c r="G19" s="3">
        <v>10.4440762956241</v>
      </c>
      <c r="H19" s="3">
        <f>统一验算!H19</f>
        <v>14.8292050184225</v>
      </c>
      <c r="I19" s="4">
        <f t="shared" si="1"/>
        <v>-0.421052421019562</v>
      </c>
      <c r="J19" s="4">
        <f t="shared" si="2"/>
        <v>-0.295708955223878</v>
      </c>
    </row>
    <row r="20" ht="25" customHeight="1" spans="1:10">
      <c r="A20" s="2">
        <v>19</v>
      </c>
      <c r="B20" s="2">
        <v>100</v>
      </c>
      <c r="C20" s="2">
        <f>楼层配置!D23</f>
        <v>77</v>
      </c>
      <c r="D20" s="2">
        <f t="shared" si="0"/>
        <v>-23</v>
      </c>
      <c r="E20" s="3">
        <v>10.6118938737652</v>
      </c>
      <c r="F20" s="3">
        <f>统一验算!F20</f>
        <v>6.0703812065566</v>
      </c>
      <c r="G20" s="3">
        <v>10.8418845680597</v>
      </c>
      <c r="H20" s="3">
        <f>统一验算!H20</f>
        <v>15.4276647358998</v>
      </c>
      <c r="I20" s="4">
        <f t="shared" si="1"/>
        <v>-0.427964388000163</v>
      </c>
      <c r="J20" s="4">
        <f t="shared" si="2"/>
        <v>-0.297243960530794</v>
      </c>
    </row>
    <row r="21" ht="25" customHeight="1" spans="1:10">
      <c r="A21" s="2">
        <v>20</v>
      </c>
      <c r="B21" s="2">
        <v>104</v>
      </c>
      <c r="C21" s="2">
        <f>楼层配置!D24</f>
        <v>80</v>
      </c>
      <c r="D21" s="2">
        <f t="shared" si="0"/>
        <v>-24</v>
      </c>
      <c r="E21" s="3">
        <v>9.21487583796976</v>
      </c>
      <c r="F21" s="3">
        <f>统一验算!F21</f>
        <v>5.25438456730994</v>
      </c>
      <c r="G21" s="3">
        <v>10.0613818487085</v>
      </c>
      <c r="H21" s="3">
        <f>统一验算!H21</f>
        <v>14.3854811306264</v>
      </c>
      <c r="I21" s="4">
        <f t="shared" si="1"/>
        <v>-0.429793232193176</v>
      </c>
      <c r="J21" s="4">
        <f t="shared" si="2"/>
        <v>-0.300587741393787</v>
      </c>
    </row>
    <row r="22" ht="25" customHeight="1" spans="1:10">
      <c r="A22" s="2">
        <v>21</v>
      </c>
      <c r="B22" s="2">
        <v>107</v>
      </c>
      <c r="C22" s="2">
        <f>楼层配置!D25</f>
        <v>84</v>
      </c>
      <c r="D22" s="2">
        <f t="shared" si="0"/>
        <v>-23</v>
      </c>
      <c r="E22" s="3">
        <v>10.7302439982058</v>
      </c>
      <c r="F22" s="3">
        <f>统一验算!F22</f>
        <v>6.28764697795128</v>
      </c>
      <c r="G22" s="3">
        <v>10.9488300963556</v>
      </c>
      <c r="H22" s="3">
        <f>统一验算!H22</f>
        <v>15.273377426316</v>
      </c>
      <c r="I22" s="4">
        <f t="shared" si="1"/>
        <v>-0.414025722154815</v>
      </c>
      <c r="J22" s="4">
        <f t="shared" si="2"/>
        <v>-0.283142831428314</v>
      </c>
    </row>
    <row r="23" ht="25" customHeight="1" spans="1:10">
      <c r="A23" s="2">
        <v>22</v>
      </c>
      <c r="B23" s="2">
        <v>111</v>
      </c>
      <c r="C23" s="2">
        <f>楼层配置!D26</f>
        <v>88</v>
      </c>
      <c r="D23" s="2">
        <f t="shared" si="0"/>
        <v>-23</v>
      </c>
      <c r="E23" s="3">
        <v>10.4011487793987</v>
      </c>
      <c r="F23" s="3">
        <f>统一验算!F23</f>
        <v>6.18458698447759</v>
      </c>
      <c r="G23" s="3">
        <v>10.7228952559359</v>
      </c>
      <c r="H23" s="3">
        <f>统一验算!H23</f>
        <v>14.8099622240915</v>
      </c>
      <c r="I23" s="4">
        <f t="shared" si="1"/>
        <v>-0.405393854501221</v>
      </c>
      <c r="J23" s="4">
        <f t="shared" si="2"/>
        <v>-0.275967413441955</v>
      </c>
    </row>
    <row r="24" ht="25" customHeight="1" spans="1:10">
      <c r="A24" s="2">
        <v>23</v>
      </c>
      <c r="B24" s="2">
        <v>114</v>
      </c>
      <c r="C24" s="2">
        <f>楼层配置!D27</f>
        <v>92</v>
      </c>
      <c r="D24" s="2">
        <f t="shared" si="0"/>
        <v>-22</v>
      </c>
      <c r="E24" s="3">
        <v>11.2296013165847</v>
      </c>
      <c r="F24" s="3">
        <f>统一验算!F24</f>
        <v>6.8768954720735</v>
      </c>
      <c r="G24" s="3">
        <v>12.0317196377703</v>
      </c>
      <c r="H24" s="3">
        <f>统一验算!H24</f>
        <v>16.2592206901923</v>
      </c>
      <c r="I24" s="4">
        <f t="shared" si="1"/>
        <v>-0.38761000696283</v>
      </c>
      <c r="J24" s="4">
        <f t="shared" si="2"/>
        <v>-0.26000637625714</v>
      </c>
    </row>
    <row r="25" ht="25" customHeight="1" spans="1:10">
      <c r="A25" s="2">
        <v>24</v>
      </c>
      <c r="B25" s="2">
        <v>117</v>
      </c>
      <c r="C25" s="2">
        <f>楼层配置!D28</f>
        <v>96</v>
      </c>
      <c r="D25" s="2">
        <f t="shared" si="0"/>
        <v>-21</v>
      </c>
      <c r="E25" s="3">
        <v>11.0457681453635</v>
      </c>
      <c r="F25" s="3">
        <f>统一验算!F25</f>
        <v>6.98491867712292</v>
      </c>
      <c r="G25" s="3">
        <v>13.0520433360235</v>
      </c>
      <c r="H25" s="3">
        <f>统一验算!H25</f>
        <v>17.2747632388546</v>
      </c>
      <c r="I25" s="4">
        <f t="shared" si="1"/>
        <v>-0.367638485146471</v>
      </c>
      <c r="J25" s="4">
        <f t="shared" si="2"/>
        <v>-0.244444444444444</v>
      </c>
    </row>
    <row r="26" ht="25" customHeight="1" spans="1:10">
      <c r="A26" s="2">
        <v>25</v>
      </c>
      <c r="B26" s="2">
        <v>121</v>
      </c>
      <c r="C26" s="2">
        <f>楼层配置!D29</f>
        <v>100</v>
      </c>
      <c r="D26" s="2">
        <f t="shared" si="0"/>
        <v>-21</v>
      </c>
      <c r="E26" s="3">
        <v>10.6757642657763</v>
      </c>
      <c r="F26" s="3">
        <f>统一验算!F26</f>
        <v>6.82571301311966</v>
      </c>
      <c r="G26" s="3">
        <v>12.7012776125098</v>
      </c>
      <c r="H26" s="3">
        <f>统一验算!H26</f>
        <v>16.686459011745</v>
      </c>
      <c r="I26" s="4">
        <f t="shared" si="1"/>
        <v>-0.360634719614303</v>
      </c>
      <c r="J26" s="4">
        <f t="shared" si="2"/>
        <v>-0.238827266853329</v>
      </c>
    </row>
    <row r="27" ht="25" customHeight="1" spans="1:10">
      <c r="A27" s="2">
        <v>26</v>
      </c>
      <c r="B27" s="2">
        <v>124</v>
      </c>
      <c r="C27" s="2">
        <f>楼层配置!D30</f>
        <v>104</v>
      </c>
      <c r="D27" s="2">
        <f t="shared" si="0"/>
        <v>-20</v>
      </c>
      <c r="E27" s="3">
        <v>9.78918364817184</v>
      </c>
      <c r="F27" s="3">
        <f>统一验算!F27</f>
        <v>6.46244861037349</v>
      </c>
      <c r="G27" s="3">
        <v>11.8403857340178</v>
      </c>
      <c r="H27" s="3">
        <f>统一验算!H27</f>
        <v>15.2681830664755</v>
      </c>
      <c r="I27" s="4">
        <f t="shared" si="1"/>
        <v>-0.339837841168669</v>
      </c>
      <c r="J27" s="4">
        <f t="shared" si="2"/>
        <v>-0.224505909939224</v>
      </c>
    </row>
    <row r="28" ht="25" customHeight="1" spans="1:10">
      <c r="A28" s="2">
        <v>27</v>
      </c>
      <c r="B28" s="2">
        <v>127</v>
      </c>
      <c r="C28" s="2">
        <f>楼层配置!D31</f>
        <v>108</v>
      </c>
      <c r="D28" s="2">
        <f t="shared" si="0"/>
        <v>-19</v>
      </c>
      <c r="E28" s="3">
        <v>11.2699068905005</v>
      </c>
      <c r="F28" s="3">
        <f>统一验算!F28</f>
        <v>7.61062285422895</v>
      </c>
      <c r="G28" s="3">
        <v>13.348705673548</v>
      </c>
      <c r="H28" s="3">
        <f>统一验算!H28</f>
        <v>16.9098351075849</v>
      </c>
      <c r="I28" s="4">
        <f t="shared" si="1"/>
        <v>-0.324695143609038</v>
      </c>
      <c r="J28" s="4">
        <f t="shared" si="2"/>
        <v>-0.210595160235449</v>
      </c>
    </row>
    <row r="29" ht="25" customHeight="1" spans="1:10">
      <c r="A29" s="2">
        <v>28</v>
      </c>
      <c r="B29" s="2">
        <v>130</v>
      </c>
      <c r="C29" s="2">
        <f>楼层配置!D32</f>
        <v>112</v>
      </c>
      <c r="D29" s="2">
        <f t="shared" si="0"/>
        <v>-18</v>
      </c>
      <c r="E29" s="3">
        <v>11.4499539078052</v>
      </c>
      <c r="F29" s="3">
        <f>统一验算!F29</f>
        <v>7.93770121473032</v>
      </c>
      <c r="G29" s="3">
        <v>13.0074761927164</v>
      </c>
      <c r="H29" s="3">
        <f>统一验算!H29</f>
        <v>16.2001513585716</v>
      </c>
      <c r="I29" s="4">
        <f t="shared" si="1"/>
        <v>-0.306748194914623</v>
      </c>
      <c r="J29" s="4">
        <f t="shared" si="2"/>
        <v>-0.197076872628471</v>
      </c>
    </row>
    <row r="30" ht="25" customHeight="1" spans="1:10">
      <c r="A30" s="2">
        <v>29</v>
      </c>
      <c r="B30" s="2">
        <v>134</v>
      </c>
      <c r="C30" s="2">
        <f>楼层配置!D33</f>
        <v>116</v>
      </c>
      <c r="D30" s="2">
        <f t="shared" si="0"/>
        <v>-18</v>
      </c>
      <c r="E30" s="3">
        <v>10.2520919490385</v>
      </c>
      <c r="F30" s="3">
        <f>统一验算!F30</f>
        <v>7.17537105969883</v>
      </c>
      <c r="G30" s="3">
        <v>12.8263142375498</v>
      </c>
      <c r="H30" s="3">
        <f>统一验算!H30</f>
        <v>15.8938869681519</v>
      </c>
      <c r="I30" s="4">
        <f t="shared" si="1"/>
        <v>-0.300106642101295</v>
      </c>
      <c r="J30" s="4">
        <f t="shared" si="2"/>
        <v>-0.193003306035136</v>
      </c>
    </row>
    <row r="31" ht="25" customHeight="1" spans="1:10">
      <c r="A31" s="2">
        <v>30</v>
      </c>
      <c r="B31" s="2">
        <v>137</v>
      </c>
      <c r="C31" s="2">
        <f>楼层配置!D34</f>
        <v>120</v>
      </c>
      <c r="D31" s="2">
        <f t="shared" si="0"/>
        <v>-17</v>
      </c>
      <c r="E31" s="3">
        <v>10.3160654539509</v>
      </c>
      <c r="F31" s="3">
        <f>统一验算!F31</f>
        <v>7.40766118768522</v>
      </c>
      <c r="G31" s="3">
        <v>13.393509199702</v>
      </c>
      <c r="H31" s="3">
        <f>统一验算!H31</f>
        <v>16.3391484734676</v>
      </c>
      <c r="I31" s="4">
        <f t="shared" si="1"/>
        <v>-0.281929605744388</v>
      </c>
      <c r="J31" s="4">
        <f t="shared" si="2"/>
        <v>-0.180281076369974</v>
      </c>
    </row>
    <row r="32" ht="25" customHeight="1" spans="1:10">
      <c r="A32" s="2">
        <v>31</v>
      </c>
      <c r="B32" s="2">
        <v>140</v>
      </c>
      <c r="C32" s="2">
        <f>楼层配置!D35</f>
        <v>124</v>
      </c>
      <c r="D32" s="2">
        <f t="shared" si="0"/>
        <v>-16</v>
      </c>
      <c r="E32" s="3">
        <v>10.4354347776371</v>
      </c>
      <c r="F32" s="3">
        <f>统一验算!F32</f>
        <v>7.67634113656579</v>
      </c>
      <c r="G32" s="3">
        <v>13.5709269381506</v>
      </c>
      <c r="H32" s="3">
        <f>统一验算!H32</f>
        <v>16.3089330129552</v>
      </c>
      <c r="I32" s="4">
        <f t="shared" si="1"/>
        <v>-0.264396615940141</v>
      </c>
      <c r="J32" s="4">
        <f t="shared" si="2"/>
        <v>-0.167883826160158</v>
      </c>
    </row>
    <row r="33" ht="25" customHeight="1" spans="1:10">
      <c r="A33" s="2">
        <v>32</v>
      </c>
      <c r="B33" s="2">
        <v>143</v>
      </c>
      <c r="C33" s="2">
        <f>楼层配置!D36</f>
        <v>128</v>
      </c>
      <c r="D33" s="2">
        <f t="shared" si="0"/>
        <v>-15</v>
      </c>
      <c r="E33" s="3">
        <v>11.2710984687078</v>
      </c>
      <c r="F33" s="3">
        <f>统一验算!F33</f>
        <v>8.47845678337197</v>
      </c>
      <c r="G33" s="3">
        <v>14.095414609408</v>
      </c>
      <c r="H33" s="3">
        <f>统一验算!H33</f>
        <v>16.6939671346207</v>
      </c>
      <c r="I33" s="4">
        <f t="shared" si="1"/>
        <v>-0.247770143530296</v>
      </c>
      <c r="J33" s="4">
        <f t="shared" si="2"/>
        <v>-0.155658179045034</v>
      </c>
    </row>
    <row r="34" ht="25" customHeight="1" spans="1:10">
      <c r="A34" s="2">
        <v>33</v>
      </c>
      <c r="B34" s="2">
        <v>146</v>
      </c>
      <c r="C34" s="2">
        <f>楼层配置!D37</f>
        <v>132</v>
      </c>
      <c r="D34" s="2">
        <f t="shared" si="0"/>
        <v>-14</v>
      </c>
      <c r="E34" s="3">
        <v>10.6585052193572</v>
      </c>
      <c r="F34" s="3">
        <f>统一验算!F34</f>
        <v>8.20968320616461</v>
      </c>
      <c r="G34" s="3">
        <v>13.8147538532296</v>
      </c>
      <c r="H34" s="3">
        <f>统一验算!H34</f>
        <v>16.1335219131779</v>
      </c>
      <c r="I34" s="4">
        <f t="shared" si="1"/>
        <v>-0.229752855845604</v>
      </c>
      <c r="J34" s="4">
        <f t="shared" si="2"/>
        <v>-0.143723613010641</v>
      </c>
    </row>
    <row r="35" ht="25" customHeight="1" spans="1:10">
      <c r="A35" s="2">
        <v>34</v>
      </c>
      <c r="B35" s="2">
        <v>149</v>
      </c>
      <c r="C35" s="2">
        <f>楼层配置!D38</f>
        <v>136</v>
      </c>
      <c r="D35" s="2">
        <f t="shared" si="0"/>
        <v>-13</v>
      </c>
      <c r="E35" s="3">
        <v>10.9215582683434</v>
      </c>
      <c r="F35" s="3">
        <f>统一验算!F35</f>
        <v>8.59932848628803</v>
      </c>
      <c r="G35" s="3">
        <v>13.7709989729482</v>
      </c>
      <c r="H35" s="3">
        <f>统一验算!H35</f>
        <v>15.8686287774144</v>
      </c>
      <c r="I35" s="4">
        <f t="shared" si="1"/>
        <v>-0.212628063230359</v>
      </c>
      <c r="J35" s="4">
        <f t="shared" si="2"/>
        <v>-0.1321872125115</v>
      </c>
    </row>
    <row r="36" ht="25" customHeight="1" spans="1:10">
      <c r="A36" s="2">
        <v>35</v>
      </c>
      <c r="B36" s="2">
        <v>152</v>
      </c>
      <c r="C36" s="2">
        <f>楼层配置!D39</f>
        <v>140</v>
      </c>
      <c r="D36" s="2">
        <f t="shared" si="0"/>
        <v>-12</v>
      </c>
      <c r="E36" s="3">
        <v>11.4224000554252</v>
      </c>
      <c r="F36" s="3">
        <f>统一验算!F36</f>
        <v>9.18060034514453</v>
      </c>
      <c r="G36" s="3">
        <v>14.6232099732788</v>
      </c>
      <c r="H36" s="3">
        <f>统一验算!H36</f>
        <v>16.6324936486813</v>
      </c>
      <c r="I36" s="4">
        <f t="shared" si="1"/>
        <v>-0.196263455963959</v>
      </c>
      <c r="J36" s="4">
        <f t="shared" si="2"/>
        <v>-0.120804716228573</v>
      </c>
    </row>
    <row r="37" ht="25" customHeight="1" spans="1:10">
      <c r="A37" s="2">
        <v>36</v>
      </c>
      <c r="B37" s="2">
        <v>155</v>
      </c>
      <c r="C37" s="2">
        <f>楼层配置!D40</f>
        <v>144</v>
      </c>
      <c r="D37" s="2">
        <f t="shared" si="0"/>
        <v>-11</v>
      </c>
      <c r="E37" s="3">
        <v>11.0658374421036</v>
      </c>
      <c r="F37" s="3">
        <f>统一验算!F37</f>
        <v>9.0871119941826</v>
      </c>
      <c r="G37" s="3">
        <v>14.0354941022917</v>
      </c>
      <c r="H37" s="3">
        <f>统一验算!H37</f>
        <v>15.7640790061421</v>
      </c>
      <c r="I37" s="4">
        <f t="shared" si="1"/>
        <v>-0.178813890794409</v>
      </c>
      <c r="J37" s="4">
        <f t="shared" si="2"/>
        <v>-0.109653402725074</v>
      </c>
    </row>
    <row r="38" ht="25" customHeight="1" spans="1:10">
      <c r="A38" s="2">
        <v>37</v>
      </c>
      <c r="B38" s="2">
        <v>158</v>
      </c>
      <c r="C38" s="2">
        <f>楼层配置!D41</f>
        <v>148</v>
      </c>
      <c r="D38" s="2">
        <f t="shared" si="0"/>
        <v>-10</v>
      </c>
      <c r="E38" s="3">
        <v>12.0621658655487</v>
      </c>
      <c r="F38" s="3">
        <f>统一验算!F38</f>
        <v>10.0928997353345</v>
      </c>
      <c r="G38" s="3">
        <v>15.0737083595409</v>
      </c>
      <c r="H38" s="3">
        <f>统一验算!H38</f>
        <v>16.7264011250825</v>
      </c>
      <c r="I38" s="4">
        <f t="shared" si="1"/>
        <v>-0.16325974556847</v>
      </c>
      <c r="J38" s="4">
        <f t="shared" si="2"/>
        <v>-0.0988074334211263</v>
      </c>
    </row>
    <row r="39" ht="25" customHeight="1" spans="1:10">
      <c r="A39" s="2">
        <v>38</v>
      </c>
      <c r="B39" s="2">
        <v>161</v>
      </c>
      <c r="C39" s="2">
        <f>楼层配置!D42</f>
        <v>152</v>
      </c>
      <c r="D39" s="2">
        <f t="shared" si="0"/>
        <v>-9</v>
      </c>
      <c r="E39" s="3">
        <v>10.1358643396099</v>
      </c>
      <c r="F39" s="3">
        <f>统一验算!F39</f>
        <v>8.66732878094757</v>
      </c>
      <c r="G39" s="3">
        <v>14.0903128794409</v>
      </c>
      <c r="H39" s="3">
        <f>统一验算!H39</f>
        <v>15.4529568290518</v>
      </c>
      <c r="I39" s="4">
        <f t="shared" si="1"/>
        <v>-0.144885084237311</v>
      </c>
      <c r="J39" s="4">
        <f t="shared" si="2"/>
        <v>-0.0881801434304869</v>
      </c>
    </row>
    <row r="40" ht="25" customHeight="1" spans="1:10">
      <c r="A40" s="2">
        <v>39</v>
      </c>
      <c r="B40" s="2">
        <v>164</v>
      </c>
      <c r="C40" s="2">
        <f>楼层配置!D43</f>
        <v>156</v>
      </c>
      <c r="D40" s="2">
        <f t="shared" si="0"/>
        <v>-8</v>
      </c>
      <c r="E40" s="3">
        <v>10.6461672336972</v>
      </c>
      <c r="F40" s="3">
        <f>统一验算!F40</f>
        <v>9.27200788953098</v>
      </c>
      <c r="G40" s="3">
        <v>14.4324412765497</v>
      </c>
      <c r="H40" s="3">
        <f>统一验算!H40</f>
        <v>15.6477628086722</v>
      </c>
      <c r="I40" s="4">
        <f t="shared" si="1"/>
        <v>-0.12907549862797</v>
      </c>
      <c r="J40" s="4">
        <f t="shared" si="2"/>
        <v>-0.0776674306086094</v>
      </c>
    </row>
    <row r="41" ht="25" customHeight="1" spans="1:10">
      <c r="A41" s="2">
        <v>40</v>
      </c>
      <c r="B41" s="2">
        <v>167</v>
      </c>
      <c r="C41" s="2">
        <f>楼层配置!D44</f>
        <v>160</v>
      </c>
      <c r="D41" s="2">
        <f t="shared" si="0"/>
        <v>-7</v>
      </c>
      <c r="E41" s="3">
        <v>11.0730458051177</v>
      </c>
      <c r="F41" s="3">
        <f>统一验算!F41</f>
        <v>9.82404018164525</v>
      </c>
      <c r="G41" s="3">
        <v>15.7613528937623</v>
      </c>
      <c r="H41" s="3">
        <f>统一验算!H41</f>
        <v>16.9004652509661</v>
      </c>
      <c r="I41" s="4">
        <f t="shared" si="1"/>
        <v>-0.112796934597271</v>
      </c>
      <c r="J41" s="4">
        <f t="shared" si="2"/>
        <v>-0.0674012425272543</v>
      </c>
    </row>
    <row r="42" ht="25" customHeight="1" spans="1:10">
      <c r="A42" s="2">
        <v>41</v>
      </c>
      <c r="B42" s="2">
        <v>170</v>
      </c>
      <c r="C42" s="2">
        <f>楼层配置!D45</f>
        <v>164</v>
      </c>
      <c r="D42" s="2">
        <f t="shared" si="0"/>
        <v>-6</v>
      </c>
      <c r="E42" s="3">
        <v>11.530243808811</v>
      </c>
      <c r="F42" s="3">
        <f>统一验算!F42</f>
        <v>10.4135864424418</v>
      </c>
      <c r="G42" s="3">
        <v>16.1218172188679</v>
      </c>
      <c r="H42" s="3">
        <f>统一验算!H42</f>
        <v>17.1023928636649</v>
      </c>
      <c r="I42" s="4">
        <f t="shared" si="1"/>
        <v>-0.0968459457479871</v>
      </c>
      <c r="J42" s="4">
        <f t="shared" si="2"/>
        <v>-0.0573355817875202</v>
      </c>
    </row>
    <row r="43" ht="25" customHeight="1" spans="1:10">
      <c r="A43" s="2">
        <v>42</v>
      </c>
      <c r="B43" s="2">
        <v>173</v>
      </c>
      <c r="C43" s="2">
        <f>楼层配置!D46</f>
        <v>167</v>
      </c>
      <c r="D43" s="2">
        <f t="shared" si="0"/>
        <v>-6</v>
      </c>
      <c r="E43" s="3">
        <v>10.7163921589406</v>
      </c>
      <c r="F43" s="3">
        <f>统一验算!F43</f>
        <v>9.69261373819195</v>
      </c>
      <c r="G43" s="3">
        <v>16.3932767719281</v>
      </c>
      <c r="H43" s="3">
        <f>统一验算!H43</f>
        <v>17.3786201108088</v>
      </c>
      <c r="I43" s="4">
        <f t="shared" si="1"/>
        <v>-0.0955338705008587</v>
      </c>
      <c r="J43" s="4">
        <f t="shared" si="2"/>
        <v>-0.056698594744463</v>
      </c>
    </row>
    <row r="44" ht="25" customHeight="1" spans="1:10">
      <c r="A44" s="2">
        <v>43</v>
      </c>
      <c r="B44" s="2">
        <v>176</v>
      </c>
      <c r="C44" s="2">
        <f>楼层配置!D47</f>
        <v>171</v>
      </c>
      <c r="D44" s="2">
        <f t="shared" si="0"/>
        <v>-5</v>
      </c>
      <c r="E44" s="3">
        <v>11.4498410544805</v>
      </c>
      <c r="F44" s="3">
        <f>统一验算!F44</f>
        <v>10.5369511077409</v>
      </c>
      <c r="G44" s="3">
        <v>16.4555029111947</v>
      </c>
      <c r="H44" s="3">
        <f>统一验算!H44</f>
        <v>17.2663945289572</v>
      </c>
      <c r="I44" s="4">
        <f t="shared" si="1"/>
        <v>-0.0797294864091078</v>
      </c>
      <c r="J44" s="4">
        <f t="shared" si="2"/>
        <v>-0.0469635751924111</v>
      </c>
    </row>
    <row r="45" ht="25" customHeight="1" spans="1:10">
      <c r="A45" s="2">
        <v>44</v>
      </c>
      <c r="B45" s="2">
        <v>179</v>
      </c>
      <c r="C45" s="2">
        <f>楼层配置!D48</f>
        <v>174</v>
      </c>
      <c r="D45" s="2">
        <f t="shared" si="0"/>
        <v>-5</v>
      </c>
      <c r="E45" s="3">
        <v>11.4596616411063</v>
      </c>
      <c r="F45" s="3">
        <f>统一验算!F45</f>
        <v>10.5540776349439</v>
      </c>
      <c r="G45" s="3">
        <v>16.5879699439707</v>
      </c>
      <c r="H45" s="3">
        <f>统一验算!H45</f>
        <v>17.3947597442701</v>
      </c>
      <c r="I45" s="4">
        <f t="shared" si="1"/>
        <v>-0.0790236251752869</v>
      </c>
      <c r="J45" s="4">
        <f t="shared" si="2"/>
        <v>-0.046381198255135</v>
      </c>
    </row>
    <row r="46" ht="25" customHeight="1" spans="1:10">
      <c r="A46" s="2">
        <v>45</v>
      </c>
      <c r="B46" s="2">
        <v>182</v>
      </c>
      <c r="C46" s="2">
        <f>楼层配置!D49</f>
        <v>178</v>
      </c>
      <c r="D46" s="2">
        <f t="shared" si="0"/>
        <v>-4</v>
      </c>
      <c r="E46" s="3">
        <v>10.2297485202165</v>
      </c>
      <c r="F46" s="3">
        <f>统一验算!F46</f>
        <v>9.58938703813612</v>
      </c>
      <c r="G46" s="3">
        <v>15.9909190500114</v>
      </c>
      <c r="H46" s="3">
        <f>统一验算!H46</f>
        <v>16.6029884465111</v>
      </c>
      <c r="I46" s="4">
        <f t="shared" si="1"/>
        <v>-0.0625979691304115</v>
      </c>
      <c r="J46" s="4">
        <f t="shared" si="2"/>
        <v>-0.0368650136974791</v>
      </c>
    </row>
    <row r="47" ht="25" customHeight="1" spans="1:10">
      <c r="A47" s="2">
        <v>46</v>
      </c>
      <c r="B47" s="2">
        <v>184</v>
      </c>
      <c r="C47" s="2">
        <f>楼层配置!D50</f>
        <v>182</v>
      </c>
      <c r="D47" s="2">
        <f t="shared" si="0"/>
        <v>-2</v>
      </c>
      <c r="E47" s="3">
        <v>11.1647582683711</v>
      </c>
      <c r="F47" s="3">
        <f>统一验算!F47</f>
        <v>10.8111835485267</v>
      </c>
      <c r="G47" s="3">
        <v>17.6536593276554</v>
      </c>
      <c r="H47" s="3">
        <f>统一验算!H47</f>
        <v>17.9846985439706</v>
      </c>
      <c r="I47" s="4">
        <f t="shared" si="1"/>
        <v>-0.0316688199910327</v>
      </c>
      <c r="J47" s="4">
        <f t="shared" si="2"/>
        <v>-0.0184067147695494</v>
      </c>
    </row>
    <row r="48" ht="25" customHeight="1" spans="1:10">
      <c r="A48" s="2">
        <v>47</v>
      </c>
      <c r="B48" s="2">
        <v>187</v>
      </c>
      <c r="C48" s="2">
        <f>楼层配置!D51</f>
        <v>185</v>
      </c>
      <c r="D48" s="2">
        <f t="shared" si="0"/>
        <v>-2</v>
      </c>
      <c r="E48" s="3">
        <v>9.93262662007781</v>
      </c>
      <c r="F48" s="3">
        <f>统一验算!F48</f>
        <v>9.62254575985689</v>
      </c>
      <c r="G48" s="3">
        <v>16.4865582285333</v>
      </c>
      <c r="H48" s="3">
        <f>统一验算!H48</f>
        <v>16.7932663130141</v>
      </c>
      <c r="I48" s="4">
        <f t="shared" si="1"/>
        <v>-0.0312184150357698</v>
      </c>
      <c r="J48" s="4">
        <f t="shared" si="2"/>
        <v>-0.0182637539811499</v>
      </c>
    </row>
    <row r="49" ht="25" customHeight="1" spans="1:10">
      <c r="A49" s="2">
        <v>48</v>
      </c>
      <c r="B49" s="2">
        <v>190</v>
      </c>
      <c r="C49" s="2">
        <f>楼层配置!D52</f>
        <v>189</v>
      </c>
      <c r="D49" s="2">
        <f t="shared" si="0"/>
        <v>-1</v>
      </c>
      <c r="E49" s="3">
        <v>10.6846953197538</v>
      </c>
      <c r="F49" s="3">
        <f>统一验算!F49</f>
        <v>10.5177789955762</v>
      </c>
      <c r="G49" s="3">
        <v>17.0450742137857</v>
      </c>
      <c r="H49" s="3">
        <f>统一验算!H49</f>
        <v>17.200409625478</v>
      </c>
      <c r="I49" s="4">
        <f t="shared" si="1"/>
        <v>-0.0156220013002151</v>
      </c>
      <c r="J49" s="4">
        <f t="shared" si="2"/>
        <v>-0.00903091351163243</v>
      </c>
    </row>
    <row r="50" ht="25" customHeight="1" spans="1:10">
      <c r="A50" s="2">
        <v>49</v>
      </c>
      <c r="B50" s="2">
        <v>193</v>
      </c>
      <c r="C50" s="2">
        <f>楼层配置!D53</f>
        <v>192</v>
      </c>
      <c r="D50" s="2">
        <f t="shared" si="0"/>
        <v>-1</v>
      </c>
      <c r="E50" s="3">
        <v>12.0527908735751</v>
      </c>
      <c r="F50" s="3">
        <f>统一验算!F50</f>
        <v>11.8644445988787</v>
      </c>
      <c r="G50" s="3">
        <v>17.1702258550606</v>
      </c>
      <c r="H50" s="3">
        <f>统一验算!H50</f>
        <v>17.3251421342477</v>
      </c>
      <c r="I50" s="4">
        <f t="shared" si="1"/>
        <v>-0.0156267769574729</v>
      </c>
      <c r="J50" s="4">
        <f t="shared" si="2"/>
        <v>-0.0089417032187521</v>
      </c>
    </row>
    <row r="51" ht="25" customHeight="1" spans="1:10">
      <c r="A51" s="2">
        <v>50</v>
      </c>
      <c r="B51" s="2">
        <v>196</v>
      </c>
      <c r="C51" s="2">
        <f>楼层配置!D54</f>
        <v>196</v>
      </c>
      <c r="D51" s="2">
        <f t="shared" si="0"/>
        <v>0</v>
      </c>
      <c r="E51" s="3">
        <v>10.8098637482623</v>
      </c>
      <c r="F51" s="3">
        <f>统一验算!F51</f>
        <v>10.8098637482623</v>
      </c>
      <c r="G51" s="3">
        <v>17.1204548784085</v>
      </c>
      <c r="H51" s="3">
        <f>统一验算!H51</f>
        <v>17.1204548784084</v>
      </c>
      <c r="I51" s="4">
        <f t="shared" si="1"/>
        <v>-3.77475828372553e-15</v>
      </c>
      <c r="J51" s="4">
        <f t="shared" si="2"/>
        <v>4.44089209850063e-15</v>
      </c>
    </row>
    <row r="52" ht="25" customHeight="1" spans="1:10">
      <c r="A52" s="2">
        <v>51</v>
      </c>
      <c r="B52" s="2">
        <v>198</v>
      </c>
      <c r="C52" s="2">
        <f>楼层配置!D55</f>
        <v>198</v>
      </c>
      <c r="D52" s="2">
        <f t="shared" si="0"/>
        <v>0</v>
      </c>
      <c r="E52" s="3">
        <v>9.60170873153309</v>
      </c>
      <c r="F52" s="3">
        <f>统一验算!F52</f>
        <v>9.6017087315331</v>
      </c>
      <c r="G52" s="3">
        <v>15.9241659100522</v>
      </c>
      <c r="H52" s="3">
        <f>统一验算!H52</f>
        <v>15.9241659100521</v>
      </c>
      <c r="I52" s="4">
        <f t="shared" si="1"/>
        <v>0</v>
      </c>
      <c r="J52" s="4">
        <f t="shared" si="2"/>
        <v>5.55111512312578e-15</v>
      </c>
    </row>
    <row r="53" ht="25" customHeight="1" spans="1:10">
      <c r="A53" s="2">
        <v>52</v>
      </c>
      <c r="B53" s="2">
        <v>201</v>
      </c>
      <c r="C53" s="2">
        <f>楼层配置!D56</f>
        <v>201</v>
      </c>
      <c r="D53" s="2">
        <f t="shared" si="0"/>
        <v>0</v>
      </c>
      <c r="E53" s="3">
        <v>10.1594476611792</v>
      </c>
      <c r="F53" s="3">
        <f>统一验算!F53</f>
        <v>10.1594476611792</v>
      </c>
      <c r="G53" s="3">
        <v>16.6441428422043</v>
      </c>
      <c r="H53" s="3">
        <f>统一验算!H53</f>
        <v>16.6441428422042</v>
      </c>
      <c r="I53" s="4">
        <f t="shared" si="1"/>
        <v>3.77475828372553e-15</v>
      </c>
      <c r="J53" s="4">
        <f t="shared" si="2"/>
        <v>5.55111512312578e-15</v>
      </c>
    </row>
    <row r="54" ht="25" customHeight="1" spans="1:10">
      <c r="A54" s="2">
        <v>53</v>
      </c>
      <c r="B54" s="2">
        <v>203</v>
      </c>
      <c r="C54" s="2">
        <f>楼层配置!D57</f>
        <v>203</v>
      </c>
      <c r="D54" s="2">
        <f t="shared" si="0"/>
        <v>0</v>
      </c>
      <c r="E54" s="3">
        <v>10.0817705744539</v>
      </c>
      <c r="F54" s="3">
        <f>统一验算!F54</f>
        <v>10.0817705744539</v>
      </c>
      <c r="G54" s="3">
        <v>16.7889952169028</v>
      </c>
      <c r="H54" s="3">
        <f>统一验算!H54</f>
        <v>16.7889952169028</v>
      </c>
      <c r="I54" s="4">
        <f t="shared" si="1"/>
        <v>3.5527136788005e-15</v>
      </c>
      <c r="J54" s="4">
        <f t="shared" si="2"/>
        <v>2.44249065417534e-15</v>
      </c>
    </row>
    <row r="55" ht="25" customHeight="1" spans="1:10">
      <c r="A55" s="2">
        <v>54</v>
      </c>
      <c r="B55" s="2">
        <v>205</v>
      </c>
      <c r="C55" s="2">
        <f>楼层配置!D58</f>
        <v>205</v>
      </c>
      <c r="D55" s="2">
        <f t="shared" si="0"/>
        <v>0</v>
      </c>
      <c r="E55" s="3">
        <v>10.1417124681757</v>
      </c>
      <c r="F55" s="3">
        <f>统一验算!F55</f>
        <v>10.1417124681757</v>
      </c>
      <c r="G55" s="3">
        <v>16.7748211250345</v>
      </c>
      <c r="H55" s="3">
        <f>统一验算!H55</f>
        <v>16.7748211250345</v>
      </c>
      <c r="I55" s="4">
        <f t="shared" si="1"/>
        <v>0</v>
      </c>
      <c r="J55" s="4">
        <f t="shared" si="2"/>
        <v>2.22044604925031e-15</v>
      </c>
    </row>
    <row r="56" ht="25" customHeight="1" spans="1:10">
      <c r="A56" s="2">
        <v>55</v>
      </c>
      <c r="B56" s="2">
        <v>208</v>
      </c>
      <c r="C56" s="2">
        <f>楼层配置!D59</f>
        <v>208</v>
      </c>
      <c r="D56" s="2">
        <f t="shared" si="0"/>
        <v>0</v>
      </c>
      <c r="E56" s="3">
        <v>10.8976594947199</v>
      </c>
      <c r="F56" s="3">
        <f>统一验算!F56</f>
        <v>10.8976594947199</v>
      </c>
      <c r="G56" s="3">
        <v>17.353477572298</v>
      </c>
      <c r="H56" s="3">
        <f>统一验算!H56</f>
        <v>17.353477572298</v>
      </c>
      <c r="I56" s="4">
        <f t="shared" si="1"/>
        <v>-3.77475828372553e-15</v>
      </c>
      <c r="J56" s="4">
        <f t="shared" si="2"/>
        <v>0</v>
      </c>
    </row>
    <row r="57" ht="25" customHeight="1" spans="1:10">
      <c r="A57" s="2">
        <v>56</v>
      </c>
      <c r="B57" s="2">
        <v>210</v>
      </c>
      <c r="C57" s="2">
        <f>楼层配置!D60</f>
        <v>210</v>
      </c>
      <c r="D57" s="2">
        <f t="shared" si="0"/>
        <v>0</v>
      </c>
      <c r="E57" s="3">
        <v>10.1228091733563</v>
      </c>
      <c r="F57" s="3">
        <f>统一验算!F57</f>
        <v>10.1228091733564</v>
      </c>
      <c r="G57" s="3">
        <v>16.9089942652189</v>
      </c>
      <c r="H57" s="3">
        <f>统一验算!H57</f>
        <v>16.9089942652188</v>
      </c>
      <c r="I57" s="4">
        <f t="shared" si="1"/>
        <v>5.55111512312578e-15</v>
      </c>
      <c r="J57" s="4">
        <f t="shared" si="2"/>
        <v>3.77475828372553e-15</v>
      </c>
    </row>
    <row r="58" ht="25" customHeight="1" spans="1:10">
      <c r="A58" s="2">
        <v>57</v>
      </c>
      <c r="B58" s="2">
        <v>212</v>
      </c>
      <c r="C58" s="2">
        <f>楼层配置!D61</f>
        <v>212</v>
      </c>
      <c r="D58" s="2">
        <f t="shared" si="0"/>
        <v>0</v>
      </c>
      <c r="E58" s="3">
        <v>9.58621598919764</v>
      </c>
      <c r="F58" s="3">
        <f>统一验算!F58</f>
        <v>9.58621598919773</v>
      </c>
      <c r="G58" s="3">
        <v>16.2584070280235</v>
      </c>
      <c r="H58" s="3">
        <f>统一验算!H58</f>
        <v>16.2584070280235</v>
      </c>
      <c r="I58" s="4">
        <f t="shared" si="1"/>
        <v>9.10382880192628e-15</v>
      </c>
      <c r="J58" s="4">
        <f t="shared" si="2"/>
        <v>2.22044604925031e-15</v>
      </c>
    </row>
    <row r="59" ht="25" customHeight="1" spans="1:10">
      <c r="A59" s="2">
        <v>58</v>
      </c>
      <c r="B59" s="2">
        <v>214</v>
      </c>
      <c r="C59" s="2">
        <f>楼层配置!D62</f>
        <v>214</v>
      </c>
      <c r="D59" s="2">
        <f t="shared" si="0"/>
        <v>0</v>
      </c>
      <c r="E59" s="3">
        <v>9.60209735733869</v>
      </c>
      <c r="F59" s="3">
        <f>统一验算!F59</f>
        <v>9.60209735733876</v>
      </c>
      <c r="G59" s="3">
        <v>16.2909024168792</v>
      </c>
      <c r="H59" s="3">
        <f>统一验算!H59</f>
        <v>16.2909024168792</v>
      </c>
      <c r="I59" s="4">
        <f t="shared" si="1"/>
        <v>7.105427357601e-15</v>
      </c>
      <c r="J59" s="4">
        <f t="shared" si="2"/>
        <v>0</v>
      </c>
    </row>
    <row r="60" ht="25" customHeight="1" spans="1:10">
      <c r="A60" s="2">
        <v>59</v>
      </c>
      <c r="B60" s="2">
        <v>217</v>
      </c>
      <c r="C60" s="2">
        <f>楼层配置!D63</f>
        <v>217</v>
      </c>
      <c r="D60" s="2">
        <f t="shared" si="0"/>
        <v>0</v>
      </c>
      <c r="E60" s="3">
        <v>10.2671996660421</v>
      </c>
      <c r="F60" s="3">
        <f>统一验算!F60</f>
        <v>10.2671996660421</v>
      </c>
      <c r="G60" s="3">
        <v>16.9026350083476</v>
      </c>
      <c r="H60" s="3">
        <f>统一验算!H60</f>
        <v>16.9026350083476</v>
      </c>
      <c r="I60" s="4">
        <f t="shared" si="1"/>
        <v>4.44089209850063e-15</v>
      </c>
      <c r="J60" s="4">
        <f t="shared" si="2"/>
        <v>2.44249065417534e-15</v>
      </c>
    </row>
    <row r="61" ht="25" customHeight="1" spans="1:10">
      <c r="A61" s="2">
        <v>60</v>
      </c>
      <c r="B61" s="2">
        <v>219</v>
      </c>
      <c r="C61" s="2">
        <f>楼层配置!D64</f>
        <v>219</v>
      </c>
      <c r="D61" s="2">
        <f t="shared" si="0"/>
        <v>0</v>
      </c>
      <c r="E61" s="3">
        <v>10.9159716830819</v>
      </c>
      <c r="F61" s="3">
        <f>统一验算!F61</f>
        <v>10.9159716830819</v>
      </c>
      <c r="G61" s="3">
        <v>17.5787149944251</v>
      </c>
      <c r="H61" s="3">
        <f>统一验算!H61</f>
        <v>17.5787149944251</v>
      </c>
      <c r="I61" s="4">
        <f t="shared" si="1"/>
        <v>4.66293670342566e-15</v>
      </c>
      <c r="J61" s="4">
        <f t="shared" si="2"/>
        <v>2.66453525910038e-15</v>
      </c>
    </row>
    <row r="62" ht="25" customHeight="1" spans="1:10">
      <c r="A62" s="2">
        <v>61</v>
      </c>
      <c r="B62" s="2">
        <v>221</v>
      </c>
      <c r="C62" s="2">
        <f>楼层配置!D65</f>
        <v>221</v>
      </c>
      <c r="D62" s="2">
        <f t="shared" si="0"/>
        <v>0</v>
      </c>
      <c r="E62" s="3">
        <v>9.78842984200507</v>
      </c>
      <c r="F62" s="3">
        <f>统一验算!F62</f>
        <v>9.78842984200509</v>
      </c>
      <c r="G62" s="3">
        <v>16.2188223358888</v>
      </c>
      <c r="H62" s="3">
        <f>统一验算!H62</f>
        <v>16.2188223358888</v>
      </c>
      <c r="I62" s="4">
        <f t="shared" si="1"/>
        <v>2.22044604925031e-15</v>
      </c>
      <c r="J62" s="4">
        <f t="shared" si="2"/>
        <v>0</v>
      </c>
    </row>
    <row r="63" ht="25" customHeight="1" spans="1:10">
      <c r="A63" s="2">
        <v>62</v>
      </c>
      <c r="B63" s="2">
        <v>223</v>
      </c>
      <c r="C63" s="2">
        <f>楼层配置!D66</f>
        <v>223</v>
      </c>
      <c r="D63" s="2">
        <f t="shared" si="0"/>
        <v>0</v>
      </c>
      <c r="E63" s="3">
        <v>9.71499415571435</v>
      </c>
      <c r="F63" s="3">
        <f>统一验算!F63</f>
        <v>9.71499415571437</v>
      </c>
      <c r="G63" s="3">
        <v>16.3268147332401</v>
      </c>
      <c r="H63" s="3">
        <f>统一验算!H63</f>
        <v>16.3268147332401</v>
      </c>
      <c r="I63" s="4">
        <f t="shared" si="1"/>
        <v>0</v>
      </c>
      <c r="J63" s="4">
        <f t="shared" si="2"/>
        <v>1.99840144432528e-15</v>
      </c>
    </row>
    <row r="64" ht="25" customHeight="1" spans="1:10">
      <c r="A64" s="2">
        <v>63</v>
      </c>
      <c r="B64" s="2">
        <v>225</v>
      </c>
      <c r="C64" s="2">
        <f>楼层配置!D67</f>
        <v>225</v>
      </c>
      <c r="D64" s="2">
        <f t="shared" si="0"/>
        <v>0</v>
      </c>
      <c r="E64" s="3">
        <v>10.2853736519762</v>
      </c>
      <c r="F64" s="3">
        <f>统一验算!F64</f>
        <v>10.2853736519762</v>
      </c>
      <c r="G64" s="3">
        <v>17.0291167576264</v>
      </c>
      <c r="H64" s="3">
        <f>统一验算!H64</f>
        <v>17.0291167576264</v>
      </c>
      <c r="I64" s="4">
        <f t="shared" si="1"/>
        <v>2.88657986402541e-15</v>
      </c>
      <c r="J64" s="4">
        <f t="shared" si="2"/>
        <v>1.99840144432528e-15</v>
      </c>
    </row>
    <row r="65" ht="25" customHeight="1" spans="1:10">
      <c r="A65" s="2">
        <v>64</v>
      </c>
      <c r="B65" s="2">
        <v>227</v>
      </c>
      <c r="C65" s="2">
        <f>楼层配置!D68</f>
        <v>227</v>
      </c>
      <c r="D65" s="2">
        <f t="shared" si="0"/>
        <v>0</v>
      </c>
      <c r="E65" s="3">
        <v>9.72979110088894</v>
      </c>
      <c r="F65" s="3">
        <f>统一验算!F65</f>
        <v>9.72979110088899</v>
      </c>
      <c r="G65" s="3">
        <v>16.3773676614582</v>
      </c>
      <c r="H65" s="3">
        <f>统一验算!H65</f>
        <v>16.3773676614582</v>
      </c>
      <c r="I65" s="4">
        <f t="shared" si="1"/>
        <v>4.88498130835069e-15</v>
      </c>
      <c r="J65" s="4">
        <f t="shared" si="2"/>
        <v>0</v>
      </c>
    </row>
    <row r="66" ht="25" customHeight="1" spans="1:10">
      <c r="A66" s="2">
        <v>65</v>
      </c>
      <c r="B66" s="2">
        <v>229</v>
      </c>
      <c r="C66" s="2">
        <f>楼层配置!D69</f>
        <v>229</v>
      </c>
      <c r="D66" s="2">
        <f t="shared" ref="D66:D101" si="3">C66-B66</f>
        <v>0</v>
      </c>
      <c r="E66" s="3">
        <v>11.0366472208682</v>
      </c>
      <c r="F66" s="3">
        <f>统一验算!F66</f>
        <v>11.0366472208683</v>
      </c>
      <c r="G66" s="3">
        <v>17.6309503993359</v>
      </c>
      <c r="H66" s="3">
        <f>统一验算!H66</f>
        <v>17.6309503993359</v>
      </c>
      <c r="I66" s="4">
        <f t="shared" ref="I66:I101" si="4">F66/E66-1</f>
        <v>7.99360577730113e-15</v>
      </c>
      <c r="J66" s="4">
        <f t="shared" ref="J66:J101" si="5">G66/H66-1</f>
        <v>0</v>
      </c>
    </row>
    <row r="67" ht="25" customHeight="1" spans="1:10">
      <c r="A67" s="2">
        <v>66</v>
      </c>
      <c r="B67" s="2">
        <v>230</v>
      </c>
      <c r="C67" s="2">
        <f>楼层配置!D70</f>
        <v>230</v>
      </c>
      <c r="D67" s="2">
        <f t="shared" si="3"/>
        <v>0</v>
      </c>
      <c r="E67" s="3">
        <v>9.7313451113959</v>
      </c>
      <c r="F67" s="3">
        <f>统一验算!F67</f>
        <v>9.73134511139591</v>
      </c>
      <c r="G67" s="3">
        <v>16.4232839610159</v>
      </c>
      <c r="H67" s="3">
        <f>统一验算!H67</f>
        <v>16.4232839610159</v>
      </c>
      <c r="I67" s="4">
        <f t="shared" si="4"/>
        <v>0</v>
      </c>
      <c r="J67" s="4">
        <f t="shared" si="5"/>
        <v>0</v>
      </c>
    </row>
    <row r="68" ht="25" customHeight="1" spans="1:10">
      <c r="A68" s="2">
        <v>67</v>
      </c>
      <c r="B68" s="2">
        <v>232</v>
      </c>
      <c r="C68" s="2">
        <f>楼层配置!D71</f>
        <v>232</v>
      </c>
      <c r="D68" s="2">
        <f t="shared" si="3"/>
        <v>0</v>
      </c>
      <c r="E68" s="3">
        <v>9.70265115380386</v>
      </c>
      <c r="F68" s="3">
        <f>统一验算!F68</f>
        <v>9.70265115380386</v>
      </c>
      <c r="G68" s="3">
        <v>16.4784519199414</v>
      </c>
      <c r="H68" s="3">
        <f>统一验算!H68</f>
        <v>16.4784519199414</v>
      </c>
      <c r="I68" s="4">
        <f t="shared" si="4"/>
        <v>0</v>
      </c>
      <c r="J68" s="4">
        <f t="shared" si="5"/>
        <v>2.66453525910038e-15</v>
      </c>
    </row>
    <row r="69" ht="25" customHeight="1" spans="1:10">
      <c r="A69" s="2">
        <v>68</v>
      </c>
      <c r="B69" s="2">
        <v>234</v>
      </c>
      <c r="C69" s="2">
        <f>楼层配置!D72</f>
        <v>234</v>
      </c>
      <c r="D69" s="2">
        <f t="shared" si="3"/>
        <v>0</v>
      </c>
      <c r="E69" s="3">
        <v>10.3406851596388</v>
      </c>
      <c r="F69" s="3">
        <f>统一验算!F69</f>
        <v>10.3406851596388</v>
      </c>
      <c r="G69" s="3">
        <v>17.114367234118</v>
      </c>
      <c r="H69" s="3">
        <f>统一验算!H69</f>
        <v>17.1143672341179</v>
      </c>
      <c r="I69" s="4">
        <f t="shared" si="4"/>
        <v>0</v>
      </c>
      <c r="J69" s="4">
        <f t="shared" si="5"/>
        <v>3.77475828372553e-15</v>
      </c>
    </row>
    <row r="70" ht="25" customHeight="1" spans="1:10">
      <c r="A70" s="2">
        <v>69</v>
      </c>
      <c r="B70" s="2">
        <v>236</v>
      </c>
      <c r="C70" s="2">
        <f>楼层配置!D73</f>
        <v>236</v>
      </c>
      <c r="D70" s="2">
        <f t="shared" si="3"/>
        <v>0</v>
      </c>
      <c r="E70" s="3">
        <v>10.3269992839145</v>
      </c>
      <c r="F70" s="3">
        <f>统一验算!F70</f>
        <v>10.3269992839145</v>
      </c>
      <c r="G70" s="3">
        <v>17.1513043492812</v>
      </c>
      <c r="H70" s="3">
        <f>统一验算!H70</f>
        <v>17.1513043492811</v>
      </c>
      <c r="I70" s="4">
        <f t="shared" si="4"/>
        <v>-8.88178419700125e-16</v>
      </c>
      <c r="J70" s="4">
        <f t="shared" si="5"/>
        <v>5.99520433297585e-15</v>
      </c>
    </row>
    <row r="71" ht="25" customHeight="1" spans="1:10">
      <c r="A71" s="2">
        <v>70</v>
      </c>
      <c r="B71" s="2">
        <v>238</v>
      </c>
      <c r="C71" s="2">
        <f>楼层配置!D74</f>
        <v>238</v>
      </c>
      <c r="D71" s="2">
        <f t="shared" si="3"/>
        <v>0</v>
      </c>
      <c r="E71" s="3">
        <v>10.4932777027536</v>
      </c>
      <c r="F71" s="3">
        <f>统一验算!F71</f>
        <v>10.4932777027536</v>
      </c>
      <c r="G71" s="3">
        <v>17.0047061254489</v>
      </c>
      <c r="H71" s="3">
        <f>统一验算!H71</f>
        <v>17.0047061254489</v>
      </c>
      <c r="I71" s="4">
        <f t="shared" si="4"/>
        <v>0</v>
      </c>
      <c r="J71" s="4">
        <f t="shared" si="5"/>
        <v>0</v>
      </c>
    </row>
    <row r="72" ht="25" customHeight="1" spans="1:10">
      <c r="A72" s="2">
        <v>71</v>
      </c>
      <c r="B72" s="2">
        <v>240</v>
      </c>
      <c r="C72" s="2">
        <f>楼层配置!D75</f>
        <v>240</v>
      </c>
      <c r="D72" s="2">
        <f t="shared" si="3"/>
        <v>0</v>
      </c>
      <c r="E72" s="3">
        <v>9.88226688505816</v>
      </c>
      <c r="F72" s="3">
        <f>统一验算!F72</f>
        <v>9.88226688505818</v>
      </c>
      <c r="G72" s="3">
        <v>16.3844358443186</v>
      </c>
      <c r="H72" s="3">
        <f>统一验算!H72</f>
        <v>16.3844358443186</v>
      </c>
      <c r="I72" s="4">
        <f t="shared" si="4"/>
        <v>1.77635683940025e-15</v>
      </c>
      <c r="J72" s="4">
        <f t="shared" si="5"/>
        <v>-2.55351295663786e-15</v>
      </c>
    </row>
    <row r="73" ht="25" customHeight="1" spans="1:10">
      <c r="A73" s="2">
        <v>72</v>
      </c>
      <c r="B73" s="2">
        <v>241</v>
      </c>
      <c r="C73" s="2">
        <f>楼层配置!D76</f>
        <v>241</v>
      </c>
      <c r="D73" s="2">
        <f t="shared" si="3"/>
        <v>0</v>
      </c>
      <c r="E73" s="3">
        <v>9.77124547953412</v>
      </c>
      <c r="F73" s="3">
        <f>统一验算!F73</f>
        <v>9.77124547953413</v>
      </c>
      <c r="G73" s="3">
        <v>16.512374447814</v>
      </c>
      <c r="H73" s="3">
        <f>统一验算!H73</f>
        <v>16.512374447814</v>
      </c>
      <c r="I73" s="4">
        <f t="shared" si="4"/>
        <v>0</v>
      </c>
      <c r="J73" s="4">
        <f t="shared" si="5"/>
        <v>2.66453525910038e-15</v>
      </c>
    </row>
    <row r="74" ht="25" customHeight="1" spans="1:10">
      <c r="A74" s="2">
        <v>73</v>
      </c>
      <c r="B74" s="2">
        <v>243</v>
      </c>
      <c r="C74" s="2">
        <f>楼层配置!D77</f>
        <v>243</v>
      </c>
      <c r="D74" s="2">
        <f t="shared" si="3"/>
        <v>0</v>
      </c>
      <c r="E74" s="3">
        <v>9.90659199829054</v>
      </c>
      <c r="F74" s="3">
        <f>统一验算!F74</f>
        <v>9.90659199829059</v>
      </c>
      <c r="G74" s="3">
        <v>16.396732871645</v>
      </c>
      <c r="H74" s="3">
        <f>统一验算!H74</f>
        <v>16.396732871645</v>
      </c>
      <c r="I74" s="4">
        <f t="shared" si="4"/>
        <v>5.10702591327572e-15</v>
      </c>
      <c r="J74" s="4">
        <f t="shared" si="5"/>
        <v>0</v>
      </c>
    </row>
    <row r="75" ht="25" customHeight="1" spans="1:10">
      <c r="A75" s="2">
        <v>74</v>
      </c>
      <c r="B75" s="2">
        <v>245</v>
      </c>
      <c r="C75" s="2">
        <f>楼层配置!D78</f>
        <v>245</v>
      </c>
      <c r="D75" s="2">
        <f t="shared" si="3"/>
        <v>0</v>
      </c>
      <c r="E75" s="3">
        <v>9.94118080071873</v>
      </c>
      <c r="F75" s="3">
        <f>统一验算!F75</f>
        <v>9.94118080071873</v>
      </c>
      <c r="G75" s="3">
        <v>16.3808941393841</v>
      </c>
      <c r="H75" s="3">
        <f>统一验算!H75</f>
        <v>16.3808941393841</v>
      </c>
      <c r="I75" s="4">
        <f t="shared" si="4"/>
        <v>0</v>
      </c>
      <c r="J75" s="4">
        <f t="shared" si="5"/>
        <v>2.44249065417534e-15</v>
      </c>
    </row>
    <row r="76" ht="25" customHeight="1" spans="1:10">
      <c r="A76" s="2">
        <v>75</v>
      </c>
      <c r="B76" s="2">
        <v>247</v>
      </c>
      <c r="C76" s="2">
        <f>楼层配置!D79</f>
        <v>247</v>
      </c>
      <c r="D76" s="2">
        <f t="shared" si="3"/>
        <v>0</v>
      </c>
      <c r="E76" s="3">
        <v>10.670341457098</v>
      </c>
      <c r="F76" s="3">
        <f>统一验算!F76</f>
        <v>10.6703414570981</v>
      </c>
      <c r="G76" s="3">
        <v>16.9322868139394</v>
      </c>
      <c r="H76" s="3">
        <f>统一验算!H76</f>
        <v>16.9322868139394</v>
      </c>
      <c r="I76" s="4">
        <f t="shared" si="4"/>
        <v>7.99360577730113e-15</v>
      </c>
      <c r="J76" s="4">
        <f t="shared" si="5"/>
        <v>-1.88737914186277e-15</v>
      </c>
    </row>
    <row r="77" ht="25" customHeight="1" spans="1:10">
      <c r="A77" s="2">
        <v>76</v>
      </c>
      <c r="B77" s="2">
        <v>248</v>
      </c>
      <c r="C77" s="2">
        <f>楼层配置!D80</f>
        <v>248</v>
      </c>
      <c r="D77" s="2">
        <f t="shared" si="3"/>
        <v>0</v>
      </c>
      <c r="E77" s="3">
        <v>10.0427099653838</v>
      </c>
      <c r="F77" s="3">
        <f>统一验算!F77</f>
        <v>10.0427099653838</v>
      </c>
      <c r="G77" s="3">
        <v>16.3092902474322</v>
      </c>
      <c r="H77" s="3">
        <f>统一验算!H77</f>
        <v>16.3092902474321</v>
      </c>
      <c r="I77" s="4">
        <f t="shared" si="4"/>
        <v>-1.11022302462516e-15</v>
      </c>
      <c r="J77" s="4">
        <f t="shared" si="5"/>
        <v>6.21724893790088e-15</v>
      </c>
    </row>
    <row r="78" ht="25" customHeight="1" spans="1:10">
      <c r="A78" s="2">
        <v>77</v>
      </c>
      <c r="B78" s="2">
        <v>250</v>
      </c>
      <c r="C78" s="2">
        <f>楼层配置!D81</f>
        <v>250</v>
      </c>
      <c r="D78" s="2">
        <f t="shared" si="3"/>
        <v>0</v>
      </c>
      <c r="E78" s="3">
        <v>10.0715497219828</v>
      </c>
      <c r="F78" s="3">
        <f>统一验算!F78</f>
        <v>10.0715497219829</v>
      </c>
      <c r="G78" s="3">
        <v>16.2937745686602</v>
      </c>
      <c r="H78" s="3">
        <f>统一验算!H78</f>
        <v>16.2937745686601</v>
      </c>
      <c r="I78" s="4">
        <f t="shared" si="4"/>
        <v>6.88338275267597e-15</v>
      </c>
      <c r="J78" s="4">
        <f t="shared" si="5"/>
        <v>3.5527136788005e-15</v>
      </c>
    </row>
    <row r="79" ht="25" customHeight="1" spans="1:10">
      <c r="A79" s="2">
        <v>78</v>
      </c>
      <c r="B79" s="2">
        <v>252</v>
      </c>
      <c r="C79" s="2">
        <f>楼层配置!D82</f>
        <v>252</v>
      </c>
      <c r="D79" s="2">
        <f t="shared" si="3"/>
        <v>0</v>
      </c>
      <c r="E79" s="3">
        <v>10.123631803088</v>
      </c>
      <c r="F79" s="3">
        <f>统一验算!F79</f>
        <v>10.123631803088</v>
      </c>
      <c r="G79" s="3">
        <v>16.2576654362461</v>
      </c>
      <c r="H79" s="3">
        <f>统一验算!H79</f>
        <v>16.2576654362461</v>
      </c>
      <c r="I79" s="4">
        <f t="shared" si="4"/>
        <v>4.66293670342566e-15</v>
      </c>
      <c r="J79" s="4">
        <f t="shared" si="5"/>
        <v>0</v>
      </c>
    </row>
    <row r="80" ht="25" customHeight="1" spans="1:10">
      <c r="A80" s="2">
        <v>79</v>
      </c>
      <c r="B80" s="2">
        <v>253</v>
      </c>
      <c r="C80" s="2">
        <f>楼层配置!D83</f>
        <v>253</v>
      </c>
      <c r="D80" s="2">
        <f t="shared" si="3"/>
        <v>0</v>
      </c>
      <c r="E80" s="3">
        <v>10.0456986566508</v>
      </c>
      <c r="F80" s="3">
        <f>统一验算!F80</f>
        <v>10.0456986566509</v>
      </c>
      <c r="G80" s="3">
        <v>16.3430602570063</v>
      </c>
      <c r="H80" s="3">
        <f>统一验算!H80</f>
        <v>16.3430602570063</v>
      </c>
      <c r="I80" s="4">
        <f t="shared" si="4"/>
        <v>6.66133814775094e-15</v>
      </c>
      <c r="J80" s="4">
        <f t="shared" si="5"/>
        <v>0</v>
      </c>
    </row>
    <row r="81" ht="25" customHeight="1" spans="1:10">
      <c r="A81" s="2">
        <v>80</v>
      </c>
      <c r="B81" s="2">
        <v>255</v>
      </c>
      <c r="C81" s="2">
        <f>楼层配置!D84</f>
        <v>255</v>
      </c>
      <c r="D81" s="2">
        <f t="shared" si="3"/>
        <v>0</v>
      </c>
      <c r="E81" s="3">
        <v>11.4264120796314</v>
      </c>
      <c r="F81" s="3">
        <f>统一验算!F81</f>
        <v>11.4264120796315</v>
      </c>
      <c r="G81" s="3">
        <v>17.5664835505845</v>
      </c>
      <c r="H81" s="3">
        <f>统一验算!H81</f>
        <v>17.5664835505844</v>
      </c>
      <c r="I81" s="4">
        <f t="shared" si="4"/>
        <v>5.77315972805081e-15</v>
      </c>
      <c r="J81" s="4">
        <f t="shared" si="5"/>
        <v>4.21884749357559e-15</v>
      </c>
    </row>
    <row r="82" ht="25" customHeight="1" spans="1:10">
      <c r="A82" s="2">
        <v>81</v>
      </c>
      <c r="B82" s="2">
        <v>256</v>
      </c>
      <c r="C82" s="2">
        <f>楼层配置!D85</f>
        <v>256</v>
      </c>
      <c r="D82" s="2">
        <f t="shared" si="3"/>
        <v>0</v>
      </c>
      <c r="E82" s="3">
        <v>10.0190384675833</v>
      </c>
      <c r="F82" s="3">
        <f>统一验算!F82</f>
        <v>10.0190384675833</v>
      </c>
      <c r="G82" s="3">
        <v>16.3871513179355</v>
      </c>
      <c r="H82" s="3">
        <f>统一验算!H82</f>
        <v>16.3871513179354</v>
      </c>
      <c r="I82" s="4">
        <f t="shared" si="4"/>
        <v>-1.55431223447522e-15</v>
      </c>
      <c r="J82" s="4">
        <f t="shared" si="5"/>
        <v>5.32907051820075e-15</v>
      </c>
    </row>
    <row r="83" ht="25" customHeight="1" spans="1:10">
      <c r="A83" s="2">
        <v>82</v>
      </c>
      <c r="B83" s="2">
        <v>258</v>
      </c>
      <c r="C83" s="2">
        <f>楼层配置!D86</f>
        <v>258</v>
      </c>
      <c r="D83" s="2">
        <f t="shared" si="3"/>
        <v>0</v>
      </c>
      <c r="E83" s="3">
        <v>10.2298564390103</v>
      </c>
      <c r="F83" s="3">
        <f>统一验算!F83</f>
        <v>10.2298564390104</v>
      </c>
      <c r="G83" s="3">
        <v>16.1942174389692</v>
      </c>
      <c r="H83" s="3">
        <f>统一验算!H83</f>
        <v>16.1942174389692</v>
      </c>
      <c r="I83" s="4">
        <f t="shared" si="4"/>
        <v>9.32587340685131e-15</v>
      </c>
      <c r="J83" s="4">
        <f t="shared" si="5"/>
        <v>1.99840144432528e-15</v>
      </c>
    </row>
    <row r="84" ht="25" customHeight="1" spans="1:10">
      <c r="A84" s="2">
        <v>83</v>
      </c>
      <c r="B84" s="2">
        <v>259</v>
      </c>
      <c r="C84" s="2">
        <f>楼层配置!D87</f>
        <v>259</v>
      </c>
      <c r="D84" s="2">
        <f t="shared" si="3"/>
        <v>0</v>
      </c>
      <c r="E84" s="3">
        <v>10.1660370428795</v>
      </c>
      <c r="F84" s="3">
        <f>统一验算!F84</f>
        <v>10.1660370428796</v>
      </c>
      <c r="G84" s="3">
        <v>16.2637966145646</v>
      </c>
      <c r="H84" s="3">
        <f>统一验算!H84</f>
        <v>16.2637966145646</v>
      </c>
      <c r="I84" s="4">
        <f t="shared" si="4"/>
        <v>5.77315972805081e-15</v>
      </c>
      <c r="J84" s="4">
        <f t="shared" si="5"/>
        <v>2.66453525910038e-15</v>
      </c>
    </row>
    <row r="85" ht="25" customHeight="1" spans="1:10">
      <c r="A85" s="2">
        <v>84</v>
      </c>
      <c r="B85" s="2">
        <v>260</v>
      </c>
      <c r="C85" s="2">
        <f>楼层配置!D88</f>
        <v>260</v>
      </c>
      <c r="D85" s="2">
        <f t="shared" si="3"/>
        <v>0</v>
      </c>
      <c r="E85" s="3">
        <v>10.1061083407288</v>
      </c>
      <c r="F85" s="3">
        <f>统一验算!F85</f>
        <v>10.1061083407288</v>
      </c>
      <c r="G85" s="3">
        <v>16.3280583519833</v>
      </c>
      <c r="H85" s="3">
        <f>统一验算!H85</f>
        <v>16.3280583519832</v>
      </c>
      <c r="I85" s="4">
        <f t="shared" si="4"/>
        <v>-2.66453525910038e-15</v>
      </c>
      <c r="J85" s="4">
        <f t="shared" si="5"/>
        <v>6.21724893790088e-15</v>
      </c>
    </row>
    <row r="86" ht="25" customHeight="1" spans="1:10">
      <c r="A86" s="2">
        <v>85</v>
      </c>
      <c r="B86" s="2">
        <v>262</v>
      </c>
      <c r="C86" s="2">
        <f>楼层配置!D89</f>
        <v>262</v>
      </c>
      <c r="D86" s="2">
        <f t="shared" si="3"/>
        <v>0</v>
      </c>
      <c r="E86" s="3">
        <v>10.8590745539877</v>
      </c>
      <c r="F86" s="3">
        <f>统一验算!F86</f>
        <v>10.8590745539877</v>
      </c>
      <c r="G86" s="3">
        <v>16.8674350630957</v>
      </c>
      <c r="H86" s="3">
        <f>统一验算!H86</f>
        <v>16.8674350630957</v>
      </c>
      <c r="I86" s="4">
        <f t="shared" si="4"/>
        <v>3.33066907387547e-15</v>
      </c>
      <c r="J86" s="4">
        <f t="shared" si="5"/>
        <v>1.77635683940025e-15</v>
      </c>
    </row>
    <row r="87" ht="25" customHeight="1" spans="1:10">
      <c r="A87" s="2">
        <v>86</v>
      </c>
      <c r="B87" s="2">
        <v>263</v>
      </c>
      <c r="C87" s="2">
        <f>楼层配置!D90</f>
        <v>263</v>
      </c>
      <c r="D87" s="2">
        <f t="shared" si="3"/>
        <v>0</v>
      </c>
      <c r="E87" s="3">
        <v>10.1286706008907</v>
      </c>
      <c r="F87" s="3">
        <f>统一验算!F87</f>
        <v>10.1286706008907</v>
      </c>
      <c r="G87" s="3">
        <v>16.322480082425</v>
      </c>
      <c r="H87" s="3">
        <f>统一验算!H87</f>
        <v>16.322480082425</v>
      </c>
      <c r="I87" s="4">
        <f t="shared" si="4"/>
        <v>0</v>
      </c>
      <c r="J87" s="4">
        <f t="shared" si="5"/>
        <v>0</v>
      </c>
    </row>
    <row r="88" ht="25" customHeight="1" spans="1:10">
      <c r="A88" s="2">
        <v>87</v>
      </c>
      <c r="B88" s="2">
        <v>264</v>
      </c>
      <c r="C88" s="2">
        <f>楼层配置!D91</f>
        <v>264</v>
      </c>
      <c r="D88" s="2">
        <f t="shared" si="3"/>
        <v>0</v>
      </c>
      <c r="E88" s="3">
        <v>10.0788601718692</v>
      </c>
      <c r="F88" s="3">
        <f>统一验算!F88</f>
        <v>10.0788601718692</v>
      </c>
      <c r="G88" s="3">
        <v>16.3760302690653</v>
      </c>
      <c r="H88" s="3">
        <f>统一验算!H88</f>
        <v>16.3760302690652</v>
      </c>
      <c r="I88" s="4">
        <f t="shared" si="4"/>
        <v>4.21884749357559e-15</v>
      </c>
      <c r="J88" s="4">
        <f t="shared" si="5"/>
        <v>3.77475828372553e-15</v>
      </c>
    </row>
    <row r="89" ht="25" customHeight="1" spans="1:10">
      <c r="A89" s="2">
        <v>88</v>
      </c>
      <c r="B89" s="2">
        <v>265</v>
      </c>
      <c r="C89" s="2">
        <f>楼层配置!D92</f>
        <v>265</v>
      </c>
      <c r="D89" s="2">
        <f t="shared" si="3"/>
        <v>0</v>
      </c>
      <c r="E89" s="3">
        <v>10.0322741024051</v>
      </c>
      <c r="F89" s="3">
        <f>统一验算!F89</f>
        <v>10.0322741024052</v>
      </c>
      <c r="G89" s="3">
        <v>16.4268522324806</v>
      </c>
      <c r="H89" s="3">
        <f>统一验算!H89</f>
        <v>16.4268522324806</v>
      </c>
      <c r="I89" s="4">
        <f t="shared" si="4"/>
        <v>7.7715611723761e-15</v>
      </c>
      <c r="J89" s="4">
        <f t="shared" si="5"/>
        <v>0</v>
      </c>
    </row>
    <row r="90" ht="25" customHeight="1" spans="1:10">
      <c r="A90" s="2">
        <v>89</v>
      </c>
      <c r="B90" s="2">
        <v>267</v>
      </c>
      <c r="C90" s="2">
        <f>楼层配置!D93</f>
        <v>267</v>
      </c>
      <c r="D90" s="2">
        <f t="shared" si="3"/>
        <v>0</v>
      </c>
      <c r="E90" s="3">
        <v>10.1180743916035</v>
      </c>
      <c r="F90" s="3">
        <f>统一验算!F90</f>
        <v>10.1180743916036</v>
      </c>
      <c r="G90" s="3">
        <v>16.3511829392918</v>
      </c>
      <c r="H90" s="3">
        <f>统一验算!H90</f>
        <v>16.3511829392918</v>
      </c>
      <c r="I90" s="4">
        <f t="shared" si="4"/>
        <v>5.55111512312578e-15</v>
      </c>
      <c r="J90" s="4">
        <f t="shared" si="5"/>
        <v>-2.44249065417534e-15</v>
      </c>
    </row>
    <row r="91" ht="25" customHeight="1" spans="1:10">
      <c r="A91" s="2">
        <v>90</v>
      </c>
      <c r="B91" s="2">
        <v>268</v>
      </c>
      <c r="C91" s="2">
        <f>楼层配置!D94</f>
        <v>268</v>
      </c>
      <c r="D91" s="2">
        <f t="shared" si="3"/>
        <v>0</v>
      </c>
      <c r="E91" s="3">
        <v>10.8594371050346</v>
      </c>
      <c r="F91" s="3">
        <f>统一验算!F91</f>
        <v>10.8594371050346</v>
      </c>
      <c r="G91" s="3">
        <v>16.8952957535221</v>
      </c>
      <c r="H91" s="3">
        <f>统一验算!H91</f>
        <v>16.895295753522</v>
      </c>
      <c r="I91" s="4">
        <f t="shared" si="4"/>
        <v>0</v>
      </c>
      <c r="J91" s="4">
        <f t="shared" si="5"/>
        <v>3.33066907387547e-15</v>
      </c>
    </row>
    <row r="92" ht="25" customHeight="1" spans="1:10">
      <c r="A92" s="2">
        <v>91</v>
      </c>
      <c r="B92" s="2">
        <v>269</v>
      </c>
      <c r="C92" s="2">
        <f>楼层配置!D95</f>
        <v>269</v>
      </c>
      <c r="D92" s="2">
        <f t="shared" si="3"/>
        <v>0</v>
      </c>
      <c r="E92" s="3">
        <v>10.1421679799433</v>
      </c>
      <c r="F92" s="3">
        <f>统一验算!F92</f>
        <v>10.1421679799434</v>
      </c>
      <c r="G92" s="3">
        <v>16.3343241138849</v>
      </c>
      <c r="H92" s="3">
        <f>统一验算!H92</f>
        <v>16.3343241138849</v>
      </c>
      <c r="I92" s="4">
        <f t="shared" si="4"/>
        <v>5.55111512312578e-15</v>
      </c>
      <c r="J92" s="4">
        <f t="shared" si="5"/>
        <v>2.66453525910038e-15</v>
      </c>
    </row>
    <row r="93" ht="25" customHeight="1" spans="1:10">
      <c r="A93" s="2">
        <v>92</v>
      </c>
      <c r="B93" s="2">
        <v>270</v>
      </c>
      <c r="C93" s="2">
        <f>楼层配置!D96</f>
        <v>270</v>
      </c>
      <c r="D93" s="2">
        <f t="shared" si="3"/>
        <v>0</v>
      </c>
      <c r="E93" s="3">
        <v>10.1302375334849</v>
      </c>
      <c r="F93" s="3">
        <f>统一验算!F93</f>
        <v>10.1302375334849</v>
      </c>
      <c r="G93" s="3">
        <v>16.3511096147507</v>
      </c>
      <c r="H93" s="3">
        <f>统一验算!H93</f>
        <v>16.3511096147507</v>
      </c>
      <c r="I93" s="4">
        <f t="shared" si="4"/>
        <v>3.77475828372553e-15</v>
      </c>
      <c r="J93" s="4">
        <f t="shared" si="5"/>
        <v>0</v>
      </c>
    </row>
    <row r="94" ht="25" customHeight="1" spans="1:10">
      <c r="A94" s="2">
        <v>93</v>
      </c>
      <c r="B94" s="2">
        <v>272</v>
      </c>
      <c r="C94" s="2">
        <f>楼层配置!D97</f>
        <v>272</v>
      </c>
      <c r="D94" s="2">
        <f t="shared" si="3"/>
        <v>0</v>
      </c>
      <c r="E94" s="3">
        <v>10.2094542522233</v>
      </c>
      <c r="F94" s="3">
        <f>统一验算!F94</f>
        <v>10.2094542522233</v>
      </c>
      <c r="G94" s="3">
        <v>16.2764231801046</v>
      </c>
      <c r="H94" s="3">
        <f>统一验算!H94</f>
        <v>16.2764231801045</v>
      </c>
      <c r="I94" s="4">
        <f t="shared" si="4"/>
        <v>0</v>
      </c>
      <c r="J94" s="4">
        <f t="shared" si="5"/>
        <v>3.77475828372553e-15</v>
      </c>
    </row>
    <row r="95" ht="25" customHeight="1" spans="1:10">
      <c r="A95" s="2">
        <v>94</v>
      </c>
      <c r="B95" s="2">
        <v>273</v>
      </c>
      <c r="C95" s="2">
        <f>楼层配置!D98</f>
        <v>273</v>
      </c>
      <c r="D95" s="2">
        <f t="shared" si="3"/>
        <v>0</v>
      </c>
      <c r="E95" s="3">
        <v>10.1757908694178</v>
      </c>
      <c r="F95" s="3">
        <f>统一验算!F95</f>
        <v>10.1757908694178</v>
      </c>
      <c r="G95" s="3">
        <v>16.3112648137539</v>
      </c>
      <c r="H95" s="3">
        <f>统一验算!H95</f>
        <v>16.3112648137538</v>
      </c>
      <c r="I95" s="4">
        <f t="shared" si="4"/>
        <v>0</v>
      </c>
      <c r="J95" s="4">
        <f t="shared" si="5"/>
        <v>4.21884749357559e-15</v>
      </c>
    </row>
    <row r="96" ht="25" customHeight="1" spans="1:10">
      <c r="A96" s="2">
        <v>95</v>
      </c>
      <c r="B96" s="2">
        <v>274</v>
      </c>
      <c r="C96" s="2">
        <f>楼层配置!D99</f>
        <v>274</v>
      </c>
      <c r="D96" s="2">
        <f t="shared" si="3"/>
        <v>0</v>
      </c>
      <c r="E96" s="3">
        <v>10.1444067482369</v>
      </c>
      <c r="F96" s="3">
        <f>统一验算!F96</f>
        <v>10.144406748237</v>
      </c>
      <c r="G96" s="3">
        <v>16.3447671358059</v>
      </c>
      <c r="H96" s="3">
        <f>统一验算!H96</f>
        <v>16.3447671358059</v>
      </c>
      <c r="I96" s="4">
        <f t="shared" si="4"/>
        <v>5.10702591327572e-15</v>
      </c>
      <c r="J96" s="4">
        <f t="shared" si="5"/>
        <v>0</v>
      </c>
    </row>
    <row r="97" ht="25" customHeight="1" spans="1:10">
      <c r="A97" s="2">
        <v>96</v>
      </c>
      <c r="B97" s="2">
        <v>275</v>
      </c>
      <c r="C97" s="2">
        <f>楼层配置!D100</f>
        <v>275</v>
      </c>
      <c r="D97" s="2">
        <f t="shared" si="3"/>
        <v>0</v>
      </c>
      <c r="E97" s="3">
        <v>10.115158031245</v>
      </c>
      <c r="F97" s="3">
        <f>统一验算!F97</f>
        <v>10.115158031245</v>
      </c>
      <c r="G97" s="3">
        <v>16.3757737431693</v>
      </c>
      <c r="H97" s="3">
        <f>统一验算!H97</f>
        <v>16.3757737431693</v>
      </c>
      <c r="I97" s="4">
        <f t="shared" si="4"/>
        <v>-2.33146835171283e-15</v>
      </c>
      <c r="J97" s="4">
        <f t="shared" si="5"/>
        <v>0</v>
      </c>
    </row>
    <row r="98" ht="25" customHeight="1" spans="1:10">
      <c r="A98" s="2">
        <v>97</v>
      </c>
      <c r="B98" s="2">
        <v>276</v>
      </c>
      <c r="C98" s="2">
        <f>楼层配置!D101</f>
        <v>276</v>
      </c>
      <c r="D98" s="2">
        <f t="shared" si="3"/>
        <v>0</v>
      </c>
      <c r="E98" s="3">
        <v>10.0879200618806</v>
      </c>
      <c r="F98" s="3">
        <f>统一验算!F98</f>
        <v>10.0879200618806</v>
      </c>
      <c r="G98" s="3">
        <v>16.4039883728109</v>
      </c>
      <c r="H98" s="3">
        <f>统一验算!H98</f>
        <v>16.4039883728109</v>
      </c>
      <c r="I98" s="4">
        <f t="shared" si="4"/>
        <v>1.99840144432528e-15</v>
      </c>
      <c r="J98" s="4">
        <f t="shared" si="5"/>
        <v>2.88657986402541e-15</v>
      </c>
    </row>
    <row r="99" ht="25" customHeight="1" spans="1:10">
      <c r="A99" s="2">
        <v>98</v>
      </c>
      <c r="B99" s="2">
        <v>278</v>
      </c>
      <c r="C99" s="2">
        <f>楼层配置!D102</f>
        <v>278</v>
      </c>
      <c r="D99" s="2">
        <f t="shared" si="3"/>
        <v>0</v>
      </c>
      <c r="E99" s="3">
        <v>10.1898231512443</v>
      </c>
      <c r="F99" s="3">
        <f>统一验算!F99</f>
        <v>10.1898231512443</v>
      </c>
      <c r="G99" s="3">
        <v>16.3096575798843</v>
      </c>
      <c r="H99" s="3">
        <f>统一验算!H99</f>
        <v>16.3096575798843</v>
      </c>
      <c r="I99" s="4">
        <f t="shared" si="4"/>
        <v>4.44089209850063e-15</v>
      </c>
      <c r="J99" s="4">
        <f t="shared" si="5"/>
        <v>0</v>
      </c>
    </row>
    <row r="100" ht="25" customHeight="1" spans="1:10">
      <c r="A100" s="2">
        <v>99</v>
      </c>
      <c r="B100" s="2">
        <v>279</v>
      </c>
      <c r="C100" s="2">
        <f>楼层配置!D103</f>
        <v>279</v>
      </c>
      <c r="D100" s="2">
        <f t="shared" si="3"/>
        <v>0</v>
      </c>
      <c r="E100" s="3">
        <v>10.1528097107269</v>
      </c>
      <c r="F100" s="3">
        <f>统一验算!F100</f>
        <v>10.1528097107269</v>
      </c>
      <c r="G100" s="3">
        <v>16.3424134013775</v>
      </c>
      <c r="H100" s="3">
        <f>统一验算!H100</f>
        <v>16.3424134013775</v>
      </c>
      <c r="I100" s="4">
        <f t="shared" si="4"/>
        <v>3.5527136788005e-15</v>
      </c>
      <c r="J100" s="4">
        <f t="shared" si="5"/>
        <v>1.77635683940025e-15</v>
      </c>
    </row>
    <row r="101" ht="25" customHeight="1" spans="1:10">
      <c r="A101" s="2">
        <v>100</v>
      </c>
      <c r="B101" s="2">
        <v>280</v>
      </c>
      <c r="C101" s="2">
        <f>楼层配置!D104</f>
        <v>280</v>
      </c>
      <c r="D101" s="2">
        <f t="shared" si="3"/>
        <v>0</v>
      </c>
      <c r="E101" s="3">
        <v>10.1430142197331</v>
      </c>
      <c r="F101" s="3">
        <f>统一验算!F101</f>
        <v>10.1430142197331</v>
      </c>
      <c r="G101" s="3">
        <v>16.3577145901043</v>
      </c>
      <c r="H101" s="3">
        <f>统一验算!H101</f>
        <v>16.3577145901043</v>
      </c>
      <c r="I101" s="4">
        <f t="shared" si="4"/>
        <v>2.22044604925031e-15</v>
      </c>
      <c r="J101" s="4">
        <f t="shared" si="5"/>
        <v>-2.55351295663786e-15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使用说明</vt:lpstr>
      <vt:lpstr>参数</vt:lpstr>
      <vt:lpstr>楼层配置</vt:lpstr>
      <vt:lpstr>_怪物基线</vt:lpstr>
      <vt:lpstr>_角色基线</vt:lpstr>
      <vt:lpstr>TeamHero生成</vt:lpstr>
      <vt:lpstr>落表结果</vt:lpstr>
      <vt:lpstr>统一验算</vt:lpstr>
      <vt:lpstr>难度节点</vt:lpstr>
      <vt:lpstr>爬塔本次调整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2026-09-20T08:59:00Z</dcterms:created>
  <dcterms:modified xsi:type="dcterms:W3CDTF">2026-09-20T09:50:14Z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B41922FEE6B1414EA25C0D0FFF768E40_12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