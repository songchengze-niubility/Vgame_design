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c7b53b125644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11d3de677c0a4824"/>
    <x:sheet xmlns:r="http://schemas.openxmlformats.org/officeDocument/2006/relationships" name="参数" sheetId="2" r:id="R74e1e5da8a67491d"/>
    <x:sheet xmlns:r="http://schemas.openxmlformats.org/officeDocument/2006/relationships" name="楼层配置" sheetId="3" r:id="R2f32554cad7f45d3"/>
    <x:sheet xmlns:r="http://schemas.openxmlformats.org/officeDocument/2006/relationships" name="_怪物基线" sheetId="4" r:id="R13cfb3768eae484c"/>
    <x:sheet xmlns:r="http://schemas.openxmlformats.org/officeDocument/2006/relationships" name="_角色基线" sheetId="5" r:id="R35ef185d7b844d73"/>
    <x:sheet xmlns:r="http://schemas.openxmlformats.org/officeDocument/2006/relationships" name="TeamHero生成" sheetId="6" r:id="R5ee7f80fc8e04195"/>
    <x:sheet xmlns:r="http://schemas.openxmlformats.org/officeDocument/2006/relationships" name="落表结果" sheetId="7" r:id="R606175cd71514119"/>
    <x:sheet xmlns:r="http://schemas.openxmlformats.org/officeDocument/2006/relationships" name="统一验算" sheetId="8" r:id="Rca316d6ab5b4400f"/>
    <x:sheet xmlns:r="http://schemas.openxmlformats.org/officeDocument/2006/relationships" name="难度节点" sheetId="9" r:id="R8165f82abae24959"/>
    <x:sheet xmlns:r="http://schemas.openxmlformats.org/officeDocument/2006/relationships" name="爬塔本次调整" sheetId="10" r:id="R7f989c16fae348da"/>
  </x:sheets>
</x:workbook>
</file>

<file path=xl/sharedStrings.xml><?xml version="1.0" encoding="utf-8"?>
<x:sst xmlns:x="http://schemas.openxmlformats.org/spreadsheetml/2006/main">
  <x:si>
    <x:t xml:space="preserve">爬塔 TeamHero 属性配置表</x:t>
  </x:si>
  <x:si>
    <x:t xml:space="preserve">黄色单元格为可配置输入；其余区域由公式自动生成。</x:t>
  </x:si>
  <x:si>
    <x:t xml:space="preserve">使用步骤</x:t>
  </x:si>
  <x:si>
    <x:t xml:space="preserve">2. 如需整体或局部微调，可修改“参数”职业系数、精英怪系数、玩法全局倍率，或楼层E～G三项倍率。</x:t>
  </x:si>
  <x:si>
    <x:t xml:space="preserve">3. “TeamHero生成”按 TeamHero.CfgId → Hero.HeroClass 自动识别 Tank / DPS / Support，并生成 Hp、Attack、Armor。</x:t>
  </x:si>
  <x:si>
    <x:t xml:space="preserve">4. “落表结果”按 TeamHero.Id 升序整理；将D～F列以“粘贴值”方式覆盖 TeamHero.xlsx 的 Hp、Attack、Armor。</x:t>
  </x:si>
  <x:si>
    <x:t xml:space="preserve">5. TeamHero.Level仅作核对，不参与怪物模型等级查找；实际查找使用“楼层配置”的难度等级。</x:t>
  </x:si>
  <x:si>
    <x:t xml:space="preserve">生成公式</x:t>
  </x:si>
  <x:si>
    <x:t xml:space="preserve">精英基准 = 普通怪基准 × MonsterAttributeType(200101)：生命×4、攻击×1.2、防御×1。</x:t>
  </x:si>
  <x:si>
    <x:t xml:space="preserve">TeamHero.Hp = 精英生命 × 职业生命系数 × 楼层生命倍率 × 玩法全局生命倍率。</x:t>
  </x:si>
  <x:si>
    <x:t xml:space="preserve">TeamHero.Attack = 精英攻击 × 职业攻击系数 × 楼层攻击倍率 × 玩法全局攻击倍率。</x:t>
  </x:si>
  <x:si>
    <x:t xml:space="preserve">TeamHero.Armor = 精英防御 × 职业防御系数 × 楼层防御倍率 × 玩法全局防御倍率。</x:t>
  </x:si>
  <x:si>
    <x:t xml:space="preserve">数据来源</x:t>
  </x:si>
  <x:si>
    <x:t xml:space="preserve">精英系数：D:\Vgame\Config\GameConfig\Datas\Monster\MonsterAttributeType.xlsx｜AttributeTypeID=200101</x:t>
  </x:si>
  <x:si>
    <x:t xml:space="preserve">爬塔映射：D:\Vgame\Config\GameConfig\Datas\TowerTrial\TowerEnemyFormation.xlsx → D:\Vgame\Config\GameConfig\Datas\Team\Team.xlsx → D:\Vgame\Config\GameConfig\Datas\Team\TeamHero.xlsx</x:t>
  </x:si>
  <x:si>
    <x:t xml:space="preserve">职业映射：D:\Vgame\Config\GameConfig\Datas\Hero\Hero.xlsx｜HeroClass；生成日期：2026-08-10</x:t>
  </x:si>
  <x:si>
    <x:t xml:space="preserve">爬塔 TeamHero 生成参数</x:t>
  </x:si>
  <x:si>
    <x:t xml:space="preserve">黄色参数可调；当前职业偏移沿用 TeamHero 现有口径。</x:t>
  </x:si>
  <x:si>
    <x:t xml:space="preserve">职业</x:t>
  </x:si>
  <x:si>
    <x:t xml:space="preserve">生命系数</x:t>
  </x:si>
  <x:si>
    <x:t xml:space="preserve">攻击系数</x:t>
  </x:si>
  <x:si>
    <x:t xml:space="preserve">防御系数</x:t>
  </x:si>
  <x:si>
    <x:t xml:space="preserve">说明</x:t>
  </x:si>
  <x:si>
    <x:t xml:space="preserve">来源</x:t>
  </x:si>
  <x:si>
    <x:t xml:space="preserve">Tank</x:t>
  </x:si>
  <x:si>
    <x:t xml:space="preserve">高生命、高防御</x:t>
  </x:si>
  <x:si>
    <x:t xml:space="preserve">当前TeamHero职业偏移</x:t>
  </x:si>
  <x:si>
    <x:t xml:space="preserve">DPS</x:t>
  </x:si>
  <x:si>
    <x:t xml:space="preserve">高攻击</x:t>
  </x:si>
  <x:si>
    <x:t xml:space="preserve">Support</x:t>
  </x:si>
  <x:si>
    <x:t xml:space="preserve">中等生存</x:t>
  </x:si>
  <x:si>
    <x:t xml:space="preserve">怪物类型</x:t>
  </x:si>
  <x:si>
    <x:t xml:space="preserve">AttributeTypeID</x:t>
  </x:si>
  <x:si>
    <x:t xml:space="preserve">精英怪</x:t>
  </x:si>
  <x:si>
    <x:t xml:space="preserve">D:\Vgame\Config\GameConfig\Datas\Monster\MonsterAttributeType.xlsx</x:t>
  </x:si>
  <x:si>
    <x:t xml:space="preserve">玩法全局倍率</x:t>
  </x:si>
  <x:si>
    <x:t xml:space="preserve">生命</x:t>
  </x:si>
  <x:si>
    <x:t xml:space="preserve">攻击</x:t>
  </x:si>
  <x:si>
    <x:t xml:space="preserve">防御</x:t>
  </x:si>
  <x:si>
    <x:t xml:space="preserve">爬塔</x:t>
  </x:si>
  <x:si>
    <x:t xml:space="preserve">默认1；用于整条曲线统一微调</x:t>
  </x:si>
  <x:si>
    <x:t xml:space="preserve">爬塔楼层难度配置</x:t>
  </x:si>
  <x:si>
    <x:t xml:space="preserve">状态</x:t>
  </x:si>
  <x:si>
    <x:t xml:space="preserve">层数</x:t>
  </x:si>
  <x:si>
    <x:t xml:space="preserve">TeamId</x:t>
  </x:si>
  <x:si>
    <x:t xml:space="preserve">难度等级</x:t>
  </x:si>
  <x:si>
    <x:t xml:space="preserve">生命倍率</x:t>
  </x:si>
  <x:si>
    <x:t xml:space="preserve">攻击倍率</x:t>
  </x:si>
  <x:si>
    <x:t xml:space="preserve">防御倍率</x:t>
  </x:si>
  <x:si>
    <x:t xml:space="preserve">Pack1 LevelId</x:t>
  </x:si>
  <x:si>
    <x:t xml:space="preserve">Pack2 LevelId</x:t>
  </x:si>
  <x:si>
    <x:t xml:space="preserve">Pack3 LevelId</x:t>
  </x:si>
  <x:si>
    <x:t xml:space="preserve">Pack4 LevelId</x:t>
  </x:si>
  <x:si>
    <x:t xml:space="preserve">全部LevelId</x:t>
  </x:si>
  <x:si>
    <x:t xml:space="preserve">TeamHero数量</x:t>
  </x:si>
  <x:si>
    <x:t xml:space="preserve">等级检查</x:t>
  </x:si>
  <x:si>
    <x:t xml:space="preserve">等级趋势</x:t>
  </x:si>
  <x:si>
    <x:t xml:space="preserve">备注</x:t>
  </x:si>
  <x:si>
    <x:t xml:space="preserve">当前配置</x:t>
  </x:si>
  <x:si>
    <x:t xml:space="preserve">等级</x:t>
  </x:si>
  <x:si>
    <x:t xml:space="preserve">普通怪生命</x:t>
  </x:si>
  <x:si>
    <x:t xml:space="preserve">普通怪攻击</x:t>
  </x:si>
  <x:si>
    <x:t xml:space="preserve">普通怪防御</x:t>
  </x:si>
  <x:si>
    <x:t xml:space="preserve">HeroId</x:t>
  </x:si>
  <x:si>
    <x:t xml:space="preserve">角色名</x:t>
  </x:si>
  <x:si>
    <x:t xml:space="preserve">HeroClass</x:t>
  </x:si>
  <x:si>
    <x:t xml:space="preserve">测试</x:t>
  </x:si>
  <x:si>
    <x:t xml:space="preserve">Hero.xlsx</x:t>
  </x:si>
  <x:si>
    <x:t xml:space="preserve">星海</x:t>
  </x:si>
  <x:si>
    <x:t xml:space="preserve">大暑</x:t>
  </x:si>
  <x:si>
    <x:t xml:space="preserve">塔拉夏</x:t>
  </x:si>
  <x:si>
    <x:t xml:space="preserve">阿芭</x:t>
  </x:si>
  <x:si>
    <x:t xml:space="preserve">陈单单</x:t>
  </x:si>
  <x:si>
    <x:t xml:space="preserve">莉莉娅</x:t>
  </x:si>
  <x:si>
    <x:t xml:space="preserve">萨萨莉安</x:t>
  </x:si>
  <x:si>
    <x:t xml:space="preserve">薇</x:t>
  </x:si>
  <x:si>
    <x:t xml:space="preserve">约瑟夫</x:t>
  </x:si>
  <x:si>
    <x:t xml:space="preserve">陈双双</x:t>
  </x:si>
  <x:si>
    <x:t xml:space="preserve">艾德琳</x:t>
  </x:si>
  <x:si>
    <x:t xml:space="preserve">夏缇拉</x:t>
  </x:si>
  <x:si>
    <x:t xml:space="preserve">克莉丝汀</x:t>
  </x:si>
  <x:si>
    <x:t xml:space="preserve">阿莱克西娅</x:t>
  </x:si>
  <x:si>
    <x:t xml:space="preserve">伊戈尔</x:t>
  </x:si>
  <x:si>
    <x:t xml:space="preserve">埃莉诺</x:t>
  </x:si>
  <x:si>
    <x:t xml:space="preserve">桑尼</x:t>
  </x:si>
  <x:si>
    <x:t xml:space="preserve">卡斯帕</x:t>
  </x:si>
  <x:si>
    <x:t xml:space="preserve">梅梅</x:t>
  </x:si>
  <x:si>
    <x:t xml:space="preserve">梅林</x:t>
  </x:si>
  <x:si>
    <x:t xml:space="preserve">马克</x:t>
  </x:si>
  <x:si>
    <x:t xml:space="preserve">卡薇</x:t>
  </x:si>
  <x:si>
    <x:t xml:space="preserve">乔一</x:t>
  </x:si>
  <x:si>
    <x:t xml:space="preserve">凯兰</x:t>
  </x:si>
  <x:si>
    <x:t xml:space="preserve">莫莉</x:t>
  </x:si>
  <x:si>
    <x:t xml:space="preserve">碎冰者</x:t>
  </x:si>
  <x:si>
    <x:t xml:space="preserve">霜狼法师</x:t>
  </x:si>
  <x:si>
    <x:t xml:space="preserve">霜狼战士</x:t>
  </x:si>
  <x:si>
    <x:t xml:space="preserve">商队战斗员</x:t>
  </x:si>
  <x:si>
    <x:t xml:space="preserve">商队枪手</x:t>
  </x:si>
  <x:si>
    <x:t xml:space="preserve">小寒</x:t>
  </x:si>
  <x:si>
    <x:t xml:space="preserve">爬塔 TeamHero 属性生成</x:t>
  </x:si>
  <x:si>
    <x:t xml:space="preserve">D～F为最终生成值；公式基于楼层难度等级、精英怪基准和HeroClass职业偏移。</x:t>
  </x:si>
  <x:si>
    <x:t xml:space="preserve">TeamHero.Id</x:t>
  </x:si>
  <x:si>
    <x:t xml:space="preserve">CfgId</x:t>
  </x:si>
  <x:si>
    <x:t xml:space="preserve">Level</x:t>
  </x:si>
  <x:si>
    <x:t xml:space="preserve">Hp（生成）</x:t>
  </x:si>
  <x:si>
    <x:t xml:space="preserve">Attack（生成）</x:t>
  </x:si>
  <x:si>
    <x:t xml:space="preserve">Armor（生成）</x:t>
  </x:si>
  <x:si>
    <x:t xml:space="preserve">当前Hp</x:t>
  </x:si>
  <x:si>
    <x:t xml:space="preserve">当前Attack</x:t>
  </x:si>
  <x:si>
    <x:t xml:space="preserve">当前Armor</x:t>
  </x:si>
  <x:si>
    <x:t xml:space="preserve">精英生命系数</x:t>
  </x:si>
  <x:si>
    <x:t xml:space="preserve">精英攻击系数</x:t>
  </x:si>
  <x:si>
    <x:t xml:space="preserve">精英防御系数</x:t>
  </x:si>
  <x:si>
    <x:t xml:space="preserve">精英怪生命</x:t>
  </x:si>
  <x:si>
    <x:t xml:space="preserve">精英怪攻击</x:t>
  </x:si>
  <x:si>
    <x:t xml:space="preserve">精英怪防御</x:t>
  </x:si>
  <x:si>
    <x:t xml:space="preserve">职业生命系数</x:t>
  </x:si>
  <x:si>
    <x:t xml:space="preserve">职业攻击系数</x:t>
  </x:si>
  <x:si>
    <x:t xml:space="preserve">职业防御系数</x:t>
  </x:si>
  <x:si>
    <x:t xml:space="preserve">楼层生命倍率</x:t>
  </x:si>
  <x:si>
    <x:t xml:space="preserve">楼层攻击倍率</x:t>
  </x:si>
  <x:si>
    <x:t xml:space="preserve">楼层防御倍率</x:t>
  </x:si>
  <x:si>
    <x:t xml:space="preserve">Hp变化</x:t>
  </x:si>
  <x:si>
    <x:t xml:space="preserve">Attack变化</x:t>
  </x:si>
  <x:si>
    <x:t xml:space="preserve">Armor变化</x:t>
  </x:si>
  <x:si>
    <x:t xml:space="preserve">校验</x:t>
  </x:si>
  <x:si>
    <x:t xml:space="preserve">TeamHero 落表结果</x:t>
  </x:si>
  <x:si>
    <x:t xml:space="preserve">按TeamHero.Id升序；复制D～F列并以“值”覆盖源表Hp、Attack、Armor。</x:t>
  </x:si>
  <x:si>
    <x:t xml:space="preserve">CfgId（核对）</x:t>
  </x:si>
  <x:si>
    <x:t xml:space="preserve">Level（核对）</x:t>
  </x:si>
  <x:si>
    <x:t xml:space="preserve">Hp</x:t>
  </x:si>
  <x:si>
    <x:t xml:space="preserve">Attack</x:t>
  </x:si>
  <x:si>
    <x:t xml:space="preserve">Armor</x:t>
  </x:si>
</x:sst>
</file>

<file path=xl/styles.xml><?xml version="1.0" encoding="utf-8"?>
<x:styleSheet xmlns:x="http://schemas.openxmlformats.org/spreadsheetml/2006/main">
  <x:numFmts count="9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0.0%"/>
    <x:numFmt numFmtId="200" formatCode="0.000"/>
    <x:numFmt numFmtId="201" formatCode="0.000&quot;倍&quot;"/>
    <x:numFmt numFmtId="202" formatCode="0"/>
    <x:numFmt numFmtId="203" formatCode="0.00"/>
  </x:numFmts>
  <x:fonts count="32">
    <x:font>
      <x:sz val="11"/>
      <x:color theme="1"/>
      <x:name val="宋体"/>
    </x:font>
    <x:font>
      <x:b/>
      <x:sz val="18"/>
      <x:color rgb="FFFFFFFF"/>
      <x:name val="Microsoft YaHei"/>
    </x:font>
    <x:font>
      <x:sz val="10"/>
      <x:color rgb="FF404040"/>
      <x:name val="Microsoft YaHei"/>
    </x:font>
    <x:font>
      <x:b/>
      <x:sz val="11"/>
      <x:color rgb="FFFFFFFF"/>
      <x:name val="Microsoft YaHei"/>
    </x:font>
    <x:font>
      <x:sz val="9"/>
      <x:color rgb="FF000000"/>
      <x:name val="Microsoft YaHei"/>
    </x:font>
    <x:font>
      <x:b/>
      <x:sz val="9"/>
      <x:name val="Microsoft YaHei"/>
    </x:font>
    <x:font>
      <x:sz val="9"/>
      <x:color rgb="FF0000FF"/>
      <x:name val="Microsoft YaHei"/>
    </x:font>
    <x:font>
      <x:b/>
      <x:sz val="13"/>
      <x:color rgb="FF1F4E78"/>
      <x:name val="Microsoft YaHei"/>
    </x:font>
    <x:font>
      <x:sz val="10"/>
      <x:name val="Microsoft YaHei"/>
    </x:font>
    <x:font>
      <x:sz val="9"/>
      <x:color rgb="FF666666"/>
      <x:name val="Microsoft YaHei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  <x:font>
      <x:sz val="10"/>
      <x:color theme="1"/>
      <x:name val="Microsoft YaHei"/>
    </x:font>
    <x:font>
      <x:b/>
      <x:sz val="10"/>
      <x:color rgb="FFFFFFFF"/>
      <x:name val="Microsoft YaHei"/>
    </x:font>
    <x:font>
      <x:sz val="10"/>
      <x:color rgb="FF0000FF"/>
      <x:name val="Microsoft YaHei"/>
    </x:font>
  </x:fonts>
  <x:fills count="4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AF3F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243E57"/>
      </x:patternFill>
    </x:fill>
    <x:fill>
      <x:patternFill patternType="solid">
        <x:fgColor rgb="FF243E5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243E57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</x:fills>
  <x:borders count="10">
    <x:border/>
    <x:border>
      <x:left style="thin">
        <x:color rgb="FFB7B7B7"/>
      </x:left>
      <x:right style="thin">
        <x:color rgb="FFB7B7B7"/>
      </x:right>
      <x:top style="thin">
        <x:color rgb="FFB7B7B7"/>
      </x:top>
      <x:bottom style="thin">
        <x:color rgb="FFB7B7B7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10" fillId="0" borderId="0">
      <x:alignment vertical="center"/>
    </x:xf>
    <x:xf numFmtId="0" fontId="11" fillId="0" borderId="0">
      <x:alignment vertical="center"/>
    </x:xf>
    <x:xf numFmtId="0" fontId="0" fillId="6" borderId="2">
      <x:alignment vertical="center"/>
    </x:xf>
    <x:xf numFmtId="0" fontId="12" fillId="0" borderId="0">
      <x:alignment vertical="center"/>
    </x:xf>
    <x:xf numFmtId="0" fontId="13" fillId="0" borderId="0">
      <x:alignment vertical="center"/>
    </x:xf>
    <x:xf numFmtId="0" fontId="14" fillId="0" borderId="0">
      <x:alignment vertical="center"/>
    </x:xf>
    <x:xf numFmtId="0" fontId="15" fillId="0" borderId="3">
      <x:alignment vertical="center"/>
    </x:xf>
    <x:xf numFmtId="0" fontId="16" fillId="0" borderId="3">
      <x:alignment vertical="center"/>
    </x:xf>
    <x:xf numFmtId="0" fontId="17" fillId="0" borderId="4">
      <x:alignment vertical="center"/>
    </x:xf>
    <x:xf numFmtId="0" fontId="17" fillId="0" borderId="0">
      <x:alignment vertical="center"/>
    </x:xf>
    <x:xf numFmtId="0" fontId="18" fillId="7" borderId="5">
      <x:alignment vertical="center"/>
    </x:xf>
    <x:xf numFmtId="0" fontId="19" fillId="8" borderId="6">
      <x:alignment vertical="center"/>
    </x:xf>
    <x:xf numFmtId="0" fontId="20" fillId="8" borderId="5">
      <x:alignment vertical="center"/>
    </x:xf>
    <x:xf numFmtId="0" fontId="21" fillId="9" borderId="7">
      <x:alignment vertical="center"/>
    </x:xf>
    <x:xf numFmtId="0" fontId="22" fillId="0" borderId="8">
      <x:alignment vertical="center"/>
    </x:xf>
    <x:xf numFmtId="0" fontId="23" fillId="0" borderId="9">
      <x:alignment vertical="center"/>
    </x:xf>
    <x:xf numFmtId="0" fontId="24" fillId="10" borderId="0">
      <x:alignment vertical="center"/>
    </x:xf>
    <x:xf numFmtId="0" fontId="25" fillId="11" borderId="0">
      <x:alignment vertical="center"/>
    </x:xf>
    <x:xf numFmtId="0" fontId="26" fillId="12" borderId="0">
      <x:alignment vertical="center"/>
    </x:xf>
    <x:xf numFmtId="0" fontId="27" fillId="13" borderId="0">
      <x:alignment vertical="center"/>
    </x:xf>
    <x:xf numFmtId="0" fontId="28" fillId="14" borderId="0">
      <x:alignment vertical="center"/>
    </x:xf>
    <x:xf numFmtId="0" fontId="28" fillId="15" borderId="0">
      <x:alignment vertical="center"/>
    </x:xf>
    <x:xf numFmtId="0" fontId="27" fillId="16" borderId="0">
      <x:alignment vertical="center"/>
    </x:xf>
    <x:xf numFmtId="0" fontId="27" fillId="17" borderId="0">
      <x:alignment vertical="center"/>
    </x:xf>
    <x:xf numFmtId="0" fontId="28" fillId="18" borderId="0">
      <x:alignment vertical="center"/>
    </x:xf>
    <x:xf numFmtId="0" fontId="28" fillId="19" borderId="0">
      <x:alignment vertical="center"/>
    </x:xf>
    <x:xf numFmtId="0" fontId="27" fillId="20" borderId="0">
      <x:alignment vertical="center"/>
    </x:xf>
    <x:xf numFmtId="0" fontId="27" fillId="21" borderId="0">
      <x:alignment vertical="center"/>
    </x:xf>
    <x:xf numFmtId="0" fontId="28" fillId="22" borderId="0">
      <x:alignment vertical="center"/>
    </x:xf>
    <x:xf numFmtId="0" fontId="28" fillId="23" borderId="0">
      <x:alignment vertical="center"/>
    </x:xf>
    <x:xf numFmtId="0" fontId="27" fillId="24" borderId="0">
      <x:alignment vertical="center"/>
    </x:xf>
    <x:xf numFmtId="0" fontId="27" fillId="25" borderId="0">
      <x:alignment vertical="center"/>
    </x:xf>
    <x:xf numFmtId="0" fontId="28" fillId="26" borderId="0">
      <x:alignment vertical="center"/>
    </x:xf>
    <x:xf numFmtId="0" fontId="28" fillId="27" borderId="0">
      <x:alignment vertical="center"/>
    </x:xf>
    <x:xf numFmtId="0" fontId="27" fillId="28" borderId="0">
      <x:alignment vertical="center"/>
    </x:xf>
    <x:xf numFmtId="0" fontId="27" fillId="29" borderId="0">
      <x:alignment vertical="center"/>
    </x:xf>
    <x:xf numFmtId="0" fontId="28" fillId="30" borderId="0">
      <x:alignment vertical="center"/>
    </x:xf>
    <x:xf numFmtId="0" fontId="28" fillId="31" borderId="0">
      <x:alignment vertical="center"/>
    </x:xf>
    <x:xf numFmtId="0" fontId="27" fillId="32" borderId="0">
      <x:alignment vertical="center"/>
    </x:xf>
    <x:xf numFmtId="0" fontId="27" fillId="33" borderId="0">
      <x:alignment vertical="center"/>
    </x:xf>
    <x:xf numFmtId="0" fontId="28" fillId="34" borderId="0">
      <x:alignment vertical="center"/>
    </x:xf>
    <x:xf numFmtId="0" fontId="28" fillId="35" borderId="0">
      <x:alignment vertical="center"/>
    </x:xf>
    <x:xf numFmtId="0" fontId="27" fillId="36" borderId="0">
      <x:alignment vertical="center"/>
    </x:xf>
  </x:cellStyleXfs>
  <x:cellXfs count="38">
    <x:xf numFmtId="0" fontId="0" fillId="0" borderId="0" xfId="0"/>
    <x:xf numFmtId="0" fontId="1" fillId="2" borderId="0" xfId="0" applyFont="1" applyFill="1" applyAlignment="1">
      <x:alignment vertical="center"/>
    </x:xf>
    <x:xf numFmtId="0" fontId="2" fillId="3" borderId="0" xfId="0" applyFont="1" applyFill="1" applyAlignment="1">
      <x:alignment vertical="center" wrapText="1"/>
    </x:xf>
    <x:xf numFmtId="0" fontId="3" fillId="2" borderId="1" xfId="0" applyFont="1" applyFill="1" applyBorder="1" applyAlignment="1">
      <x:alignment horizontal="center" vertical="center" wrapText="1"/>
    </x:xf>
    <x:xf numFmtId="0" fontId="4" fillId="0" borderId="1" xfId="0" applyFont="1" applyBorder="1" applyAlignment="1">
      <x:alignment horizontal="center" vertical="center"/>
    </x:xf>
    <x:xf numFmtId="0" fontId="5" fillId="4" borderId="1" xfId="0" applyFont="1" applyFill="1" applyBorder="1" applyAlignment="1">
      <x:alignment horizontal="center" vertical="center"/>
    </x:xf>
    <x:xf numFmtId="176" fontId="4" fillId="0" borderId="1" xfId="0" applyNumberFormat="1" applyFont="1" applyBorder="1" applyAlignment="1">
      <x:alignment horizontal="center" vertical="center"/>
    </x:xf>
    <x:xf numFmtId="0" fontId="6" fillId="5" borderId="1" xfId="0" applyFont="1" applyFill="1" applyBorder="1" applyAlignment="1">
      <x:alignment horizontal="center" vertical="center"/>
    </x:xf>
    <x:xf numFmtId="0" fontId="4" fillId="0" borderId="1" xfId="0" applyFont="1" applyBorder="1" applyAlignment="1">
      <x:alignment horizontal="left" vertical="center"/>
    </x:xf>
    <x:xf numFmtId="2" fontId="6" fillId="5" borderId="1" xfId="0" applyNumberFormat="1" applyFont="1" applyFill="1" applyBorder="1" applyAlignment="1">
      <x:alignment horizontal="center" vertical="center"/>
    </x:xf>
    <x:xf numFmtId="0" fontId="7" fillId="0" borderId="0" xfId="0" applyFont="1"/>
    <x:xf numFmtId="0" fontId="8" fillId="0" borderId="0" xfId="0" applyFont="1" applyAlignment="1">
      <x:alignment vertical="center" wrapText="1"/>
    </x:xf>
    <x:xf numFmtId="0" fontId="9" fillId="0" borderId="0" xfId="0" applyFont="1" applyAlignment="1">
      <x:alignment vertical="center" wrapText="1"/>
    </x:xf>
    <x:xf numFmtId="0" fontId="0" fillId="37" borderId="0" xfId="0" applyNumberFormat="1" applyFont="1" applyFill="1" applyBorder="1"/>
    <x:xf numFmtId="0" fontId="21" fillId="37" borderId="0" xfId="0" applyNumberFormat="1" applyFont="1" applyFill="1" applyBorder="1"/>
    <x:xf numFmtId="0" fontId="21" fillId="3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6" fillId="5" borderId="1" xfId="0" applyNumberFormat="1" applyFont="1" applyFill="1" applyBorder="1" applyAlignment="1">
      <x:alignment horizontal="center" vertical="center"/>
    </x:xf>
    <x:xf numFmtId="0" fontId="29" fillId="0" borderId="0" xfId="0" applyNumberFormat="1" applyFont="1" applyFill="1" applyBorder="1"/>
    <x:xf numFmtId="0" fontId="29" fillId="38" borderId="0" xfId="0" applyNumberFormat="1" applyFont="1" applyFill="1" applyBorder="1"/>
    <x:xf numFmtId="0" fontId="30" fillId="38" borderId="0" xfId="0" applyNumberFormat="1" applyFont="1" applyFill="1" applyBorder="1"/>
    <x:xf numFmtId="0" fontId="30" fillId="38" borderId="0" xfId="0" applyNumberFormat="1" applyFont="1" applyFill="1" applyBorder="1" applyAlignment="1">
      <x:alignment wrapText="1"/>
    </x:xf>
    <x:xf numFmtId="0" fontId="29" fillId="39" borderId="0" xfId="0" applyNumberFormat="1" applyFont="1" applyFill="1" applyBorder="1"/>
    <x:xf numFmtId="0" fontId="31" fillId="39" borderId="0" xfId="0" applyNumberFormat="1" applyFont="1" applyFill="1" applyBorder="1"/>
    <x:xf numFmtId="202" fontId="29" fillId="0" borderId="0" xfId="0" applyNumberFormat="1" applyFont="1" applyFill="1" applyBorder="1"/>
    <x:xf numFmtId="202" fontId="31" fillId="39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40" borderId="1" xfId="0" applyNumberFormat="1" applyFont="1" applyFill="1" applyBorder="1" applyAlignment="1">
      <x:alignment horizontal="center" vertical="center"/>
    </x:xf>
    <x:xf numFmtId="203" fontId="29" fillId="0" borderId="0" xfId="0" applyNumberFormat="1" applyFont="1" applyFill="1" applyBorder="1"/>
    <x:xf numFmtId="176" fontId="29" fillId="0" borderId="0" xfId="0" applyNumberFormat="1" applyFont="1" applyFill="1" applyBorder="1"/>
    <x:xf numFmtId="0" fontId="30" fillId="37" borderId="0" xfId="0" applyNumberFormat="1" applyFont="1" applyFill="1" applyBorder="1" applyAlignment="1">
      <x:alignment wrapText="1"/>
    </x:xf>
    <x:xf numFmtId="202" fontId="31" fillId="5" borderId="0" xfId="0" applyNumberFormat="1" applyFont="1" applyFill="1" applyBorder="1"/>
    <x:xf numFmtId="0" fontId="30" fillId="41" borderId="0" xfId="0" applyNumberFormat="1" applyFont="1" applyFill="1" applyBorder="1" applyAlignment="1">
      <x:alignment wrapText="1"/>
    </x:xf>
    <x:xf numFmtId="202" fontId="31" fillId="42" borderId="0" xfId="0" applyNumberFormat="1" applyFont="1" applyFill="1" applyBorder="1"/>
    <x:xf numFmtId="202" fontId="29" fillId="43" borderId="0" xfId="0" applyNumberFormat="1" applyFont="1" applyFill="1" applyBorder="1"/>
    <x:xf numFmtId="202" fontId="31" fillId="43" borderId="0" xfId="0" applyNumberFormat="1" applyFont="1" applyFill="1" applyBorder="1"/>
    <x:xf numFmtId="0" fontId="29" fillId="43" borderId="0" xfId="0" applyNumberFormat="1" applyFont="1" applyFill="1" applyBorder="1"/>
    <x:xf numFmtId="0" fontId="6" fillId="44" borderId="1" xfId="0" applyNumberFormat="1" applyFont="1" applyFill="1" applyBorder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"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007f4df4f44aa5" /><Relationship Type="http://schemas.openxmlformats.org/officeDocument/2006/relationships/theme" Target="/xl/theme/theme1.xml" Id="R308982dbeb0940b0" /><Relationship Type="http://schemas.openxmlformats.org/officeDocument/2006/relationships/sharedStrings" Target="/xl/sharedStrings.xml" Id="Rc6c8ecc9c1d44f19" /><Relationship Type="http://schemas.openxmlformats.org/officeDocument/2006/relationships/worksheet" Target="/xl/worksheets/sheet1.xml" Id="R11d3de677c0a4824" /><Relationship Type="http://schemas.openxmlformats.org/officeDocument/2006/relationships/worksheet" Target="/xl/worksheets/sheet2.xml" Id="R74e1e5da8a67491d" /><Relationship Type="http://schemas.openxmlformats.org/officeDocument/2006/relationships/worksheet" Target="/xl/worksheets/sheet3.xml" Id="R2f32554cad7f45d3" /><Relationship Type="http://schemas.openxmlformats.org/officeDocument/2006/relationships/worksheet" Target="/xl/worksheets/sheet4.xml" Id="R13cfb3768eae484c" /><Relationship Type="http://schemas.openxmlformats.org/officeDocument/2006/relationships/worksheet" Target="/xl/worksheets/sheet5.xml" Id="R35ef185d7b844d73" /><Relationship Type="http://schemas.openxmlformats.org/officeDocument/2006/relationships/worksheet" Target="/xl/worksheets/sheet6.xml" Id="R5ee7f80fc8e04195" /><Relationship Type="http://schemas.openxmlformats.org/officeDocument/2006/relationships/worksheet" Target="/xl/worksheets/sheet7.xml" Id="R606175cd71514119" /><Relationship Type="http://schemas.openxmlformats.org/officeDocument/2006/relationships/worksheet" Target="/xl/worksheets/sheet8.xml" Id="Rca316d6ab5b4400f" /><Relationship Type="http://schemas.openxmlformats.org/officeDocument/2006/relationships/worksheet" Target="/xl/worksheets/sheet9.xml" Id="R8165f82abae24959" /><Relationship Type="http://schemas.openxmlformats.org/officeDocument/2006/relationships/worksheet" Target="/xl/worksheets/sheet10.xml" Id="R7f989c16fae348da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ColWidth="9" defaultRowHeight="13.5"/>
  <x:cols>
    <x:col min="1" max="1" width="4" customWidth="1"/>
    <x:col min="2" max="8" width="18" customWidth="1"/>
  </x:cols>
  <x:sheetData>
    <x:row r="1" ht="30" customHeight="1">
      <x:c r="A1" s="1" t="s">
        <x:v>0</x:v>
      </x:c>
    </x:row>
    <x:row r="2" ht="32" customHeight="1">
      <x:c r="A2" s="2" t="s">
        <x:v>1</x:v>
      </x:c>
    </x:row>
    <x:row r="4" ht="19.5" customHeight="1">
      <x:c r="B4" s="10" t="s">
        <x:v>2</x:v>
      </x:c>
    </x:row>
    <x:row r="6" ht="28" customHeight="1">
      <x:c r="B6" s="11" t="str">
        <x:v>1. 在“难度节点”C列黄格调整关键楼层等级；“楼层配置”D列按相邻节点线性插值，100层当前280级。</x:v>
      </x:c>
    </x:row>
    <x:row r="7" ht="28" customHeight="1">
      <x:c r="B7" s="11" t="s">
        <x:v>3</x:v>
      </x:c>
    </x:row>
    <x:row r="8" ht="28" customHeight="1">
      <x:c r="B8" s="11" t="s">
        <x:v>4</x:v>
      </x:c>
    </x:row>
    <x:row r="9" ht="28" customHeight="1">
      <x:c r="B9" s="11" t="s">
        <x:v>5</x:v>
      </x:c>
    </x:row>
    <x:row r="10" ht="28" customHeight="1">
      <x:c r="B10" s="11" t="s">
        <x:v>6</x:v>
      </x:c>
    </x:row>
    <x:row r="13" ht="19.5" customHeight="1">
      <x:c r="B13" s="10" t="s">
        <x:v>7</x:v>
      </x:c>
    </x:row>
    <x:row r="15" ht="24" customHeight="1">
      <x:c r="B15" s="11" t="s">
        <x:v>8</x:v>
      </x:c>
    </x:row>
    <x:row r="16" ht="24" customHeight="1">
      <x:c r="B16" s="11" t="s">
        <x:v>9</x:v>
      </x:c>
    </x:row>
    <x:row r="17" ht="24" customHeight="1">
      <x:c r="B17" s="11" t="s">
        <x:v>10</x:v>
      </x:c>
    </x:row>
    <x:row r="18" ht="24" customHeight="1">
      <x:c r="B18" s="11" t="s">
        <x:v>11</x:v>
      </x:c>
    </x:row>
    <x:row r="21" ht="19.5" customHeight="1">
      <x:c r="B21" s="10" t="s">
        <x:v>12</x:v>
      </x:c>
    </x:row>
    <x:row r="23" ht="24" customHeight="1">
      <x:c r="B23" s="12" t="str">
        <x:v>怪物基线：战斗公式.xlsx｜怪物标准模型 AS/AQ/AO；沿用2026-08-27统一基线，本轮不改。</x:v>
      </x:c>
    </x:row>
    <x:row r="24" ht="24" customHeight="1">
      <x:c r="B24" s="12" t="s">
        <x:v>13</x:v>
      </x:c>
    </x:row>
    <x:row r="25" ht="24" customHeight="1">
      <x:c r="B25" s="12" t="s">
        <x:v>14</x:v>
      </x:c>
    </x:row>
    <x:row r="26" ht="24" customHeight="1">
      <x:c r="B26" s="12" t="s">
        <x:v>15</x:v>
      </x:c>
    </x:row>
  </x:sheetData>
  <x:mergeCells>
    <x:mergeCell ref="A1:H1"/>
    <x:mergeCell ref="A2:H2"/>
    <x:mergeCell ref="B4:H4"/>
    <x:mergeCell ref="B6:H6"/>
    <x:mergeCell ref="B7:H7"/>
    <x:mergeCell ref="B8:H8"/>
    <x:mergeCell ref="B9:H9"/>
    <x:mergeCell ref="B10:H10"/>
    <x:mergeCell ref="B13:H13"/>
    <x:mergeCell ref="B15:H15"/>
    <x:mergeCell ref="B16:H16"/>
    <x:mergeCell ref="B17:H17"/>
    <x:mergeCell ref="B18:H18"/>
    <x:mergeCell ref="B21:H21"/>
    <x:mergeCell ref="B23:H23"/>
    <x:mergeCell ref="B24:H24"/>
    <x:mergeCell ref="B25:H25"/>
    <x:mergeCell ref="B26:H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F4B183"/>
  </x:sheetPr>
  <x:sheetViews>
    <x:sheetView showGridLines="0" workbookViewId="0"/>
  </x:sheetViews>
  <x:sheetFormatPr defaultColWidth="9" defaultRowHeight="13.5"/>
  <x:cols>
    <x:col min="1" max="1" width="18" customWidth="1"/>
    <x:col min="2" max="4" width="14" customWidth="1"/>
    <x:col min="5" max="5" width="28" customWidth="1"/>
    <x:col min="6" max="6" width="64" customWidth="1"/>
  </x:cols>
  <x:sheetData>
    <x:row r="1" ht="30" customHeight="1">
      <x:c r="A1" s="1" t="s">
        <x:v>16</x:v>
      </x:c>
    </x:row>
    <x:row r="2" ht="32" customHeight="1">
      <x:c r="A2" s="2" t="s">
        <x:v>17</x:v>
      </x:c>
    </x:row>
    <x:row r="4" ht="38" customHeight="1">
      <x:c r="A4" s="3" t="s">
        <x:v>18</x:v>
      </x:c>
      <x:c r="B4" s="3" t="s">
        <x:v>19</x:v>
      </x:c>
      <x:c r="C4" s="3" t="s">
        <x:v>20</x:v>
      </x:c>
      <x:c r="D4" s="3" t="s">
        <x:v>21</x:v>
      </x:c>
      <x:c r="E4" s="3" t="s">
        <x:v>22</x:v>
      </x:c>
      <x:c r="F4" s="3" t="s">
        <x:v>23</x:v>
      </x:c>
    </x:row>
    <x:row r="5" ht="14.25" customHeight="1">
      <x:c r="A5" s="4" t="s">
        <x:v>24</x:v>
      </x:c>
      <x:c r="B5" s="9">
        <x:v>1.5</x:v>
      </x:c>
      <x:c r="C5" s="9">
        <x:v>1</x:v>
      </x:c>
      <x:c r="D5" s="9">
        <x:v>1.5</x:v>
      </x:c>
      <x:c r="E5" s="4" t="s">
        <x:v>25</x:v>
      </x:c>
      <x:c r="F5" s="4" t="s">
        <x:v>26</x:v>
      </x:c>
    </x:row>
    <x:row r="6" ht="14.25" customHeight="1">
      <x:c r="A6" s="4" t="s">
        <x:v>27</x:v>
      </x:c>
      <x:c r="B6" s="9">
        <x:v>1</x:v>
      </x:c>
      <x:c r="C6" s="9">
        <x:v>1.2</x:v>
      </x:c>
      <x:c r="D6" s="9">
        <x:v>1</x:v>
      </x:c>
      <x:c r="E6" s="4" t="s">
        <x:v>28</x:v>
      </x:c>
      <x:c r="F6" s="4" t="s">
        <x:v>26</x:v>
      </x:c>
    </x:row>
    <x:row r="7" ht="14.25" customHeight="1">
      <x:c r="A7" s="4" t="s">
        <x:v>29</x:v>
      </x:c>
      <x:c r="B7" s="9">
        <x:v>1.25</x:v>
      </x:c>
      <x:c r="C7" s="9">
        <x:v>1</x:v>
      </x:c>
      <x:c r="D7" s="9">
        <x:v>1.25</x:v>
      </x:c>
      <x:c r="E7" s="4" t="s">
        <x:v>30</x:v>
      </x:c>
      <x:c r="F7" s="4" t="s">
        <x:v>26</x:v>
      </x:c>
    </x:row>
    <x:row r="9" ht="38" customHeight="1">
      <x:c r="A9" s="3" t="s">
        <x:v>31</x:v>
      </x:c>
      <x:c r="B9" s="3" t="s">
        <x:v>19</x:v>
      </x:c>
      <x:c r="C9" s="3" t="s">
        <x:v>20</x:v>
      </x:c>
      <x:c r="D9" s="3" t="s">
        <x:v>21</x:v>
      </x:c>
      <x:c r="E9" s="3" t="s">
        <x:v>32</x:v>
      </x:c>
      <x:c r="F9" s="3" t="s">
        <x:v>23</x:v>
      </x:c>
    </x:row>
    <x:row r="10" ht="14.25" customHeight="1">
      <x:c r="A10" s="4" t="s">
        <x:v>33</x:v>
      </x:c>
      <x:c r="B10" s="9">
        <x:v>4</x:v>
      </x:c>
      <x:c r="C10" s="9">
        <x:v>1.2</x:v>
      </x:c>
      <x:c r="D10" s="9">
        <x:v>1</x:v>
      </x:c>
      <x:c r="E10" s="4">
        <x:v>200101</x:v>
      </x:c>
      <x:c r="F10" s="4" t="s">
        <x:v>34</x:v>
      </x:c>
    </x:row>
    <x:row r="12" ht="38" customHeight="1">
      <x:c r="A12" s="3" t="s">
        <x:v>35</x:v>
      </x:c>
      <x:c r="B12" s="3" t="s">
        <x:v>36</x:v>
      </x:c>
      <x:c r="C12" s="3" t="s">
        <x:v>37</x:v>
      </x:c>
      <x:c r="D12" s="3" t="s">
        <x:v>38</x:v>
      </x:c>
      <x:c r="E12" s="3" t="s">
        <x:v>22</x:v>
      </x:c>
      <x:c r="F12" s="3"/>
    </x:row>
    <x:row r="13" ht="14.25" customHeight="1">
      <x:c r="A13" s="4" t="s">
        <x:v>39</x:v>
      </x:c>
      <x:c r="B13" s="9">
        <x:v>1</x:v>
      </x:c>
      <x:c r="C13" s="9">
        <x:v>1</x:v>
      </x:c>
      <x:c r="D13" s="9">
        <x:v>1</x:v>
      </x:c>
      <x:c r="E13" s="4" t="s">
        <x:v>40</x:v>
      </x:c>
      <x:c r="F13" s="4"/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FFD966"/>
  </x:sheetPr>
  <x:sheetViews>
    <x:sheetView showGridLines="0" workbookViewId="0"/>
  </x:sheetViews>
  <x:sheetFormatPr defaultColWidth="9" defaultRowHeight="13.5"/>
  <x:cols>
    <x:col min="1" max="1" width="12" customWidth="1"/>
    <x:col min="2" max="2" width="8" customWidth="1"/>
    <x:col min="3" max="3" width="10" customWidth="1"/>
    <x:col min="4" max="4" width="12" customWidth="1"/>
    <x:col min="5" max="7" width="11" customWidth="1"/>
    <x:col min="8" max="11" width="16" customWidth="1"/>
    <x:col min="12" max="12" width="44" customWidth="1"/>
    <x:col min="13" max="13" width="14" customWidth="1"/>
    <x:col min="14" max="15" width="12" customWidth="1"/>
    <x:col min="16" max="16" width="46" customWidth="1"/>
  </x:cols>
  <x:sheetData>
    <x:row r="1" ht="30" customHeight="1">
      <x:c r="A1" s="1" t="s">
        <x:v>41</x:v>
      </x:c>
    </x:row>
    <x:row r="2" ht="32" customHeight="1">
      <x:c r="A2" s="2" t="str">
        <x:v>等级改“难度节点”C列黄格；D列自动插值，E～G倍率仍可微调。</x:v>
      </x:c>
    </x:row>
    <x:row r="4" ht="38" customHeight="1">
      <x:c r="A4" s="3" t="s">
        <x:v>42</x:v>
      </x:c>
      <x:c r="B4" s="3" t="s">
        <x:v>43</x:v>
      </x:c>
      <x:c r="C4" s="3" t="s">
        <x:v>44</x:v>
      </x:c>
      <x:c r="D4" s="3" t="s">
        <x:v>45</x:v>
      </x:c>
      <x:c r="E4" s="3" t="s">
        <x:v>46</x:v>
      </x:c>
      <x:c r="F4" s="3" t="s">
        <x:v>47</x:v>
      </x:c>
      <x:c r="G4" s="3" t="s">
        <x:v>48</x:v>
      </x:c>
      <x:c r="H4" s="3" t="s">
        <x:v>49</x:v>
      </x:c>
      <x:c r="I4" s="3" t="s">
        <x:v>50</x:v>
      </x:c>
      <x:c r="J4" s="3" t="s">
        <x:v>51</x:v>
      </x:c>
      <x:c r="K4" s="3" t="s">
        <x:v>52</x:v>
      </x:c>
      <x:c r="L4" s="3" t="s">
        <x:v>53</x:v>
      </x:c>
      <x:c r="M4" s="3" t="s">
        <x:v>54</x:v>
      </x:c>
      <x:c r="N4" s="3" t="s">
        <x:v>55</x:v>
      </x:c>
      <x:c r="O4" s="3" t="s">
        <x:v>56</x:v>
      </x:c>
      <x:c r="P4" s="3" t="s">
        <x:v>57</x:v>
      </x:c>
    </x:row>
    <x:row r="5" ht="14.25" customHeight="1">
      <x:c r="A5" s="4" t="s">
        <x:v>58</x:v>
      </x:c>
      <x:c r="B5" s="4">
        <x:v>1</x:v>
      </x:c>
      <x:c r="C5" s="4">
        <x:v>1</x:v>
      </x:c>
      <x:c r="D5" s="37" t="n">
        <x:f>ROUND('难度节点'!$C$2+($B5-'难度节点'!$A$2)*('难度节点'!$C$3-'难度节点'!$C$2)/('难度节点'!$A$3-'难度节点'!$A$2),0)</x:f>
        <x:v>15</x:v>
      </x:c>
      <x:c r="E5" s="17" t="n">
        <x:v>1.0411518791011973</x:v>
      </x:c>
      <x:c r="F5" s="17" t="n">
        <x:v>0.8787994647294972</x:v>
      </x:c>
      <x:c r="G5" s="17">
        <x:v>1</x:v>
      </x:c>
      <x:c r="H5" s="8" t="n">
        <x:v>300001</x:v>
      </x:c>
      <x:c r="I5" s="8"/>
      <x:c r="J5" s="8"/>
      <x:c r="K5" s="8"/>
      <x:c r="L5" s="8" t="str">
        <x:v>300001</x:v>
      </x:c>
      <x:c r="M5" s="4" t="n">
        <x:f>COUNTIF('TeamHero生成'!$J$5:$J$504,$C5)</x:f>
        <x:v>5</x:v>
      </x:c>
      <x:c r="N5" s="4" t="str">
        <x:f t="shared" ref="N5:N68" si="0">IF(AND(ISNUMBER($D5),$D5&gt;=1,$D5&lt;=500,MOD($D5,1)=0),"有效","无效")</x:f>
        <x:v>有效</x:v>
      </x:c>
      <x:c r="O5" s="4" t="str"/>
      <x:c r="P5" s="4" t="str">
        <x:v>统一标准模型；只列TowerEnemyFormation未停用的包体1 ID，包体2～4停用引用已清空</x:v>
      </x:c>
    </x:row>
    <x:row r="6" ht="14.25" customHeight="1">
      <x:c r="A6" s="4" t="s">
        <x:v>58</x:v>
      </x:c>
      <x:c r="B6" s="4">
        <x:v>2</x:v>
      </x:c>
      <x:c r="C6" s="4">
        <x:v>2</x:v>
      </x:c>
      <x:c r="D6" s="37" t="n">
        <x:f>ROUND('难度节点'!$C$2+($B6-'难度节点'!$A$2)*('难度节点'!$C$3-'难度节点'!$C$2)/('难度节点'!$A$3-'难度节点'!$A$2),0)</x:f>
        <x:v>18</x:v>
      </x:c>
      <x:c r="E6" s="17" t="n">
        <x:v>1.0663889171112544</x:v>
      </x:c>
      <x:c r="F6" s="17" t="n">
        <x:v>0.881697307575066</x:v>
      </x:c>
      <x:c r="G6" s="17">
        <x:v>1</x:v>
      </x:c>
      <x:c r="H6" s="8" t="n">
        <x:v>300002</x:v>
      </x:c>
      <x:c r="I6" s="8"/>
      <x:c r="J6" s="8"/>
      <x:c r="K6" s="8"/>
      <x:c r="L6" s="8" t="str">
        <x:v>300002</x:v>
      </x:c>
      <x:c r="M6" s="4" t="n">
        <x:f>COUNTIF('TeamHero生成'!$J$5:$J$504,$C6)</x:f>
        <x:v>5</x:v>
      </x:c>
      <x:c r="N6" s="4" t="str">
        <x:f t="shared" si="0">IF(AND(ISNUMBER($D6),$D6&gt;=1,$D6&lt;=500,MOD($D6,1)=0),"有效","无效")</x:f>
        <x:v>有效</x:v>
      </x:c>
      <x:c r="O6" s="4" t="str">
        <x:f t="shared" ref="O6:O69" si="1">IF($D6&lt;$D5,"下降","")</x:f>
      </x:c>
      <x:c r="P6" s="4" t="str">
        <x:v>统一标准模型；只列TowerEnemyFormation未停用的包体1 ID，包体2～4停用引用已清空</x:v>
      </x:c>
    </x:row>
    <x:row r="7" ht="14.25" customHeight="1">
      <x:c r="A7" s="4" t="s">
        <x:v>58</x:v>
      </x:c>
      <x:c r="B7" s="4">
        <x:v>3</x:v>
      </x:c>
      <x:c r="C7" s="4">
        <x:v>3</x:v>
      </x:c>
      <x:c r="D7" s="37" t="n">
        <x:f>ROUND('难度节点'!$C$2+($B7-'难度节点'!$A$2)*('难度节点'!$C$3-'难度节点'!$C$2)/('难度节点'!$A$3-'难度节点'!$A$2),0)</x:f>
        <x:v>22</x:v>
      </x:c>
      <x:c r="E7" s="17" t="n">
        <x:v>1.0598272441572107</x:v>
      </x:c>
      <x:c r="F7" s="17" t="n">
        <x:v>0.8652500344048418</x:v>
      </x:c>
      <x:c r="G7" s="17">
        <x:v>1</x:v>
      </x:c>
      <x:c r="H7" s="8" t="n">
        <x:v>300003</x:v>
      </x:c>
      <x:c r="I7" s="8"/>
      <x:c r="J7" s="8"/>
      <x:c r="K7" s="8"/>
      <x:c r="L7" s="8" t="str">
        <x:v>300003</x:v>
      </x:c>
      <x:c r="M7" s="4" t="n">
        <x:f>COUNTIF('TeamHero生成'!$J$5:$J$504,$C7)</x:f>
        <x:v>5</x:v>
      </x:c>
      <x:c r="N7" s="4" t="str">
        <x:f t="shared" si="0">IF(AND(ISNUMBER($D7),$D7&gt;=1,$D7&lt;=500,MOD($D7,1)=0),"有效","无效")</x:f>
        <x:v>有效</x:v>
      </x:c>
      <x:c r="O7" s="4" t="str">
        <x:f t="shared" si="1">IF($D7&lt;$D6,"下降","")</x:f>
      </x:c>
      <x:c r="P7" s="4" t="str">
        <x:v>统一标准模型；只列TowerEnemyFormation未停用的包体1 ID，包体2～4停用引用已清空</x:v>
      </x:c>
    </x:row>
    <x:row r="8" ht="14.25" customHeight="1">
      <x:c r="A8" s="4" t="s">
        <x:v>58</x:v>
      </x:c>
      <x:c r="B8" s="4">
        <x:v>4</x:v>
      </x:c>
      <x:c r="C8" s="4">
        <x:v>4</x:v>
      </x:c>
      <x:c r="D8" s="37" t="n">
        <x:f>ROUND('难度节点'!$C$2+($B8-'难度节点'!$A$2)*('难度节点'!$C$3-'难度节点'!$C$2)/('难度节点'!$A$3-'难度节点'!$A$2),0)</x:f>
        <x:v>25</x:v>
      </x:c>
      <x:c r="E8" s="17" t="n">
        <x:v>1.0901499586871901</x:v>
      </x:c>
      <x:c r="F8" s="17" t="n">
        <x:v>0.8674959313306901</x:v>
      </x:c>
      <x:c r="G8" s="17">
        <x:v>1</x:v>
      </x:c>
      <x:c r="H8" s="8" t="n">
        <x:v>300004</x:v>
      </x:c>
      <x:c r="I8" s="8"/>
      <x:c r="J8" s="8"/>
      <x:c r="K8" s="8"/>
      <x:c r="L8" s="8" t="str">
        <x:v>300004</x:v>
      </x:c>
      <x:c r="M8" s="4" t="n">
        <x:f>COUNTIF('TeamHero生成'!$J$5:$J$504,$C8)</x:f>
        <x:v>5</x:v>
      </x:c>
      <x:c r="N8" s="4" t="str">
        <x:f t="shared" si="0">IF(AND(ISNUMBER($D8),$D8&gt;=1,$D8&lt;=500,MOD($D8,1)=0),"有效","无效")</x:f>
        <x:v>有效</x:v>
      </x:c>
      <x:c r="O8" s="4" t="str">
        <x:f t="shared" si="1">IF($D8&lt;$D7,"下降","")</x:f>
      </x:c>
      <x:c r="P8" s="4" t="str">
        <x:v>统一标准模型；只列TowerEnemyFormation未停用的包体1 ID，包体2～4停用引用已清空</x:v>
      </x:c>
    </x:row>
    <x:row r="9" ht="14.25" customHeight="1">
      <x:c r="A9" s="4" t="s">
        <x:v>58</x:v>
      </x:c>
      <x:c r="B9" s="4">
        <x:v>5</x:v>
      </x:c>
      <x:c r="C9" s="4">
        <x:v>5</x:v>
      </x:c>
      <x:c r="D9" s="37" t="n">
        <x:f>ROUND('难度节点'!$C$2+($B9-'难度节点'!$A$2)*('难度节点'!$C$3-'难度节点'!$C$2)/('难度节点'!$A$3-'难度节点'!$A$2),0)</x:f>
        <x:v>28</x:v>
      </x:c>
      <x:c r="E9" s="17" t="n">
        <x:v>1.0715188407586125</x:v>
      </x:c>
      <x:c r="F9" s="17" t="n">
        <x:v>0.8474135761275439</x:v>
      </x:c>
      <x:c r="G9" s="17">
        <x:v>1</x:v>
      </x:c>
      <x:c r="H9" s="8" t="n">
        <x:v>300005</x:v>
      </x:c>
      <x:c r="I9" s="8"/>
      <x:c r="J9" s="8"/>
      <x:c r="K9" s="8"/>
      <x:c r="L9" s="8" t="str">
        <x:v>300005</x:v>
      </x:c>
      <x:c r="M9" s="4" t="n">
        <x:f>COUNTIF('TeamHero生成'!$J$5:$J$504,$C9)</x:f>
        <x:v>5</x:v>
      </x:c>
      <x:c r="N9" s="4" t="str">
        <x:f t="shared" si="0">IF(AND(ISNUMBER($D9),$D9&gt;=1,$D9&lt;=500,MOD($D9,1)=0),"有效","无效")</x:f>
        <x:v>有效</x:v>
      </x:c>
      <x:c r="O9" s="4" t="str">
        <x:f t="shared" si="1">IF($D9&lt;$D8,"下降","")</x:f>
      </x:c>
      <x:c r="P9" s="4" t="str">
        <x:v>统一标准模型；只列TowerEnemyFormation未停用的包体1 ID，包体2～4停用引用已清空</x:v>
      </x:c>
    </x:row>
    <x:row r="10" ht="14.25" customHeight="1">
      <x:c r="A10" s="4" t="s">
        <x:v>58</x:v>
      </x:c>
      <x:c r="B10" s="4">
        <x:v>6</x:v>
      </x:c>
      <x:c r="C10" s="4">
        <x:v>6</x:v>
      </x:c>
      <x:c r="D10" s="37" t="n">
        <x:f>ROUND('难度节点'!$C$2+($B10-'难度节点'!$A$2)*('难度节点'!$C$3-'难度节点'!$C$2)/('难度节点'!$A$3-'难度节点'!$A$2),0)</x:f>
        <x:v>32</x:v>
      </x:c>
      <x:c r="E10" s="17" t="n">
        <x:v>1.0928101757529394</x:v>
      </x:c>
      <x:c r="F10" s="17" t="n">
        <x:v>0.835587298989708</x:v>
      </x:c>
      <x:c r="G10" s="17">
        <x:v>1</x:v>
      </x:c>
      <x:c r="H10" s="8" t="n">
        <x:v>300006</x:v>
      </x:c>
      <x:c r="I10" s="8"/>
      <x:c r="J10" s="8"/>
      <x:c r="K10" s="8"/>
      <x:c r="L10" s="8" t="str">
        <x:v>300006</x:v>
      </x:c>
      <x:c r="M10" s="4" t="n">
        <x:f>COUNTIF('TeamHero生成'!$J$5:$J$504,$C10)</x:f>
        <x:v>5</x:v>
      </x:c>
      <x:c r="N10" s="4" t="str">
        <x:f t="shared" si="0">IF(AND(ISNUMBER($D10),$D10&gt;=1,$D10&lt;=500,MOD($D10,1)=0),"有效","无效")</x:f>
        <x:v>有效</x:v>
      </x:c>
      <x:c r="O10" s="4" t="str">
        <x:f t="shared" si="1">IF($D10&lt;$D9,"下降","")</x:f>
      </x:c>
      <x:c r="P10" s="4" t="str">
        <x:v>统一标准模型；只列TowerEnemyFormation未停用的包体1 ID，包体2～4停用引用已清空</x:v>
      </x:c>
    </x:row>
    <x:row r="11" ht="14.25" customHeight="1">
      <x:c r="A11" s="4" t="s">
        <x:v>58</x:v>
      </x:c>
      <x:c r="B11" s="4">
        <x:v>7</x:v>
      </x:c>
      <x:c r="C11" s="4">
        <x:v>7</x:v>
      </x:c>
      <x:c r="D11" s="37" t="n">
        <x:f>ROUND('难度节点'!$C$2+($B11-'难度节点'!$A$2)*('难度节点'!$C$3-'难度节点'!$C$2)/('难度节点'!$A$3-'难度节点'!$A$2),0)</x:f>
        <x:v>35</x:v>
      </x:c>
      <x:c r="E11" s="17" t="n">
        <x:v>1.1036710258891091</x:v>
      </x:c>
      <x:c r="F11" s="17" t="n">
        <x:v>0.8219892307328823</x:v>
      </x:c>
      <x:c r="G11" s="17">
        <x:v>1</x:v>
      </x:c>
      <x:c r="H11" s="8" t="n">
        <x:v>300007</x:v>
      </x:c>
      <x:c r="I11" s="8"/>
      <x:c r="J11" s="8"/>
      <x:c r="K11" s="8"/>
      <x:c r="L11" s="8" t="str">
        <x:v>300007</x:v>
      </x:c>
      <x:c r="M11" s="4" t="n">
        <x:f>COUNTIF('TeamHero生成'!$J$5:$J$504,$C11)</x:f>
        <x:v>5</x:v>
      </x:c>
      <x:c r="N11" s="4" t="str">
        <x:f t="shared" si="0">IF(AND(ISNUMBER($D11),$D11&gt;=1,$D11&lt;=500,MOD($D11,1)=0),"有效","无效")</x:f>
        <x:v>有效</x:v>
      </x:c>
      <x:c r="O11" s="4" t="str">
        <x:f t="shared" si="1">IF($D11&lt;$D10,"下降","")</x:f>
      </x:c>
      <x:c r="P11" s="4" t="str">
        <x:v>统一标准模型；只列TowerEnemyFormation未停用的包体1 ID，包体2～4停用引用已清空</x:v>
      </x:c>
    </x:row>
    <x:row r="12" ht="14.25" customHeight="1">
      <x:c r="A12" s="4" t="s">
        <x:v>58</x:v>
      </x:c>
      <x:c r="B12" s="4">
        <x:v>8</x:v>
      </x:c>
      <x:c r="C12" s="4">
        <x:v>8</x:v>
      </x:c>
      <x:c r="D12" s="37" t="n">
        <x:f>ROUND('难度节点'!$C$2+($B12-'难度节点'!$A$2)*('难度节点'!$C$3-'难度节点'!$C$2)/('难度节点'!$A$3-'难度节点'!$A$2),0)</x:f>
        <x:v>38</x:v>
      </x:c>
      <x:c r="E12" s="17" t="n">
        <x:v>1.0863731474625475</x:v>
      </x:c>
      <x:c r="F12" s="17" t="n">
        <x:v>0.7936705867295538</x:v>
      </x:c>
      <x:c r="G12" s="17">
        <x:v>1</x:v>
      </x:c>
      <x:c r="H12" s="8" t="n">
        <x:v>300008</x:v>
      </x:c>
      <x:c r="I12" s="8"/>
      <x:c r="J12" s="8"/>
      <x:c r="K12" s="8"/>
      <x:c r="L12" s="8" t="str">
        <x:v>300008</x:v>
      </x:c>
      <x:c r="M12" s="4" t="n">
        <x:f>COUNTIF('TeamHero生成'!$J$5:$J$504,$C12)</x:f>
        <x:v>5</x:v>
      </x:c>
      <x:c r="N12" s="4" t="str">
        <x:f t="shared" si="0">IF(AND(ISNUMBER($D12),$D12&gt;=1,$D12&lt;=500,MOD($D12,1)=0),"有效","无效")</x:f>
        <x:v>有效</x:v>
      </x:c>
      <x:c r="O12" s="4" t="str">
        <x:f t="shared" si="1">IF($D12&lt;$D11,"下降","")</x:f>
      </x:c>
      <x:c r="P12" s="4" t="str">
        <x:v>统一标准模型；只列TowerEnemyFormation未停用的包体1 ID，包体2～4停用引用已清空</x:v>
      </x:c>
    </x:row>
    <x:row r="13" ht="14.25" customHeight="1">
      <x:c r="A13" s="4" t="s">
        <x:v>58</x:v>
      </x:c>
      <x:c r="B13" s="4">
        <x:v>9</x:v>
      </x:c>
      <x:c r="C13" s="4">
        <x:v>9</x:v>
      </x:c>
      <x:c r="D13" s="37" t="n">
        <x:f>ROUND('难度节点'!$C$2+($B13-'难度节点'!$A$2)*('难度节点'!$C$3-'难度节点'!$C$2)/('难度节点'!$A$3-'难度节点'!$A$2),0)</x:f>
        <x:v>42</x:v>
      </x:c>
      <x:c r="E13" s="17" t="n">
        <x:v>1.1075471149797613</x:v>
      </x:c>
      <x:c r="F13" s="17" t="n">
        <x:v>0.7879483771432754</x:v>
      </x:c>
      <x:c r="G13" s="17">
        <x:v>1</x:v>
      </x:c>
      <x:c r="H13" s="8" t="n">
        <x:v>300009</x:v>
      </x:c>
      <x:c r="I13" s="8"/>
      <x:c r="J13" s="8"/>
      <x:c r="K13" s="8"/>
      <x:c r="L13" s="8" t="str">
        <x:v>300009</x:v>
      </x:c>
      <x:c r="M13" s="4" t="n">
        <x:f>COUNTIF('TeamHero生成'!$J$5:$J$504,$C13)</x:f>
        <x:v>5</x:v>
      </x:c>
      <x:c r="N13" s="4" t="str">
        <x:f t="shared" si="0">IF(AND(ISNUMBER($D13),$D13&gt;=1,$D13&lt;=500,MOD($D13,1)=0),"有效","无效")</x:f>
        <x:v>有效</x:v>
      </x:c>
      <x:c r="O13" s="4" t="str">
        <x:f t="shared" si="1">IF($D13&lt;$D12,"下降","")</x:f>
      </x:c>
      <x:c r="P13" s="4" t="str">
        <x:v>统一标准模型；只列TowerEnemyFormation未停用的包体1 ID，包体2～4停用引用已清空</x:v>
      </x:c>
    </x:row>
    <x:row r="14" ht="14.25" customHeight="1">
      <x:c r="A14" s="4" t="s">
        <x:v>58</x:v>
      </x:c>
      <x:c r="B14" s="4">
        <x:v>10</x:v>
      </x:c>
      <x:c r="C14" s="4">
        <x:v>10</x:v>
      </x:c>
      <x:c r="D14" s="37" t="n">
        <x:f>ROUND('难度节点'!$C$2+($B14-'难度节点'!$A$2)*('难度节点'!$C$3-'难度节点'!$C$2)/('难度节点'!$A$3-'难度节点'!$A$2),0)</x:f>
        <x:v>45</x:v>
      </x:c>
      <x:c r="E14" s="17" t="n">
        <x:v>1.1319268358479748</x:v>
      </x:c>
      <x:c r="F14" s="17" t="n">
        <x:v>0.7850118757981474</x:v>
      </x:c>
      <x:c r="G14" s="17">
        <x:v>1</x:v>
      </x:c>
      <x:c r="H14" s="8" t="n">
        <x:v>300011</x:v>
      </x:c>
      <x:c r="I14" s="8"/>
      <x:c r="J14" s="8"/>
      <x:c r="K14" s="8"/>
      <x:c r="L14" s="8" t="str">
        <x:v>300011</x:v>
      </x:c>
      <x:c r="M14" s="4" t="n">
        <x:f>COUNTIF('TeamHero生成'!$J$5:$J$504,$C14)</x:f>
        <x:v>5</x:v>
      </x:c>
      <x:c r="N14" s="4" t="str">
        <x:f t="shared" si="0">IF(AND(ISNUMBER($D14),$D14&gt;=1,$D14&lt;=500,MOD($D14,1)=0),"有效","无效")</x:f>
        <x:v>有效</x:v>
      </x:c>
      <x:c r="O14" s="4" t="str">
        <x:f t="shared" si="1">IF($D14&lt;$D13,"下降","")</x:f>
      </x:c>
      <x:c r="P14" s="4" t="str">
        <x:v>统一标准模型；只列TowerEnemyFormation未停用的包体1 ID，包体2～4停用引用已清空</x:v>
      </x:c>
    </x:row>
    <x:row r="15" ht="14.25" customHeight="1">
      <x:c r="A15" s="4" t="s">
        <x:v>58</x:v>
      </x:c>
      <x:c r="B15" s="4">
        <x:v>11</x:v>
      </x:c>
      <x:c r="C15" s="4">
        <x:v>11</x:v>
      </x:c>
      <x:c r="D15" s="37" t="n">
        <x:f>ROUND('难度节点'!$C$3+($B15-'难度节点'!$A$3)*('难度节点'!$C$4-'难度节点'!$C$3)/('难度节点'!$A$4-'难度节点'!$A$3),0)</x:f>
        <x:v>49</x:v>
      </x:c>
      <x:c r="E15" s="17" t="n">
        <x:v>1.1302695674070624</x:v>
      </x:c>
      <x:c r="F15" s="17" t="n">
        <x:v>0.7736222233010391</x:v>
      </x:c>
      <x:c r="G15" s="17">
        <x:v>1</x:v>
      </x:c>
      <x:c r="H15" s="8" t="n">
        <x:v>300012</x:v>
      </x:c>
      <x:c r="I15" s="8"/>
      <x:c r="J15" s="8"/>
      <x:c r="K15" s="8"/>
      <x:c r="L15" s="8" t="str">
        <x:v>300012</x:v>
      </x:c>
      <x:c r="M15" s="4" t="n">
        <x:f>COUNTIF('TeamHero生成'!$J$5:$J$504,$C15)</x:f>
        <x:v>5</x:v>
      </x:c>
      <x:c r="N15" s="4" t="str">
        <x:f t="shared" si="0">IF(AND(ISNUMBER($D15),$D15&gt;=1,$D15&lt;=500,MOD($D15,1)=0),"有效","无效")</x:f>
        <x:v>有效</x:v>
      </x:c>
      <x:c r="O15" s="4" t="str">
        <x:f t="shared" si="1">IF($D15&lt;$D14,"下降","")</x:f>
      </x:c>
      <x:c r="P15" s="4" t="str">
        <x:v>统一标准模型；只列TowerEnemyFormation未停用的包体1 ID，包体2～4停用引用已清空</x:v>
      </x:c>
    </x:row>
    <x:row r="16" ht="14.25" customHeight="1">
      <x:c r="A16" s="4" t="s">
        <x:v>58</x:v>
      </x:c>
      <x:c r="B16" s="4">
        <x:v>12</x:v>
      </x:c>
      <x:c r="C16" s="4">
        <x:v>12</x:v>
      </x:c>
      <x:c r="D16" s="37" t="n">
        <x:f>ROUND('难度节点'!$C$3+($B16-'难度节点'!$A$3)*('难度节点'!$C$4-'难度节点'!$C$3)/('难度节点'!$A$4-'难度节点'!$A$3),0)</x:f>
        <x:v>52</x:v>
      </x:c>
      <x:c r="E16" s="17" t="n">
        <x:v>1.131963747096483</x:v>
      </x:c>
      <x:c r="F16" s="17" t="n">
        <x:v>0.7617184547319715</x:v>
      </x:c>
      <x:c r="G16" s="17">
        <x:v>1</x:v>
      </x:c>
      <x:c r="H16" s="8" t="n">
        <x:v>300013</x:v>
      </x:c>
      <x:c r="I16" s="8"/>
      <x:c r="J16" s="8"/>
      <x:c r="K16" s="8"/>
      <x:c r="L16" s="8" t="str">
        <x:v>300013</x:v>
      </x:c>
      <x:c r="M16" s="4" t="n">
        <x:f>COUNTIF('TeamHero生成'!$J$5:$J$504,$C16)</x:f>
        <x:v>5</x:v>
      </x:c>
      <x:c r="N16" s="4" t="str">
        <x:f t="shared" si="0">IF(AND(ISNUMBER($D16),$D16&gt;=1,$D16&lt;=500,MOD($D16,1)=0),"有效","无效")</x:f>
        <x:v>有效</x:v>
      </x:c>
      <x:c r="O16" s="4" t="str">
        <x:f t="shared" si="1">IF($D16&lt;$D15,"下降","")</x:f>
      </x:c>
      <x:c r="P16" s="4" t="str">
        <x:v>统一标准模型；只列TowerEnemyFormation未停用的包体1 ID，包体2～4停用引用已清空</x:v>
      </x:c>
    </x:row>
    <x:row r="17" ht="14.25" customHeight="1">
      <x:c r="A17" s="4" t="s">
        <x:v>58</x:v>
      </x:c>
      <x:c r="B17" s="4">
        <x:v>13</x:v>
      </x:c>
      <x:c r="C17" s="4">
        <x:v>13</x:v>
      </x:c>
      <x:c r="D17" s="37" t="n">
        <x:f>ROUND('难度节点'!$C$3+($B17-'难度节点'!$A$3)*('难度节点'!$C$4-'难度节点'!$C$3)/('难度节点'!$A$4-'难度节点'!$A$3),0)</x:f>
        <x:v>56</x:v>
      </x:c>
      <x:c r="E17" s="17" t="n">
        <x:v>1.1237878495797426</x:v>
      </x:c>
      <x:c r="F17" s="17" t="n">
        <x:v>0.7516710013973092</x:v>
      </x:c>
      <x:c r="G17" s="17">
        <x:v>1</x:v>
      </x:c>
      <x:c r="H17" s="8" t="n">
        <x:v>300014</x:v>
      </x:c>
      <x:c r="I17" s="8"/>
      <x:c r="J17" s="8"/>
      <x:c r="K17" s="8"/>
      <x:c r="L17" s="8" t="str">
        <x:v>300014</x:v>
      </x:c>
      <x:c r="M17" s="4" t="n">
        <x:f>COUNTIF('TeamHero生成'!$J$5:$J$504,$C17)</x:f>
        <x:v>5</x:v>
      </x:c>
      <x:c r="N17" s="4" t="str">
        <x:f t="shared" si="0">IF(AND(ISNUMBER($D17),$D17&gt;=1,$D17&lt;=500,MOD($D17,1)=0),"有效","无效")</x:f>
        <x:v>有效</x:v>
      </x:c>
      <x:c r="O17" s="4" t="str">
        <x:f t="shared" si="1">IF($D17&lt;$D16,"下降","")</x:f>
      </x:c>
      <x:c r="P17" s="4" t="str">
        <x:v>统一标准模型；只列TowerEnemyFormation未停用的包体1 ID，包体2～4停用引用已清空</x:v>
      </x:c>
    </x:row>
    <x:row r="18" ht="14.25" customHeight="1">
      <x:c r="A18" s="4" t="s">
        <x:v>58</x:v>
      </x:c>
      <x:c r="B18" s="4">
        <x:v>14</x:v>
      </x:c>
      <x:c r="C18" s="4">
        <x:v>14</x:v>
      </x:c>
      <x:c r="D18" s="37" t="n">
        <x:f>ROUND('难度节点'!$C$3+($B18-'难度节点'!$A$3)*('难度节点'!$C$4-'难度节点'!$C$3)/('难度节点'!$A$4-'难度节点'!$A$3),0)</x:f>
        <x:v>59</x:v>
      </x:c>
      <x:c r="E18" s="17" t="n">
        <x:v>1.1201058307423077</x:v>
      </x:c>
      <x:c r="F18" s="17" t="n">
        <x:v>0.7389907529287635</x:v>
      </x:c>
      <x:c r="G18" s="17">
        <x:v>1</x:v>
      </x:c>
      <x:c r="H18" s="8" t="n">
        <x:v>300015</x:v>
      </x:c>
      <x:c r="I18" s="8"/>
      <x:c r="J18" s="8"/>
      <x:c r="K18" s="8"/>
      <x:c r="L18" s="8" t="str">
        <x:v>300015</x:v>
      </x:c>
      <x:c r="M18" s="4" t="n">
        <x:f>COUNTIF('TeamHero生成'!$J$5:$J$504,$C18)</x:f>
        <x:v>5</x:v>
      </x:c>
      <x:c r="N18" s="4" t="str">
        <x:f t="shared" si="0">IF(AND(ISNUMBER($D18),$D18&gt;=1,$D18&lt;=500,MOD($D18,1)=0),"有效","无效")</x:f>
        <x:v>有效</x:v>
      </x:c>
      <x:c r="O18" s="4" t="str">
        <x:f t="shared" si="1">IF($D18&lt;$D17,"下降","")</x:f>
      </x:c>
      <x:c r="P18" s="4" t="str">
        <x:v>统一标准模型；只列TowerEnemyFormation未停用的包体1 ID，包体2～4停用引用已清空</x:v>
      </x:c>
    </x:row>
    <x:row r="19" ht="14.25" customHeight="1">
      <x:c r="A19" s="4" t="s">
        <x:v>58</x:v>
      </x:c>
      <x:c r="B19" s="4">
        <x:v>15</x:v>
      </x:c>
      <x:c r="C19" s="4">
        <x:v>15</x:v>
      </x:c>
      <x:c r="D19" s="37" t="n">
        <x:f>ROUND('难度节点'!$C$3+($B19-'难度节点'!$A$3)*('难度节点'!$C$4-'难度节点'!$C$3)/('难度节点'!$A$4-'难度节点'!$A$3),0)</x:f>
        <x:v>63</x:v>
      </x:c>
      <x:c r="E19" s="17" t="n">
        <x:v>1.1318191261630695</x:v>
      </x:c>
      <x:c r="F19" s="17" t="n">
        <x:v>0.7372448330371939</x:v>
      </x:c>
      <x:c r="G19" s="17">
        <x:v>1</x:v>
      </x:c>
      <x:c r="H19" s="8" t="n">
        <x:v>300016</x:v>
      </x:c>
      <x:c r="I19" s="8"/>
      <x:c r="J19" s="8"/>
      <x:c r="K19" s="8"/>
      <x:c r="L19" s="8" t="str">
        <x:v>300016</x:v>
      </x:c>
      <x:c r="M19" s="4" t="n">
        <x:f>COUNTIF('TeamHero生成'!$J$5:$J$504,$C19)</x:f>
        <x:v>5</x:v>
      </x:c>
      <x:c r="N19" s="4" t="str">
        <x:f t="shared" si="0">IF(AND(ISNUMBER($D19),$D19&gt;=1,$D19&lt;=500,MOD($D19,1)=0),"有效","无效")</x:f>
        <x:v>有效</x:v>
      </x:c>
      <x:c r="O19" s="4" t="str">
        <x:f t="shared" si="1">IF($D19&lt;$D18,"下降","")</x:f>
      </x:c>
      <x:c r="P19" s="4" t="str">
        <x:v>统一标准模型；只列TowerEnemyFormation未停用的包体1 ID，包体2～4停用引用已清空</x:v>
      </x:c>
    </x:row>
    <x:row r="20" ht="14.25" customHeight="1">
      <x:c r="A20" s="4" t="s">
        <x:v>58</x:v>
      </x:c>
      <x:c r="B20" s="4">
        <x:v>16</x:v>
      </x:c>
      <x:c r="C20" s="4">
        <x:v>16</x:v>
      </x:c>
      <x:c r="D20" s="37" t="n">
        <x:f>ROUND('难度节点'!$C$3+($B20-'难度节点'!$A$3)*('难度节点'!$C$4-'难度节点'!$C$3)/('难度节点'!$A$4-'难度节点'!$A$3),0)</x:f>
        <x:v>66</x:v>
      </x:c>
      <x:c r="E20" s="17" t="n">
        <x:v>1.1458168739611851</x:v>
      </x:c>
      <x:c r="F20" s="17" t="n">
        <x:v>0.734314126639064</x:v>
      </x:c>
      <x:c r="G20" s="17">
        <x:v>1</x:v>
      </x:c>
      <x:c r="H20" s="8" t="n">
        <x:v>300017</x:v>
      </x:c>
      <x:c r="I20" s="8"/>
      <x:c r="J20" s="8"/>
      <x:c r="K20" s="8"/>
      <x:c r="L20" s="8" t="str">
        <x:v>300017</x:v>
      </x:c>
      <x:c r="M20" s="4" t="n">
        <x:f>COUNTIF('TeamHero生成'!$J$5:$J$504,$C20)</x:f>
        <x:v>5</x:v>
      </x:c>
      <x:c r="N20" s="4" t="str">
        <x:f t="shared" si="0">IF(AND(ISNUMBER($D20),$D20&gt;=1,$D20&lt;=500,MOD($D20,1)=0),"有效","无效")</x:f>
        <x:v>有效</x:v>
      </x:c>
      <x:c r="O20" s="4" t="str">
        <x:f t="shared" si="1">IF($D20&lt;$D19,"下降","")</x:f>
      </x:c>
      <x:c r="P20" s="4" t="str">
        <x:v>统一标准模型；只列TowerEnemyFormation未停用的包体1 ID，包体2～4停用引用已清空</x:v>
      </x:c>
    </x:row>
    <x:row r="21" ht="14.25" customHeight="1">
      <x:c r="A21" s="4" t="s">
        <x:v>58</x:v>
      </x:c>
      <x:c r="B21" s="4">
        <x:v>17</x:v>
      </x:c>
      <x:c r="C21" s="4">
        <x:v>17</x:v>
      </x:c>
      <x:c r="D21" s="37" t="n">
        <x:f>ROUND('难度节点'!$C$3+($B21-'难度节点'!$A$3)*('难度节点'!$C$4-'难度节点'!$C$3)/('难度节点'!$A$4-'难度节点'!$A$3),0)</x:f>
        <x:v>70</x:v>
      </x:c>
      <x:c r="E21" s="17" t="n">
        <x:v>1.1336283378590932</x:v>
      </x:c>
      <x:c r="F21" s="17" t="n">
        <x:v>0.7230268431087193</x:v>
      </x:c>
      <x:c r="G21" s="17">
        <x:v>1</x:v>
      </x:c>
      <x:c r="H21" s="8" t="n">
        <x:v>300018</x:v>
      </x:c>
      <x:c r="I21" s="8"/>
      <x:c r="J21" s="8"/>
      <x:c r="K21" s="8"/>
      <x:c r="L21" s="8" t="str">
        <x:v>300018</x:v>
      </x:c>
      <x:c r="M21" s="4" t="n">
        <x:f>COUNTIF('TeamHero生成'!$J$5:$J$504,$C21)</x:f>
        <x:v>5</x:v>
      </x:c>
      <x:c r="N21" s="4" t="str">
        <x:f t="shared" si="0">IF(AND(ISNUMBER($D21),$D21&gt;=1,$D21&lt;=500,MOD($D21,1)=0),"有效","无效")</x:f>
        <x:v>有效</x:v>
      </x:c>
      <x:c r="O21" s="4" t="str">
        <x:f t="shared" si="1">IF($D21&lt;$D20,"下降","")</x:f>
      </x:c>
      <x:c r="P21" s="4" t="str">
        <x:v>统一标准模型；只列TowerEnemyFormation未停用的包体1 ID，包体2～4停用引用已清空</x:v>
      </x:c>
    </x:row>
    <x:row r="22" ht="14.25" customHeight="1">
      <x:c r="A22" s="4" t="s">
        <x:v>58</x:v>
      </x:c>
      <x:c r="B22" s="4">
        <x:v>18</x:v>
      </x:c>
      <x:c r="C22" s="4">
        <x:v>18</x:v>
      </x:c>
      <x:c r="D22" s="37" t="n">
        <x:f>ROUND('难度节点'!$C$3+($B22-'难度节点'!$A$3)*('难度节点'!$C$4-'难度节点'!$C$3)/('难度节点'!$A$4-'难度节点'!$A$3),0)</x:f>
        <x:v>73</x:v>
      </x:c>
      <x:c r="E22" s="17" t="n">
        <x:v>1.150368061399929</x:v>
      </x:c>
      <x:c r="F22" s="17" t="n">
        <x:v>0.7243124125084344</x:v>
      </x:c>
      <x:c r="G22" s="17">
        <x:v>1</x:v>
      </x:c>
      <x:c r="H22" s="8" t="n">
        <x:v>300019</x:v>
      </x:c>
      <x:c r="I22" s="8"/>
      <x:c r="J22" s="8"/>
      <x:c r="K22" s="8"/>
      <x:c r="L22" s="8" t="str">
        <x:v>300019</x:v>
      </x:c>
      <x:c r="M22" s="4" t="n">
        <x:f>COUNTIF('TeamHero生成'!$J$5:$J$504,$C22)</x:f>
        <x:v>5</x:v>
      </x:c>
      <x:c r="N22" s="4" t="str">
        <x:f t="shared" si="0">IF(AND(ISNUMBER($D22),$D22&gt;=1,$D22&lt;=500,MOD($D22,1)=0),"有效","无效")</x:f>
        <x:v>有效</x:v>
      </x:c>
      <x:c r="O22" s="4" t="str">
        <x:f t="shared" si="1">IF($D22&lt;$D21,"下降","")</x:f>
      </x:c>
      <x:c r="P22" s="4" t="str">
        <x:v>统一标准模型；只列TowerEnemyFormation未停用的包体1 ID，包体2～4停用引用已清空</x:v>
      </x:c>
    </x:row>
    <x:row r="23" ht="14.25" customHeight="1">
      <x:c r="A23" s="4" t="s">
        <x:v>58</x:v>
      </x:c>
      <x:c r="B23" s="4">
        <x:v>19</x:v>
      </x:c>
      <x:c r="C23" s="4">
        <x:v>19</x:v>
      </x:c>
      <x:c r="D23" s="37" t="n">
        <x:f>ROUND('难度节点'!$C$3+($B23-'难度节点'!$A$3)*('难度节点'!$C$4-'难度节点'!$C$3)/('难度节点'!$A$4-'难度节点'!$A$3),0)</x:f>
        <x:v>77</x:v>
      </x:c>
      <x:c r="E23" s="17" t="n">
        <x:v>1.1378215373987672</x:v>
      </x:c>
      <x:c r="F23" s="17" t="n">
        <x:v>0.7112034664512266</x:v>
      </x:c>
      <x:c r="G23" s="17">
        <x:v>1</x:v>
      </x:c>
      <x:c r="H23" s="8" t="n">
        <x:v>300020</x:v>
      </x:c>
      <x:c r="I23" s="8"/>
      <x:c r="J23" s="8"/>
      <x:c r="K23" s="8"/>
      <x:c r="L23" s="8" t="str">
        <x:v>300020</x:v>
      </x:c>
      <x:c r="M23" s="4" t="n">
        <x:f>COUNTIF('TeamHero生成'!$J$5:$J$504,$C23)</x:f>
        <x:v>5</x:v>
      </x:c>
      <x:c r="N23" s="4" t="str">
        <x:f t="shared" si="0">IF(AND(ISNUMBER($D23),$D23&gt;=1,$D23&lt;=500,MOD($D23,1)=0),"有效","无效")</x:f>
        <x:v>有效</x:v>
      </x:c>
      <x:c r="O23" s="4" t="str">
        <x:f t="shared" si="1">IF($D23&lt;$D22,"下降","")</x:f>
      </x:c>
      <x:c r="P23" s="4" t="str">
        <x:v>统一标准模型；只列TowerEnemyFormation未停用的包体1 ID，包体2～4停用引用已清空</x:v>
      </x:c>
    </x:row>
    <x:row r="24" ht="14.25" customHeight="1">
      <x:c r="A24" s="4" t="s">
        <x:v>58</x:v>
      </x:c>
      <x:c r="B24" s="4">
        <x:v>20</x:v>
      </x:c>
      <x:c r="C24" s="4">
        <x:v>20</x:v>
      </x:c>
      <x:c r="D24" s="37" t="n">
        <x:f>ROUND('难度节点'!$C$3+($B24-'难度节点'!$A$3)*('难度节点'!$C$4-'难度节点'!$C$3)/('难度节点'!$A$4-'难度节点'!$A$3),0)</x:f>
        <x:v>80</x:v>
      </x:c>
      <x:c r="E24" s="17" t="n">
        <x:v>1.1401953788956354</x:v>
      </x:c>
      <x:c r="F24" s="17" t="n">
        <x:v>0.7093065421045627</x:v>
      </x:c>
      <x:c r="G24" s="17">
        <x:v>1</x:v>
      </x:c>
      <x:c r="H24" s="8" t="n">
        <x:v>300021</x:v>
      </x:c>
      <x:c r="I24" s="8"/>
      <x:c r="J24" s="8"/>
      <x:c r="K24" s="8"/>
      <x:c r="L24" s="8" t="str">
        <x:v>300021</x:v>
      </x:c>
      <x:c r="M24" s="4" t="n">
        <x:f>COUNTIF('TeamHero生成'!$J$5:$J$504,$C24)</x:f>
        <x:v>5</x:v>
      </x:c>
      <x:c r="N24" s="4" t="str">
        <x:f t="shared" si="0">IF(AND(ISNUMBER($D24),$D24&gt;=1,$D24&lt;=500,MOD($D24,1)=0),"有效","无效")</x:f>
        <x:v>有效</x:v>
      </x:c>
      <x:c r="O24" s="4" t="str">
        <x:f t="shared" si="1">IF($D24&lt;$D23,"下降","")</x:f>
      </x:c>
      <x:c r="P24" s="4" t="str">
        <x:v>统一标准模型；只列TowerEnemyFormation未停用的包体1 ID，包体2～4停用引用已清空</x:v>
      </x:c>
    </x:row>
    <x:row r="25" ht="14.25" customHeight="1">
      <x:c r="A25" s="4" t="s">
        <x:v>58</x:v>
      </x:c>
      <x:c r="B25" s="4">
        <x:v>21</x:v>
      </x:c>
      <x:c r="C25" s="4">
        <x:v>21</x:v>
      </x:c>
      <x:c r="D25" s="37" t="n">
        <x:f>ROUND('难度节点'!$C$4+($B25-'难度节点'!$A$4)*('难度节点'!$C$5-'难度节点'!$C$4)/('难度节点'!$A$5-'难度节点'!$A$4),0)</x:f>
        <x:v>84</x:v>
      </x:c>
      <x:c r="E25" s="17" t="n">
        <x:v>1.1560372887829735</x:v>
      </x:c>
      <x:c r="F25" s="17" t="n">
        <x:v>0.7062969227297671</x:v>
      </x:c>
      <x:c r="G25" s="17">
        <x:v>1</x:v>
      </x:c>
      <x:c r="H25" s="8" t="n">
        <x:v>300022</x:v>
      </x:c>
      <x:c r="I25" s="8"/>
      <x:c r="J25" s="8"/>
      <x:c r="K25" s="8"/>
      <x:c r="L25" s="8" t="str">
        <x:v>300022</x:v>
      </x:c>
      <x:c r="M25" s="4" t="n">
        <x:f>COUNTIF('TeamHero生成'!$J$5:$J$504,$C25)</x:f>
        <x:v>5</x:v>
      </x:c>
      <x:c r="N25" s="4" t="str">
        <x:f t="shared" si="0">IF(AND(ISNUMBER($D25),$D25&gt;=1,$D25&lt;=500,MOD($D25,1)=0),"有效","无效")</x:f>
        <x:v>有效</x:v>
      </x:c>
      <x:c r="O25" s="4" t="str">
        <x:f t="shared" si="1">IF($D25&lt;$D24,"下降","")</x:f>
      </x:c>
      <x:c r="P25" s="4" t="str">
        <x:v>统一标准模型；只列TowerEnemyFormation未停用的包体1 ID，包体2～4停用引用已清空</x:v>
      </x:c>
    </x:row>
    <x:row r="26" ht="14.25" customHeight="1">
      <x:c r="A26" s="4" t="s">
        <x:v>58</x:v>
      </x:c>
      <x:c r="B26" s="4">
        <x:v>22</x:v>
      </x:c>
      <x:c r="C26" s="4">
        <x:v>22</x:v>
      </x:c>
      <x:c r="D26" s="37" t="n">
        <x:f>ROUND('难度节点'!$C$4+($B26-'难度节点'!$A$4)*('难度节点'!$C$5-'难度节点'!$C$4)/('难度节点'!$A$5-'难度节点'!$A$4),0)</x:f>
        <x:v>88</x:v>
      </x:c>
      <x:c r="E26" s="17" t="n">
        <x:v>1.1643979107151963</x:v>
      </x:c>
      <x:c r="F26" s="17" t="n">
        <x:v>0.704486371215438</x:v>
      </x:c>
      <x:c r="G26" s="17">
        <x:v>1</x:v>
      </x:c>
      <x:c r="H26" s="8" t="n">
        <x:v>300023</x:v>
      </x:c>
      <x:c r="I26" s="8"/>
      <x:c r="J26" s="8"/>
      <x:c r="K26" s="8"/>
      <x:c r="L26" s="8" t="str">
        <x:v>300023</x:v>
      </x:c>
      <x:c r="M26" s="4" t="n">
        <x:f>COUNTIF('TeamHero生成'!$J$5:$J$504,$C26)</x:f>
        <x:v>5</x:v>
      </x:c>
      <x:c r="N26" s="4" t="str">
        <x:f t="shared" si="0">IF(AND(ISNUMBER($D26),$D26&gt;=1,$D26&lt;=500,MOD($D26,1)=0),"有效","无效")</x:f>
        <x:v>有效</x:v>
      </x:c>
      <x:c r="O26" s="4" t="str">
        <x:f t="shared" si="1">IF($D26&lt;$D25,"下降","")</x:f>
      </x:c>
      <x:c r="P26" s="4" t="str">
        <x:v>统一标准模型；只列TowerEnemyFormation未停用的包体1 ID，包体2～4停用引用已清空</x:v>
      </x:c>
    </x:row>
    <x:row r="27" ht="14.25" customHeight="1">
      <x:c r="A27" s="4" t="s">
        <x:v>58</x:v>
      </x:c>
      <x:c r="B27" s="4">
        <x:v>23</x:v>
      </x:c>
      <x:c r="C27" s="4">
        <x:v>23</x:v>
      </x:c>
      <x:c r="D27" s="37" t="n">
        <x:f>ROUND('难度节点'!$C$4+($B27-'难度节点'!$A$4)*('难度节点'!$C$5-'难度节点'!$C$4)/('难度节点'!$A$5-'难度节点'!$A$4),0)</x:f>
        <x:v>92</x:v>
      </x:c>
      <x:c r="E27" s="17" t="n">
        <x:v>1.1455861640222549</x:v>
      </x:c>
      <x:c r="F27" s="17" t="n">
        <x:v>0.6932729741666585</x:v>
      </x:c>
      <x:c r="G27" s="17">
        <x:v>1</x:v>
      </x:c>
      <x:c r="H27" s="8" t="n">
        <x:v>300024</x:v>
      </x:c>
      <x:c r="I27" s="8"/>
      <x:c r="J27" s="8"/>
      <x:c r="K27" s="8"/>
      <x:c r="L27" s="8" t="str">
        <x:v>300024</x:v>
      </x:c>
      <x:c r="M27" s="4" t="n">
        <x:f>COUNTIF('TeamHero生成'!$J$5:$J$504,$C27)</x:f>
        <x:v>5</x:v>
      </x:c>
      <x:c r="N27" s="4" t="str">
        <x:f t="shared" si="0">IF(AND(ISNUMBER($D27),$D27&gt;=1,$D27&lt;=500,MOD($D27,1)=0),"有效","无效")</x:f>
        <x:v>有效</x:v>
      </x:c>
      <x:c r="O27" s="4" t="str">
        <x:f t="shared" si="1">IF($D27&lt;$D26,"下降","")</x:f>
      </x:c>
      <x:c r="P27" s="4" t="str">
        <x:v>统一标准模型；只列TowerEnemyFormation未停用的包体1 ID，包体2～4停用引用已清空</x:v>
      </x:c>
    </x:row>
    <x:row r="28" ht="14.25" customHeight="1">
      <x:c r="A28" s="4" t="s">
        <x:v>58</x:v>
      </x:c>
      <x:c r="B28" s="4">
        <x:v>24</x:v>
      </x:c>
      <x:c r="C28" s="4">
        <x:v>24</x:v>
      </x:c>
      <x:c r="D28" s="37" t="n">
        <x:f>ROUND('难度节点'!$C$4+($B28-'难度节点'!$A$4)*('难度节点'!$C$5-'难度节点'!$C$4)/('难度节点'!$A$5-'难度节点'!$A$4),0)</x:f>
        <x:v>96</x:v>
      </x:c>
      <x:c r="E28" s="17" t="n">
        <x:v>1.1627277997345378</x:v>
      </x:c>
      <x:c r="F28" s="17" t="n">
        <x:v>0.6927914635292687</x:v>
      </x:c>
      <x:c r="G28" s="17">
        <x:v>1</x:v>
      </x:c>
      <x:c r="H28" s="8" t="n">
        <x:v>300025</x:v>
      </x:c>
      <x:c r="I28" s="8"/>
      <x:c r="J28" s="8"/>
      <x:c r="K28" s="8"/>
      <x:c r="L28" s="8" t="str">
        <x:v>300025</x:v>
      </x:c>
      <x:c r="M28" s="4" t="n">
        <x:f>COUNTIF('TeamHero生成'!$J$5:$J$504,$C28)</x:f>
        <x:v>5</x:v>
      </x:c>
      <x:c r="N28" s="4" t="str">
        <x:f t="shared" si="0">IF(AND(ISNUMBER($D28),$D28&gt;=1,$D28&lt;=500,MOD($D28,1)=0),"有效","无效")</x:f>
        <x:v>有效</x:v>
      </x:c>
      <x:c r="O28" s="4" t="str">
        <x:f t="shared" si="1">IF($D28&lt;$D27,"下降","")</x:f>
      </x:c>
      <x:c r="P28" s="4" t="str">
        <x:v>统一标准模型；只列TowerEnemyFormation未停用的包体1 ID，包体2～4停用引用已清空</x:v>
      </x:c>
    </x:row>
    <x:row r="29" ht="14.25" customHeight="1">
      <x:c r="A29" s="4" t="s">
        <x:v>58</x:v>
      </x:c>
      <x:c r="B29" s="4">
        <x:v>25</x:v>
      </x:c>
      <x:c r="C29" s="4">
        <x:v>25</x:v>
      </x:c>
      <x:c r="D29" s="37" t="n">
        <x:f>ROUND('难度节点'!$C$4+($B29-'难度节点'!$A$4)*('难度节点'!$C$5-'难度节点'!$C$4)/('难度节点'!$A$5-'难度节点'!$A$4),0)</x:f>
        <x:v>100</x:v>
      </x:c>
      <x:c r="E29" s="17" t="n">
        <x:v>1.1496942960104415</x:v>
      </x:c>
      <x:c r="F29" s="17" t="n">
        <x:v>0.6842367951672301</x:v>
      </x:c>
      <x:c r="G29" s="17">
        <x:v>1</x:v>
      </x:c>
      <x:c r="H29" s="8" t="n">
        <x:v>300026</x:v>
      </x:c>
      <x:c r="I29" s="8"/>
      <x:c r="J29" s="8"/>
      <x:c r="K29" s="8"/>
      <x:c r="L29" s="8" t="str">
        <x:v>300026</x:v>
      </x:c>
      <x:c r="M29" s="4" t="n">
        <x:f>COUNTIF('TeamHero生成'!$J$5:$J$504,$C29)</x:f>
        <x:v>5</x:v>
      </x:c>
      <x:c r="N29" s="4" t="str">
        <x:f t="shared" si="0">IF(AND(ISNUMBER($D29),$D29&gt;=1,$D29&lt;=500,MOD($D29,1)=0),"有效","无效")</x:f>
        <x:v>有效</x:v>
      </x:c>
      <x:c r="O29" s="4" t="str">
        <x:f t="shared" si="1">IF($D29&lt;$D28,"下降","")</x:f>
      </x:c>
      <x:c r="P29" s="4" t="str">
        <x:v>统一标准模型；只列TowerEnemyFormation未停用的包体1 ID，包体2～4停用引用已清空</x:v>
      </x:c>
    </x:row>
    <x:row r="30" ht="14.25" customHeight="1">
      <x:c r="A30" s="4" t="s">
        <x:v>58</x:v>
      </x:c>
      <x:c r="B30" s="4">
        <x:v>26</x:v>
      </x:c>
      <x:c r="C30" s="4">
        <x:v>26</x:v>
      </x:c>
      <x:c r="D30" s="37" t="n">
        <x:f>ROUND('难度节点'!$C$4+($B30-'难度节点'!$A$4)*('难度节点'!$C$5-'难度节点'!$C$4)/('难度节点'!$A$5-'难度节点'!$A$4),0)</x:f>
        <x:v>104</x:v>
      </x:c>
      <x:c r="E30" s="17" t="n">
        <x:v>1.1672411666084812</x:v>
      </x:c>
      <x:c r="F30" s="17" t="n">
        <x:v>0.6894177390413162</x:v>
      </x:c>
      <x:c r="G30" s="17">
        <x:v>1</x:v>
      </x:c>
      <x:c r="H30" s="8" t="n">
        <x:v>300027</x:v>
      </x:c>
      <x:c r="I30" s="8"/>
      <x:c r="J30" s="8"/>
      <x:c r="K30" s="8"/>
      <x:c r="L30" s="8" t="str">
        <x:v>300027</x:v>
      </x:c>
      <x:c r="M30" s="4" t="n">
        <x:f>COUNTIF('TeamHero生成'!$J$5:$J$504,$C30)</x:f>
        <x:v>5</x:v>
      </x:c>
      <x:c r="N30" s="4" t="str">
        <x:f t="shared" si="0">IF(AND(ISNUMBER($D30),$D30&gt;=1,$D30&lt;=500,MOD($D30,1)=0),"有效","无效")</x:f>
        <x:v>有效</x:v>
      </x:c>
      <x:c r="O30" s="4" t="str">
        <x:f t="shared" si="1">IF($D30&lt;$D29,"下降","")</x:f>
      </x:c>
      <x:c r="P30" s="4" t="str">
        <x:v>统一标准模型；只列TowerEnemyFormation未停用的包体1 ID，包体2～4停用引用已清空</x:v>
      </x:c>
    </x:row>
    <x:row r="31" ht="14.25" customHeight="1">
      <x:c r="A31" s="4" t="s">
        <x:v>58</x:v>
      </x:c>
      <x:c r="B31" s="4">
        <x:v>27</x:v>
      </x:c>
      <x:c r="C31" s="4">
        <x:v>27</x:v>
      </x:c>
      <x:c r="D31" s="37" t="n">
        <x:f>ROUND('难度节点'!$C$4+($B31-'难度节点'!$A$4)*('难度节点'!$C$5-'难度节点'!$C$4)/('难度节点'!$A$5-'难度节点'!$A$4),0)</x:f>
        <x:v>108</x:v>
      </x:c>
      <x:c r="E31" s="17" t="n">
        <x:v>1.1630314848412462</x:v>
      </x:c>
      <x:c r="F31" s="17" t="n">
        <x:v>0.681464488943416</x:v>
      </x:c>
      <x:c r="G31" s="17">
        <x:v>1</x:v>
      </x:c>
      <x:c r="H31" s="8" t="n">
        <x:v>300028</x:v>
      </x:c>
      <x:c r="I31" s="8"/>
      <x:c r="J31" s="8"/>
      <x:c r="K31" s="8"/>
      <x:c r="L31" s="8" t="str">
        <x:v>300028</x:v>
      </x:c>
      <x:c r="M31" s="4" t="n">
        <x:f>COUNTIF('TeamHero生成'!$J$5:$J$504,$C31)</x:f>
        <x:v>5</x:v>
      </x:c>
      <x:c r="N31" s="4" t="str">
        <x:f t="shared" si="0">IF(AND(ISNUMBER($D31),$D31&gt;=1,$D31&lt;=500,MOD($D31,1)=0),"有效","无效")</x:f>
        <x:v>有效</x:v>
      </x:c>
      <x:c r="O31" s="4" t="str">
        <x:f t="shared" si="1">IF($D31&lt;$D30,"下降","")</x:f>
      </x:c>
      <x:c r="P31" s="4" t="str">
        <x:v>统一标准模型；只列TowerEnemyFormation未停用的包体1 ID，包体2～4停用引用已清空</x:v>
      </x:c>
    </x:row>
    <x:row r="32" ht="14.25" customHeight="1">
      <x:c r="A32" s="4" t="s">
        <x:v>58</x:v>
      </x:c>
      <x:c r="B32" s="4">
        <x:v>28</x:v>
      </x:c>
      <x:c r="C32" s="4">
        <x:v>28</x:v>
      </x:c>
      <x:c r="D32" s="37" t="n">
        <x:f>ROUND('难度节点'!$C$4+($B32-'难度节点'!$A$4)*('难度节点'!$C$5-'难度节点'!$C$4)/('难度节点'!$A$5-'难度节点'!$A$4),0)</x:f>
        <x:v>112</x:v>
      </x:c>
      <x:c r="E32" s="17" t="n">
        <x:v>1.1664008569423787</x:v>
      </x:c>
      <x:c r="F32" s="17" t="n">
        <x:v>0.6805018603323929</x:v>
      </x:c>
      <x:c r="G32" s="17">
        <x:v>1</x:v>
      </x:c>
      <x:c r="H32" s="8" t="n">
        <x:v>300029</x:v>
      </x:c>
      <x:c r="I32" s="8"/>
      <x:c r="J32" s="8"/>
      <x:c r="K32" s="8"/>
      <x:c r="L32" s="8" t="str">
        <x:v>300029</x:v>
      </x:c>
      <x:c r="M32" s="4" t="n">
        <x:f>COUNTIF('TeamHero生成'!$J$5:$J$504,$C32)</x:f>
        <x:v>5</x:v>
      </x:c>
      <x:c r="N32" s="4" t="str">
        <x:f t="shared" si="0">IF(AND(ISNUMBER($D32),$D32&gt;=1,$D32&lt;=500,MOD($D32,1)=0),"有效","无效")</x:f>
        <x:v>有效</x:v>
      </x:c>
      <x:c r="O32" s="4" t="str">
        <x:f t="shared" si="1">IF($D32&lt;$D31,"下降","")</x:f>
      </x:c>
      <x:c r="P32" s="4" t="str">
        <x:v>统一标准模型；只列TowerEnemyFormation未停用的包体1 ID，包体2～4停用引用已清空</x:v>
      </x:c>
    </x:row>
    <x:row r="33" ht="14.25" customHeight="1">
      <x:c r="A33" s="4" t="s">
        <x:v>58</x:v>
      </x:c>
      <x:c r="B33" s="4">
        <x:v>29</x:v>
      </x:c>
      <x:c r="C33" s="4">
        <x:v>29</x:v>
      </x:c>
      <x:c r="D33" s="37" t="n">
        <x:f>ROUND('难度节点'!$C$4+($B33-'难度节点'!$A$4)*('难度节点'!$C$5-'难度节点'!$C$4)/('难度节点'!$A$5-'难度节点'!$A$4),0)</x:f>
        <x:v>116</x:v>
      </x:c>
      <x:c r="E33" s="17" t="n">
        <x:v>1.1628407860417673</x:v>
      </x:c>
      <x:c r="F33" s="17" t="n">
        <x:v>0.6794489184646575</x:v>
      </x:c>
      <x:c r="G33" s="17">
        <x:v>1</x:v>
      </x:c>
      <x:c r="H33" s="8" t="n">
        <x:v>300030</x:v>
      </x:c>
      <x:c r="I33" s="8"/>
      <x:c r="J33" s="8"/>
      <x:c r="K33" s="8"/>
      <x:c r="L33" s="8" t="str">
        <x:v>300030</x:v>
      </x:c>
      <x:c r="M33" s="4" t="n">
        <x:f>COUNTIF('TeamHero生成'!$J$5:$J$504,$C33)</x:f>
        <x:v>5</x:v>
      </x:c>
      <x:c r="N33" s="4" t="str">
        <x:f t="shared" si="0">IF(AND(ISNUMBER($D33),$D33&gt;=1,$D33&lt;=500,MOD($D33,1)=0),"有效","无效")</x:f>
        <x:v>有效</x:v>
      </x:c>
      <x:c r="O33" s="4" t="str">
        <x:f t="shared" si="1">IF($D33&lt;$D32,"下降","")</x:f>
      </x:c>
      <x:c r="P33" s="4" t="str">
        <x:v>统一标准模型；只列TowerEnemyFormation未停用的包体1 ID，包体2～4停用引用已清空</x:v>
      </x:c>
    </x:row>
    <x:row r="34" ht="14.25" customHeight="1">
      <x:c r="A34" s="4" t="s">
        <x:v>58</x:v>
      </x:c>
      <x:c r="B34" s="4">
        <x:v>30</x:v>
      </x:c>
      <x:c r="C34" s="4">
        <x:v>30</x:v>
      </x:c>
      <x:c r="D34" s="37" t="n">
        <x:f>ROUND('难度节点'!$C$4+($B34-'难度节点'!$A$4)*('难度节点'!$C$5-'难度节点'!$C$4)/('难度节点'!$A$5-'难度节点'!$A$4),0)</x:f>
        <x:v>120</x:v>
      </x:c>
      <x:c r="E34" s="17" t="n">
        <x:v>1.1579020437087415</x:v>
      </x:c>
      <x:c r="F34" s="17" t="n">
        <x:v>0.675485081391402</x:v>
      </x:c>
      <x:c r="G34" s="17">
        <x:v>1</x:v>
      </x:c>
      <x:c r="H34" s="8" t="n">
        <x:v>300031</x:v>
      </x:c>
      <x:c r="I34" s="8"/>
      <x:c r="J34" s="8"/>
      <x:c r="K34" s="8"/>
      <x:c r="L34" s="8" t="str">
        <x:v>300031</x:v>
      </x:c>
      <x:c r="M34" s="4" t="n">
        <x:f>COUNTIF('TeamHero生成'!$J$5:$J$504,$C34)</x:f>
        <x:v>5</x:v>
      </x:c>
      <x:c r="N34" s="4" t="str">
        <x:f t="shared" si="0">IF(AND(ISNUMBER($D34),$D34&gt;=1,$D34&lt;=500,MOD($D34,1)=0),"有效","无效")</x:f>
        <x:v>有效</x:v>
      </x:c>
      <x:c r="O34" s="4" t="str">
        <x:f t="shared" si="1">IF($D34&lt;$D33,"下降","")</x:f>
      </x:c>
      <x:c r="P34" s="4" t="str">
        <x:v>统一标准模型；只列TowerEnemyFormation未停用的包体1 ID，包体2～4停用引用已清空</x:v>
      </x:c>
    </x:row>
    <x:row r="35" ht="14.25" customHeight="1">
      <x:c r="A35" s="4" t="s">
        <x:v>58</x:v>
      </x:c>
      <x:c r="B35" s="4">
        <x:v>31</x:v>
      </x:c>
      <x:c r="C35" s="4">
        <x:v>31</x:v>
      </x:c>
      <x:c r="D35" s="37" t="n">
        <x:f>ROUND('难度节点'!$C$5+($B35-'难度节点'!$A$5)*('难度节点'!$C$6-'难度节点'!$C$5)/('难度节点'!$A$6-'难度节点'!$A$5),0)</x:f>
        <x:v>124</x:v>
      </x:c>
      <x:c r="E35" s="17" t="n">
        <x:v>1.1696774143108677</x:v>
      </x:c>
      <x:c r="F35" s="17" t="n">
        <x:v>0.6763701957569285</x:v>
      </x:c>
      <x:c r="G35" s="17">
        <x:v>1</x:v>
      </x:c>
      <x:c r="H35" s="8" t="n">
        <x:v>300032</x:v>
      </x:c>
      <x:c r="I35" s="8"/>
      <x:c r="J35" s="8"/>
      <x:c r="K35" s="8"/>
      <x:c r="L35" s="8" t="str">
        <x:v>300032</x:v>
      </x:c>
      <x:c r="M35" s="4" t="n">
        <x:f>COUNTIF('TeamHero生成'!$J$5:$J$504,$C35)</x:f>
        <x:v>5</x:v>
      </x:c>
      <x:c r="N35" s="4" t="str">
        <x:f t="shared" si="0">IF(AND(ISNUMBER($D35),$D35&gt;=1,$D35&lt;=500,MOD($D35,1)=0),"有效","无效")</x:f>
        <x:v>有效</x:v>
      </x:c>
      <x:c r="O35" s="4" t="str">
        <x:f t="shared" si="1">IF($D35&lt;$D34,"下降","")</x:f>
      </x:c>
      <x:c r="P35" s="4" t="str">
        <x:v>统一标准模型；只列TowerEnemyFormation未停用的包体1 ID，包体2～4停用引用已清空</x:v>
      </x:c>
    </x:row>
    <x:row r="36" ht="14.25" customHeight="1">
      <x:c r="A36" s="4" t="s">
        <x:v>58</x:v>
      </x:c>
      <x:c r="B36" s="4">
        <x:v>32</x:v>
      </x:c>
      <x:c r="C36" s="4">
        <x:v>32</x:v>
      </x:c>
      <x:c r="D36" s="37" t="n">
        <x:f>ROUND('难度节点'!$C$5+($B36-'难度节点'!$A$5)*('难度节点'!$C$6-'难度节点'!$C$5)/('难度节点'!$A$6-'难度节点'!$A$5),0)</x:f>
        <x:v>128</x:v>
      </x:c>
      <x:c r="E36" s="17" t="n">
        <x:v>1.173970974192263</x:v>
      </x:c>
      <x:c r="F36" s="17" t="n">
        <x:v>0.675278998801872</x:v>
      </x:c>
      <x:c r="G36" s="17">
        <x:v>1</x:v>
      </x:c>
      <x:c r="H36" s="8" t="n">
        <x:v>300033</x:v>
      </x:c>
      <x:c r="I36" s="8"/>
      <x:c r="J36" s="8"/>
      <x:c r="K36" s="8"/>
      <x:c r="L36" s="8" t="str">
        <x:v>300033</x:v>
      </x:c>
      <x:c r="M36" s="4" t="n">
        <x:f>COUNTIF('TeamHero生成'!$J$5:$J$504,$C36)</x:f>
        <x:v>5</x:v>
      </x:c>
      <x:c r="N36" s="4" t="str">
        <x:f t="shared" si="0">IF(AND(ISNUMBER($D36),$D36&gt;=1,$D36&lt;=500,MOD($D36,1)=0),"有效","无效")</x:f>
        <x:v>有效</x:v>
      </x:c>
      <x:c r="O36" s="4" t="str">
        <x:f t="shared" si="1">IF($D36&lt;$D35,"下降","")</x:f>
      </x:c>
      <x:c r="P36" s="4" t="str">
        <x:v>统一标准模型；只列TowerEnemyFormation未停用的包体1 ID，包体2～4停用引用已清空</x:v>
      </x:c>
    </x:row>
    <x:row r="37" ht="14.25" customHeight="1">
      <x:c r="A37" s="4" t="s">
        <x:v>58</x:v>
      </x:c>
      <x:c r="B37" s="4">
        <x:v>33</x:v>
      </x:c>
      <x:c r="C37" s="4">
        <x:v>33</x:v>
      </x:c>
      <x:c r="D37" s="37" t="n">
        <x:f>ROUND('难度节点'!$C$5+($B37-'难度节点'!$A$5)*('难度节点'!$C$6-'难度节点'!$C$5)/('难度节点'!$A$6-'难度节点'!$A$5),0)</x:f>
        <x:v>132</x:v>
      </x:c>
      <x:c r="E37" s="17" t="n">
        <x:v>1.1699448070050362</x:v>
      </x:c>
      <x:c r="F37" s="17" t="n">
        <x:v>0.6728635965052944</x:v>
      </x:c>
      <x:c r="G37" s="17">
        <x:v>1</x:v>
      </x:c>
      <x:c r="H37" s="8" t="n">
        <x:v>300034</x:v>
      </x:c>
      <x:c r="I37" s="8"/>
      <x:c r="J37" s="8"/>
      <x:c r="K37" s="8"/>
      <x:c r="L37" s="8" t="str">
        <x:v>300034</x:v>
      </x:c>
      <x:c r="M37" s="4" t="n">
        <x:f>COUNTIF('TeamHero生成'!$J$5:$J$504,$C37)</x:f>
        <x:v>5</x:v>
      </x:c>
      <x:c r="N37" s="4" t="str">
        <x:f t="shared" si="0">IF(AND(ISNUMBER($D37),$D37&gt;=1,$D37&lt;=500,MOD($D37,1)=0),"有效","无效")</x:f>
        <x:v>有效</x:v>
      </x:c>
      <x:c r="O37" s="4" t="str">
        <x:f t="shared" si="1">IF($D37&lt;$D36,"下降","")</x:f>
      </x:c>
      <x:c r="P37" s="4" t="str">
        <x:v>统一标准模型；只列TowerEnemyFormation未停用的包体1 ID，包体2～4停用引用已清空</x:v>
      </x:c>
    </x:row>
    <x:row r="38" ht="14.25" customHeight="1">
      <x:c r="A38" s="4" t="s">
        <x:v>58</x:v>
      </x:c>
      <x:c r="B38" s="4">
        <x:v>34</x:v>
      </x:c>
      <x:c r="C38" s="4">
        <x:v>34</x:v>
      </x:c>
      <x:c r="D38" s="37" t="n">
        <x:f>ROUND('难度节点'!$C$5+($B38-'难度节点'!$A$5)*('难度节点'!$C$6-'难度节点'!$C$5)/('难度节点'!$A$6-'难度节点'!$A$5),0)</x:f>
        <x:v>136</x:v>
      </x:c>
      <x:c r="E38" s="17" t="n">
        <x:v>1.1761990096555994</x:v>
      </x:c>
      <x:c r="F38" s="17" t="n">
        <x:v>0.6739569990183927</x:v>
      </x:c>
      <x:c r="G38" s="17">
        <x:v>1</x:v>
      </x:c>
      <x:c r="H38" s="8" t="n">
        <x:v>300035</x:v>
      </x:c>
      <x:c r="I38" s="8"/>
      <x:c r="J38" s="8"/>
      <x:c r="K38" s="8"/>
      <x:c r="L38" s="8" t="str">
        <x:v>300035</x:v>
      </x:c>
      <x:c r="M38" s="4" t="n">
        <x:f>COUNTIF('TeamHero生成'!$J$5:$J$504,$C38)</x:f>
        <x:v>5</x:v>
      </x:c>
      <x:c r="N38" s="4" t="str">
        <x:f t="shared" si="0">IF(AND(ISNUMBER($D38),$D38&gt;=1,$D38&lt;=500,MOD($D38,1)=0),"有效","无效")</x:f>
        <x:v>有效</x:v>
      </x:c>
      <x:c r="O38" s="4" t="str">
        <x:f t="shared" si="1">IF($D38&lt;$D37,"下降","")</x:f>
      </x:c>
      <x:c r="P38" s="4" t="str">
        <x:v>统一标准模型；只列TowerEnemyFormation未停用的包体1 ID，包体2～4停用引用已清空</x:v>
      </x:c>
    </x:row>
    <x:row r="39" ht="14.25" customHeight="1">
      <x:c r="A39" s="4" t="s">
        <x:v>58</x:v>
      </x:c>
      <x:c r="B39" s="4">
        <x:v>35</x:v>
      </x:c>
      <x:c r="C39" s="4">
        <x:v>35</x:v>
      </x:c>
      <x:c r="D39" s="37" t="n">
        <x:f>ROUND('难度节点'!$C$5+($B39-'难度节点'!$A$5)*('难度节点'!$C$6-'难度节点'!$C$5)/('难度节点'!$A$6-'难度节点'!$A$5),0)</x:f>
        <x:v>140</x:v>
      </x:c>
      <x:c r="E39" s="17" t="n">
        <x:v>1.1630435007112323</x:v>
      </x:c>
      <x:c r="F39" s="17" t="n">
        <x:v>0.6680109495721342</x:v>
      </x:c>
      <x:c r="G39" s="17">
        <x:v>1</x:v>
      </x:c>
      <x:c r="H39" s="8" t="n">
        <x:v>300036</x:v>
      </x:c>
      <x:c r="I39" s="8"/>
      <x:c r="J39" s="8"/>
      <x:c r="K39" s="8"/>
      <x:c r="L39" s="8" t="str">
        <x:v>300036</x:v>
      </x:c>
      <x:c r="M39" s="4" t="n">
        <x:f>COUNTIF('TeamHero生成'!$J$5:$J$504,$C39)</x:f>
        <x:v>5</x:v>
      </x:c>
      <x:c r="N39" s="4" t="str">
        <x:f t="shared" si="0">IF(AND(ISNUMBER($D39),$D39&gt;=1,$D39&lt;=500,MOD($D39,1)=0),"有效","无效")</x:f>
        <x:v>有效</x:v>
      </x:c>
      <x:c r="O39" s="4" t="str">
        <x:f t="shared" si="1">IF($D39&lt;$D38,"下降","")</x:f>
      </x:c>
      <x:c r="P39" s="4" t="str">
        <x:v>统一标准模型；只列TowerEnemyFormation未停用的包体1 ID，包体2～4停用引用已清空</x:v>
      </x:c>
    </x:row>
    <x:row r="40" ht="14.25" customHeight="1">
      <x:c r="A40" s="4" t="s">
        <x:v>58</x:v>
      </x:c>
      <x:c r="B40" s="4">
        <x:v>36</x:v>
      </x:c>
      <x:c r="C40" s="4">
        <x:v>36</x:v>
      </x:c>
      <x:c r="D40" s="37" t="n">
        <x:f>ROUND('难度节点'!$C$5+($B40-'难度节点'!$A$5)*('难度节点'!$C$6-'难度节点'!$C$5)/('难度节点'!$A$6-'难度节点'!$A$5),0)</x:f>
        <x:v>144</x:v>
      </x:c>
      <x:c r="E40" s="17" t="n">
        <x:v>1.1754256062401702</x:v>
      </x:c>
      <x:c r="F40" s="17" t="n">
        <x:v>0.6713595863498772</x:v>
      </x:c>
      <x:c r="G40" s="17">
        <x:v>1</x:v>
      </x:c>
      <x:c r="H40" s="8" t="n">
        <x:v>300037</x:v>
      </x:c>
      <x:c r="I40" s="8"/>
      <x:c r="J40" s="8"/>
      <x:c r="K40" s="8"/>
      <x:c r="L40" s="8" t="str">
        <x:v>300037</x:v>
      </x:c>
      <x:c r="M40" s="4" t="n">
        <x:f>COUNTIF('TeamHero生成'!$J$5:$J$504,$C40)</x:f>
        <x:v>5</x:v>
      </x:c>
      <x:c r="N40" s="4" t="str">
        <x:f t="shared" si="0">IF(AND(ISNUMBER($D40),$D40&gt;=1,$D40&lt;=500,MOD($D40,1)=0),"有效","无效")</x:f>
        <x:v>有效</x:v>
      </x:c>
      <x:c r="O40" s="4" t="str">
        <x:f t="shared" si="1">IF($D40&lt;$D39,"下降","")</x:f>
      </x:c>
      <x:c r="P40" s="4" t="str">
        <x:v>统一标准模型；只列TowerEnemyFormation未停用的包体1 ID，包体2～4停用引用已清空</x:v>
      </x:c>
    </x:row>
    <x:row r="41" ht="14.25" customHeight="1">
      <x:c r="A41" s="4" t="s">
        <x:v>58</x:v>
      </x:c>
      <x:c r="B41" s="4">
        <x:v>37</x:v>
      </x:c>
      <x:c r="C41" s="4">
        <x:v>37</x:v>
      </x:c>
      <x:c r="D41" s="37" t="n">
        <x:f>ROUND('难度节点'!$C$5+($B41-'难度节点'!$A$5)*('难度节点'!$C$6-'难度节点'!$C$5)/('难度节点'!$A$6-'难度节点'!$A$5),0)</x:f>
        <x:v>148</x:v>
      </x:c>
      <x:c r="E41" s="17" t="n">
        <x:v>1.1723788917056412</x:v>
      </x:c>
      <x:c r="F41" s="17" t="n">
        <x:v>0.6679317563154188</x:v>
      </x:c>
      <x:c r="G41" s="17">
        <x:v>1</x:v>
      </x:c>
      <x:c r="H41" s="8" t="n">
        <x:v>300038</x:v>
      </x:c>
      <x:c r="I41" s="8"/>
      <x:c r="J41" s="8"/>
      <x:c r="K41" s="8"/>
      <x:c r="L41" s="8" t="str">
        <x:v>300038</x:v>
      </x:c>
      <x:c r="M41" s="4" t="n">
        <x:f>COUNTIF('TeamHero生成'!$J$5:$J$504,$C41)</x:f>
        <x:v>5</x:v>
      </x:c>
      <x:c r="N41" s="4" t="str">
        <x:f t="shared" si="0">IF(AND(ISNUMBER($D41),$D41&gt;=1,$D41&lt;=500,MOD($D41,1)=0),"有效","无效")</x:f>
        <x:v>有效</x:v>
      </x:c>
      <x:c r="O41" s="4" t="str">
        <x:f t="shared" si="1">IF($D41&lt;$D40,"下降","")</x:f>
      </x:c>
      <x:c r="P41" s="4" t="str">
        <x:v>统一标准模型；只列TowerEnemyFormation未停用的包体1 ID，包体2～4停用引用已清空</x:v>
      </x:c>
    </x:row>
    <x:row r="42" ht="14.25" customHeight="1">
      <x:c r="A42" s="4" t="s">
        <x:v>58</x:v>
      </x:c>
      <x:c r="B42" s="4">
        <x:v>38</x:v>
      </x:c>
      <x:c r="C42" s="4">
        <x:v>38</x:v>
      </x:c>
      <x:c r="D42" s="37" t="n">
        <x:f>ROUND('难度节点'!$C$5+($B42-'难度节点'!$A$5)*('难度节点'!$C$6-'难度节点'!$C$5)/('难度节点'!$A$6-'难度节点'!$A$5),0)</x:f>
        <x:v>152</x:v>
      </x:c>
      <x:c r="E42" s="17" t="n">
        <x:v>1.1680522780708513</x:v>
      </x:c>
      <x:c r="F42" s="17" t="n">
        <x:v>0.6690628451441158</x:v>
      </x:c>
      <x:c r="G42" s="17">
        <x:v>1</x:v>
      </x:c>
      <x:c r="H42" s="8" t="n">
        <x:v>300039</x:v>
      </x:c>
      <x:c r="I42" s="8"/>
      <x:c r="J42" s="8"/>
      <x:c r="K42" s="8"/>
      <x:c r="L42" s="8" t="str">
        <x:v>300039</x:v>
      </x:c>
      <x:c r="M42" s="4" t="n">
        <x:f>COUNTIF('TeamHero生成'!$J$5:$J$504,$C42)</x:f>
        <x:v>5</x:v>
      </x:c>
      <x:c r="N42" s="4" t="str">
        <x:f t="shared" si="0">IF(AND(ISNUMBER($D42),$D42&gt;=1,$D42&lt;=500,MOD($D42,1)=0),"有效","无效")</x:f>
        <x:v>有效</x:v>
      </x:c>
      <x:c r="O42" s="4" t="str">
        <x:f t="shared" si="1">IF($D42&lt;$D41,"下降","")</x:f>
      </x:c>
      <x:c r="P42" s="4" t="str">
        <x:v>统一标准模型；只列TowerEnemyFormation未停用的包体1 ID，包体2～4停用引用已清空</x:v>
      </x:c>
    </x:row>
    <x:row r="43" ht="14.25" customHeight="1">
      <x:c r="A43" s="4" t="s">
        <x:v>58</x:v>
      </x:c>
      <x:c r="B43" s="4">
        <x:v>39</x:v>
      </x:c>
      <x:c r="C43" s="4">
        <x:v>39</x:v>
      </x:c>
      <x:c r="D43" s="37" t="n">
        <x:f>ROUND('难度节点'!$C$5+($B43-'难度节点'!$A$5)*('难度节点'!$C$6-'难度节点'!$C$5)/('难度节点'!$A$6-'难度节点'!$A$5),0)</x:f>
        <x:v>156</x:v>
      </x:c>
      <x:c r="E43" s="17" t="n">
        <x:v>1.1758697393105606</x:v>
      </x:c>
      <x:c r="F43" s="17" t="n">
        <x:v>0.6710143005578638</x:v>
      </x:c>
      <x:c r="G43" s="17">
        <x:v>1</x:v>
      </x:c>
      <x:c r="H43" s="8" t="n">
        <x:v>300040</x:v>
      </x:c>
      <x:c r="I43" s="8"/>
      <x:c r="J43" s="8"/>
      <x:c r="K43" s="8"/>
      <x:c r="L43" s="8" t="str">
        <x:v>300040</x:v>
      </x:c>
      <x:c r="M43" s="4" t="n">
        <x:f>COUNTIF('TeamHero生成'!$J$5:$J$504,$C43)</x:f>
        <x:v>5</x:v>
      </x:c>
      <x:c r="N43" s="4" t="str">
        <x:f t="shared" si="0">IF(AND(ISNUMBER($D43),$D43&gt;=1,$D43&lt;=500,MOD($D43,1)=0),"有效","无效")</x:f>
        <x:v>有效</x:v>
      </x:c>
      <x:c r="O43" s="4" t="str">
        <x:f t="shared" si="1">IF($D43&lt;$D42,"下降","")</x:f>
      </x:c>
      <x:c r="P43" s="4" t="str">
        <x:v>统一标准模型；只列TowerEnemyFormation未停用的包体1 ID，包体2～4停用引用已清空</x:v>
      </x:c>
    </x:row>
    <x:row r="44" ht="14.25" customHeight="1">
      <x:c r="A44" s="4" t="s">
        <x:v>58</x:v>
      </x:c>
      <x:c r="B44" s="4">
        <x:v>40</x:v>
      </x:c>
      <x:c r="C44" s="4">
        <x:v>40</x:v>
      </x:c>
      <x:c r="D44" s="37" t="n">
        <x:f>ROUND('难度节点'!$C$5+($B44-'难度节点'!$A$5)*('难度节点'!$C$6-'难度节点'!$C$5)/('难度节点'!$A$6-'难度节点'!$A$5),0)</x:f>
        <x:v>160</x:v>
      </x:c>
      <x:c r="E44" s="17" t="n">
        <x:v>1.1634784502806828</x:v>
      </x:c>
      <x:c r="F44" s="17" t="n">
        <x:v>0.6667078540032192</x:v>
      </x:c>
      <x:c r="G44" s="17">
        <x:v>1</x:v>
      </x:c>
      <x:c r="H44" s="8" t="n">
        <x:v>300041</x:v>
      </x:c>
      <x:c r="I44" s="8"/>
      <x:c r="J44" s="8"/>
      <x:c r="K44" s="8"/>
      <x:c r="L44" s="8" t="str">
        <x:v>300041</x:v>
      </x:c>
      <x:c r="M44" s="4" t="n">
        <x:f>COUNTIF('TeamHero生成'!$J$5:$J$504,$C44)</x:f>
        <x:v>5</x:v>
      </x:c>
      <x:c r="N44" s="4" t="str">
        <x:f t="shared" si="0">IF(AND(ISNUMBER($D44),$D44&gt;=1,$D44&lt;=500,MOD($D44,1)=0),"有效","无效")</x:f>
        <x:v>有效</x:v>
      </x:c>
      <x:c r="O44" s="4" t="str">
        <x:f t="shared" si="1">IF($D44&lt;$D43,"下降","")</x:f>
      </x:c>
      <x:c r="P44" s="4" t="str">
        <x:v>统一标准模型；只列TowerEnemyFormation未停用的包体1 ID，包体2～4停用引用已清空</x:v>
      </x:c>
    </x:row>
    <x:row r="45" ht="14.25" customHeight="1">
      <x:c r="A45" s="4" t="s">
        <x:v>58</x:v>
      </x:c>
      <x:c r="B45" s="4">
        <x:v>41</x:v>
      </x:c>
      <x:c r="C45" s="4">
        <x:v>41</x:v>
      </x:c>
      <x:c r="D45" s="37" t="n">
        <x:f>ROUND('难度节点'!$C$6+($B45-'难度节点'!$A$6)*('难度节点'!$C$7-'难度节点'!$C$6)/('难度节点'!$A$7-'难度节点'!$A$6),0)</x:f>
        <x:v>164</x:v>
      </x:c>
      <x:c r="E45" s="17" t="n">
        <x:v>1.1668186396598967</x:v>
      </x:c>
      <x:c r="F45" s="17" t="n">
        <x:v>0.6686101593688724</x:v>
      </x:c>
      <x:c r="G45" s="17">
        <x:v>1</x:v>
      </x:c>
      <x:c r="H45" s="8" t="n">
        <x:v>300042</x:v>
      </x:c>
      <x:c r="I45" s="8"/>
      <x:c r="J45" s="8"/>
      <x:c r="K45" s="8"/>
      <x:c r="L45" s="8" t="str">
        <x:v>300042</x:v>
      </x:c>
      <x:c r="M45" s="4" t="n">
        <x:f>COUNTIF('TeamHero生成'!$J$5:$J$504,$C45)</x:f>
        <x:v>5</x:v>
      </x:c>
      <x:c r="N45" s="4" t="str">
        <x:f t="shared" si="0">IF(AND(ISNUMBER($D45),$D45&gt;=1,$D45&lt;=500,MOD($D45,1)=0),"有效","无效")</x:f>
        <x:v>有效</x:v>
      </x:c>
      <x:c r="O45" s="4" t="str">
        <x:f t="shared" si="1">IF($D45&lt;$D44,"下降","")</x:f>
      </x:c>
      <x:c r="P45" s="4" t="str">
        <x:v>统一标准模型；只列TowerEnemyFormation未停用的包体1 ID，包体2～4停用引用已清空</x:v>
      </x:c>
    </x:row>
    <x:row r="46" ht="14.25" customHeight="1">
      <x:c r="A46" s="4" t="s">
        <x:v>58</x:v>
      </x:c>
      <x:c r="B46" s="4">
        <x:v>42</x:v>
      </x:c>
      <x:c r="C46" s="4">
        <x:v>42</x:v>
      </x:c>
      <x:c r="D46" s="37" t="n">
        <x:f>ROUND('难度节点'!$C$6+($B46-'难度节点'!$A$6)*('难度节点'!$C$7-'难度节点'!$C$6)/('难度节点'!$A$7-'难度节点'!$A$6),0)</x:f>
        <x:v>167</x:v>
      </x:c>
      <x:c r="E46" s="17" t="n">
        <x:v>1.1626296034588008</x:v>
      </x:c>
      <x:c r="F46" s="17" t="n">
        <x:v>0.6684852131883328</x:v>
      </x:c>
      <x:c r="G46" s="17">
        <x:v>1</x:v>
      </x:c>
      <x:c r="H46" s="8" t="n">
        <x:v>300043</x:v>
      </x:c>
      <x:c r="I46" s="8"/>
      <x:c r="J46" s="8"/>
      <x:c r="K46" s="8"/>
      <x:c r="L46" s="8" t="str">
        <x:v>300043</x:v>
      </x:c>
      <x:c r="M46" s="4" t="n">
        <x:f>COUNTIF('TeamHero生成'!$J$5:$J$504,$C46)</x:f>
        <x:v>5</x:v>
      </x:c>
      <x:c r="N46" s="4" t="str">
        <x:f t="shared" si="0">IF(AND(ISNUMBER($D46),$D46&gt;=1,$D46&lt;=500,MOD($D46,1)=0),"有效","无效")</x:f>
        <x:v>有效</x:v>
      </x:c>
      <x:c r="O46" s="4" t="str">
        <x:f t="shared" si="1">IF($D46&lt;$D45,"下降","")</x:f>
      </x:c>
      <x:c r="P46" s="4" t="str">
        <x:v>统一标准模型；只列TowerEnemyFormation未停用的包体1 ID，包体2～4停用引用已清空</x:v>
      </x:c>
    </x:row>
    <x:row r="47" ht="14.25" customHeight="1">
      <x:c r="A47" s="4" t="s">
        <x:v>58</x:v>
      </x:c>
      <x:c r="B47" s="4">
        <x:v>43</x:v>
      </x:c>
      <x:c r="C47" s="4">
        <x:v>43</x:v>
      </x:c>
      <x:c r="D47" s="37" t="n">
        <x:f>ROUND('难度节点'!$C$6+($B47-'难度节点'!$A$6)*('难度节点'!$C$7-'难度节点'!$C$6)/('难度节点'!$A$7-'难度节点'!$A$6),0)</x:f>
        <x:v>171</x:v>
      </x:c>
      <x:c r="E47" s="17" t="n">
        <x:v>1.1570198537625256</x:v>
      </x:c>
      <x:c r="F47" s="17" t="n">
        <x:v>0.6660771662658811</x:v>
      </x:c>
      <x:c r="G47" s="17">
        <x:v>1</x:v>
      </x:c>
      <x:c r="H47" s="8" t="n">
        <x:v>300044</x:v>
      </x:c>
      <x:c r="I47" s="8"/>
      <x:c r="J47" s="8"/>
      <x:c r="K47" s="8"/>
      <x:c r="L47" s="8" t="str">
        <x:v>300044</x:v>
      </x:c>
      <x:c r="M47" s="4" t="n">
        <x:f>COUNTIF('TeamHero生成'!$J$5:$J$504,$C47)</x:f>
        <x:v>5</x:v>
      </x:c>
      <x:c r="N47" s="4" t="str">
        <x:f t="shared" si="0">IF(AND(ISNUMBER($D47),$D47&gt;=1,$D47&lt;=500,MOD($D47,1)=0),"有效","无效")</x:f>
        <x:v>有效</x:v>
      </x:c>
      <x:c r="O47" s="4" t="str">
        <x:f t="shared" si="1">IF($D47&lt;$D46,"下降","")</x:f>
      </x:c>
      <x:c r="P47" s="4" t="str">
        <x:v>统一标准模型；只列TowerEnemyFormation未停用的包体1 ID，包体2～4停用引用已清空</x:v>
      </x:c>
    </x:row>
    <x:row r="48" ht="14.25" customHeight="1">
      <x:c r="A48" s="4" t="s">
        <x:v>58</x:v>
      </x:c>
      <x:c r="B48" s="4">
        <x:v>44</x:v>
      </x:c>
      <x:c r="C48" s="4">
        <x:v>44</x:v>
      </x:c>
      <x:c r="D48" s="37" t="n">
        <x:f>ROUND('难度节点'!$C$6+($B48-'难度节点'!$A$6)*('难度节点'!$C$7-'难度节点'!$C$6)/('难度节点'!$A$7-'难度节点'!$A$6),0)</x:f>
        <x:v>174</x:v>
      </x:c>
      <x:c r="E48" s="17" t="n">
        <x:v>1.166878719746507</x:v>
      </x:c>
      <x:c r="F48" s="17" t="n">
        <x:v>0.6703817080579703</x:v>
      </x:c>
      <x:c r="G48" s="17">
        <x:v>1</x:v>
      </x:c>
      <x:c r="H48" s="8" t="n">
        <x:v>300045</x:v>
      </x:c>
      <x:c r="I48" s="8"/>
      <x:c r="J48" s="8"/>
      <x:c r="K48" s="8"/>
      <x:c r="L48" s="8" t="str">
        <x:v>300045</x:v>
      </x:c>
      <x:c r="M48" s="4" t="n">
        <x:f>COUNTIF('TeamHero生成'!$J$5:$J$504,$C48)</x:f>
        <x:v>5</x:v>
      </x:c>
      <x:c r="N48" s="4" t="str">
        <x:f t="shared" si="0">IF(AND(ISNUMBER($D48),$D48&gt;=1,$D48&lt;=500,MOD($D48,1)=0),"有效","无效")</x:f>
        <x:v>有效</x:v>
      </x:c>
      <x:c r="O48" s="4" t="str">
        <x:f t="shared" si="1">IF($D48&lt;$D47,"下降","")</x:f>
      </x:c>
      <x:c r="P48" s="4" t="str">
        <x:v>统一标准模型；只列TowerEnemyFormation未停用的包体1 ID，包体2～4停用引用已清空</x:v>
      </x:c>
    </x:row>
    <x:row r="49" ht="14.25" customHeight="1">
      <x:c r="A49" s="4" t="s">
        <x:v>58</x:v>
      </x:c>
      <x:c r="B49" s="4">
        <x:v>45</x:v>
      </x:c>
      <x:c r="C49" s="4">
        <x:v>45</x:v>
      </x:c>
      <x:c r="D49" s="37" t="n">
        <x:f>ROUND('难度节点'!$C$6+($B49-'难度节点'!$A$6)*('难度节点'!$C$7-'难度节点'!$C$6)/('难度节点'!$A$7-'难度节点'!$A$6),0)</x:f>
        <x:v>178</x:v>
      </x:c>
      <x:c r="E49" s="17" t="n">
        <x:v>1.1573573979559322</x:v>
      </x:c>
      <x:c r="F49" s="17" t="n">
        <x:v>0.6696883090963671</x:v>
      </x:c>
      <x:c r="G49" s="17">
        <x:v>1</x:v>
      </x:c>
      <x:c r="H49" s="8" t="n">
        <x:v>300046</x:v>
      </x:c>
      <x:c r="I49" s="8"/>
      <x:c r="J49" s="8"/>
      <x:c r="K49" s="8"/>
      <x:c r="L49" s="8" t="str">
        <x:v>300046</x:v>
      </x:c>
      <x:c r="M49" s="4" t="n">
        <x:f>COUNTIF('TeamHero生成'!$J$5:$J$504,$C49)</x:f>
        <x:v>5</x:v>
      </x:c>
      <x:c r="N49" s="4" t="str">
        <x:f t="shared" si="0">IF(AND(ISNUMBER($D49),$D49&gt;=1,$D49&lt;=500,MOD($D49,1)=0),"有效","无效")</x:f>
        <x:v>有效</x:v>
      </x:c>
      <x:c r="O49" s="4" t="str">
        <x:f t="shared" si="1">IF($D49&lt;$D48,"下降","")</x:f>
      </x:c>
      <x:c r="P49" s="4" t="str">
        <x:v>统一标准模型；只列TowerEnemyFormation未停用的包体1 ID，包体2～4停用引用已清空</x:v>
      </x:c>
    </x:row>
    <x:row r="50" ht="14.25" customHeight="1">
      <x:c r="A50" s="4" t="s">
        <x:v>58</x:v>
      </x:c>
      <x:c r="B50" s="4">
        <x:v>46</x:v>
      </x:c>
      <x:c r="C50" s="4">
        <x:v>46</x:v>
      </x:c>
      <x:c r="D50" s="37" t="n">
        <x:f>ROUND('难度节点'!$C$6+($B50-'难度节点'!$A$6)*('难度节点'!$C$7-'难度节点'!$C$6)/('难度节点'!$A$7-'难度节点'!$A$6),0)</x:f>
        <x:v>182</x:v>
      </x:c>
      <x:c r="E50" s="17" t="n">
        <x:v>1.1590226153403804</x:v>
      </x:c>
      <x:c r="F50" s="17" t="n">
        <x:v>0.6704286624625658</x:v>
      </x:c>
      <x:c r="G50" s="17">
        <x:v>1</x:v>
      </x:c>
      <x:c r="H50" s="8" t="n">
        <x:v>300047</x:v>
      </x:c>
      <x:c r="I50" s="8"/>
      <x:c r="J50" s="8"/>
      <x:c r="K50" s="8"/>
      <x:c r="L50" s="8" t="str">
        <x:v>300047</x:v>
      </x:c>
      <x:c r="M50" s="4" t="n">
        <x:f>COUNTIF('TeamHero生成'!$J$5:$J$504,$C50)</x:f>
        <x:v>5</x:v>
      </x:c>
      <x:c r="N50" s="4" t="str">
        <x:f t="shared" si="0">IF(AND(ISNUMBER($D50),$D50&gt;=1,$D50&lt;=500,MOD($D50,1)=0),"有效","无效")</x:f>
        <x:v>有效</x:v>
      </x:c>
      <x:c r="O50" s="4" t="str">
        <x:f t="shared" si="1">IF($D50&lt;$D49,"下降","")</x:f>
      </x:c>
      <x:c r="P50" s="4" t="str">
        <x:v>统一标准模型；只列TowerEnemyFormation未停用的包体1 ID，包体2～4停用引用已清空</x:v>
      </x:c>
    </x:row>
    <x:row r="51" ht="14.25" customHeight="1">
      <x:c r="A51" s="4" t="s">
        <x:v>58</x:v>
      </x:c>
      <x:c r="B51" s="4">
        <x:v>47</x:v>
      </x:c>
      <x:c r="C51" s="4">
        <x:v>47</x:v>
      </x:c>
      <x:c r="D51" s="37" t="n">
        <x:f>ROUND('难度节点'!$C$6+($B51-'难度节点'!$A$6)*('难度节点'!$C$7-'难度节点'!$C$6)/('难度节点'!$A$7-'难度节点'!$A$6),0)</x:f>
        <x:v>185</x:v>
      </x:c>
      <x:c r="E51" s="17" t="n">
        <x:v>1.1572330311023793</x:v>
      </x:c>
      <x:c r="F51" s="17" t="n">
        <x:v>0.6728114779452344</x:v>
      </x:c>
      <x:c r="G51" s="17">
        <x:v>1</x:v>
      </x:c>
      <x:c r="H51" s="8" t="n">
        <x:v>300048</x:v>
      </x:c>
      <x:c r="I51" s="8"/>
      <x:c r="J51" s="8"/>
      <x:c r="K51" s="8"/>
      <x:c r="L51" s="8" t="str">
        <x:v>300048</x:v>
      </x:c>
      <x:c r="M51" s="4" t="n">
        <x:f>COUNTIF('TeamHero生成'!$J$5:$J$504,$C51)</x:f>
        <x:v>5</x:v>
      </x:c>
      <x:c r="N51" s="4" t="str">
        <x:f t="shared" si="0">IF(AND(ISNUMBER($D51),$D51&gt;=1,$D51&lt;=500,MOD($D51,1)=0),"有效","无效")</x:f>
        <x:v>有效</x:v>
      </x:c>
      <x:c r="O51" s="4" t="str">
        <x:f t="shared" si="1">IF($D51&lt;$D50,"下降","")</x:f>
      </x:c>
      <x:c r="P51" s="4" t="str">
        <x:v>统一标准模型；只列TowerEnemyFormation未停用的包体1 ID，包体2～4停用引用已清空</x:v>
      </x:c>
    </x:row>
    <x:row r="52" ht="14.25" customHeight="1">
      <x:c r="A52" s="4" t="s">
        <x:v>58</x:v>
      </x:c>
      <x:c r="B52" s="4">
        <x:v>48</x:v>
      </x:c>
      <x:c r="C52" s="4">
        <x:v>48</x:v>
      </x:c>
      <x:c r="D52" s="37" t="n">
        <x:f>ROUND('难度节点'!$C$6+($B52-'难度节点'!$A$6)*('难度节点'!$C$7-'难度节点'!$C$6)/('难度节点'!$A$7-'难度节点'!$A$6),0)</x:f>
        <x:v>189</x:v>
      </x:c>
      <x:c r="E52" s="17" t="n">
        <x:v>1.156285997301977</x:v>
      </x:c>
      <x:c r="F52" s="17" t="n">
        <x:v>0.6724870822213138</x:v>
      </x:c>
      <x:c r="G52" s="17">
        <x:v>1</x:v>
      </x:c>
      <x:c r="H52" s="8" t="n">
        <x:v>300049</x:v>
      </x:c>
      <x:c r="I52" s="8"/>
      <x:c r="J52" s="8"/>
      <x:c r="K52" s="8"/>
      <x:c r="L52" s="8" t="str">
        <x:v>300049</x:v>
      </x:c>
      <x:c r="M52" s="4" t="n">
        <x:f>COUNTIF('TeamHero生成'!$J$5:$J$504,$C52)</x:f>
        <x:v>5</x:v>
      </x:c>
      <x:c r="N52" s="4" t="str">
        <x:f t="shared" si="0">IF(AND(ISNUMBER($D52),$D52&gt;=1,$D52&lt;=500,MOD($D52,1)=0),"有效","无效")</x:f>
        <x:v>有效</x:v>
      </x:c>
      <x:c r="O52" s="4" t="str">
        <x:f t="shared" si="1">IF($D52&lt;$D51,"下降","")</x:f>
      </x:c>
      <x:c r="P52" s="4" t="str">
        <x:v>统一标准模型；只列TowerEnemyFormation未停用的包体1 ID，包体2～4停用引用已清空</x:v>
      </x:c>
    </x:row>
    <x:row r="53" ht="14.25" customHeight="1">
      <x:c r="A53" s="4" t="s">
        <x:v>58</x:v>
      </x:c>
      <x:c r="B53" s="4">
        <x:v>49</x:v>
      </x:c>
      <x:c r="C53" s="4">
        <x:v>49</x:v>
      </x:c>
      <x:c r="D53" s="37" t="n">
        <x:f>ROUND('难度节点'!$C$6+($B53-'难度节点'!$A$6)*('难度节点'!$C$7-'难度节点'!$C$6)/('难度节点'!$A$7-'难度节点'!$A$6),0)</x:f>
        <x:v>192</x:v>
      </x:c>
      <x:c r="E53" s="17" t="n">
        <x:v>1.1558279872175978</x:v>
      </x:c>
      <x:c r="F53" s="17" t="n">
        <x:v>0.6718054689422955</x:v>
      </x:c>
      <x:c r="G53" s="17">
        <x:v>1</x:v>
      </x:c>
      <x:c r="H53" s="8" t="n">
        <x:v>300050</x:v>
      </x:c>
      <x:c r="I53" s="8"/>
      <x:c r="J53" s="8"/>
      <x:c r="K53" s="8"/>
      <x:c r="L53" s="8" t="str">
        <x:v>300050</x:v>
      </x:c>
      <x:c r="M53" s="4" t="n">
        <x:f>COUNTIF('TeamHero生成'!$J$5:$J$504,$C53)</x:f>
        <x:v>5</x:v>
      </x:c>
      <x:c r="N53" s="4" t="str">
        <x:f t="shared" si="0">IF(AND(ISNUMBER($D53),$D53&gt;=1,$D53&lt;=500,MOD($D53,1)=0),"有效","无效")</x:f>
        <x:v>有效</x:v>
      </x:c>
      <x:c r="O53" s="4" t="str">
        <x:f t="shared" si="1">IF($D53&lt;$D52,"下降","")</x:f>
      </x:c>
      <x:c r="P53" s="4" t="str">
        <x:v>统一标准模型；只列TowerEnemyFormation未停用的包体1 ID，包体2～4停用引用已清空</x:v>
      </x:c>
    </x:row>
    <x:row r="54" ht="14.25" customHeight="1">
      <x:c r="A54" s="4" t="s">
        <x:v>58</x:v>
      </x:c>
      <x:c r="B54" s="4">
        <x:v>50</x:v>
      </x:c>
      <x:c r="C54" s="4">
        <x:v>50</x:v>
      </x:c>
      <x:c r="D54" s="37" t="n">
        <x:f>ROUND('难度节点'!$C$6+($B54-'难度节点'!$A$6)*('难度节点'!$C$7-'难度节点'!$C$6)/('难度节点'!$A$7-'难度节点'!$A$6),0)</x:f>
        <x:v>196</x:v>
      </x:c>
      <x:c r="E54" s="17" t="n">
        <x:v>1.1648605910570602</x:v>
      </x:c>
      <x:c r="F54" s="17" t="n">
        <x:v>0.6778620425560711</x:v>
      </x:c>
      <x:c r="G54" s="17">
        <x:v>1</x:v>
      </x:c>
      <x:c r="H54" s="8" t="n">
        <x:v>300051</x:v>
      </x:c>
      <x:c r="I54" s="8"/>
      <x:c r="J54" s="8"/>
      <x:c r="K54" s="8"/>
      <x:c r="L54" s="8" t="str">
        <x:v>300051</x:v>
      </x:c>
      <x:c r="M54" s="4" t="n">
        <x:f>COUNTIF('TeamHero生成'!$J$5:$J$504,$C54)</x:f>
        <x:v>5</x:v>
      </x:c>
      <x:c r="N54" s="4" t="str">
        <x:f t="shared" si="0">IF(AND(ISNUMBER($D54),$D54&gt;=1,$D54&lt;=500,MOD($D54,1)=0),"有效","无效")</x:f>
        <x:v>有效</x:v>
      </x:c>
      <x:c r="O54" s="4" t="str">
        <x:f t="shared" si="1">IF($D54&lt;$D53,"下降","")</x:f>
      </x:c>
      <x:c r="P54" s="4" t="str">
        <x:v>统一标准模型；只列TowerEnemyFormation未停用的包体1 ID，包体2～4停用引用已清空</x:v>
      </x:c>
    </x:row>
    <x:row r="55" ht="14.25" customHeight="1">
      <x:c r="A55" s="4" t="s">
        <x:v>58</x:v>
      </x:c>
      <x:c r="B55" s="4">
        <x:v>51</x:v>
      </x:c>
      <x:c r="C55" s="4">
        <x:v>51</x:v>
      </x:c>
      <x:c r="D55" s="37" t="n">
        <x:f>ROUND('难度节点'!$C$7+($B55-'难度节点'!$A$7)*('难度节点'!$C$8-'难度节点'!$C$7)/('难度节点'!$A$8-'难度节点'!$A$7),0)</x:f>
        <x:v>198</x:v>
      </x:c>
      <x:c r="E55" s="17" t="n">
        <x:v>1.162216969521625</x:v>
      </x:c>
      <x:c r="F55" s="17" t="n">
        <x:v>0.6794221607635226</x:v>
      </x:c>
      <x:c r="G55" s="17">
        <x:v>1</x:v>
      </x:c>
      <x:c r="H55" s="8" t="n">
        <x:v>300052</x:v>
      </x:c>
      <x:c r="I55" s="8"/>
      <x:c r="J55" s="8"/>
      <x:c r="K55" s="8"/>
      <x:c r="L55" s="8" t="str">
        <x:v>300052</x:v>
      </x:c>
      <x:c r="M55" s="4" t="n">
        <x:f>COUNTIF('TeamHero生成'!$J$5:$J$504,$C55)</x:f>
        <x:v>5</x:v>
      </x:c>
      <x:c r="N55" s="4" t="str">
        <x:f t="shared" si="0">IF(AND(ISNUMBER($D55),$D55&gt;=1,$D55&lt;=500,MOD($D55,1)=0),"有效","无效")</x:f>
        <x:v>有效</x:v>
      </x:c>
      <x:c r="O55" s="4" t="str">
        <x:f t="shared" si="1">IF($D55&lt;$D54,"下降","")</x:f>
      </x:c>
      <x:c r="P55" s="4" t="str">
        <x:v>统一标准模型；只列TowerEnemyFormation未停用的包体1 ID，包体2～4停用引用已清空</x:v>
      </x:c>
    </x:row>
    <x:row r="56" ht="14.25" customHeight="1">
      <x:c r="A56" s="4" t="s">
        <x:v>58</x:v>
      </x:c>
      <x:c r="B56" s="4">
        <x:v>52</x:v>
      </x:c>
      <x:c r="C56" s="4">
        <x:v>52</x:v>
      </x:c>
      <x:c r="D56" s="37" t="n">
        <x:f>ROUND('难度节点'!$C$7+($B56-'难度节点'!$A$7)*('难度节点'!$C$8-'难度节点'!$C$7)/('难度节点'!$A$8-'难度节点'!$A$7),0)</x:f>
        <x:v>201</x:v>
      </x:c>
      <x:c r="E56" s="17" t="n">
        <x:v>1.155149893181229</x:v>
      </x:c>
      <x:c r="F56" s="17" t="n">
        <x:v>0.6780328935238747</x:v>
      </x:c>
      <x:c r="G56" s="17">
        <x:v>1</x:v>
      </x:c>
      <x:c r="H56" s="8" t="n">
        <x:v>300053</x:v>
      </x:c>
      <x:c r="I56" s="8"/>
      <x:c r="J56" s="8"/>
      <x:c r="K56" s="8"/>
      <x:c r="L56" s="8" t="str">
        <x:v>300053</x:v>
      </x:c>
      <x:c r="M56" s="4" t="n">
        <x:f>COUNTIF('TeamHero生成'!$J$5:$J$504,$C56)</x:f>
        <x:v>5</x:v>
      </x:c>
      <x:c r="N56" s="4" t="str">
        <x:f t="shared" si="0">IF(AND(ISNUMBER($D56),$D56&gt;=1,$D56&lt;=500,MOD($D56,1)=0),"有效","无效")</x:f>
        <x:v>有效</x:v>
      </x:c>
      <x:c r="O56" s="4" t="str">
        <x:f t="shared" si="1">IF($D56&lt;$D55,"下降","")</x:f>
      </x:c>
      <x:c r="P56" s="4" t="str">
        <x:v>统一标准模型；只列TowerEnemyFormation未停用的包体1 ID，包体2～4停用引用已清空</x:v>
      </x:c>
    </x:row>
    <x:row r="57" ht="14.25" customHeight="1">
      <x:c r="A57" s="4" t="s">
        <x:v>58</x:v>
      </x:c>
      <x:c r="B57" s="4">
        <x:v>53</x:v>
      </x:c>
      <x:c r="C57" s="4">
        <x:v>53</x:v>
      </x:c>
      <x:c r="D57" s="37" t="n">
        <x:f>ROUND('难度节点'!$C$7+($B57-'难度节点'!$A$7)*('难度节点'!$C$8-'难度节点'!$C$7)/('难度节点'!$A$8-'难度节点'!$A$7),0)</x:f>
        <x:v>203</x:v>
      </x:c>
      <x:c r="E57" s="17" t="n">
        <x:v>1.1573620611728401</x:v>
      </x:c>
      <x:c r="F57" s="17" t="n">
        <x:v>0.6802690802123094</x:v>
      </x:c>
      <x:c r="G57" s="17">
        <x:v>1</x:v>
      </x:c>
      <x:c r="H57" s="8" t="n">
        <x:v>300054</x:v>
      </x:c>
      <x:c r="I57" s="8"/>
      <x:c r="J57" s="8"/>
      <x:c r="K57" s="8"/>
      <x:c r="L57" s="8" t="str">
        <x:v>300054</x:v>
      </x:c>
      <x:c r="M57" s="4" t="n">
        <x:f>COUNTIF('TeamHero生成'!$J$5:$J$504,$C57)</x:f>
        <x:v>5</x:v>
      </x:c>
      <x:c r="N57" s="4" t="str">
        <x:f t="shared" si="0">IF(AND(ISNUMBER($D57),$D57&gt;=1,$D57&lt;=500,MOD($D57,1)=0),"有效","无效")</x:f>
        <x:v>有效</x:v>
      </x:c>
      <x:c r="O57" s="4" t="str">
        <x:f t="shared" si="1">IF($D57&lt;$D56,"下降","")</x:f>
      </x:c>
      <x:c r="P57" s="4" t="str">
        <x:v>统一标准模型；只列TowerEnemyFormation未停用的包体1 ID，包体2～4停用引用已清空</x:v>
      </x:c>
    </x:row>
    <x:row r="58" ht="14.25" customHeight="1">
      <x:c r="A58" s="4" t="s">
        <x:v>58</x:v>
      </x:c>
      <x:c r="B58" s="4">
        <x:v>54</x:v>
      </x:c>
      <x:c r="C58" s="4">
        <x:v>54</x:v>
      </x:c>
      <x:c r="D58" s="37" t="n">
        <x:f>ROUND('难度节点'!$C$7+($B58-'难度节点'!$A$7)*('难度节点'!$C$8-'难度节点'!$C$7)/('难度节点'!$A$8-'难度节点'!$A$7),0)</x:f>
        <x:v>205</x:v>
      </x:c>
      <x:c r="E58" s="17" t="n">
        <x:v>1.1573616328039344</x:v>
      </x:c>
      <x:c r="F58" s="17" t="n">
        <x:v>0.6811308913498373</x:v>
      </x:c>
      <x:c r="G58" s="17">
        <x:v>1</x:v>
      </x:c>
      <x:c r="H58" s="8" t="n">
        <x:v>300055</x:v>
      </x:c>
      <x:c r="I58" s="8"/>
      <x:c r="J58" s="8"/>
      <x:c r="K58" s="8"/>
      <x:c r="L58" s="8" t="str">
        <x:v>300055</x:v>
      </x:c>
      <x:c r="M58" s="4" t="n">
        <x:f>COUNTIF('TeamHero生成'!$J$5:$J$504,$C58)</x:f>
        <x:v>5</x:v>
      </x:c>
      <x:c r="N58" s="4" t="str">
        <x:f t="shared" si="0">IF(AND(ISNUMBER($D58),$D58&gt;=1,$D58&lt;=500,MOD($D58,1)=0),"有效","无效")</x:f>
        <x:v>有效</x:v>
      </x:c>
      <x:c r="O58" s="4" t="str">
        <x:f t="shared" si="1">IF($D58&lt;$D57,"下降","")</x:f>
      </x:c>
      <x:c r="P58" s="4" t="str">
        <x:v>统一标准模型；只列TowerEnemyFormation未停用的包体1 ID，包体2～4停用引用已清空</x:v>
      </x:c>
    </x:row>
    <x:row r="59" ht="14.25" customHeight="1">
      <x:c r="A59" s="4" t="s">
        <x:v>58</x:v>
      </x:c>
      <x:c r="B59" s="4">
        <x:v>55</x:v>
      </x:c>
      <x:c r="C59" s="4">
        <x:v>55</x:v>
      </x:c>
      <x:c r="D59" s="37" t="n">
        <x:f>ROUND('难度节点'!$C$7+($B59-'难度节点'!$A$7)*('难度节点'!$C$8-'难度节点'!$C$7)/('难度节点'!$A$8-'难度节点'!$A$7),0)</x:f>
        <x:v>208</x:v>
      </x:c>
      <x:c r="E59" s="17" t="n">
        <x:v>1.1637564278863857</x:v>
      </x:c>
      <x:c r="F59" s="17" t="n">
        <x:v>0.684169263070698</x:v>
      </x:c>
      <x:c r="G59" s="17">
        <x:v>1</x:v>
      </x:c>
      <x:c r="H59" s="8" t="n">
        <x:v>300056</x:v>
      </x:c>
      <x:c r="I59" s="8"/>
      <x:c r="J59" s="8"/>
      <x:c r="K59" s="8"/>
      <x:c r="L59" s="8" t="str">
        <x:v>300056</x:v>
      </x:c>
      <x:c r="M59" s="4" t="n">
        <x:f>COUNTIF('TeamHero生成'!$J$5:$J$504,$C59)</x:f>
        <x:v>5</x:v>
      </x:c>
      <x:c r="N59" s="4" t="str">
        <x:f t="shared" si="0">IF(AND(ISNUMBER($D59),$D59&gt;=1,$D59&lt;=500,MOD($D59,1)=0),"有效","无效")</x:f>
        <x:v>有效</x:v>
      </x:c>
      <x:c r="O59" s="4" t="str">
        <x:f t="shared" si="1">IF($D59&lt;$D58,"下降","")</x:f>
      </x:c>
      <x:c r="P59" s="4" t="str">
        <x:v>统一标准模型；只列TowerEnemyFormation未停用的包体1 ID，包体2～4停用引用已清空</x:v>
      </x:c>
    </x:row>
    <x:row r="60" ht="14.25" customHeight="1">
      <x:c r="A60" s="4" t="s">
        <x:v>58</x:v>
      </x:c>
      <x:c r="B60" s="4">
        <x:v>56</x:v>
      </x:c>
      <x:c r="C60" s="4">
        <x:v>56</x:v>
      </x:c>
      <x:c r="D60" s="37" t="n">
        <x:f>ROUND('难度节点'!$C$7+($B60-'难度节点'!$A$7)*('难度节点'!$C$8-'难度节点'!$C$7)/('难度节点'!$A$8-'难度节点'!$A$7),0)</x:f>
        <x:v>210</x:v>
      </x:c>
      <x:c r="E60" s="17" t="n">
        <x:v>1.1521398501730935</x:v>
      </x:c>
      <x:c r="F60" s="17" t="n">
        <x:v>0.6823478519428129</x:v>
      </x:c>
      <x:c r="G60" s="17">
        <x:v>1</x:v>
      </x:c>
      <x:c r="H60" s="8" t="n">
        <x:v>300057</x:v>
      </x:c>
      <x:c r="I60" s="8"/>
      <x:c r="J60" s="8"/>
      <x:c r="K60" s="8"/>
      <x:c r="L60" s="8" t="str">
        <x:v>300057</x:v>
      </x:c>
      <x:c r="M60" s="4" t="n">
        <x:f>COUNTIF('TeamHero生成'!$J$5:$J$504,$C60)</x:f>
        <x:v>5</x:v>
      </x:c>
      <x:c r="N60" s="4" t="str">
        <x:f t="shared" si="0">IF(AND(ISNUMBER($D60),$D60&gt;=1,$D60&lt;=500,MOD($D60,1)=0),"有效","无效")</x:f>
        <x:v>有效</x:v>
      </x:c>
      <x:c r="O60" s="4" t="str">
        <x:f t="shared" si="1">IF($D60&lt;$D59,"下降","")</x:f>
      </x:c>
      <x:c r="P60" s="4" t="str">
        <x:v>统一标准模型；只列TowerEnemyFormation未停用的包体1 ID，包体2～4停用引用已清空</x:v>
      </x:c>
    </x:row>
    <x:row r="61" ht="14.25" customHeight="1">
      <x:c r="A61" s="4" t="s">
        <x:v>58</x:v>
      </x:c>
      <x:c r="B61" s="4">
        <x:v>57</x:v>
      </x:c>
      <x:c r="C61" s="4">
        <x:v>57</x:v>
      </x:c>
      <x:c r="D61" s="37" t="n">
        <x:f>ROUND('难度节点'!$C$7+($B61-'难度节点'!$A$7)*('难度节点'!$C$8-'难度节点'!$C$7)/('难度节点'!$A$8-'难度节点'!$A$7),0)</x:f>
        <x:v>212</x:v>
      </x:c>
      <x:c r="E61" s="17" t="n">
        <x:v>1.1534011210757094</x:v>
      </x:c>
      <x:c r="F61" s="17" t="n">
        <x:v>0.6845350539447649</x:v>
      </x:c>
      <x:c r="G61" s="17">
        <x:v>1</x:v>
      </x:c>
      <x:c r="H61" s="8" t="n">
        <x:v>300058</x:v>
      </x:c>
      <x:c r="I61" s="8"/>
      <x:c r="J61" s="8"/>
      <x:c r="K61" s="8"/>
      <x:c r="L61" s="8" t="str">
        <x:v>300058</x:v>
      </x:c>
      <x:c r="M61" s="4" t="n">
        <x:f>COUNTIF('TeamHero生成'!$J$5:$J$504,$C61)</x:f>
        <x:v>5</x:v>
      </x:c>
      <x:c r="N61" s="4" t="str">
        <x:f t="shared" si="0">IF(AND(ISNUMBER($D61),$D61&gt;=1,$D61&lt;=500,MOD($D61,1)=0),"有效","无效")</x:f>
        <x:v>有效</x:v>
      </x:c>
      <x:c r="O61" s="4" t="str">
        <x:f t="shared" si="1">IF($D61&lt;$D60,"下降","")</x:f>
      </x:c>
      <x:c r="P61" s="4" t="str">
        <x:v>统一标准模型；只列TowerEnemyFormation未停用的包体1 ID，包体2～4停用引用已清空</x:v>
      </x:c>
    </x:row>
    <x:row r="62" ht="14.25" customHeight="1">
      <x:c r="A62" s="4" t="s">
        <x:v>58</x:v>
      </x:c>
      <x:c r="B62" s="4">
        <x:v>58</x:v>
      </x:c>
      <x:c r="C62" s="4">
        <x:v>58</x:v>
      </x:c>
      <x:c r="D62" s="37" t="n">
        <x:f>ROUND('难度节点'!$C$7+($B62-'难度节点'!$A$7)*('难度节点'!$C$8-'难度节点'!$C$7)/('难度节点'!$A$8-'难度节点'!$A$7),0)</x:f>
        <x:v>214</x:v>
      </x:c>
      <x:c r="E62" s="17" t="n">
        <x:v>1.1624116143669723</x:v>
      </x:c>
      <x:c r="F62" s="17" t="n">
        <x:v>0.6893123595036935</x:v>
      </x:c>
      <x:c r="G62" s="17">
        <x:v>1</x:v>
      </x:c>
      <x:c r="H62" s="8" t="n">
        <x:v>300059</x:v>
      </x:c>
      <x:c r="I62" s="8"/>
      <x:c r="J62" s="8"/>
      <x:c r="K62" s="8"/>
      <x:c r="L62" s="8" t="str">
        <x:v>300059</x:v>
      </x:c>
      <x:c r="M62" s="4" t="n">
        <x:f>COUNTIF('TeamHero生成'!$J$5:$J$504,$C62)</x:f>
        <x:v>5</x:v>
      </x:c>
      <x:c r="N62" s="4" t="str">
        <x:f t="shared" si="0">IF(AND(ISNUMBER($D62),$D62&gt;=1,$D62&lt;=500,MOD($D62,1)=0),"有效","无效")</x:f>
        <x:v>有效</x:v>
      </x:c>
      <x:c r="O62" s="4" t="str">
        <x:f t="shared" si="1">IF($D62&lt;$D61,"下降","")</x:f>
      </x:c>
      <x:c r="P62" s="4" t="str">
        <x:v>统一标准模型；只列TowerEnemyFormation未停用的包体1 ID，包体2～4停用引用已清空</x:v>
      </x:c>
    </x:row>
    <x:row r="63" ht="14.25" customHeight="1">
      <x:c r="A63" s="4" t="s">
        <x:v>58</x:v>
      </x:c>
      <x:c r="B63" s="4">
        <x:v>59</x:v>
      </x:c>
      <x:c r="C63" s="4">
        <x:v>59</x:v>
      </x:c>
      <x:c r="D63" s="37" t="n">
        <x:f>ROUND('难度节点'!$C$7+($B63-'难度节点'!$A$7)*('难度节点'!$C$8-'难度节点'!$C$7)/('难度节点'!$A$8-'难度节点'!$A$7),0)</x:f>
        <x:v>217</x:v>
      </x:c>
      <x:c r="E63" s="17" t="n">
        <x:v>1.153905008973118</x:v>
      </x:c>
      <x:c r="F63" s="17" t="n">
        <x:v>0.6871312456611268</x:v>
      </x:c>
      <x:c r="G63" s="17">
        <x:v>1</x:v>
      </x:c>
      <x:c r="H63" s="8" t="n">
        <x:v>300060</x:v>
      </x:c>
      <x:c r="I63" s="8"/>
      <x:c r="J63" s="8"/>
      <x:c r="K63" s="8"/>
      <x:c r="L63" s="8" t="str">
        <x:v>300060</x:v>
      </x:c>
      <x:c r="M63" s="4" t="n">
        <x:f>COUNTIF('TeamHero生成'!$J$5:$J$504,$C63)</x:f>
        <x:v>5</x:v>
      </x:c>
      <x:c r="N63" s="4" t="str">
        <x:f t="shared" si="0">IF(AND(ISNUMBER($D63),$D63&gt;=1,$D63&lt;=500,MOD($D63,1)=0),"有效","无效")</x:f>
        <x:v>有效</x:v>
      </x:c>
      <x:c r="O63" s="4" t="str">
        <x:f t="shared" si="1">IF($D63&lt;$D62,"下降","")</x:f>
      </x:c>
      <x:c r="P63" s="4" t="str">
        <x:v>统一标准模型；只列TowerEnemyFormation未停用的包体1 ID，包体2～4停用引用已清空</x:v>
      </x:c>
    </x:row>
    <x:row r="64" ht="14.25" customHeight="1">
      <x:c r="A64" s="4" t="s">
        <x:v>58</x:v>
      </x:c>
      <x:c r="B64" s="4">
        <x:v>60</x:v>
      </x:c>
      <x:c r="C64" s="4">
        <x:v>60</x:v>
      </x:c>
      <x:c r="D64" s="37" t="n">
        <x:f>ROUND('难度节点'!$C$7+($B64-'难度节点'!$A$7)*('难度节点'!$C$8-'难度节点'!$C$7)/('难度节点'!$A$8-'难度节点'!$A$7),0)</x:f>
        <x:v>219</x:v>
      </x:c>
      <x:c r="E64" s="17" t="n">
        <x:v>1.1586728241265563</x:v>
      </x:c>
      <x:c r="F64" s="17" t="n">
        <x:v>0.6896945247909946</x:v>
      </x:c>
      <x:c r="G64" s="17">
        <x:v>1</x:v>
      </x:c>
      <x:c r="H64" s="8" t="n">
        <x:v>300061</x:v>
      </x:c>
      <x:c r="I64" s="8"/>
      <x:c r="J64" s="8"/>
      <x:c r="K64" s="8"/>
      <x:c r="L64" s="8" t="str">
        <x:v>300061</x:v>
      </x:c>
      <x:c r="M64" s="4" t="n">
        <x:f>COUNTIF('TeamHero生成'!$J$5:$J$504,$C64)</x:f>
        <x:v>5</x:v>
      </x:c>
      <x:c r="N64" s="4" t="str">
        <x:f t="shared" si="0">IF(AND(ISNUMBER($D64),$D64&gt;=1,$D64&lt;=500,MOD($D64,1)=0),"有效","无效")</x:f>
        <x:v>有效</x:v>
      </x:c>
      <x:c r="O64" s="4" t="str">
        <x:f t="shared" si="1">IF($D64&lt;$D63,"下降","")</x:f>
      </x:c>
      <x:c r="P64" s="4" t="str">
        <x:v>统一标准模型；只列TowerEnemyFormation未停用的包体1 ID，包体2～4停用引用已清空</x:v>
      </x:c>
    </x:row>
    <x:row r="65" ht="14.25" customHeight="1">
      <x:c r="A65" s="4" t="s">
        <x:v>58</x:v>
      </x:c>
      <x:c r="B65" s="4">
        <x:v>61</x:v>
      </x:c>
      <x:c r="C65" s="4">
        <x:v>61</x:v>
      </x:c>
      <x:c r="D65" s="37" t="n">
        <x:f>ROUND('难度节点'!$C$8+($B65-'难度节点'!$A$8)*('难度节点'!$C$9-'难度节点'!$C$8)/('难度节点'!$A$9-'难度节点'!$A$8),0)</x:f>
        <x:v>221</x:v>
      </x:c>
      <x:c r="E65" s="17" t="n">
        <x:v>1.160932738374102</x:v>
      </x:c>
      <x:c r="F65" s="17" t="n">
        <x:v>0.692628557170834</x:v>
      </x:c>
      <x:c r="G65" s="17">
        <x:v>1</x:v>
      </x:c>
      <x:c r="H65" s="8" t="n">
        <x:v>300062</x:v>
      </x:c>
      <x:c r="I65" s="8"/>
      <x:c r="J65" s="8"/>
      <x:c r="K65" s="8"/>
      <x:c r="L65" s="8" t="str">
        <x:v>300062</x:v>
      </x:c>
      <x:c r="M65" s="4" t="n">
        <x:f>COUNTIF('TeamHero生成'!$J$5:$J$504,$C65)</x:f>
        <x:v>5</x:v>
      </x:c>
      <x:c r="N65" s="4" t="str">
        <x:f t="shared" si="0">IF(AND(ISNUMBER($D65),$D65&gt;=1,$D65&lt;=500,MOD($D65,1)=0),"有效","无效")</x:f>
        <x:v>有效</x:v>
      </x:c>
      <x:c r="O65" s="4" t="str">
        <x:f t="shared" si="1">IF($D65&lt;$D64,"下降","")</x:f>
      </x:c>
      <x:c r="P65" s="4" t="str">
        <x:v>统一标准模型；只列TowerEnemyFormation未停用的包体1 ID，包体2～4停用引用已清空</x:v>
      </x:c>
    </x:row>
    <x:row r="66" ht="14.25" customHeight="1">
      <x:c r="A66" s="4" t="s">
        <x:v>58</x:v>
      </x:c>
      <x:c r="B66" s="4">
        <x:v>62</x:v>
      </x:c>
      <x:c r="C66" s="4">
        <x:v>62</x:v>
      </x:c>
      <x:c r="D66" s="37" t="n">
        <x:f>ROUND('难度节点'!$C$8+($B66-'难度节点'!$A$8)*('难度节点'!$C$9-'难度节点'!$C$8)/('难度节点'!$A$9-'难度节点'!$A$8),0)</x:f>
        <x:v>223</x:v>
      </x:c>
      <x:c r="E66" s="17" t="n">
        <x:v>1.1534772820596615</x:v>
      </x:c>
      <x:c r="F66" s="17" t="n">
        <x:v>0.6915636763222754</x:v>
      </x:c>
      <x:c r="G66" s="17">
        <x:v>1</x:v>
      </x:c>
      <x:c r="H66" s="8" t="n">
        <x:v>300063</x:v>
      </x:c>
      <x:c r="I66" s="8"/>
      <x:c r="J66" s="8"/>
      <x:c r="K66" s="8"/>
      <x:c r="L66" s="8" t="str">
        <x:v>300063</x:v>
      </x:c>
      <x:c r="M66" s="4" t="n">
        <x:f>COUNTIF('TeamHero生成'!$J$5:$J$504,$C66)</x:f>
        <x:v>5</x:v>
      </x:c>
      <x:c r="N66" s="4" t="str">
        <x:f t="shared" si="0">IF(AND(ISNUMBER($D66),$D66&gt;=1,$D66&lt;=500,MOD($D66,1)=0),"有效","无效")</x:f>
        <x:v>有效</x:v>
      </x:c>
      <x:c r="O66" s="4" t="str">
        <x:f t="shared" si="1">IF($D66&lt;$D65,"下降","")</x:f>
      </x:c>
      <x:c r="P66" s="4" t="str">
        <x:v>统一标准模型；只列TowerEnemyFormation未停用的包体1 ID，包体2～4停用引用已清空</x:v>
      </x:c>
    </x:row>
    <x:row r="67" ht="14.25" customHeight="1">
      <x:c r="A67" s="4" t="s">
        <x:v>58</x:v>
      </x:c>
      <x:c r="B67" s="4">
        <x:v>63</x:v>
      </x:c>
      <x:c r="C67" s="4">
        <x:v>63</x:v>
      </x:c>
      <x:c r="D67" s="37" t="n">
        <x:f>ROUND('难度节点'!$C$8+($B67-'难度节点'!$A$8)*('难度节点'!$C$9-'难度节点'!$C$8)/('难度节点'!$A$9-'难度节点'!$A$8),0)</x:f>
        <x:v>225</x:v>
      </x:c>
      <x:c r="E67" s="17" t="n">
        <x:v>1.1490046282066768</x:v>
      </x:c>
      <x:c r="F67" s="17" t="n">
        <x:v>0.6910327775460491</x:v>
      </x:c>
      <x:c r="G67" s="17">
        <x:v>1</x:v>
      </x:c>
      <x:c r="H67" s="8" t="n">
        <x:v>300064</x:v>
      </x:c>
      <x:c r="I67" s="8"/>
      <x:c r="J67" s="8"/>
      <x:c r="K67" s="8"/>
      <x:c r="L67" s="8" t="str">
        <x:v>300064</x:v>
      </x:c>
      <x:c r="M67" s="4" t="n">
        <x:f>COUNTIF('TeamHero生成'!$J$5:$J$504,$C67)</x:f>
        <x:v>5</x:v>
      </x:c>
      <x:c r="N67" s="4" t="str">
        <x:f t="shared" si="0">IF(AND(ISNUMBER($D67),$D67&gt;=1,$D67&lt;=500,MOD($D67,1)=0),"有效","无效")</x:f>
        <x:v>有效</x:v>
      </x:c>
      <x:c r="O67" s="4" t="str">
        <x:f t="shared" si="1">IF($D67&lt;$D66,"下降","")</x:f>
      </x:c>
      <x:c r="P67" s="4" t="str">
        <x:v>统一标准模型；只列TowerEnemyFormation未停用的包体1 ID，包体2～4停用引用已清空</x:v>
      </x:c>
    </x:row>
    <x:row r="68" ht="14.25" customHeight="1">
      <x:c r="A68" s="4" t="s">
        <x:v>58</x:v>
      </x:c>
      <x:c r="B68" s="4">
        <x:v>64</x:v>
      </x:c>
      <x:c r="C68" s="4">
        <x:v>64</x:v>
      </x:c>
      <x:c r="D68" s="37" t="n">
        <x:f>ROUND('难度节点'!$C$8+($B68-'难度节点'!$A$8)*('难度节点'!$C$9-'难度节点'!$C$8)/('难度节点'!$A$9-'难度节点'!$A$8),0)</x:f>
        <x:v>227</x:v>
      </x:c>
      <x:c r="E68" s="17" t="n">
        <x:v>1.155487359135032</x:v>
      </x:c>
      <x:c r="F68" s="17" t="n">
        <x:v>0.6953781811083759</x:v>
      </x:c>
      <x:c r="G68" s="17">
        <x:v>1</x:v>
      </x:c>
      <x:c r="H68" s="8" t="n">
        <x:v>300065</x:v>
      </x:c>
      <x:c r="I68" s="8"/>
      <x:c r="J68" s="8"/>
      <x:c r="K68" s="8"/>
      <x:c r="L68" s="8" t="str">
        <x:v>300065</x:v>
      </x:c>
      <x:c r="M68" s="4" t="n">
        <x:f>COUNTIF('TeamHero生成'!$J$5:$J$504,$C68)</x:f>
        <x:v>5</x:v>
      </x:c>
      <x:c r="N68" s="4" t="str">
        <x:f t="shared" si="0">IF(AND(ISNUMBER($D68),$D68&gt;=1,$D68&lt;=500,MOD($D68,1)=0),"有效","无效")</x:f>
        <x:v>有效</x:v>
      </x:c>
      <x:c r="O68" s="4" t="str">
        <x:f t="shared" si="1">IF($D68&lt;$D67,"下降","")</x:f>
      </x:c>
      <x:c r="P68" s="4" t="str">
        <x:v>统一标准模型；只列TowerEnemyFormation未停用的包体1 ID，包体2～4停用引用已清空</x:v>
      </x:c>
    </x:row>
    <x:row r="69" ht="14.25" customHeight="1">
      <x:c r="A69" s="4" t="s">
        <x:v>58</x:v>
      </x:c>
      <x:c r="B69" s="4">
        <x:v>65</x:v>
      </x:c>
      <x:c r="C69" s="4">
        <x:v>65</x:v>
      </x:c>
      <x:c r="D69" s="37" t="n">
        <x:f>ROUND('难度节点'!$C$8+($B69-'难度节点'!$A$8)*('难度节点'!$C$9-'难度节点'!$C$8)/('难度节点'!$A$9-'难度节点'!$A$8),0)</x:f>
        <x:v>229</x:v>
      </x:c>
      <x:c r="E69" s="17" t="n">
        <x:v>1.1486545190758795</x:v>
      </x:c>
      <x:c r="F69" s="17" t="n">
        <x:v>0.6928545245674523</x:v>
      </x:c>
      <x:c r="G69" s="17">
        <x:v>1</x:v>
      </x:c>
      <x:c r="H69" s="8" t="n">
        <x:v>300066</x:v>
      </x:c>
      <x:c r="I69" s="8"/>
      <x:c r="J69" s="8"/>
      <x:c r="K69" s="8"/>
      <x:c r="L69" s="8" t="str">
        <x:v>300066</x:v>
      </x:c>
      <x:c r="M69" s="4" t="n">
        <x:f>COUNTIF('TeamHero生成'!$J$5:$J$504,$C69)</x:f>
        <x:v>5</x:v>
      </x:c>
      <x:c r="N69" s="4" t="str">
        <x:f t="shared" ref="N69:N104" si="2">IF(AND(ISNUMBER($D69),$D69&gt;=1,$D69&lt;=500,MOD($D69,1)=0),"有效","无效")</x:f>
        <x:v>有效</x:v>
      </x:c>
      <x:c r="O69" s="4" t="str">
        <x:f t="shared" si="1">IF($D69&lt;$D68,"下降","")</x:f>
      </x:c>
      <x:c r="P69" s="4" t="str">
        <x:v>统一标准模型；只列TowerEnemyFormation未停用的包体1 ID，包体2～4停用引用已清空</x:v>
      </x:c>
    </x:row>
    <x:row r="70" ht="14.25" customHeight="1">
      <x:c r="A70" s="4" t="s">
        <x:v>58</x:v>
      </x:c>
      <x:c r="B70" s="4">
        <x:v>66</x:v>
      </x:c>
      <x:c r="C70" s="4">
        <x:v>66</x:v>
      </x:c>
      <x:c r="D70" s="37" t="n">
        <x:f>ROUND('难度节点'!$C$8+($B70-'难度节点'!$A$8)*('难度节点'!$C$9-'难度节点'!$C$8)/('难度节点'!$A$9-'难度节点'!$A$8),0)</x:f>
        <x:v>230</x:v>
      </x:c>
      <x:c r="E70" s="17" t="n">
        <x:v>1.1559564738698285</x:v>
      </x:c>
      <x:c r="F70" s="17" t="n">
        <x:v>0.6978432581198271</x:v>
      </x:c>
      <x:c r="G70" s="17">
        <x:v>1</x:v>
      </x:c>
      <x:c r="H70" s="8" t="n">
        <x:v>300067</x:v>
      </x:c>
      <x:c r="I70" s="8"/>
      <x:c r="J70" s="8"/>
      <x:c r="K70" s="8"/>
      <x:c r="L70" s="8" t="str">
        <x:v>300067</x:v>
      </x:c>
      <x:c r="M70" s="4" t="n">
        <x:f>COUNTIF('TeamHero生成'!$J$5:$J$504,$C70)</x:f>
        <x:v>5</x:v>
      </x:c>
      <x:c r="N70" s="4" t="str">
        <x:f t="shared" si="2">IF(AND(ISNUMBER($D70),$D70&gt;=1,$D70&lt;=500,MOD($D70,1)=0),"有效","无效")</x:f>
        <x:v>有效</x:v>
      </x:c>
      <x:c r="O70" s="4" t="str">
        <x:f t="shared" ref="O70:O104" si="3">IF($D70&lt;$D69,"下降","")</x:f>
      </x:c>
      <x:c r="P70" s="4" t="str">
        <x:v>统一标准模型；只列TowerEnemyFormation未停用的包体1 ID，包体2～4停用引用已清空</x:v>
      </x:c>
    </x:row>
    <x:row r="71" ht="14.25" customHeight="1">
      <x:c r="A71" s="4" t="s">
        <x:v>58</x:v>
      </x:c>
      <x:c r="B71" s="4">
        <x:v>67</x:v>
      </x:c>
      <x:c r="C71" s="4">
        <x:v>67</x:v>
      </x:c>
      <x:c r="D71" s="37" t="n">
        <x:f>ROUND('难度节点'!$C$8+($B71-'难度节点'!$A$8)*('难度节点'!$C$9-'难度节点'!$C$8)/('难度节点'!$A$9-'难度节点'!$A$8),0)</x:f>
        <x:v>232</x:v>
      </x:c>
      <x:c r="E71" s="17" t="n">
        <x:v>1.1494949733067685</x:v>
      </x:c>
      <x:c r="F71" s="17" t="n">
        <x:v>0.69706434169526</x:v>
      </x:c>
      <x:c r="G71" s="17">
        <x:v>1</x:v>
      </x:c>
      <x:c r="H71" s="8" t="n">
        <x:v>300068</x:v>
      </x:c>
      <x:c r="I71" s="8"/>
      <x:c r="J71" s="8"/>
      <x:c r="K71" s="8"/>
      <x:c r="L71" s="8" t="str">
        <x:v>300068</x:v>
      </x:c>
      <x:c r="M71" s="4" t="n">
        <x:f>COUNTIF('TeamHero生成'!$J$5:$J$504,$C71)</x:f>
        <x:v>5</x:v>
      </x:c>
      <x:c r="N71" s="4" t="str">
        <x:f t="shared" si="2">IF(AND(ISNUMBER($D71),$D71&gt;=1,$D71&lt;=500,MOD($D71,1)=0),"有效","无效")</x:f>
        <x:v>有效</x:v>
      </x:c>
      <x:c r="O71" s="4" t="str">
        <x:f t="shared" si="3">IF($D71&lt;$D70,"下降","")</x:f>
      </x:c>
      <x:c r="P71" s="4" t="str">
        <x:v>统一标准模型；只列TowerEnemyFormation未停用的包体1 ID，包体2～4停用引用已清空</x:v>
      </x:c>
    </x:row>
    <x:row r="72" ht="14.25" customHeight="1">
      <x:c r="A72" s="4" t="s">
        <x:v>58</x:v>
      </x:c>
      <x:c r="B72" s="4">
        <x:v>68</x:v>
      </x:c>
      <x:c r="C72" s="4">
        <x:v>68</x:v>
      </x:c>
      <x:c r="D72" s="37" t="n">
        <x:f>ROUND('难度节点'!$C$8+($B72-'难度节点'!$A$8)*('难度节点'!$C$9-'难度节点'!$C$8)/('难度节点'!$A$9-'难度节点'!$A$8),0)</x:f>
        <x:v>234</x:v>
      </x:c>
      <x:c r="E72" s="17" t="n">
        <x:v>1.147877967489168</x:v>
      </x:c>
      <x:c r="F72" s="17" t="n">
        <x:v>0.6974713822189705</x:v>
      </x:c>
      <x:c r="G72" s="17">
        <x:v>1</x:v>
      </x:c>
      <x:c r="H72" s="8" t="n">
        <x:v>300069</x:v>
      </x:c>
      <x:c r="I72" s="8"/>
      <x:c r="J72" s="8"/>
      <x:c r="K72" s="8"/>
      <x:c r="L72" s="8" t="str">
        <x:v>300069</x:v>
      </x:c>
      <x:c r="M72" s="4" t="n">
        <x:f>COUNTIF('TeamHero生成'!$J$5:$J$504,$C72)</x:f>
        <x:v>5</x:v>
      </x:c>
      <x:c r="N72" s="4" t="str">
        <x:f t="shared" si="2">IF(AND(ISNUMBER($D72),$D72&gt;=1,$D72&lt;=500,MOD($D72,1)=0),"有效","无效")</x:f>
        <x:v>有效</x:v>
      </x:c>
      <x:c r="O72" s="4" t="str">
        <x:f t="shared" si="3">IF($D72&lt;$D71,"下降","")</x:f>
      </x:c>
      <x:c r="P72" s="4" t="str">
        <x:v>统一标准模型；只列TowerEnemyFormation未停用的包体1 ID，包体2～4停用引用已清空</x:v>
      </x:c>
    </x:row>
    <x:row r="73" ht="14.25" customHeight="1">
      <x:c r="A73" s="4" t="s">
        <x:v>58</x:v>
      </x:c>
      <x:c r="B73" s="4">
        <x:v>69</x:v>
      </x:c>
      <x:c r="C73" s="4">
        <x:v>69</x:v>
      </x:c>
      <x:c r="D73" s="37" t="n">
        <x:f>ROUND('难度节点'!$C$8+($B73-'难度节点'!$A$8)*('难度节点'!$C$9-'难度节点'!$C$8)/('难度节点'!$A$9-'难度节点'!$A$8),0)</x:f>
        <x:v>236</x:v>
      </x:c>
      <x:c r="E73" s="17" t="n">
        <x:v>1.1426697501647718</x:v>
      </x:c>
      <x:c r="F73" s="17" t="n">
        <x:v>0.6971931229020094</x:v>
      </x:c>
      <x:c r="G73" s="17">
        <x:v>1</x:v>
      </x:c>
      <x:c r="H73" s="8" t="n">
        <x:v>300070</x:v>
      </x:c>
      <x:c r="I73" s="8"/>
      <x:c r="J73" s="8"/>
      <x:c r="K73" s="8"/>
      <x:c r="L73" s="8" t="str">
        <x:v>300070</x:v>
      </x:c>
      <x:c r="M73" s="4" t="n">
        <x:f>COUNTIF('TeamHero生成'!$J$5:$J$504,$C73)</x:f>
        <x:v>5</x:v>
      </x:c>
      <x:c r="N73" s="4" t="str">
        <x:f t="shared" si="2">IF(AND(ISNUMBER($D73),$D73&gt;=1,$D73&lt;=500,MOD($D73,1)=0),"有效","无效")</x:f>
        <x:v>有效</x:v>
      </x:c>
      <x:c r="O73" s="4" t="str">
        <x:f t="shared" si="3">IF($D73&lt;$D72,"下降","")</x:f>
      </x:c>
      <x:c r="P73" s="4" t="str">
        <x:v>统一标准模型；只列TowerEnemyFormation未停用的包体1 ID，包体2～4停用引用已清空</x:v>
      </x:c>
    </x:row>
    <x:row r="74" ht="14.25" customHeight="1">
      <x:c r="A74" s="4" t="s">
        <x:v>58</x:v>
      </x:c>
      <x:c r="B74" s="4">
        <x:v>70</x:v>
      </x:c>
      <x:c r="C74" s="4">
        <x:v>70</x:v>
      </x:c>
      <x:c r="D74" s="37" t="n">
        <x:f>ROUND('难度节点'!$C$8+($B74-'难度节点'!$A$8)*('难度节点'!$C$9-'难度节点'!$C$8)/('难度节点'!$A$9-'难度节点'!$A$8),0)</x:f>
        <x:v>238</x:v>
      </x:c>
      <x:c r="E74" s="17" t="n">
        <x:v>1.1462474158732046</x:v>
      </x:c>
      <x:c r="F74" s="17" t="n">
        <x:v>0.6994928201498182</x:v>
      </x:c>
      <x:c r="G74" s="17">
        <x:v>1</x:v>
      </x:c>
      <x:c r="H74" s="8" t="n">
        <x:v>300071</x:v>
      </x:c>
      <x:c r="I74" s="8"/>
      <x:c r="J74" s="8"/>
      <x:c r="K74" s="8"/>
      <x:c r="L74" s="8" t="str">
        <x:v>300071</x:v>
      </x:c>
      <x:c r="M74" s="4" t="n">
        <x:f>COUNTIF('TeamHero生成'!$J$5:$J$504,$C74)</x:f>
        <x:v>5</x:v>
      </x:c>
      <x:c r="N74" s="4" t="str">
        <x:f t="shared" si="2">IF(AND(ISNUMBER($D74),$D74&gt;=1,$D74&lt;=500,MOD($D74,1)=0),"有效","无效")</x:f>
        <x:v>有效</x:v>
      </x:c>
      <x:c r="O74" s="4" t="str">
        <x:f t="shared" si="3">IF($D74&lt;$D73,"下降","")</x:f>
      </x:c>
      <x:c r="P74" s="4" t="str">
        <x:v>统一标准模型；只列TowerEnemyFormation未停用的包体1 ID，包体2～4停用引用已清空</x:v>
      </x:c>
    </x:row>
    <x:row r="75" ht="14.25" customHeight="1">
      <x:c r="A75" s="4" t="s">
        <x:v>58</x:v>
      </x:c>
      <x:c r="B75" s="4">
        <x:v>71</x:v>
      </x:c>
      <x:c r="C75" s="4">
        <x:v>71</x:v>
      </x:c>
      <x:c r="D75" s="37" t="n">
        <x:f>ROUND('难度节点'!$C$9+($B75-'难度节点'!$A$9)*('难度节点'!$C$10-'难度节点'!$C$9)/('难度节点'!$A$10-'难度节点'!$A$9),0)</x:f>
        <x:v>240</x:v>
      </x:c>
      <x:c r="E75" s="17" t="n">
        <x:v>1.1432473214058378</x:v>
      </x:c>
      <x:c r="F75" s="17" t="n">
        <x:v>0.7001282887962803</x:v>
      </x:c>
      <x:c r="G75" s="17">
        <x:v>1</x:v>
      </x:c>
      <x:c r="H75" s="8" t="n">
        <x:v>300072</x:v>
      </x:c>
      <x:c r="I75" s="8"/>
      <x:c r="J75" s="8"/>
      <x:c r="K75" s="8"/>
      <x:c r="L75" s="8" t="str">
        <x:v>300072</x:v>
      </x:c>
      <x:c r="M75" s="4" t="n">
        <x:f>COUNTIF('TeamHero生成'!$J$5:$J$504,$C75)</x:f>
        <x:v>5</x:v>
      </x:c>
      <x:c r="N75" s="4" t="str">
        <x:f t="shared" si="2">IF(AND(ISNUMBER($D75),$D75&gt;=1,$D75&lt;=500,MOD($D75,1)=0),"有效","无效")</x:f>
        <x:v>有效</x:v>
      </x:c>
      <x:c r="O75" s="4" t="str">
        <x:f t="shared" si="3">IF($D75&lt;$D74,"下降","")</x:f>
      </x:c>
      <x:c r="P75" s="4" t="str">
        <x:v>统一标准模型；只列TowerEnemyFormation未停用的包体1 ID，包体2～4停用引用已清空</x:v>
      </x:c>
    </x:row>
    <x:row r="76" ht="14.25" customHeight="1">
      <x:c r="A76" s="4" t="s">
        <x:v>58</x:v>
      </x:c>
      <x:c r="B76" s="4">
        <x:v>72</x:v>
      </x:c>
      <x:c r="C76" s="4">
        <x:v>72</x:v>
      </x:c>
      <x:c r="D76" s="37" t="n">
        <x:f>ROUND('难度节点'!$C$9+($B76-'难度节点'!$A$9)*('难度节点'!$C$10-'难度节点'!$C$9)/('难度节点'!$A$10-'难度节点'!$A$9),0)</x:f>
        <x:v>241</x:v>
      </x:c>
      <x:c r="E76" s="17" t="n">
        <x:v>1.1399375298951537</x:v>
      </x:c>
      <x:c r="F76" s="17" t="n">
        <x:v>0.7003094632871238</x:v>
      </x:c>
      <x:c r="G76" s="17">
        <x:v>1</x:v>
      </x:c>
      <x:c r="H76" s="8" t="n">
        <x:v>300073</x:v>
      </x:c>
      <x:c r="I76" s="8"/>
      <x:c r="J76" s="8"/>
      <x:c r="K76" s="8"/>
      <x:c r="L76" s="8" t="str">
        <x:v>300073</x:v>
      </x:c>
      <x:c r="M76" s="4" t="n">
        <x:f>COUNTIF('TeamHero生成'!$J$5:$J$504,$C76)</x:f>
        <x:v>5</x:v>
      </x:c>
      <x:c r="N76" s="4" t="str">
        <x:f t="shared" si="2">IF(AND(ISNUMBER($D76),$D76&gt;=1,$D76&lt;=500,MOD($D76,1)=0),"有效","无效")</x:f>
        <x:v>有效</x:v>
      </x:c>
      <x:c r="O76" s="4" t="str">
        <x:f t="shared" si="3">IF($D76&lt;$D75,"下降","")</x:f>
      </x:c>
      <x:c r="P76" s="4" t="str">
        <x:v>统一标准模型；只列TowerEnemyFormation未停用的包体1 ID，包体2～4停用引用已清空</x:v>
      </x:c>
    </x:row>
    <x:row r="77" ht="14.25" customHeight="1">
      <x:c r="A77" s="4" t="s">
        <x:v>58</x:v>
      </x:c>
      <x:c r="B77" s="4">
        <x:v>73</x:v>
      </x:c>
      <x:c r="C77" s="4">
        <x:v>73</x:v>
      </x:c>
      <x:c r="D77" s="37" t="n">
        <x:f>ROUND('难度节点'!$C$9+($B77-'难度节点'!$A$9)*('难度节点'!$C$10-'难度节点'!$C$9)/('难度节点'!$A$10-'难度节点'!$A$9),0)</x:f>
        <x:v>243</x:v>
      </x:c>
      <x:c r="E77" s="17" t="n">
        <x:v>1.1496454467745167</x:v>
      </x:c>
      <x:c r="F77" s="17" t="n">
        <x:v>0.7052939283171508</x:v>
      </x:c>
      <x:c r="G77" s="17">
        <x:v>1</x:v>
      </x:c>
      <x:c r="H77" s="8" t="n">
        <x:v>300074</x:v>
      </x:c>
      <x:c r="I77" s="8"/>
      <x:c r="J77" s="8"/>
      <x:c r="K77" s="8"/>
      <x:c r="L77" s="8" t="str">
        <x:v>300074</x:v>
      </x:c>
      <x:c r="M77" s="4" t="n">
        <x:f>COUNTIF('TeamHero生成'!$J$5:$J$504,$C77)</x:f>
        <x:v>5</x:v>
      </x:c>
      <x:c r="N77" s="4" t="str">
        <x:f t="shared" si="2">IF(AND(ISNUMBER($D77),$D77&gt;=1,$D77&lt;=500,MOD($D77,1)=0),"有效","无效")</x:f>
        <x:v>有效</x:v>
      </x:c>
      <x:c r="O77" s="4" t="str">
        <x:f t="shared" si="3">IF($D77&lt;$D76,"下降","")</x:f>
      </x:c>
      <x:c r="P77" s="4" t="str">
        <x:v>统一标准模型；只列TowerEnemyFormation未停用的包体1 ID，包体2～4停用引用已清空</x:v>
      </x:c>
    </x:row>
    <x:row r="78" ht="14.25" customHeight="1">
      <x:c r="A78" s="4" t="s">
        <x:v>58</x:v>
      </x:c>
      <x:c r="B78" s="4">
        <x:v>74</x:v>
      </x:c>
      <x:c r="C78" s="4">
        <x:v>74</x:v>
      </x:c>
      <x:c r="D78" s="37" t="n">
        <x:f>ROUND('难度节点'!$C$9+($B78-'难度节点'!$A$9)*('难度节点'!$C$10-'难度节点'!$C$9)/('难度节点'!$A$10-'难度节点'!$A$9),0)</x:f>
        <x:v>245</x:v>
      </x:c>
      <x:c r="E78" s="17" t="n">
        <x:v>1.1476413007492718</x:v>
      </x:c>
      <x:c r="F78" s="17" t="n">
        <x:v>0.7060383695368859</x:v>
      </x:c>
      <x:c r="G78" s="17">
        <x:v>1</x:v>
      </x:c>
      <x:c r="H78" s="8" t="n">
        <x:v>300075</x:v>
      </x:c>
      <x:c r="I78" s="8"/>
      <x:c r="J78" s="8"/>
      <x:c r="K78" s="8"/>
      <x:c r="L78" s="8" t="str">
        <x:v>300075</x:v>
      </x:c>
      <x:c r="M78" s="4" t="n">
        <x:f>COUNTIF('TeamHero生成'!$J$5:$J$504,$C78)</x:f>
        <x:v>5</x:v>
      </x:c>
      <x:c r="N78" s="4" t="str">
        <x:f t="shared" si="2">IF(AND(ISNUMBER($D78),$D78&gt;=1,$D78&lt;=500,MOD($D78,1)=0),"有效","无效")</x:f>
        <x:v>有效</x:v>
      </x:c>
      <x:c r="O78" s="4" t="str">
        <x:f t="shared" si="3">IF($D78&lt;$D77,"下降","")</x:f>
      </x:c>
      <x:c r="P78" s="4" t="str">
        <x:v>统一标准模型；只列TowerEnemyFormation未停用的包体1 ID，包体2～4停用引用已清空</x:v>
      </x:c>
    </x:row>
    <x:row r="79" ht="14.25" customHeight="1">
      <x:c r="A79" s="4" t="s">
        <x:v>58</x:v>
      </x:c>
      <x:c r="B79" s="4">
        <x:v>75</x:v>
      </x:c>
      <x:c r="C79" s="4">
        <x:v>75</x:v>
      </x:c>
      <x:c r="D79" s="37" t="n">
        <x:f>ROUND('难度节点'!$C$9+($B79-'难度节点'!$A$9)*('难度节点'!$C$10-'难度节点'!$C$9)/('难度节点'!$A$10-'难度节点'!$A$9),0)</x:f>
        <x:v>247</x:v>
      </x:c>
      <x:c r="E79" s="17" t="n">
        <x:v>1.1409761735319754</x:v>
      </x:c>
      <x:c r="F79" s="17" t="n">
        <x:v>0.7041448943169754</x:v>
      </x:c>
      <x:c r="G79" s="17">
        <x:v>1</x:v>
      </x:c>
      <x:c r="H79" s="8" t="n">
        <x:v>300076</x:v>
      </x:c>
      <x:c r="I79" s="8"/>
      <x:c r="J79" s="8"/>
      <x:c r="K79" s="8"/>
      <x:c r="L79" s="8" t="str">
        <x:v>300076</x:v>
      </x:c>
      <x:c r="M79" s="4" t="n">
        <x:f>COUNTIF('TeamHero生成'!$J$5:$J$504,$C79)</x:f>
        <x:v>5</x:v>
      </x:c>
      <x:c r="N79" s="4" t="str">
        <x:f t="shared" si="2">IF(AND(ISNUMBER($D79),$D79&gt;=1,$D79&lt;=500,MOD($D79,1)=0),"有效","无效")</x:f>
        <x:v>有效</x:v>
      </x:c>
      <x:c r="O79" s="4" t="str">
        <x:f t="shared" si="3">IF($D79&lt;$D78,"下降","")</x:f>
      </x:c>
      <x:c r="P79" s="4" t="str">
        <x:v>统一标准模型；只列TowerEnemyFormation未停用的包体1 ID，包体2～4停用引用已清空</x:v>
      </x:c>
    </x:row>
    <x:row r="80" ht="14.25" customHeight="1">
      <x:c r="A80" s="4" t="s">
        <x:v>58</x:v>
      </x:c>
      <x:c r="B80" s="4">
        <x:v>76</x:v>
      </x:c>
      <x:c r="C80" s="4">
        <x:v>76</x:v>
      </x:c>
      <x:c r="D80" s="37" t="n">
        <x:f>ROUND('难度节点'!$C$9+($B80-'难度节点'!$A$9)*('难度节点'!$C$10-'难度节点'!$C$9)/('难度节点'!$A$10-'难度节点'!$A$9),0)</x:f>
        <x:v>248</x:v>
      </x:c>
      <x:c r="E80" s="17" t="n">
        <x:v>1.1509555592985372</x:v>
      </x:c>
      <x:c r="F80" s="17" t="n">
        <x:v>0.7094589601681451</x:v>
      </x:c>
      <x:c r="G80" s="17">
        <x:v>1</x:v>
      </x:c>
      <x:c r="H80" s="8" t="n">
        <x:v>300077</x:v>
      </x:c>
      <x:c r="I80" s="8"/>
      <x:c r="J80" s="8"/>
      <x:c r="K80" s="8"/>
      <x:c r="L80" s="8" t="str">
        <x:v>300077</x:v>
      </x:c>
      <x:c r="M80" s="4" t="n">
        <x:f>COUNTIF('TeamHero生成'!$J$5:$J$504,$C80)</x:f>
        <x:v>5</x:v>
      </x:c>
      <x:c r="N80" s="4" t="str">
        <x:f t="shared" si="2">IF(AND(ISNUMBER($D80),$D80&gt;=1,$D80&lt;=500,MOD($D80,1)=0),"有效","无效")</x:f>
        <x:v>有效</x:v>
      </x:c>
      <x:c r="O80" s="4" t="str">
        <x:f t="shared" si="3">IF($D80&lt;$D79,"下降","")</x:f>
      </x:c>
      <x:c r="P80" s="4" t="str">
        <x:v>统一标准模型；只列TowerEnemyFormation未停用的包体1 ID，包体2～4停用引用已清空</x:v>
      </x:c>
    </x:row>
    <x:row r="81" ht="14.25" customHeight="1">
      <x:c r="A81" s="4" t="s">
        <x:v>58</x:v>
      </x:c>
      <x:c r="B81" s="4">
        <x:v>77</x:v>
      </x:c>
      <x:c r="C81" s="4">
        <x:v>77</x:v>
      </x:c>
      <x:c r="D81" s="37" t="n">
        <x:f>ROUND('难度节点'!$C$9+($B81-'难度节点'!$A$9)*('难度节点'!$C$10-'难度节点'!$C$9)/('难度节点'!$A$10-'难度节点'!$A$9),0)</x:f>
        <x:v>250</x:v>
      </x:c>
      <x:c r="E81" s="17" t="n">
        <x:v>1.1459855579844218</x:v>
      </x:c>
      <x:c r="F81" s="17" t="n">
        <x:v>0.7091062096276908</x:v>
      </x:c>
      <x:c r="G81" s="17">
        <x:v>1</x:v>
      </x:c>
      <x:c r="H81" s="8" t="n">
        <x:v>300078</x:v>
      </x:c>
      <x:c r="I81" s="8"/>
      <x:c r="J81" s="8"/>
      <x:c r="K81" s="8"/>
      <x:c r="L81" s="8" t="str">
        <x:v>300078</x:v>
      </x:c>
      <x:c r="M81" s="4" t="n">
        <x:f>COUNTIF('TeamHero生成'!$J$5:$J$504,$C81)</x:f>
        <x:v>5</x:v>
      </x:c>
      <x:c r="N81" s="4" t="str">
        <x:f t="shared" si="2">IF(AND(ISNUMBER($D81),$D81&gt;=1,$D81&lt;=500,MOD($D81,1)=0),"有效","无效")</x:f>
        <x:v>有效</x:v>
      </x:c>
      <x:c r="O81" s="4" t="str">
        <x:f t="shared" si="3">IF($D81&lt;$D80,"下降","")</x:f>
      </x:c>
      <x:c r="P81" s="4" t="str">
        <x:v>统一标准模型；只列TowerEnemyFormation未停用的包体1 ID，包体2～4停用引用已清空</x:v>
      </x:c>
    </x:row>
    <x:row r="82" ht="14.25" customHeight="1">
      <x:c r="A82" s="4" t="s">
        <x:v>58</x:v>
      </x:c>
      <x:c r="B82" s="4">
        <x:v>78</x:v>
      </x:c>
      <x:c r="C82" s="4">
        <x:v>78</x:v>
      </x:c>
      <x:c r="D82" s="37" t="n">
        <x:f>ROUND('难度节点'!$C$9+($B82-'难度节点'!$A$9)*('难度节点'!$C$10-'难度节点'!$C$9)/('难度节点'!$A$10-'难度节点'!$A$9),0)</x:f>
        <x:v>252</x:v>
      </x:c>
      <x:c r="E82" s="17" t="n">
        <x:v>1.1437216795143024</x:v>
      </x:c>
      <x:c r="F82" s="17" t="n">
        <x:v>0.7096595826202481</x:v>
      </x:c>
      <x:c r="G82" s="17">
        <x:v>1</x:v>
      </x:c>
      <x:c r="H82" s="8" t="n">
        <x:v>300079</x:v>
      </x:c>
      <x:c r="I82" s="8"/>
      <x:c r="J82" s="8"/>
      <x:c r="K82" s="8"/>
      <x:c r="L82" s="8" t="str">
        <x:v>300079</x:v>
      </x:c>
      <x:c r="M82" s="4" t="n">
        <x:f>COUNTIF('TeamHero生成'!$J$5:$J$504,$C82)</x:f>
        <x:v>5</x:v>
      </x:c>
      <x:c r="N82" s="4" t="str">
        <x:f t="shared" si="2">IF(AND(ISNUMBER($D82),$D82&gt;=1,$D82&lt;=500,MOD($D82,1)=0),"有效","无效")</x:f>
        <x:v>有效</x:v>
      </x:c>
      <x:c r="O82" s="4" t="str">
        <x:f t="shared" si="3">IF($D82&lt;$D81,"下降","")</x:f>
      </x:c>
      <x:c r="P82" s="4" t="str">
        <x:v>统一标准模型；只列TowerEnemyFormation未停用的包体1 ID，包体2～4停用引用已清空</x:v>
      </x:c>
    </x:row>
    <x:row r="83" ht="14.25" customHeight="1">
      <x:c r="A83" s="4" t="s">
        <x:v>58</x:v>
      </x:c>
      <x:c r="B83" s="4">
        <x:v>79</x:v>
      </x:c>
      <x:c r="C83" s="4">
        <x:v>79</x:v>
      </x:c>
      <x:c r="D83" s="37" t="n">
        <x:f>ROUND('难度节点'!$C$9+($B83-'难度节点'!$A$9)*('难度节点'!$C$10-'难度节点'!$C$9)/('难度节点'!$A$10-'难度节点'!$A$9),0)</x:f>
        <x:v>253</x:v>
      </x:c>
      <x:c r="E83" s="17" t="n">
        <x:v>1.1419597482067845</x:v>
      </x:c>
      <x:c r="F83" s="17" t="n">
        <x:v>0.7104112554337726</x:v>
      </x:c>
      <x:c r="G83" s="17">
        <x:v>1</x:v>
      </x:c>
      <x:c r="H83" s="8" t="n">
        <x:v>300080</x:v>
      </x:c>
      <x:c r="I83" s="8"/>
      <x:c r="J83" s="8"/>
      <x:c r="K83" s="8"/>
      <x:c r="L83" s="8" t="str">
        <x:v>300080</x:v>
      </x:c>
      <x:c r="M83" s="4" t="n">
        <x:f>COUNTIF('TeamHero生成'!$J$5:$J$504,$C83)</x:f>
        <x:v>5</x:v>
      </x:c>
      <x:c r="N83" s="4" t="str">
        <x:f t="shared" si="2">IF(AND(ISNUMBER($D83),$D83&gt;=1,$D83&lt;=500,MOD($D83,1)=0),"有效","无效")</x:f>
        <x:v>有效</x:v>
      </x:c>
      <x:c r="O83" s="4" t="str">
        <x:f t="shared" si="3">IF($D83&lt;$D82,"下降","")</x:f>
      </x:c>
      <x:c r="P83" s="4" t="str">
        <x:v>统一标准模型；只列TowerEnemyFormation未停用的包体1 ID，包体2～4停用引用已清空</x:v>
      </x:c>
    </x:row>
    <x:row r="84" ht="14.25" customHeight="1">
      <x:c r="A84" s="4" t="s">
        <x:v>58</x:v>
      </x:c>
      <x:c r="B84" s="4">
        <x:v>80</x:v>
      </x:c>
      <x:c r="C84" s="4">
        <x:v>80</x:v>
      </x:c>
      <x:c r="D84" s="37" t="n">
        <x:f>ROUND('难度节点'!$C$9+($B84-'难度节点'!$A$9)*('难度节点'!$C$10-'难度节点'!$C$9)/('难度节点'!$A$10-'难度节点'!$A$9),0)</x:f>
        <x:v>255</x:v>
      </x:c>
      <x:c r="E84" s="17" t="n">
        <x:v>1.1393758649270551</x:v>
      </x:c>
      <x:c r="F84" s="17" t="n">
        <x:v>0.7103324030900598</x:v>
      </x:c>
      <x:c r="G84" s="17">
        <x:v>1</x:v>
      </x:c>
      <x:c r="H84" s="8" t="n">
        <x:v>300081</x:v>
      </x:c>
      <x:c r="I84" s="8"/>
      <x:c r="J84" s="8"/>
      <x:c r="K84" s="8"/>
      <x:c r="L84" s="8" t="str">
        <x:v>300081</x:v>
      </x:c>
      <x:c r="M84" s="4" t="n">
        <x:f>COUNTIF('TeamHero生成'!$J$5:$J$504,$C84)</x:f>
        <x:v>5</x:v>
      </x:c>
      <x:c r="N84" s="4" t="str">
        <x:f t="shared" si="2">IF(AND(ISNUMBER($D84),$D84&gt;=1,$D84&lt;=500,MOD($D84,1)=0),"有效","无效")</x:f>
        <x:v>有效</x:v>
      </x:c>
      <x:c r="O84" s="4" t="str">
        <x:f t="shared" si="3">IF($D84&lt;$D83,"下降","")</x:f>
      </x:c>
      <x:c r="P84" s="4" t="str">
        <x:v>统一标准模型；只列TowerEnemyFormation未停用的包体1 ID，包体2～4停用引用已清空</x:v>
      </x:c>
    </x:row>
    <x:row r="85" ht="14.25" customHeight="1">
      <x:c r="A85" s="4" t="s">
        <x:v>58</x:v>
      </x:c>
      <x:c r="B85" s="4">
        <x:v>81</x:v>
      </x:c>
      <x:c r="C85" s="4">
        <x:v>81</x:v>
      </x:c>
      <x:c r="D85" s="37" t="n">
        <x:f>ROUND('难度节点'!$C$10+($B85-'难度节点'!$A$10)*('难度节点'!$C$11-'难度节点'!$C$10)/('难度节点'!$A$11-'难度节点'!$A$10),0)</x:f>
        <x:v>256</x:v>
      </x:c>
      <x:c r="E85" s="17" t="n">
        <x:v>1.135169034600586</x:v>
      </x:c>
      <x:c r="F85" s="17" t="n">
        <x:v>0.7106888446246099</x:v>
      </x:c>
      <x:c r="G85" s="17">
        <x:v>1</x:v>
      </x:c>
      <x:c r="H85" s="8" t="n">
        <x:v>300082</x:v>
      </x:c>
      <x:c r="I85" s="8"/>
      <x:c r="J85" s="8"/>
      <x:c r="K85" s="8"/>
      <x:c r="L85" s="8" t="str">
        <x:v>300082</x:v>
      </x:c>
      <x:c r="M85" s="4" t="n">
        <x:f>COUNTIF('TeamHero生成'!$J$5:$J$504,$C85)</x:f>
        <x:v>5</x:v>
      </x:c>
      <x:c r="N85" s="4" t="str">
        <x:f t="shared" si="2">IF(AND(ISNUMBER($D85),$D85&gt;=1,$D85&lt;=500,MOD($D85,1)=0),"有效","无效")</x:f>
        <x:v>有效</x:v>
      </x:c>
      <x:c r="O85" s="4" t="str">
        <x:f t="shared" si="3">IF($D85&lt;$D84,"下降","")</x:f>
      </x:c>
      <x:c r="P85" s="4" t="str">
        <x:v>统一标准模型；只列TowerEnemyFormation未停用的包体1 ID，包体2～4停用引用已清空</x:v>
      </x:c>
    </x:row>
    <x:row r="86" ht="14.25" customHeight="1">
      <x:c r="A86" s="4" t="s">
        <x:v>58</x:v>
      </x:c>
      <x:c r="B86" s="4">
        <x:v>82</x:v>
      </x:c>
      <x:c r="C86" s="4">
        <x:v>82</x:v>
      </x:c>
      <x:c r="D86" s="37" t="n">
        <x:f>ROUND('难度节点'!$C$10+($B86-'难度节点'!$A$10)*('难度节点'!$C$11-'难度节点'!$C$10)/('难度节点'!$A$11-'难度节点'!$A$10),0)</x:f>
        <x:v>258</x:v>
      </x:c>
      <x:c r="E86" s="17" t="n">
        <x:v>1.1423769048009726</x:v>
      </x:c>
      <x:c r="F86" s="17" t="n">
        <x:v>0.7142610416976918</x:v>
      </x:c>
      <x:c r="G86" s="17">
        <x:v>1</x:v>
      </x:c>
      <x:c r="H86" s="8" t="n">
        <x:v>300083</x:v>
      </x:c>
      <x:c r="I86" s="8"/>
      <x:c r="J86" s="8"/>
      <x:c r="K86" s="8"/>
      <x:c r="L86" s="8" t="str">
        <x:v>300083</x:v>
      </x:c>
      <x:c r="M86" s="4" t="n">
        <x:f>COUNTIF('TeamHero生成'!$J$5:$J$504,$C86)</x:f>
        <x:v>5</x:v>
      </x:c>
      <x:c r="N86" s="4" t="str">
        <x:f t="shared" si="2">IF(AND(ISNUMBER($D86),$D86&gt;=1,$D86&lt;=500,MOD($D86,1)=0),"有效","无效")</x:f>
        <x:v>有效</x:v>
      </x:c>
      <x:c r="O86" s="4" t="str">
        <x:f t="shared" si="3">IF($D86&lt;$D85,"下降","")</x:f>
      </x:c>
      <x:c r="P86" s="4" t="str">
        <x:v>统一标准模型；只列TowerEnemyFormation未停用的包体1 ID，包体2～4停用引用已清空</x:v>
      </x:c>
    </x:row>
    <x:row r="87" ht="14.25" customHeight="1">
      <x:c r="A87" s="4" t="s">
        <x:v>58</x:v>
      </x:c>
      <x:c r="B87" s="4">
        <x:v>83</x:v>
      </x:c>
      <x:c r="C87" s="4">
        <x:v>83</x:v>
      </x:c>
      <x:c r="D87" s="37" t="n">
        <x:f>ROUND('难度节点'!$C$10+($B87-'难度节点'!$A$10)*('难度节点'!$C$11-'难度节点'!$C$10)/('难度节点'!$A$11-'难度节点'!$A$10),0)</x:f>
        <x:v>259</x:v>
      </x:c>
      <x:c r="E87" s="17" t="n">
        <x:v>1.1404555873260607</x:v>
      </x:c>
      <x:c r="F87" s="17" t="n">
        <x:v>0.7148750761683098</x:v>
      </x:c>
      <x:c r="G87" s="17">
        <x:v>1</x:v>
      </x:c>
      <x:c r="H87" s="8" t="n">
        <x:v>300084</x:v>
      </x:c>
      <x:c r="I87" s="8"/>
      <x:c r="J87" s="8"/>
      <x:c r="K87" s="8"/>
      <x:c r="L87" s="8" t="str">
        <x:v>300084</x:v>
      </x:c>
      <x:c r="M87" s="4" t="n">
        <x:f>COUNTIF('TeamHero生成'!$J$5:$J$504,$C87)</x:f>
        <x:v>5</x:v>
      </x:c>
      <x:c r="N87" s="4" t="str">
        <x:f t="shared" si="2">IF(AND(ISNUMBER($D87),$D87&gt;=1,$D87&lt;=500,MOD($D87,1)=0),"有效","无效")</x:f>
        <x:v>有效</x:v>
      </x:c>
      <x:c r="O87" s="4" t="str">
        <x:f t="shared" si="3">IF($D87&lt;$D86,"下降","")</x:f>
      </x:c>
      <x:c r="P87" s="4" t="str">
        <x:v>统一标准模型；只列TowerEnemyFormation未停用的包体1 ID，包体2～4停用引用已清空</x:v>
      </x:c>
    </x:row>
    <x:row r="88" ht="14.25" customHeight="1">
      <x:c r="A88" s="4" t="s">
        <x:v>58</x:v>
      </x:c>
      <x:c r="B88" s="4">
        <x:v>84</x:v>
      </x:c>
      <x:c r="C88" s="4">
        <x:v>84</x:v>
      </x:c>
      <x:c r="D88" s="37" t="n">
        <x:f>ROUND('难度节点'!$C$10+($B88-'难度节点'!$A$10)*('难度节点'!$C$11-'难度节点'!$C$10)/('难度节点'!$A$11-'难度节点'!$A$10),0)</x:f>
        <x:v>260</x:v>
      </x:c>
      <x:c r="E88" s="17" t="n">
        <x:v>1.1389343860164145</x:v>
      </x:c>
      <x:c r="F88" s="17" t="n">
        <x:v>0.7156532125654029</x:v>
      </x:c>
      <x:c r="G88" s="17">
        <x:v>1</x:v>
      </x:c>
      <x:c r="H88" s="8" t="n">
        <x:v>300085</x:v>
      </x:c>
      <x:c r="I88" s="8"/>
      <x:c r="J88" s="8"/>
      <x:c r="K88" s="8"/>
      <x:c r="L88" s="8" t="str">
        <x:v>300085</x:v>
      </x:c>
      <x:c r="M88" s="4" t="n">
        <x:f>COUNTIF('TeamHero生成'!$J$5:$J$504,$C88)</x:f>
        <x:v>5</x:v>
      </x:c>
      <x:c r="N88" s="4" t="str">
        <x:f t="shared" si="2">IF(AND(ISNUMBER($D88),$D88&gt;=1,$D88&lt;=500,MOD($D88,1)=0),"有效","无效")</x:f>
        <x:v>有效</x:v>
      </x:c>
      <x:c r="O88" s="4" t="str">
        <x:f t="shared" si="3">IF($D88&lt;$D87,"下降","")</x:f>
      </x:c>
      <x:c r="P88" s="4" t="str">
        <x:v>统一标准模型；只列TowerEnemyFormation未停用的包体1 ID，包体2～4停用引用已清空</x:v>
      </x:c>
    </x:row>
    <x:row r="89" ht="14.25" customHeight="1">
      <x:c r="A89" s="4" t="s">
        <x:v>58</x:v>
      </x:c>
      <x:c r="B89" s="4">
        <x:v>85</x:v>
      </x:c>
      <x:c r="C89" s="4">
        <x:v>85</x:v>
      </x:c>
      <x:c r="D89" s="37" t="n">
        <x:f>ROUND('难度节点'!$C$10+($B89-'难度节点'!$A$10)*('难度节点'!$C$11-'难度节点'!$C$10)/('难度节点'!$A$11-'难度节点'!$A$10),0)</x:f>
        <x:v>262</x:v>
      </x:c>
      <x:c r="E89" s="17" t="n">
        <x:v>1.1382038794550813</x:v>
      </x:c>
      <x:c r="F89" s="17" t="n">
        <x:v>0.7164728501790963</x:v>
      </x:c>
      <x:c r="G89" s="17">
        <x:v>1</x:v>
      </x:c>
      <x:c r="H89" s="8" t="n">
        <x:v>300086</x:v>
      </x:c>
      <x:c r="I89" s="8"/>
      <x:c r="J89" s="8"/>
      <x:c r="K89" s="8"/>
      <x:c r="L89" s="8" t="str">
        <x:v>300086</x:v>
      </x:c>
      <x:c r="M89" s="4" t="n">
        <x:f>COUNTIF('TeamHero生成'!$J$5:$J$504,$C89)</x:f>
        <x:v>5</x:v>
      </x:c>
      <x:c r="N89" s="4" t="str">
        <x:f t="shared" si="2">IF(AND(ISNUMBER($D89),$D89&gt;=1,$D89&lt;=500,MOD($D89,1)=0),"有效","无效")</x:f>
        <x:v>有效</x:v>
      </x:c>
      <x:c r="O89" s="4" t="str">
        <x:f t="shared" si="3">IF($D89&lt;$D88,"下降","")</x:f>
      </x:c>
      <x:c r="P89" s="4" t="str">
        <x:v>统一标准模型；只列TowerEnemyFormation未停用的包体1 ID，包体2～4停用引用已清空</x:v>
      </x:c>
    </x:row>
    <x:row r="90" ht="14.25" customHeight="1">
      <x:c r="A90" s="4" t="s">
        <x:v>58</x:v>
      </x:c>
      <x:c r="B90" s="4">
        <x:v>86</x:v>
      </x:c>
      <x:c r="C90" s="4">
        <x:v>86</x:v>
      </x:c>
      <x:c r="D90" s="37" t="n">
        <x:f>ROUND('难度节点'!$C$10+($B90-'难度节点'!$A$10)*('难度节点'!$C$11-'难度节点'!$C$10)/('难度节点'!$A$11-'难度节点'!$A$10),0)</x:f>
        <x:v>263</x:v>
      </x:c>
      <x:c r="E90" s="17" t="n">
        <x:v>1.1353989954122308</x:v>
      </x:c>
      <x:c r="F90" s="17" t="n">
        <x:v>0.7169509870843505</x:v>
      </x:c>
      <x:c r="G90" s="17">
        <x:v>1</x:v>
      </x:c>
      <x:c r="H90" s="8" t="n">
        <x:v>300087</x:v>
      </x:c>
      <x:c r="I90" s="8"/>
      <x:c r="J90" s="8"/>
      <x:c r="K90" s="8"/>
      <x:c r="L90" s="8" t="str">
        <x:v>300087</x:v>
      </x:c>
      <x:c r="M90" s="4" t="n">
        <x:f>COUNTIF('TeamHero生成'!$J$5:$J$504,$C90)</x:f>
        <x:v>5</x:v>
      </x:c>
      <x:c r="N90" s="4" t="str">
        <x:f t="shared" si="2">IF(AND(ISNUMBER($D90),$D90&gt;=1,$D90&lt;=500,MOD($D90,1)=0),"有效","无效")</x:f>
        <x:v>有效</x:v>
      </x:c>
      <x:c r="O90" s="4" t="str">
        <x:f t="shared" si="3">IF($D90&lt;$D89,"下降","")</x:f>
      </x:c>
      <x:c r="P90" s="4" t="str">
        <x:v>统一标准模型；只列TowerEnemyFormation未停用的包体1 ID，包体2～4停用引用已清空</x:v>
      </x:c>
    </x:row>
    <x:row r="91" ht="14.25" customHeight="1">
      <x:c r="A91" s="4" t="s">
        <x:v>58</x:v>
      </x:c>
      <x:c r="B91" s="4">
        <x:v>87</x:v>
      </x:c>
      <x:c r="C91" s="4">
        <x:v>87</x:v>
      </x:c>
      <x:c r="D91" s="37" t="n">
        <x:f>ROUND('难度节点'!$C$10+($B91-'难度节点'!$A$10)*('难度节点'!$C$11-'难度节点'!$C$10)/('难度节点'!$A$11-'难度节点'!$A$10),0)</x:f>
        <x:v>264</x:v>
      </x:c>
      <x:c r="E91" s="17" t="n">
        <x:v>1.133600943536387</x:v>
      </x:c>
      <x:c r="F91" s="17" t="n">
        <x:v>0.7175777777052407</x:v>
      </x:c>
      <x:c r="G91" s="17">
        <x:v>1</x:v>
      </x:c>
      <x:c r="H91" s="8" t="n">
        <x:v>300088</x:v>
      </x:c>
      <x:c r="I91" s="8"/>
      <x:c r="J91" s="8"/>
      <x:c r="K91" s="8"/>
      <x:c r="L91" s="8" t="str">
        <x:v>300088</x:v>
      </x:c>
      <x:c r="M91" s="4" t="n">
        <x:f>COUNTIF('TeamHero生成'!$J$5:$J$504,$C91)</x:f>
        <x:v>5</x:v>
      </x:c>
      <x:c r="N91" s="4" t="str">
        <x:f t="shared" si="2">IF(AND(ISNUMBER($D91),$D91&gt;=1,$D91&lt;=500,MOD($D91,1)=0),"有效","无效")</x:f>
        <x:v>有效</x:v>
      </x:c>
      <x:c r="O91" s="4" t="str">
        <x:f t="shared" si="3">IF($D91&lt;$D90,"下降","")</x:f>
      </x:c>
      <x:c r="P91" s="4" t="str">
        <x:v>统一标准模型；只列TowerEnemyFormation未停用的包体1 ID，包体2～4停用引用已清空</x:v>
      </x:c>
    </x:row>
    <x:row r="92" ht="14.25" customHeight="1">
      <x:c r="A92" s="4" t="s">
        <x:v>58</x:v>
      </x:c>
      <x:c r="B92" s="4">
        <x:v>88</x:v>
      </x:c>
      <x:c r="C92" s="4">
        <x:v>88</x:v>
      </x:c>
      <x:c r="D92" s="37" t="n">
        <x:f>ROUND('难度节点'!$C$10+($B92-'难度节点'!$A$10)*('难度节点'!$C$11-'难度节点'!$C$10)/('难度节点'!$A$11-'难度节点'!$A$10),0)</x:f>
        <x:v>265</x:v>
      </x:c>
      <x:c r="E92" s="17" t="n">
        <x:v>1.1321350616593804</x:v>
      </x:c>
      <x:c r="F92" s="17" t="n">
        <x:v>0.7182974625960403</x:v>
      </x:c>
      <x:c r="G92" s="17">
        <x:v>1</x:v>
      </x:c>
      <x:c r="H92" s="8" t="n">
        <x:v>300089</x:v>
      </x:c>
      <x:c r="I92" s="8"/>
      <x:c r="J92" s="8"/>
      <x:c r="K92" s="8"/>
      <x:c r="L92" s="8" t="str">
        <x:v>300089</x:v>
      </x:c>
      <x:c r="M92" s="4" t="n">
        <x:f>COUNTIF('TeamHero生成'!$J$5:$J$504,$C92)</x:f>
        <x:v>5</x:v>
      </x:c>
      <x:c r="N92" s="4" t="str">
        <x:f t="shared" si="2">IF(AND(ISNUMBER($D92),$D92&gt;=1,$D92&lt;=500,MOD($D92,1)=0),"有效","无效")</x:f>
        <x:v>有效</x:v>
      </x:c>
      <x:c r="O92" s="4" t="str">
        <x:f t="shared" si="3">IF($D92&lt;$D91,"下降","")</x:f>
      </x:c>
      <x:c r="P92" s="4" t="str">
        <x:v>统一标准模型；只列TowerEnemyFormation未停用的包体1 ID，包体2～4停用引用已清空</x:v>
      </x:c>
    </x:row>
    <x:row r="93" ht="14.25" customHeight="1">
      <x:c r="A93" s="4" t="s">
        <x:v>58</x:v>
      </x:c>
      <x:c r="B93" s="4">
        <x:v>89</x:v>
      </x:c>
      <x:c r="C93" s="4">
        <x:v>89</x:v>
      </x:c>
      <x:c r="D93" s="37" t="n">
        <x:f>ROUND('难度节点'!$C$10+($B93-'难度节点'!$A$10)*('难度节点'!$C$11-'难度节点'!$C$10)/('难度节点'!$A$11-'难度节点'!$A$10),0)</x:f>
        <x:v>267</x:v>
      </x:c>
      <x:c r="E93" s="17" t="n">
        <x:v>1.1309420327744137</x:v>
      </x:c>
      <x:c r="F93" s="17" t="n">
        <x:v>0.7191764066202295</x:v>
      </x:c>
      <x:c r="G93" s="17">
        <x:v>1</x:v>
      </x:c>
      <x:c r="H93" s="8" t="n">
        <x:v>300090</x:v>
      </x:c>
      <x:c r="I93" s="8"/>
      <x:c r="J93" s="8"/>
      <x:c r="K93" s="8"/>
      <x:c r="L93" s="8" t="str">
        <x:v>300090</x:v>
      </x:c>
      <x:c r="M93" s="4" t="n">
        <x:f>COUNTIF('TeamHero生成'!$J$5:$J$504,$C93)</x:f>
        <x:v>5</x:v>
      </x:c>
      <x:c r="N93" s="4" t="str">
        <x:f t="shared" si="2">IF(AND(ISNUMBER($D93),$D93&gt;=1,$D93&lt;=500,MOD($D93,1)=0),"有效","无效")</x:f>
        <x:v>有效</x:v>
      </x:c>
      <x:c r="O93" s="4" t="str">
        <x:f t="shared" si="3">IF($D93&lt;$D92,"下降","")</x:f>
      </x:c>
      <x:c r="P93" s="4" t="str">
        <x:v>统一标准模型；只列TowerEnemyFormation未停用的包体1 ID，包体2～4停用引用已清空</x:v>
      </x:c>
    </x:row>
    <x:row r="94" ht="14.25" customHeight="1">
      <x:c r="A94" s="4" t="s">
        <x:v>58</x:v>
      </x:c>
      <x:c r="B94" s="4">
        <x:v>90</x:v>
      </x:c>
      <x:c r="C94" s="4">
        <x:v>90</x:v>
      </x:c>
      <x:c r="D94" s="37" t="n">
        <x:f>ROUND('难度节点'!$C$10+($B94-'难度节点'!$A$10)*('难度节点'!$C$11-'难度节点'!$C$10)/('难度节点'!$A$11-'难度节点'!$A$10),0)</x:f>
        <x:v>268</x:v>
      </x:c>
      <x:c r="E94" s="17" t="n">
        <x:v>1.1421363210661606</x:v>
      </x:c>
      <x:c r="F94" s="17" t="n">
        <x:v>0.7246547449298928</x:v>
      </x:c>
      <x:c r="G94" s="17">
        <x:v>1</x:v>
      </x:c>
      <x:c r="H94" s="8" t="n">
        <x:v>300091</x:v>
      </x:c>
      <x:c r="I94" s="8"/>
      <x:c r="J94" s="8"/>
      <x:c r="K94" s="8"/>
      <x:c r="L94" s="8" t="str">
        <x:v>300091</x:v>
      </x:c>
      <x:c r="M94" s="4" t="n">
        <x:f>COUNTIF('TeamHero生成'!$J$5:$J$504,$C94)</x:f>
        <x:v>5</x:v>
      </x:c>
      <x:c r="N94" s="4" t="str">
        <x:f t="shared" si="2">IF(AND(ISNUMBER($D94),$D94&gt;=1,$D94&lt;=500,MOD($D94,1)=0),"有效","无效")</x:f>
        <x:v>有效</x:v>
      </x:c>
      <x:c r="O94" s="4" t="str">
        <x:f t="shared" si="3">IF($D94&lt;$D93,"下降","")</x:f>
      </x:c>
      <x:c r="P94" s="4" t="str">
        <x:v>统一标准模型；只列TowerEnemyFormation未停用的包体1 ID，包体2～4停用引用已清空</x:v>
      </x:c>
    </x:row>
    <x:row r="95" ht="14.25" customHeight="1">
      <x:c r="A95" s="4" t="s">
        <x:v>58</x:v>
      </x:c>
      <x:c r="B95" s="4">
        <x:v>91</x:v>
      </x:c>
      <x:c r="C95" s="4">
        <x:v>91</x:v>
      </x:c>
      <x:c r="D95" s="37" t="n">
        <x:f>ROUND('难度节点'!$C$11+($B95-'难度节点'!$A$11)*('难度节点'!$C$12-'难度节点'!$C$11)/('难度节点'!$A$12-'难度节点'!$A$11),0)</x:f>
        <x:v>269</x:v>
      </x:c>
      <x:c r="E95" s="17" t="n">
        <x:v>1.1400191646142122</x:v>
      </x:c>
      <x:c r="F95" s="17" t="n">
        <x:v>0.7252876553040836</x:v>
      </x:c>
      <x:c r="G95" s="17">
        <x:v>1</x:v>
      </x:c>
      <x:c r="H95" s="8" t="n">
        <x:v>300092</x:v>
      </x:c>
      <x:c r="I95" s="8"/>
      <x:c r="J95" s="8"/>
      <x:c r="K95" s="8"/>
      <x:c r="L95" s="8" t="str">
        <x:v>300092</x:v>
      </x:c>
      <x:c r="M95" s="4" t="n">
        <x:f>COUNTIF('TeamHero生成'!$J$5:$J$504,$C95)</x:f>
        <x:v>5</x:v>
      </x:c>
      <x:c r="N95" s="4" t="str">
        <x:f t="shared" si="2">IF(AND(ISNUMBER($D95),$D95&gt;=1,$D95&lt;=500,MOD($D95,1)=0),"有效","无效")</x:f>
        <x:v>有效</x:v>
      </x:c>
      <x:c r="O95" s="4" t="str">
        <x:f t="shared" si="3">IF($D95&lt;$D94,"下降","")</x:f>
      </x:c>
      <x:c r="P95" s="4" t="str">
        <x:v>统一标准模型；只列TowerEnemyFormation未停用的包体1 ID，包体2～4停用引用已清空</x:v>
      </x:c>
    </x:row>
    <x:row r="96" ht="14.25" customHeight="1">
      <x:c r="A96" s="4" t="s">
        <x:v>58</x:v>
      </x:c>
      <x:c r="B96" s="4">
        <x:v>92</x:v>
      </x:c>
      <x:c r="C96" s="4">
        <x:v>92</x:v>
      </x:c>
      <x:c r="D96" s="37" t="n">
        <x:f>ROUND('难度节点'!$C$11+($B96-'难度节点'!$A$11)*('难度节点'!$C$12-'难度节点'!$C$11)/('难度节点'!$A$12-'难度节点'!$A$11),0)</x:f>
        <x:v>270</x:v>
      </x:c>
      <x:c r="E96" s="17" t="n">
        <x:v>1.1356732067437425</x:v>
      </x:c>
      <x:c r="F96" s="17" t="n">
        <x:v>0.7243791953727152</x:v>
      </x:c>
      <x:c r="G96" s="17">
        <x:v>1</x:v>
      </x:c>
      <x:c r="H96" s="8" t="n">
        <x:v>300093</x:v>
      </x:c>
      <x:c r="I96" s="8"/>
      <x:c r="J96" s="8"/>
      <x:c r="K96" s="8"/>
      <x:c r="L96" s="8" t="str">
        <x:v>300093</x:v>
      </x:c>
      <x:c r="M96" s="4" t="n">
        <x:f>COUNTIF('TeamHero生成'!$J$5:$J$504,$C96)</x:f>
        <x:v>5</x:v>
      </x:c>
      <x:c r="N96" s="4" t="str">
        <x:f t="shared" si="2">IF(AND(ISNUMBER($D96),$D96&gt;=1,$D96&lt;=500,MOD($D96,1)=0),"有效","无效")</x:f>
        <x:v>有效</x:v>
      </x:c>
      <x:c r="O96" s="4" t="str">
        <x:f t="shared" si="3">IF($D96&lt;$D95,"下降","")</x:f>
      </x:c>
      <x:c r="P96" s="4" t="str">
        <x:v>统一标准模型；只列TowerEnemyFormation未停用的包体1 ID，包体2～4停用引用已清空</x:v>
      </x:c>
    </x:row>
    <x:row r="97" ht="14.25" customHeight="1">
      <x:c r="A97" s="4" t="s">
        <x:v>58</x:v>
      </x:c>
      <x:c r="B97" s="4">
        <x:v>93</x:v>
      </x:c>
      <x:c r="C97" s="4">
        <x:v>93</x:v>
      </x:c>
      <x:c r="D97" s="37" t="n">
        <x:f>ROUND('难度节点'!$C$11+($B97-'难度节点'!$A$11)*('难度节点'!$C$12-'难度节点'!$C$11)/('难度节点'!$A$12-'难度节点'!$A$11),0)</x:f>
        <x:v>272</x:v>
      </x:c>
      <x:c r="E97" s="17" t="n">
        <x:v>1.1327994344874648</x:v>
      </x:c>
      <x:c r="F97" s="17" t="n">
        <x:v>0.7247811335478753</x:v>
      </x:c>
      <x:c r="G97" s="17">
        <x:v>1</x:v>
      </x:c>
      <x:c r="H97" s="8" t="n">
        <x:v>300094</x:v>
      </x:c>
      <x:c r="I97" s="8"/>
      <x:c r="J97" s="8"/>
      <x:c r="K97" s="8"/>
      <x:c r="L97" s="8" t="str">
        <x:v>300094</x:v>
      </x:c>
      <x:c r="M97" s="4" t="n">
        <x:f>COUNTIF('TeamHero生成'!$J$5:$J$504,$C97)</x:f>
        <x:v>5</x:v>
      </x:c>
      <x:c r="N97" s="4" t="str">
        <x:f t="shared" si="2">IF(AND(ISNUMBER($D97),$D97&gt;=1,$D97&lt;=500,MOD($D97,1)=0),"有效","无效")</x:f>
        <x:v>有效</x:v>
      </x:c>
      <x:c r="O97" s="4" t="str">
        <x:f t="shared" si="3">IF($D97&lt;$D96,"下降","")</x:f>
      </x:c>
      <x:c r="P97" s="4" t="str">
        <x:v>统一标准模型；只列TowerEnemyFormation未停用的包体1 ID，包体2～4停用引用已清空</x:v>
      </x:c>
    </x:row>
    <x:row r="98" ht="14.25" customHeight="1">
      <x:c r="A98" s="4" t="s">
        <x:v>58</x:v>
      </x:c>
      <x:c r="B98" s="4">
        <x:v>94</x:v>
      </x:c>
      <x:c r="C98" s="4">
        <x:v>94</x:v>
      </x:c>
      <x:c r="D98" s="37" t="n">
        <x:f>ROUND('难度节点'!$C$11+($B98-'难度节点'!$A$11)*('难度节点'!$C$12-'难度节点'!$C$11)/('难度节点'!$A$12-'难度节点'!$A$11),0)</x:f>
        <x:v>273</x:v>
      </x:c>
      <x:c r="E98" s="17" t="n">
        <x:v>1.1318222688423305</x:v>
      </x:c>
      <x:c r="F98" s="17" t="n">
        <x:v>0.7256966948681817</x:v>
      </x:c>
      <x:c r="G98" s="17">
        <x:v>1</x:v>
      </x:c>
      <x:c r="H98" s="8" t="n">
        <x:v>300095</x:v>
      </x:c>
      <x:c r="I98" s="8"/>
      <x:c r="J98" s="8"/>
      <x:c r="K98" s="8"/>
      <x:c r="L98" s="8" t="str">
        <x:v>300095</x:v>
      </x:c>
      <x:c r="M98" s="4" t="n">
        <x:f>COUNTIF('TeamHero生成'!$J$5:$J$504,$C98)</x:f>
        <x:v>5</x:v>
      </x:c>
      <x:c r="N98" s="4" t="str">
        <x:f t="shared" si="2">IF(AND(ISNUMBER($D98),$D98&gt;=1,$D98&lt;=500,MOD($D98,1)=0),"有效","无效")</x:f>
        <x:v>有效</x:v>
      </x:c>
      <x:c r="O98" s="4" t="str">
        <x:f t="shared" si="3">IF($D98&lt;$D97,"下降","")</x:f>
      </x:c>
      <x:c r="P98" s="4" t="str">
        <x:v>统一标准模型；只列TowerEnemyFormation未停用的包体1 ID，包体2～4停用引用已清空</x:v>
      </x:c>
    </x:row>
    <x:row r="99" ht="14.25" customHeight="1">
      <x:c r="A99" s="4" t="s">
        <x:v>58</x:v>
      </x:c>
      <x:c r="B99" s="4">
        <x:v>95</x:v>
      </x:c>
      <x:c r="C99" s="4">
        <x:v>95</x:v>
      </x:c>
      <x:c r="D99" s="37" t="n">
        <x:f>ROUND('难度节点'!$C$11+($B99-'难度节点'!$A$11)*('难度节点'!$C$12-'难度节点'!$C$11)/('难度节点'!$A$12-'难度节点'!$A$11),0)</x:f>
        <x:v>274</x:v>
      </x:c>
      <x:c r="E99" s="17" t="n">
        <x:v>1.1310801559129262</x:v>
      </x:c>
      <x:c r="F99" s="17" t="n">
        <x:v>0.7266793097845781</x:v>
      </x:c>
      <x:c r="G99" s="17">
        <x:v>1</x:v>
      </x:c>
      <x:c r="H99" s="8" t="n">
        <x:v>300096</x:v>
      </x:c>
      <x:c r="I99" s="8"/>
      <x:c r="J99" s="8"/>
      <x:c r="K99" s="8"/>
      <x:c r="L99" s="8" t="str">
        <x:v>300096</x:v>
      </x:c>
      <x:c r="M99" s="4" t="n">
        <x:f>COUNTIF('TeamHero生成'!$J$5:$J$504,$C99)</x:f>
        <x:v>5</x:v>
      </x:c>
      <x:c r="N99" s="4" t="str">
        <x:f t="shared" si="2">IF(AND(ISNUMBER($D99),$D99&gt;=1,$D99&lt;=500,MOD($D99,1)=0),"有效","无效")</x:f>
        <x:v>有效</x:v>
      </x:c>
      <x:c r="O99" s="4" t="str">
        <x:f t="shared" si="3">IF($D99&lt;$D98,"下降","")</x:f>
      </x:c>
      <x:c r="P99" s="4" t="str">
        <x:v>统一标准模型；只列TowerEnemyFormation未停用的包体1 ID，包体2～4停用引用已清空</x:v>
      </x:c>
    </x:row>
    <x:row r="100" ht="14.25" customHeight="1">
      <x:c r="A100" s="4" t="s">
        <x:v>58</x:v>
      </x:c>
      <x:c r="B100" s="4">
        <x:v>96</x:v>
      </x:c>
      <x:c r="C100" s="4">
        <x:v>96</x:v>
      </x:c>
      <x:c r="D100" s="37" t="n">
        <x:f>ROUND('难度节点'!$C$11+($B100-'难度节点'!$A$11)*('难度节点'!$C$12-'难度节点'!$C$11)/('难度节点'!$A$12-'难度节点'!$A$11),0)</x:f>
        <x:v>275</x:v>
      </x:c>
      <x:c r="E100" s="17" t="n">
        <x:v>1.1299211537371108</x:v>
      </x:c>
      <x:c r="F100" s="17" t="n">
        <x:v>0.7274696328129534</x:v>
      </x:c>
      <x:c r="G100" s="17">
        <x:v>1</x:v>
      </x:c>
      <x:c r="H100" s="8" t="n">
        <x:v>300097</x:v>
      </x:c>
      <x:c r="I100" s="8"/>
      <x:c r="J100" s="8"/>
      <x:c r="K100" s="8"/>
      <x:c r="L100" s="8" t="str">
        <x:v>300097</x:v>
      </x:c>
      <x:c r="M100" s="4" t="n">
        <x:f>COUNTIF('TeamHero生成'!$J$5:$J$504,$C100)</x:f>
        <x:v>5</x:v>
      </x:c>
      <x:c r="N100" s="4" t="str">
        <x:f t="shared" si="2">IF(AND(ISNUMBER($D100),$D100&gt;=1,$D100&lt;=500,MOD($D100,1)=0),"有效","无效")</x:f>
        <x:v>有效</x:v>
      </x:c>
      <x:c r="O100" s="4" t="str">
        <x:f t="shared" si="3">IF($D100&lt;$D99,"下降","")</x:f>
      </x:c>
      <x:c r="P100" s="4" t="str">
        <x:v>统一标准模型；只列TowerEnemyFormation未停用的包体1 ID，包体2～4停用引用已清空</x:v>
      </x:c>
    </x:row>
    <x:row r="101" ht="14.25" customHeight="1">
      <x:c r="A101" s="4" t="s">
        <x:v>58</x:v>
      </x:c>
      <x:c r="B101" s="4">
        <x:v>97</x:v>
      </x:c>
      <x:c r="C101" s="4">
        <x:v>97</x:v>
      </x:c>
      <x:c r="D101" s="37" t="n">
        <x:f>ROUND('难度节点'!$C$11+($B101-'难度节点'!$A$11)*('难度节点'!$C$12-'难度节点'!$C$11)/('难度节点'!$A$12-'难度节点'!$A$11),0)</x:f>
        <x:v>276</x:v>
      </x:c>
      <x:c r="E101" s="17" t="n">
        <x:v>1.1288380999626304</x:v>
      </x:c>
      <x:c r="F101" s="17" t="n">
        <x:v>0.7282933103589967</x:v>
      </x:c>
      <x:c r="G101" s="17">
        <x:v>1</x:v>
      </x:c>
      <x:c r="H101" s="8" t="n">
        <x:v>300098</x:v>
      </x:c>
      <x:c r="I101" s="8"/>
      <x:c r="J101" s="8"/>
      <x:c r="K101" s="8"/>
      <x:c r="L101" s="8" t="str">
        <x:v>300098</x:v>
      </x:c>
      <x:c r="M101" s="4" t="n">
        <x:f>COUNTIF('TeamHero生成'!$J$5:$J$504,$C101)</x:f>
        <x:v>5</x:v>
      </x:c>
      <x:c r="N101" s="4" t="str">
        <x:f t="shared" si="2">IF(AND(ISNUMBER($D101),$D101&gt;=1,$D101&lt;=500,MOD($D101,1)=0),"有效","无效")</x:f>
        <x:v>有效</x:v>
      </x:c>
      <x:c r="O101" s="4" t="str">
        <x:f t="shared" si="3">IF($D101&lt;$D100,"下降","")</x:f>
      </x:c>
      <x:c r="P101" s="4" t="str">
        <x:v>统一标准模型；只列TowerEnemyFormation未停用的包体1 ID，包体2～4停用引用已清空</x:v>
      </x:c>
    </x:row>
    <x:row r="102" ht="14.25" customHeight="1">
      <x:c r="A102" s="4" t="s">
        <x:v>58</x:v>
      </x:c>
      <x:c r="B102" s="4">
        <x:v>98</x:v>
      </x:c>
      <x:c r="C102" s="4">
        <x:v>98</x:v>
      </x:c>
      <x:c r="D102" s="37" t="n">
        <x:f>ROUND('难度节点'!$C$11+($B102-'难度节点'!$A$11)*('难度节点'!$C$12-'难度节点'!$C$11)/('难度节点'!$A$12-'难度节点'!$A$11),0)</x:f>
        <x:v>278</x:v>
      </x:c>
      <x:c r="E102" s="17" t="n">
        <x:v>1.1279541801684885</x:v>
      </x:c>
      <x:c r="F102" s="17" t="n">
        <x:v>0.7292239834691082</x:v>
      </x:c>
      <x:c r="G102" s="17">
        <x:v>1</x:v>
      </x:c>
      <x:c r="H102" s="8" t="n">
        <x:v>300099</x:v>
      </x:c>
      <x:c r="I102" s="8"/>
      <x:c r="J102" s="8"/>
      <x:c r="K102" s="8"/>
      <x:c r="L102" s="8" t="str">
        <x:v>300099</x:v>
      </x:c>
      <x:c r="M102" s="4" t="n">
        <x:f>COUNTIF('TeamHero生成'!$J$5:$J$504,$C102)</x:f>
        <x:v>5</x:v>
      </x:c>
      <x:c r="N102" s="4" t="str">
        <x:f t="shared" si="2">IF(AND(ISNUMBER($D102),$D102&gt;=1,$D102&lt;=500,MOD($D102,1)=0),"有效","无效")</x:f>
        <x:v>有效</x:v>
      </x:c>
      <x:c r="O102" s="4" t="str">
        <x:f t="shared" si="3">IF($D102&lt;$D101,"下降","")</x:f>
      </x:c>
      <x:c r="P102" s="4" t="str">
        <x:v>统一标准模型；只列TowerEnemyFormation未停用的包体1 ID，包体2～4停用引用已清空</x:v>
      </x:c>
    </x:row>
    <x:row r="103" ht="14.25" customHeight="1">
      <x:c r="A103" s="4" t="s">
        <x:v>58</x:v>
      </x:c>
      <x:c r="B103" s="4">
        <x:v>99</x:v>
      </x:c>
      <x:c r="C103" s="4">
        <x:v>99</x:v>
      </x:c>
      <x:c r="D103" s="37" t="n">
        <x:f>ROUND('难度节点'!$C$11+($B103-'难度节点'!$A$11)*('难度节点'!$C$12-'难度节点'!$C$11)/('难度节点'!$A$12-'难度节点'!$A$11),0)</x:f>
        <x:v>279</x:v>
      </x:c>
      <x:c r="E103" s="17" t="n">
        <x:v>1.1258206723591904</x:v>
      </x:c>
      <x:c r="F103" s="17" t="n">
        <x:v>0.7298348913195676</x:v>
      </x:c>
      <x:c r="G103" s="17">
        <x:v>1</x:v>
      </x:c>
      <x:c r="H103" s="8" t="n">
        <x:v>300100</x:v>
      </x:c>
      <x:c r="I103" s="8"/>
      <x:c r="J103" s="8"/>
      <x:c r="K103" s="8"/>
      <x:c r="L103" s="8" t="str">
        <x:v>300100</x:v>
      </x:c>
      <x:c r="M103" s="4" t="n">
        <x:f>COUNTIF('TeamHero生成'!$J$5:$J$504,$C103)</x:f>
        <x:v>5</x:v>
      </x:c>
      <x:c r="N103" s="4" t="str">
        <x:f t="shared" si="2">IF(AND(ISNUMBER($D103),$D103&gt;=1,$D103&lt;=500,MOD($D103,1)=0),"有效","无效")</x:f>
        <x:v>有效</x:v>
      </x:c>
      <x:c r="O103" s="4" t="str">
        <x:f t="shared" si="3">IF($D103&lt;$D102,"下降","")</x:f>
      </x:c>
      <x:c r="P103" s="4" t="str">
        <x:v>统一标准模型；只列TowerEnemyFormation未停用的包体1 ID，包体2～4停用引用已清空</x:v>
      </x:c>
    </x:row>
    <x:row r="104" ht="14.25" customHeight="1">
      <x:c r="A104" s="4" t="s">
        <x:v>58</x:v>
      </x:c>
      <x:c r="B104" s="4">
        <x:v>100</x:v>
      </x:c>
      <x:c r="C104" s="4">
        <x:v>100</x:v>
      </x:c>
      <x:c r="D104" s="37" t="n">
        <x:f>ROUND('难度节点'!$C$11+($B104-'难度节点'!$A$11)*('难度节点'!$C$12-'难度节点'!$C$11)/('难度节点'!$A$12-'难度节点'!$A$11),0)</x:f>
        <x:v>280</x:v>
      </x:c>
      <x:c r="E104" s="17" t="n">
        <x:v>1.1267159241214062</x:v>
      </x:c>
      <x:c r="F104" s="17" t="n">
        <x:v>0.7312295086740545</x:v>
      </x:c>
      <x:c r="G104" s="17">
        <x:v>1</x:v>
      </x:c>
      <x:c r="H104" s="8" t="n">
        <x:v>300101</x:v>
      </x:c>
      <x:c r="I104" s="8"/>
      <x:c r="J104" s="8"/>
      <x:c r="K104" s="8"/>
      <x:c r="L104" s="8" t="str">
        <x:v>300101</x:v>
      </x:c>
      <x:c r="M104" s="4" t="n">
        <x:f>COUNTIF('TeamHero生成'!$J$5:$J$504,$C104)</x:f>
        <x:v>5</x:v>
      </x:c>
      <x:c r="N104" s="4" t="str">
        <x:f t="shared" si="2">IF(AND(ISNUMBER($D104),$D104&gt;=1,$D104&lt;=500,MOD($D104,1)=0),"有效","无效")</x:f>
        <x:v>有效</x:v>
      </x:c>
      <x:c r="O104" s="4" t="str">
        <x:f t="shared" si="3">IF($D104&lt;$D103,"下降","")</x:f>
      </x:c>
      <x:c r="P104" s="4" t="str">
        <x:v>统一标准模型；只列TowerEnemyFormation未停用的包体1 ID，包体2～4停用引用已清空</x:v>
      </x:c>
    </x:row>
  </x:sheetData>
  <x:mergeCells>
    <x:mergeCell ref="A1:P1"/>
    <x:mergeCell ref="A2:P2"/>
  </x:mergeCells>
  <x:conditionalFormatting sqref="N5:N104">
    <x:cfRule type="expression" dxfId="0" priority="1">
      <x:formula>$N5="无效"</x:formula>
    </x:cfRule>
  </x:conditionalFormatting>
  <x:conditionalFormatting sqref="O5:O104">
    <x:cfRule type="expression" dxfId="0" priority="2">
      <x:formula>$O5="下降"</x:formula>
    </x:cfRule>
  </x:conditionalFormatting>
  <x:dataValidations count="2">
    <x:dataValidation type="whole" operator="between" errorTitle="等级无效" error="难度等级必须是1～500的整数" sqref="D5:D104">
      <x:formula1>1</x:formula1>
      <x:formula2>500</x:formula2>
    </x:dataValidation>
    <x:dataValidation type="decimal" operator="between" errorTitle="倍率无效" error="倍率必须在0.01～10之间" sqref="E5:G104">
      <x:formula1>0.01</x:formula1>
      <x:formula2>10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3.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t="s">
        <x:v>59</x:v>
      </x:c>
      <x:c r="B1" t="s">
        <x:v>60</x:v>
      </x:c>
      <x:c r="C1" t="s">
        <x:v>61</x:v>
      </x:c>
      <x:c r="D1" t="s">
        <x:v>62</x:v>
      </x:c>
      <x:c r="E1" t="s">
        <x:v>23</x:v>
      </x:c>
    </x:row>
    <x:row r="2">
      <x:c r="A2" t="n">
        <x:v>1</x:v>
      </x:c>
      <x:c r="B2" t="n">
        <x:v>99</x:v>
      </x:c>
      <x:c r="C2" t="n">
        <x:v>44</x:v>
      </x:c>
      <x:c r="D2" t="n">
        <x:v>74</x:v>
      </x:c>
      <x:c r="E2" t="str">
        <x:v>战斗公式.xlsx/怪物标准模型 AS/AQ/AO；2026-08-27</x:v>
      </x:c>
    </x:row>
    <x:row r="3">
      <x:c r="A3" t="n">
        <x:v>2</x:v>
      </x:c>
      <x:c r="B3" t="n">
        <x:v>205</x:v>
      </x:c>
      <x:c r="C3" t="n">
        <x:v>89</x:v>
      </x:c>
      <x:c r="D3" t="n">
        <x:v>148</x:v>
      </x:c>
      <x:c r="E3" t="str">
        <x:v>战斗公式.xlsx/怪物标准模型 AS/AQ/AO；2026-08-27</x:v>
      </x:c>
    </x:row>
    <x:row r="4">
      <x:c r="A4" t="n">
        <x:v>3</x:v>
      </x:c>
      <x:c r="B4" t="n">
        <x:v>316</x:v>
      </x:c>
      <x:c r="C4" t="n">
        <x:v>134</x:v>
      </x:c>
      <x:c r="D4" t="n">
        <x:v>222</x:v>
      </x:c>
      <x:c r="E4" t="str">
        <x:v>战斗公式.xlsx/怪物标准模型 AS/AQ/AO；2026-08-27</x:v>
      </x:c>
    </x:row>
    <x:row r="5">
      <x:c r="A5" t="n">
        <x:v>4</x:v>
      </x:c>
      <x:c r="B5" t="n">
        <x:v>432</x:v>
      </x:c>
      <x:c r="C5" t="n">
        <x:v>180</x:v>
      </x:c>
      <x:c r="D5" t="n">
        <x:v>297</x:v>
      </x:c>
      <x:c r="E5" t="str">
        <x:v>战斗公式.xlsx/怪物标准模型 AS/AQ/AO；2026-08-27</x:v>
      </x:c>
    </x:row>
    <x:row r="6">
      <x:c r="A6" t="n">
        <x:v>5</x:v>
      </x:c>
      <x:c r="B6" t="n">
        <x:v>554</x:v>
      </x:c>
      <x:c r="C6" t="n">
        <x:v>225</x:v>
      </x:c>
      <x:c r="D6" t="n">
        <x:v>372</x:v>
      </x:c>
      <x:c r="E6" t="str">
        <x:v>战斗公式.xlsx/怪物标准模型 AS/AQ/AO；2026-08-27</x:v>
      </x:c>
    </x:row>
    <x:row r="7">
      <x:c r="A7" t="n">
        <x:v>6</x:v>
      </x:c>
      <x:c r="B7" t="n">
        <x:v>682</x:v>
      </x:c>
      <x:c r="C7" t="n">
        <x:v>271</x:v>
      </x:c>
      <x:c r="D7" t="n">
        <x:v>447</x:v>
      </x:c>
      <x:c r="E7" t="str">
        <x:v>战斗公式.xlsx/怪物标准模型 AS/AQ/AO；2026-08-27</x:v>
      </x:c>
    </x:row>
    <x:row r="8">
      <x:c r="A8" t="n">
        <x:v>7</x:v>
      </x:c>
      <x:c r="B8" t="n">
        <x:v>815</x:v>
      </x:c>
      <x:c r="C8" t="n">
        <x:v>318</x:v>
      </x:c>
      <x:c r="D8" t="n">
        <x:v>522</x:v>
      </x:c>
      <x:c r="E8" t="str">
        <x:v>战斗公式.xlsx/怪物标准模型 AS/AQ/AO；2026-08-27</x:v>
      </x:c>
    </x:row>
    <x:row r="9">
      <x:c r="A9" t="n">
        <x:v>8</x:v>
      </x:c>
      <x:c r="B9" t="n">
        <x:v>953</x:v>
      </x:c>
      <x:c r="C9" t="n">
        <x:v>365</x:v>
      </x:c>
      <x:c r="D9" t="n">
        <x:v>598</x:v>
      </x:c>
      <x:c r="E9" t="str">
        <x:v>战斗公式.xlsx/怪物标准模型 AS/AQ/AO；2026-08-27</x:v>
      </x:c>
    </x:row>
    <x:row r="10">
      <x:c r="A10" t="n">
        <x:v>9</x:v>
      </x:c>
      <x:c r="B10" t="n">
        <x:v>1097</x:v>
      </x:c>
      <x:c r="C10" t="n">
        <x:v>413</x:v>
      </x:c>
      <x:c r="D10" t="n">
        <x:v>674</x:v>
      </x:c>
      <x:c r="E10" t="str">
        <x:v>战斗公式.xlsx/怪物标准模型 AS/AQ/AO；2026-08-27</x:v>
      </x:c>
    </x:row>
    <x:row r="11">
      <x:c r="A11" t="n">
        <x:v>10</x:v>
      </x:c>
      <x:c r="B11" t="n">
        <x:v>1246</x:v>
      </x:c>
      <x:c r="C11" t="n">
        <x:v>461</x:v>
      </x:c>
      <x:c r="D11" t="n">
        <x:v>750</x:v>
      </x:c>
      <x:c r="E11" t="str">
        <x:v>战斗公式.xlsx/怪物标准模型 AS/AQ/AO；2026-08-27</x:v>
      </x:c>
    </x:row>
    <x:row r="12">
      <x:c r="A12" t="n">
        <x:v>11</x:v>
      </x:c>
      <x:c r="B12" t="n">
        <x:v>1400</x:v>
      </x:c>
      <x:c r="C12" t="n">
        <x:v>508</x:v>
      </x:c>
      <x:c r="D12" t="n">
        <x:v>826</x:v>
      </x:c>
      <x:c r="E12" t="str">
        <x:v>战斗公式.xlsx/怪物标准模型 AS/AQ/AO；2026-08-27</x:v>
      </x:c>
    </x:row>
    <x:row r="13">
      <x:c r="A13" t="n">
        <x:v>12</x:v>
      </x:c>
      <x:c r="B13" t="n">
        <x:v>1560</x:v>
      </x:c>
      <x:c r="C13" t="n">
        <x:v>557</x:v>
      </x:c>
      <x:c r="D13" t="n">
        <x:v>902</x:v>
      </x:c>
      <x:c r="E13" t="str">
        <x:v>战斗公式.xlsx/怪物标准模型 AS/AQ/AO；2026-08-27</x:v>
      </x:c>
    </x:row>
    <x:row r="14">
      <x:c r="A14" t="n">
        <x:v>13</x:v>
      </x:c>
      <x:c r="B14" t="n">
        <x:v>1724</x:v>
      </x:c>
      <x:c r="C14" t="n">
        <x:v>606</x:v>
      </x:c>
      <x:c r="D14" t="n">
        <x:v>979</x:v>
      </x:c>
      <x:c r="E14" t="str">
        <x:v>战斗公式.xlsx/怪物标准模型 AS/AQ/AO；2026-08-27</x:v>
      </x:c>
    </x:row>
    <x:row r="15">
      <x:c r="A15" t="n">
        <x:v>14</x:v>
      </x:c>
      <x:c r="B15" t="n">
        <x:v>1894</x:v>
      </x:c>
      <x:c r="C15" t="n">
        <x:v>656</x:v>
      </x:c>
      <x:c r="D15" t="n">
        <x:v>1056</x:v>
      </x:c>
      <x:c r="E15" t="str">
        <x:v>战斗公式.xlsx/怪物标准模型 AS/AQ/AO；2026-08-27</x:v>
      </x:c>
    </x:row>
    <x:row r="16">
      <x:c r="A16" t="n">
        <x:v>15</x:v>
      </x:c>
      <x:c r="B16" t="n">
        <x:v>2069</x:v>
      </x:c>
      <x:c r="C16" t="n">
        <x:v>705</x:v>
      </x:c>
      <x:c r="D16" t="n">
        <x:v>1133</x:v>
      </x:c>
      <x:c r="E16" t="str">
        <x:v>战斗公式.xlsx/怪物标准模型 AS/AQ/AO；2026-08-27</x:v>
      </x:c>
    </x:row>
    <x:row r="17">
      <x:c r="A17" t="n">
        <x:v>16</x:v>
      </x:c>
      <x:c r="B17" t="n">
        <x:v>2249</x:v>
      </x:c>
      <x:c r="C17" t="n">
        <x:v>755</x:v>
      </x:c>
      <x:c r="D17" t="n">
        <x:v>1210</x:v>
      </x:c>
      <x:c r="E17" t="str">
        <x:v>战斗公式.xlsx/怪物标准模型 AS/AQ/AO；2026-08-27</x:v>
      </x:c>
    </x:row>
    <x:row r="18">
      <x:c r="A18" t="n">
        <x:v>17</x:v>
      </x:c>
      <x:c r="B18" t="n">
        <x:v>2434</x:v>
      </x:c>
      <x:c r="C18" t="n">
        <x:v>806</x:v>
      </x:c>
      <x:c r="D18" t="n">
        <x:v>1288</x:v>
      </x:c>
      <x:c r="E18" t="str">
        <x:v>战斗公式.xlsx/怪物标准模型 AS/AQ/AO；2026-08-27</x:v>
      </x:c>
    </x:row>
    <x:row r="19">
      <x:c r="A19" t="n">
        <x:v>18</x:v>
      </x:c>
      <x:c r="B19" t="n">
        <x:v>2624</x:v>
      </x:c>
      <x:c r="C19" t="n">
        <x:v>857</x:v>
      </x:c>
      <x:c r="D19" t="n">
        <x:v>1366</x:v>
      </x:c>
      <x:c r="E19" t="str">
        <x:v>战斗公式.xlsx/怪物标准模型 AS/AQ/AO；2026-08-27</x:v>
      </x:c>
    </x:row>
    <x:row r="20">
      <x:c r="A20" t="n">
        <x:v>19</x:v>
      </x:c>
      <x:c r="B20" t="n">
        <x:v>2820</x:v>
      </x:c>
      <x:c r="C20" t="n">
        <x:v>908</x:v>
      </x:c>
      <x:c r="D20" t="n">
        <x:v>1444</x:v>
      </x:c>
      <x:c r="E20" t="str">
        <x:v>战斗公式.xlsx/怪物标准模型 AS/AQ/AO；2026-08-27</x:v>
      </x:c>
    </x:row>
    <x:row r="21">
      <x:c r="A21" t="n">
        <x:v>20</x:v>
      </x:c>
      <x:c r="B21" t="n">
        <x:v>3020</x:v>
      </x:c>
      <x:c r="C21" t="n">
        <x:v>960</x:v>
      </x:c>
      <x:c r="D21" t="n">
        <x:v>1522</x:v>
      </x:c>
      <x:c r="E21" t="str">
        <x:v>战斗公式.xlsx/怪物标准模型 AS/AQ/AO；2026-08-27</x:v>
      </x:c>
    </x:row>
    <x:row r="22">
      <x:c r="A22" t="n">
        <x:v>21</x:v>
      </x:c>
      <x:c r="B22" t="n">
        <x:v>3225</x:v>
      </x:c>
      <x:c r="C22" t="n">
        <x:v>1012</x:v>
      </x:c>
      <x:c r="D22" t="n">
        <x:v>1600</x:v>
      </x:c>
      <x:c r="E22" t="str">
        <x:v>战斗公式.xlsx/怪物标准模型 AS/AQ/AO；2026-08-27</x:v>
      </x:c>
    </x:row>
    <x:row r="23">
      <x:c r="A23" t="n">
        <x:v>22</x:v>
      </x:c>
      <x:c r="B23" t="n">
        <x:v>3435</x:v>
      </x:c>
      <x:c r="C23" t="n">
        <x:v>1064</x:v>
      </x:c>
      <x:c r="D23" t="n">
        <x:v>1679</x:v>
      </x:c>
      <x:c r="E23" t="str">
        <x:v>战斗公式.xlsx/怪物标准模型 AS/AQ/AO；2026-08-27</x:v>
      </x:c>
    </x:row>
    <x:row r="24">
      <x:c r="A24" t="n">
        <x:v>23</x:v>
      </x:c>
      <x:c r="B24" t="n">
        <x:v>3650</x:v>
      </x:c>
      <x:c r="C24" t="n">
        <x:v>1118</x:v>
      </x:c>
      <x:c r="D24" t="n">
        <x:v>1758</x:v>
      </x:c>
      <x:c r="E24" t="str">
        <x:v>战斗公式.xlsx/怪物标准模型 AS/AQ/AO；2026-08-27</x:v>
      </x:c>
    </x:row>
    <x:row r="25">
      <x:c r="A25" t="n">
        <x:v>24</x:v>
      </x:c>
      <x:c r="B25" t="n">
        <x:v>3871</x:v>
      </x:c>
      <x:c r="C25" t="n">
        <x:v>1171</x:v>
      </x:c>
      <x:c r="D25" t="n">
        <x:v>1837</x:v>
      </x:c>
      <x:c r="E25" t="str">
        <x:v>战斗公式.xlsx/怪物标准模型 AS/AQ/AO；2026-08-27</x:v>
      </x:c>
    </x:row>
    <x:row r="26">
      <x:c r="A26" t="n">
        <x:v>25</x:v>
      </x:c>
      <x:c r="B26" t="n">
        <x:v>4096</x:v>
      </x:c>
      <x:c r="C26" t="n">
        <x:v>1225</x:v>
      </x:c>
      <x:c r="D26" t="n">
        <x:v>1917</x:v>
      </x:c>
      <x:c r="E26" t="str">
        <x:v>战斗公式.xlsx/怪物标准模型 AS/AQ/AO；2026-08-27</x:v>
      </x:c>
    </x:row>
    <x:row r="27">
      <x:c r="A27" t="n">
        <x:v>26</x:v>
      </x:c>
      <x:c r="B27" t="n">
        <x:v>4326</x:v>
      </x:c>
      <x:c r="C27" t="n">
        <x:v>1279</x:v>
      </x:c>
      <x:c r="D27" t="n">
        <x:v>1996</x:v>
      </x:c>
      <x:c r="E27" t="str">
        <x:v>战斗公式.xlsx/怪物标准模型 AS/AQ/AO；2026-08-27</x:v>
      </x:c>
    </x:row>
    <x:row r="28">
      <x:c r="A28" t="n">
        <x:v>27</x:v>
      </x:c>
      <x:c r="B28" t="n">
        <x:v>4561</x:v>
      </x:c>
      <x:c r="C28" t="n">
        <x:v>1333</x:v>
      </x:c>
      <x:c r="D28" t="n">
        <x:v>2076</x:v>
      </x:c>
      <x:c r="E28" t="str">
        <x:v>战斗公式.xlsx/怪物标准模型 AS/AQ/AO；2026-08-27</x:v>
      </x:c>
    </x:row>
    <x:row r="29">
      <x:c r="A29" t="n">
        <x:v>28</x:v>
      </x:c>
      <x:c r="B29" t="n">
        <x:v>4801</x:v>
      </x:c>
      <x:c r="C29" t="n">
        <x:v>1389</x:v>
      </x:c>
      <x:c r="D29" t="n">
        <x:v>2156</x:v>
      </x:c>
      <x:c r="E29" t="str">
        <x:v>战斗公式.xlsx/怪物标准模型 AS/AQ/AO；2026-08-27</x:v>
      </x:c>
    </x:row>
    <x:row r="30">
      <x:c r="A30" t="n">
        <x:v>29</x:v>
      </x:c>
      <x:c r="B30" t="n">
        <x:v>5046</x:v>
      </x:c>
      <x:c r="C30" t="n">
        <x:v>1444</x:v>
      </x:c>
      <x:c r="D30" t="n">
        <x:v>2236</x:v>
      </x:c>
      <x:c r="E30" t="str">
        <x:v>战斗公式.xlsx/怪物标准模型 AS/AQ/AO；2026-08-27</x:v>
      </x:c>
    </x:row>
    <x:row r="31">
      <x:c r="A31" t="n">
        <x:v>30</x:v>
      </x:c>
      <x:c r="B31" t="n">
        <x:v>5297</x:v>
      </x:c>
      <x:c r="C31" t="n">
        <x:v>1500</x:v>
      </x:c>
      <x:c r="D31" t="n">
        <x:v>2317</x:v>
      </x:c>
      <x:c r="E31" t="str">
        <x:v>战斗公式.xlsx/怪物标准模型 AS/AQ/AO；2026-08-27</x:v>
      </x:c>
    </x:row>
    <x:row r="32">
      <x:c r="A32" t="n">
        <x:v>31</x:v>
      </x:c>
      <x:c r="B32" t="n">
        <x:v>5552</x:v>
      </x:c>
      <x:c r="C32" t="n">
        <x:v>1557</x:v>
      </x:c>
      <x:c r="D32" t="n">
        <x:v>2398</x:v>
      </x:c>
      <x:c r="E32" t="str">
        <x:v>战斗公式.xlsx/怪物标准模型 AS/AQ/AO；2026-08-27</x:v>
      </x:c>
    </x:row>
    <x:row r="33">
      <x:c r="A33" t="n">
        <x:v>32</x:v>
      </x:c>
      <x:c r="B33" t="n">
        <x:v>5812</x:v>
      </x:c>
      <x:c r="C33" t="n">
        <x:v>1613</x:v>
      </x:c>
      <x:c r="D33" t="n">
        <x:v>2479</x:v>
      </x:c>
      <x:c r="E33" t="str">
        <x:v>战斗公式.xlsx/怪物标准模型 AS/AQ/AO；2026-08-27</x:v>
      </x:c>
    </x:row>
    <x:row r="34">
      <x:c r="A34" t="n">
        <x:v>33</x:v>
      </x:c>
      <x:c r="B34" t="n">
        <x:v>6078</x:v>
      </x:c>
      <x:c r="C34" t="n">
        <x:v>1671</x:v>
      </x:c>
      <x:c r="D34" t="n">
        <x:v>2560</x:v>
      </x:c>
      <x:c r="E34" t="str">
        <x:v>战斗公式.xlsx/怪物标准模型 AS/AQ/AO；2026-08-27</x:v>
      </x:c>
    </x:row>
    <x:row r="35">
      <x:c r="A35" t="n">
        <x:v>34</x:v>
      </x:c>
      <x:c r="B35" t="n">
        <x:v>6348</x:v>
      </x:c>
      <x:c r="C35" t="n">
        <x:v>1728</x:v>
      </x:c>
      <x:c r="D35" t="n">
        <x:v>2641</x:v>
      </x:c>
      <x:c r="E35" t="str">
        <x:v>战斗公式.xlsx/怪物标准模型 AS/AQ/AO；2026-08-27</x:v>
      </x:c>
    </x:row>
    <x:row r="36">
      <x:c r="A36" t="n">
        <x:v>35</x:v>
      </x:c>
      <x:c r="B36" t="n">
        <x:v>6624</x:v>
      </x:c>
      <x:c r="C36" t="n">
        <x:v>1787</x:v>
      </x:c>
      <x:c r="D36" t="n">
        <x:v>2723</x:v>
      </x:c>
      <x:c r="E36" t="str">
        <x:v>战斗公式.xlsx/怪物标准模型 AS/AQ/AO；2026-08-27</x:v>
      </x:c>
    </x:row>
    <x:row r="37">
      <x:c r="A37" t="n">
        <x:v>36</x:v>
      </x:c>
      <x:c r="B37" t="n">
        <x:v>6904</x:v>
      </x:c>
      <x:c r="C37" t="n">
        <x:v>1845</x:v>
      </x:c>
      <x:c r="D37" t="n">
        <x:v>2805</x:v>
      </x:c>
      <x:c r="E37" t="str">
        <x:v>战斗公式.xlsx/怪物标准模型 AS/AQ/AO；2026-08-27</x:v>
      </x:c>
    </x:row>
    <x:row r="38">
      <x:c r="A38" t="n">
        <x:v>37</x:v>
      </x:c>
      <x:c r="B38" t="n">
        <x:v>7190</x:v>
      </x:c>
      <x:c r="C38" t="n">
        <x:v>1904</x:v>
      </x:c>
      <x:c r="D38" t="n">
        <x:v>2887</x:v>
      </x:c>
      <x:c r="E38" t="str">
        <x:v>战斗公式.xlsx/怪物标准模型 AS/AQ/AO；2026-08-27</x:v>
      </x:c>
    </x:row>
    <x:row r="39">
      <x:c r="A39" t="n">
        <x:v>38</x:v>
      </x:c>
      <x:c r="B39" t="n">
        <x:v>7481</x:v>
      </x:c>
      <x:c r="C39" t="n">
        <x:v>1963</x:v>
      </x:c>
      <x:c r="D39" t="n">
        <x:v>2969</x:v>
      </x:c>
      <x:c r="E39" t="str">
        <x:v>战斗公式.xlsx/怪物标准模型 AS/AQ/AO；2026-08-27</x:v>
      </x:c>
    </x:row>
    <x:row r="40">
      <x:c r="A40" t="n">
        <x:v>39</x:v>
      </x:c>
      <x:c r="B40" t="n">
        <x:v>7777</x:v>
      </x:c>
      <x:c r="C40" t="n">
        <x:v>2023</x:v>
      </x:c>
      <x:c r="D40" t="n">
        <x:v>3052</x:v>
      </x:c>
      <x:c r="E40" t="str">
        <x:v>战斗公式.xlsx/怪物标准模型 AS/AQ/AO；2026-08-27</x:v>
      </x:c>
    </x:row>
    <x:row r="41">
      <x:c r="A41" t="n">
        <x:v>40</x:v>
      </x:c>
      <x:c r="B41" t="n">
        <x:v>8079</x:v>
      </x:c>
      <x:c r="C41" t="n">
        <x:v>2083</x:v>
      </x:c>
      <x:c r="D41" t="n">
        <x:v>3135</x:v>
      </x:c>
      <x:c r="E41" t="str">
        <x:v>战斗公式.xlsx/怪物标准模型 AS/AQ/AO；2026-08-27</x:v>
      </x:c>
    </x:row>
    <x:row r="42">
      <x:c r="A42" t="n">
        <x:v>41</x:v>
      </x:c>
      <x:c r="B42" t="n">
        <x:v>8386</x:v>
      </x:c>
      <x:c r="C42" t="n">
        <x:v>2144</x:v>
      </x:c>
      <x:c r="D42" t="n">
        <x:v>3218</x:v>
      </x:c>
      <x:c r="E42" t="str">
        <x:v>战斗公式.xlsx/怪物标准模型 AS/AQ/AO；2026-08-27</x:v>
      </x:c>
    </x:row>
    <x:row r="43">
      <x:c r="A43" t="n">
        <x:v>42</x:v>
      </x:c>
      <x:c r="B43" t="n">
        <x:v>8698</x:v>
      </x:c>
      <x:c r="C43" t="n">
        <x:v>2206</x:v>
      </x:c>
      <x:c r="D43" t="n">
        <x:v>3301</x:v>
      </x:c>
      <x:c r="E43" t="str">
        <x:v>战斗公式.xlsx/怪物标准模型 AS/AQ/AO；2026-08-27</x:v>
      </x:c>
    </x:row>
    <x:row r="44">
      <x:c r="A44" t="n">
        <x:v>43</x:v>
      </x:c>
      <x:c r="B44" t="n">
        <x:v>9015</x:v>
      </x:c>
      <x:c r="C44" t="n">
        <x:v>2267</x:v>
      </x:c>
      <x:c r="D44" t="n">
        <x:v>3384</x:v>
      </x:c>
      <x:c r="E44" t="str">
        <x:v>战斗公式.xlsx/怪物标准模型 AS/AQ/AO；2026-08-27</x:v>
      </x:c>
    </x:row>
    <x:row r="45">
      <x:c r="A45" t="n">
        <x:v>44</x:v>
      </x:c>
      <x:c r="B45" t="n">
        <x:v>9338</x:v>
      </x:c>
      <x:c r="C45" t="n">
        <x:v>2329</x:v>
      </x:c>
      <x:c r="D45" t="n">
        <x:v>3468</x:v>
      </x:c>
      <x:c r="E45" t="str">
        <x:v>战斗公式.xlsx/怪物标准模型 AS/AQ/AO；2026-08-27</x:v>
      </x:c>
    </x:row>
    <x:row r="46">
      <x:c r="A46" t="n">
        <x:v>45</x:v>
      </x:c>
      <x:c r="B46" t="n">
        <x:v>9666</x:v>
      </x:c>
      <x:c r="C46" t="n">
        <x:v>2392</x:v>
      </x:c>
      <x:c r="D46" t="n">
        <x:v>3552</x:v>
      </x:c>
      <x:c r="E46" t="str">
        <x:v>战斗公式.xlsx/怪物标准模型 AS/AQ/AO；2026-08-27</x:v>
      </x:c>
    </x:row>
    <x:row r="47">
      <x:c r="A47" t="n">
        <x:v>46</x:v>
      </x:c>
      <x:c r="B47" t="n">
        <x:v>9999</x:v>
      </x:c>
      <x:c r="C47" t="n">
        <x:v>2455</x:v>
      </x:c>
      <x:c r="D47" t="n">
        <x:v>3636</x:v>
      </x:c>
      <x:c r="E47" t="str">
        <x:v>战斗公式.xlsx/怪物标准模型 AS/AQ/AO；2026-08-27</x:v>
      </x:c>
    </x:row>
    <x:row r="48">
      <x:c r="A48" t="n">
        <x:v>47</x:v>
      </x:c>
      <x:c r="B48" t="n">
        <x:v>10338</x:v>
      </x:c>
      <x:c r="C48" t="n">
        <x:v>2519</x:v>
      </x:c>
      <x:c r="D48" t="n">
        <x:v>3721</x:v>
      </x:c>
      <x:c r="E48" t="str">
        <x:v>战斗公式.xlsx/怪物标准模型 AS/AQ/AO；2026-08-27</x:v>
      </x:c>
    </x:row>
    <x:row r="49">
      <x:c r="A49" t="n">
        <x:v>48</x:v>
      </x:c>
      <x:c r="B49" t="n">
        <x:v>10683</x:v>
      </x:c>
      <x:c r="C49" t="n">
        <x:v>2582</x:v>
      </x:c>
      <x:c r="D49" t="n">
        <x:v>3805</x:v>
      </x:c>
      <x:c r="E49" t="str">
        <x:v>战斗公式.xlsx/怪物标准模型 AS/AQ/AO；2026-08-27</x:v>
      </x:c>
    </x:row>
    <x:row r="50">
      <x:c r="A50" t="n">
        <x:v>49</x:v>
      </x:c>
      <x:c r="B50" t="n">
        <x:v>11033</x:v>
      </x:c>
      <x:c r="C50" t="n">
        <x:v>2647</x:v>
      </x:c>
      <x:c r="D50" t="n">
        <x:v>3890</x:v>
      </x:c>
      <x:c r="E50" t="str">
        <x:v>战斗公式.xlsx/怪物标准模型 AS/AQ/AO；2026-08-27</x:v>
      </x:c>
    </x:row>
    <x:row r="51">
      <x:c r="A51" t="n">
        <x:v>50</x:v>
      </x:c>
      <x:c r="B51" t="n">
        <x:v>11389</x:v>
      </x:c>
      <x:c r="C51" t="n">
        <x:v>2712</x:v>
      </x:c>
      <x:c r="D51" t="n">
        <x:v>3975</x:v>
      </x:c>
      <x:c r="E51" t="str">
        <x:v>战斗公式.xlsx/怪物标准模型 AS/AQ/AO；2026-08-27</x:v>
      </x:c>
    </x:row>
    <x:row r="52">
      <x:c r="A52" t="n">
        <x:v>51</x:v>
      </x:c>
      <x:c r="B52" t="n">
        <x:v>11750</x:v>
      </x:c>
      <x:c r="C52" t="n">
        <x:v>2777</x:v>
      </x:c>
      <x:c r="D52" t="n">
        <x:v>4061</x:v>
      </x:c>
      <x:c r="E52" t="str">
        <x:v>战斗公式.xlsx/怪物标准模型 AS/AQ/AO；2026-08-27</x:v>
      </x:c>
    </x:row>
    <x:row r="53">
      <x:c r="A53" t="n">
        <x:v>52</x:v>
      </x:c>
      <x:c r="B53" t="n">
        <x:v>12117</x:v>
      </x:c>
      <x:c r="C53" t="n">
        <x:v>2843</x:v>
      </x:c>
      <x:c r="D53" t="n">
        <x:v>4146</x:v>
      </x:c>
      <x:c r="E53" t="str">
        <x:v>战斗公式.xlsx/怪物标准模型 AS/AQ/AO；2026-08-27</x:v>
      </x:c>
    </x:row>
    <x:row r="54">
      <x:c r="A54" t="n">
        <x:v>53</x:v>
      </x:c>
      <x:c r="B54" t="n">
        <x:v>12490</x:v>
      </x:c>
      <x:c r="C54" t="n">
        <x:v>2909</x:v>
      </x:c>
      <x:c r="D54" t="n">
        <x:v>4232</x:v>
      </x:c>
      <x:c r="E54" t="str">
        <x:v>战斗公式.xlsx/怪物标准模型 AS/AQ/AO；2026-08-27</x:v>
      </x:c>
    </x:row>
    <x:row r="55">
      <x:c r="A55" t="n">
        <x:v>54</x:v>
      </x:c>
      <x:c r="B55" t="n">
        <x:v>12868</x:v>
      </x:c>
      <x:c r="C55" t="n">
        <x:v>2977</x:v>
      </x:c>
      <x:c r="D55" t="n">
        <x:v>4318</x:v>
      </x:c>
      <x:c r="E55" t="str">
        <x:v>战斗公式.xlsx/怪物标准模型 AS/AQ/AO；2026-08-27</x:v>
      </x:c>
    </x:row>
    <x:row r="56">
      <x:c r="A56" t="n">
        <x:v>55</x:v>
      </x:c>
      <x:c r="B56" t="n">
        <x:v>13252</x:v>
      </x:c>
      <x:c r="C56" t="n">
        <x:v>3044</x:v>
      </x:c>
      <x:c r="D56" t="n">
        <x:v>4404</x:v>
      </x:c>
      <x:c r="E56" t="str">
        <x:v>战斗公式.xlsx/怪物标准模型 AS/AQ/AO；2026-08-27</x:v>
      </x:c>
    </x:row>
    <x:row r="57">
      <x:c r="A57" t="n">
        <x:v>56</x:v>
      </x:c>
      <x:c r="B57" t="n">
        <x:v>13643</x:v>
      </x:c>
      <x:c r="C57" t="n">
        <x:v>3112</x:v>
      </x:c>
      <x:c r="D57" t="n">
        <x:v>4491</x:v>
      </x:c>
      <x:c r="E57" t="str">
        <x:v>战斗公式.xlsx/怪物标准模型 AS/AQ/AO；2026-08-27</x:v>
      </x:c>
    </x:row>
    <x:row r="58">
      <x:c r="A58" t="n">
        <x:v>57</x:v>
      </x:c>
      <x:c r="B58" t="n">
        <x:v>14039</x:v>
      </x:c>
      <x:c r="C58" t="n">
        <x:v>3180</x:v>
      </x:c>
      <x:c r="D58" t="n">
        <x:v>4577</x:v>
      </x:c>
      <x:c r="E58" t="str">
        <x:v>战斗公式.xlsx/怪物标准模型 AS/AQ/AO；2026-08-27</x:v>
      </x:c>
    </x:row>
    <x:row r="59">
      <x:c r="A59" t="n">
        <x:v>58</x:v>
      </x:c>
      <x:c r="B59" t="n">
        <x:v>14441</x:v>
      </x:c>
      <x:c r="C59" t="n">
        <x:v>3249</x:v>
      </x:c>
      <x:c r="D59" t="n">
        <x:v>4664</x:v>
      </x:c>
      <x:c r="E59" t="str">
        <x:v>战斗公式.xlsx/怪物标准模型 AS/AQ/AO；2026-08-27</x:v>
      </x:c>
    </x:row>
    <x:row r="60">
      <x:c r="A60" t="n">
        <x:v>59</x:v>
      </x:c>
      <x:c r="B60" t="n">
        <x:v>14849</x:v>
      </x:c>
      <x:c r="C60" t="n">
        <x:v>3319</x:v>
      </x:c>
      <x:c r="D60" t="n">
        <x:v>4751</x:v>
      </x:c>
      <x:c r="E60" t="str">
        <x:v>战斗公式.xlsx/怪物标准模型 AS/AQ/AO；2026-08-27</x:v>
      </x:c>
    </x:row>
    <x:row r="61">
      <x:c r="A61" t="n">
        <x:v>60</x:v>
      </x:c>
      <x:c r="B61" t="n">
        <x:v>15263</x:v>
      </x:c>
      <x:c r="C61" t="n">
        <x:v>3388</x:v>
      </x:c>
      <x:c r="D61" t="n">
        <x:v>4839</x:v>
      </x:c>
      <x:c r="E61" t="str">
        <x:v>战斗公式.xlsx/怪物标准模型 AS/AQ/AO；2026-08-27</x:v>
      </x:c>
    </x:row>
    <x:row r="62">
      <x:c r="A62" t="n">
        <x:v>61</x:v>
      </x:c>
      <x:c r="B62" t="n">
        <x:v>15683</x:v>
      </x:c>
      <x:c r="C62" t="n">
        <x:v>3458</x:v>
      </x:c>
      <x:c r="D62" t="n">
        <x:v>4926</x:v>
      </x:c>
      <x:c r="E62" t="str">
        <x:v>战斗公式.xlsx/怪物标准模型 AS/AQ/AO；2026-08-27</x:v>
      </x:c>
    </x:row>
    <x:row r="63">
      <x:c r="A63" t="n">
        <x:v>62</x:v>
      </x:c>
      <x:c r="B63" t="n">
        <x:v>16110</x:v>
      </x:c>
      <x:c r="C63" t="n">
        <x:v>3529</x:v>
      </x:c>
      <x:c r="D63" t="n">
        <x:v>5014</x:v>
      </x:c>
      <x:c r="E63" t="str">
        <x:v>战斗公式.xlsx/怪物标准模型 AS/AQ/AO；2026-08-27</x:v>
      </x:c>
    </x:row>
    <x:row r="64">
      <x:c r="A64" t="n">
        <x:v>63</x:v>
      </x:c>
      <x:c r="B64" t="n">
        <x:v>16542</x:v>
      </x:c>
      <x:c r="C64" t="n">
        <x:v>3600</x:v>
      </x:c>
      <x:c r="D64" t="n">
        <x:v>5102</x:v>
      </x:c>
      <x:c r="E64" t="str">
        <x:v>战斗公式.xlsx/怪物标准模型 AS/AQ/AO；2026-08-27</x:v>
      </x:c>
    </x:row>
    <x:row r="65">
      <x:c r="A65" t="n">
        <x:v>64</x:v>
      </x:c>
      <x:c r="B65" t="n">
        <x:v>16981</x:v>
      </x:c>
      <x:c r="C65" t="n">
        <x:v>3672</x:v>
      </x:c>
      <x:c r="D65" t="n">
        <x:v>5190</x:v>
      </x:c>
      <x:c r="E65" t="str">
        <x:v>战斗公式.xlsx/怪物标准模型 AS/AQ/AO；2026-08-27</x:v>
      </x:c>
    </x:row>
    <x:row r="66">
      <x:c r="A66" t="n">
        <x:v>65</x:v>
      </x:c>
      <x:c r="B66" t="n">
        <x:v>17427</x:v>
      </x:c>
      <x:c r="C66" t="n">
        <x:v>3745</x:v>
      </x:c>
      <x:c r="D66" t="n">
        <x:v>5279</x:v>
      </x:c>
      <x:c r="E66" t="str">
        <x:v>战斗公式.xlsx/怪物标准模型 AS/AQ/AO；2026-08-27</x:v>
      </x:c>
    </x:row>
    <x:row r="67">
      <x:c r="A67" t="n">
        <x:v>66</x:v>
      </x:c>
      <x:c r="B67" t="n">
        <x:v>17879</x:v>
      </x:c>
      <x:c r="C67" t="n">
        <x:v>3818</x:v>
      </x:c>
      <x:c r="D67" t="n">
        <x:v>5367</x:v>
      </x:c>
      <x:c r="E67" t="str">
        <x:v>战斗公式.xlsx/怪物标准模型 AS/AQ/AO；2026-08-27</x:v>
      </x:c>
    </x:row>
    <x:row r="68">
      <x:c r="A68" t="n">
        <x:v>67</x:v>
      </x:c>
      <x:c r="B68" t="n">
        <x:v>18337</x:v>
      </x:c>
      <x:c r="C68" t="n">
        <x:v>3891</x:v>
      </x:c>
      <x:c r="D68" t="n">
        <x:v>5456</x:v>
      </x:c>
      <x:c r="E68" t="str">
        <x:v>战斗公式.xlsx/怪物标准模型 AS/AQ/AO；2026-08-27</x:v>
      </x:c>
    </x:row>
    <x:row r="69">
      <x:c r="A69" t="n">
        <x:v>68</x:v>
      </x:c>
      <x:c r="B69" t="n">
        <x:v>18802</x:v>
      </x:c>
      <x:c r="C69" t="n">
        <x:v>3965</x:v>
      </x:c>
      <x:c r="D69" t="n">
        <x:v>5546</x:v>
      </x:c>
      <x:c r="E69" t="str">
        <x:v>战斗公式.xlsx/怪物标准模型 AS/AQ/AO；2026-08-27</x:v>
      </x:c>
    </x:row>
    <x:row r="70">
      <x:c r="A70" t="n">
        <x:v>69</x:v>
      </x:c>
      <x:c r="B70" t="n">
        <x:v>19273</x:v>
      </x:c>
      <x:c r="C70" t="n">
        <x:v>4040</x:v>
      </x:c>
      <x:c r="D70" t="n">
        <x:v>5635</x:v>
      </x:c>
      <x:c r="E70" t="str">
        <x:v>战斗公式.xlsx/怪物标准模型 AS/AQ/AO；2026-08-27</x:v>
      </x:c>
    </x:row>
    <x:row r="71">
      <x:c r="A71" t="n">
        <x:v>70</x:v>
      </x:c>
      <x:c r="B71" t="n">
        <x:v>19751</x:v>
      </x:c>
      <x:c r="C71" t="n">
        <x:v>4115</x:v>
      </x:c>
      <x:c r="D71" t="n">
        <x:v>5725</x:v>
      </x:c>
      <x:c r="E71" t="str">
        <x:v>战斗公式.xlsx/怪物标准模型 AS/AQ/AO；2026-08-27</x:v>
      </x:c>
    </x:row>
    <x:row r="72">
      <x:c r="A72" t="n">
        <x:v>71</x:v>
      </x:c>
      <x:c r="B72" t="n">
        <x:v>20236</x:v>
      </x:c>
      <x:c r="C72" t="n">
        <x:v>4190</x:v>
      </x:c>
      <x:c r="D72" t="n">
        <x:v>5814</x:v>
      </x:c>
      <x:c r="E72" t="str">
        <x:v>战斗公式.xlsx/怪物标准模型 AS/AQ/AO；2026-08-27</x:v>
      </x:c>
    </x:row>
    <x:row r="73">
      <x:c r="A73" t="n">
        <x:v>72</x:v>
      </x:c>
      <x:c r="B73" t="n">
        <x:v>20727</x:v>
      </x:c>
      <x:c r="C73" t="n">
        <x:v>4266</x:v>
      </x:c>
      <x:c r="D73" t="n">
        <x:v>5905</x:v>
      </x:c>
      <x:c r="E73" t="str">
        <x:v>战斗公式.xlsx/怪物标准模型 AS/AQ/AO；2026-08-27</x:v>
      </x:c>
    </x:row>
    <x:row r="74">
      <x:c r="A74" t="n">
        <x:v>73</x:v>
      </x:c>
      <x:c r="B74" t="n">
        <x:v>21225</x:v>
      </x:c>
      <x:c r="C74" t="n">
        <x:v>4343</x:v>
      </x:c>
      <x:c r="D74" t="n">
        <x:v>5995</x:v>
      </x:c>
      <x:c r="E74" t="str">
        <x:v>战斗公式.xlsx/怪物标准模型 AS/AQ/AO；2026-08-27</x:v>
      </x:c>
    </x:row>
    <x:row r="75">
      <x:c r="A75" t="n">
        <x:v>74</x:v>
      </x:c>
      <x:c r="B75" t="n">
        <x:v>21730</x:v>
      </x:c>
      <x:c r="C75" t="n">
        <x:v>4420</x:v>
      </x:c>
      <x:c r="D75" t="n">
        <x:v>6085</x:v>
      </x:c>
      <x:c r="E75" t="str">
        <x:v>战斗公式.xlsx/怪物标准模型 AS/AQ/AO；2026-08-27</x:v>
      </x:c>
    </x:row>
    <x:row r="76">
      <x:c r="A76" t="n">
        <x:v>75</x:v>
      </x:c>
      <x:c r="B76" t="n">
        <x:v>22242</x:v>
      </x:c>
      <x:c r="C76" t="n">
        <x:v>4497</x:v>
      </x:c>
      <x:c r="D76" t="n">
        <x:v>6176</x:v>
      </x:c>
      <x:c r="E76" t="str">
        <x:v>战斗公式.xlsx/怪物标准模型 AS/AQ/AO；2026-08-27</x:v>
      </x:c>
    </x:row>
    <x:row r="77">
      <x:c r="A77" t="n">
        <x:v>76</x:v>
      </x:c>
      <x:c r="B77" t="n">
        <x:v>22762</x:v>
      </x:c>
      <x:c r="C77" t="n">
        <x:v>4576</x:v>
      </x:c>
      <x:c r="D77" t="n">
        <x:v>6267</x:v>
      </x:c>
      <x:c r="E77" t="str">
        <x:v>战斗公式.xlsx/怪物标准模型 AS/AQ/AO；2026-08-27</x:v>
      </x:c>
    </x:row>
    <x:row r="78">
      <x:c r="A78" t="n">
        <x:v>77</x:v>
      </x:c>
      <x:c r="B78" t="n">
        <x:v>23288</x:v>
      </x:c>
      <x:c r="C78" t="n">
        <x:v>4654</x:v>
      </x:c>
      <x:c r="D78" t="n">
        <x:v>6358</x:v>
      </x:c>
      <x:c r="E78" t="str">
        <x:v>战斗公式.xlsx/怪物标准模型 AS/AQ/AO；2026-08-27</x:v>
      </x:c>
    </x:row>
    <x:row r="79">
      <x:c r="A79" t="n">
        <x:v>78</x:v>
      </x:c>
      <x:c r="B79" t="n">
        <x:v>23821</x:v>
      </x:c>
      <x:c r="C79" t="n">
        <x:v>4734</x:v>
      </x:c>
      <x:c r="D79" t="n">
        <x:v>6450</x:v>
      </x:c>
      <x:c r="E79" t="str">
        <x:v>战斗公式.xlsx/怪物标准模型 AS/AQ/AO；2026-08-27</x:v>
      </x:c>
    </x:row>
    <x:row r="80">
      <x:c r="A80" t="n">
        <x:v>79</x:v>
      </x:c>
      <x:c r="B80" t="n">
        <x:v>24362</x:v>
      </x:c>
      <x:c r="C80" t="n">
        <x:v>4814</x:v>
      </x:c>
      <x:c r="D80" t="n">
        <x:v>6542</x:v>
      </x:c>
      <x:c r="E80" t="str">
        <x:v>战斗公式.xlsx/怪物标准模型 AS/AQ/AO；2026-08-27</x:v>
      </x:c>
    </x:row>
    <x:row r="81">
      <x:c r="A81" t="n">
        <x:v>80</x:v>
      </x:c>
      <x:c r="B81" t="n">
        <x:v>24910</x:v>
      </x:c>
      <x:c r="C81" t="n">
        <x:v>4893</x:v>
      </x:c>
      <x:c r="D81" t="n">
        <x:v>6633</x:v>
      </x:c>
      <x:c r="E81" t="str">
        <x:v>战斗公式.xlsx/怪物标准模型 AS/AQ/AO；2026-08-27</x:v>
      </x:c>
    </x:row>
    <x:row r="82">
      <x:c r="A82" t="n">
        <x:v>81</x:v>
      </x:c>
      <x:c r="B82" t="n">
        <x:v>25465</x:v>
      </x:c>
      <x:c r="C82" t="n">
        <x:v>4974</x:v>
      </x:c>
      <x:c r="D82" t="n">
        <x:v>6726</x:v>
      </x:c>
      <x:c r="E82" t="str">
        <x:v>战斗公式.xlsx/怪物标准模型 AS/AQ/AO；2026-08-27</x:v>
      </x:c>
    </x:row>
    <x:row r="83">
      <x:c r="A83" t="n">
        <x:v>82</x:v>
      </x:c>
      <x:c r="B83" t="n">
        <x:v>26027</x:v>
      </x:c>
      <x:c r="C83" t="n">
        <x:v>5056</x:v>
      </x:c>
      <x:c r="D83" t="n">
        <x:v>6818</x:v>
      </x:c>
      <x:c r="E83" t="str">
        <x:v>战斗公式.xlsx/怪物标准模型 AS/AQ/AO；2026-08-27</x:v>
      </x:c>
    </x:row>
    <x:row r="84">
      <x:c r="A84" t="n">
        <x:v>83</x:v>
      </x:c>
      <x:c r="B84" t="n">
        <x:v>26598</x:v>
      </x:c>
      <x:c r="C84" t="n">
        <x:v>5138</x:v>
      </x:c>
      <x:c r="D84" t="n">
        <x:v>6911</x:v>
      </x:c>
      <x:c r="E84" t="str">
        <x:v>战斗公式.xlsx/怪物标准模型 AS/AQ/AO；2026-08-27</x:v>
      </x:c>
    </x:row>
    <x:row r="85">
      <x:c r="A85" t="n">
        <x:v>84</x:v>
      </x:c>
      <x:c r="B85" t="n">
        <x:v>27175</x:v>
      </x:c>
      <x:c r="C85" t="n">
        <x:v>5221</x:v>
      </x:c>
      <x:c r="D85" t="n">
        <x:v>7003</x:v>
      </x:c>
      <x:c r="E85" t="str">
        <x:v>战斗公式.xlsx/怪物标准模型 AS/AQ/AO；2026-08-27</x:v>
      </x:c>
    </x:row>
    <x:row r="86">
      <x:c r="A86" t="n">
        <x:v>85</x:v>
      </x:c>
      <x:c r="B86" t="n">
        <x:v>27760</x:v>
      </x:c>
      <x:c r="C86" t="n">
        <x:v>5304</x:v>
      </x:c>
      <x:c r="D86" t="n">
        <x:v>7096</x:v>
      </x:c>
      <x:c r="E86" t="str">
        <x:v>战斗公式.xlsx/怪物标准模型 AS/AQ/AO；2026-08-27</x:v>
      </x:c>
    </x:row>
    <x:row r="87">
      <x:c r="A87" t="n">
        <x:v>86</x:v>
      </x:c>
      <x:c r="B87" t="n">
        <x:v>28353</x:v>
      </x:c>
      <x:c r="C87" t="n">
        <x:v>5388</x:v>
      </x:c>
      <x:c r="D87" t="n">
        <x:v>7190</x:v>
      </x:c>
      <x:c r="E87" t="str">
        <x:v>战斗公式.xlsx/怪物标准模型 AS/AQ/AO；2026-08-27</x:v>
      </x:c>
    </x:row>
    <x:row r="88">
      <x:c r="A88" t="n">
        <x:v>87</x:v>
      </x:c>
      <x:c r="B88" t="n">
        <x:v>28954</x:v>
      </x:c>
      <x:c r="C88" t="n">
        <x:v>5471</x:v>
      </x:c>
      <x:c r="D88" t="n">
        <x:v>7283</x:v>
      </x:c>
      <x:c r="E88" t="str">
        <x:v>战斗公式.xlsx/怪物标准模型 AS/AQ/AO；2026-08-27</x:v>
      </x:c>
    </x:row>
    <x:row r="89">
      <x:c r="A89" t="n">
        <x:v>88</x:v>
      </x:c>
      <x:c r="B89" t="n">
        <x:v>29563</x:v>
      </x:c>
      <x:c r="C89" t="n">
        <x:v>5557</x:v>
      </x:c>
      <x:c r="D89" t="n">
        <x:v>7377</x:v>
      </x:c>
      <x:c r="E89" t="str">
        <x:v>战斗公式.xlsx/怪物标准模型 AS/AQ/AO；2026-08-27</x:v>
      </x:c>
    </x:row>
    <x:row r="90">
      <x:c r="A90" t="n">
        <x:v>89</x:v>
      </x:c>
      <x:c r="B90" t="n">
        <x:v>30179</x:v>
      </x:c>
      <x:c r="C90" t="n">
        <x:v>5642</x:v>
      </x:c>
      <x:c r="D90" t="n">
        <x:v>7471</x:v>
      </x:c>
      <x:c r="E90" t="str">
        <x:v>战斗公式.xlsx/怪物标准模型 AS/AQ/AO；2026-08-27</x:v>
      </x:c>
    </x:row>
    <x:row r="91">
      <x:c r="A91" t="n">
        <x:v>90</x:v>
      </x:c>
      <x:c r="B91" t="n">
        <x:v>30804</x:v>
      </x:c>
      <x:c r="C91" t="n">
        <x:v>5728</x:v>
      </x:c>
      <x:c r="D91" t="n">
        <x:v>7565</x:v>
      </x:c>
      <x:c r="E91" t="str">
        <x:v>战斗公式.xlsx/怪物标准模型 AS/AQ/AO；2026-08-27</x:v>
      </x:c>
    </x:row>
    <x:row r="92">
      <x:c r="A92" t="n">
        <x:v>91</x:v>
      </x:c>
      <x:c r="B92" t="n">
        <x:v>31436</x:v>
      </x:c>
      <x:c r="C92" t="n">
        <x:v>5815</x:v>
      </x:c>
      <x:c r="D92" t="n">
        <x:v>7659</x:v>
      </x:c>
      <x:c r="E92" t="str">
        <x:v>战斗公式.xlsx/怪物标准模型 AS/AQ/AO；2026-08-27</x:v>
      </x:c>
    </x:row>
    <x:row r="93">
      <x:c r="A93" t="n">
        <x:v>92</x:v>
      </x:c>
      <x:c r="B93" t="n">
        <x:v>32077</x:v>
      </x:c>
      <x:c r="C93" t="n">
        <x:v>5902</x:v>
      </x:c>
      <x:c r="D93" t="n">
        <x:v>7754</x:v>
      </x:c>
      <x:c r="E93" t="str">
        <x:v>战斗公式.xlsx/怪物标准模型 AS/AQ/AO；2026-08-27</x:v>
      </x:c>
    </x:row>
    <x:row r="94">
      <x:c r="A94" t="n">
        <x:v>93</x:v>
      </x:c>
      <x:c r="B94" t="n">
        <x:v>32725</x:v>
      </x:c>
      <x:c r="C94" t="n">
        <x:v>5990</x:v>
      </x:c>
      <x:c r="D94" t="n">
        <x:v>7849</x:v>
      </x:c>
      <x:c r="E94" t="str">
        <x:v>战斗公式.xlsx/怪物标准模型 AS/AQ/AO；2026-08-27</x:v>
      </x:c>
    </x:row>
    <x:row r="95">
      <x:c r="A95" t="n">
        <x:v>94</x:v>
      </x:c>
      <x:c r="B95" t="n">
        <x:v>33383</x:v>
      </x:c>
      <x:c r="C95" t="n">
        <x:v>6079</x:v>
      </x:c>
      <x:c r="D95" t="n">
        <x:v>7944</x:v>
      </x:c>
      <x:c r="E95" t="str">
        <x:v>战斗公式.xlsx/怪物标准模型 AS/AQ/AO；2026-08-27</x:v>
      </x:c>
    </x:row>
    <x:row r="96">
      <x:c r="A96" t="n">
        <x:v>95</x:v>
      </x:c>
      <x:c r="B96" t="n">
        <x:v>34048</x:v>
      </x:c>
      <x:c r="C96" t="n">
        <x:v>6167</x:v>
      </x:c>
      <x:c r="D96" t="n">
        <x:v>8039</x:v>
      </x:c>
      <x:c r="E96" t="str">
        <x:v>战斗公式.xlsx/怪物标准模型 AS/AQ/AO；2026-08-27</x:v>
      </x:c>
    </x:row>
    <x:row r="97">
      <x:c r="A97" t="n">
        <x:v>96</x:v>
      </x:c>
      <x:c r="B97" t="n">
        <x:v>34722</x:v>
      </x:c>
      <x:c r="C97" t="n">
        <x:v>6257</x:v>
      </x:c>
      <x:c r="D97" t="n">
        <x:v>8135</x:v>
      </x:c>
      <x:c r="E97" t="str">
        <x:v>战斗公式.xlsx/怪物标准模型 AS/AQ/AO；2026-08-27</x:v>
      </x:c>
    </x:row>
    <x:row r="98">
      <x:c r="A98" t="n">
        <x:v>97</x:v>
      </x:c>
      <x:c r="B98" t="n">
        <x:v>35404</x:v>
      </x:c>
      <x:c r="C98" t="n">
        <x:v>6347</x:v>
      </x:c>
      <x:c r="D98" t="n">
        <x:v>8231</x:v>
      </x:c>
      <x:c r="E98" t="str">
        <x:v>战斗公式.xlsx/怪物标准模型 AS/AQ/AO；2026-08-27</x:v>
      </x:c>
    </x:row>
    <x:row r="99">
      <x:c r="A99" t="n">
        <x:v>98</x:v>
      </x:c>
      <x:c r="B99" t="n">
        <x:v>36095</x:v>
      </x:c>
      <x:c r="C99" t="n">
        <x:v>6438</x:v>
      </x:c>
      <x:c r="D99" t="n">
        <x:v>8327</x:v>
      </x:c>
      <x:c r="E99" t="str">
        <x:v>战斗公式.xlsx/怪物标准模型 AS/AQ/AO；2026-08-27</x:v>
      </x:c>
    </x:row>
    <x:row r="100">
      <x:c r="A100" t="n">
        <x:v>99</x:v>
      </x:c>
      <x:c r="B100" t="n">
        <x:v>36794</x:v>
      </x:c>
      <x:c r="C100" t="n">
        <x:v>6529</x:v>
      </x:c>
      <x:c r="D100" t="n">
        <x:v>8423</x:v>
      </x:c>
      <x:c r="E100" t="str">
        <x:v>战斗公式.xlsx/怪物标准模型 AS/AQ/AO；2026-08-27</x:v>
      </x:c>
    </x:row>
    <x:row r="101">
      <x:c r="A101" t="n">
        <x:v>100</x:v>
      </x:c>
      <x:c r="B101" t="n">
        <x:v>37502</x:v>
      </x:c>
      <x:c r="C101" t="n">
        <x:v>6622</x:v>
      </x:c>
      <x:c r="D101" t="n">
        <x:v>8519</x:v>
      </x:c>
      <x:c r="E101" t="str">
        <x:v>战斗公式.xlsx/怪物标准模型 AS/AQ/AO；2026-08-27</x:v>
      </x:c>
    </x:row>
    <x:row r="102">
      <x:c r="A102" t="n">
        <x:v>101</x:v>
      </x:c>
      <x:c r="B102" t="n">
        <x:v>38219</x:v>
      </x:c>
      <x:c r="C102" t="n">
        <x:v>6714</x:v>
      </x:c>
      <x:c r="D102" t="n">
        <x:v>8616</x:v>
      </x:c>
      <x:c r="E102" t="str">
        <x:v>战斗公式.xlsx/怪物标准模型 AS/AQ/AO；2026-08-27</x:v>
      </x:c>
    </x:row>
    <x:row r="103">
      <x:c r="A103" t="n">
        <x:v>102</x:v>
      </x:c>
      <x:c r="B103" t="n">
        <x:v>38945</x:v>
      </x:c>
      <x:c r="C103" t="n">
        <x:v>6807</x:v>
      </x:c>
      <x:c r="D103" t="n">
        <x:v>8713</x:v>
      </x:c>
      <x:c r="E103" t="str">
        <x:v>战斗公式.xlsx/怪物标准模型 AS/AQ/AO；2026-08-27</x:v>
      </x:c>
    </x:row>
    <x:row r="104">
      <x:c r="A104" t="n">
        <x:v>103</x:v>
      </x:c>
      <x:c r="B104" t="n">
        <x:v>39680</x:v>
      </x:c>
      <x:c r="C104" t="n">
        <x:v>6901</x:v>
      </x:c>
      <x:c r="D104" t="n">
        <x:v>8810</x:v>
      </x:c>
      <x:c r="E104" t="str">
        <x:v>战斗公式.xlsx/怪物标准模型 AS/AQ/AO；2026-08-27</x:v>
      </x:c>
    </x:row>
    <x:row r="105">
      <x:c r="A105" t="n">
        <x:v>104</x:v>
      </x:c>
      <x:c r="B105" t="n">
        <x:v>40424</x:v>
      </x:c>
      <x:c r="C105" t="n">
        <x:v>6996</x:v>
      </x:c>
      <x:c r="D105" t="n">
        <x:v>8907</x:v>
      </x:c>
      <x:c r="E105" t="str">
        <x:v>战斗公式.xlsx/怪物标准模型 AS/AQ/AO；2026-08-27</x:v>
      </x:c>
    </x:row>
    <x:row r="106">
      <x:c r="A106" t="n">
        <x:v>105</x:v>
      </x:c>
      <x:c r="B106" t="n">
        <x:v>41177</x:v>
      </x:c>
      <x:c r="C106" t="n">
        <x:v>7091</x:v>
      </x:c>
      <x:c r="D106" t="n">
        <x:v>9005</x:v>
      </x:c>
      <x:c r="E106" t="str">
        <x:v>战斗公式.xlsx/怪物标准模型 AS/AQ/AO；2026-08-27</x:v>
      </x:c>
    </x:row>
    <x:row r="107">
      <x:c r="A107" t="n">
        <x:v>106</x:v>
      </x:c>
      <x:c r="B107" t="n">
        <x:v>41939</x:v>
      </x:c>
      <x:c r="C107" t="n">
        <x:v>7186</x:v>
      </x:c>
      <x:c r="D107" t="n">
        <x:v>9103</x:v>
      </x:c>
      <x:c r="E107" t="str">
        <x:v>战斗公式.xlsx/怪物标准模型 AS/AQ/AO；2026-08-27</x:v>
      </x:c>
    </x:row>
    <x:row r="108">
      <x:c r="A108" t="n">
        <x:v>107</x:v>
      </x:c>
      <x:c r="B108" t="n">
        <x:v>42710</x:v>
      </x:c>
      <x:c r="C108" t="n">
        <x:v>7283</x:v>
      </x:c>
      <x:c r="D108" t="n">
        <x:v>9201</x:v>
      </x:c>
      <x:c r="E108" t="str">
        <x:v>战斗公式.xlsx/怪物标准模型 AS/AQ/AO；2026-08-27</x:v>
      </x:c>
    </x:row>
    <x:row r="109">
      <x:c r="A109" t="n">
        <x:v>108</x:v>
      </x:c>
      <x:c r="B109" t="n">
        <x:v>43490</x:v>
      </x:c>
      <x:c r="C109" t="n">
        <x:v>7380</x:v>
      </x:c>
      <x:c r="D109" t="n">
        <x:v>9299</x:v>
      </x:c>
      <x:c r="E109" t="str">
        <x:v>战斗公式.xlsx/怪物标准模型 AS/AQ/AO；2026-08-27</x:v>
      </x:c>
    </x:row>
    <x:row r="110">
      <x:c r="A110" t="n">
        <x:v>109</x:v>
      </x:c>
      <x:c r="B110" t="n">
        <x:v>44280</x:v>
      </x:c>
      <x:c r="C110" t="n">
        <x:v>7478</x:v>
      </x:c>
      <x:c r="D110" t="n">
        <x:v>9398</x:v>
      </x:c>
      <x:c r="E110" t="str">
        <x:v>战斗公式.xlsx/怪物标准模型 AS/AQ/AO；2026-08-27</x:v>
      </x:c>
    </x:row>
    <x:row r="111">
      <x:c r="A111" t="n">
        <x:v>110</x:v>
      </x:c>
      <x:c r="B111" t="n">
        <x:v>45080</x:v>
      </x:c>
      <x:c r="C111" t="n">
        <x:v>7576</x:v>
      </x:c>
      <x:c r="D111" t="n">
        <x:v>9496</x:v>
      </x:c>
      <x:c r="E111" t="str">
        <x:v>战斗公式.xlsx/怪物标准模型 AS/AQ/AO；2026-08-27</x:v>
      </x:c>
    </x:row>
    <x:row r="112">
      <x:c r="A112" t="n">
        <x:v>111</x:v>
      </x:c>
      <x:c r="B112" t="n">
        <x:v>45889</x:v>
      </x:c>
      <x:c r="C112" t="n">
        <x:v>7675</x:v>
      </x:c>
      <x:c r="D112" t="n">
        <x:v>9595</x:v>
      </x:c>
      <x:c r="E112" t="str">
        <x:v>战斗公式.xlsx/怪物标准模型 AS/AQ/AO；2026-08-27</x:v>
      </x:c>
    </x:row>
    <x:row r="113">
      <x:c r="A113" t="n">
        <x:v>112</x:v>
      </x:c>
      <x:c r="B113" t="n">
        <x:v>46708</x:v>
      </x:c>
      <x:c r="C113" t="n">
        <x:v>7774</x:v>
      </x:c>
      <x:c r="D113" t="n">
        <x:v>9694</x:v>
      </x:c>
      <x:c r="E113" t="str">
        <x:v>战斗公式.xlsx/怪物标准模型 AS/AQ/AO；2026-08-27</x:v>
      </x:c>
    </x:row>
    <x:row r="114">
      <x:c r="A114" t="n">
        <x:v>113</x:v>
      </x:c>
      <x:c r="B114" t="n">
        <x:v>47536</x:v>
      </x:c>
      <x:c r="C114" t="n">
        <x:v>7875</x:v>
      </x:c>
      <x:c r="D114" t="n">
        <x:v>9794</x:v>
      </x:c>
      <x:c r="E114" t="str">
        <x:v>战斗公式.xlsx/怪物标准模型 AS/AQ/AO；2026-08-27</x:v>
      </x:c>
    </x:row>
    <x:row r="115">
      <x:c r="A115" t="n">
        <x:v>114</x:v>
      </x:c>
      <x:c r="B115" t="n">
        <x:v>48374</x:v>
      </x:c>
      <x:c r="C115" t="n">
        <x:v>7976</x:v>
      </x:c>
      <x:c r="D115" t="n">
        <x:v>9894</x:v>
      </x:c>
      <x:c r="E115" t="str">
        <x:v>战斗公式.xlsx/怪物标准模型 AS/AQ/AO；2026-08-27</x:v>
      </x:c>
    </x:row>
    <x:row r="116">
      <x:c r="A116" t="n">
        <x:v>115</x:v>
      </x:c>
      <x:c r="B116" t="n">
        <x:v>49222</x:v>
      </x:c>
      <x:c r="C116" t="n">
        <x:v>8077</x:v>
      </x:c>
      <x:c r="D116" t="n">
        <x:v>9993</x:v>
      </x:c>
      <x:c r="E116" t="str">
        <x:v>战斗公式.xlsx/怪物标准模型 AS/AQ/AO；2026-08-27</x:v>
      </x:c>
    </x:row>
    <x:row r="117">
      <x:c r="A117" t="n">
        <x:v>116</x:v>
      </x:c>
      <x:c r="B117" t="n">
        <x:v>50080</x:v>
      </x:c>
      <x:c r="C117" t="n">
        <x:v>8180</x:v>
      </x:c>
      <x:c r="D117" t="n">
        <x:v>10093</x:v>
      </x:c>
      <x:c r="E117" t="str">
        <x:v>战斗公式.xlsx/怪物标准模型 AS/AQ/AO；2026-08-27</x:v>
      </x:c>
    </x:row>
    <x:row r="118">
      <x:c r="A118" t="n">
        <x:v>117</x:v>
      </x:c>
      <x:c r="B118" t="n">
        <x:v>50948</x:v>
      </x:c>
      <x:c r="C118" t="n">
        <x:v>8282</x:v>
      </x:c>
      <x:c r="D118" t="n">
        <x:v>10194</x:v>
      </x:c>
      <x:c r="E118" t="str">
        <x:v>战斗公式.xlsx/怪物标准模型 AS/AQ/AO；2026-08-27</x:v>
      </x:c>
    </x:row>
    <x:row r="119">
      <x:c r="A119" t="n">
        <x:v>118</x:v>
      </x:c>
      <x:c r="B119" t="n">
        <x:v>51827</x:v>
      </x:c>
      <x:c r="C119" t="n">
        <x:v>8386</x:v>
      </x:c>
      <x:c r="D119" t="n">
        <x:v>10294</x:v>
      </x:c>
      <x:c r="E119" t="str">
        <x:v>战斗公式.xlsx/怪物标准模型 AS/AQ/AO；2026-08-27</x:v>
      </x:c>
    </x:row>
    <x:row r="120">
      <x:c r="A120" t="n">
        <x:v>119</x:v>
      </x:c>
      <x:c r="B120" t="n">
        <x:v>52715</x:v>
      </x:c>
      <x:c r="C120" t="n">
        <x:v>8490</x:v>
      </x:c>
      <x:c r="D120" t="n">
        <x:v>10395</x:v>
      </x:c>
      <x:c r="E120" t="str">
        <x:v>战斗公式.xlsx/怪物标准模型 AS/AQ/AO；2026-08-27</x:v>
      </x:c>
    </x:row>
    <x:row r="121">
      <x:c r="A121" t="n">
        <x:v>120</x:v>
      </x:c>
      <x:c r="B121" t="n">
        <x:v>53614</x:v>
      </x:c>
      <x:c r="C121" t="n">
        <x:v>8595</x:v>
      </x:c>
      <x:c r="D121" t="n">
        <x:v>10496</x:v>
      </x:c>
      <x:c r="E121" t="str">
        <x:v>战斗公式.xlsx/怪物标准模型 AS/AQ/AO；2026-08-27</x:v>
      </x:c>
    </x:row>
    <x:row r="122">
      <x:c r="A122" t="n">
        <x:v>121</x:v>
      </x:c>
      <x:c r="B122" t="n">
        <x:v>54523</x:v>
      </x:c>
      <x:c r="C122" t="n">
        <x:v>8700</x:v>
      </x:c>
      <x:c r="D122" t="n">
        <x:v>10597</x:v>
      </x:c>
      <x:c r="E122" t="str">
        <x:v>战斗公式.xlsx/怪物标准模型 AS/AQ/AO；2026-08-27</x:v>
      </x:c>
    </x:row>
    <x:row r="123">
      <x:c r="A123" t="n">
        <x:v>122</x:v>
      </x:c>
      <x:c r="B123" t="n">
        <x:v>55442</x:v>
      </x:c>
      <x:c r="C123" t="n">
        <x:v>8807</x:v>
      </x:c>
      <x:c r="D123" t="n">
        <x:v>10699</x:v>
      </x:c>
      <x:c r="E123" t="str">
        <x:v>战斗公式.xlsx/怪物标准模型 AS/AQ/AO；2026-08-27</x:v>
      </x:c>
    </x:row>
    <x:row r="124">
      <x:c r="A124" t="n">
        <x:v>123</x:v>
      </x:c>
      <x:c r="B124" t="n">
        <x:v>56372</x:v>
      </x:c>
      <x:c r="C124" t="n">
        <x:v>8914</x:v>
      </x:c>
      <x:c r="D124" t="n">
        <x:v>10800</x:v>
      </x:c>
      <x:c r="E124" t="str">
        <x:v>战斗公式.xlsx/怪物标准模型 AS/AQ/AO；2026-08-27</x:v>
      </x:c>
    </x:row>
    <x:row r="125">
      <x:c r="A125" t="n">
        <x:v>124</x:v>
      </x:c>
      <x:c r="B125" t="n">
        <x:v>57313</x:v>
      </x:c>
      <x:c r="C125" t="n">
        <x:v>9021</x:v>
      </x:c>
      <x:c r="D125" t="n">
        <x:v>10902</x:v>
      </x:c>
      <x:c r="E125" t="str">
        <x:v>战斗公式.xlsx/怪物标准模型 AS/AQ/AO；2026-08-27</x:v>
      </x:c>
    </x:row>
    <x:row r="126">
      <x:c r="A126" t="n">
        <x:v>125</x:v>
      </x:c>
      <x:c r="B126" t="n">
        <x:v>58264</x:v>
      </x:c>
      <x:c r="C126" t="n">
        <x:v>9130</x:v>
      </x:c>
      <x:c r="D126" t="n">
        <x:v>11005</x:v>
      </x:c>
      <x:c r="E126" t="str">
        <x:v>战斗公式.xlsx/怪物标准模型 AS/AQ/AO；2026-08-27</x:v>
      </x:c>
    </x:row>
    <x:row r="127">
      <x:c r="A127" t="n">
        <x:v>126</x:v>
      </x:c>
      <x:c r="B127" t="n">
        <x:v>59227</x:v>
      </x:c>
      <x:c r="C127" t="n">
        <x:v>9239</x:v>
      </x:c>
      <x:c r="D127" t="n">
        <x:v>11107</x:v>
      </x:c>
      <x:c r="E127" t="str">
        <x:v>战斗公式.xlsx/怪物标准模型 AS/AQ/AO；2026-08-27</x:v>
      </x:c>
    </x:row>
    <x:row r="128">
      <x:c r="A128" t="n">
        <x:v>127</x:v>
      </x:c>
      <x:c r="B128" t="n">
        <x:v>60200</x:v>
      </x:c>
      <x:c r="C128" t="n">
        <x:v>9349</x:v>
      </x:c>
      <x:c r="D128" t="n">
        <x:v>11210</x:v>
      </x:c>
      <x:c r="E128" t="str">
        <x:v>战斗公式.xlsx/怪物标准模型 AS/AQ/AO；2026-08-27</x:v>
      </x:c>
    </x:row>
    <x:row r="129">
      <x:c r="A129" t="n">
        <x:v>128</x:v>
      </x:c>
      <x:c r="B129" t="n">
        <x:v>61184</x:v>
      </x:c>
      <x:c r="C129" t="n">
        <x:v>9459</x:v>
      </x:c>
      <x:c r="D129" t="n">
        <x:v>11312</x:v>
      </x:c>
      <x:c r="E129" t="str">
        <x:v>战斗公式.xlsx/怪物标准模型 AS/AQ/AO；2026-08-27</x:v>
      </x:c>
    </x:row>
    <x:row r="130">
      <x:c r="A130" t="n">
        <x:v>129</x:v>
      </x:c>
      <x:c r="B130" t="n">
        <x:v>62179</x:v>
      </x:c>
      <x:c r="C130" t="n">
        <x:v>9570</x:v>
      </x:c>
      <x:c r="D130" t="n">
        <x:v>11415</x:v>
      </x:c>
      <x:c r="E130" t="str">
        <x:v>战斗公式.xlsx/怪物标准模型 AS/AQ/AO；2026-08-27</x:v>
      </x:c>
    </x:row>
    <x:row r="131">
      <x:c r="A131" t="n">
        <x:v>130</x:v>
      </x:c>
      <x:c r="B131" t="n">
        <x:v>63185</x:v>
      </x:c>
      <x:c r="C131" t="n">
        <x:v>9682</x:v>
      </x:c>
      <x:c r="D131" t="n">
        <x:v>11519</x:v>
      </x:c>
      <x:c r="E131" t="str">
        <x:v>战斗公式.xlsx/怪物标准模型 AS/AQ/AO；2026-08-27</x:v>
      </x:c>
    </x:row>
    <x:row r="132">
      <x:c r="A132" t="n">
        <x:v>131</x:v>
      </x:c>
      <x:c r="B132" t="n">
        <x:v>64202</x:v>
      </x:c>
      <x:c r="C132" t="n">
        <x:v>9795</x:v>
      </x:c>
      <x:c r="D132" t="n">
        <x:v>11622</x:v>
      </x:c>
      <x:c r="E132" t="str">
        <x:v>战斗公式.xlsx/怪物标准模型 AS/AQ/AO；2026-08-27</x:v>
      </x:c>
    </x:row>
    <x:row r="133">
      <x:c r="A133" t="n">
        <x:v>132</x:v>
      </x:c>
      <x:c r="B133" t="n">
        <x:v>65231</x:v>
      </x:c>
      <x:c r="C133" t="n">
        <x:v>9908</x:v>
      </x:c>
      <x:c r="D133" t="n">
        <x:v>11726</x:v>
      </x:c>
      <x:c r="E133" t="str">
        <x:v>战斗公式.xlsx/怪物标准模型 AS/AQ/AO；2026-08-27</x:v>
      </x:c>
    </x:row>
    <x:row r="134">
      <x:c r="A134" t="n">
        <x:v>133</x:v>
      </x:c>
      <x:c r="B134" t="n">
        <x:v>66271</x:v>
      </x:c>
      <x:c r="C134" t="n">
        <x:v>10022</x:v>
      </x:c>
      <x:c r="D134" t="n">
        <x:v>11830</x:v>
      </x:c>
      <x:c r="E134" t="str">
        <x:v>战斗公式.xlsx/怪物标准模型 AS/AQ/AO；2026-08-27</x:v>
      </x:c>
    </x:row>
    <x:row r="135">
      <x:c r="A135" t="n">
        <x:v>134</x:v>
      </x:c>
      <x:c r="B135" t="n">
        <x:v>67323</x:v>
      </x:c>
      <x:c r="C135" t="n">
        <x:v>10136</x:v>
      </x:c>
      <x:c r="D135" t="n">
        <x:v>11934</x:v>
      </x:c>
      <x:c r="E135" t="str">
        <x:v>战斗公式.xlsx/怪物标准模型 AS/AQ/AO；2026-08-27</x:v>
      </x:c>
    </x:row>
    <x:row r="136">
      <x:c r="A136" t="n">
        <x:v>135</x:v>
      </x:c>
      <x:c r="B136" t="n">
        <x:v>68386</x:v>
      </x:c>
      <x:c r="C136" t="n">
        <x:v>10252</x:v>
      </x:c>
      <x:c r="D136" t="n">
        <x:v>12038</x:v>
      </x:c>
      <x:c r="E136" t="str">
        <x:v>战斗公式.xlsx/怪物标准模型 AS/AQ/AO；2026-08-27</x:v>
      </x:c>
    </x:row>
    <x:row r="137">
      <x:c r="A137" t="n">
        <x:v>136</x:v>
      </x:c>
      <x:c r="B137" t="n">
        <x:v>69461</x:v>
      </x:c>
      <x:c r="C137" t="n">
        <x:v>10368</x:v>
      </x:c>
      <x:c r="D137" t="n">
        <x:v>12143</x:v>
      </x:c>
      <x:c r="E137" t="str">
        <x:v>战斗公式.xlsx/怪物标准模型 AS/AQ/AO；2026-08-27</x:v>
      </x:c>
    </x:row>
    <x:row r="138">
      <x:c r="A138" t="n">
        <x:v>137</x:v>
      </x:c>
      <x:c r="B138" t="n">
        <x:v>70547</x:v>
      </x:c>
      <x:c r="C138" t="n">
        <x:v>10485</x:v>
      </x:c>
      <x:c r="D138" t="n">
        <x:v>12248</x:v>
      </x:c>
      <x:c r="E138" t="str">
        <x:v>战斗公式.xlsx/怪物标准模型 AS/AQ/AO；2026-08-27</x:v>
      </x:c>
    </x:row>
    <x:row r="139">
      <x:c r="A139" t="n">
        <x:v>138</x:v>
      </x:c>
      <x:c r="B139" t="n">
        <x:v>71646</x:v>
      </x:c>
      <x:c r="C139" t="n">
        <x:v>10603</x:v>
      </x:c>
      <x:c r="D139" t="n">
        <x:v>12353</x:v>
      </x:c>
      <x:c r="E139" t="str">
        <x:v>战斗公式.xlsx/怪物标准模型 AS/AQ/AO；2026-08-27</x:v>
      </x:c>
    </x:row>
    <x:row r="140">
      <x:c r="A140" t="n">
        <x:v>139</x:v>
      </x:c>
      <x:c r="B140" t="n">
        <x:v>72756</x:v>
      </x:c>
      <x:c r="C140" t="n">
        <x:v>10722</x:v>
      </x:c>
      <x:c r="D140" t="n">
        <x:v>12458</x:v>
      </x:c>
      <x:c r="E140" t="str">
        <x:v>战斗公式.xlsx/怪物标准模型 AS/AQ/AO；2026-08-27</x:v>
      </x:c>
    </x:row>
    <x:row r="141">
      <x:c r="A141" t="n">
        <x:v>140</x:v>
      </x:c>
      <x:c r="B141" t="n">
        <x:v>73878</x:v>
      </x:c>
      <x:c r="C141" t="n">
        <x:v>10841</x:v>
      </x:c>
      <x:c r="D141" t="n">
        <x:v>12564</x:v>
      </x:c>
      <x:c r="E141" t="str">
        <x:v>战斗公式.xlsx/怪物标准模型 AS/AQ/AO；2026-08-27</x:v>
      </x:c>
    </x:row>
    <x:row r="142">
      <x:c r="A142" t="n">
        <x:v>141</x:v>
      </x:c>
      <x:c r="B142" t="n">
        <x:v>75012</x:v>
      </x:c>
      <x:c r="C142" t="n">
        <x:v>10961</x:v>
      </x:c>
      <x:c r="D142" t="n">
        <x:v>12670</x:v>
      </x:c>
      <x:c r="E142" t="str">
        <x:v>战斗公式.xlsx/怪物标准模型 AS/AQ/AO；2026-08-27</x:v>
      </x:c>
    </x:row>
    <x:row r="143">
      <x:c r="A143" t="n">
        <x:v>142</x:v>
      </x:c>
      <x:c r="B143" t="n">
        <x:v>76159</x:v>
      </x:c>
      <x:c r="C143" t="n">
        <x:v>11081</x:v>
      </x:c>
      <x:c r="D143" t="n">
        <x:v>12776</x:v>
      </x:c>
      <x:c r="E143" t="str">
        <x:v>战斗公式.xlsx/怪物标准模型 AS/AQ/AO；2026-08-27</x:v>
      </x:c>
    </x:row>
    <x:row r="144">
      <x:c r="A144" t="n">
        <x:v>143</x:v>
      </x:c>
      <x:c r="B144" t="n">
        <x:v>77318</x:v>
      </x:c>
      <x:c r="C144" t="n">
        <x:v>11203</x:v>
      </x:c>
      <x:c r="D144" t="n">
        <x:v>12882</x:v>
      </x:c>
      <x:c r="E144" t="str">
        <x:v>战斗公式.xlsx/怪物标准模型 AS/AQ/AO；2026-08-27</x:v>
      </x:c>
    </x:row>
    <x:row r="145">
      <x:c r="A145" t="n">
        <x:v>144</x:v>
      </x:c>
      <x:c r="B145" t="n">
        <x:v>78489</x:v>
      </x:c>
      <x:c r="C145" t="n">
        <x:v>11325</x:v>
      </x:c>
      <x:c r="D145" t="n">
        <x:v>12988</x:v>
      </x:c>
      <x:c r="E145" t="str">
        <x:v>战斗公式.xlsx/怪物标准模型 AS/AQ/AO；2026-08-27</x:v>
      </x:c>
    </x:row>
    <x:row r="146">
      <x:c r="A146" t="n">
        <x:v>145</x:v>
      </x:c>
      <x:c r="B146" t="n">
        <x:v>79672</x:v>
      </x:c>
      <x:c r="C146" t="n">
        <x:v>11448</x:v>
      </x:c>
      <x:c r="D146" t="n">
        <x:v>13095</x:v>
      </x:c>
      <x:c r="E146" t="str">
        <x:v>战斗公式.xlsx/怪物标准模型 AS/AQ/AO；2026-08-27</x:v>
      </x:c>
    </x:row>
    <x:row r="147">
      <x:c r="A147" t="n">
        <x:v>146</x:v>
      </x:c>
      <x:c r="B147" t="n">
        <x:v>80869</x:v>
      </x:c>
      <x:c r="C147" t="n">
        <x:v>11571</x:v>
      </x:c>
      <x:c r="D147" t="n">
        <x:v>13202</x:v>
      </x:c>
      <x:c r="E147" t="str">
        <x:v>战斗公式.xlsx/怪物标准模型 AS/AQ/AO；2026-08-27</x:v>
      </x:c>
    </x:row>
    <x:row r="148">
      <x:c r="A148" t="n">
        <x:v>147</x:v>
      </x:c>
      <x:c r="B148" t="n">
        <x:v>82077</x:v>
      </x:c>
      <x:c r="C148" t="n">
        <x:v>11695</x:v>
      </x:c>
      <x:c r="D148" t="n">
        <x:v>13309</x:v>
      </x:c>
      <x:c r="E148" t="str">
        <x:v>战斗公式.xlsx/怪物标准模型 AS/AQ/AO；2026-08-27</x:v>
      </x:c>
    </x:row>
    <x:row r="149">
      <x:c r="A149" t="n">
        <x:v>148</x:v>
      </x:c>
      <x:c r="B149" t="n">
        <x:v>83299</x:v>
      </x:c>
      <x:c r="C149" t="n">
        <x:v>11821</x:v>
      </x:c>
      <x:c r="D149" t="n">
        <x:v>13417</x:v>
      </x:c>
      <x:c r="E149" t="str">
        <x:v>战斗公式.xlsx/怪物标准模型 AS/AQ/AO；2026-08-27</x:v>
      </x:c>
    </x:row>
    <x:row r="150">
      <x:c r="A150" t="n">
        <x:v>149</x:v>
      </x:c>
      <x:c r="B150" t="n">
        <x:v>84533</x:v>
      </x:c>
      <x:c r="C150" t="n">
        <x:v>11947</x:v>
      </x:c>
      <x:c r="D150" t="n">
        <x:v>13524</x:v>
      </x:c>
      <x:c r="E150" t="str">
        <x:v>战斗公式.xlsx/怪物标准模型 AS/AQ/AO；2026-08-27</x:v>
      </x:c>
    </x:row>
    <x:row r="151">
      <x:c r="A151" t="n">
        <x:v>150</x:v>
      </x:c>
      <x:c r="B151" t="n">
        <x:v>85780</x:v>
      </x:c>
      <x:c r="C151" t="n">
        <x:v>12074</x:v>
      </x:c>
      <x:c r="D151" t="n">
        <x:v>13632</x:v>
      </x:c>
      <x:c r="E151" t="str">
        <x:v>战斗公式.xlsx/怪物标准模型 AS/AQ/AO；2026-08-27</x:v>
      </x:c>
    </x:row>
    <x:row r="152">
      <x:c r="A152" t="n">
        <x:v>151</x:v>
      </x:c>
      <x:c r="B152" t="n">
        <x:v>87041</x:v>
      </x:c>
      <x:c r="C152" t="n">
        <x:v>12202</x:v>
      </x:c>
      <x:c r="D152" t="n">
        <x:v>13740</x:v>
      </x:c>
      <x:c r="E152" t="str">
        <x:v>战斗公式.xlsx/怪物标准模型 AS/AQ/AO；2026-08-27</x:v>
      </x:c>
    </x:row>
    <x:row r="153">
      <x:c r="A153" t="n">
        <x:v>152</x:v>
      </x:c>
      <x:c r="B153" t="n">
        <x:v>88314</x:v>
      </x:c>
      <x:c r="C153" t="n">
        <x:v>12330</x:v>
      </x:c>
      <x:c r="D153" t="n">
        <x:v>13848</x:v>
      </x:c>
      <x:c r="E153" t="str">
        <x:v>战斗公式.xlsx/怪物标准模型 AS/AQ/AO；2026-08-27</x:v>
      </x:c>
    </x:row>
    <x:row r="154">
      <x:c r="A154" t="n">
        <x:v>153</x:v>
      </x:c>
      <x:c r="B154" t="n">
        <x:v>89600</x:v>
      </x:c>
      <x:c r="C154" t="n">
        <x:v>12459</x:v>
      </x:c>
      <x:c r="D154" t="n">
        <x:v>13957</x:v>
      </x:c>
      <x:c r="E154" t="str">
        <x:v>战斗公式.xlsx/怪物标准模型 AS/AQ/AO；2026-08-27</x:v>
      </x:c>
    </x:row>
    <x:row r="155">
      <x:c r="A155" t="n">
        <x:v>154</x:v>
      </x:c>
      <x:c r="B155" t="n">
        <x:v>90900</x:v>
      </x:c>
      <x:c r="C155" t="n">
        <x:v>12589</x:v>
      </x:c>
      <x:c r="D155" t="n">
        <x:v>14066</x:v>
      </x:c>
      <x:c r="E155" t="str">
        <x:v>战斗公式.xlsx/怪物标准模型 AS/AQ/AO；2026-08-27</x:v>
      </x:c>
    </x:row>
    <x:row r="156">
      <x:c r="A156" t="n">
        <x:v>155</x:v>
      </x:c>
      <x:c r="B156" t="n">
        <x:v>92213</x:v>
      </x:c>
      <x:c r="C156" t="n">
        <x:v>12720</x:v>
      </x:c>
      <x:c r="D156" t="n">
        <x:v>14175</x:v>
      </x:c>
      <x:c r="E156" t="str">
        <x:v>战斗公式.xlsx/怪物标准模型 AS/AQ/AO；2026-08-27</x:v>
      </x:c>
    </x:row>
    <x:row r="157">
      <x:c r="A157" t="n">
        <x:v>156</x:v>
      </x:c>
      <x:c r="B157" t="n">
        <x:v>93540</x:v>
      </x:c>
      <x:c r="C157" t="n">
        <x:v>12852</x:v>
      </x:c>
      <x:c r="D157" t="n">
        <x:v>14284</x:v>
      </x:c>
      <x:c r="E157" t="str">
        <x:v>战斗公式.xlsx/怪物标准模型 AS/AQ/AO；2026-08-27</x:v>
      </x:c>
    </x:row>
    <x:row r="158">
      <x:c r="A158" t="n">
        <x:v>157</x:v>
      </x:c>
      <x:c r="B158" t="n">
        <x:v>94880</x:v>
      </x:c>
      <x:c r="C158" t="n">
        <x:v>12985</x:v>
      </x:c>
      <x:c r="D158" t="n">
        <x:v>14393</x:v>
      </x:c>
      <x:c r="E158" t="str">
        <x:v>战斗公式.xlsx/怪物标准模型 AS/AQ/AO；2026-08-27</x:v>
      </x:c>
    </x:row>
    <x:row r="159">
      <x:c r="A159" t="n">
        <x:v>158</x:v>
      </x:c>
      <x:c r="B159" t="n">
        <x:v>96234</x:v>
      </x:c>
      <x:c r="C159" t="n">
        <x:v>13117</x:v>
      </x:c>
      <x:c r="D159" t="n">
        <x:v>14503</x:v>
      </x:c>
      <x:c r="E159" t="str">
        <x:v>战斗公式.xlsx/怪物标准模型 AS/AQ/AO；2026-08-27</x:v>
      </x:c>
    </x:row>
    <x:row r="160">
      <x:c r="A160" t="n">
        <x:v>159</x:v>
      </x:c>
      <x:c r="B160" t="n">
        <x:v>97601</x:v>
      </x:c>
      <x:c r="C160" t="n">
        <x:v>13251</x:v>
      </x:c>
      <x:c r="D160" t="n">
        <x:v>14613</x:v>
      </x:c>
      <x:c r="E160" t="str">
        <x:v>战斗公式.xlsx/怪物标准模型 AS/AQ/AO；2026-08-27</x:v>
      </x:c>
    </x:row>
    <x:row r="161">
      <x:c r="A161" t="n">
        <x:v>160</x:v>
      </x:c>
      <x:c r="B161" t="n">
        <x:v>98983</x:v>
      </x:c>
      <x:c r="C161" t="n">
        <x:v>13387</x:v>
      </x:c>
      <x:c r="D161" t="n">
        <x:v>14723</x:v>
      </x:c>
      <x:c r="E161" t="str">
        <x:v>战斗公式.xlsx/怪物标准模型 AS/AQ/AO；2026-08-27</x:v>
      </x:c>
    </x:row>
    <x:row r="162">
      <x:c r="A162" t="n">
        <x:v>161</x:v>
      </x:c>
      <x:c r="B162" t="n">
        <x:v>100378</x:v>
      </x:c>
      <x:c r="C162" t="n">
        <x:v>13522</x:v>
      </x:c>
      <x:c r="D162" t="n">
        <x:v>14833</x:v>
      </x:c>
      <x:c r="E162" t="str">
        <x:v>战斗公式.xlsx/怪物标准模型 AS/AQ/AO；2026-08-27</x:v>
      </x:c>
    </x:row>
    <x:row r="163">
      <x:c r="A163" t="n">
        <x:v>162</x:v>
      </x:c>
      <x:c r="B163" t="n">
        <x:v>101788</x:v>
      </x:c>
      <x:c r="C163" t="n">
        <x:v>13659</x:v>
      </x:c>
      <x:c r="D163" t="n">
        <x:v>14944</x:v>
      </x:c>
      <x:c r="E163" t="str">
        <x:v>战斗公式.xlsx/怪物标准模型 AS/AQ/AO；2026-08-27</x:v>
      </x:c>
    </x:row>
    <x:row r="164">
      <x:c r="A164" t="n">
        <x:v>163</x:v>
      </x:c>
      <x:c r="B164" t="n">
        <x:v>103211</x:v>
      </x:c>
      <x:c r="C164" t="n">
        <x:v>13796</x:v>
      </x:c>
      <x:c r="D164" t="n">
        <x:v>15054</x:v>
      </x:c>
      <x:c r="E164" t="str">
        <x:v>战斗公式.xlsx/怪物标准模型 AS/AQ/AO；2026-08-27</x:v>
      </x:c>
    </x:row>
    <x:row r="165">
      <x:c r="A165" t="n">
        <x:v>164</x:v>
      </x:c>
      <x:c r="B165" t="n">
        <x:v>104649</x:v>
      </x:c>
      <x:c r="C165" t="n">
        <x:v>13934</x:v>
      </x:c>
      <x:c r="D165" t="n">
        <x:v>15165</x:v>
      </x:c>
      <x:c r="E165" t="str">
        <x:v>战斗公式.xlsx/怪物标准模型 AS/AQ/AO；2026-08-27</x:v>
      </x:c>
    </x:row>
    <x:row r="166">
      <x:c r="A166" t="n">
        <x:v>165</x:v>
      </x:c>
      <x:c r="B166" t="n">
        <x:v>106101</x:v>
      </x:c>
      <x:c r="C166" t="n">
        <x:v>14073</x:v>
      </x:c>
      <x:c r="D166" t="n">
        <x:v>15277</x:v>
      </x:c>
      <x:c r="E166" t="str">
        <x:v>战斗公式.xlsx/怪物标准模型 AS/AQ/AO；2026-08-27</x:v>
      </x:c>
    </x:row>
    <x:row r="167">
      <x:c r="A167" t="n">
        <x:v>166</x:v>
      </x:c>
      <x:c r="B167" t="n">
        <x:v>107567</x:v>
      </x:c>
      <x:c r="C167" t="n">
        <x:v>14214</x:v>
      </x:c>
      <x:c r="D167" t="n">
        <x:v>15388</x:v>
      </x:c>
      <x:c r="E167" t="str">
        <x:v>战斗公式.xlsx/怪物标准模型 AS/AQ/AO；2026-08-27</x:v>
      </x:c>
    </x:row>
    <x:row r="168">
      <x:c r="A168" t="n">
        <x:v>167</x:v>
      </x:c>
      <x:c r="B168" t="n">
        <x:v>109048</x:v>
      </x:c>
      <x:c r="C168" t="n">
        <x:v>14354</x:v>
      </x:c>
      <x:c r="D168" t="n">
        <x:v>15500</x:v>
      </x:c>
      <x:c r="E168" t="str">
        <x:v>战斗公式.xlsx/怪物标准模型 AS/AQ/AO；2026-08-27</x:v>
      </x:c>
    </x:row>
    <x:row r="169">
      <x:c r="A169" t="n">
        <x:v>168</x:v>
      </x:c>
      <x:c r="B169" t="n">
        <x:v>110544</x:v>
      </x:c>
      <x:c r="C169" t="n">
        <x:v>14496</x:v>
      </x:c>
      <x:c r="D169" t="n">
        <x:v>15612</x:v>
      </x:c>
      <x:c r="E169" t="str">
        <x:v>战斗公式.xlsx/怪物标准模型 AS/AQ/AO；2026-08-27</x:v>
      </x:c>
    </x:row>
    <x:row r="170">
      <x:c r="A170" t="n">
        <x:v>169</x:v>
      </x:c>
      <x:c r="B170" t="n">
        <x:v>112054</x:v>
      </x:c>
      <x:c r="C170" t="n">
        <x:v>14638</x:v>
      </x:c>
      <x:c r="D170" t="n">
        <x:v>15724</x:v>
      </x:c>
      <x:c r="E170" t="str">
        <x:v>战斗公式.xlsx/怪物标准模型 AS/AQ/AO；2026-08-27</x:v>
      </x:c>
    </x:row>
    <x:row r="171">
      <x:c r="A171" t="n">
        <x:v>170</x:v>
      </x:c>
      <x:c r="B171" t="n">
        <x:v>113579</x:v>
      </x:c>
      <x:c r="C171" t="n">
        <x:v>14782</x:v>
      </x:c>
      <x:c r="D171" t="n">
        <x:v>15836</x:v>
      </x:c>
      <x:c r="E171" t="str">
        <x:v>战斗公式.xlsx/怪物标准模型 AS/AQ/AO；2026-08-27</x:v>
      </x:c>
    </x:row>
    <x:row r="172">
      <x:c r="A172" t="n">
        <x:v>171</x:v>
      </x:c>
      <x:c r="B172" t="n">
        <x:v>115120</x:v>
      </x:c>
      <x:c r="C172" t="n">
        <x:v>14926</x:v>
      </x:c>
      <x:c r="D172" t="n">
        <x:v>15949</x:v>
      </x:c>
      <x:c r="E172" t="str">
        <x:v>战斗公式.xlsx/怪物标准模型 AS/AQ/AO；2026-08-27</x:v>
      </x:c>
    </x:row>
    <x:row r="173">
      <x:c r="A173" t="n">
        <x:v>172</x:v>
      </x:c>
      <x:c r="B173" t="n">
        <x:v>116675</x:v>
      </x:c>
      <x:c r="C173" t="n">
        <x:v>15071</x:v>
      </x:c>
      <x:c r="D173" t="n">
        <x:v>16062</x:v>
      </x:c>
      <x:c r="E173" t="str">
        <x:v>战斗公式.xlsx/怪物标准模型 AS/AQ/AO；2026-08-27</x:v>
      </x:c>
    </x:row>
    <x:row r="174">
      <x:c r="A174" t="n">
        <x:v>173</x:v>
      </x:c>
      <x:c r="B174" t="n">
        <x:v>118245</x:v>
      </x:c>
      <x:c r="C174" t="n">
        <x:v>15217</x:v>
      </x:c>
      <x:c r="D174" t="n">
        <x:v>16175</x:v>
      </x:c>
      <x:c r="E174" t="str">
        <x:v>战斗公式.xlsx/怪物标准模型 AS/AQ/AO；2026-08-27</x:v>
      </x:c>
    </x:row>
    <x:row r="175">
      <x:c r="A175" t="n">
        <x:v>174</x:v>
      </x:c>
      <x:c r="B175" t="n">
        <x:v>119830</x:v>
      </x:c>
      <x:c r="C175" t="n">
        <x:v>15364</x:v>
      </x:c>
      <x:c r="D175" t="n">
        <x:v>16288</x:v>
      </x:c>
      <x:c r="E175" t="str">
        <x:v>战斗公式.xlsx/怪物标准模型 AS/AQ/AO；2026-08-27</x:v>
      </x:c>
    </x:row>
    <x:row r="176">
      <x:c r="A176" t="n">
        <x:v>175</x:v>
      </x:c>
      <x:c r="B176" t="n">
        <x:v>121431</x:v>
      </x:c>
      <x:c r="C176" t="n">
        <x:v>15511</x:v>
      </x:c>
      <x:c r="D176" t="n">
        <x:v>16402</x:v>
      </x:c>
      <x:c r="E176" t="str">
        <x:v>战斗公式.xlsx/怪物标准模型 AS/AQ/AO；2026-08-27</x:v>
      </x:c>
    </x:row>
    <x:row r="177">
      <x:c r="A177" t="n">
        <x:v>176</x:v>
      </x:c>
      <x:c r="B177" t="n">
        <x:v>123047</x:v>
      </x:c>
      <x:c r="C177" t="n">
        <x:v>15661</x:v>
      </x:c>
      <x:c r="D177" t="n">
        <x:v>16515</x:v>
      </x:c>
      <x:c r="E177" t="str">
        <x:v>战斗公式.xlsx/怪物标准模型 AS/AQ/AO；2026-08-27</x:v>
      </x:c>
    </x:row>
    <x:row r="178">
      <x:c r="A178" t="n">
        <x:v>177</x:v>
      </x:c>
      <x:c r="B178" t="n">
        <x:v>124679</x:v>
      </x:c>
      <x:c r="C178" t="n">
        <x:v>15810</x:v>
      </x:c>
      <x:c r="D178" t="n">
        <x:v>16629</x:v>
      </x:c>
      <x:c r="E178" t="str">
        <x:v>战斗公式.xlsx/怪物标准模型 AS/AQ/AO；2026-08-27</x:v>
      </x:c>
    </x:row>
    <x:row r="179">
      <x:c r="A179" t="n">
        <x:v>178</x:v>
      </x:c>
      <x:c r="B179" t="n">
        <x:v>126326</x:v>
      </x:c>
      <x:c r="C179" t="n">
        <x:v>15960</x:v>
      </x:c>
      <x:c r="D179" t="n">
        <x:v>16743</x:v>
      </x:c>
      <x:c r="E179" t="str">
        <x:v>战斗公式.xlsx/怪物标准模型 AS/AQ/AO；2026-08-27</x:v>
      </x:c>
    </x:row>
    <x:row r="180">
      <x:c r="A180" t="n">
        <x:v>179</x:v>
      </x:c>
      <x:c r="B180" t="n">
        <x:v>127989</x:v>
      </x:c>
      <x:c r="C180" t="n">
        <x:v>16112</x:v>
      </x:c>
      <x:c r="D180" t="n">
        <x:v>16858</x:v>
      </x:c>
      <x:c r="E180" t="str">
        <x:v>战斗公式.xlsx/怪物标准模型 AS/AQ/AO；2026-08-27</x:v>
      </x:c>
    </x:row>
    <x:row r="181">
      <x:c r="A181" t="n">
        <x:v>180</x:v>
      </x:c>
      <x:c r="B181" t="n">
        <x:v>129668</x:v>
      </x:c>
      <x:c r="C181" t="n">
        <x:v>16264</x:v>
      </x:c>
      <x:c r="D181" t="n">
        <x:v>16973</x:v>
      </x:c>
      <x:c r="E181" t="str">
        <x:v>战斗公式.xlsx/怪物标准模型 AS/AQ/AO；2026-08-27</x:v>
      </x:c>
    </x:row>
    <x:row r="182">
      <x:c r="A182" t="n">
        <x:v>181</x:v>
      </x:c>
      <x:c r="B182" t="n">
        <x:v>131363</x:v>
      </x:c>
      <x:c r="C182" t="n">
        <x:v>16418</x:v>
      </x:c>
      <x:c r="D182" t="n">
        <x:v>17087</x:v>
      </x:c>
      <x:c r="E182" t="str">
        <x:v>战斗公式.xlsx/怪物标准模型 AS/AQ/AO；2026-08-27</x:v>
      </x:c>
    </x:row>
    <x:row r="183">
      <x:c r="A183" t="n">
        <x:v>182</x:v>
      </x:c>
      <x:c r="B183" t="n">
        <x:v>133074</x:v>
      </x:c>
      <x:c r="C183" t="n">
        <x:v>16571</x:v>
      </x:c>
      <x:c r="D183" t="n">
        <x:v>17203</x:v>
      </x:c>
      <x:c r="E183" t="str">
        <x:v>战斗公式.xlsx/怪物标准模型 AS/AQ/AO；2026-08-27</x:v>
      </x:c>
    </x:row>
    <x:row r="184">
      <x:c r="A184" t="n">
        <x:v>183</x:v>
      </x:c>
      <x:c r="B184" t="n">
        <x:v>134801</x:v>
      </x:c>
      <x:c r="C184" t="n">
        <x:v>16726</x:v>
      </x:c>
      <x:c r="D184" t="n">
        <x:v>17318</x:v>
      </x:c>
      <x:c r="E184" t="str">
        <x:v>战斗公式.xlsx/怪物标准模型 AS/AQ/AO；2026-08-27</x:v>
      </x:c>
    </x:row>
    <x:row r="185">
      <x:c r="A185" t="n">
        <x:v>184</x:v>
      </x:c>
      <x:c r="B185" t="n">
        <x:v>136544</x:v>
      </x:c>
      <x:c r="C185" t="n">
        <x:v>16882</x:v>
      </x:c>
      <x:c r="D185" t="n">
        <x:v>17433</x:v>
      </x:c>
      <x:c r="E185" t="str">
        <x:v>战斗公式.xlsx/怪物标准模型 AS/AQ/AO；2026-08-27</x:v>
      </x:c>
    </x:row>
    <x:row r="186">
      <x:c r="A186" t="n">
        <x:v>185</x:v>
      </x:c>
      <x:c r="B186" t="n">
        <x:v>138304</x:v>
      </x:c>
      <x:c r="C186" t="n">
        <x:v>17039</x:v>
      </x:c>
      <x:c r="D186" t="n">
        <x:v>17549</x:v>
      </x:c>
      <x:c r="E186" t="str">
        <x:v>战斗公式.xlsx/怪物标准模型 AS/AQ/AO；2026-08-27</x:v>
      </x:c>
    </x:row>
    <x:row r="187">
      <x:c r="A187" t="n">
        <x:v>186</x:v>
      </x:c>
      <x:c r="B187" t="n">
        <x:v>140080</x:v>
      </x:c>
      <x:c r="C187" t="n">
        <x:v>17197</x:v>
      </x:c>
      <x:c r="D187" t="n">
        <x:v>17665</x:v>
      </x:c>
      <x:c r="E187" t="str">
        <x:v>战斗公式.xlsx/怪物标准模型 AS/AQ/AO；2026-08-27</x:v>
      </x:c>
    </x:row>
    <x:row r="188">
      <x:c r="A188" t="n">
        <x:v>187</x:v>
      </x:c>
      <x:c r="B188" t="n">
        <x:v>141873</x:v>
      </x:c>
      <x:c r="C188" t="n">
        <x:v>17356</x:v>
      </x:c>
      <x:c r="D188" t="n">
        <x:v>17781</x:v>
      </x:c>
      <x:c r="E188" t="str">
        <x:v>战斗公式.xlsx/怪物标准模型 AS/AQ/AO；2026-08-27</x:v>
      </x:c>
    </x:row>
    <x:row r="189">
      <x:c r="A189" t="n">
        <x:v>188</x:v>
      </x:c>
      <x:c r="B189" t="n">
        <x:v>143682</x:v>
      </x:c>
      <x:c r="C189" t="n">
        <x:v>17515</x:v>
      </x:c>
      <x:c r="D189" t="n">
        <x:v>17898</x:v>
      </x:c>
      <x:c r="E189" t="str">
        <x:v>战斗公式.xlsx/怪物标准模型 AS/AQ/AO；2026-08-27</x:v>
      </x:c>
    </x:row>
    <x:row r="190">
      <x:c r="A190" t="n">
        <x:v>189</x:v>
      </x:c>
      <x:c r="B190" t="n">
        <x:v>145508</x:v>
      </x:c>
      <x:c r="C190" t="n">
        <x:v>17677</x:v>
      </x:c>
      <x:c r="D190" t="n">
        <x:v>18015</x:v>
      </x:c>
      <x:c r="E190" t="str">
        <x:v>战斗公式.xlsx/怪物标准模型 AS/AQ/AO；2026-08-27</x:v>
      </x:c>
    </x:row>
    <x:row r="191">
      <x:c r="A191" t="n">
        <x:v>190</x:v>
      </x:c>
      <x:c r="B191" t="n">
        <x:v>147351</x:v>
      </x:c>
      <x:c r="C191" t="n">
        <x:v>17838</x:v>
      </x:c>
      <x:c r="D191" t="n">
        <x:v>18132</x:v>
      </x:c>
      <x:c r="E191" t="str">
        <x:v>战斗公式.xlsx/怪物标准模型 AS/AQ/AO；2026-08-27</x:v>
      </x:c>
    </x:row>
    <x:row r="192">
      <x:c r="A192" t="n">
        <x:v>191</x:v>
      </x:c>
      <x:c r="B192" t="n">
        <x:v>149211</x:v>
      </x:c>
      <x:c r="C192" t="n">
        <x:v>18001</x:v>
      </x:c>
      <x:c r="D192" t="n">
        <x:v>18249</x:v>
      </x:c>
      <x:c r="E192" t="str">
        <x:v>战斗公式.xlsx/怪物标准模型 AS/AQ/AO；2026-08-27</x:v>
      </x:c>
    </x:row>
    <x:row r="193">
      <x:c r="A193" t="n">
        <x:v>192</x:v>
      </x:c>
      <x:c r="B193" t="n">
        <x:v>151088</x:v>
      </x:c>
      <x:c r="C193" t="n">
        <x:v>18164</x:v>
      </x:c>
      <x:c r="D193" t="n">
        <x:v>18366</x:v>
      </x:c>
      <x:c r="E193" t="str">
        <x:v>战斗公式.xlsx/怪物标准模型 AS/AQ/AO；2026-08-27</x:v>
      </x:c>
    </x:row>
    <x:row r="194">
      <x:c r="A194" t="n">
        <x:v>193</x:v>
      </x:c>
      <x:c r="B194" t="n">
        <x:v>152982</x:v>
      </x:c>
      <x:c r="C194" t="n">
        <x:v>18328</x:v>
      </x:c>
      <x:c r="D194" t="n">
        <x:v>18484</x:v>
      </x:c>
      <x:c r="E194" t="str">
        <x:v>战斗公式.xlsx/怪物标准模型 AS/AQ/AO；2026-08-27</x:v>
      </x:c>
    </x:row>
    <x:row r="195">
      <x:c r="A195" t="n">
        <x:v>194</x:v>
      </x:c>
      <x:c r="B195" t="n">
        <x:v>154894</x:v>
      </x:c>
      <x:c r="C195" t="n">
        <x:v>18494</x:v>
      </x:c>
      <x:c r="D195" t="n">
        <x:v>18602</x:v>
      </x:c>
      <x:c r="E195" t="str">
        <x:v>战斗公式.xlsx/怪物标准模型 AS/AQ/AO；2026-08-27</x:v>
      </x:c>
    </x:row>
    <x:row r="196">
      <x:c r="A196" t="n">
        <x:v>195</x:v>
      </x:c>
      <x:c r="B196" t="n">
        <x:v>156823</x:v>
      </x:c>
      <x:c r="C196" t="n">
        <x:v>18660</x:v>
      </x:c>
      <x:c r="D196" t="n">
        <x:v>18720</x:v>
      </x:c>
      <x:c r="E196" t="str">
        <x:v>战斗公式.xlsx/怪物标准模型 AS/AQ/AO；2026-08-27</x:v>
      </x:c>
    </x:row>
    <x:row r="197">
      <x:c r="A197" t="n">
        <x:v>196</x:v>
      </x:c>
      <x:c r="B197" t="n">
        <x:v>158769</x:v>
      </x:c>
      <x:c r="C197" t="n">
        <x:v>18828</x:v>
      </x:c>
      <x:c r="D197" t="n">
        <x:v>18838</x:v>
      </x:c>
      <x:c r="E197" t="str">
        <x:v>战斗公式.xlsx/怪物标准模型 AS/AQ/AO；2026-08-27</x:v>
      </x:c>
    </x:row>
    <x:row r="198">
      <x:c r="A198" t="n">
        <x:v>197</x:v>
      </x:c>
      <x:c r="B198" t="n">
        <x:v>160734</x:v>
      </x:c>
      <x:c r="C198" t="n">
        <x:v>18997</x:v>
      </x:c>
      <x:c r="D198" t="n">
        <x:v>18956</x:v>
      </x:c>
      <x:c r="E198" t="str">
        <x:v>战斗公式.xlsx/怪物标准模型 AS/AQ/AO；2026-08-27</x:v>
      </x:c>
    </x:row>
    <x:row r="199">
      <x:c r="A199" t="n">
        <x:v>198</x:v>
      </x:c>
      <x:c r="B199" t="n">
        <x:v>162716</x:v>
      </x:c>
      <x:c r="C199" t="n">
        <x:v>19166</x:v>
      </x:c>
      <x:c r="D199" t="n">
        <x:v>19075</x:v>
      </x:c>
      <x:c r="E199" t="str">
        <x:v>战斗公式.xlsx/怪物标准模型 AS/AQ/AO；2026-08-27</x:v>
      </x:c>
    </x:row>
    <x:row r="200">
      <x:c r="A200" t="n">
        <x:v>199</x:v>
      </x:c>
      <x:c r="B200" t="n">
        <x:v>164715</x:v>
      </x:c>
      <x:c r="C200" t="n">
        <x:v>19337</x:v>
      </x:c>
      <x:c r="D200" t="n">
        <x:v>19194</x:v>
      </x:c>
      <x:c r="E200" t="str">
        <x:v>战斗公式.xlsx/怪物标准模型 AS/AQ/AO；2026-08-27</x:v>
      </x:c>
    </x:row>
    <x:row r="201">
      <x:c r="A201" t="n">
        <x:v>200</x:v>
      </x:c>
      <x:c r="B201" t="n">
        <x:v>166733</x:v>
      </x:c>
      <x:c r="C201" t="n">
        <x:v>19508</x:v>
      </x:c>
      <x:c r="D201" t="n">
        <x:v>19313</x:v>
      </x:c>
      <x:c r="E201" t="str">
        <x:v>战斗公式.xlsx/怪物标准模型 AS/AQ/AO；2026-08-27</x:v>
      </x:c>
    </x:row>
    <x:row r="202">
      <x:c r="A202" t="n">
        <x:v>201</x:v>
      </x:c>
      <x:c r="B202" t="n">
        <x:v>168769</x:v>
      </x:c>
      <x:c r="C202" t="n">
        <x:v>19681</x:v>
      </x:c>
      <x:c r="D202" t="n">
        <x:v>19433</x:v>
      </x:c>
      <x:c r="E202" t="str">
        <x:v>战斗公式.xlsx/怪物标准模型 AS/AQ/AO；2026-08-27</x:v>
      </x:c>
    </x:row>
    <x:row r="203">
      <x:c r="A203" t="n">
        <x:v>202</x:v>
      </x:c>
      <x:c r="B203" t="n">
        <x:v>170823</x:v>
      </x:c>
      <x:c r="C203" t="n">
        <x:v>19854</x:v>
      </x:c>
      <x:c r="D203" t="n">
        <x:v>19552</x:v>
      </x:c>
      <x:c r="E203" t="str">
        <x:v>战斗公式.xlsx/怪物标准模型 AS/AQ/AO；2026-08-27</x:v>
      </x:c>
    </x:row>
    <x:row r="204">
      <x:c r="A204" t="n">
        <x:v>203</x:v>
      </x:c>
      <x:c r="B204" t="n">
        <x:v>172896</x:v>
      </x:c>
      <x:c r="C204" t="n">
        <x:v>20028</x:v>
      </x:c>
      <x:c r="D204" t="n">
        <x:v>19672</x:v>
      </x:c>
      <x:c r="E204" t="str">
        <x:v>战斗公式.xlsx/怪物标准模型 AS/AQ/AO；2026-08-27</x:v>
      </x:c>
    </x:row>
    <x:row r="205">
      <x:c r="A205" t="n">
        <x:v>204</x:v>
      </x:c>
      <x:c r="B205" t="n">
        <x:v>174987</x:v>
      </x:c>
      <x:c r="C205" t="n">
        <x:v>20204</x:v>
      </x:c>
      <x:c r="D205" t="n">
        <x:v>19792</x:v>
      </x:c>
      <x:c r="E205" t="str">
        <x:v>战斗公式.xlsx/怪物标准模型 AS/AQ/AO；2026-08-27</x:v>
      </x:c>
    </x:row>
    <x:row r="206">
      <x:c r="A206" t="n">
        <x:v>205</x:v>
      </x:c>
      <x:c r="B206" t="n">
        <x:v>177096</x:v>
      </x:c>
      <x:c r="C206" t="n">
        <x:v>20380</x:v>
      </x:c>
      <x:c r="D206" t="n">
        <x:v>19913</x:v>
      </x:c>
      <x:c r="E206" t="str">
        <x:v>战斗公式.xlsx/怪物标准模型 AS/AQ/AO；2026-08-27</x:v>
      </x:c>
    </x:row>
    <x:row r="207">
      <x:c r="A207" t="n">
        <x:v>206</x:v>
      </x:c>
      <x:c r="B207" t="n">
        <x:v>179224</x:v>
      </x:c>
      <x:c r="C207" t="n">
        <x:v>20558</x:v>
      </x:c>
      <x:c r="D207" t="n">
        <x:v>20033</x:v>
      </x:c>
      <x:c r="E207" t="str">
        <x:v>战斗公式.xlsx/怪物标准模型 AS/AQ/AO；2026-08-27</x:v>
      </x:c>
    </x:row>
    <x:row r="208">
      <x:c r="A208" t="n">
        <x:v>207</x:v>
      </x:c>
      <x:c r="B208" t="n">
        <x:v>181371</x:v>
      </x:c>
      <x:c r="C208" t="n">
        <x:v>20737</x:v>
      </x:c>
      <x:c r="D208" t="n">
        <x:v>20154</x:v>
      </x:c>
      <x:c r="E208" t="str">
        <x:v>战斗公式.xlsx/怪物标准模型 AS/AQ/AO；2026-08-27</x:v>
      </x:c>
    </x:row>
    <x:row r="209">
      <x:c r="A209" t="n">
        <x:v>208</x:v>
      </x:c>
      <x:c r="B209" t="n">
        <x:v>183537</x:v>
      </x:c>
      <x:c r="C209" t="n">
        <x:v>20916</x:v>
      </x:c>
      <x:c r="D209" t="n">
        <x:v>20275</x:v>
      </x:c>
      <x:c r="E209" t="str">
        <x:v>战斗公式.xlsx/怪物标准模型 AS/AQ/AO；2026-08-27</x:v>
      </x:c>
    </x:row>
    <x:row r="210">
      <x:c r="A210" t="n">
        <x:v>209</x:v>
      </x:c>
      <x:c r="B210" t="n">
        <x:v>185721</x:v>
      </x:c>
      <x:c r="C210" t="n">
        <x:v>21097</x:v>
      </x:c>
      <x:c r="D210" t="n">
        <x:v>20396</x:v>
      </x:c>
      <x:c r="E210" t="str">
        <x:v>战斗公式.xlsx/怪物标准模型 AS/AQ/AO；2026-08-27</x:v>
      </x:c>
    </x:row>
    <x:row r="211">
      <x:c r="A211" t="n">
        <x:v>210</x:v>
      </x:c>
      <x:c r="B211" t="n">
        <x:v>187925</x:v>
      </x:c>
      <x:c r="C211" t="n">
        <x:v>21279</x:v>
      </x:c>
      <x:c r="D211" t="n">
        <x:v>20518</x:v>
      </x:c>
      <x:c r="E211" t="str">
        <x:v>战斗公式.xlsx/怪物标准模型 AS/AQ/AO；2026-08-27</x:v>
      </x:c>
    </x:row>
    <x:row r="212">
      <x:c r="A212" t="n">
        <x:v>211</x:v>
      </x:c>
      <x:c r="B212" t="n">
        <x:v>190148</x:v>
      </x:c>
      <x:c r="C212" t="n">
        <x:v>21461</x:v>
      </x:c>
      <x:c r="D212" t="n">
        <x:v>20639</x:v>
      </x:c>
      <x:c r="E212" t="str">
        <x:v>战斗公式.xlsx/怪物标准模型 AS/AQ/AO；2026-08-27</x:v>
      </x:c>
    </x:row>
    <x:row r="213">
      <x:c r="A213" t="n">
        <x:v>212</x:v>
      </x:c>
      <x:c r="B213" t="n">
        <x:v>192391</x:v>
      </x:c>
      <x:c r="C213" t="n">
        <x:v>21646</x:v>
      </x:c>
      <x:c r="D213" t="n">
        <x:v>20761</x:v>
      </x:c>
      <x:c r="E213" t="str">
        <x:v>战斗公式.xlsx/怪物标准模型 AS/AQ/AO；2026-08-27</x:v>
      </x:c>
    </x:row>
    <x:row r="214">
      <x:c r="A214" t="n">
        <x:v>213</x:v>
      </x:c>
      <x:c r="B214" t="n">
        <x:v>194653</x:v>
      </x:c>
      <x:c r="C214" t="n">
        <x:v>21831</x:v>
      </x:c>
      <x:c r="D214" t="n">
        <x:v>20884</x:v>
      </x:c>
      <x:c r="E214" t="str">
        <x:v>战斗公式.xlsx/怪物标准模型 AS/AQ/AO；2026-08-27</x:v>
      </x:c>
    </x:row>
    <x:row r="215">
      <x:c r="A215" t="n">
        <x:v>214</x:v>
      </x:c>
      <x:c r="B215" t="n">
        <x:v>196934</x:v>
      </x:c>
      <x:c r="C215" t="n">
        <x:v>22017</x:v>
      </x:c>
      <x:c r="D215" t="n">
        <x:v>21006</x:v>
      </x:c>
      <x:c r="E215" t="str">
        <x:v>战斗公式.xlsx/怪物标准模型 AS/AQ/AO；2026-08-27</x:v>
      </x:c>
    </x:row>
    <x:row r="216">
      <x:c r="A216" t="n">
        <x:v>215</x:v>
      </x:c>
      <x:c r="B216" t="n">
        <x:v>199236</x:v>
      </x:c>
      <x:c r="C216" t="n">
        <x:v>22204</x:v>
      </x:c>
      <x:c r="D216" t="n">
        <x:v>21129</x:v>
      </x:c>
      <x:c r="E216" t="str">
        <x:v>战斗公式.xlsx/怪物标准模型 AS/AQ/AO；2026-08-27</x:v>
      </x:c>
    </x:row>
    <x:row r="217">
      <x:c r="A217" t="n">
        <x:v>216</x:v>
      </x:c>
      <x:c r="B217" t="n">
        <x:v>201557</x:v>
      </x:c>
      <x:c r="C217" t="n">
        <x:v>22392</x:v>
      </x:c>
      <x:c r="D217" t="n">
        <x:v>21251</x:v>
      </x:c>
      <x:c r="E217" t="str">
        <x:v>战斗公式.xlsx/怪物标准模型 AS/AQ/AO；2026-08-27</x:v>
      </x:c>
    </x:row>
    <x:row r="218">
      <x:c r="A218" t="n">
        <x:v>217</x:v>
      </x:c>
      <x:c r="B218" t="n">
        <x:v>203898</x:v>
      </x:c>
      <x:c r="C218" t="n">
        <x:v>22582</x:v>
      </x:c>
      <x:c r="D218" t="n">
        <x:v>21374</x:v>
      </x:c>
      <x:c r="E218" t="str">
        <x:v>战斗公式.xlsx/怪物标准模型 AS/AQ/AO；2026-08-27</x:v>
      </x:c>
    </x:row>
    <x:row r="219">
      <x:c r="A219" t="n">
        <x:v>218</x:v>
      </x:c>
      <x:c r="B219" t="n">
        <x:v>206259</x:v>
      </x:c>
      <x:c r="C219" t="n">
        <x:v>22771</x:v>
      </x:c>
      <x:c r="D219" t="n">
        <x:v>21498</x:v>
      </x:c>
      <x:c r="E219" t="str">
        <x:v>战斗公式.xlsx/怪物标准模型 AS/AQ/AO；2026-08-27</x:v>
      </x:c>
    </x:row>
    <x:row r="220">
      <x:c r="A220" t="n">
        <x:v>219</x:v>
      </x:c>
      <x:c r="B220" t="n">
        <x:v>208640</x:v>
      </x:c>
      <x:c r="C220" t="n">
        <x:v>22963</x:v>
      </x:c>
      <x:c r="D220" t="n">
        <x:v>21621</x:v>
      </x:c>
      <x:c r="E220" t="str">
        <x:v>战斗公式.xlsx/怪物标准模型 AS/AQ/AO；2026-08-27</x:v>
      </x:c>
    </x:row>
    <x:row r="221">
      <x:c r="A221" t="n">
        <x:v>220</x:v>
      </x:c>
      <x:c r="B221" t="n">
        <x:v>211042</x:v>
      </x:c>
      <x:c r="C221" t="n">
        <x:v>23156</x:v>
      </x:c>
      <x:c r="D221" t="n">
        <x:v>21745</x:v>
      </x:c>
      <x:c r="E221" t="str">
        <x:v>战斗公式.xlsx/怪物标准模型 AS/AQ/AO；2026-08-27</x:v>
      </x:c>
    </x:row>
    <x:row r="222">
      <x:c r="A222" t="n">
        <x:v>221</x:v>
      </x:c>
      <x:c r="B222" t="n">
        <x:v>213464</x:v>
      </x:c>
      <x:c r="C222" t="n">
        <x:v>23350</x:v>
      </x:c>
      <x:c r="D222" t="n">
        <x:v>21869</x:v>
      </x:c>
      <x:c r="E222" t="str">
        <x:v>战斗公式.xlsx/怪物标准模型 AS/AQ/AO；2026-08-27</x:v>
      </x:c>
    </x:row>
    <x:row r="223">
      <x:c r="A223" t="n">
        <x:v>222</x:v>
      </x:c>
      <x:c r="B223" t="n">
        <x:v>215907</x:v>
      </x:c>
      <x:c r="C223" t="n">
        <x:v>23545</x:v>
      </x:c>
      <x:c r="D223" t="n">
        <x:v>21993</x:v>
      </x:c>
      <x:c r="E223" t="str">
        <x:v>战斗公式.xlsx/怪物标准模型 AS/AQ/AO；2026-08-27</x:v>
      </x:c>
    </x:row>
    <x:row r="224">
      <x:c r="A224" t="n">
        <x:v>223</x:v>
      </x:c>
      <x:c r="B224" t="n">
        <x:v>218370</x:v>
      </x:c>
      <x:c r="C224" t="n">
        <x:v>23740</x:v>
      </x:c>
      <x:c r="D224" t="n">
        <x:v>22118</x:v>
      </x:c>
      <x:c r="E224" t="str">
        <x:v>战斗公式.xlsx/怪物标准模型 AS/AQ/AO；2026-08-27</x:v>
      </x:c>
    </x:row>
    <x:row r="225">
      <x:c r="A225" t="n">
        <x:v>224</x:v>
      </x:c>
      <x:c r="B225" t="n">
        <x:v>220854</x:v>
      </x:c>
      <x:c r="C225" t="n">
        <x:v>23938</x:v>
      </x:c>
      <x:c r="D225" t="n">
        <x:v>22242</x:v>
      </x:c>
      <x:c r="E225" t="str">
        <x:v>战斗公式.xlsx/怪物标准模型 AS/AQ/AO；2026-08-27</x:v>
      </x:c>
    </x:row>
    <x:row r="226">
      <x:c r="A226" t="n">
        <x:v>225</x:v>
      </x:c>
      <x:c r="B226" t="n">
        <x:v>223359</x:v>
      </x:c>
      <x:c r="C226" t="n">
        <x:v>24136</x:v>
      </x:c>
      <x:c r="D226" t="n">
        <x:v>22367</x:v>
      </x:c>
      <x:c r="E226" t="str">
        <x:v>战斗公式.xlsx/怪物标准模型 AS/AQ/AO；2026-08-27</x:v>
      </x:c>
    </x:row>
    <x:row r="227">
      <x:c r="A227" t="n">
        <x:v>226</x:v>
      </x:c>
      <x:c r="B227" t="n">
        <x:v>225885</x:v>
      </x:c>
      <x:c r="C227" t="n">
        <x:v>24335</x:v>
      </x:c>
      <x:c r="D227" t="n">
        <x:v>22492</x:v>
      </x:c>
      <x:c r="E227" t="str">
        <x:v>战斗公式.xlsx/怪物标准模型 AS/AQ/AO；2026-08-27</x:v>
      </x:c>
    </x:row>
    <x:row r="228">
      <x:c r="A228" t="n">
        <x:v>227</x:v>
      </x:c>
      <x:c r="B228" t="n">
        <x:v>228432</x:v>
      </x:c>
      <x:c r="C228" t="n">
        <x:v>24535</x:v>
      </x:c>
      <x:c r="D228" t="n">
        <x:v>22618</x:v>
      </x:c>
      <x:c r="E228" t="str">
        <x:v>战斗公式.xlsx/怪物标准模型 AS/AQ/AO；2026-08-27</x:v>
      </x:c>
    </x:row>
    <x:row r="229">
      <x:c r="A229" t="n">
        <x:v>228</x:v>
      </x:c>
      <x:c r="B229" t="n">
        <x:v>231001</x:v>
      </x:c>
      <x:c r="C229" t="n">
        <x:v>24738</x:v>
      </x:c>
      <x:c r="D229" t="n">
        <x:v>22743</x:v>
      </x:c>
      <x:c r="E229" t="str">
        <x:v>战斗公式.xlsx/怪物标准模型 AS/AQ/AO；2026-08-27</x:v>
      </x:c>
    </x:row>
    <x:row r="230">
      <x:c r="A230" t="n">
        <x:v>229</x:v>
      </x:c>
      <x:c r="B230" t="n">
        <x:v>233591</x:v>
      </x:c>
      <x:c r="C230" t="n">
        <x:v>24940</x:v>
      </x:c>
      <x:c r="D230" t="n">
        <x:v>22869</x:v>
      </x:c>
      <x:c r="E230" t="str">
        <x:v>战斗公式.xlsx/怪物标准模型 AS/AQ/AO；2026-08-27</x:v>
      </x:c>
    </x:row>
    <x:row r="231">
      <x:c r="A231" t="n">
        <x:v>230</x:v>
      </x:c>
      <x:c r="B231" t="n">
        <x:v>236203</x:v>
      </x:c>
      <x:c r="C231" t="n">
        <x:v>25145</x:v>
      </x:c>
      <x:c r="D231" t="n">
        <x:v>22995</x:v>
      </x:c>
      <x:c r="E231" t="str">
        <x:v>战斗公式.xlsx/怪物标准模型 AS/AQ/AO；2026-08-27</x:v>
      </x:c>
    </x:row>
    <x:row r="232">
      <x:c r="A232" t="n">
        <x:v>231</x:v>
      </x:c>
      <x:c r="B232" t="n">
        <x:v>238836</x:v>
      </x:c>
      <x:c r="C232" t="n">
        <x:v>25349</x:v>
      </x:c>
      <x:c r="D232" t="n">
        <x:v>23121</x:v>
      </x:c>
      <x:c r="E232" t="str">
        <x:v>战斗公式.xlsx/怪物标准模型 AS/AQ/AO；2026-08-27</x:v>
      </x:c>
    </x:row>
    <x:row r="233">
      <x:c r="A233" t="n">
        <x:v>232</x:v>
      </x:c>
      <x:c r="B233" t="n">
        <x:v>241491</x:v>
      </x:c>
      <x:c r="C233" t="n">
        <x:v>25555</x:v>
      </x:c>
      <x:c r="D233" t="n">
        <x:v>23248</x:v>
      </x:c>
      <x:c r="E233" t="str">
        <x:v>战斗公式.xlsx/怪物标准模型 AS/AQ/AO；2026-08-27</x:v>
      </x:c>
    </x:row>
    <x:row r="234">
      <x:c r="A234" t="n">
        <x:v>233</x:v>
      </x:c>
      <x:c r="B234" t="n">
        <x:v>244168</x:v>
      </x:c>
      <x:c r="C234" t="n">
        <x:v>25764</x:v>
      </x:c>
      <x:c r="D234" t="n">
        <x:v>23374</x:v>
      </x:c>
      <x:c r="E234" t="str">
        <x:v>战斗公式.xlsx/怪物标准模型 AS/AQ/AO；2026-08-27</x:v>
      </x:c>
    </x:row>
    <x:row r="235">
      <x:c r="A235" t="n">
        <x:v>234</x:v>
      </x:c>
      <x:c r="B235" t="n">
        <x:v>246867</x:v>
      </x:c>
      <x:c r="C235" t="n">
        <x:v>25972</x:v>
      </x:c>
      <x:c r="D235" t="n">
        <x:v>23501</x:v>
      </x:c>
      <x:c r="E235" t="str">
        <x:v>战斗公式.xlsx/怪物标准模型 AS/AQ/AO；2026-08-27</x:v>
      </x:c>
    </x:row>
    <x:row r="236">
      <x:c r="A236" t="n">
        <x:v>235</x:v>
      </x:c>
      <x:c r="B236" t="n">
        <x:v>249588</x:v>
      </x:c>
      <x:c r="C236" t="n">
        <x:v>26182</x:v>
      </x:c>
      <x:c r="D236" t="n">
        <x:v>23629</x:v>
      </x:c>
      <x:c r="E236" t="str">
        <x:v>战斗公式.xlsx/怪物标准模型 AS/AQ/AO；2026-08-27</x:v>
      </x:c>
    </x:row>
    <x:row r="237">
      <x:c r="A237" t="n">
        <x:v>236</x:v>
      </x:c>
      <x:c r="B237" t="n">
        <x:v>252332</x:v>
      </x:c>
      <x:c r="C237" t="n">
        <x:v>26393</x:v>
      </x:c>
      <x:c r="D237" t="n">
        <x:v>23756</x:v>
      </x:c>
      <x:c r="E237" t="str">
        <x:v>战斗公式.xlsx/怪物标准模型 AS/AQ/AO；2026-08-27</x:v>
      </x:c>
    </x:row>
    <x:row r="238">
      <x:c r="A238" t="n">
        <x:v>237</x:v>
      </x:c>
      <x:c r="B238" t="n">
        <x:v>255098</x:v>
      </x:c>
      <x:c r="C238" t="n">
        <x:v>26605</x:v>
      </x:c>
      <x:c r="D238" t="n">
        <x:v>23884</x:v>
      </x:c>
      <x:c r="E238" t="str">
        <x:v>战斗公式.xlsx/怪物标准模型 AS/AQ/AO；2026-08-27</x:v>
      </x:c>
    </x:row>
    <x:row r="239">
      <x:c r="A239" t="n">
        <x:v>238</x:v>
      </x:c>
      <x:c r="B239" t="n">
        <x:v>257887</x:v>
      </x:c>
      <x:c r="C239" t="n">
        <x:v>26819</x:v>
      </x:c>
      <x:c r="D239" t="n">
        <x:v>24011</x:v>
      </x:c>
      <x:c r="E239" t="str">
        <x:v>战斗公式.xlsx/怪物标准模型 AS/AQ/AO；2026-08-27</x:v>
      </x:c>
    </x:row>
    <x:row r="240">
      <x:c r="A240" t="n">
        <x:v>239</x:v>
      </x:c>
      <x:c r="B240" t="n">
        <x:v>260698</x:v>
      </x:c>
      <x:c r="C240" t="n">
        <x:v>27033</x:v>
      </x:c>
      <x:c r="D240" t="n">
        <x:v>24139</x:v>
      </x:c>
      <x:c r="E240" t="str">
        <x:v>战斗公式.xlsx/怪物标准模型 AS/AQ/AO；2026-08-27</x:v>
      </x:c>
    </x:row>
    <x:row r="241">
      <x:c r="A241" t="n">
        <x:v>240</x:v>
      </x:c>
      <x:c r="B241" t="n">
        <x:v>263533</x:v>
      </x:c>
      <x:c r="C241" t="n">
        <x:v>27250</x:v>
      </x:c>
      <x:c r="D241" t="n">
        <x:v>24268</x:v>
      </x:c>
      <x:c r="E241" t="str">
        <x:v>战斗公式.xlsx/怪物标准模型 AS/AQ/AO；2026-08-27</x:v>
      </x:c>
    </x:row>
    <x:row r="242">
      <x:c r="A242" t="n">
        <x:v>241</x:v>
      </x:c>
      <x:c r="B242" t="n">
        <x:v>266390</x:v>
      </x:c>
      <x:c r="C242" t="n">
        <x:v>27467</x:v>
      </x:c>
      <x:c r="D242" t="n">
        <x:v>24396</x:v>
      </x:c>
      <x:c r="E242" t="str">
        <x:v>战斗公式.xlsx/怪物标准模型 AS/AQ/AO；2026-08-27</x:v>
      </x:c>
    </x:row>
    <x:row r="243">
      <x:c r="A243" t="n">
        <x:v>242</x:v>
      </x:c>
      <x:c r="B243" t="n">
        <x:v>269270</x:v>
      </x:c>
      <x:c r="C243" t="n">
        <x:v>27685</x:v>
      </x:c>
      <x:c r="D243" t="n">
        <x:v>24525</x:v>
      </x:c>
      <x:c r="E243" t="str">
        <x:v>战斗公式.xlsx/怪物标准模型 AS/AQ/AO；2026-08-27</x:v>
      </x:c>
    </x:row>
    <x:row r="244">
      <x:c r="A244" t="n">
        <x:v>243</x:v>
      </x:c>
      <x:c r="B244" t="n">
        <x:v>272174</x:v>
      </x:c>
      <x:c r="C244" t="n">
        <x:v>27905</x:v>
      </x:c>
      <x:c r="D244" t="n">
        <x:v>24654</x:v>
      </x:c>
      <x:c r="E244" t="str">
        <x:v>战斗公式.xlsx/怪物标准模型 AS/AQ/AO；2026-08-27</x:v>
      </x:c>
    </x:row>
    <x:row r="245">
      <x:c r="A245" t="n">
        <x:v>244</x:v>
      </x:c>
      <x:c r="B245" t="n">
        <x:v>275101</x:v>
      </x:c>
      <x:c r="C245" t="n">
        <x:v>28125</x:v>
      </x:c>
      <x:c r="D245" t="n">
        <x:v>24783</x:v>
      </x:c>
      <x:c r="E245" t="str">
        <x:v>战斗公式.xlsx/怪物标准模型 AS/AQ/AO；2026-08-27</x:v>
      </x:c>
    </x:row>
    <x:row r="246">
      <x:c r="A246" t="n">
        <x:v>245</x:v>
      </x:c>
      <x:c r="B246" t="n">
        <x:v>278051</x:v>
      </x:c>
      <x:c r="C246" t="n">
        <x:v>28347</x:v>
      </x:c>
      <x:c r="D246" t="n">
        <x:v>24913</x:v>
      </x:c>
      <x:c r="E246" t="str">
        <x:v>战斗公式.xlsx/怪物标准模型 AS/AQ/AO；2026-08-27</x:v>
      </x:c>
    </x:row>
    <x:row r="247">
      <x:c r="A247" t="n">
        <x:v>246</x:v>
      </x:c>
      <x:c r="B247" t="n">
        <x:v>281026</x:v>
      </x:c>
      <x:c r="C247" t="n">
        <x:v>28571</x:v>
      </x:c>
      <x:c r="D247" t="n">
        <x:v>25042</x:v>
      </x:c>
      <x:c r="E247" t="str">
        <x:v>战斗公式.xlsx/怪物标准模型 AS/AQ/AO；2026-08-27</x:v>
      </x:c>
    </x:row>
    <x:row r="248">
      <x:c r="A248" t="n">
        <x:v>247</x:v>
      </x:c>
      <x:c r="B248" t="n">
        <x:v>284024</x:v>
      </x:c>
      <x:c r="C248" t="n">
        <x:v>28795</x:v>
      </x:c>
      <x:c r="D248" t="n">
        <x:v>25172</x:v>
      </x:c>
      <x:c r="E248" t="str">
        <x:v>战斗公式.xlsx/怪物标准模型 AS/AQ/AO；2026-08-27</x:v>
      </x:c>
    </x:row>
    <x:row r="249">
      <x:c r="A249" t="n">
        <x:v>248</x:v>
      </x:c>
      <x:c r="B249" t="n">
        <x:v>287046</x:v>
      </x:c>
      <x:c r="C249" t="n">
        <x:v>29021</x:v>
      </x:c>
      <x:c r="D249" t="n">
        <x:v>25302</x:v>
      </x:c>
      <x:c r="E249" t="str">
        <x:v>战斗公式.xlsx/怪物标准模型 AS/AQ/AO；2026-08-27</x:v>
      </x:c>
    </x:row>
    <x:row r="250">
      <x:c r="A250" t="n">
        <x:v>249</x:v>
      </x:c>
      <x:c r="B250" t="n">
        <x:v>290092</x:v>
      </x:c>
      <x:c r="C250" t="n">
        <x:v>29249</x:v>
      </x:c>
      <x:c r="D250" t="n">
        <x:v>25433</x:v>
      </x:c>
      <x:c r="E250" t="str">
        <x:v>战斗公式.xlsx/怪物标准模型 AS/AQ/AO；2026-08-27</x:v>
      </x:c>
    </x:row>
    <x:row r="251">
      <x:c r="A251" t="n">
        <x:v>250</x:v>
      </x:c>
      <x:c r="B251" t="n">
        <x:v>293162</x:v>
      </x:c>
      <x:c r="C251" t="n">
        <x:v>29477</x:v>
      </x:c>
      <x:c r="D251" t="n">
        <x:v>25563</x:v>
      </x:c>
      <x:c r="E251" t="str">
        <x:v>战斗公式.xlsx/怪物标准模型 AS/AQ/AO；2026-08-27</x:v>
      </x:c>
    </x:row>
    <x:row r="252">
      <x:c r="A252" t="n">
        <x:v>251</x:v>
      </x:c>
      <x:c r="B252" t="n">
        <x:v>296256</x:v>
      </x:c>
      <x:c r="C252" t="n">
        <x:v>29707</x:v>
      </x:c>
      <x:c r="D252" t="n">
        <x:v>25694</x:v>
      </x:c>
      <x:c r="E252" t="str">
        <x:v>战斗公式.xlsx/怪物标准模型 AS/AQ/AO；2026-08-27</x:v>
      </x:c>
    </x:row>
    <x:row r="253">
      <x:c r="A253" t="n">
        <x:v>252</x:v>
      </x:c>
      <x:c r="B253" t="n">
        <x:v>299375</x:v>
      </x:c>
      <x:c r="C253" t="n">
        <x:v>29938</x:v>
      </x:c>
      <x:c r="D253" t="n">
        <x:v>25825</x:v>
      </x:c>
      <x:c r="E253" t="str">
        <x:v>战斗公式.xlsx/怪物标准模型 AS/AQ/AO；2026-08-27</x:v>
      </x:c>
    </x:row>
    <x:row r="254">
      <x:c r="A254" t="n">
        <x:v>253</x:v>
      </x:c>
      <x:c r="B254" t="n">
        <x:v>302519</x:v>
      </x:c>
      <x:c r="C254" t="n">
        <x:v>30170</x:v>
      </x:c>
      <x:c r="D254" t="n">
        <x:v>25956</x:v>
      </x:c>
      <x:c r="E254" t="str">
        <x:v>战斗公式.xlsx/怪物标准模型 AS/AQ/AO；2026-08-27</x:v>
      </x:c>
    </x:row>
    <x:row r="255">
      <x:c r="A255" t="n">
        <x:v>254</x:v>
      </x:c>
      <x:c r="B255" t="n">
        <x:v>305688</x:v>
      </x:c>
      <x:c r="C255" t="n">
        <x:v>30404</x:v>
      </x:c>
      <x:c r="D255" t="n">
        <x:v>26088</x:v>
      </x:c>
      <x:c r="E255" t="str">
        <x:v>战斗公式.xlsx/怪物标准模型 AS/AQ/AO；2026-08-27</x:v>
      </x:c>
    </x:row>
    <x:row r="256">
      <x:c r="A256" t="n">
        <x:v>255</x:v>
      </x:c>
      <x:c r="B256" t="n">
        <x:v>308881</x:v>
      </x:c>
      <x:c r="C256" t="n">
        <x:v>30639</x:v>
      </x:c>
      <x:c r="D256" t="n">
        <x:v>26219</x:v>
      </x:c>
      <x:c r="E256" t="str">
        <x:v>战斗公式.xlsx/怪物标准模型 AS/AQ/AO；2026-08-27</x:v>
      </x:c>
    </x:row>
    <x:row r="257">
      <x:c r="A257" t="n">
        <x:v>256</x:v>
      </x:c>
      <x:c r="B257" t="n">
        <x:v>312099</x:v>
      </x:c>
      <x:c r="C257" t="n">
        <x:v>30876</x:v>
      </x:c>
      <x:c r="D257" t="n">
        <x:v>26351</x:v>
      </x:c>
      <x:c r="E257" t="str">
        <x:v>战斗公式.xlsx/怪物标准模型 AS/AQ/AO；2026-08-27</x:v>
      </x:c>
    </x:row>
    <x:row r="258">
      <x:c r="A258" t="n">
        <x:v>257</x:v>
      </x:c>
      <x:c r="B258" t="n">
        <x:v>315343</x:v>
      </x:c>
      <x:c r="C258" t="n">
        <x:v>31113</x:v>
      </x:c>
      <x:c r="D258" t="n">
        <x:v>26484</x:v>
      </x:c>
      <x:c r="E258" t="str">
        <x:v>战斗公式.xlsx/怪物标准模型 AS/AQ/AO；2026-08-27</x:v>
      </x:c>
    </x:row>
    <x:row r="259">
      <x:c r="A259" t="n">
        <x:v>258</x:v>
      </x:c>
      <x:c r="B259" t="n">
        <x:v>318612</x:v>
      </x:c>
      <x:c r="C259" t="n">
        <x:v>31353</x:v>
      </x:c>
      <x:c r="D259" t="n">
        <x:v>26616</x:v>
      </x:c>
      <x:c r="E259" t="str">
        <x:v>战斗公式.xlsx/怪物标准模型 AS/AQ/AO；2026-08-27</x:v>
      </x:c>
    </x:row>
    <x:row r="260">
      <x:c r="A260" t="n">
        <x:v>259</x:v>
      </x:c>
      <x:c r="B260" t="n">
        <x:v>321906</x:v>
      </x:c>
      <x:c r="C260" t="n">
        <x:v>31592</x:v>
      </x:c>
      <x:c r="D260" t="n">
        <x:v>26749</x:v>
      </x:c>
      <x:c r="E260" t="str">
        <x:v>战斗公式.xlsx/怪物标准模型 AS/AQ/AO；2026-08-27</x:v>
      </x:c>
    </x:row>
    <x:row r="261">
      <x:c r="A261" t="n">
        <x:v>260</x:v>
      </x:c>
      <x:c r="B261" t="n">
        <x:v>325226</x:v>
      </x:c>
      <x:c r="C261" t="n">
        <x:v>31834</x:v>
      </x:c>
      <x:c r="D261" t="n">
        <x:v>26881</x:v>
      </x:c>
      <x:c r="E261" t="str">
        <x:v>战斗公式.xlsx/怪物标准模型 AS/AQ/AO；2026-08-27</x:v>
      </x:c>
    </x:row>
    <x:row r="262">
      <x:c r="A262" t="n">
        <x:v>261</x:v>
      </x:c>
      <x:c r="B262" t="n">
        <x:v>328572</x:v>
      </x:c>
      <x:c r="C262" t="n">
        <x:v>32077</x:v>
      </x:c>
      <x:c r="D262" t="n">
        <x:v>27014</x:v>
      </x:c>
      <x:c r="E262" t="str">
        <x:v>战斗公式.xlsx/怪物标准模型 AS/AQ/AO；2026-08-27</x:v>
      </x:c>
    </x:row>
    <x:row r="263">
      <x:c r="A263" t="n">
        <x:v>262</x:v>
      </x:c>
      <x:c r="B263" t="n">
        <x:v>331944</x:v>
      </x:c>
      <x:c r="C263" t="n">
        <x:v>32322</x:v>
      </x:c>
      <x:c r="D263" t="n">
        <x:v>27148</x:v>
      </x:c>
      <x:c r="E263" t="str">
        <x:v>战斗公式.xlsx/怪物标准模型 AS/AQ/AO；2026-08-27</x:v>
      </x:c>
    </x:row>
    <x:row r="264">
      <x:c r="A264" t="n">
        <x:v>263</x:v>
      </x:c>
      <x:c r="B264" t="n">
        <x:v>335342</x:v>
      </x:c>
      <x:c r="C264" t="n">
        <x:v>32567</x:v>
      </x:c>
      <x:c r="D264" t="n">
        <x:v>27281</x:v>
      </x:c>
      <x:c r="E264" t="str">
        <x:v>战斗公式.xlsx/怪物标准模型 AS/AQ/AO；2026-08-27</x:v>
      </x:c>
    </x:row>
    <x:row r="265">
      <x:c r="A265" t="n">
        <x:v>264</x:v>
      </x:c>
      <x:c r="B265" t="n">
        <x:v>338766</x:v>
      </x:c>
      <x:c r="C265" t="n">
        <x:v>32814</x:v>
      </x:c>
      <x:c r="D265" t="n">
        <x:v>27415</x:v>
      </x:c>
      <x:c r="E265" t="str">
        <x:v>战斗公式.xlsx/怪物标准模型 AS/AQ/AO；2026-08-27</x:v>
      </x:c>
    </x:row>
    <x:row r="266">
      <x:c r="A266" t="n">
        <x:v>265</x:v>
      </x:c>
      <x:c r="B266" t="n">
        <x:v>342216</x:v>
      </x:c>
      <x:c r="C266" t="n">
        <x:v>33063</x:v>
      </x:c>
      <x:c r="D266" t="n">
        <x:v>27549</x:v>
      </x:c>
      <x:c r="E266" t="str">
        <x:v>战斗公式.xlsx/怪物标准模型 AS/AQ/AO；2026-08-27</x:v>
      </x:c>
    </x:row>
    <x:row r="267">
      <x:c r="A267" t="n">
        <x:v>266</x:v>
      </x:c>
      <x:c r="B267" t="n">
        <x:v>345693</x:v>
      </x:c>
      <x:c r="C267" t="n">
        <x:v>33312</x:v>
      </x:c>
      <x:c r="D267" t="n">
        <x:v>27683</x:v>
      </x:c>
      <x:c r="E267" t="str">
        <x:v>战斗公式.xlsx/怪物标准模型 AS/AQ/AO；2026-08-27</x:v>
      </x:c>
    </x:row>
    <x:row r="268">
      <x:c r="A268" t="n">
        <x:v>267</x:v>
      </x:c>
      <x:c r="B268" t="n">
        <x:v>349196</x:v>
      </x:c>
      <x:c r="C268" t="n">
        <x:v>33564</x:v>
      </x:c>
      <x:c r="D268" t="n">
        <x:v>27818</x:v>
      </x:c>
      <x:c r="E268" t="str">
        <x:v>战斗公式.xlsx/怪物标准模型 AS/AQ/AO；2026-08-27</x:v>
      </x:c>
    </x:row>
    <x:row r="269">
      <x:c r="A269" t="n">
        <x:v>268</x:v>
      </x:c>
      <x:c r="B269" t="n">
        <x:v>352727</x:v>
      </x:c>
      <x:c r="C269" t="n">
        <x:v>33817</x:v>
      </x:c>
      <x:c r="D269" t="n">
        <x:v>27952</x:v>
      </x:c>
      <x:c r="E269" t="str">
        <x:v>战斗公式.xlsx/怪物标准模型 AS/AQ/AO；2026-08-27</x:v>
      </x:c>
    </x:row>
    <x:row r="270">
      <x:c r="A270" t="n">
        <x:v>269</x:v>
      </x:c>
      <x:c r="B270" t="n">
        <x:v>356284</x:v>
      </x:c>
      <x:c r="C270" t="n">
        <x:v>34070</x:v>
      </x:c>
      <x:c r="D270" t="n">
        <x:v>28087</x:v>
      </x:c>
      <x:c r="E270" t="str">
        <x:v>战斗公式.xlsx/怪物标准模型 AS/AQ/AO；2026-08-27</x:v>
      </x:c>
    </x:row>
    <x:row r="271">
      <x:c r="A271" t="n">
        <x:v>270</x:v>
      </x:c>
      <x:c r="B271" t="n">
        <x:v>359868</x:v>
      </x:c>
      <x:c r="C271" t="n">
        <x:v>34326</x:v>
      </x:c>
      <x:c r="D271" t="n">
        <x:v>28222</x:v>
      </x:c>
      <x:c r="E271" t="str">
        <x:v>战斗公式.xlsx/怪物标准模型 AS/AQ/AO；2026-08-27</x:v>
      </x:c>
    </x:row>
    <x:row r="272">
      <x:c r="A272" t="n">
        <x:v>271</x:v>
      </x:c>
      <x:c r="B272" t="n">
        <x:v>363480</x:v>
      </x:c>
      <x:c r="C272" t="n">
        <x:v>34583</x:v>
      </x:c>
      <x:c r="D272" t="n">
        <x:v>28358</x:v>
      </x:c>
      <x:c r="E272" t="str">
        <x:v>战斗公式.xlsx/怪物标准模型 AS/AQ/AO；2026-08-27</x:v>
      </x:c>
    </x:row>
    <x:row r="273">
      <x:c r="A273" t="n">
        <x:v>272</x:v>
      </x:c>
      <x:c r="B273" t="n">
        <x:v>367119</x:v>
      </x:c>
      <x:c r="C273" t="n">
        <x:v>34841</x:v>
      </x:c>
      <x:c r="D273" t="n">
        <x:v>28493</x:v>
      </x:c>
      <x:c r="E273" t="str">
        <x:v>战斗公式.xlsx/怪物标准模型 AS/AQ/AO；2026-08-27</x:v>
      </x:c>
    </x:row>
    <x:row r="274">
      <x:c r="A274" t="n">
        <x:v>273</x:v>
      </x:c>
      <x:c r="B274" t="n">
        <x:v>370785</x:v>
      </x:c>
      <x:c r="C274" t="n">
        <x:v>35101</x:v>
      </x:c>
      <x:c r="D274" t="n">
        <x:v>28629</x:v>
      </x:c>
      <x:c r="E274" t="str">
        <x:v>战斗公式.xlsx/怪物标准模型 AS/AQ/AO；2026-08-27</x:v>
      </x:c>
    </x:row>
    <x:row r="275">
      <x:c r="A275" t="n">
        <x:v>274</x:v>
      </x:c>
      <x:c r="B275" t="n">
        <x:v>374479</x:v>
      </x:c>
      <x:c r="C275" t="n">
        <x:v>35362</x:v>
      </x:c>
      <x:c r="D275" t="n">
        <x:v>28765</x:v>
      </x:c>
      <x:c r="E275" t="str">
        <x:v>战斗公式.xlsx/怪物标准模型 AS/AQ/AO；2026-08-27</x:v>
      </x:c>
    </x:row>
    <x:row r="276">
      <x:c r="A276" t="n">
        <x:v>275</x:v>
      </x:c>
      <x:c r="B276" t="n">
        <x:v>378201</x:v>
      </x:c>
      <x:c r="C276" t="n">
        <x:v>35624</x:v>
      </x:c>
      <x:c r="D276" t="n">
        <x:v>28901</x:v>
      </x:c>
      <x:c r="E276" t="str">
        <x:v>战斗公式.xlsx/怪物标准模型 AS/AQ/AO；2026-08-27</x:v>
      </x:c>
    </x:row>
    <x:row r="277">
      <x:c r="A277" t="n">
        <x:v>276</x:v>
      </x:c>
      <x:c r="B277" t="n">
        <x:v>381951</x:v>
      </x:c>
      <x:c r="C277" t="n">
        <x:v>35889</x:v>
      </x:c>
      <x:c r="D277" t="n">
        <x:v>29038</x:v>
      </x:c>
      <x:c r="E277" t="str">
        <x:v>战斗公式.xlsx/怪物标准模型 AS/AQ/AO；2026-08-27</x:v>
      </x:c>
    </x:row>
    <x:row r="278">
      <x:c r="A278" t="n">
        <x:v>277</x:v>
      </x:c>
      <x:c r="B278" t="n">
        <x:v>385730</x:v>
      </x:c>
      <x:c r="C278" t="n">
        <x:v>36154</x:v>
      </x:c>
      <x:c r="D278" t="n">
        <x:v>29175</x:v>
      </x:c>
      <x:c r="E278" t="str">
        <x:v>战斗公式.xlsx/怪物标准模型 AS/AQ/AO；2026-08-27</x:v>
      </x:c>
    </x:row>
    <x:row r="279">
      <x:c r="A279" t="n">
        <x:v>278</x:v>
      </x:c>
      <x:c r="B279" t="n">
        <x:v>389536</x:v>
      </x:c>
      <x:c r="C279" t="n">
        <x:v>36421</x:v>
      </x:c>
      <x:c r="D279" t="n">
        <x:v>29311</x:v>
      </x:c>
      <x:c r="E279" t="str">
        <x:v>战斗公式.xlsx/怪物标准模型 AS/AQ/AO；2026-08-27</x:v>
      </x:c>
    </x:row>
    <x:row r="280">
      <x:c r="A280" t="n">
        <x:v>279</x:v>
      </x:c>
      <x:c r="B280" t="n">
        <x:v>393371</x:v>
      </x:c>
      <x:c r="C280" t="n">
        <x:v>36690</x:v>
      </x:c>
      <x:c r="D280" t="n">
        <x:v>29449</x:v>
      </x:c>
      <x:c r="E280" t="str">
        <x:v>战斗公式.xlsx/怪物标准模型 AS/AQ/AO；2026-08-27</x:v>
      </x:c>
    </x:row>
    <x:row r="281">
      <x:c r="A281" t="n">
        <x:v>280</x:v>
      </x:c>
      <x:c r="B281" t="n">
        <x:v>397235</x:v>
      </x:c>
      <x:c r="C281" t="n">
        <x:v>36960</x:v>
      </x:c>
      <x:c r="D281" t="n">
        <x:v>29586</x:v>
      </x:c>
      <x:c r="E281" t="str">
        <x:v>战斗公式.xlsx/怪物标准模型 AS/AQ/AO；2026-08-27</x:v>
      </x:c>
    </x:row>
    <x:row r="282">
      <x:c r="A282" t="n">
        <x:v>281</x:v>
      </x:c>
      <x:c r="B282" t="n">
        <x:v>401128</x:v>
      </x:c>
      <x:c r="C282" t="n">
        <x:v>37231</x:v>
      </x:c>
      <x:c r="D282" t="n">
        <x:v>29724</x:v>
      </x:c>
      <x:c r="E282" t="str">
        <x:v>战斗公式.xlsx/怪物标准模型 AS/AQ/AO；2026-08-27</x:v>
      </x:c>
    </x:row>
    <x:row r="283">
      <x:c r="A283" t="n">
        <x:v>282</x:v>
      </x:c>
      <x:c r="B283" t="n">
        <x:v>405049</x:v>
      </x:c>
      <x:c r="C283" t="n">
        <x:v>37504</x:v>
      </x:c>
      <x:c r="D283" t="n">
        <x:v>29861</x:v>
      </x:c>
      <x:c r="E283" t="str">
        <x:v>战斗公式.xlsx/怪物标准模型 AS/AQ/AO；2026-08-27</x:v>
      </x:c>
    </x:row>
    <x:row r="284">
      <x:c r="A284" t="n">
        <x:v>283</x:v>
      </x:c>
      <x:c r="B284" t="n">
        <x:v>409000</x:v>
      </x:c>
      <x:c r="C284" t="n">
        <x:v>37779</x:v>
      </x:c>
      <x:c r="D284" t="n">
        <x:v>30000</x:v>
      </x:c>
      <x:c r="E284" t="str">
        <x:v>战斗公式.xlsx/怪物标准模型 AS/AQ/AO；2026-08-27</x:v>
      </x:c>
    </x:row>
    <x:row r="285">
      <x:c r="A285" t="n">
        <x:v>284</x:v>
      </x:c>
      <x:c r="B285" t="n">
        <x:v>412979</x:v>
      </x:c>
      <x:c r="C285" t="n">
        <x:v>38054</x:v>
      </x:c>
      <x:c r="D285" t="n">
        <x:v>30138</x:v>
      </x:c>
      <x:c r="E285" t="str">
        <x:v>战斗公式.xlsx/怪物标准模型 AS/AQ/AO；2026-08-27</x:v>
      </x:c>
    </x:row>
    <x:row r="286">
      <x:c r="A286" t="n">
        <x:v>285</x:v>
      </x:c>
      <x:c r="B286" t="n">
        <x:v>416989</x:v>
      </x:c>
      <x:c r="C286" t="n">
        <x:v>38332</x:v>
      </x:c>
      <x:c r="D286" t="n">
        <x:v>30276</x:v>
      </x:c>
      <x:c r="E286" t="str">
        <x:v>战斗公式.xlsx/怪物标准模型 AS/AQ/AO；2026-08-27</x:v>
      </x:c>
    </x:row>
    <x:row r="287">
      <x:c r="A287" t="n">
        <x:v>286</x:v>
      </x:c>
      <x:c r="B287" t="n">
        <x:v>421027</x:v>
      </x:c>
      <x:c r="C287" t="n">
        <x:v>38610</x:v>
      </x:c>
      <x:c r="D287" t="n">
        <x:v>30415</x:v>
      </x:c>
      <x:c r="E287" t="str">
        <x:v>战斗公式.xlsx/怪物标准模型 AS/AQ/AO；2026-08-27</x:v>
      </x:c>
    </x:row>
    <x:row r="288">
      <x:c r="A288" t="n">
        <x:v>287</x:v>
      </x:c>
      <x:c r="B288" t="n">
        <x:v>425096</x:v>
      </x:c>
      <x:c r="C288" t="n">
        <x:v>38892</x:v>
      </x:c>
      <x:c r="D288" t="n">
        <x:v>30554</x:v>
      </x:c>
      <x:c r="E288" t="str">
        <x:v>战斗公式.xlsx/怪物标准模型 AS/AQ/AO；2026-08-27</x:v>
      </x:c>
    </x:row>
    <x:row r="289">
      <x:c r="A289" t="n">
        <x:v>288</x:v>
      </x:c>
      <x:c r="B289" t="n">
        <x:v>429195</x:v>
      </x:c>
      <x:c r="C289" t="n">
        <x:v>39174</x:v>
      </x:c>
      <x:c r="D289" t="n">
        <x:v>30693</x:v>
      </x:c>
      <x:c r="E289" t="str">
        <x:v>战斗公式.xlsx/怪物标准模型 AS/AQ/AO；2026-08-27</x:v>
      </x:c>
    </x:row>
    <x:row r="290">
      <x:c r="A290" t="n">
        <x:v>289</x:v>
      </x:c>
      <x:c r="B290" t="n">
        <x:v>433323</x:v>
      </x:c>
      <x:c r="C290" t="n">
        <x:v>39457</x:v>
      </x:c>
      <x:c r="D290" t="n">
        <x:v>30833</x:v>
      </x:c>
      <x:c r="E290" t="str">
        <x:v>战斗公式.xlsx/怪物标准模型 AS/AQ/AO；2026-08-27</x:v>
      </x:c>
    </x:row>
    <x:row r="291">
      <x:c r="A291" t="n">
        <x:v>290</x:v>
      </x:c>
      <x:c r="B291" t="n">
        <x:v>437482</x:v>
      </x:c>
      <x:c r="C291" t="n">
        <x:v>39742</x:v>
      </x:c>
      <x:c r="D291" t="n">
        <x:v>30972</x:v>
      </x:c>
      <x:c r="E291" t="str">
        <x:v>战斗公式.xlsx/怪物标准模型 AS/AQ/AO；2026-08-27</x:v>
      </x:c>
    </x:row>
    <x:row r="292">
      <x:c r="A292" t="n">
        <x:v>291</x:v>
      </x:c>
      <x:c r="B292" t="n">
        <x:v>441671</x:v>
      </x:c>
      <x:c r="C292" t="n">
        <x:v>40029</x:v>
      </x:c>
      <x:c r="D292" t="n">
        <x:v>31112</x:v>
      </x:c>
      <x:c r="E292" t="str">
        <x:v>战斗公式.xlsx/怪物标准模型 AS/AQ/AO；2026-08-27</x:v>
      </x:c>
    </x:row>
    <x:row r="293">
      <x:c r="A293" t="n">
        <x:v>292</x:v>
      </x:c>
      <x:c r="B293" t="n">
        <x:v>445891</x:v>
      </x:c>
      <x:c r="C293" t="n">
        <x:v>40317</x:v>
      </x:c>
      <x:c r="D293" t="n">
        <x:v>31252</x:v>
      </x:c>
      <x:c r="E293" t="str">
        <x:v>战斗公式.xlsx/怪物标准模型 AS/AQ/AO；2026-08-27</x:v>
      </x:c>
    </x:row>
    <x:row r="294">
      <x:c r="A294" t="n">
        <x:v>293</x:v>
      </x:c>
      <x:c r="B294" t="n">
        <x:v>450142</x:v>
      </x:c>
      <x:c r="C294" t="n">
        <x:v>40607</x:v>
      </x:c>
      <x:c r="D294" t="n">
        <x:v>31393</x:v>
      </x:c>
      <x:c r="E294" t="str">
        <x:v>战斗公式.xlsx/怪物标准模型 AS/AQ/AO；2026-08-27</x:v>
      </x:c>
    </x:row>
    <x:row r="295">
      <x:c r="A295" t="n">
        <x:v>294</x:v>
      </x:c>
      <x:c r="B295" t="n">
        <x:v>454423</x:v>
      </x:c>
      <x:c r="C295" t="n">
        <x:v>40898</x:v>
      </x:c>
      <x:c r="D295" t="n">
        <x:v>31533</x:v>
      </x:c>
      <x:c r="E295" t="str">
        <x:v>战斗公式.xlsx/怪物标准模型 AS/AQ/AO；2026-08-27</x:v>
      </x:c>
    </x:row>
    <x:row r="296">
      <x:c r="A296" t="n">
        <x:v>295</x:v>
      </x:c>
      <x:c r="B296" t="n">
        <x:v>458736</x:v>
      </x:c>
      <x:c r="C296" t="n">
        <x:v>41191</x:v>
      </x:c>
      <x:c r="D296" t="n">
        <x:v>31674</x:v>
      </x:c>
      <x:c r="E296" t="str">
        <x:v>战斗公式.xlsx/怪物标准模型 AS/AQ/AO；2026-08-27</x:v>
      </x:c>
    </x:row>
    <x:row r="297">
      <x:c r="A297" t="n">
        <x:v>296</x:v>
      </x:c>
      <x:c r="B297" t="n">
        <x:v>463079</x:v>
      </x:c>
      <x:c r="C297" t="n">
        <x:v>41486</x:v>
      </x:c>
      <x:c r="D297" t="n">
        <x:v>31815</x:v>
      </x:c>
      <x:c r="E297" t="str">
        <x:v>战斗公式.xlsx/怪物标准模型 AS/AQ/AO；2026-08-27</x:v>
      </x:c>
    </x:row>
    <x:row r="298">
      <x:c r="A298" t="n">
        <x:v>297</x:v>
      </x:c>
      <x:c r="B298" t="n">
        <x:v>467454</x:v>
      </x:c>
      <x:c r="C298" t="n">
        <x:v>41782</x:v>
      </x:c>
      <x:c r="D298" t="n">
        <x:v>31956</x:v>
      </x:c>
      <x:c r="E298" t="str">
        <x:v>战斗公式.xlsx/怪物标准模型 AS/AQ/AO；2026-08-27</x:v>
      </x:c>
    </x:row>
    <x:row r="299">
      <x:c r="A299" t="n">
        <x:v>298</x:v>
      </x:c>
      <x:c r="B299" t="n">
        <x:v>471861</x:v>
      </x:c>
      <x:c r="C299" t="n">
        <x:v>42080</x:v>
      </x:c>
      <x:c r="D299" t="n">
        <x:v>32098</x:v>
      </x:c>
      <x:c r="E299" t="str">
        <x:v>战斗公式.xlsx/怪物标准模型 AS/AQ/AO；2026-08-27</x:v>
      </x:c>
    </x:row>
    <x:row r="300">
      <x:c r="A300" t="n">
        <x:v>299</x:v>
      </x:c>
      <x:c r="B300" t="n">
        <x:v>476300</x:v>
      </x:c>
      <x:c r="C300" t="n">
        <x:v>42380</x:v>
      </x:c>
      <x:c r="D300" t="n">
        <x:v>32240</x:v>
      </x:c>
      <x:c r="E300" t="str">
        <x:v>战斗公式.xlsx/怪物标准模型 AS/AQ/AO；2026-08-27</x:v>
      </x:c>
    </x:row>
    <x:row r="301">
      <x:c r="A301" t="n">
        <x:v>300</x:v>
      </x:c>
      <x:c r="B301" t="n">
        <x:v>480770</x:v>
      </x:c>
      <x:c r="C301" t="n">
        <x:v>42680</x:v>
      </x:c>
      <x:c r="D301" t="n">
        <x:v>32382</x:v>
      </x:c>
      <x:c r="E301" t="str">
        <x:v>战斗公式.xlsx/怪物标准模型 AS/AQ/AO；2026-08-27</x:v>
      </x:c>
    </x:row>
    <x:row r="302">
      <x:c r="A302" t="n">
        <x:v>301</x:v>
      </x:c>
      <x:c r="B302" t="n">
        <x:v>485273</x:v>
      </x:c>
      <x:c r="C302" t="n">
        <x:v>42983</x:v>
      </x:c>
      <x:c r="D302" t="n">
        <x:v>32524</x:v>
      </x:c>
      <x:c r="E302" t="str">
        <x:v>战斗公式.xlsx/怪物标准模型 AS/AQ/AO；2026-08-27</x:v>
      </x:c>
    </x:row>
    <x:row r="303">
      <x:c r="A303" t="n">
        <x:v>302</x:v>
      </x:c>
      <x:c r="B303" t="n">
        <x:v>489807</x:v>
      </x:c>
      <x:c r="C303" t="n">
        <x:v>43288</x:v>
      </x:c>
      <x:c r="D303" t="n">
        <x:v>32666</x:v>
      </x:c>
      <x:c r="E303" t="str">
        <x:v>战斗公式.xlsx/怪物标准模型 AS/AQ/AO；2026-08-27</x:v>
      </x:c>
    </x:row>
    <x:row r="304">
      <x:c r="A304" t="n">
        <x:v>303</x:v>
      </x:c>
      <x:c r="B304" t="n">
        <x:v>494375</x:v>
      </x:c>
      <x:c r="C304" t="n">
        <x:v>43594</x:v>
      </x:c>
      <x:c r="D304" t="n">
        <x:v>32809</x:v>
      </x:c>
      <x:c r="E304" t="str">
        <x:v>战斗公式.xlsx/怪物标准模型 AS/AQ/AO；2026-08-27</x:v>
      </x:c>
    </x:row>
    <x:row r="305">
      <x:c r="A305" t="n">
        <x:v>304</x:v>
      </x:c>
      <x:c r="B305" t="n">
        <x:v>498974</x:v>
      </x:c>
      <x:c r="C305" t="n">
        <x:v>43901</x:v>
      </x:c>
      <x:c r="D305" t="n">
        <x:v>32952</x:v>
      </x:c>
      <x:c r="E305" t="str">
        <x:v>战斗公式.xlsx/怪物标准模型 AS/AQ/AO；2026-08-27</x:v>
      </x:c>
    </x:row>
    <x:row r="306">
      <x:c r="A306" t="n">
        <x:v>305</x:v>
      </x:c>
      <x:c r="B306" t="n">
        <x:v>503607</x:v>
      </x:c>
      <x:c r="C306" t="n">
        <x:v>44211</x:v>
      </x:c>
      <x:c r="D306" t="n">
        <x:v>33095</x:v>
      </x:c>
      <x:c r="E306" t="str">
        <x:v>战斗公式.xlsx/怪物标准模型 AS/AQ/AO；2026-08-27</x:v>
      </x:c>
    </x:row>
    <x:row r="307">
      <x:c r="A307" t="n">
        <x:v>306</x:v>
      </x:c>
      <x:c r="B307" t="n">
        <x:v>508272</x:v>
      </x:c>
      <x:c r="C307" t="n">
        <x:v>44522</x:v>
      </x:c>
      <x:c r="D307" t="n">
        <x:v>33238</x:v>
      </x:c>
      <x:c r="E307" t="str">
        <x:v>战斗公式.xlsx/怪物标准模型 AS/AQ/AO；2026-08-27</x:v>
      </x:c>
    </x:row>
    <x:row r="308">
      <x:c r="A308" t="n">
        <x:v>307</x:v>
      </x:c>
      <x:c r="B308" t="n">
        <x:v>512971</x:v>
      </x:c>
      <x:c r="C308" t="n">
        <x:v>44835</x:v>
      </x:c>
      <x:c r="D308" t="n">
        <x:v>33382</x:v>
      </x:c>
      <x:c r="E308" t="str">
        <x:v>战斗公式.xlsx/怪物标准模型 AS/AQ/AO；2026-08-27</x:v>
      </x:c>
    </x:row>
    <x:row r="309">
      <x:c r="A309" t="n">
        <x:v>308</x:v>
      </x:c>
      <x:c r="B309" t="n">
        <x:v>517703</x:v>
      </x:c>
      <x:c r="C309" t="n">
        <x:v>45149</x:v>
      </x:c>
      <x:c r="D309" t="n">
        <x:v>33525</x:v>
      </x:c>
      <x:c r="E309" t="str">
        <x:v>战斗公式.xlsx/怪物标准模型 AS/AQ/AO；2026-08-27</x:v>
      </x:c>
    </x:row>
    <x:row r="310">
      <x:c r="A310" t="n">
        <x:v>309</x:v>
      </x:c>
      <x:c r="B310" t="n">
        <x:v>522469</x:v>
      </x:c>
      <x:c r="C310" t="n">
        <x:v>45465</x:v>
      </x:c>
      <x:c r="D310" t="n">
        <x:v>33669</x:v>
      </x:c>
      <x:c r="E310" t="str">
        <x:v>战斗公式.xlsx/怪物标准模型 AS/AQ/AO；2026-08-27</x:v>
      </x:c>
    </x:row>
    <x:row r="311">
      <x:c r="A311" t="n">
        <x:v>310</x:v>
      </x:c>
      <x:c r="B311" t="n">
        <x:v>527268</x:v>
      </x:c>
      <x:c r="C311" t="n">
        <x:v>45782</x:v>
      </x:c>
      <x:c r="D311" t="n">
        <x:v>33814</x:v>
      </x:c>
      <x:c r="E311" t="str">
        <x:v>战斗公式.xlsx/怪物标准模型 AS/AQ/AO；2026-08-27</x:v>
      </x:c>
    </x:row>
    <x:row r="312">
      <x:c r="A312" t="n">
        <x:v>311</x:v>
      </x:c>
      <x:c r="B312" t="n">
        <x:v>532101</x:v>
      </x:c>
      <x:c r="C312" t="n">
        <x:v>46102</x:v>
      </x:c>
      <x:c r="D312" t="n">
        <x:v>33958</x:v>
      </x:c>
      <x:c r="E312" t="str">
        <x:v>战斗公式.xlsx/怪物标准模型 AS/AQ/AO；2026-08-27</x:v>
      </x:c>
    </x:row>
    <x:row r="313">
      <x:c r="A313" t="n">
        <x:v>312</x:v>
      </x:c>
      <x:c r="B313" t="n">
        <x:v>536968</x:v>
      </x:c>
      <x:c r="C313" t="n">
        <x:v>46423</x:v>
      </x:c>
      <x:c r="D313" t="n">
        <x:v>34103</x:v>
      </x:c>
      <x:c r="E313" t="str">
        <x:v>战斗公式.xlsx/怪物标准模型 AS/AQ/AO；2026-08-27</x:v>
      </x:c>
    </x:row>
    <x:row r="314">
      <x:c r="A314" t="n">
        <x:v>313</x:v>
      </x:c>
      <x:c r="B314" t="n">
        <x:v>541869</x:v>
      </x:c>
      <x:c r="C314" t="n">
        <x:v>46747</x:v>
      </x:c>
      <x:c r="D314" t="n">
        <x:v>34248</x:v>
      </x:c>
      <x:c r="E314" t="str">
        <x:v>战斗公式.xlsx/怪物标准模型 AS/AQ/AO；2026-08-27</x:v>
      </x:c>
    </x:row>
    <x:row r="315">
      <x:c r="A315" t="n">
        <x:v>314</x:v>
      </x:c>
      <x:c r="B315" t="n">
        <x:v>546805</x:v>
      </x:c>
      <x:c r="C315" t="n">
        <x:v>47071</x:v>
      </x:c>
      <x:c r="D315" t="n">
        <x:v>34393</x:v>
      </x:c>
      <x:c r="E315" t="str">
        <x:v>战斗公式.xlsx/怪物标准模型 AS/AQ/AO；2026-08-27</x:v>
      </x:c>
    </x:row>
    <x:row r="316">
      <x:c r="A316" t="n">
        <x:v>315</x:v>
      </x:c>
      <x:c r="B316" t="n">
        <x:v>551775</x:v>
      </x:c>
      <x:c r="C316" t="n">
        <x:v>47398</x:v>
      </x:c>
      <x:c r="D316" t="n">
        <x:v>34538</x:v>
      </x:c>
      <x:c r="E316" t="str">
        <x:v>战斗公式.xlsx/怪物标准模型 AS/AQ/AO；2026-08-27</x:v>
      </x:c>
    </x:row>
    <x:row r="317">
      <x:c r="A317" t="n">
        <x:v>316</x:v>
      </x:c>
      <x:c r="B317" t="n">
        <x:v>556780</x:v>
      </x:c>
      <x:c r="C317" t="n">
        <x:v>47726</x:v>
      </x:c>
      <x:c r="D317" t="n">
        <x:v>34684</x:v>
      </x:c>
      <x:c r="E317" t="str">
        <x:v>战斗公式.xlsx/怪物标准模型 AS/AQ/AO；2026-08-27</x:v>
      </x:c>
    </x:row>
    <x:row r="318">
      <x:c r="A318" t="n">
        <x:v>317</x:v>
      </x:c>
      <x:c r="B318" t="n">
        <x:v>561820</x:v>
      </x:c>
      <x:c r="C318" t="n">
        <x:v>48056</x:v>
      </x:c>
      <x:c r="D318" t="n">
        <x:v>34829</x:v>
      </x:c>
      <x:c r="E318" t="str">
        <x:v>战斗公式.xlsx/怪物标准模型 AS/AQ/AO；2026-08-27</x:v>
      </x:c>
    </x:row>
    <x:row r="319">
      <x:c r="A319" t="n">
        <x:v>318</x:v>
      </x:c>
      <x:c r="B319" t="n">
        <x:v>566895</x:v>
      </x:c>
      <x:c r="C319" t="n">
        <x:v>48388</x:v>
      </x:c>
      <x:c r="D319" t="n">
        <x:v>34975</x:v>
      </x:c>
      <x:c r="E319" t="str">
        <x:v>战斗公式.xlsx/怪物标准模型 AS/AQ/AO；2026-08-27</x:v>
      </x:c>
    </x:row>
    <x:row r="320">
      <x:c r="A320" t="n">
        <x:v>319</x:v>
      </x:c>
      <x:c r="B320" t="n">
        <x:v>572005</x:v>
      </x:c>
      <x:c r="C320" t="n">
        <x:v>48721</x:v>
      </x:c>
      <x:c r="D320" t="n">
        <x:v>35122</x:v>
      </x:c>
      <x:c r="E320" t="str">
        <x:v>战斗公式.xlsx/怪物标准模型 AS/AQ/AO；2026-08-27</x:v>
      </x:c>
    </x:row>
    <x:row r="321">
      <x:c r="A321" t="n">
        <x:v>320</x:v>
      </x:c>
      <x:c r="B321" t="n">
        <x:v>577151</x:v>
      </x:c>
      <x:c r="C321" t="n">
        <x:v>49057</x:v>
      </x:c>
      <x:c r="D321" t="n">
        <x:v>35268</x:v>
      </x:c>
      <x:c r="E321" t="str">
        <x:v>战斗公式.xlsx/怪物标准模型 AS/AQ/AO；2026-08-27</x:v>
      </x:c>
    </x:row>
    <x:row r="322">
      <x:c r="A322" t="n">
        <x:v>321</x:v>
      </x:c>
      <x:c r="B322" t="n">
        <x:v>582332</x:v>
      </x:c>
      <x:c r="C322" t="n">
        <x:v>49394</x:v>
      </x:c>
      <x:c r="D322" t="n">
        <x:v>35415</x:v>
      </x:c>
      <x:c r="E322" t="str">
        <x:v>战斗公式.xlsx/怪物标准模型 AS/AQ/AO；2026-08-27</x:v>
      </x:c>
    </x:row>
    <x:row r="323">
      <x:c r="A323" t="n">
        <x:v>322</x:v>
      </x:c>
      <x:c r="B323" t="n">
        <x:v>587549</x:v>
      </x:c>
      <x:c r="C323" t="n">
        <x:v>49732</x:v>
      </x:c>
      <x:c r="D323" t="n">
        <x:v>35562</x:v>
      </x:c>
      <x:c r="E323" t="str">
        <x:v>战斗公式.xlsx/怪物标准模型 AS/AQ/AO；2026-08-27</x:v>
      </x:c>
    </x:row>
    <x:row r="324">
      <x:c r="A324" t="n">
        <x:v>323</x:v>
      </x:c>
      <x:c r="B324" t="n">
        <x:v>592803</x:v>
      </x:c>
      <x:c r="C324" t="n">
        <x:v>50074</x:v>
      </x:c>
      <x:c r="D324" t="n">
        <x:v>35709</x:v>
      </x:c>
      <x:c r="E324" t="str">
        <x:v>战斗公式.xlsx/怪物标准模型 AS/AQ/AO；2026-08-27</x:v>
      </x:c>
    </x:row>
    <x:row r="325">
      <x:c r="A325" t="n">
        <x:v>324</x:v>
      </x:c>
      <x:c r="B325" t="n">
        <x:v>598092</x:v>
      </x:c>
      <x:c r="C325" t="n">
        <x:v>50416</x:v>
      </x:c>
      <x:c r="D325" t="n">
        <x:v>35856</x:v>
      </x:c>
      <x:c r="E325" t="str">
        <x:v>战斗公式.xlsx/怪物标准模型 AS/AQ/AO；2026-08-27</x:v>
      </x:c>
    </x:row>
    <x:row r="326">
      <x:c r="A326" t="n">
        <x:v>325</x:v>
      </x:c>
      <x:c r="B326" t="n">
        <x:v>603418</x:v>
      </x:c>
      <x:c r="C326" t="n">
        <x:v>50761</x:v>
      </x:c>
      <x:c r="D326" t="n">
        <x:v>36004</x:v>
      </x:c>
      <x:c r="E326" t="str">
        <x:v>战斗公式.xlsx/怪物标准模型 AS/AQ/AO；2026-08-27</x:v>
      </x:c>
    </x:row>
    <x:row r="327">
      <x:c r="A327" t="n">
        <x:v>326</x:v>
      </x:c>
      <x:c r="B327" t="n">
        <x:v>608781</x:v>
      </x:c>
      <x:c r="C327" t="n">
        <x:v>51107</x:v>
      </x:c>
      <x:c r="D327" t="n">
        <x:v>36152</x:v>
      </x:c>
      <x:c r="E327" t="str">
        <x:v>战斗公式.xlsx/怪物标准模型 AS/AQ/AO；2026-08-27</x:v>
      </x:c>
    </x:row>
    <x:row r="328">
      <x:c r="A328" t="n">
        <x:v>327</x:v>
      </x:c>
      <x:c r="B328" t="n">
        <x:v>614180</x:v>
      </x:c>
      <x:c r="C328" t="n">
        <x:v>51455</x:v>
      </x:c>
      <x:c r="D328" t="n">
        <x:v>36300</x:v>
      </x:c>
      <x:c r="E328" t="str">
        <x:v>战斗公式.xlsx/怪物标准模型 AS/AQ/AO；2026-08-27</x:v>
      </x:c>
    </x:row>
    <x:row r="329">
      <x:c r="A329" t="n">
        <x:v>328</x:v>
      </x:c>
      <x:c r="B329" t="n">
        <x:v>619617</x:v>
      </x:c>
      <x:c r="C329" t="n">
        <x:v>51805</x:v>
      </x:c>
      <x:c r="D329" t="n">
        <x:v>36448</x:v>
      </x:c>
      <x:c r="E329" t="str">
        <x:v>战斗公式.xlsx/怪物标准模型 AS/AQ/AO；2026-08-27</x:v>
      </x:c>
    </x:row>
    <x:row r="330">
      <x:c r="A330" t="n">
        <x:v>329</x:v>
      </x:c>
      <x:c r="B330" t="n">
        <x:v>625091</x:v>
      </x:c>
      <x:c r="C330" t="n">
        <x:v>52157</x:v>
      </x:c>
      <x:c r="D330" t="n">
        <x:v>36597</x:v>
      </x:c>
      <x:c r="E330" t="str">
        <x:v>战斗公式.xlsx/怪物标准模型 AS/AQ/AO；2026-08-27</x:v>
      </x:c>
    </x:row>
    <x:row r="331">
      <x:c r="A331" t="n">
        <x:v>330</x:v>
      </x:c>
      <x:c r="B331" t="n">
        <x:v>630602</x:v>
      </x:c>
      <x:c r="C331" t="n">
        <x:v>52511</x:v>
      </x:c>
      <x:c r="D331" t="n">
        <x:v>36746</x:v>
      </x:c>
      <x:c r="E331" t="str">
        <x:v>战斗公式.xlsx/怪物标准模型 AS/AQ/AO；2026-08-27</x:v>
      </x:c>
    </x:row>
    <x:row r="332">
      <x:c r="A332" t="n">
        <x:v>331</x:v>
      </x:c>
      <x:c r="B332" t="n">
        <x:v>636150</x:v>
      </x:c>
      <x:c r="C332" t="n">
        <x:v>52867</x:v>
      </x:c>
      <x:c r="D332" t="n">
        <x:v>36895</x:v>
      </x:c>
      <x:c r="E332" t="str">
        <x:v>战斗公式.xlsx/怪物标准模型 AS/AQ/AO；2026-08-27</x:v>
      </x:c>
    </x:row>
    <x:row r="333">
      <x:c r="A333" t="n">
        <x:v>332</x:v>
      </x:c>
      <x:c r="B333" t="n">
        <x:v>641737</x:v>
      </x:c>
      <x:c r="C333" t="n">
        <x:v>53224</x:v>
      </x:c>
      <x:c r="D333" t="n">
        <x:v>37044</x:v>
      </x:c>
      <x:c r="E333" t="str">
        <x:v>战斗公式.xlsx/怪物标准模型 AS/AQ/AO；2026-08-27</x:v>
      </x:c>
    </x:row>
    <x:row r="334">
      <x:c r="A334" t="n">
        <x:v>333</x:v>
      </x:c>
      <x:c r="B334" t="n">
        <x:v>647361</x:v>
      </x:c>
      <x:c r="C334" t="n">
        <x:v>53584</x:v>
      </x:c>
      <x:c r="D334" t="n">
        <x:v>37193</x:v>
      </x:c>
      <x:c r="E334" t="str">
        <x:v>战斗公式.xlsx/怪物标准模型 AS/AQ/AO；2026-08-27</x:v>
      </x:c>
    </x:row>
    <x:row r="335">
      <x:c r="A335" t="n">
        <x:v>334</x:v>
      </x:c>
      <x:c r="B335" t="n">
        <x:v>653024</x:v>
      </x:c>
      <x:c r="C335" t="n">
        <x:v>53945</x:v>
      </x:c>
      <x:c r="D335" t="n">
        <x:v>37343</x:v>
      </x:c>
      <x:c r="E335" t="str">
        <x:v>战斗公式.xlsx/怪物标准模型 AS/AQ/AO；2026-08-27</x:v>
      </x:c>
    </x:row>
    <x:row r="336">
      <x:c r="A336" t="n">
        <x:v>335</x:v>
      </x:c>
      <x:c r="B336" t="n">
        <x:v>658725</x:v>
      </x:c>
      <x:c r="C336" t="n">
        <x:v>54308</x:v>
      </x:c>
      <x:c r="D336" t="n">
        <x:v>37493</x:v>
      </x:c>
      <x:c r="E336" t="str">
        <x:v>战斗公式.xlsx/怪物标准模型 AS/AQ/AO；2026-08-27</x:v>
      </x:c>
    </x:row>
    <x:row r="337">
      <x:c r="A337" t="n">
        <x:v>336</x:v>
      </x:c>
      <x:c r="B337" t="n">
        <x:v>664464</x:v>
      </x:c>
      <x:c r="C337" t="n">
        <x:v>54673</x:v>
      </x:c>
      <x:c r="D337" t="n">
        <x:v>37643</x:v>
      </x:c>
      <x:c r="E337" t="str">
        <x:v>战斗公式.xlsx/怪物标准模型 AS/AQ/AO；2026-08-27</x:v>
      </x:c>
    </x:row>
    <x:row r="338">
      <x:c r="A338" t="n">
        <x:v>337</x:v>
      </x:c>
      <x:c r="B338" t="n">
        <x:v>670242</x:v>
      </x:c>
      <x:c r="C338" t="n">
        <x:v>55040</x:v>
      </x:c>
      <x:c r="D338" t="n">
        <x:v>37793</x:v>
      </x:c>
      <x:c r="E338" t="str">
        <x:v>战斗公式.xlsx/怪物标准模型 AS/AQ/AO；2026-08-27</x:v>
      </x:c>
    </x:row>
    <x:row r="339">
      <x:c r="A339" t="n">
        <x:v>338</x:v>
      </x:c>
      <x:c r="B339" t="n">
        <x:v>676060</x:v>
      </x:c>
      <x:c r="C339" t="n">
        <x:v>55409</x:v>
      </x:c>
      <x:c r="D339" t="n">
        <x:v>37944</x:v>
      </x:c>
      <x:c r="E339" t="str">
        <x:v>战斗公式.xlsx/怪物标准模型 AS/AQ/AO；2026-08-27</x:v>
      </x:c>
    </x:row>
    <x:row r="340">
      <x:c r="A340" t="n">
        <x:v>339</x:v>
      </x:c>
      <x:c r="B340" t="n">
        <x:v>681916</x:v>
      </x:c>
      <x:c r="C340" t="n">
        <x:v>55780</x:v>
      </x:c>
      <x:c r="D340" t="n">
        <x:v>38095</x:v>
      </x:c>
      <x:c r="E340" t="str">
        <x:v>战斗公式.xlsx/怪物标准模型 AS/AQ/AO；2026-08-27</x:v>
      </x:c>
    </x:row>
    <x:row r="341">
      <x:c r="A341" t="n">
        <x:v>340</x:v>
      </x:c>
      <x:c r="B341" t="n">
        <x:v>687812</x:v>
      </x:c>
      <x:c r="C341" t="n">
        <x:v>56154</x:v>
      </x:c>
      <x:c r="D341" t="n">
        <x:v>38246</x:v>
      </x:c>
      <x:c r="E341" t="str">
        <x:v>战斗公式.xlsx/怪物标准模型 AS/AQ/AO；2026-08-27</x:v>
      </x:c>
    </x:row>
    <x:row r="342">
      <x:c r="A342" t="n">
        <x:v>341</x:v>
      </x:c>
      <x:c r="B342" t="n">
        <x:v>693747</x:v>
      </x:c>
      <x:c r="C342" t="n">
        <x:v>56528</x:v>
      </x:c>
      <x:c r="D342" t="n">
        <x:v>38397</x:v>
      </x:c>
      <x:c r="E342" t="str">
        <x:v>战斗公式.xlsx/怪物标准模型 AS/AQ/AO；2026-08-27</x:v>
      </x:c>
    </x:row>
    <x:row r="343">
      <x:c r="A343" t="n">
        <x:v>342</x:v>
      </x:c>
      <x:c r="B343" t="n">
        <x:v>699722</x:v>
      </x:c>
      <x:c r="C343" t="n">
        <x:v>56905</x:v>
      </x:c>
      <x:c r="D343" t="n">
        <x:v>38548</x:v>
      </x:c>
      <x:c r="E343" t="str">
        <x:v>战斗公式.xlsx/怪物标准模型 AS/AQ/AO；2026-08-27</x:v>
      </x:c>
    </x:row>
    <x:row r="344">
      <x:c r="A344" t="n">
        <x:v>343</x:v>
      </x:c>
      <x:c r="B344" t="n">
        <x:v>705737</x:v>
      </x:c>
      <x:c r="C344" t="n">
        <x:v>57284</x:v>
      </x:c>
      <x:c r="D344" t="n">
        <x:v>38700</x:v>
      </x:c>
      <x:c r="E344" t="str">
        <x:v>战斗公式.xlsx/怪物标准模型 AS/AQ/AO；2026-08-27</x:v>
      </x:c>
    </x:row>
    <x:row r="345">
      <x:c r="A345" t="n">
        <x:v>344</x:v>
      </x:c>
      <x:c r="B345" t="n">
        <x:v>711793</x:v>
      </x:c>
      <x:c r="C345" t="n">
        <x:v>57665</x:v>
      </x:c>
      <x:c r="D345" t="n">
        <x:v>38852</x:v>
      </x:c>
      <x:c r="E345" t="str">
        <x:v>战斗公式.xlsx/怪物标准模型 AS/AQ/AO；2026-08-27</x:v>
      </x:c>
    </x:row>
    <x:row r="346">
      <x:c r="A346" t="n">
        <x:v>345</x:v>
      </x:c>
      <x:c r="B346" t="n">
        <x:v>717888</x:v>
      </x:c>
      <x:c r="C346" t="n">
        <x:v>58048</x:v>
      </x:c>
      <x:c r="D346" t="n">
        <x:v>39004</x:v>
      </x:c>
      <x:c r="E346" t="str">
        <x:v>战斗公式.xlsx/怪物标准模型 AS/AQ/AO；2026-08-27</x:v>
      </x:c>
    </x:row>
    <x:row r="347">
      <x:c r="A347" t="n">
        <x:v>346</x:v>
      </x:c>
      <x:c r="B347" t="n">
        <x:v>724025</x:v>
      </x:c>
      <x:c r="C347" t="n">
        <x:v>58434</x:v>
      </x:c>
      <x:c r="D347" t="n">
        <x:v>39157</x:v>
      </x:c>
      <x:c r="E347" t="str">
        <x:v>战斗公式.xlsx/怪物标准模型 AS/AQ/AO；2026-08-27</x:v>
      </x:c>
    </x:row>
    <x:row r="348">
      <x:c r="A348" t="n">
        <x:v>347</x:v>
      </x:c>
      <x:c r="B348" t="n">
        <x:v>730202</x:v>
      </x:c>
      <x:c r="C348" t="n">
        <x:v>58820</x:v>
      </x:c>
      <x:c r="D348" t="n">
        <x:v>39309</x:v>
      </x:c>
      <x:c r="E348" t="str">
        <x:v>战斗公式.xlsx/怪物标准模型 AS/AQ/AO；2026-08-27</x:v>
      </x:c>
    </x:row>
    <x:row r="349">
      <x:c r="A349" t="n">
        <x:v>348</x:v>
      </x:c>
      <x:c r="B349" t="n">
        <x:v>736420</x:v>
      </x:c>
      <x:c r="C349" t="n">
        <x:v>59210</x:v>
      </x:c>
      <x:c r="D349" t="n">
        <x:v>39462</x:v>
      </x:c>
      <x:c r="E349" t="str">
        <x:v>战斗公式.xlsx/怪物标准模型 AS/AQ/AO；2026-08-27</x:v>
      </x:c>
    </x:row>
    <x:row r="350">
      <x:c r="A350" t="n">
        <x:v>349</x:v>
      </x:c>
      <x:c r="B350" t="n">
        <x:v>742679</x:v>
      </x:c>
      <x:c r="C350" t="n">
        <x:v>59600</x:v>
      </x:c>
      <x:c r="D350" t="n">
        <x:v>39615</x:v>
      </x:c>
      <x:c r="E350" t="str">
        <x:v>战斗公式.xlsx/怪物标准模型 AS/AQ/AO；2026-08-27</x:v>
      </x:c>
    </x:row>
    <x:row r="351">
      <x:c r="A351" t="n">
        <x:v>350</x:v>
      </x:c>
      <x:c r="B351" t="n">
        <x:v>748980</x:v>
      </x:c>
      <x:c r="C351" t="n">
        <x:v>59994</x:v>
      </x:c>
      <x:c r="D351" t="n">
        <x:v>39769</x:v>
      </x:c>
      <x:c r="E351" t="str">
        <x:v>战斗公式.xlsx/怪物标准模型 AS/AQ/AO；2026-08-27</x:v>
      </x:c>
    </x:row>
    <x:row r="352">
      <x:c r="A352" t="n">
        <x:v>351</x:v>
      </x:c>
      <x:c r="B352" t="n">
        <x:v>755322</x:v>
      </x:c>
      <x:c r="C352" t="n">
        <x:v>60389</x:v>
      </x:c>
      <x:c r="D352" t="n">
        <x:v>39922</x:v>
      </x:c>
      <x:c r="E352" t="str">
        <x:v>战斗公式.xlsx/怪物标准模型 AS/AQ/AO；2026-08-27</x:v>
      </x:c>
    </x:row>
    <x:row r="353">
      <x:c r="A353" t="n">
        <x:v>352</x:v>
      </x:c>
      <x:c r="B353" t="n">
        <x:v>761707</x:v>
      </x:c>
      <x:c r="C353" t="n">
        <x:v>60787</x:v>
      </x:c>
      <x:c r="D353" t="n">
        <x:v>40076</x:v>
      </x:c>
      <x:c r="E353" t="str">
        <x:v>战斗公式.xlsx/怪物标准模型 AS/AQ/AO；2026-08-27</x:v>
      </x:c>
    </x:row>
    <x:row r="354">
      <x:c r="A354" t="n">
        <x:v>353</x:v>
      </x:c>
      <x:c r="B354" t="n">
        <x:v>768133</x:v>
      </x:c>
      <x:c r="C354" t="n">
        <x:v>61186</x:v>
      </x:c>
      <x:c r="D354" t="n">
        <x:v>40230</x:v>
      </x:c>
      <x:c r="E354" t="str">
        <x:v>战斗公式.xlsx/怪物标准模型 AS/AQ/AO；2026-08-27</x:v>
      </x:c>
    </x:row>
    <x:row r="355">
      <x:c r="A355" t="n">
        <x:v>354</x:v>
      </x:c>
      <x:c r="B355" t="n">
        <x:v>774602</x:v>
      </x:c>
      <x:c r="C355" t="n">
        <x:v>61588</x:v>
      </x:c>
      <x:c r="D355" t="n">
        <x:v>40384</x:v>
      </x:c>
      <x:c r="E355" t="str">
        <x:v>战斗公式.xlsx/怪物标准模型 AS/AQ/AO；2026-08-27</x:v>
      </x:c>
    </x:row>
    <x:row r="356">
      <x:c r="A356" t="n">
        <x:v>355</x:v>
      </x:c>
      <x:c r="B356" t="n">
        <x:v>781113</x:v>
      </x:c>
      <x:c r="C356" t="n">
        <x:v>61991</x:v>
      </x:c>
      <x:c r="D356" t="n">
        <x:v>40539</x:v>
      </x:c>
      <x:c r="E356" t="str">
        <x:v>战斗公式.xlsx/怪物标准模型 AS/AQ/AO；2026-08-27</x:v>
      </x:c>
    </x:row>
    <x:row r="357">
      <x:c r="A357" t="n">
        <x:v>356</x:v>
      </x:c>
      <x:c r="B357" t="n">
        <x:v>787667</x:v>
      </x:c>
      <x:c r="C357" t="n">
        <x:v>62397</x:v>
      </x:c>
      <x:c r="D357" t="n">
        <x:v>40693</x:v>
      </x:c>
      <x:c r="E357" t="str">
        <x:v>战斗公式.xlsx/怪物标准模型 AS/AQ/AO；2026-08-27</x:v>
      </x:c>
    </x:row>
    <x:row r="358">
      <x:c r="A358" t="n">
        <x:v>357</x:v>
      </x:c>
      <x:c r="B358" t="n">
        <x:v>794264</x:v>
      </x:c>
      <x:c r="C358" t="n">
        <x:v>62806</x:v>
      </x:c>
      <x:c r="D358" t="n">
        <x:v>40848</x:v>
      </x:c>
      <x:c r="E358" t="str">
        <x:v>战斗公式.xlsx/怪物标准模型 AS/AQ/AO；2026-08-27</x:v>
      </x:c>
    </x:row>
    <x:row r="359">
      <x:c r="A359" t="n">
        <x:v>358</x:v>
      </x:c>
      <x:c r="B359" t="n">
        <x:v>800903</x:v>
      </x:c>
      <x:c r="C359" t="n">
        <x:v>63215</x:v>
      </x:c>
      <x:c r="D359" t="n">
        <x:v>41003</x:v>
      </x:c>
      <x:c r="E359" t="str">
        <x:v>战斗公式.xlsx/怪物标准模型 AS/AQ/AO；2026-08-27</x:v>
      </x:c>
    </x:row>
    <x:row r="360">
      <x:c r="A360" t="n">
        <x:v>359</x:v>
      </x:c>
      <x:c r="B360" t="n">
        <x:v>807587</x:v>
      </x:c>
      <x:c r="C360" t="n">
        <x:v>63627</x:v>
      </x:c>
      <x:c r="D360" t="n">
        <x:v>41159</x:v>
      </x:c>
      <x:c r="E360" t="str">
        <x:v>战斗公式.xlsx/怪物标准模型 AS/AQ/AO；2026-08-27</x:v>
      </x:c>
    </x:row>
    <x:row r="361">
      <x:c r="A361" t="n">
        <x:v>360</x:v>
      </x:c>
      <x:c r="B361" t="n">
        <x:v>814314</x:v>
      </x:c>
      <x:c r="C361" t="n">
        <x:v>64042</x:v>
      </x:c>
      <x:c r="D361" t="n">
        <x:v>41314</x:v>
      </x:c>
      <x:c r="E361" t="str">
        <x:v>战斗公式.xlsx/怪物标准模型 AS/AQ/AO；2026-08-27</x:v>
      </x:c>
    </x:row>
    <x:row r="362">
      <x:c r="A362" t="n">
        <x:v>361</x:v>
      </x:c>
      <x:c r="B362" t="n">
        <x:v>821084</x:v>
      </x:c>
      <x:c r="C362" t="n">
        <x:v>64458</x:v>
      </x:c>
      <x:c r="D362" t="n">
        <x:v>41470</x:v>
      </x:c>
      <x:c r="E362" t="str">
        <x:v>战斗公式.xlsx/怪物标准模型 AS/AQ/AO；2026-08-27</x:v>
      </x:c>
    </x:row>
    <x:row r="363">
      <x:c r="A363" t="n">
        <x:v>362</x:v>
      </x:c>
      <x:c r="B363" t="n">
        <x:v>827899</x:v>
      </x:c>
      <x:c r="C363" t="n">
        <x:v>64878</x:v>
      </x:c>
      <x:c r="D363" t="n">
        <x:v>41626</x:v>
      </x:c>
      <x:c r="E363" t="str">
        <x:v>战斗公式.xlsx/怪物标准模型 AS/AQ/AO；2026-08-27</x:v>
      </x:c>
    </x:row>
    <x:row r="364">
      <x:c r="A364" t="n">
        <x:v>363</x:v>
      </x:c>
      <x:c r="B364" t="n">
        <x:v>834758</x:v>
      </x:c>
      <x:c r="C364" t="n">
        <x:v>65298</x:v>
      </x:c>
      <x:c r="D364" t="n">
        <x:v>41782</x:v>
      </x:c>
      <x:c r="E364" t="str">
        <x:v>战斗公式.xlsx/怪物标准模型 AS/AQ/AO；2026-08-27</x:v>
      </x:c>
    </x:row>
    <x:row r="365">
      <x:c r="A365" t="n">
        <x:v>364</x:v>
      </x:c>
      <x:c r="B365" t="n">
        <x:v>841661</x:v>
      </x:c>
      <x:c r="C365" t="n">
        <x:v>65722</x:v>
      </x:c>
      <x:c r="D365" t="n">
        <x:v>41939</x:v>
      </x:c>
      <x:c r="E365" t="str">
        <x:v>战斗公式.xlsx/怪物标准模型 AS/AQ/AO；2026-08-27</x:v>
      </x:c>
    </x:row>
    <x:row r="366">
      <x:c r="A366" t="n">
        <x:v>365</x:v>
      </x:c>
      <x:c r="B366" t="n">
        <x:v>848610</x:v>
      </x:c>
      <x:c r="C366" t="n">
        <x:v>66147</x:v>
      </x:c>
      <x:c r="D366" t="n">
        <x:v>42096</x:v>
      </x:c>
      <x:c r="E366" t="str">
        <x:v>战斗公式.xlsx/怪物标准模型 AS/AQ/AO；2026-08-27</x:v>
      </x:c>
    </x:row>
    <x:row r="367">
      <x:c r="A367" t="n">
        <x:v>366</x:v>
      </x:c>
      <x:c r="B367" t="n">
        <x:v>855603</x:v>
      </x:c>
      <x:c r="C367" t="n">
        <x:v>66574</x:v>
      </x:c>
      <x:c r="D367" t="n">
        <x:v>42252</x:v>
      </x:c>
      <x:c r="E367" t="str">
        <x:v>战斗公式.xlsx/怪物标准模型 AS/AQ/AO；2026-08-27</x:v>
      </x:c>
    </x:row>
    <x:row r="368">
      <x:c r="A368" t="n">
        <x:v>367</x:v>
      </x:c>
      <x:c r="B368" t="n">
        <x:v>862641</x:v>
      </x:c>
      <x:c r="C368" t="n">
        <x:v>67004</x:v>
      </x:c>
      <x:c r="D368" t="n">
        <x:v>42410</x:v>
      </x:c>
      <x:c r="E368" t="str">
        <x:v>战斗公式.xlsx/怪物标准模型 AS/AQ/AO；2026-08-27</x:v>
      </x:c>
    </x:row>
    <x:row r="369">
      <x:c r="A369" t="n">
        <x:v>368</x:v>
      </x:c>
      <x:c r="B369" t="n">
        <x:v>869724</x:v>
      </x:c>
      <x:c r="C369" t="n">
        <x:v>67436</x:v>
      </x:c>
      <x:c r="D369" t="n">
        <x:v>42567</x:v>
      </x:c>
      <x:c r="E369" t="str">
        <x:v>战斗公式.xlsx/怪物标准模型 AS/AQ/AO；2026-08-27</x:v>
      </x:c>
    </x:row>
    <x:row r="370">
      <x:c r="A370" t="n">
        <x:v>369</x:v>
      </x:c>
      <x:c r="B370" t="n">
        <x:v>876853</x:v>
      </x:c>
      <x:c r="C370" t="n">
        <x:v>67871</x:v>
      </x:c>
      <x:c r="D370" t="n">
        <x:v>42725</x:v>
      </x:c>
      <x:c r="E370" t="str">
        <x:v>战斗公式.xlsx/怪物标准模型 AS/AQ/AO；2026-08-27</x:v>
      </x:c>
    </x:row>
    <x:row r="371">
      <x:c r="A371" t="n">
        <x:v>370</x:v>
      </x:c>
      <x:c r="B371" t="n">
        <x:v>884028</x:v>
      </x:c>
      <x:c r="C371" t="n">
        <x:v>68307</x:v>
      </x:c>
      <x:c r="D371" t="n">
        <x:v>42883</x:v>
      </x:c>
      <x:c r="E371" t="str">
        <x:v>战斗公式.xlsx/怪物标准模型 AS/AQ/AO；2026-08-27</x:v>
      </x:c>
    </x:row>
    <x:row r="372">
      <x:c r="A372" t="n">
        <x:v>371</x:v>
      </x:c>
      <x:c r="B372" t="n">
        <x:v>891249</x:v>
      </x:c>
      <x:c r="C372" t="n">
        <x:v>68746</x:v>
      </x:c>
      <x:c r="D372" t="n">
        <x:v>43041</x:v>
      </x:c>
      <x:c r="E372" t="str">
        <x:v>战斗公式.xlsx/怪物标准模型 AS/AQ/AO；2026-08-27</x:v>
      </x:c>
    </x:row>
    <x:row r="373">
      <x:c r="A373" t="n">
        <x:v>372</x:v>
      </x:c>
      <x:c r="B373" t="n">
        <x:v>898517</x:v>
      </x:c>
      <x:c r="C373" t="n">
        <x:v>69187</x:v>
      </x:c>
      <x:c r="D373" t="n">
        <x:v>43199</x:v>
      </x:c>
      <x:c r="E373" t="str">
        <x:v>战斗公式.xlsx/怪物标准模型 AS/AQ/AO；2026-08-27</x:v>
      </x:c>
    </x:row>
    <x:row r="374">
      <x:c r="A374" t="n">
        <x:v>373</x:v>
      </x:c>
      <x:c r="B374" t="n">
        <x:v>905831</x:v>
      </x:c>
      <x:c r="C374" t="n">
        <x:v>69630</x:v>
      </x:c>
      <x:c r="D374" t="n">
        <x:v>43357</x:v>
      </x:c>
      <x:c r="E374" t="str">
        <x:v>战斗公式.xlsx/怪物标准模型 AS/AQ/AO；2026-08-27</x:v>
      </x:c>
    </x:row>
    <x:row r="375">
      <x:c r="A375" t="n">
        <x:v>374</x:v>
      </x:c>
      <x:c r="B375" t="n">
        <x:v>913191</x:v>
      </x:c>
      <x:c r="C375" t="n">
        <x:v>70076</x:v>
      </x:c>
      <x:c r="D375" t="n">
        <x:v>43516</x:v>
      </x:c>
      <x:c r="E375" t="str">
        <x:v>战斗公式.xlsx/怪物标准模型 AS/AQ/AO；2026-08-27</x:v>
      </x:c>
    </x:row>
    <x:row r="376">
      <x:c r="A376" t="n">
        <x:v>375</x:v>
      </x:c>
      <x:c r="B376" t="n">
        <x:v>920599</x:v>
      </x:c>
      <x:c r="C376" t="n">
        <x:v>70525</x:v>
      </x:c>
      <x:c r="D376" t="n">
        <x:v>43675</x:v>
      </x:c>
      <x:c r="E376" t="str">
        <x:v>战斗公式.xlsx/怪物标准模型 AS/AQ/AO；2026-08-27</x:v>
      </x:c>
    </x:row>
    <x:row r="377">
      <x:c r="A377" t="n">
        <x:v>376</x:v>
      </x:c>
      <x:c r="B377" t="n">
        <x:v>928053</x:v>
      </x:c>
      <x:c r="C377" t="n">
        <x:v>70975</x:v>
      </x:c>
      <x:c r="D377" t="n">
        <x:v>43834</x:v>
      </x:c>
      <x:c r="E377" t="str">
        <x:v>战斗公式.xlsx/怪物标准模型 AS/AQ/AO；2026-08-27</x:v>
      </x:c>
    </x:row>
    <x:row r="378">
      <x:c r="A378" t="n">
        <x:v>377</x:v>
      </x:c>
      <x:c r="B378" t="n">
        <x:v>935556</x:v>
      </x:c>
      <x:c r="C378" t="n">
        <x:v>71428</x:v>
      </x:c>
      <x:c r="D378" t="n">
        <x:v>43994</x:v>
      </x:c>
      <x:c r="E378" t="str">
        <x:v>战斗公式.xlsx/怪物标准模型 AS/AQ/AO；2026-08-27</x:v>
      </x:c>
    </x:row>
    <x:row r="379">
      <x:c r="A379" t="n">
        <x:v>378</x:v>
      </x:c>
      <x:c r="B379" t="n">
        <x:v>943105</x:v>
      </x:c>
      <x:c r="C379" t="n">
        <x:v>71883</x:v>
      </x:c>
      <x:c r="D379" t="n">
        <x:v>44154</x:v>
      </x:c>
      <x:c r="E379" t="str">
        <x:v>战斗公式.xlsx/怪物标准模型 AS/AQ/AO；2026-08-27</x:v>
      </x:c>
    </x:row>
    <x:row r="380">
      <x:c r="A380" t="n">
        <x:v>379</x:v>
      </x:c>
      <x:c r="B380" t="n">
        <x:v>950703</x:v>
      </x:c>
      <x:c r="C380" t="n">
        <x:v>72340</x:v>
      </x:c>
      <x:c r="D380" t="n">
        <x:v>44313</x:v>
      </x:c>
      <x:c r="E380" t="str">
        <x:v>战斗公式.xlsx/怪物标准模型 AS/AQ/AO；2026-08-27</x:v>
      </x:c>
    </x:row>
    <x:row r="381">
      <x:c r="A381" t="n">
        <x:v>380</x:v>
      </x:c>
      <x:c r="B381" t="n">
        <x:v>958349</x:v>
      </x:c>
      <x:c r="C381" t="n">
        <x:v>72800</x:v>
      </x:c>
      <x:c r="D381" t="n">
        <x:v>44474</x:v>
      </x:c>
      <x:c r="E381" t="str">
        <x:v>战斗公式.xlsx/怪物标准模型 AS/AQ/AO；2026-08-27</x:v>
      </x:c>
    </x:row>
    <x:row r="382">
      <x:c r="A382" t="n">
        <x:v>381</x:v>
      </x:c>
      <x:c r="B382" t="n">
        <x:v>966044</x:v>
      </x:c>
      <x:c r="C382" t="n">
        <x:v>73263</x:v>
      </x:c>
      <x:c r="D382" t="n">
        <x:v>44634</x:v>
      </x:c>
      <x:c r="E382" t="str">
        <x:v>战斗公式.xlsx/怪物标准模型 AS/AQ/AO；2026-08-27</x:v>
      </x:c>
    </x:row>
    <x:row r="383">
      <x:c r="A383" t="n">
        <x:v>382</x:v>
      </x:c>
      <x:c r="B383" t="n">
        <x:v>973786</x:v>
      </x:c>
      <x:c r="C383" t="n">
        <x:v>73727</x:v>
      </x:c>
      <x:c r="D383" t="n">
        <x:v>44795</x:v>
      </x:c>
      <x:c r="E383" t="str">
        <x:v>战斗公式.xlsx/怪物标准模型 AS/AQ/AO；2026-08-27</x:v>
      </x:c>
    </x:row>
    <x:row r="384">
      <x:c r="A384" t="n">
        <x:v>383</x:v>
      </x:c>
      <x:c r="B384" t="n">
        <x:v>981578</x:v>
      </x:c>
      <x:c r="C384" t="n">
        <x:v>74195</x:v>
      </x:c>
      <x:c r="D384" t="n">
        <x:v>44955</x:v>
      </x:c>
      <x:c r="E384" t="str">
        <x:v>战斗公式.xlsx/怪物标准模型 AS/AQ/AO；2026-08-27</x:v>
      </x:c>
    </x:row>
    <x:row r="385">
      <x:c r="A385" t="n">
        <x:v>384</x:v>
      </x:c>
      <x:c r="B385" t="n">
        <x:v>989419</x:v>
      </x:c>
      <x:c r="C385" t="n">
        <x:v>74664</x:v>
      </x:c>
      <x:c r="D385" t="n">
        <x:v>45116</x:v>
      </x:c>
      <x:c r="E385" t="str">
        <x:v>战斗公式.xlsx/怪物标准模型 AS/AQ/AO；2026-08-27</x:v>
      </x:c>
    </x:row>
    <x:row r="386">
      <x:c r="A386" t="n">
        <x:v>385</x:v>
      </x:c>
      <x:c r="B386" t="n">
        <x:v>997310</x:v>
      </x:c>
      <x:c r="C386" t="n">
        <x:v>75135</x:v>
      </x:c>
      <x:c r="D386" t="n">
        <x:v>45278</x:v>
      </x:c>
      <x:c r="E386" t="str">
        <x:v>战斗公式.xlsx/怪物标准模型 AS/AQ/AO；2026-08-27</x:v>
      </x:c>
    </x:row>
    <x:row r="387">
      <x:c r="A387" t="n">
        <x:v>386</x:v>
      </x:c>
      <x:c r="B387" t="n">
        <x:v>1005249</x:v>
      </x:c>
      <x:c r="C387" t="n">
        <x:v>75610</x:v>
      </x:c>
      <x:c r="D387" t="n">
        <x:v>45439</x:v>
      </x:c>
      <x:c r="E387" t="str">
        <x:v>战斗公式.xlsx/怪物标准模型 AS/AQ/AO；2026-08-27</x:v>
      </x:c>
    </x:row>
    <x:row r="388">
      <x:c r="A388" t="n">
        <x:v>387</x:v>
      </x:c>
      <x:c r="B388" t="n">
        <x:v>1013239</x:v>
      </x:c>
      <x:c r="C388" t="n">
        <x:v>76086</x:v>
      </x:c>
      <x:c r="D388" t="n">
        <x:v>45601</x:v>
      </x:c>
      <x:c r="E388" t="str">
        <x:v>战斗公式.xlsx/怪物标准模型 AS/AQ/AO；2026-08-27</x:v>
      </x:c>
    </x:row>
    <x:row r="389">
      <x:c r="A389" t="n">
        <x:v>388</x:v>
      </x:c>
      <x:c r="B389" t="n">
        <x:v>1021279</x:v>
      </x:c>
      <x:c r="C389" t="n">
        <x:v>76566</x:v>
      </x:c>
      <x:c r="D389" t="n">
        <x:v>45763</x:v>
      </x:c>
      <x:c r="E389" t="str">
        <x:v>战斗公式.xlsx/怪物标准模型 AS/AQ/AO；2026-08-27</x:v>
      </x:c>
    </x:row>
    <x:row r="390">
      <x:c r="A390" t="n">
        <x:v>389</x:v>
      </x:c>
      <x:c r="B390" t="n">
        <x:v>1029369</x:v>
      </x:c>
      <x:c r="C390" t="n">
        <x:v>77048</x:v>
      </x:c>
      <x:c r="D390" t="n">
        <x:v>45925</x:v>
      </x:c>
      <x:c r="E390" t="str">
        <x:v>战斗公式.xlsx/怪物标准模型 AS/AQ/AO；2026-08-27</x:v>
      </x:c>
    </x:row>
    <x:row r="391">
      <x:c r="A391" t="n">
        <x:v>390</x:v>
      </x:c>
      <x:c r="B391" t="n">
        <x:v>1037510</x:v>
      </x:c>
      <x:c r="C391" t="n">
        <x:v>77532</x:v>
      </x:c>
      <x:c r="D391" t="n">
        <x:v>46087</x:v>
      </x:c>
      <x:c r="E391" t="str">
        <x:v>战斗公式.xlsx/怪物标准模型 AS/AQ/AO；2026-08-27</x:v>
      </x:c>
    </x:row>
    <x:row r="392">
      <x:c r="A392" t="n">
        <x:v>391</x:v>
      </x:c>
      <x:c r="B392" t="n">
        <x:v>1045701</x:v>
      </x:c>
      <x:c r="C392" t="n">
        <x:v>78018</x:v>
      </x:c>
      <x:c r="D392" t="n">
        <x:v>46250</x:v>
      </x:c>
      <x:c r="E392" t="str">
        <x:v>战斗公式.xlsx/怪物标准模型 AS/AQ/AO；2026-08-27</x:v>
      </x:c>
    </x:row>
    <x:row r="393">
      <x:c r="A393" t="n">
        <x:v>392</x:v>
      </x:c>
      <x:c r="B393" t="n">
        <x:v>1053944</x:v>
      </x:c>
      <x:c r="C393" t="n">
        <x:v>78508</x:v>
      </x:c>
      <x:c r="D393" t="n">
        <x:v>46413</x:v>
      </x:c>
      <x:c r="E393" t="str">
        <x:v>战斗公式.xlsx/怪物标准模型 AS/AQ/AO；2026-08-27</x:v>
      </x:c>
    </x:row>
    <x:row r="394">
      <x:c r="A394" t="n">
        <x:v>393</x:v>
      </x:c>
      <x:c r="B394" t="n">
        <x:v>1062238</x:v>
      </x:c>
      <x:c r="C394" t="n">
        <x:v>79000</x:v>
      </x:c>
      <x:c r="D394" t="n">
        <x:v>46576</x:v>
      </x:c>
      <x:c r="E394" t="str">
        <x:v>战斗公式.xlsx/怪物标准模型 AS/AQ/AO；2026-08-27</x:v>
      </x:c>
    </x:row>
    <x:row r="395">
      <x:c r="A395" t="n">
        <x:v>394</x:v>
      </x:c>
      <x:c r="B395" t="n">
        <x:v>1070584</x:v>
      </x:c>
      <x:c r="C395" t="n">
        <x:v>79494</x:v>
      </x:c>
      <x:c r="D395" t="n">
        <x:v>46739</x:v>
      </x:c>
      <x:c r="E395" t="str">
        <x:v>战斗公式.xlsx/怪物标准模型 AS/AQ/AO；2026-08-27</x:v>
      </x:c>
    </x:row>
    <x:row r="396">
      <x:c r="A396" t="n">
        <x:v>395</x:v>
      </x:c>
      <x:c r="B396" t="n">
        <x:v>1078981</x:v>
      </x:c>
      <x:c r="C396" t="n">
        <x:v>79991</x:v>
      </x:c>
      <x:c r="D396" t="n">
        <x:v>46903</x:v>
      </x:c>
      <x:c r="E396" t="str">
        <x:v>战斗公式.xlsx/怪物标准模型 AS/AQ/AO；2026-08-27</x:v>
      </x:c>
    </x:row>
    <x:row r="397">
      <x:c r="A397" t="n">
        <x:v>396</x:v>
      </x:c>
      <x:c r="B397" t="n">
        <x:v>1087430</x:v>
      </x:c>
      <x:c r="C397" t="n">
        <x:v>80490</x:v>
      </x:c>
      <x:c r="D397" t="n">
        <x:v>47067</x:v>
      </x:c>
      <x:c r="E397" t="str">
        <x:v>战斗公式.xlsx/怪物标准模型 AS/AQ/AO；2026-08-27</x:v>
      </x:c>
    </x:row>
    <x:row r="398">
      <x:c r="A398" t="n">
        <x:v>397</x:v>
      </x:c>
      <x:c r="B398" t="n">
        <x:v>1095932</x:v>
      </x:c>
      <x:c r="C398" t="n">
        <x:v>80992</x:v>
      </x:c>
      <x:c r="D398" t="n">
        <x:v>47231</x:v>
      </x:c>
      <x:c r="E398" t="str">
        <x:v>战斗公式.xlsx/怪物标准模型 AS/AQ/AO；2026-08-27</x:v>
      </x:c>
    </x:row>
    <x:row r="399">
      <x:c r="A399" t="n">
        <x:v>398</x:v>
      </x:c>
      <x:c r="B399" t="n">
        <x:v>1104487</x:v>
      </x:c>
      <x:c r="C399" t="n">
        <x:v>81497</x:v>
      </x:c>
      <x:c r="D399" t="n">
        <x:v>47395</x:v>
      </x:c>
      <x:c r="E399" t="str">
        <x:v>战斗公式.xlsx/怪物标准模型 AS/AQ/AO；2026-08-27</x:v>
      </x:c>
    </x:row>
    <x:row r="400">
      <x:c r="A400" t="n">
        <x:v>399</x:v>
      </x:c>
      <x:c r="B400" t="n">
        <x:v>1113094</x:v>
      </x:c>
      <x:c r="C400" t="n">
        <x:v>82004</x:v>
      </x:c>
      <x:c r="D400" t="n">
        <x:v>47559</x:v>
      </x:c>
      <x:c r="E400" t="str">
        <x:v>战斗公式.xlsx/怪物标准模型 AS/AQ/AO；2026-08-27</x:v>
      </x:c>
    </x:row>
    <x:row r="401">
      <x:c r="A401" t="n">
        <x:v>400</x:v>
      </x:c>
      <x:c r="B401" t="n">
        <x:v>1121754</x:v>
      </x:c>
      <x:c r="C401" t="n">
        <x:v>82514</x:v>
      </x:c>
      <x:c r="D401" t="n">
        <x:v>47724</x:v>
      </x:c>
      <x:c r="E401" t="str">
        <x:v>战斗公式.xlsx/怪物标准模型 AS/AQ/AO；2026-08-27</x:v>
      </x:c>
    </x:row>
    <x:row r="402">
      <x:c r="A402" t="n">
        <x:v>401</x:v>
      </x:c>
      <x:c r="B402" t="n">
        <x:v>1130468</x:v>
      </x:c>
      <x:c r="C402" t="n">
        <x:v>83026</x:v>
      </x:c>
      <x:c r="D402" t="n">
        <x:v>47889</x:v>
      </x:c>
      <x:c r="E402" t="str">
        <x:v>战斗公式.xlsx/怪物标准模型 AS/AQ/AO；2026-08-27</x:v>
      </x:c>
    </x:row>
    <x:row r="403">
      <x:c r="A403" t="n">
        <x:v>402</x:v>
      </x:c>
      <x:c r="B403" t="n">
        <x:v>1139235</x:v>
      </x:c>
      <x:c r="C403" t="n">
        <x:v>83541</x:v>
      </x:c>
      <x:c r="D403" t="n">
        <x:v>48054</x:v>
      </x:c>
      <x:c r="E403" t="str">
        <x:v>战斗公式.xlsx/怪物标准模型 AS/AQ/AO；2026-08-27</x:v>
      </x:c>
    </x:row>
    <x:row r="404">
      <x:c r="A404" t="n">
        <x:v>403</x:v>
      </x:c>
      <x:c r="B404" t="n">
        <x:v>1148056</x:v>
      </x:c>
      <x:c r="C404" t="n">
        <x:v>84059</x:v>
      </x:c>
      <x:c r="D404" t="n">
        <x:v>48219</x:v>
      </x:c>
      <x:c r="E404" t="str">
        <x:v>战斗公式.xlsx/怪物标准模型 AS/AQ/AO；2026-08-27</x:v>
      </x:c>
    </x:row>
    <x:row r="405">
      <x:c r="A405" t="n">
        <x:v>404</x:v>
      </x:c>
      <x:c r="B405" t="n">
        <x:v>1156931</x:v>
      </x:c>
      <x:c r="C405" t="n">
        <x:v>84579</x:v>
      </x:c>
      <x:c r="D405" t="n">
        <x:v>48385</x:v>
      </x:c>
      <x:c r="E405" t="str">
        <x:v>战斗公式.xlsx/怪物标准模型 AS/AQ/AO；2026-08-27</x:v>
      </x:c>
    </x:row>
    <x:row r="406">
      <x:c r="A406" t="n">
        <x:v>405</x:v>
      </x:c>
      <x:c r="B406" t="n">
        <x:v>1165861</x:v>
      </x:c>
      <x:c r="C406" t="n">
        <x:v>85102</x:v>
      </x:c>
      <x:c r="D406" t="n">
        <x:v>48551</x:v>
      </x:c>
      <x:c r="E406" t="str">
        <x:v>战斗公式.xlsx/怪物标准模型 AS/AQ/AO；2026-08-27</x:v>
      </x:c>
    </x:row>
    <x:row r="407">
      <x:c r="A407" t="n">
        <x:v>406</x:v>
      </x:c>
      <x:c r="B407" t="n">
        <x:v>1174846</x:v>
      </x:c>
      <x:c r="C407" t="n">
        <x:v>85628</x:v>
      </x:c>
      <x:c r="D407" t="n">
        <x:v>48717</x:v>
      </x:c>
      <x:c r="E407" t="str">
        <x:v>战斗公式.xlsx/怪物标准模型 AS/AQ/AO；2026-08-27</x:v>
      </x:c>
    </x:row>
    <x:row r="408">
      <x:c r="A408" t="n">
        <x:v>407</x:v>
      </x:c>
      <x:c r="B408" t="n">
        <x:v>1183885</x:v>
      </x:c>
      <x:c r="C408" t="n">
        <x:v>86156</x:v>
      </x:c>
      <x:c r="D408" t="n">
        <x:v>48883</x:v>
      </x:c>
      <x:c r="E408" t="str">
        <x:v>战斗公式.xlsx/怪物标准模型 AS/AQ/AO；2026-08-27</x:v>
      </x:c>
    </x:row>
    <x:row r="409">
      <x:c r="A409" t="n">
        <x:v>408</x:v>
      </x:c>
      <x:c r="B409" t="n">
        <x:v>1192979</x:v>
      </x:c>
      <x:c r="C409" t="n">
        <x:v>86687</x:v>
      </x:c>
      <x:c r="D409" t="n">
        <x:v>49050</x:v>
      </x:c>
      <x:c r="E409" t="str">
        <x:v>战斗公式.xlsx/怪物标准模型 AS/AQ/AO；2026-08-27</x:v>
      </x:c>
    </x:row>
    <x:row r="410">
      <x:c r="A410" t="n">
        <x:v>409</x:v>
      </x:c>
      <x:c r="B410" t="n">
        <x:v>1202129</x:v>
      </x:c>
      <x:c r="C410" t="n">
        <x:v>87221</x:v>
      </x:c>
      <x:c r="D410" t="n">
        <x:v>49216</x:v>
      </x:c>
      <x:c r="E410" t="str">
        <x:v>战斗公式.xlsx/怪物标准模型 AS/AQ/AO；2026-08-27</x:v>
      </x:c>
    </x:row>
    <x:row r="411">
      <x:c r="A411" t="n">
        <x:v>410</x:v>
      </x:c>
      <x:c r="B411" t="n">
        <x:v>1211335</x:v>
      </x:c>
      <x:c r="C411" t="n">
        <x:v>87758</x:v>
      </x:c>
      <x:c r="D411" t="n">
        <x:v>49383</x:v>
      </x:c>
      <x:c r="E411" t="str">
        <x:v>战斗公式.xlsx/怪物标准模型 AS/AQ/AO；2026-08-27</x:v>
      </x:c>
    </x:row>
    <x:row r="412">
      <x:c r="A412" t="n">
        <x:v>411</x:v>
      </x:c>
      <x:c r="B412" t="n">
        <x:v>1220597</x:v>
      </x:c>
      <x:c r="C412" t="n">
        <x:v>88296</x:v>
      </x:c>
      <x:c r="D412" t="n">
        <x:v>49550</x:v>
      </x:c>
      <x:c r="E412" t="str">
        <x:v>战斗公式.xlsx/怪物标准模型 AS/AQ/AO；2026-08-27</x:v>
      </x:c>
    </x:row>
    <x:row r="413">
      <x:c r="A413" t="n">
        <x:v>412</x:v>
      </x:c>
      <x:c r="B413" t="n">
        <x:v>1229914</x:v>
      </x:c>
      <x:c r="C413" t="n">
        <x:v>88839</x:v>
      </x:c>
      <x:c r="D413" t="n">
        <x:v>49718</x:v>
      </x:c>
      <x:c r="E413" t="str">
        <x:v>战斗公式.xlsx/怪物标准模型 AS/AQ/AO；2026-08-27</x:v>
      </x:c>
    </x:row>
    <x:row r="414">
      <x:c r="A414" t="n">
        <x:v>413</x:v>
      </x:c>
      <x:c r="B414" t="n">
        <x:v>1239289</x:v>
      </x:c>
      <x:c r="C414" t="n">
        <x:v>89383</x:v>
      </x:c>
      <x:c r="D414" t="n">
        <x:v>49885</x:v>
      </x:c>
      <x:c r="E414" t="str">
        <x:v>战斗公式.xlsx/怪物标准模型 AS/AQ/AO；2026-08-27</x:v>
      </x:c>
    </x:row>
    <x:row r="415">
      <x:c r="A415" t="n">
        <x:v>414</x:v>
      </x:c>
      <x:c r="B415" t="n">
        <x:v>1248720</x:v>
      </x:c>
      <x:c r="C415" t="n">
        <x:v>89931</x:v>
      </x:c>
      <x:c r="D415" t="n">
        <x:v>50053</x:v>
      </x:c>
      <x:c r="E415" t="str">
        <x:v>战斗公式.xlsx/怪物标准模型 AS/AQ/AO；2026-08-27</x:v>
      </x:c>
    </x:row>
    <x:row r="416">
      <x:c r="A416" t="n">
        <x:v>415</x:v>
      </x:c>
      <x:c r="B416" t="n">
        <x:v>1258208</x:v>
      </x:c>
      <x:c r="C416" t="n">
        <x:v>90481</x:v>
      </x:c>
      <x:c r="D416" t="n">
        <x:v>50221</x:v>
      </x:c>
      <x:c r="E416" t="str">
        <x:v>战斗公式.xlsx/怪物标准模型 AS/AQ/AO；2026-08-27</x:v>
      </x:c>
    </x:row>
    <x:row r="417">
      <x:c r="A417" t="n">
        <x:v>416</x:v>
      </x:c>
      <x:c r="B417" t="n">
        <x:v>1267754</x:v>
      </x:c>
      <x:c r="C417" t="n">
        <x:v>91034</x:v>
      </x:c>
      <x:c r="D417" t="n">
        <x:v>50390</x:v>
      </x:c>
      <x:c r="E417" t="str">
        <x:v>战斗公式.xlsx/怪物标准模型 AS/AQ/AO；2026-08-27</x:v>
      </x:c>
    </x:row>
    <x:row r="418">
      <x:c r="A418" t="n">
        <x:v>417</x:v>
      </x:c>
      <x:c r="B418" t="n">
        <x:v>1277357</x:v>
      </x:c>
      <x:c r="C418" t="n">
        <x:v>91590</x:v>
      </x:c>
      <x:c r="D418" t="n">
        <x:v>50558</x:v>
      </x:c>
      <x:c r="E418" t="str">
        <x:v>战斗公式.xlsx/怪物标准模型 AS/AQ/AO；2026-08-27</x:v>
      </x:c>
    </x:row>
    <x:row r="419">
      <x:c r="A419" t="n">
        <x:v>418</x:v>
      </x:c>
      <x:c r="B419" t="n">
        <x:v>1287018</x:v>
      </x:c>
      <x:c r="C419" t="n">
        <x:v>92149</x:v>
      </x:c>
      <x:c r="D419" t="n">
        <x:v>50727</x:v>
      </x:c>
      <x:c r="E419" t="str">
        <x:v>战斗公式.xlsx/怪物标准模型 AS/AQ/AO；2026-08-27</x:v>
      </x:c>
    </x:row>
    <x:row r="420">
      <x:c r="A420" t="n">
        <x:v>419</x:v>
      </x:c>
      <x:c r="B420" t="n">
        <x:v>1296738</x:v>
      </x:c>
      <x:c r="C420" t="n">
        <x:v>92710</x:v>
      </x:c>
      <x:c r="D420" t="n">
        <x:v>50896</x:v>
      </x:c>
      <x:c r="E420" t="str">
        <x:v>战斗公式.xlsx/怪物标准模型 AS/AQ/AO；2026-08-27</x:v>
      </x:c>
    </x:row>
    <x:row r="421">
      <x:c r="A421" t="n">
        <x:v>420</x:v>
      </x:c>
      <x:c r="B421" t="n">
        <x:v>1306516</x:v>
      </x:c>
      <x:c r="C421" t="n">
        <x:v>93276</x:v>
      </x:c>
      <x:c r="D421" t="n">
        <x:v>51065</x:v>
      </x:c>
      <x:c r="E421" t="str">
        <x:v>战斗公式.xlsx/怪物标准模型 AS/AQ/AO；2026-08-27</x:v>
      </x:c>
    </x:row>
    <x:row r="422">
      <x:c r="A422" t="n">
        <x:v>421</x:v>
      </x:c>
      <x:c r="B422" t="n">
        <x:v>1316352</x:v>
      </x:c>
      <x:c r="C422" t="n">
        <x:v>93843</x:v>
      </x:c>
      <x:c r="D422" t="n">
        <x:v>51235</x:v>
      </x:c>
      <x:c r="E422" t="str">
        <x:v>战斗公式.xlsx/怪物标准模型 AS/AQ/AO；2026-08-27</x:v>
      </x:c>
    </x:row>
    <x:row r="423">
      <x:c r="A423" t="n">
        <x:v>422</x:v>
      </x:c>
      <x:c r="B423" t="n">
        <x:v>1326248</x:v>
      </x:c>
      <x:c r="C423" t="n">
        <x:v>94413</x:v>
      </x:c>
      <x:c r="D423" t="n">
        <x:v>51404</x:v>
      </x:c>
      <x:c r="E423" t="str">
        <x:v>战斗公式.xlsx/怪物标准模型 AS/AQ/AO；2026-08-27</x:v>
      </x:c>
    </x:row>
    <x:row r="424">
      <x:c r="A424" t="n">
        <x:v>423</x:v>
      </x:c>
      <x:c r="B424" t="n">
        <x:v>1336202</x:v>
      </x:c>
      <x:c r="C424" t="n">
        <x:v>94986</x:v>
      </x:c>
      <x:c r="D424" t="n">
        <x:v>51574</x:v>
      </x:c>
      <x:c r="E424" t="str">
        <x:v>战斗公式.xlsx/怪物标准模型 AS/AQ/AO；2026-08-27</x:v>
      </x:c>
    </x:row>
    <x:row r="425">
      <x:c r="A425" t="n">
        <x:v>424</x:v>
      </x:c>
      <x:c r="B425" t="n">
        <x:v>1346217</x:v>
      </x:c>
      <x:c r="C425" t="n">
        <x:v>95562</x:v>
      </x:c>
      <x:c r="D425" t="n">
        <x:v>51744</x:v>
      </x:c>
      <x:c r="E425" t="str">
        <x:v>战斗公式.xlsx/怪物标准模型 AS/AQ/AO；2026-08-27</x:v>
      </x:c>
    </x:row>
    <x:row r="426">
      <x:c r="A426" t="n">
        <x:v>425</x:v>
      </x:c>
      <x:c r="B426" t="n">
        <x:v>1356291</x:v>
      </x:c>
      <x:c r="C426" t="n">
        <x:v>96141</x:v>
      </x:c>
      <x:c r="D426" t="n">
        <x:v>51915</x:v>
      </x:c>
      <x:c r="E426" t="str">
        <x:v>战斗公式.xlsx/怪物标准模型 AS/AQ/AO；2026-08-27</x:v>
      </x:c>
    </x:row>
    <x:row r="427">
      <x:c r="A427" t="n">
        <x:v>426</x:v>
      </x:c>
      <x:c r="B427" t="n">
        <x:v>1366425</x:v>
      </x:c>
      <x:c r="C427" t="n">
        <x:v>96723</x:v>
      </x:c>
      <x:c r="D427" t="n">
        <x:v>52085</x:v>
      </x:c>
      <x:c r="E427" t="str">
        <x:v>战斗公式.xlsx/怪物标准模型 AS/AQ/AO；2026-08-27</x:v>
      </x:c>
    </x:row>
    <x:row r="428">
      <x:c r="A428" t="n">
        <x:v>427</x:v>
      </x:c>
      <x:c r="B428" t="n">
        <x:v>1376620</x:v>
      </x:c>
      <x:c r="C428" t="n">
        <x:v>97307</x:v>
      </x:c>
      <x:c r="D428" t="n">
        <x:v>52256</x:v>
      </x:c>
      <x:c r="E428" t="str">
        <x:v>战斗公式.xlsx/怪物标准模型 AS/AQ/AO；2026-08-27</x:v>
      </x:c>
    </x:row>
    <x:row r="429">
      <x:c r="A429" t="n">
        <x:v>428</x:v>
      </x:c>
      <x:c r="B429" t="n">
        <x:v>1386876</x:v>
      </x:c>
      <x:c r="C429" t="n">
        <x:v>97895</x:v>
      </x:c>
      <x:c r="D429" t="n">
        <x:v>52427</x:v>
      </x:c>
      <x:c r="E429" t="str">
        <x:v>战斗公式.xlsx/怪物标准模型 AS/AQ/AO；2026-08-27</x:v>
      </x:c>
    </x:row>
    <x:row r="430">
      <x:c r="A430" t="n">
        <x:v>429</x:v>
      </x:c>
      <x:c r="B430" t="n">
        <x:v>1397192</x:v>
      </x:c>
      <x:c r="C430" t="n">
        <x:v>98486</x:v>
      </x:c>
      <x:c r="D430" t="n">
        <x:v>52599</x:v>
      </x:c>
      <x:c r="E430" t="str">
        <x:v>战斗公式.xlsx/怪物标准模型 AS/AQ/AO；2026-08-27</x:v>
      </x:c>
    </x:row>
    <x:row r="431">
      <x:c r="A431" t="n">
        <x:v>430</x:v>
      </x:c>
      <x:c r="B431" t="n">
        <x:v>1407570</x:v>
      </x:c>
      <x:c r="C431" t="n">
        <x:v>99080</x:v>
      </x:c>
      <x:c r="D431" t="n">
        <x:v>52770</x:v>
      </x:c>
      <x:c r="E431" t="str">
        <x:v>战斗公式.xlsx/怪物标准模型 AS/AQ/AO；2026-08-27</x:v>
      </x:c>
    </x:row>
    <x:row r="432">
      <x:c r="A432" t="n">
        <x:v>431</x:v>
      </x:c>
      <x:c r="B432" t="n">
        <x:v>1418009</x:v>
      </x:c>
      <x:c r="C432" t="n">
        <x:v>99677</x:v>
      </x:c>
      <x:c r="D432" t="n">
        <x:v>52942</x:v>
      </x:c>
      <x:c r="E432" t="str">
        <x:v>战斗公式.xlsx/怪物标准模型 AS/AQ/AO；2026-08-27</x:v>
      </x:c>
    </x:row>
    <x:row r="433">
      <x:c r="A433" t="n">
        <x:v>432</x:v>
      </x:c>
      <x:c r="B433" t="n">
        <x:v>1428511</x:v>
      </x:c>
      <x:c r="C433" t="n">
        <x:v>100277</x:v>
      </x:c>
      <x:c r="D433" t="n">
        <x:v>53114</x:v>
      </x:c>
      <x:c r="E433" t="str">
        <x:v>战斗公式.xlsx/怪物标准模型 AS/AQ/AO；2026-08-27</x:v>
      </x:c>
    </x:row>
    <x:row r="434">
      <x:c r="A434" t="n">
        <x:v>433</x:v>
      </x:c>
      <x:c r="B434" t="n">
        <x:v>1439074</x:v>
      </x:c>
      <x:c r="C434" t="n">
        <x:v>100880</x:v>
      </x:c>
      <x:c r="D434" t="n">
        <x:v>53286</x:v>
      </x:c>
      <x:c r="E434" t="str">
        <x:v>战斗公式.xlsx/怪物标准模型 AS/AQ/AO；2026-08-27</x:v>
      </x:c>
    </x:row>
    <x:row r="435">
      <x:c r="A435" t="n">
        <x:v>434</x:v>
      </x:c>
      <x:c r="B435" t="n">
        <x:v>1449700</x:v>
      </x:c>
      <x:c r="C435" t="n">
        <x:v>101486</x:v>
      </x:c>
      <x:c r="D435" t="n">
        <x:v>53458</x:v>
      </x:c>
      <x:c r="E435" t="str">
        <x:v>战斗公式.xlsx/怪物标准模型 AS/AQ/AO；2026-08-27</x:v>
      </x:c>
    </x:row>
    <x:row r="436">
      <x:c r="A436" t="n">
        <x:v>435</x:v>
      </x:c>
      <x:c r="B436" t="n">
        <x:v>1460388</x:v>
      </x:c>
      <x:c r="C436" t="n">
        <x:v>102095</x:v>
      </x:c>
      <x:c r="D436" t="n">
        <x:v>53631</x:v>
      </x:c>
      <x:c r="E436" t="str">
        <x:v>战斗公式.xlsx/怪物标准模型 AS/AQ/AO；2026-08-27</x:v>
      </x:c>
    </x:row>
    <x:row r="437">
      <x:c r="A437" t="n">
        <x:v>436</x:v>
      </x:c>
      <x:c r="B437" t="n">
        <x:v>1471140</x:v>
      </x:c>
      <x:c r="C437" t="n">
        <x:v>102707</x:v>
      </x:c>
      <x:c r="D437" t="n">
        <x:v>53804</x:v>
      </x:c>
      <x:c r="E437" t="str">
        <x:v>战斗公式.xlsx/怪物标准模型 AS/AQ/AO；2026-08-27</x:v>
      </x:c>
    </x:row>
    <x:row r="438">
      <x:c r="A438" t="n">
        <x:v>437</x:v>
      </x:c>
      <x:c r="B438" t="n">
        <x:v>1481955</x:v>
      </x:c>
      <x:c r="C438" t="n">
        <x:v>103322</x:v>
      </x:c>
      <x:c r="D438" t="n">
        <x:v>53977</x:v>
      </x:c>
      <x:c r="E438" t="str">
        <x:v>战斗公式.xlsx/怪物标准模型 AS/AQ/AO；2026-08-27</x:v>
      </x:c>
    </x:row>
    <x:row r="439">
      <x:c r="A439" t="n">
        <x:v>438</x:v>
      </x:c>
      <x:c r="B439" t="n">
        <x:v>1492834</x:v>
      </x:c>
      <x:c r="C439" t="n">
        <x:v>103940</x:v>
      </x:c>
      <x:c r="D439" t="n">
        <x:v>54150</x:v>
      </x:c>
      <x:c r="E439" t="str">
        <x:v>战斗公式.xlsx/怪物标准模型 AS/AQ/AO；2026-08-27</x:v>
      </x:c>
    </x:row>
    <x:row r="440">
      <x:c r="A440" t="n">
        <x:v>439</x:v>
      </x:c>
      <x:c r="B440" t="n">
        <x:v>1503776</x:v>
      </x:c>
      <x:c r="C440" t="n">
        <x:v>104562</x:v>
      </x:c>
      <x:c r="D440" t="n">
        <x:v>54324</x:v>
      </x:c>
      <x:c r="E440" t="str">
        <x:v>战斗公式.xlsx/怪物标准模型 AS/AQ/AO；2026-08-27</x:v>
      </x:c>
    </x:row>
    <x:row r="441">
      <x:c r="A441" t="n">
        <x:v>440</x:v>
      </x:c>
      <x:c r="B441" t="n">
        <x:v>1514783</x:v>
      </x:c>
      <x:c r="C441" t="n">
        <x:v>105186</x:v>
      </x:c>
      <x:c r="D441" t="n">
        <x:v>54498</x:v>
      </x:c>
      <x:c r="E441" t="str">
        <x:v>战斗公式.xlsx/怪物标准模型 AS/AQ/AO；2026-08-27</x:v>
      </x:c>
    </x:row>
    <x:row r="442">
      <x:c r="A442" t="n">
        <x:v>441</x:v>
      </x:c>
      <x:c r="B442" t="n">
        <x:v>1525854</x:v>
      </x:c>
      <x:c r="C442" t="n">
        <x:v>105814</x:v>
      </x:c>
      <x:c r="D442" t="n">
        <x:v>54672</x:v>
      </x:c>
      <x:c r="E442" t="str">
        <x:v>战斗公式.xlsx/怪物标准模型 AS/AQ/AO；2026-08-27</x:v>
      </x:c>
    </x:row>
    <x:row r="443">
      <x:c r="A443" t="n">
        <x:v>442</x:v>
      </x:c>
      <x:c r="B443" t="n">
        <x:v>1536990</x:v>
      </x:c>
      <x:c r="C443" t="n">
        <x:v>106445</x:v>
      </x:c>
      <x:c r="D443" t="n">
        <x:v>54846</x:v>
      </x:c>
      <x:c r="E443" t="str">
        <x:v>战斗公式.xlsx/怪物标准模型 AS/AQ/AO；2026-08-27</x:v>
      </x:c>
    </x:row>
    <x:row r="444">
      <x:c r="A444" t="n">
        <x:v>443</x:v>
      </x:c>
      <x:c r="B444" t="n">
        <x:v>1548191</x:v>
      </x:c>
      <x:c r="C444" t="n">
        <x:v>107079</x:v>
      </x:c>
      <x:c r="D444" t="n">
        <x:v>55020</x:v>
      </x:c>
      <x:c r="E444" t="str">
        <x:v>战斗公式.xlsx/怪物标准模型 AS/AQ/AO；2026-08-27</x:v>
      </x:c>
    </x:row>
    <x:row r="445">
      <x:c r="A445" t="n">
        <x:v>444</x:v>
      </x:c>
      <x:c r="B445" t="n">
        <x:v>1559458</x:v>
      </x:c>
      <x:c r="C445" t="n">
        <x:v>107716</x:v>
      </x:c>
      <x:c r="D445" t="n">
        <x:v>55195</x:v>
      </x:c>
      <x:c r="E445" t="str">
        <x:v>战斗公式.xlsx/怪物标准模型 AS/AQ/AO；2026-08-27</x:v>
      </x:c>
    </x:row>
    <x:row r="446">
      <x:c r="A446" t="n">
        <x:v>445</x:v>
      </x:c>
      <x:c r="B446" t="n">
        <x:v>1570790</x:v>
      </x:c>
      <x:c r="C446" t="n">
        <x:v>108356</x:v>
      </x:c>
      <x:c r="D446" t="n">
        <x:v>55370</x:v>
      </x:c>
      <x:c r="E446" t="str">
        <x:v>战斗公式.xlsx/怪物标准模型 AS/AQ/AO；2026-08-27</x:v>
      </x:c>
    </x:row>
    <x:row r="447">
      <x:c r="A447" t="n">
        <x:v>446</x:v>
      </x:c>
      <x:c r="B447" t="n">
        <x:v>1582189</x:v>
      </x:c>
      <x:c r="C447" t="n">
        <x:v>109000</x:v>
      </x:c>
      <x:c r="D447" t="n">
        <x:v>55545</x:v>
      </x:c>
      <x:c r="E447" t="str">
        <x:v>战斗公式.xlsx/怪物标准模型 AS/AQ/AO；2026-08-27</x:v>
      </x:c>
    </x:row>
    <x:row r="448">
      <x:c r="A448" t="n">
        <x:v>447</x:v>
      </x:c>
      <x:c r="B448" t="n">
        <x:v>1593654</x:v>
      </x:c>
      <x:c r="C448" t="n">
        <x:v>109647</x:v>
      </x:c>
      <x:c r="D448" t="n">
        <x:v>55720</x:v>
      </x:c>
      <x:c r="E448" t="str">
        <x:v>战斗公式.xlsx/怪物标准模型 AS/AQ/AO；2026-08-27</x:v>
      </x:c>
    </x:row>
    <x:row r="449">
      <x:c r="A449" t="n">
        <x:v>448</x:v>
      </x:c>
      <x:c r="B449" t="n">
        <x:v>1605185</x:v>
      </x:c>
      <x:c r="C449" t="n">
        <x:v>110297</x:v>
      </x:c>
      <x:c r="D449" t="n">
        <x:v>55896</x:v>
      </x:c>
      <x:c r="E449" t="str">
        <x:v>战斗公式.xlsx/怪物标准模型 AS/AQ/AO；2026-08-27</x:v>
      </x:c>
    </x:row>
    <x:row r="450">
      <x:c r="A450" t="n">
        <x:v>449</x:v>
      </x:c>
      <x:c r="B450" t="n">
        <x:v>1616784</x:v>
      </x:c>
      <x:c r="C450" t="n">
        <x:v>110951</x:v>
      </x:c>
      <x:c r="D450" t="n">
        <x:v>56072</x:v>
      </x:c>
      <x:c r="E450" t="str">
        <x:v>战斗公式.xlsx/怪物标准模型 AS/AQ/AO；2026-08-27</x:v>
      </x:c>
    </x:row>
    <x:row r="451">
      <x:c r="A451" t="n">
        <x:v>450</x:v>
      </x:c>
      <x:c r="B451" t="n">
        <x:v>1628449</x:v>
      </x:c>
      <x:c r="C451" t="n">
        <x:v>111607</x:v>
      </x:c>
      <x:c r="D451" t="n">
        <x:v>56248</x:v>
      </x:c>
      <x:c r="E451" t="str">
        <x:v>战斗公式.xlsx/怪物标准模型 AS/AQ/AO；2026-08-27</x:v>
      </x:c>
    </x:row>
    <x:row r="452">
      <x:c r="A452" t="n">
        <x:v>451</x:v>
      </x:c>
      <x:c r="B452" t="n">
        <x:v>1640183</x:v>
      </x:c>
      <x:c r="C452" t="n">
        <x:v>112267</x:v>
      </x:c>
      <x:c r="D452" t="n">
        <x:v>56424</x:v>
      </x:c>
      <x:c r="E452" t="str">
        <x:v>战斗公式.xlsx/怪物标准模型 AS/AQ/AO；2026-08-27</x:v>
      </x:c>
    </x:row>
    <x:row r="453">
      <x:c r="A453" t="n">
        <x:v>452</x:v>
      </x:c>
      <x:c r="B453" t="n">
        <x:v>1651984</x:v>
      </x:c>
      <x:c r="C453" t="n">
        <x:v>112930</x:v>
      </x:c>
      <x:c r="D453" t="n">
        <x:v>56601</x:v>
      </x:c>
      <x:c r="E453" t="str">
        <x:v>战斗公式.xlsx/怪物标准模型 AS/AQ/AO；2026-08-27</x:v>
      </x:c>
    </x:row>
    <x:row r="454">
      <x:c r="A454" t="n">
        <x:v>453</x:v>
      </x:c>
      <x:c r="B454" t="n">
        <x:v>1663853</x:v>
      </x:c>
      <x:c r="C454" t="n">
        <x:v>113597</x:v>
      </x:c>
      <x:c r="D454" t="n">
        <x:v>56777</x:v>
      </x:c>
      <x:c r="E454" t="str">
        <x:v>战斗公式.xlsx/怪物标准模型 AS/AQ/AO；2026-08-27</x:v>
      </x:c>
    </x:row>
    <x:row r="455">
      <x:c r="A455" t="n">
        <x:v>454</x:v>
      </x:c>
      <x:c r="B455" t="n">
        <x:v>1675791</x:v>
      </x:c>
      <x:c r="C455" t="n">
        <x:v>114267</x:v>
      </x:c>
      <x:c r="D455" t="n">
        <x:v>56954</x:v>
      </x:c>
      <x:c r="E455" t="str">
        <x:v>战斗公式.xlsx/怪物标准模型 AS/AQ/AO；2026-08-27</x:v>
      </x:c>
    </x:row>
    <x:row r="456">
      <x:c r="A456" t="n">
        <x:v>455</x:v>
      </x:c>
      <x:c r="B456" t="n">
        <x:v>1687798</x:v>
      </x:c>
      <x:c r="C456" t="n">
        <x:v>114940</x:v>
      </x:c>
      <x:c r="D456" t="n">
        <x:v>57131</x:v>
      </x:c>
      <x:c r="E456" t="str">
        <x:v>战斗公式.xlsx/怪物标准模型 AS/AQ/AO；2026-08-27</x:v>
      </x:c>
    </x:row>
    <x:row r="457">
      <x:c r="A457" t="n">
        <x:v>456</x:v>
      </x:c>
      <x:c r="B457" t="n">
        <x:v>1699874</x:v>
      </x:c>
      <x:c r="C457" t="n">
        <x:v>115617</x:v>
      </x:c>
      <x:c r="D457" t="n">
        <x:v>57309</x:v>
      </x:c>
      <x:c r="E457" t="str">
        <x:v>战斗公式.xlsx/怪物标准模型 AS/AQ/AO；2026-08-27</x:v>
      </x:c>
    </x:row>
    <x:row r="458">
      <x:c r="A458" t="n">
        <x:v>457</x:v>
      </x:c>
      <x:c r="B458" t="n">
        <x:v>1712020</x:v>
      </x:c>
      <x:c r="C458" t="n">
        <x:v>116297</x:v>
      </x:c>
      <x:c r="D458" t="n">
        <x:v>57486</x:v>
      </x:c>
      <x:c r="E458" t="str">
        <x:v>战斗公式.xlsx/怪物标准模型 AS/AQ/AO；2026-08-27</x:v>
      </x:c>
    </x:row>
    <x:row r="459">
      <x:c r="A459" t="n">
        <x:v>458</x:v>
      </x:c>
      <x:c r="B459" t="n">
        <x:v>1724235</x:v>
      </x:c>
      <x:c r="C459" t="n">
        <x:v>116981</x:v>
      </x:c>
      <x:c r="D459" t="n">
        <x:v>57664</x:v>
      </x:c>
      <x:c r="E459" t="str">
        <x:v>战斗公式.xlsx/怪物标准模型 AS/AQ/AO；2026-08-27</x:v>
      </x:c>
    </x:row>
    <x:row r="460">
      <x:c r="A460" t="n">
        <x:v>459</x:v>
      </x:c>
      <x:c r="B460" t="n">
        <x:v>1736521</x:v>
      </x:c>
      <x:c r="C460" t="n">
        <x:v>117667</x:v>
      </x:c>
      <x:c r="D460" t="n">
        <x:v>57842</x:v>
      </x:c>
      <x:c r="E460" t="str">
        <x:v>战斗公式.xlsx/怪物标准模型 AS/AQ/AO；2026-08-27</x:v>
      </x:c>
    </x:row>
    <x:row r="461">
      <x:c r="A461" t="n">
        <x:v>460</x:v>
      </x:c>
      <x:c r="B461" t="n">
        <x:v>1748876</x:v>
      </x:c>
      <x:c r="C461" t="n">
        <x:v>118358</x:v>
      </x:c>
      <x:c r="D461" t="n">
        <x:v>58021</x:v>
      </x:c>
      <x:c r="E461" t="str">
        <x:v>战斗公式.xlsx/怪物标准模型 AS/AQ/AO；2026-08-27</x:v>
      </x:c>
    </x:row>
    <x:row r="462">
      <x:c r="A462" t="n">
        <x:v>461</x:v>
      </x:c>
      <x:c r="B462" t="n">
        <x:v>1761303</x:v>
      </x:c>
      <x:c r="C462" t="n">
        <x:v>119052</x:v>
      </x:c>
      <x:c r="D462" t="n">
        <x:v>58199</x:v>
      </x:c>
      <x:c r="E462" t="str">
        <x:v>战斗公式.xlsx/怪物标准模型 AS/AQ/AO；2026-08-27</x:v>
      </x:c>
    </x:row>
    <x:row r="463">
      <x:c r="A463" t="n">
        <x:v>462</x:v>
      </x:c>
      <x:c r="B463" t="n">
        <x:v>1773801</x:v>
      </x:c>
      <x:c r="C463" t="n">
        <x:v>119749</x:v>
      </x:c>
      <x:c r="D463" t="n">
        <x:v>58378</x:v>
      </x:c>
      <x:c r="E463" t="str">
        <x:v>战斗公式.xlsx/怪物标准模型 AS/AQ/AO；2026-08-27</x:v>
      </x:c>
    </x:row>
    <x:row r="464">
      <x:c r="A464" t="n">
        <x:v>463</x:v>
      </x:c>
      <x:c r="B464" t="n">
        <x:v>1786370</x:v>
      </x:c>
      <x:c r="C464" t="n">
        <x:v>120449</x:v>
      </x:c>
      <x:c r="D464" t="n">
        <x:v>58557</x:v>
      </x:c>
      <x:c r="E464" t="str">
        <x:v>战斗公式.xlsx/怪物标准模型 AS/AQ/AO；2026-08-27</x:v>
      </x:c>
    </x:row>
    <x:row r="465">
      <x:c r="A465" t="n">
        <x:v>464</x:v>
      </x:c>
      <x:c r="B465" t="n">
        <x:v>1799011</x:v>
      </x:c>
      <x:c r="C465" t="n">
        <x:v>121154</x:v>
      </x:c>
      <x:c r="D465" t="n">
        <x:v>58736</x:v>
      </x:c>
      <x:c r="E465" t="str">
        <x:v>战斗公式.xlsx/怪物标准模型 AS/AQ/AO；2026-08-27</x:v>
      </x:c>
    </x:row>
    <x:row r="466">
      <x:c r="A466" t="n">
        <x:v>465</x:v>
      </x:c>
      <x:c r="B466" t="n">
        <x:v>1811725</x:v>
      </x:c>
      <x:c r="C466" t="n">
        <x:v>121861</x:v>
      </x:c>
      <x:c r="D466" t="n">
        <x:v>58916</x:v>
      </x:c>
      <x:c r="E466" t="str">
        <x:v>战斗公式.xlsx/怪物标准模型 AS/AQ/AO；2026-08-27</x:v>
      </x:c>
    </x:row>
    <x:row r="467">
      <x:c r="A467" t="n">
        <x:v>466</x:v>
      </x:c>
      <x:c r="B467" t="n">
        <x:v>1824510</x:v>
      </x:c>
      <x:c r="C467" t="n">
        <x:v>122573</x:v>
      </x:c>
      <x:c r="D467" t="n">
        <x:v>59095</x:v>
      </x:c>
      <x:c r="E467" t="str">
        <x:v>战斗公式.xlsx/怪物标准模型 AS/AQ/AO；2026-08-27</x:v>
      </x:c>
    </x:row>
    <x:row r="468">
      <x:c r="A468" t="n">
        <x:v>467</x:v>
      </x:c>
      <x:c r="B468" t="n">
        <x:v>1837368</x:v>
      </x:c>
      <x:c r="C468" t="n">
        <x:v>123287</x:v>
      </x:c>
      <x:c r="D468" t="n">
        <x:v>59275</x:v>
      </x:c>
      <x:c r="E468" t="str">
        <x:v>战斗公式.xlsx/怪物标准模型 AS/AQ/AO；2026-08-27</x:v>
      </x:c>
    </x:row>
    <x:row r="469">
      <x:c r="A469" t="n">
        <x:v>468</x:v>
      </x:c>
      <x:c r="B469" t="n">
        <x:v>1850300</x:v>
      </x:c>
      <x:c r="C469" t="n">
        <x:v>124006</x:v>
      </x:c>
      <x:c r="D469" t="n">
        <x:v>59456</x:v>
      </x:c>
      <x:c r="E469" t="str">
        <x:v>战斗公式.xlsx/怪物标准模型 AS/AQ/AO；2026-08-27</x:v>
      </x:c>
    </x:row>
    <x:row r="470">
      <x:c r="A470" t="n">
        <x:v>469</x:v>
      </x:c>
      <x:c r="B470" t="n">
        <x:v>1863305</x:v>
      </x:c>
      <x:c r="C470" t="n">
        <x:v>124728</x:v>
      </x:c>
      <x:c r="D470" t="n">
        <x:v>59636</x:v>
      </x:c>
      <x:c r="E470" t="str">
        <x:v>战斗公式.xlsx/怪物标准模型 AS/AQ/AO；2026-08-27</x:v>
      </x:c>
    </x:row>
    <x:row r="471">
      <x:c r="A471" t="n">
        <x:v>470</x:v>
      </x:c>
      <x:c r="B471" t="n">
        <x:v>1876383</x:v>
      </x:c>
      <x:c r="C471" t="n">
        <x:v>125453</x:v>
      </x:c>
      <x:c r="D471" t="n">
        <x:v>59816</x:v>
      </x:c>
      <x:c r="E471" t="str">
        <x:v>战斗公式.xlsx/怪物标准模型 AS/AQ/AO；2026-08-27</x:v>
      </x:c>
    </x:row>
    <x:row r="472">
      <x:c r="A472" t="n">
        <x:v>471</x:v>
      </x:c>
      <x:c r="B472" t="n">
        <x:v>1889536</x:v>
      </x:c>
      <x:c r="C472" t="n">
        <x:v>126183</x:v>
      </x:c>
      <x:c r="D472" t="n">
        <x:v>59997</x:v>
      </x:c>
      <x:c r="E472" t="str">
        <x:v>战斗公式.xlsx/怪物标准模型 AS/AQ/AO；2026-08-27</x:v>
      </x:c>
    </x:row>
    <x:row r="473">
      <x:c r="A473" t="n">
        <x:v>472</x:v>
      </x:c>
      <x:c r="B473" t="n">
        <x:v>1902763</x:v>
      </x:c>
      <x:c r="C473" t="n">
        <x:v>126916</x:v>
      </x:c>
      <x:c r="D473" t="n">
        <x:v>60178</x:v>
      </x:c>
      <x:c r="E473" t="str">
        <x:v>战斗公式.xlsx/怪物标准模型 AS/AQ/AO；2026-08-27</x:v>
      </x:c>
    </x:row>
    <x:row r="474">
      <x:c r="A474" t="n">
        <x:v>473</x:v>
      </x:c>
      <x:c r="B474" t="n">
        <x:v>1916065</x:v>
      </x:c>
      <x:c r="C474" t="n">
        <x:v>127652</x:v>
      </x:c>
      <x:c r="D474" t="n">
        <x:v>60360</x:v>
      </x:c>
      <x:c r="E474" t="str">
        <x:v>战斗公式.xlsx/怪物标准模型 AS/AQ/AO；2026-08-27</x:v>
      </x:c>
    </x:row>
    <x:row r="475">
      <x:c r="A475" t="n">
        <x:v>474</x:v>
      </x:c>
      <x:c r="B475" t="n">
        <x:v>1929442</x:v>
      </x:c>
      <x:c r="C475" t="n">
        <x:v>128392</x:v>
      </x:c>
      <x:c r="D475" t="n">
        <x:v>60541</x:v>
      </x:c>
      <x:c r="E475" t="str">
        <x:v>战斗公式.xlsx/怪物标准模型 AS/AQ/AO；2026-08-27</x:v>
      </x:c>
    </x:row>
    <x:row r="476">
      <x:c r="A476" t="n">
        <x:v>475</x:v>
      </x:c>
      <x:c r="B476" t="n">
        <x:v>1942894</x:v>
      </x:c>
      <x:c r="C476" t="n">
        <x:v>129135</x:v>
      </x:c>
      <x:c r="D476" t="n">
        <x:v>60723</x:v>
      </x:c>
      <x:c r="E476" t="str">
        <x:v>战斗公式.xlsx/怪物标准模型 AS/AQ/AO；2026-08-27</x:v>
      </x:c>
    </x:row>
    <x:row r="477">
      <x:c r="A477" t="n">
        <x:v>476</x:v>
      </x:c>
      <x:c r="B477" t="n">
        <x:v>1956423</x:v>
      </x:c>
      <x:c r="C477" t="n">
        <x:v>129883</x:v>
      </x:c>
      <x:c r="D477" t="n">
        <x:v>60905</x:v>
      </x:c>
      <x:c r="E477" t="str">
        <x:v>战斗公式.xlsx/怪物标准模型 AS/AQ/AO；2026-08-27</x:v>
      </x:c>
    </x:row>
    <x:row r="478">
      <x:c r="A478" t="n">
        <x:v>477</x:v>
      </x:c>
      <x:c r="B478" t="n">
        <x:v>1970027</x:v>
      </x:c>
      <x:c r="C478" t="n">
        <x:v>130634</x:v>
      </x:c>
      <x:c r="D478" t="n">
        <x:v>61087</x:v>
      </x:c>
      <x:c r="E478" t="str">
        <x:v>战斗公式.xlsx/怪物标准模型 AS/AQ/AO；2026-08-27</x:v>
      </x:c>
    </x:row>
    <x:row r="479">
      <x:c r="A479" t="n">
        <x:v>478</x:v>
      </x:c>
      <x:c r="B479" t="n">
        <x:v>1983708</x:v>
      </x:c>
      <x:c r="C479" t="n">
        <x:v>131389</x:v>
      </x:c>
      <x:c r="D479" t="n">
        <x:v>61269</x:v>
      </x:c>
      <x:c r="E479" t="str">
        <x:v>战斗公式.xlsx/怪物标准模型 AS/AQ/AO；2026-08-27</x:v>
      </x:c>
    </x:row>
    <x:row r="480">
      <x:c r="A480" t="n">
        <x:v>479</x:v>
      </x:c>
      <x:c r="B480" t="n">
        <x:v>1997466</x:v>
      </x:c>
      <x:c r="C480" t="n">
        <x:v>132147</x:v>
      </x:c>
      <x:c r="D480" t="n">
        <x:v>61452</x:v>
      </x:c>
      <x:c r="E480" t="str">
        <x:v>战斗公式.xlsx/怪物标准模型 AS/AQ/AO；2026-08-27</x:v>
      </x:c>
    </x:row>
    <x:row r="481">
      <x:c r="A481" t="n">
        <x:v>480</x:v>
      </x:c>
      <x:c r="B481" t="n">
        <x:v>2011300</x:v>
      </x:c>
      <x:c r="C481" t="n">
        <x:v>132910</x:v>
      </x:c>
      <x:c r="D481" t="n">
        <x:v>61635</x:v>
      </x:c>
      <x:c r="E481" t="str">
        <x:v>战斗公式.xlsx/怪物标准模型 AS/AQ/AO；2026-08-27</x:v>
      </x:c>
    </x:row>
    <x:row r="482">
      <x:c r="A482" t="n">
        <x:v>481</x:v>
      </x:c>
      <x:c r="B482" t="n">
        <x:v>2025213</x:v>
      </x:c>
      <x:c r="C482" t="n">
        <x:v>133676</x:v>
      </x:c>
      <x:c r="D482" t="n">
        <x:v>61818</x:v>
      </x:c>
      <x:c r="E482" t="str">
        <x:v>战斗公式.xlsx/怪物标准模型 AS/AQ/AO；2026-08-27</x:v>
      </x:c>
    </x:row>
    <x:row r="483">
      <x:c r="A483" t="n">
        <x:v>482</x:v>
      </x:c>
      <x:c r="B483" t="n">
        <x:v>2039203</x:v>
      </x:c>
      <x:c r="C483" t="n">
        <x:v>134446</x:v>
      </x:c>
      <x:c r="D483" t="n">
        <x:v>62001</x:v>
      </x:c>
      <x:c r="E483" t="str">
        <x:v>战斗公式.xlsx/怪物标准模型 AS/AQ/AO；2026-08-27</x:v>
      </x:c>
    </x:row>
    <x:row r="484">
      <x:c r="A484" t="n">
        <x:v>483</x:v>
      </x:c>
      <x:c r="B484" t="n">
        <x:v>2053272</x:v>
      </x:c>
      <x:c r="C484" t="n">
        <x:v>135220</x:v>
      </x:c>
      <x:c r="D484" t="n">
        <x:v>62185</x:v>
      </x:c>
      <x:c r="E484" t="str">
        <x:v>战斗公式.xlsx/怪物标准模型 AS/AQ/AO；2026-08-27</x:v>
      </x:c>
    </x:row>
    <x:row r="485">
      <x:c r="A485" t="n">
        <x:v>484</x:v>
      </x:c>
      <x:c r="B485" t="n">
        <x:v>2067419</x:v>
      </x:c>
      <x:c r="C485" t="n">
        <x:v>135997</x:v>
      </x:c>
      <x:c r="D485" t="n">
        <x:v>62369</x:v>
      </x:c>
      <x:c r="E485" t="str">
        <x:v>战斗公式.xlsx/怪物标准模型 AS/AQ/AO；2026-08-27</x:v>
      </x:c>
    </x:row>
    <x:row r="486">
      <x:c r="A486" t="n">
        <x:v>485</x:v>
      </x:c>
      <x:c r="B486" t="n">
        <x:v>2081645</x:v>
      </x:c>
      <x:c r="C486" t="n">
        <x:v>136779</x:v>
      </x:c>
      <x:c r="D486" t="n">
        <x:v>62553</x:v>
      </x:c>
      <x:c r="E486" t="str">
        <x:v>战斗公式.xlsx/怪物标准模型 AS/AQ/AO；2026-08-27</x:v>
      </x:c>
    </x:row>
    <x:row r="487">
      <x:c r="A487" t="n">
        <x:v>486</x:v>
      </x:c>
      <x:c r="B487" t="n">
        <x:v>2095950</x:v>
      </x:c>
      <x:c r="C487" t="n">
        <x:v>137565</x:v>
      </x:c>
      <x:c r="D487" t="n">
        <x:v>62737</x:v>
      </x:c>
      <x:c r="E487" t="str">
        <x:v>战斗公式.xlsx/怪物标准模型 AS/AQ/AO；2026-08-27</x:v>
      </x:c>
    </x:row>
    <x:row r="488">
      <x:c r="A488" t="n">
        <x:v>487</x:v>
      </x:c>
      <x:c r="B488" t="n">
        <x:v>2110335</x:v>
      </x:c>
      <x:c r="C488" t="n">
        <x:v>138353</x:v>
      </x:c>
      <x:c r="D488" t="n">
        <x:v>62921</x:v>
      </x:c>
      <x:c r="E488" t="str">
        <x:v>战斗公式.xlsx/怪物标准模型 AS/AQ/AO；2026-08-27</x:v>
      </x:c>
    </x:row>
    <x:row r="489">
      <x:c r="A489" t="n">
        <x:v>488</x:v>
      </x:c>
      <x:c r="B489" t="n">
        <x:v>2124800</x:v>
      </x:c>
      <x:c r="C489" t="n">
        <x:v>139147</x:v>
      </x:c>
      <x:c r="D489" t="n">
        <x:v>63106</x:v>
      </x:c>
      <x:c r="E489" t="str">
        <x:v>战斗公式.xlsx/怪物标准模型 AS/AQ/AO；2026-08-27</x:v>
      </x:c>
    </x:row>
    <x:row r="490">
      <x:c r="A490" t="n">
        <x:v>489</x:v>
      </x:c>
      <x:c r="B490" t="n">
        <x:v>2139345</x:v>
      </x:c>
      <x:c r="C490" t="n">
        <x:v>139944</x:v>
      </x:c>
      <x:c r="D490" t="n">
        <x:v>63291</x:v>
      </x:c>
      <x:c r="E490" t="str">
        <x:v>战斗公式.xlsx/怪物标准模型 AS/AQ/AO；2026-08-27</x:v>
      </x:c>
    </x:row>
    <x:row r="491">
      <x:c r="A491" t="n">
        <x:v>490</x:v>
      </x:c>
      <x:c r="B491" t="n">
        <x:v>2153972</x:v>
      </x:c>
      <x:c r="C491" t="n">
        <x:v>140745</x:v>
      </x:c>
      <x:c r="D491" t="n">
        <x:v>63476</x:v>
      </x:c>
      <x:c r="E491" t="str">
        <x:v>战斗公式.xlsx/怪物标准模型 AS/AQ/AO；2026-08-27</x:v>
      </x:c>
    </x:row>
    <x:row r="492">
      <x:c r="A492" t="n">
        <x:v>491</x:v>
      </x:c>
      <x:c r="B492" t="n">
        <x:v>2168679</x:v>
      </x:c>
      <x:c r="C492" t="n">
        <x:v>141550</x:v>
      </x:c>
      <x:c r="D492" t="n">
        <x:v>63661</x:v>
      </x:c>
      <x:c r="E492" t="str">
        <x:v>战斗公式.xlsx/怪物标准模型 AS/AQ/AO；2026-08-27</x:v>
      </x:c>
    </x:row>
    <x:row r="493">
      <x:c r="A493" t="n">
        <x:v>492</x:v>
      </x:c>
      <x:c r="B493" t="n">
        <x:v>2183467</x:v>
      </x:c>
      <x:c r="C493" t="n">
        <x:v>142359</x:v>
      </x:c>
      <x:c r="D493" t="n">
        <x:v>63847</x:v>
      </x:c>
      <x:c r="E493" t="str">
        <x:v>战斗公式.xlsx/怪物标准模型 AS/AQ/AO；2026-08-27</x:v>
      </x:c>
    </x:row>
    <x:row r="494">
      <x:c r="A494" t="n">
        <x:v>493</x:v>
      </x:c>
      <x:c r="B494" t="n">
        <x:v>2198338</x:v>
      </x:c>
      <x:c r="C494" t="n">
        <x:v>143172</x:v>
      </x:c>
      <x:c r="D494" t="n">
        <x:v>64033</x:v>
      </x:c>
      <x:c r="E494" t="str">
        <x:v>战斗公式.xlsx/怪物标准模型 AS/AQ/AO；2026-08-27</x:v>
      </x:c>
    </x:row>
    <x:row r="495">
      <x:c r="A495" t="n">
        <x:v>494</x:v>
      </x:c>
      <x:c r="B495" t="n">
        <x:v>2213290</x:v>
      </x:c>
      <x:c r="C495" t="n">
        <x:v>143988</x:v>
      </x:c>
      <x:c r="D495" t="n">
        <x:v>64219</x:v>
      </x:c>
      <x:c r="E495" t="str">
        <x:v>战斗公式.xlsx/怪物标准模型 AS/AQ/AO；2026-08-27</x:v>
      </x:c>
    </x:row>
    <x:row r="496">
      <x:c r="A496" t="n">
        <x:v>495</x:v>
      </x:c>
      <x:c r="B496" t="n">
        <x:v>2228326</x:v>
      </x:c>
      <x:c r="C496" t="n">
        <x:v>144810</x:v>
      </x:c>
      <x:c r="D496" t="n">
        <x:v>64405</x:v>
      </x:c>
      <x:c r="E496" t="str">
        <x:v>战斗公式.xlsx/怪物标准模型 AS/AQ/AO；2026-08-27</x:v>
      </x:c>
    </x:row>
    <x:row r="497">
      <x:c r="A497" t="n">
        <x:v>496</x:v>
      </x:c>
      <x:c r="B497" t="n">
        <x:v>2243444</x:v>
      </x:c>
      <x:c r="C497" t="n">
        <x:v>145635</x:v>
      </x:c>
      <x:c r="D497" t="n">
        <x:v>64592</x:v>
      </x:c>
      <x:c r="E497" t="str">
        <x:v>战斗公式.xlsx/怪物标准模型 AS/AQ/AO；2026-08-27</x:v>
      </x:c>
    </x:row>
    <x:row r="498">
      <x:c r="A498" t="n">
        <x:v>497</x:v>
      </x:c>
      <x:c r="B498" t="n">
        <x:v>2258645</x:v>
      </x:c>
      <x:c r="C498" t="n">
        <x:v>146464</x:v>
      </x:c>
      <x:c r="D498" t="n">
        <x:v>64778</x:v>
      </x:c>
      <x:c r="E498" t="str">
        <x:v>战斗公式.xlsx/怪物标准模型 AS/AQ/AO；2026-08-27</x:v>
      </x:c>
    </x:row>
    <x:row r="499">
      <x:c r="A499" t="n">
        <x:v>498</x:v>
      </x:c>
      <x:c r="B499" t="n">
        <x:v>2273930</x:v>
      </x:c>
      <x:c r="C499" t="n">
        <x:v>147297</x:v>
      </x:c>
      <x:c r="D499" t="n">
        <x:v>64965</x:v>
      </x:c>
      <x:c r="E499" t="str">
        <x:v>战斗公式.xlsx/怪物标准模型 AS/AQ/AO；2026-08-27</x:v>
      </x:c>
    </x:row>
    <x:row r="500">
      <x:c r="A500" t="n">
        <x:v>499</x:v>
      </x:c>
      <x:c r="B500" t="n">
        <x:v>2289299</x:v>
      </x:c>
      <x:c r="C500" t="n">
        <x:v>148134</x:v>
      </x:c>
      <x:c r="D500" t="n">
        <x:v>65153</x:v>
      </x:c>
      <x:c r="E500" t="str">
        <x:v>战斗公式.xlsx/怪物标准模型 AS/AQ/AO；2026-08-27</x:v>
      </x:c>
    </x:row>
    <x:row r="501">
      <x:c r="A501" t="n">
        <x:v>500</x:v>
      </x:c>
      <x:c r="B501" t="n">
        <x:v>2304753</x:v>
      </x:c>
      <x:c r="C501" t="n">
        <x:v>148975</x:v>
      </x:c>
      <x:c r="D501" t="n">
        <x:v>65340</x:v>
      </x:c>
      <x:c r="E501" t="str">
        <x:v>战斗公式.xlsx/怪物标准模型 AS/AQ/AO；2026-08-27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3.5"/>
  <x:sheetData>
    <x:row r="1">
      <x:c r="A1" t="s">
        <x:v>63</x:v>
      </x:c>
      <x:c r="B1" t="s">
        <x:v>64</x:v>
      </x:c>
      <x:c r="C1" t="s">
        <x:v>65</x:v>
      </x:c>
      <x:c r="D1" t="s">
        <x:v>23</x:v>
      </x:c>
    </x:row>
    <x:row r="2">
      <x:c r="A2">
        <x:v>1000</x:v>
      </x:c>
      <x:c r="B2" t="s">
        <x:v>66</x:v>
      </x:c>
      <x:c r="C2" t="s">
        <x:v>27</x:v>
      </x:c>
      <x:c r="D2" t="s">
        <x:v>67</x:v>
      </x:c>
    </x:row>
    <x:row r="3">
      <x:c r="A3">
        <x:v>1001</x:v>
      </x:c>
      <x:c r="B3" t="s">
        <x:v>68</x:v>
      </x:c>
      <x:c r="C3" t="s">
        <x:v>27</x:v>
      </x:c>
      <x:c r="D3" t="s">
        <x:v>67</x:v>
      </x:c>
    </x:row>
    <x:row r="4">
      <x:c r="A4">
        <x:v>1002</x:v>
      </x:c>
      <x:c r="B4" t="s">
        <x:v>69</x:v>
      </x:c>
      <x:c r="C4" t="s">
        <x:v>24</x:v>
      </x:c>
      <x:c r="D4" t="s">
        <x:v>67</x:v>
      </x:c>
    </x:row>
    <x:row r="5">
      <x:c r="A5">
        <x:v>1003</x:v>
      </x:c>
      <x:c r="B5" t="s">
        <x:v>70</x:v>
      </x:c>
      <x:c r="C5" t="s">
        <x:v>24</x:v>
      </x:c>
      <x:c r="D5" t="s">
        <x:v>67</x:v>
      </x:c>
    </x:row>
    <x:row r="6">
      <x:c r="A6">
        <x:v>1004</x:v>
      </x:c>
      <x:c r="B6" t="s">
        <x:v>71</x:v>
      </x:c>
      <x:c r="C6" t="s">
        <x:v>24</x:v>
      </x:c>
      <x:c r="D6" t="s">
        <x:v>67</x:v>
      </x:c>
    </x:row>
    <x:row r="7">
      <x:c r="A7">
        <x:v>1005</x:v>
      </x:c>
      <x:c r="B7" t="s">
        <x:v>72</x:v>
      </x:c>
      <x:c r="C7" t="s">
        <x:v>27</x:v>
      </x:c>
      <x:c r="D7" t="s">
        <x:v>67</x:v>
      </x:c>
    </x:row>
    <x:row r="8">
      <x:c r="A8">
        <x:v>1006</x:v>
      </x:c>
      <x:c r="B8" t="s">
        <x:v>73</x:v>
      </x:c>
      <x:c r="C8" t="s">
        <x:v>27</x:v>
      </x:c>
      <x:c r="D8" t="s">
        <x:v>67</x:v>
      </x:c>
    </x:row>
    <x:row r="9">
      <x:c r="A9">
        <x:v>1007</x:v>
      </x:c>
      <x:c r="B9" t="s">
        <x:v>74</x:v>
      </x:c>
      <x:c r="C9" t="s">
        <x:v>29</x:v>
      </x:c>
      <x:c r="D9" t="s">
        <x:v>67</x:v>
      </x:c>
    </x:row>
    <x:row r="10">
      <x:c r="A10">
        <x:v>1008</x:v>
      </x:c>
      <x:c r="B10" t="s">
        <x:v>75</x:v>
      </x:c>
      <x:c r="C10" t="s">
        <x:v>27</x:v>
      </x:c>
      <x:c r="D10" t="s">
        <x:v>67</x:v>
      </x:c>
    </x:row>
    <x:row r="11">
      <x:c r="A11">
        <x:v>1009</x:v>
      </x:c>
      <x:c r="B11" t="s">
        <x:v>76</x:v>
      </x:c>
      <x:c r="C11" t="s">
        <x:v>29</x:v>
      </x:c>
      <x:c r="D11" t="s">
        <x:v>67</x:v>
      </x:c>
    </x:row>
    <x:row r="12">
      <x:c r="A12">
        <x:v>1011</x:v>
      </x:c>
      <x:c r="B12" t="s">
        <x:v>77</x:v>
      </x:c>
      <x:c r="C12" t="s">
        <x:v>29</x:v>
      </x:c>
      <x:c r="D12" t="s">
        <x:v>67</x:v>
      </x:c>
    </x:row>
    <x:row r="13">
      <x:c r="A13">
        <x:v>1012</x:v>
      </x:c>
      <x:c r="B13" t="s">
        <x:v>78</x:v>
      </x:c>
      <x:c r="C13" t="s">
        <x:v>29</x:v>
      </x:c>
      <x:c r="D13" t="s">
        <x:v>67</x:v>
      </x:c>
    </x:row>
    <x:row r="14">
      <x:c r="A14">
        <x:v>1013</x:v>
      </x:c>
      <x:c r="B14" t="s">
        <x:v>79</x:v>
      </x:c>
      <x:c r="C14" t="s">
        <x:v>27</x:v>
      </x:c>
      <x:c r="D14" t="s">
        <x:v>67</x:v>
      </x:c>
    </x:row>
    <x:row r="15">
      <x:c r="A15">
        <x:v>1014</x:v>
      </x:c>
      <x:c r="B15" t="s">
        <x:v>80</x:v>
      </x:c>
      <x:c r="C15" t="s">
        <x:v>27</x:v>
      </x:c>
      <x:c r="D15" t="s">
        <x:v>67</x:v>
      </x:c>
    </x:row>
    <x:row r="16">
      <x:c r="A16">
        <x:v>1015</x:v>
      </x:c>
      <x:c r="B16" t="s">
        <x:v>81</x:v>
      </x:c>
      <x:c r="C16" t="s">
        <x:v>29</x:v>
      </x:c>
      <x:c r="D16" t="s">
        <x:v>67</x:v>
      </x:c>
    </x:row>
    <x:row r="17">
      <x:c r="A17">
        <x:v>1017</x:v>
      </x:c>
      <x:c r="B17" t="s">
        <x:v>82</x:v>
      </x:c>
      <x:c r="C17" t="s">
        <x:v>27</x:v>
      </x:c>
      <x:c r="D17" t="s">
        <x:v>67</x:v>
      </x:c>
    </x:row>
    <x:row r="18">
      <x:c r="A18">
        <x:v>1018</x:v>
      </x:c>
      <x:c r="B18" t="s">
        <x:v>83</x:v>
      </x:c>
      <x:c r="C18" t="s">
        <x:v>29</x:v>
      </x:c>
      <x:c r="D18" t="s">
        <x:v>67</x:v>
      </x:c>
    </x:row>
    <x:row r="19">
      <x:c r="A19">
        <x:v>1019</x:v>
      </x:c>
      <x:c r="B19" t="s">
        <x:v>84</x:v>
      </x:c>
      <x:c r="C19" t="s">
        <x:v>24</x:v>
      </x:c>
      <x:c r="D19" t="s">
        <x:v>67</x:v>
      </x:c>
    </x:row>
    <x:row r="20">
      <x:c r="A20">
        <x:v>1020</x:v>
      </x:c>
      <x:c r="B20" t="s">
        <x:v>85</x:v>
      </x:c>
      <x:c r="C20" t="s">
        <x:v>29</x:v>
      </x:c>
      <x:c r="D20" t="s">
        <x:v>67</x:v>
      </x:c>
    </x:row>
    <x:row r="21">
      <x:c r="A21">
        <x:v>1021</x:v>
      </x:c>
      <x:c r="B21" t="s">
        <x:v>86</x:v>
      </x:c>
      <x:c r="C21" t="s">
        <x:v>27</x:v>
      </x:c>
      <x:c r="D21" t="s">
        <x:v>67</x:v>
      </x:c>
    </x:row>
    <x:row r="22">
      <x:c r="A22">
        <x:v>1022</x:v>
      </x:c>
      <x:c r="B22" t="s">
        <x:v>87</x:v>
      </x:c>
      <x:c r="C22" t="s">
        <x:v>24</x:v>
      </x:c>
      <x:c r="D22" t="s">
        <x:v>67</x:v>
      </x:c>
    </x:row>
    <x:row r="23">
      <x:c r="A23">
        <x:v>1023</x:v>
      </x:c>
      <x:c r="B23" t="s">
        <x:v>88</x:v>
      </x:c>
      <x:c r="C23" t="s">
        <x:v>29</x:v>
      </x:c>
      <x:c r="D23" t="s">
        <x:v>67</x:v>
      </x:c>
    </x:row>
    <x:row r="24">
      <x:c r="A24">
        <x:v>1024</x:v>
      </x:c>
      <x:c r="B24" t="s">
        <x:v>89</x:v>
      </x:c>
      <x:c r="C24" t="s">
        <x:v>27</x:v>
      </x:c>
      <x:c r="D24" t="s">
        <x:v>67</x:v>
      </x:c>
    </x:row>
    <x:row r="25">
      <x:c r="A25">
        <x:v>1026</x:v>
      </x:c>
      <x:c r="B25" t="s">
        <x:v>90</x:v>
      </x:c>
      <x:c r="C25" t="s">
        <x:v>27</x:v>
      </x:c>
      <x:c r="D25" t="s">
        <x:v>67</x:v>
      </x:c>
    </x:row>
    <x:row r="26">
      <x:c r="A26">
        <x:v>1029</x:v>
      </x:c>
      <x:c r="B26" t="s">
        <x:v>91</x:v>
      </x:c>
      <x:c r="C26" t="s">
        <x:v>29</x:v>
      </x:c>
      <x:c r="D26" t="s">
        <x:v>67</x:v>
      </x:c>
    </x:row>
    <x:row r="27">
      <x:c r="A27">
        <x:v>1030</x:v>
      </x:c>
      <x:c r="B27" t="s">
        <x:v>92</x:v>
      </x:c>
      <x:c r="C27" t="s">
        <x:v>24</x:v>
      </x:c>
      <x:c r="D27" t="s">
        <x:v>67</x:v>
      </x:c>
    </x:row>
    <x:row r="28">
      <x:c r="A28">
        <x:v>1035</x:v>
      </x:c>
      <x:c r="B28" t="s">
        <x:v>93</x:v>
      </x:c>
      <x:c r="C28" t="s">
        <x:v>27</x:v>
      </x:c>
      <x:c r="D28" t="s">
        <x:v>67</x:v>
      </x:c>
    </x:row>
    <x:row r="29">
      <x:c r="A29">
        <x:v>1036</x:v>
      </x:c>
      <x:c r="B29" t="s">
        <x:v>94</x:v>
      </x:c>
      <x:c r="C29" t="s">
        <x:v>27</x:v>
      </x:c>
      <x:c r="D29" t="s">
        <x:v>67</x:v>
      </x:c>
    </x:row>
    <x:row r="30">
      <x:c r="A30">
        <x:v>1037</x:v>
      </x:c>
      <x:c r="B30" t="s">
        <x:v>95</x:v>
      </x:c>
      <x:c r="C30" t="s">
        <x:v>27</x:v>
      </x:c>
      <x:c r="D30" t="s">
        <x:v>67</x:v>
      </x:c>
    </x:row>
    <x:row r="31">
      <x:c r="A31">
        <x:v>1038</x:v>
      </x:c>
      <x:c r="B31" t="s">
        <x:v>96</x:v>
      </x:c>
      <x:c r="C31" t="s">
        <x:v>24</x:v>
      </x:c>
      <x:c r="D31" t="s">
        <x:v>67</x:v>
      </x:c>
    </x:row>
    <x:row r="32">
      <x:c r="A32">
        <x:v>1039</x:v>
      </x:c>
      <x:c r="B32" t="s">
        <x:v>97</x:v>
      </x:c>
      <x:c r="C32" t="s">
        <x:v>27</x:v>
      </x:c>
      <x:c r="D32" t="s">
        <x:v>67</x:v>
      </x:c>
    </x:row>
    <x:row r="33">
      <x:c r="A33">
        <x:v>1040</x:v>
      </x:c>
      <x:c r="B33" t="s">
        <x:v>98</x:v>
      </x:c>
      <x:c r="C33" t="s">
        <x:v>29</x:v>
      </x:c>
      <x:c r="D33" t="s">
        <x:v>67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70AD47"/>
  </x:sheetPr>
  <x:sheetViews>
    <x:sheetView showGridLines="0" workbookViewId="0"/>
  </x:sheetViews>
  <x:sheetFormatPr defaultColWidth="9" defaultRowHeight="13.5"/>
  <x:cols>
    <x:col min="1" max="1" width="14" customWidth="1"/>
    <x:col min="2" max="2" width="10" customWidth="1"/>
    <x:col min="3" max="3" width="9" customWidth="1"/>
    <x:col min="4" max="4" width="14" customWidth="1"/>
    <x:col min="5" max="6" width="16" customWidth="1"/>
    <x:col min="7" max="7" width="12" customWidth="1"/>
    <x:col min="8" max="9" width="14" customWidth="1"/>
    <x:col min="10" max="10" width="10" customWidth="1"/>
    <x:col min="11" max="11" width="8" customWidth="1"/>
    <x:col min="12" max="12" width="12" customWidth="1"/>
    <x:col min="13" max="13" width="16" customWidth="1"/>
    <x:col min="14" max="14" width="12" customWidth="1"/>
    <x:col min="15" max="29" width="14" customWidth="1"/>
    <x:col min="30" max="30" width="12" customWidth="1"/>
    <x:col min="31" max="32" width="14" customWidth="1"/>
    <x:col min="33" max="33" width="10" customWidth="1"/>
    <x:col min="34" max="34" width="26" hidden="0" customWidth="1"/>
  </x:cols>
  <x:sheetData>
    <x:row r="1" ht="30" customHeight="1">
      <x:c r="A1" s="1" t="s">
        <x:v>99</x:v>
      </x:c>
    </x:row>
    <x:row r="2" ht="32" customHeight="1">
      <x:c r="A2" s="2" t="s">
        <x:v>100</x:v>
      </x:c>
    </x:row>
    <x:row r="4" ht="38" customHeight="1">
      <x:c r="A4" s="3" t="s">
        <x:v>101</x:v>
      </x:c>
      <x:c r="B4" s="3" t="s">
        <x:v>102</x:v>
      </x:c>
      <x:c r="C4" s="3" t="s">
        <x:v>103</x:v>
      </x:c>
      <x:c r="D4" s="3" t="s">
        <x:v>104</x:v>
      </x:c>
      <x:c r="E4" s="3" t="s">
        <x:v>105</x:v>
      </x:c>
      <x:c r="F4" s="3" t="s">
        <x:v>106</x:v>
      </x:c>
      <x:c r="G4" s="3" t="s">
        <x:v>107</x:v>
      </x:c>
      <x:c r="H4" s="3" t="s">
        <x:v>108</x:v>
      </x:c>
      <x:c r="I4" s="3" t="s">
        <x:v>109</x:v>
      </x:c>
      <x:c r="J4" s="3" t="s">
        <x:v>44</x:v>
      </x:c>
      <x:c r="K4" s="3" t="s">
        <x:v>43</x:v>
      </x:c>
      <x:c r="L4" s="3" t="s">
        <x:v>45</x:v>
      </x:c>
      <x:c r="M4" s="3" t="s">
        <x:v>64</x:v>
      </x:c>
      <x:c r="N4" s="3" t="s">
        <x:v>65</x:v>
      </x:c>
      <x:c r="O4" s="3" t="s">
        <x:v>60</x:v>
      </x:c>
      <x:c r="P4" s="3" t="s">
        <x:v>61</x:v>
      </x:c>
      <x:c r="Q4" s="3" t="s">
        <x:v>62</x:v>
      </x:c>
      <x:c r="R4" s="3" t="s">
        <x:v>110</x:v>
      </x:c>
      <x:c r="S4" s="3" t="s">
        <x:v>111</x:v>
      </x:c>
      <x:c r="T4" s="3" t="s">
        <x:v>112</x:v>
      </x:c>
      <x:c r="U4" s="3" t="s">
        <x:v>113</x:v>
      </x:c>
      <x:c r="V4" s="3" t="s">
        <x:v>114</x:v>
      </x:c>
      <x:c r="W4" s="3" t="s">
        <x:v>115</x:v>
      </x:c>
      <x:c r="X4" s="3" t="s">
        <x:v>116</x:v>
      </x:c>
      <x:c r="Y4" s="3" t="s">
        <x:v>117</x:v>
      </x:c>
      <x:c r="Z4" s="3" t="s">
        <x:v>118</x:v>
      </x:c>
      <x:c r="AA4" s="3" t="s">
        <x:v>119</x:v>
      </x:c>
      <x:c r="AB4" s="3" t="s">
        <x:v>120</x:v>
      </x:c>
      <x:c r="AC4" s="3" t="s">
        <x:v>121</x:v>
      </x:c>
      <x:c r="AD4" s="3" t="s">
        <x:v>122</x:v>
      </x:c>
      <x:c r="AE4" s="3" t="s">
        <x:v>123</x:v>
      </x:c>
      <x:c r="AF4" s="3" t="s">
        <x:v>124</x:v>
      </x:c>
      <x:c r="AG4" s="3" t="s">
        <x:v>125</x:v>
      </x:c>
      <x:c r="AH4" t="str">
        <x:v>有效生命（75%减伤上限）</x:v>
      </x:c>
    </x:row>
    <x:row r="5" ht="14.25" customHeight="1">
      <x:c r="A5" s="4">
        <x:v>1</x:v>
      </x:c>
      <x:c r="B5" s="4">
        <x:v>1002</x:v>
      </x:c>
      <x:c r="C5" s="4">
        <x:v>10</x:v>
      </x:c>
      <x:c r="D5" s="5" t="n">
        <x:f>IFERROR(ROUND($U5*$X5*$AA5*'参数'!$B$13,0),"")</x:f>
        <x:v>12925</x:v>
      </x:c>
      <x:c r="E5" s="5" t="n">
        <x:f>IFERROR(ROUND($V5*$Y5*$AB5*'参数'!$C$13,0),"")</x:f>
        <x:v>743</x:v>
      </x:c>
      <x:c r="F5" s="5" t="n">
        <x:f>IFERROR(ROUND($W5*$Z5*$AC5*'参数'!$D$13,0),"")</x:f>
        <x:v>1700</x:v>
      </x:c>
      <x:c r="G5" s="4">
        <x:v>17474</x:v>
      </x:c>
      <x:c r="H5" s="4">
        <x:v>847</x:v>
      </x:c>
      <x:c r="I5" s="4">
        <x:v>1394</x:v>
      </x:c>
      <x:c r="J5" s="4">
        <x:v>1</x:v>
      </x:c>
      <x:c r="K5" s="4">
        <x:v>1</x:v>
      </x:c>
      <x:c r="L5" s="4" t="n">
        <x:f>IFERROR(INDEX('楼层配置'!$D$5:$D$104,MATCH($K5,'楼层配置'!$B$5:$B$104,0)),"")</x:f>
        <x:v>15</x:v>
      </x:c>
      <x:c r="M5" s="4" t="str">
        <x:f>IFERROR(INDEX('_角色基线'!$B$2:$B$100,MATCH($B5,'_角色基线'!$A$2:$A$100,0)),"")</x:f>
        <x:v>大暑</x:v>
      </x:c>
      <x:c r="N5" s="4" t="str">
        <x:f>IFERROR(INDEX('_角色基线'!$C$2:$C$100,MATCH($B5,'_角色基线'!$A$2:$A$100,0)),"")</x:f>
        <x:v>Tank</x:v>
      </x:c>
      <x:c r="O5" s="4" t="n">
        <x:f>IFERROR(INDEX('_怪物基线'!$B$2:$B$501,MATCH(INT($L5),'_怪物基线'!$A$2:$A$501,0)),"")</x:f>
        <x:v>2069</x:v>
      </x:c>
      <x:c r="P5" s="4" t="n">
        <x:f>IFERROR(INDEX('_怪物基线'!$C$2:$C$501,MATCH(INT($L5),'_怪物基线'!$A$2:$A$501,0)),"")</x:f>
        <x:v>705</x:v>
      </x:c>
      <x:c r="Q5" s="4" t="n">
        <x:f>IFERROR(INDEX('_怪物基线'!$D$2:$D$501,MATCH(INT($L5),'_怪物基线'!$A$2:$A$501,0)),"")</x:f>
        <x:v>1133</x:v>
      </x:c>
      <x:c r="R5" s="4" t="n">
        <x:f>'参数'!$B$10</x:f>
        <x:v>4</x:v>
      </x:c>
      <x:c r="S5" s="4" t="n">
        <x:f>'参数'!$C$10</x:f>
        <x:v>1.2</x:v>
      </x:c>
      <x:c r="T5" s="4" t="n">
        <x:f>'参数'!$D$10</x:f>
        <x:v>1</x:v>
      </x:c>
      <x:c r="U5" s="4" t="n">
        <x:f t="shared" ref="U5:U68" si="0">IF($O5="","",$O5*$R5)</x:f>
        <x:v>8276</x:v>
      </x:c>
      <x:c r="V5" s="4" t="n">
        <x:f t="shared" ref="V5:V68" si="1">IF($P5="","",$P5*$S5)</x:f>
        <x:v>846</x:v>
      </x:c>
      <x:c r="W5" s="4" t="n">
        <x:f t="shared" ref="W5:W68" si="2">IF($Q5="","",$Q5*$T5)</x:f>
        <x:v>1133</x:v>
      </x:c>
      <x:c r="X5" s="4" t="n">
        <x:f>IFERROR(INDEX('参数'!$B$5:$B$7,MATCH($N5,'参数'!$A$5:$A$7,0)),"")</x:f>
        <x:v>1.5</x:v>
      </x:c>
      <x:c r="Y5" s="4" t="n">
        <x:f>IFERROR(INDEX('参数'!$C$5:$C$7,MATCH($N5,'参数'!$A$5:$A$7,0)),"")</x:f>
        <x:v>1</x:v>
      </x:c>
      <x:c r="Z5" s="4" t="n">
        <x:f>IFERROR(INDEX('参数'!$D$5:$D$7,MATCH($N5,'参数'!$A$5:$A$7,0)),"")</x:f>
        <x:v>1.5</x:v>
      </x:c>
      <x:c r="AA5" s="4" t="n">
        <x:f>IFERROR(INDEX('楼层配置'!$E$5:$E$104,MATCH($K5,'楼层配置'!$B$5:$B$104,0)),1)</x:f>
        <x:v>1.0411518791011973</x:v>
      </x:c>
      <x:c r="AB5" s="4" t="n">
        <x:f>IFERROR(INDEX('楼层配置'!$F$5:$F$104,MATCH($K5,'楼层配置'!$B$5:$B$104,0)),1)</x:f>
        <x:v>0.8787994647294972</x:v>
      </x:c>
      <x:c r="AC5" s="4" t="n">
        <x:f>IFERROR(INDEX('楼层配置'!$G$5:$G$104,MATCH($K5,'楼层配置'!$B$5:$B$104,0)),1)</x:f>
        <x:v>1</x:v>
      </x:c>
      <x:c r="AD5" s="6" t="n">
        <x:f t="shared" ref="AD5:AD68" si="3">IFERROR($D5/$G5-1,"")</x:f>
        <x:v>-0.26032963259700126</x:v>
      </x:c>
      <x:c r="AE5" s="6" t="n">
        <x:f t="shared" ref="AE5:AE68" si="4">IFERROR($E5/$H5-1,"")</x:f>
        <x:v>-0.12278630460448647</x:v>
      </x:c>
      <x:c r="AF5" s="6" t="n">
        <x:f t="shared" ref="AF5:AF68" si="5">IFERROR($F5/$I5-1,"")</x:f>
        <x:v>0.2195121951219512</x:v>
      </x:c>
      <x:c r="AG5" s="4" t="str">
        <x:f t="shared" ref="AG5:AG68" si="6">IF(AND($A5&gt;=1,$L5&gt;=1,$L5&lt;=500,OR($N5="Tank",$N5="DPS",$N5="Support"),ISNUMBER($D5),ISNUMBER($E5),ISNUMBER($F5)),"有效","异常")</x:f>
        <x:v>有效</x:v>
      </x:c>
      <x:c r="AH5" t="n">
        <x:f>D5/(1-MIN(0.75,F5/(24000+F5)))</x:f>
        <x:v>13840.520833333334</x:v>
      </x:c>
    </x:row>
    <x:row r="6" ht="14.25" customHeight="1">
      <x:c r="A6" s="4">
        <x:v>2</x:v>
      </x:c>
      <x:c r="B6" s="4">
        <x:v>1001</x:v>
      </x:c>
      <x:c r="C6" s="4">
        <x:v>10</x:v>
      </x:c>
      <x:c r="D6" s="5" t="n">
        <x:f>IFERROR(ROUND($U6*$X6*$AA6*'参数'!$B$13,0),"")</x:f>
        <x:v>8617</x:v>
      </x:c>
      <x:c r="E6" s="5" t="n">
        <x:f>IFERROR(ROUND($V6*$Y6*$AB6*'参数'!$C$13,0),"")</x:f>
        <x:v>892</x:v>
      </x:c>
      <x:c r="F6" s="5" t="n">
        <x:f>IFERROR(ROUND($W6*$Z6*$AC6*'参数'!$D$13,0),"")</x:f>
        <x:v>1133</x:v>
      </x:c>
      <x:c r="G6" s="4">
        <x:v>11649</x:v>
      </x:c>
      <x:c r="H6" s="4">
        <x:v>1016</x:v>
      </x:c>
      <x:c r="I6" s="4">
        <x:v>929</x:v>
      </x:c>
      <x:c r="J6" s="4">
        <x:v>1</x:v>
      </x:c>
      <x:c r="K6" s="4">
        <x:v>1</x:v>
      </x:c>
      <x:c r="L6" s="4" t="n">
        <x:f>IFERROR(INDEX('楼层配置'!$D$5:$D$104,MATCH($K6,'楼层配置'!$B$5:$B$104,0)),"")</x:f>
        <x:v>15</x:v>
      </x:c>
      <x:c r="M6" s="4" t="str">
        <x:f>IFERROR(INDEX('_角色基线'!$B$2:$B$100,MATCH($B6,'_角色基线'!$A$2:$A$100,0)),"")</x:f>
        <x:v>星海</x:v>
      </x:c>
      <x:c r="N6" s="4" t="str">
        <x:f>IFERROR(INDEX('_角色基线'!$C$2:$C$100,MATCH($B6,'_角色基线'!$A$2:$A$100,0)),"")</x:f>
        <x:v>DPS</x:v>
      </x:c>
      <x:c r="O6" s="4" t="n">
        <x:f>IFERROR(INDEX('_怪物基线'!$B$2:$B$501,MATCH(INT($L6),'_怪物基线'!$A$2:$A$501,0)),"")</x:f>
        <x:v>2069</x:v>
      </x:c>
      <x:c r="P6" s="4" t="n">
        <x:f>IFERROR(INDEX('_怪物基线'!$C$2:$C$501,MATCH(INT($L6),'_怪物基线'!$A$2:$A$501,0)),"")</x:f>
        <x:v>705</x:v>
      </x:c>
      <x:c r="Q6" s="4" t="n">
        <x:f>IFERROR(INDEX('_怪物基线'!$D$2:$D$501,MATCH(INT($L6),'_怪物基线'!$A$2:$A$501,0)),"")</x:f>
        <x:v>1133</x:v>
      </x:c>
      <x:c r="R6" s="4" t="n">
        <x:f>'参数'!$B$10</x:f>
        <x:v>4</x:v>
      </x:c>
      <x:c r="S6" s="4" t="n">
        <x:f>'参数'!$C$10</x:f>
        <x:v>1.2</x:v>
      </x:c>
      <x:c r="T6" s="4" t="n">
        <x:f>'参数'!$D$10</x:f>
        <x:v>1</x:v>
      </x:c>
      <x:c r="U6" s="4" t="n">
        <x:f t="shared" si="0">IF($O6="","",$O6*$R6)</x:f>
        <x:v>8276</x:v>
      </x:c>
      <x:c r="V6" s="4" t="n">
        <x:f t="shared" si="1">IF($P6="","",$P6*$S6)</x:f>
        <x:v>846</x:v>
      </x:c>
      <x:c r="W6" s="4" t="n">
        <x:f t="shared" si="2">IF($Q6="","",$Q6*$T6)</x:f>
        <x:v>1133</x:v>
      </x:c>
      <x:c r="X6" s="4" t="n">
        <x:f>IFERROR(INDEX('参数'!$B$5:$B$7,MATCH($N6,'参数'!$A$5:$A$7,0)),"")</x:f>
        <x:v>1</x:v>
      </x:c>
      <x:c r="Y6" s="4" t="n">
        <x:f>IFERROR(INDEX('参数'!$C$5:$C$7,MATCH($N6,'参数'!$A$5:$A$7,0)),"")</x:f>
        <x:v>1.2</x:v>
      </x:c>
      <x:c r="Z6" s="4" t="n">
        <x:f>IFERROR(INDEX('参数'!$D$5:$D$7,MATCH($N6,'参数'!$A$5:$A$7,0)),"")</x:f>
        <x:v>1</x:v>
      </x:c>
      <x:c r="AA6" s="4" t="n">
        <x:f>IFERROR(INDEX('楼层配置'!$E$5:$E$104,MATCH($K6,'楼层配置'!$B$5:$B$104,0)),1)</x:f>
        <x:v>1.0411518791011973</x:v>
      </x:c>
      <x:c r="AB6" s="4" t="n">
        <x:f>IFERROR(INDEX('楼层配置'!$F$5:$F$104,MATCH($K6,'楼层配置'!$B$5:$B$104,0)),1)</x:f>
        <x:v>0.8787994647294972</x:v>
      </x:c>
      <x:c r="AC6" s="4" t="n">
        <x:f>IFERROR(INDEX('楼层配置'!$G$5:$G$104,MATCH($K6,'楼层配置'!$B$5:$B$104,0)),1)</x:f>
        <x:v>1</x:v>
      </x:c>
      <x:c r="AD6" s="6" t="n">
        <x:f t="shared" si="3">IFERROR($D6/$G6-1,"")</x:f>
        <x:v>-0.260279852347841</x:v>
      </x:c>
      <x:c r="AE6" s="6" t="n">
        <x:f t="shared" si="4">IFERROR($E6/$H6-1,"")</x:f>
        <x:v>-0.1220472440944882</x:v>
      </x:c>
      <x:c r="AF6" s="6" t="n">
        <x:f t="shared" si="5">IFERROR($F6/$I6-1,"")</x:f>
        <x:v>0.21959095801937578</x:v>
      </x:c>
      <x:c r="AG6" s="4" t="str">
        <x:f t="shared" si="6">IF(AND($A6&gt;=1,$L6&gt;=1,$L6&lt;=500,OR($N6="Tank",$N6="DPS",$N6="Support"),ISNUMBER($D6),ISNUMBER($E6),ISNUMBER($F6)),"有效","异常")</x:f>
        <x:v>有效</x:v>
      </x:c>
      <x:c r="AH6" t="n">
        <x:f>D6/(1-MIN(0.75,F6/(24000+F6)))</x:f>
        <x:v>9023.794208333333</x:v>
      </x:c>
    </x:row>
    <x:row r="7" ht="14.25" customHeight="1">
      <x:c r="A7" s="4">
        <x:v>3</x:v>
      </x:c>
      <x:c r="B7" s="4">
        <x:v>1001</x:v>
      </x:c>
      <x:c r="C7" s="4">
        <x:v>10</x:v>
      </x:c>
      <x:c r="D7" s="5" t="n">
        <x:f>IFERROR(ROUND($U7*$X7*$AA7*'参数'!$B$13,0),"")</x:f>
        <x:v>8617</x:v>
      </x:c>
      <x:c r="E7" s="5" t="n">
        <x:f>IFERROR(ROUND($V7*$Y7*$AB7*'参数'!$C$13,0),"")</x:f>
        <x:v>892</x:v>
      </x:c>
      <x:c r="F7" s="5" t="n">
        <x:f>IFERROR(ROUND($W7*$Z7*$AC7*'参数'!$D$13,0),"")</x:f>
        <x:v>1133</x:v>
      </x:c>
      <x:c r="G7" s="4">
        <x:v>11649</x:v>
      </x:c>
      <x:c r="H7" s="4">
        <x:v>1016</x:v>
      </x:c>
      <x:c r="I7" s="4">
        <x:v>929</x:v>
      </x:c>
      <x:c r="J7" s="4">
        <x:v>1</x:v>
      </x:c>
      <x:c r="K7" s="4">
        <x:v>1</x:v>
      </x:c>
      <x:c r="L7" s="4" t="n">
        <x:f>IFERROR(INDEX('楼层配置'!$D$5:$D$104,MATCH($K7,'楼层配置'!$B$5:$B$104,0)),"")</x:f>
        <x:v>15</x:v>
      </x:c>
      <x:c r="M7" s="4" t="str">
        <x:f>IFERROR(INDEX('_角色基线'!$B$2:$B$100,MATCH($B7,'_角色基线'!$A$2:$A$100,0)),"")</x:f>
        <x:v>星海</x:v>
      </x:c>
      <x:c r="N7" s="4" t="str">
        <x:f>IFERROR(INDEX('_角色基线'!$C$2:$C$100,MATCH($B7,'_角色基线'!$A$2:$A$100,0)),"")</x:f>
        <x:v>DPS</x:v>
      </x:c>
      <x:c r="O7" s="4" t="n">
        <x:f>IFERROR(INDEX('_怪物基线'!$B$2:$B$501,MATCH(INT($L7),'_怪物基线'!$A$2:$A$501,0)),"")</x:f>
        <x:v>2069</x:v>
      </x:c>
      <x:c r="P7" s="4" t="n">
        <x:f>IFERROR(INDEX('_怪物基线'!$C$2:$C$501,MATCH(INT($L7),'_怪物基线'!$A$2:$A$501,0)),"")</x:f>
        <x:v>705</x:v>
      </x:c>
      <x:c r="Q7" s="4" t="n">
        <x:f>IFERROR(INDEX('_怪物基线'!$D$2:$D$501,MATCH(INT($L7),'_怪物基线'!$A$2:$A$501,0)),"")</x:f>
        <x:v>1133</x:v>
      </x:c>
      <x:c r="R7" s="4" t="n">
        <x:f>'参数'!$B$10</x:f>
        <x:v>4</x:v>
      </x:c>
      <x:c r="S7" s="4" t="n">
        <x:f>'参数'!$C$10</x:f>
        <x:v>1.2</x:v>
      </x:c>
      <x:c r="T7" s="4" t="n">
        <x:f>'参数'!$D$10</x:f>
        <x:v>1</x:v>
      </x:c>
      <x:c r="U7" s="4" t="n">
        <x:f t="shared" si="0">IF($O7="","",$O7*$R7)</x:f>
        <x:v>8276</x:v>
      </x:c>
      <x:c r="V7" s="4" t="n">
        <x:f t="shared" si="1">IF($P7="","",$P7*$S7)</x:f>
        <x:v>846</x:v>
      </x:c>
      <x:c r="W7" s="4" t="n">
        <x:f t="shared" si="2">IF($Q7="","",$Q7*$T7)</x:f>
        <x:v>1133</x:v>
      </x:c>
      <x:c r="X7" s="4" t="n">
        <x:f>IFERROR(INDEX('参数'!$B$5:$B$7,MATCH($N7,'参数'!$A$5:$A$7,0)),"")</x:f>
        <x:v>1</x:v>
      </x:c>
      <x:c r="Y7" s="4" t="n">
        <x:f>IFERROR(INDEX('参数'!$C$5:$C$7,MATCH($N7,'参数'!$A$5:$A$7,0)),"")</x:f>
        <x:v>1.2</x:v>
      </x:c>
      <x:c r="Z7" s="4" t="n">
        <x:f>IFERROR(INDEX('参数'!$D$5:$D$7,MATCH($N7,'参数'!$A$5:$A$7,0)),"")</x:f>
        <x:v>1</x:v>
      </x:c>
      <x:c r="AA7" s="4" t="n">
        <x:f>IFERROR(INDEX('楼层配置'!$E$5:$E$104,MATCH($K7,'楼层配置'!$B$5:$B$104,0)),1)</x:f>
        <x:v>1.0411518791011973</x:v>
      </x:c>
      <x:c r="AB7" s="4" t="n">
        <x:f>IFERROR(INDEX('楼层配置'!$F$5:$F$104,MATCH($K7,'楼层配置'!$B$5:$B$104,0)),1)</x:f>
        <x:v>0.8787994647294972</x:v>
      </x:c>
      <x:c r="AC7" s="4" t="n">
        <x:f>IFERROR(INDEX('楼层配置'!$G$5:$G$104,MATCH($K7,'楼层配置'!$B$5:$B$104,0)),1)</x:f>
        <x:v>1</x:v>
      </x:c>
      <x:c r="AD7" s="6" t="n">
        <x:f t="shared" si="3">IFERROR($D7/$G7-1,"")</x:f>
        <x:v>-0.260279852347841</x:v>
      </x:c>
      <x:c r="AE7" s="6" t="n">
        <x:f t="shared" si="4">IFERROR($E7/$H7-1,"")</x:f>
        <x:v>-0.1220472440944882</x:v>
      </x:c>
      <x:c r="AF7" s="6" t="n">
        <x:f t="shared" si="5">IFERROR($F7/$I7-1,"")</x:f>
        <x:v>0.21959095801937578</x:v>
      </x:c>
      <x:c r="AG7" s="4" t="str">
        <x:f t="shared" si="6">IF(AND($A7&gt;=1,$L7&gt;=1,$L7&lt;=500,OR($N7="Tank",$N7="DPS",$N7="Support"),ISNUMBER($D7),ISNUMBER($E7),ISNUMBER($F7)),"有效","异常")</x:f>
        <x:v>有效</x:v>
      </x:c>
      <x:c r="AH7" t="n">
        <x:f>D7/(1-MIN(0.75,F7/(24000+F7)))</x:f>
        <x:v>9023.794208333333</x:v>
      </x:c>
    </x:row>
    <x:row r="8" ht="14.25" customHeight="1">
      <x:c r="A8" s="4">
        <x:v>4</x:v>
      </x:c>
      <x:c r="B8" s="4">
        <x:v>1001</x:v>
      </x:c>
      <x:c r="C8" s="4">
        <x:v>10</x:v>
      </x:c>
      <x:c r="D8" s="5" t="n">
        <x:f>IFERROR(ROUND($U8*$X8*$AA8*'参数'!$B$13,0),"")</x:f>
        <x:v>8617</x:v>
      </x:c>
      <x:c r="E8" s="5" t="n">
        <x:f>IFERROR(ROUND($V8*$Y8*$AB8*'参数'!$C$13,0),"")</x:f>
        <x:v>892</x:v>
      </x:c>
      <x:c r="F8" s="5" t="n">
        <x:f>IFERROR(ROUND($W8*$Z8*$AC8*'参数'!$D$13,0),"")</x:f>
        <x:v>1133</x:v>
      </x:c>
      <x:c r="G8" s="4">
        <x:v>11649</x:v>
      </x:c>
      <x:c r="H8" s="4">
        <x:v>1016</x:v>
      </x:c>
      <x:c r="I8" s="4">
        <x:v>929</x:v>
      </x:c>
      <x:c r="J8" s="4">
        <x:v>1</x:v>
      </x:c>
      <x:c r="K8" s="4">
        <x:v>1</x:v>
      </x:c>
      <x:c r="L8" s="4" t="n">
        <x:f>IFERROR(INDEX('楼层配置'!$D$5:$D$104,MATCH($K8,'楼层配置'!$B$5:$B$104,0)),"")</x:f>
        <x:v>15</x:v>
      </x:c>
      <x:c r="M8" s="4" t="str">
        <x:f>IFERROR(INDEX('_角色基线'!$B$2:$B$100,MATCH($B8,'_角色基线'!$A$2:$A$100,0)),"")</x:f>
        <x:v>星海</x:v>
      </x:c>
      <x:c r="N8" s="4" t="str">
        <x:f>IFERROR(INDEX('_角色基线'!$C$2:$C$100,MATCH($B8,'_角色基线'!$A$2:$A$100,0)),"")</x:f>
        <x:v>DPS</x:v>
      </x:c>
      <x:c r="O8" s="4" t="n">
        <x:f>IFERROR(INDEX('_怪物基线'!$B$2:$B$501,MATCH(INT($L8),'_怪物基线'!$A$2:$A$501,0)),"")</x:f>
        <x:v>2069</x:v>
      </x:c>
      <x:c r="P8" s="4" t="n">
        <x:f>IFERROR(INDEX('_怪物基线'!$C$2:$C$501,MATCH(INT($L8),'_怪物基线'!$A$2:$A$501,0)),"")</x:f>
        <x:v>705</x:v>
      </x:c>
      <x:c r="Q8" s="4" t="n">
        <x:f>IFERROR(INDEX('_怪物基线'!$D$2:$D$501,MATCH(INT($L8),'_怪物基线'!$A$2:$A$501,0)),"")</x:f>
        <x:v>1133</x:v>
      </x:c>
      <x:c r="R8" s="4" t="n">
        <x:f>'参数'!$B$10</x:f>
        <x:v>4</x:v>
      </x:c>
      <x:c r="S8" s="4" t="n">
        <x:f>'参数'!$C$10</x:f>
        <x:v>1.2</x:v>
      </x:c>
      <x:c r="T8" s="4" t="n">
        <x:f>'参数'!$D$10</x:f>
        <x:v>1</x:v>
      </x:c>
      <x:c r="U8" s="4" t="n">
        <x:f t="shared" si="0">IF($O8="","",$O8*$R8)</x:f>
        <x:v>8276</x:v>
      </x:c>
      <x:c r="V8" s="4" t="n">
        <x:f t="shared" si="1">IF($P8="","",$P8*$S8)</x:f>
        <x:v>846</x:v>
      </x:c>
      <x:c r="W8" s="4" t="n">
        <x:f t="shared" si="2">IF($Q8="","",$Q8*$T8)</x:f>
        <x:v>1133</x:v>
      </x:c>
      <x:c r="X8" s="4" t="n">
        <x:f>IFERROR(INDEX('参数'!$B$5:$B$7,MATCH($N8,'参数'!$A$5:$A$7,0)),"")</x:f>
        <x:v>1</x:v>
      </x:c>
      <x:c r="Y8" s="4" t="n">
        <x:f>IFERROR(INDEX('参数'!$C$5:$C$7,MATCH($N8,'参数'!$A$5:$A$7,0)),"")</x:f>
        <x:v>1.2</x:v>
      </x:c>
      <x:c r="Z8" s="4" t="n">
        <x:f>IFERROR(INDEX('参数'!$D$5:$D$7,MATCH($N8,'参数'!$A$5:$A$7,0)),"")</x:f>
        <x:v>1</x:v>
      </x:c>
      <x:c r="AA8" s="4" t="n">
        <x:f>IFERROR(INDEX('楼层配置'!$E$5:$E$104,MATCH($K8,'楼层配置'!$B$5:$B$104,0)),1)</x:f>
        <x:v>1.0411518791011973</x:v>
      </x:c>
      <x:c r="AB8" s="4" t="n">
        <x:f>IFERROR(INDEX('楼层配置'!$F$5:$F$104,MATCH($K8,'楼层配置'!$B$5:$B$104,0)),1)</x:f>
        <x:v>0.8787994647294972</x:v>
      </x:c>
      <x:c r="AC8" s="4" t="n">
        <x:f>IFERROR(INDEX('楼层配置'!$G$5:$G$104,MATCH($K8,'楼层配置'!$B$5:$B$104,0)),1)</x:f>
        <x:v>1</x:v>
      </x:c>
      <x:c r="AD8" s="6" t="n">
        <x:f t="shared" si="3">IFERROR($D8/$G8-1,"")</x:f>
        <x:v>-0.260279852347841</x:v>
      </x:c>
      <x:c r="AE8" s="6" t="n">
        <x:f t="shared" si="4">IFERROR($E8/$H8-1,"")</x:f>
        <x:v>-0.1220472440944882</x:v>
      </x:c>
      <x:c r="AF8" s="6" t="n">
        <x:f t="shared" si="5">IFERROR($F8/$I8-1,"")</x:f>
        <x:v>0.21959095801937578</x:v>
      </x:c>
      <x:c r="AG8" s="4" t="str">
        <x:f t="shared" si="6">IF(AND($A8&gt;=1,$L8&gt;=1,$L8&lt;=500,OR($N8="Tank",$N8="DPS",$N8="Support"),ISNUMBER($D8),ISNUMBER($E8),ISNUMBER($F8)),"有效","异常")</x:f>
        <x:v>有效</x:v>
      </x:c>
      <x:c r="AH8" t="n">
        <x:f>D8/(1-MIN(0.75,F8/(24000+F8)))</x:f>
        <x:v>9023.794208333333</x:v>
      </x:c>
    </x:row>
    <x:row r="9" ht="14.25" customHeight="1">
      <x:c r="A9" s="4">
        <x:v>5</x:v>
      </x:c>
      <x:c r="B9" s="4">
        <x:v>1040</x:v>
      </x:c>
      <x:c r="C9" s="4">
        <x:v>10</x:v>
      </x:c>
      <x:c r="D9" s="5" t="n">
        <x:f>IFERROR(ROUND($U9*$X9*$AA9*'参数'!$B$13,0),"")</x:f>
        <x:v>10771</x:v>
      </x:c>
      <x:c r="E9" s="5" t="n">
        <x:f>IFERROR(ROUND($V9*$Y9*$AB9*'参数'!$C$13,0),"")</x:f>
        <x:v>743</x:v>
      </x:c>
      <x:c r="F9" s="5" t="n">
        <x:f>IFERROR(ROUND($W9*$Z9*$AC9*'参数'!$D$13,0),"")</x:f>
        <x:v>1416</x:v>
      </x:c>
      <x:c r="G9" s="4">
        <x:v>14562</x:v>
      </x:c>
      <x:c r="H9" s="4">
        <x:v>847</x:v>
      </x:c>
      <x:c r="I9" s="4">
        <x:v>1162</x:v>
      </x:c>
      <x:c r="J9" s="4">
        <x:v>1</x:v>
      </x:c>
      <x:c r="K9" s="4">
        <x:v>1</x:v>
      </x:c>
      <x:c r="L9" s="4" t="n">
        <x:f>IFERROR(INDEX('楼层配置'!$D$5:$D$104,MATCH($K9,'楼层配置'!$B$5:$B$104,0)),"")</x:f>
        <x:v>15</x:v>
      </x:c>
      <x:c r="M9" s="4" t="str">
        <x:f>IFERROR(INDEX('_角色基线'!$B$2:$B$100,MATCH($B9,'_角色基线'!$A$2:$A$100,0)),"")</x:f>
        <x:v>小寒</x:v>
      </x:c>
      <x:c r="N9" s="4" t="str">
        <x:f>IFERROR(INDEX('_角色基线'!$C$2:$C$100,MATCH($B9,'_角色基线'!$A$2:$A$100,0)),"")</x:f>
        <x:v>Support</x:v>
      </x:c>
      <x:c r="O9" s="4" t="n">
        <x:f>IFERROR(INDEX('_怪物基线'!$B$2:$B$501,MATCH(INT($L9),'_怪物基线'!$A$2:$A$501,0)),"")</x:f>
        <x:v>2069</x:v>
      </x:c>
      <x:c r="P9" s="4" t="n">
        <x:f>IFERROR(INDEX('_怪物基线'!$C$2:$C$501,MATCH(INT($L9),'_怪物基线'!$A$2:$A$501,0)),"")</x:f>
        <x:v>705</x:v>
      </x:c>
      <x:c r="Q9" s="4" t="n">
        <x:f>IFERROR(INDEX('_怪物基线'!$D$2:$D$501,MATCH(INT($L9),'_怪物基线'!$A$2:$A$501,0)),"")</x:f>
        <x:v>1133</x:v>
      </x:c>
      <x:c r="R9" s="4" t="n">
        <x:f>'参数'!$B$10</x:f>
        <x:v>4</x:v>
      </x:c>
      <x:c r="S9" s="4" t="n">
        <x:f>'参数'!$C$10</x:f>
        <x:v>1.2</x:v>
      </x:c>
      <x:c r="T9" s="4" t="n">
        <x:f>'参数'!$D$10</x:f>
        <x:v>1</x:v>
      </x:c>
      <x:c r="U9" s="4" t="n">
        <x:f t="shared" si="0">IF($O9="","",$O9*$R9)</x:f>
        <x:v>8276</x:v>
      </x:c>
      <x:c r="V9" s="4" t="n">
        <x:f t="shared" si="1">IF($P9="","",$P9*$S9)</x:f>
        <x:v>846</x:v>
      </x:c>
      <x:c r="W9" s="4" t="n">
        <x:f t="shared" si="2">IF($Q9="","",$Q9*$T9)</x:f>
        <x:v>1133</x:v>
      </x:c>
      <x:c r="X9" s="4" t="n">
        <x:f>IFERROR(INDEX('参数'!$B$5:$B$7,MATCH($N9,'参数'!$A$5:$A$7,0)),"")</x:f>
        <x:v>1.25</x:v>
      </x:c>
      <x:c r="Y9" s="4" t="n">
        <x:f>IFERROR(INDEX('参数'!$C$5:$C$7,MATCH($N9,'参数'!$A$5:$A$7,0)),"")</x:f>
        <x:v>1</x:v>
      </x:c>
      <x:c r="Z9" s="4" t="n">
        <x:f>IFERROR(INDEX('参数'!$D$5:$D$7,MATCH($N9,'参数'!$A$5:$A$7,0)),"")</x:f>
        <x:v>1.25</x:v>
      </x:c>
      <x:c r="AA9" s="4" t="n">
        <x:f>IFERROR(INDEX('楼层配置'!$E$5:$E$104,MATCH($K9,'楼层配置'!$B$5:$B$104,0)),1)</x:f>
        <x:v>1.0411518791011973</x:v>
      </x:c>
      <x:c r="AB9" s="4" t="n">
        <x:f>IFERROR(INDEX('楼层配置'!$F$5:$F$104,MATCH($K9,'楼层配置'!$B$5:$B$104,0)),1)</x:f>
        <x:v>0.8787994647294972</x:v>
      </x:c>
      <x:c r="AC9" s="4" t="n">
        <x:f>IFERROR(INDEX('楼层配置'!$G$5:$G$104,MATCH($K9,'楼层配置'!$B$5:$B$104,0)),1)</x:f>
        <x:v>1</x:v>
      </x:c>
      <x:c r="AD9" s="6" t="n">
        <x:f t="shared" si="3">IFERROR($D9/$G9-1,"")</x:f>
        <x:v>-0.26033511880236226</x:v>
      </x:c>
      <x:c r="AE9" s="6" t="n">
        <x:f t="shared" si="4">IFERROR($E9/$H9-1,"")</x:f>
        <x:v>-0.12278630460448647</x:v>
      </x:c>
      <x:c r="AF9" s="6" t="n">
        <x:f t="shared" si="5">IFERROR($F9/$I9-1,"")</x:f>
        <x:v>0.21858864027538716</x:v>
      </x:c>
      <x:c r="AG9" s="4" t="str">
        <x:f t="shared" si="6">IF(AND($A9&gt;=1,$L9&gt;=1,$L9&lt;=500,OR($N9="Tank",$N9="DPS",$N9="Support"),ISNUMBER($D9),ISNUMBER($E9),ISNUMBER($F9)),"有效","异常")</x:f>
        <x:v>有效</x:v>
      </x:c>
      <x:c r="AH9" t="n">
        <x:f>D9/(1-MIN(0.75,F9/(24000+F9)))</x:f>
        <x:v>11406.489</x:v>
      </x:c>
    </x:row>
    <x:row r="10" ht="14.25" customHeight="1">
      <x:c r="A10" s="4">
        <x:v>6</x:v>
      </x:c>
      <x:c r="B10" s="4">
        <x:v>1038</x:v>
      </x:c>
      <x:c r="C10" s="4">
        <x:v>11</x:v>
      </x:c>
      <x:c r="D10" s="5" t="n">
        <x:f>IFERROR(ROUND($U10*$X10*$AA10*'参数'!$B$13,0),"")</x:f>
        <x:v>16789</x:v>
      </x:c>
      <x:c r="E10" s="5" t="n">
        <x:f>IFERROR(ROUND($V10*$Y10*$AB10*'参数'!$C$13,0),"")</x:f>
        <x:v>907</x:v>
      </x:c>
      <x:c r="F10" s="5" t="n">
        <x:f>IFERROR(ROUND($W10*$Z10*$AC10*'参数'!$D$13,0),"")</x:f>
        <x:v>2049</x:v>
      </x:c>
      <x:c r="G10" s="4">
        <x:v>22442</x:v>
      </x:c>
      <x:c r="H10" s="4">
        <x:v>1028</x:v>
      </x:c>
      <x:c r="I10" s="4">
        <x:v>1686</x:v>
      </x:c>
      <x:c r="J10" s="4">
        <x:v>2</x:v>
      </x:c>
      <x:c r="K10" s="4">
        <x:v>2</x:v>
      </x:c>
      <x:c r="L10" s="4" t="n">
        <x:f>IFERROR(INDEX('楼层配置'!$D$5:$D$104,MATCH($K10,'楼层配置'!$B$5:$B$104,0)),"")</x:f>
        <x:v>18</x:v>
      </x:c>
      <x:c r="M10" s="4" t="str">
        <x:f>IFERROR(INDEX('_角色基线'!$B$2:$B$100,MATCH($B10,'_角色基线'!$A$2:$A$100,0)),"")</x:f>
        <x:v>商队战斗员</x:v>
      </x:c>
      <x:c r="N10" s="4" t="str">
        <x:f>IFERROR(INDEX('_角色基线'!$C$2:$C$100,MATCH($B10,'_角色基线'!$A$2:$A$100,0)),"")</x:f>
        <x:v>Tank</x:v>
      </x:c>
      <x:c r="O10" s="4" t="n">
        <x:f>IFERROR(INDEX('_怪物基线'!$B$2:$B$501,MATCH(INT($L10),'_怪物基线'!$A$2:$A$501,0)),"")</x:f>
        <x:v>2624</x:v>
      </x:c>
      <x:c r="P10" s="4" t="n">
        <x:f>IFERROR(INDEX('_怪物基线'!$C$2:$C$501,MATCH(INT($L10),'_怪物基线'!$A$2:$A$501,0)),"")</x:f>
        <x:v>857</x:v>
      </x:c>
      <x:c r="Q10" s="4" t="n">
        <x:f>IFERROR(INDEX('_怪物基线'!$D$2:$D$501,MATCH(INT($L10),'_怪物基线'!$A$2:$A$501,0)),"")</x:f>
        <x:v>1366</x:v>
      </x:c>
      <x:c r="R10" s="4" t="n">
        <x:f>'参数'!$B$10</x:f>
        <x:v>4</x:v>
      </x:c>
      <x:c r="S10" s="4" t="n">
        <x:f>'参数'!$C$10</x:f>
        <x:v>1.2</x:v>
      </x:c>
      <x:c r="T10" s="4" t="n">
        <x:f>'参数'!$D$10</x:f>
        <x:v>1</x:v>
      </x:c>
      <x:c r="U10" s="4" t="n">
        <x:f t="shared" si="0">IF($O10="","",$O10*$R10)</x:f>
        <x:v>10496</x:v>
      </x:c>
      <x:c r="V10" s="4" t="n">
        <x:f t="shared" si="1">IF($P10="","",$P10*$S10)</x:f>
        <x:v>1028.3999999999999</x:v>
      </x:c>
      <x:c r="W10" s="4" t="n">
        <x:f t="shared" si="2">IF($Q10="","",$Q10*$T10)</x:f>
        <x:v>1366</x:v>
      </x:c>
      <x:c r="X10" s="4" t="n">
        <x:f>IFERROR(INDEX('参数'!$B$5:$B$7,MATCH($N10,'参数'!$A$5:$A$7,0)),"")</x:f>
        <x:v>1.5</x:v>
      </x:c>
      <x:c r="Y10" s="4" t="n">
        <x:f>IFERROR(INDEX('参数'!$C$5:$C$7,MATCH($N10,'参数'!$A$5:$A$7,0)),"")</x:f>
        <x:v>1</x:v>
      </x:c>
      <x:c r="Z10" s="4" t="n">
        <x:f>IFERROR(INDEX('参数'!$D$5:$D$7,MATCH($N10,'参数'!$A$5:$A$7,0)),"")</x:f>
        <x:v>1.5</x:v>
      </x:c>
      <x:c r="AA10" s="4" t="n">
        <x:f>IFERROR(INDEX('楼层配置'!$E$5:$E$104,MATCH($K10,'楼层配置'!$B$5:$B$104,0)),1)</x:f>
        <x:v>1.0663889171112544</x:v>
      </x:c>
      <x:c r="AB10" s="4" t="n">
        <x:f>IFERROR(INDEX('楼层配置'!$F$5:$F$104,MATCH($K10,'楼层配置'!$B$5:$B$104,0)),1)</x:f>
        <x:v>0.881697307575066</x:v>
      </x:c>
      <x:c r="AC10" s="4" t="n">
        <x:f>IFERROR(INDEX('楼层配置'!$G$5:$G$104,MATCH($K10,'楼层配置'!$B$5:$B$104,0)),1)</x:f>
        <x:v>1</x:v>
      </x:c>
      <x:c r="AD10" s="6" t="n">
        <x:f t="shared" si="3">IFERROR($D10/$G10-1,"")</x:f>
        <x:v>-0.2518937706086801</x:v>
      </x:c>
      <x:c r="AE10" s="6" t="n">
        <x:f t="shared" si="4">IFERROR($E10/$H10-1,"")</x:f>
        <x:v>-0.11770428015564205</x:v>
      </x:c>
      <x:c r="AF10" s="6" t="n">
        <x:f t="shared" si="5">IFERROR($F10/$I10-1,"")</x:f>
        <x:v>0.21530249110320288</x:v>
      </x:c>
      <x:c r="AG10" s="4" t="str">
        <x:f t="shared" si="6">IF(AND($A10&gt;=1,$L10&gt;=1,$L10&lt;=500,OR($N10="Tank",$N10="DPS",$N10="Support"),ISNUMBER($D10),ISNUMBER($E10),ISNUMBER($F10)),"有效","异常")</x:f>
        <x:v>有效</x:v>
      </x:c>
      <x:c r="AH10" t="n">
        <x:f>D10/(1-MIN(0.75,F10/(24000+F10)))</x:f>
        <x:v>18222.360875</x:v>
      </x:c>
    </x:row>
    <x:row r="11" ht="14.25" customHeight="1">
      <x:c r="A11" s="4">
        <x:v>7</x:v>
      </x:c>
      <x:c r="B11" s="4">
        <x:v>1035</x:v>
      </x:c>
      <x:c r="C11" s="4">
        <x:v>11</x:v>
      </x:c>
      <x:c r="D11" s="5" t="n">
        <x:f>IFERROR(ROUND($U11*$X11*$AA11*'参数'!$B$13,0),"")</x:f>
        <x:v>11193</x:v>
      </x:c>
      <x:c r="E11" s="5" t="n">
        <x:f>IFERROR(ROUND($V11*$Y11*$AB11*'参数'!$C$13,0),"")</x:f>
        <x:v>1088</x:v>
      </x:c>
      <x:c r="F11" s="5" t="n">
        <x:f>IFERROR(ROUND($W11*$Z11*$AC11*'参数'!$D$13,0),"")</x:f>
        <x:v>1366</x:v>
      </x:c>
      <x:c r="G11" s="4">
        <x:v>14961</x:v>
      </x:c>
      <x:c r="H11" s="4">
        <x:v>1233</x:v>
      </x:c>
      <x:c r="I11" s="4">
        <x:v>1124</x:v>
      </x:c>
      <x:c r="J11" s="4">
        <x:v>2</x:v>
      </x:c>
      <x:c r="K11" s="4">
        <x:v>2</x:v>
      </x:c>
      <x:c r="L11" s="4" t="n">
        <x:f>IFERROR(INDEX('楼层配置'!$D$5:$D$104,MATCH($K11,'楼层配置'!$B$5:$B$104,0)),"")</x:f>
        <x:v>18</x:v>
      </x:c>
      <x:c r="M11" s="4" t="str">
        <x:f>IFERROR(INDEX('_角色基线'!$B$2:$B$100,MATCH($B11,'_角色基线'!$A$2:$A$100,0)),"")</x:f>
        <x:v>碎冰者</x:v>
      </x:c>
      <x:c r="N11" s="4" t="str">
        <x:f>IFERROR(INDEX('_角色基线'!$C$2:$C$100,MATCH($B11,'_角色基线'!$A$2:$A$100,0)),"")</x:f>
        <x:v>DPS</x:v>
      </x:c>
      <x:c r="O11" s="4" t="n">
        <x:f>IFERROR(INDEX('_怪物基线'!$B$2:$B$501,MATCH(INT($L11),'_怪物基线'!$A$2:$A$501,0)),"")</x:f>
        <x:v>2624</x:v>
      </x:c>
      <x:c r="P11" s="4" t="n">
        <x:f>IFERROR(INDEX('_怪物基线'!$C$2:$C$501,MATCH(INT($L11),'_怪物基线'!$A$2:$A$501,0)),"")</x:f>
        <x:v>857</x:v>
      </x:c>
      <x:c r="Q11" s="4" t="n">
        <x:f>IFERROR(INDEX('_怪物基线'!$D$2:$D$501,MATCH(INT($L11),'_怪物基线'!$A$2:$A$501,0)),"")</x:f>
        <x:v>1366</x:v>
      </x:c>
      <x:c r="R11" s="4" t="n">
        <x:f>'参数'!$B$10</x:f>
        <x:v>4</x:v>
      </x:c>
      <x:c r="S11" s="4" t="n">
        <x:f>'参数'!$C$10</x:f>
        <x:v>1.2</x:v>
      </x:c>
      <x:c r="T11" s="4" t="n">
        <x:f>'参数'!$D$10</x:f>
        <x:v>1</x:v>
      </x:c>
      <x:c r="U11" s="4" t="n">
        <x:f t="shared" si="0">IF($O11="","",$O11*$R11)</x:f>
        <x:v>10496</x:v>
      </x:c>
      <x:c r="V11" s="4" t="n">
        <x:f t="shared" si="1">IF($P11="","",$P11*$S11)</x:f>
        <x:v>1028.3999999999999</x:v>
      </x:c>
      <x:c r="W11" s="4" t="n">
        <x:f t="shared" si="2">IF($Q11="","",$Q11*$T11)</x:f>
        <x:v>1366</x:v>
      </x:c>
      <x:c r="X11" s="4" t="n">
        <x:f>IFERROR(INDEX('参数'!$B$5:$B$7,MATCH($N11,'参数'!$A$5:$A$7,0)),"")</x:f>
        <x:v>1</x:v>
      </x:c>
      <x:c r="Y11" s="4" t="n">
        <x:f>IFERROR(INDEX('参数'!$C$5:$C$7,MATCH($N11,'参数'!$A$5:$A$7,0)),"")</x:f>
        <x:v>1.2</x:v>
      </x:c>
      <x:c r="Z11" s="4" t="n">
        <x:f>IFERROR(INDEX('参数'!$D$5:$D$7,MATCH($N11,'参数'!$A$5:$A$7,0)),"")</x:f>
        <x:v>1</x:v>
      </x:c>
      <x:c r="AA11" s="4" t="n">
        <x:f>IFERROR(INDEX('楼层配置'!$E$5:$E$104,MATCH($K11,'楼层配置'!$B$5:$B$104,0)),1)</x:f>
        <x:v>1.0663889171112544</x:v>
      </x:c>
      <x:c r="AB11" s="4" t="n">
        <x:f>IFERROR(INDEX('楼层配置'!$F$5:$F$104,MATCH($K11,'楼层配置'!$B$5:$B$104,0)),1)</x:f>
        <x:v>0.881697307575066</x:v>
      </x:c>
      <x:c r="AC11" s="4" t="n">
        <x:f>IFERROR(INDEX('楼层配置'!$G$5:$G$104,MATCH($K11,'楼层配置'!$B$5:$B$104,0)),1)</x:f>
        <x:v>1</x:v>
      </x:c>
      <x:c r="AD11" s="6" t="n">
        <x:f t="shared" si="3">IFERROR($D11/$G11-1,"")</x:f>
        <x:v>-0.25185482253860036</x:v>
      </x:c>
      <x:c r="AE11" s="6" t="n">
        <x:f t="shared" si="4">IFERROR($E11/$H11-1,"")</x:f>
        <x:v>-0.11759935117599352</x:v>
      </x:c>
      <x:c r="AF11" s="6" t="n">
        <x:f t="shared" si="5">IFERROR($F11/$I11-1,"")</x:f>
        <x:v>0.21530249110320288</x:v>
      </x:c>
      <x:c r="AG11" s="4" t="str">
        <x:f t="shared" si="6">IF(AND($A11&gt;=1,$L11&gt;=1,$L11&lt;=500,OR($N11="Tank",$N11="DPS",$N11="Support"),ISNUMBER($D11),ISNUMBER($E11),ISNUMBER($F11)),"有效","异常")</x:f>
        <x:v>有效</x:v>
      </x:c>
      <x:c r="AH11" t="n">
        <x:f>D11/(1-MIN(0.75,F11/(24000+F11)))</x:f>
        <x:v>11830.06825</x:v>
      </x:c>
    </x:row>
    <x:row r="12" ht="14.25" customHeight="1">
      <x:c r="A12" s="4">
        <x:v>8</x:v>
      </x:c>
      <x:c r="B12" s="4">
        <x:v>1035</x:v>
      </x:c>
      <x:c r="C12" s="4">
        <x:v>11</x:v>
      </x:c>
      <x:c r="D12" s="5" t="n">
        <x:f>IFERROR(ROUND($U12*$X12*$AA12*'参数'!$B$13,0),"")</x:f>
        <x:v>11193</x:v>
      </x:c>
      <x:c r="E12" s="5" t="n">
        <x:f>IFERROR(ROUND($V12*$Y12*$AB12*'参数'!$C$13,0),"")</x:f>
        <x:v>1088</x:v>
      </x:c>
      <x:c r="F12" s="5" t="n">
        <x:f>IFERROR(ROUND($W12*$Z12*$AC12*'参数'!$D$13,0),"")</x:f>
        <x:v>1366</x:v>
      </x:c>
      <x:c r="G12" s="4">
        <x:v>14961</x:v>
      </x:c>
      <x:c r="H12" s="4">
        <x:v>1233</x:v>
      </x:c>
      <x:c r="I12" s="4">
        <x:v>1124</x:v>
      </x:c>
      <x:c r="J12" s="4">
        <x:v>2</x:v>
      </x:c>
      <x:c r="K12" s="4">
        <x:v>2</x:v>
      </x:c>
      <x:c r="L12" s="4" t="n">
        <x:f>IFERROR(INDEX('楼层配置'!$D$5:$D$104,MATCH($K12,'楼层配置'!$B$5:$B$104,0)),"")</x:f>
        <x:v>18</x:v>
      </x:c>
      <x:c r="M12" s="4" t="str">
        <x:f>IFERROR(INDEX('_角色基线'!$B$2:$B$100,MATCH($B12,'_角色基线'!$A$2:$A$100,0)),"")</x:f>
        <x:v>碎冰者</x:v>
      </x:c>
      <x:c r="N12" s="4" t="str">
        <x:f>IFERROR(INDEX('_角色基线'!$C$2:$C$100,MATCH($B12,'_角色基线'!$A$2:$A$100,0)),"")</x:f>
        <x:v>DPS</x:v>
      </x:c>
      <x:c r="O12" s="4" t="n">
        <x:f>IFERROR(INDEX('_怪物基线'!$B$2:$B$501,MATCH(INT($L12),'_怪物基线'!$A$2:$A$501,0)),"")</x:f>
        <x:v>2624</x:v>
      </x:c>
      <x:c r="P12" s="4" t="n">
        <x:f>IFERROR(INDEX('_怪物基线'!$C$2:$C$501,MATCH(INT($L12),'_怪物基线'!$A$2:$A$501,0)),"")</x:f>
        <x:v>857</x:v>
      </x:c>
      <x:c r="Q12" s="4" t="n">
        <x:f>IFERROR(INDEX('_怪物基线'!$D$2:$D$501,MATCH(INT($L12),'_怪物基线'!$A$2:$A$501,0)),"")</x:f>
        <x:v>1366</x:v>
      </x:c>
      <x:c r="R12" s="4" t="n">
        <x:f>'参数'!$B$10</x:f>
        <x:v>4</x:v>
      </x:c>
      <x:c r="S12" s="4" t="n">
        <x:f>'参数'!$C$10</x:f>
        <x:v>1.2</x:v>
      </x:c>
      <x:c r="T12" s="4" t="n">
        <x:f>'参数'!$D$10</x:f>
        <x:v>1</x:v>
      </x:c>
      <x:c r="U12" s="4" t="n">
        <x:f t="shared" si="0">IF($O12="","",$O12*$R12)</x:f>
        <x:v>10496</x:v>
      </x:c>
      <x:c r="V12" s="4" t="n">
        <x:f t="shared" si="1">IF($P12="","",$P12*$S12)</x:f>
        <x:v>1028.3999999999999</x:v>
      </x:c>
      <x:c r="W12" s="4" t="n">
        <x:f t="shared" si="2">IF($Q12="","",$Q12*$T12)</x:f>
        <x:v>1366</x:v>
      </x:c>
      <x:c r="X12" s="4" t="n">
        <x:f>IFERROR(INDEX('参数'!$B$5:$B$7,MATCH($N12,'参数'!$A$5:$A$7,0)),"")</x:f>
        <x:v>1</x:v>
      </x:c>
      <x:c r="Y12" s="4" t="n">
        <x:f>IFERROR(INDEX('参数'!$C$5:$C$7,MATCH($N12,'参数'!$A$5:$A$7,0)),"")</x:f>
        <x:v>1.2</x:v>
      </x:c>
      <x:c r="Z12" s="4" t="n">
        <x:f>IFERROR(INDEX('参数'!$D$5:$D$7,MATCH($N12,'参数'!$A$5:$A$7,0)),"")</x:f>
        <x:v>1</x:v>
      </x:c>
      <x:c r="AA12" s="4" t="n">
        <x:f>IFERROR(INDEX('楼层配置'!$E$5:$E$104,MATCH($K12,'楼层配置'!$B$5:$B$104,0)),1)</x:f>
        <x:v>1.0663889171112544</x:v>
      </x:c>
      <x:c r="AB12" s="4" t="n">
        <x:f>IFERROR(INDEX('楼层配置'!$F$5:$F$104,MATCH($K12,'楼层配置'!$B$5:$B$104,0)),1)</x:f>
        <x:v>0.881697307575066</x:v>
      </x:c>
      <x:c r="AC12" s="4" t="n">
        <x:f>IFERROR(INDEX('楼层配置'!$G$5:$G$104,MATCH($K12,'楼层配置'!$B$5:$B$104,0)),1)</x:f>
        <x:v>1</x:v>
      </x:c>
      <x:c r="AD12" s="6" t="n">
        <x:f t="shared" si="3">IFERROR($D12/$G12-1,"")</x:f>
        <x:v>-0.25185482253860036</x:v>
      </x:c>
      <x:c r="AE12" s="6" t="n">
        <x:f t="shared" si="4">IFERROR($E12/$H12-1,"")</x:f>
        <x:v>-0.11759935117599352</x:v>
      </x:c>
      <x:c r="AF12" s="6" t="n">
        <x:f t="shared" si="5">IFERROR($F12/$I12-1,"")</x:f>
        <x:v>0.21530249110320288</x:v>
      </x:c>
      <x:c r="AG12" s="4" t="str">
        <x:f t="shared" si="6">IF(AND($A12&gt;=1,$L12&gt;=1,$L12&lt;=500,OR($N12="Tank",$N12="DPS",$N12="Support"),ISNUMBER($D12),ISNUMBER($E12),ISNUMBER($F12)),"有效","异常")</x:f>
        <x:v>有效</x:v>
      </x:c>
      <x:c r="AH12" t="n">
        <x:f>D12/(1-MIN(0.75,F12/(24000+F12)))</x:f>
        <x:v>11830.06825</x:v>
      </x:c>
    </x:row>
    <x:row r="13" ht="14.25" customHeight="1">
      <x:c r="A13" s="4">
        <x:v>9</x:v>
      </x:c>
      <x:c r="B13" s="4">
        <x:v>1035</x:v>
      </x:c>
      <x:c r="C13" s="4">
        <x:v>11</x:v>
      </x:c>
      <x:c r="D13" s="5" t="n">
        <x:f>IFERROR(ROUND($U13*$X13*$AA13*'参数'!$B$13,0),"")</x:f>
        <x:v>11193</x:v>
      </x:c>
      <x:c r="E13" s="5" t="n">
        <x:f>IFERROR(ROUND($V13*$Y13*$AB13*'参数'!$C$13,0),"")</x:f>
        <x:v>1088</x:v>
      </x:c>
      <x:c r="F13" s="5" t="n">
        <x:f>IFERROR(ROUND($W13*$Z13*$AC13*'参数'!$D$13,0),"")</x:f>
        <x:v>1366</x:v>
      </x:c>
      <x:c r="G13" s="4">
        <x:v>14961</x:v>
      </x:c>
      <x:c r="H13" s="4">
        <x:v>1233</x:v>
      </x:c>
      <x:c r="I13" s="4">
        <x:v>1124</x:v>
      </x:c>
      <x:c r="J13" s="4">
        <x:v>2</x:v>
      </x:c>
      <x:c r="K13" s="4">
        <x:v>2</x:v>
      </x:c>
      <x:c r="L13" s="4" t="n">
        <x:f>IFERROR(INDEX('楼层配置'!$D$5:$D$104,MATCH($K13,'楼层配置'!$B$5:$B$104,0)),"")</x:f>
        <x:v>18</x:v>
      </x:c>
      <x:c r="M13" s="4" t="str">
        <x:f>IFERROR(INDEX('_角色基线'!$B$2:$B$100,MATCH($B13,'_角色基线'!$A$2:$A$100,0)),"")</x:f>
        <x:v>碎冰者</x:v>
      </x:c>
      <x:c r="N13" s="4" t="str">
        <x:f>IFERROR(INDEX('_角色基线'!$C$2:$C$100,MATCH($B13,'_角色基线'!$A$2:$A$100,0)),"")</x:f>
        <x:v>DPS</x:v>
      </x:c>
      <x:c r="O13" s="4" t="n">
        <x:f>IFERROR(INDEX('_怪物基线'!$B$2:$B$501,MATCH(INT($L13),'_怪物基线'!$A$2:$A$501,0)),"")</x:f>
        <x:v>2624</x:v>
      </x:c>
      <x:c r="P13" s="4" t="n">
        <x:f>IFERROR(INDEX('_怪物基线'!$C$2:$C$501,MATCH(INT($L13),'_怪物基线'!$A$2:$A$501,0)),"")</x:f>
        <x:v>857</x:v>
      </x:c>
      <x:c r="Q13" s="4" t="n">
        <x:f>IFERROR(INDEX('_怪物基线'!$D$2:$D$501,MATCH(INT($L13),'_怪物基线'!$A$2:$A$501,0)),"")</x:f>
        <x:v>1366</x:v>
      </x:c>
      <x:c r="R13" s="4" t="n">
        <x:f>'参数'!$B$10</x:f>
        <x:v>4</x:v>
      </x:c>
      <x:c r="S13" s="4" t="n">
        <x:f>'参数'!$C$10</x:f>
        <x:v>1.2</x:v>
      </x:c>
      <x:c r="T13" s="4" t="n">
        <x:f>'参数'!$D$10</x:f>
        <x:v>1</x:v>
      </x:c>
      <x:c r="U13" s="4" t="n">
        <x:f t="shared" si="0">IF($O13="","",$O13*$R13)</x:f>
        <x:v>10496</x:v>
      </x:c>
      <x:c r="V13" s="4" t="n">
        <x:f t="shared" si="1">IF($P13="","",$P13*$S13)</x:f>
        <x:v>1028.3999999999999</x:v>
      </x:c>
      <x:c r="W13" s="4" t="n">
        <x:f t="shared" si="2">IF($Q13="","",$Q13*$T13)</x:f>
        <x:v>1366</x:v>
      </x:c>
      <x:c r="X13" s="4" t="n">
        <x:f>IFERROR(INDEX('参数'!$B$5:$B$7,MATCH($N13,'参数'!$A$5:$A$7,0)),"")</x:f>
        <x:v>1</x:v>
      </x:c>
      <x:c r="Y13" s="4" t="n">
        <x:f>IFERROR(INDEX('参数'!$C$5:$C$7,MATCH($N13,'参数'!$A$5:$A$7,0)),"")</x:f>
        <x:v>1.2</x:v>
      </x:c>
      <x:c r="Z13" s="4" t="n">
        <x:f>IFERROR(INDEX('参数'!$D$5:$D$7,MATCH($N13,'参数'!$A$5:$A$7,0)),"")</x:f>
        <x:v>1</x:v>
      </x:c>
      <x:c r="AA13" s="4" t="n">
        <x:f>IFERROR(INDEX('楼层配置'!$E$5:$E$104,MATCH($K13,'楼层配置'!$B$5:$B$104,0)),1)</x:f>
        <x:v>1.0663889171112544</x:v>
      </x:c>
      <x:c r="AB13" s="4" t="n">
        <x:f>IFERROR(INDEX('楼层配置'!$F$5:$F$104,MATCH($K13,'楼层配置'!$B$5:$B$104,0)),1)</x:f>
        <x:v>0.881697307575066</x:v>
      </x:c>
      <x:c r="AC13" s="4" t="n">
        <x:f>IFERROR(INDEX('楼层配置'!$G$5:$G$104,MATCH($K13,'楼层配置'!$B$5:$B$104,0)),1)</x:f>
        <x:v>1</x:v>
      </x:c>
      <x:c r="AD13" s="6" t="n">
        <x:f t="shared" si="3">IFERROR($D13/$G13-1,"")</x:f>
        <x:v>-0.25185482253860036</x:v>
      </x:c>
      <x:c r="AE13" s="6" t="n">
        <x:f t="shared" si="4">IFERROR($E13/$H13-1,"")</x:f>
        <x:v>-0.11759935117599352</x:v>
      </x:c>
      <x:c r="AF13" s="6" t="n">
        <x:f t="shared" si="5">IFERROR($F13/$I13-1,"")</x:f>
        <x:v>0.21530249110320288</x:v>
      </x:c>
      <x:c r="AG13" s="4" t="str">
        <x:f t="shared" si="6">IF(AND($A13&gt;=1,$L13&gt;=1,$L13&lt;=500,OR($N13="Tank",$N13="DPS",$N13="Support"),ISNUMBER($D13),ISNUMBER($E13),ISNUMBER($F13)),"有效","异常")</x:f>
        <x:v>有效</x:v>
      </x:c>
      <x:c r="AH13" t="n">
        <x:f>D13/(1-MIN(0.75,F13/(24000+F13)))</x:f>
        <x:v>11830.06825</x:v>
      </x:c>
    </x:row>
    <x:row r="14" ht="14.25" customHeight="1">
      <x:c r="A14" s="4">
        <x:v>10</x:v>
      </x:c>
      <x:c r="B14" s="4">
        <x:v>1036</x:v>
      </x:c>
      <x:c r="C14" s="4">
        <x:v>11</x:v>
      </x:c>
      <x:c r="D14" s="5" t="n">
        <x:f>IFERROR(ROUND($U14*$X14*$AA14*'参数'!$B$13,0),"")</x:f>
        <x:v>11193</x:v>
      </x:c>
      <x:c r="E14" s="5" t="n">
        <x:f>IFERROR(ROUND($V14*$Y14*$AB14*'参数'!$C$13,0),"")</x:f>
        <x:v>1088</x:v>
      </x:c>
      <x:c r="F14" s="5" t="n">
        <x:f>IFERROR(ROUND($W14*$Z14*$AC14*'参数'!$D$13,0),"")</x:f>
        <x:v>1366</x:v>
      </x:c>
      <x:c r="G14" s="4">
        <x:v>14961</x:v>
      </x:c>
      <x:c r="H14" s="4">
        <x:v>1233</x:v>
      </x:c>
      <x:c r="I14" s="4">
        <x:v>1124</x:v>
      </x:c>
      <x:c r="J14" s="4">
        <x:v>2</x:v>
      </x:c>
      <x:c r="K14" s="4">
        <x:v>2</x:v>
      </x:c>
      <x:c r="L14" s="4" t="n">
        <x:f>IFERROR(INDEX('楼层配置'!$D$5:$D$104,MATCH($K14,'楼层配置'!$B$5:$B$104,0)),"")</x:f>
        <x:v>18</x:v>
      </x:c>
      <x:c r="M14" s="4" t="str">
        <x:f>IFERROR(INDEX('_角色基线'!$B$2:$B$100,MATCH($B14,'_角色基线'!$A$2:$A$100,0)),"")</x:f>
        <x:v>霜狼法师</x:v>
      </x:c>
      <x:c r="N14" s="4" t="str">
        <x:f>IFERROR(INDEX('_角色基线'!$C$2:$C$100,MATCH($B14,'_角色基线'!$A$2:$A$100,0)),"")</x:f>
        <x:v>DPS</x:v>
      </x:c>
      <x:c r="O14" s="4" t="n">
        <x:f>IFERROR(INDEX('_怪物基线'!$B$2:$B$501,MATCH(INT($L14),'_怪物基线'!$A$2:$A$501,0)),"")</x:f>
        <x:v>2624</x:v>
      </x:c>
      <x:c r="P14" s="4" t="n">
        <x:f>IFERROR(INDEX('_怪物基线'!$C$2:$C$501,MATCH(INT($L14),'_怪物基线'!$A$2:$A$501,0)),"")</x:f>
        <x:v>857</x:v>
      </x:c>
      <x:c r="Q14" s="4" t="n">
        <x:f>IFERROR(INDEX('_怪物基线'!$D$2:$D$501,MATCH(INT($L14),'_怪物基线'!$A$2:$A$501,0)),"")</x:f>
        <x:v>1366</x:v>
      </x:c>
      <x:c r="R14" s="4" t="n">
        <x:f>'参数'!$B$10</x:f>
        <x:v>4</x:v>
      </x:c>
      <x:c r="S14" s="4" t="n">
        <x:f>'参数'!$C$10</x:f>
        <x:v>1.2</x:v>
      </x:c>
      <x:c r="T14" s="4" t="n">
        <x:f>'参数'!$D$10</x:f>
        <x:v>1</x:v>
      </x:c>
      <x:c r="U14" s="4" t="n">
        <x:f t="shared" si="0">IF($O14="","",$O14*$R14)</x:f>
        <x:v>10496</x:v>
      </x:c>
      <x:c r="V14" s="4" t="n">
        <x:f t="shared" si="1">IF($P14="","",$P14*$S14)</x:f>
        <x:v>1028.3999999999999</x:v>
      </x:c>
      <x:c r="W14" s="4" t="n">
        <x:f t="shared" si="2">IF($Q14="","",$Q14*$T14)</x:f>
        <x:v>1366</x:v>
      </x:c>
      <x:c r="X14" s="4" t="n">
        <x:f>IFERROR(INDEX('参数'!$B$5:$B$7,MATCH($N14,'参数'!$A$5:$A$7,0)),"")</x:f>
        <x:v>1</x:v>
      </x:c>
      <x:c r="Y14" s="4" t="n">
        <x:f>IFERROR(INDEX('参数'!$C$5:$C$7,MATCH($N14,'参数'!$A$5:$A$7,0)),"")</x:f>
        <x:v>1.2</x:v>
      </x:c>
      <x:c r="Z14" s="4" t="n">
        <x:f>IFERROR(INDEX('参数'!$D$5:$D$7,MATCH($N14,'参数'!$A$5:$A$7,0)),"")</x:f>
        <x:v>1</x:v>
      </x:c>
      <x:c r="AA14" s="4" t="n">
        <x:f>IFERROR(INDEX('楼层配置'!$E$5:$E$104,MATCH($K14,'楼层配置'!$B$5:$B$104,0)),1)</x:f>
        <x:v>1.0663889171112544</x:v>
      </x:c>
      <x:c r="AB14" s="4" t="n">
        <x:f>IFERROR(INDEX('楼层配置'!$F$5:$F$104,MATCH($K14,'楼层配置'!$B$5:$B$104,0)),1)</x:f>
        <x:v>0.881697307575066</x:v>
      </x:c>
      <x:c r="AC14" s="4" t="n">
        <x:f>IFERROR(INDEX('楼层配置'!$G$5:$G$104,MATCH($K14,'楼层配置'!$B$5:$B$104,0)),1)</x:f>
        <x:v>1</x:v>
      </x:c>
      <x:c r="AD14" s="6" t="n">
        <x:f t="shared" si="3">IFERROR($D14/$G14-1,"")</x:f>
        <x:v>-0.25185482253860036</x:v>
      </x:c>
      <x:c r="AE14" s="6" t="n">
        <x:f t="shared" si="4">IFERROR($E14/$H14-1,"")</x:f>
        <x:v>-0.11759935117599352</x:v>
      </x:c>
      <x:c r="AF14" s="6" t="n">
        <x:f t="shared" si="5">IFERROR($F14/$I14-1,"")</x:f>
        <x:v>0.21530249110320288</x:v>
      </x:c>
      <x:c r="AG14" s="4" t="str">
        <x:f t="shared" si="6">IF(AND($A14&gt;=1,$L14&gt;=1,$L14&lt;=500,OR($N14="Tank",$N14="DPS",$N14="Support"),ISNUMBER($D14),ISNUMBER($E14),ISNUMBER($F14)),"有效","异常")</x:f>
        <x:v>有效</x:v>
      </x:c>
      <x:c r="AH14" t="n">
        <x:f>D14/(1-MIN(0.75,F14/(24000+F14)))</x:f>
        <x:v>11830.06825</x:v>
      </x:c>
    </x:row>
    <x:row r="15" ht="14.25" customHeight="1">
      <x:c r="A15" s="4">
        <x:v>11</x:v>
      </x:c>
      <x:c r="B15" s="4">
        <x:v>1002</x:v>
      </x:c>
      <x:c r="C15" s="4">
        <x:v>11</x:v>
      </x:c>
      <x:c r="D15" s="5" t="n">
        <x:f>IFERROR(ROUND($U15*$X15*$AA15*'参数'!$B$13,0),"")</x:f>
        <x:v>21843</x:v>
      </x:c>
      <x:c r="E15" s="5" t="n">
        <x:f>IFERROR(ROUND($V15*$Y15*$AB15*'参数'!$C$13,0),"")</x:f>
        <x:v>1105</x:v>
      </x:c>
      <x:c r="F15" s="5" t="n">
        <x:f>IFERROR(ROUND($W15*$Z15*$AC15*'参数'!$D$13,0),"")</x:f>
        <x:v>2519</x:v>
      </x:c>
      <x:c r="G15" s="4">
        <x:v>27900</x:v>
      </x:c>
      <x:c r="H15" s="4">
        <x:v>1213</x:v>
      </x:c>
      <x:c r="I15" s="4">
        <x:v>1982</x:v>
      </x:c>
      <x:c r="J15" s="4">
        <x:v>3</x:v>
      </x:c>
      <x:c r="K15" s="4">
        <x:v>3</x:v>
      </x:c>
      <x:c r="L15" s="4" t="n">
        <x:f>IFERROR(INDEX('楼层配置'!$D$5:$D$104,MATCH($K15,'楼层配置'!$B$5:$B$104,0)),"")</x:f>
        <x:v>22</x:v>
      </x:c>
      <x:c r="M15" s="4" t="str">
        <x:f>IFERROR(INDEX('_角色基线'!$B$2:$B$100,MATCH($B15,'_角色基线'!$A$2:$A$100,0)),"")</x:f>
        <x:v>大暑</x:v>
      </x:c>
      <x:c r="N15" s="4" t="str">
        <x:f>IFERROR(INDEX('_角色基线'!$C$2:$C$100,MATCH($B15,'_角色基线'!$A$2:$A$100,0)),"")</x:f>
        <x:v>Tank</x:v>
      </x:c>
      <x:c r="O15" s="4" t="n">
        <x:f>IFERROR(INDEX('_怪物基线'!$B$2:$B$501,MATCH(INT($L15),'_怪物基线'!$A$2:$A$501,0)),"")</x:f>
        <x:v>3435</x:v>
      </x:c>
      <x:c r="P15" s="4" t="n">
        <x:f>IFERROR(INDEX('_怪物基线'!$C$2:$C$501,MATCH(INT($L15),'_怪物基线'!$A$2:$A$501,0)),"")</x:f>
        <x:v>1064</x:v>
      </x:c>
      <x:c r="Q15" s="4" t="n">
        <x:f>IFERROR(INDEX('_怪物基线'!$D$2:$D$501,MATCH(INT($L15),'_怪物基线'!$A$2:$A$501,0)),"")</x:f>
        <x:v>1679</x:v>
      </x:c>
      <x:c r="R15" s="4" t="n">
        <x:f>'参数'!$B$10</x:f>
        <x:v>4</x:v>
      </x:c>
      <x:c r="S15" s="4" t="n">
        <x:f>'参数'!$C$10</x:f>
        <x:v>1.2</x:v>
      </x:c>
      <x:c r="T15" s="4" t="n">
        <x:f>'参数'!$D$10</x:f>
        <x:v>1</x:v>
      </x:c>
      <x:c r="U15" s="4" t="n">
        <x:f t="shared" si="0">IF($O15="","",$O15*$R15)</x:f>
        <x:v>13740</x:v>
      </x:c>
      <x:c r="V15" s="4" t="n">
        <x:f t="shared" si="1">IF($P15="","",$P15*$S15)</x:f>
        <x:v>1276.8</x:v>
      </x:c>
      <x:c r="W15" s="4" t="n">
        <x:f t="shared" si="2">IF($Q15="","",$Q15*$T15)</x:f>
        <x:v>1679</x:v>
      </x:c>
      <x:c r="X15" s="4" t="n">
        <x:f>IFERROR(INDEX('参数'!$B$5:$B$7,MATCH($N15,'参数'!$A$5:$A$7,0)),"")</x:f>
        <x:v>1.5</x:v>
      </x:c>
      <x:c r="Y15" s="4" t="n">
        <x:f>IFERROR(INDEX('参数'!$C$5:$C$7,MATCH($N15,'参数'!$A$5:$A$7,0)),"")</x:f>
        <x:v>1</x:v>
      </x:c>
      <x:c r="Z15" s="4" t="n">
        <x:f>IFERROR(INDEX('参数'!$D$5:$D$7,MATCH($N15,'参数'!$A$5:$A$7,0)),"")</x:f>
        <x:v>1.5</x:v>
      </x:c>
      <x:c r="AA15" s="4" t="n">
        <x:f>IFERROR(INDEX('楼层配置'!$E$5:$E$104,MATCH($K15,'楼层配置'!$B$5:$B$104,0)),1)</x:f>
        <x:v>1.0598272441572107</x:v>
      </x:c>
      <x:c r="AB15" s="4" t="n">
        <x:f>IFERROR(INDEX('楼层配置'!$F$5:$F$104,MATCH($K15,'楼层配置'!$B$5:$B$104,0)),1)</x:f>
        <x:v>0.8652500344048418</x:v>
      </x:c>
      <x:c r="AC15" s="4" t="n">
        <x:f>IFERROR(INDEX('楼层配置'!$G$5:$G$104,MATCH($K15,'楼层配置'!$B$5:$B$104,0)),1)</x:f>
        <x:v>1</x:v>
      </x:c>
      <x:c r="AD15" s="6" t="n">
        <x:f t="shared" si="3">IFERROR($D15/$G15-1,"")</x:f>
        <x:v>-0.21709677419354834</x:v>
      </x:c>
      <x:c r="AE15" s="6" t="n">
        <x:f t="shared" si="4">IFERROR($E15/$H15-1,"")</x:f>
        <x:v>-0.089035449299258</x:v>
      </x:c>
      <x:c r="AF15" s="6" t="n">
        <x:f t="shared" si="5">IFERROR($F15/$I15-1,"")</x:f>
        <x:v>0.2709384460141271</x:v>
      </x:c>
      <x:c r="AG15" s="4" t="str">
        <x:f t="shared" si="6">IF(AND($A15&gt;=1,$L15&gt;=1,$L15&lt;=500,OR($N15="Tank",$N15="DPS",$N15="Support"),ISNUMBER($D15),ISNUMBER($E15),ISNUMBER($F15)),"有效","异常")</x:f>
        <x:v>有效</x:v>
      </x:c>
      <x:c r="AH15" t="n">
        <x:f>D15/(1-MIN(0.75,F15/(24000+F15)))</x:f>
        <x:v>24135.604875</x:v>
      </x:c>
    </x:row>
    <x:row r="16" ht="14.25" customHeight="1">
      <x:c r="A16" s="4">
        <x:v>12</x:v>
      </x:c>
      <x:c r="B16" s="4">
        <x:v>1002</x:v>
      </x:c>
      <x:c r="C16" s="4">
        <x:v>11</x:v>
      </x:c>
      <x:c r="D16" s="5" t="n">
        <x:f>IFERROR(ROUND($U16*$X16*$AA16*'参数'!$B$13,0),"")</x:f>
        <x:v>21843</x:v>
      </x:c>
      <x:c r="E16" s="5" t="n">
        <x:f>IFERROR(ROUND($V16*$Y16*$AB16*'参数'!$C$13,0),"")</x:f>
        <x:v>1105</x:v>
      </x:c>
      <x:c r="F16" s="5" t="n">
        <x:f>IFERROR(ROUND($W16*$Z16*$AC16*'参数'!$D$13,0),"")</x:f>
        <x:v>2519</x:v>
      </x:c>
      <x:c r="G16" s="4">
        <x:v>27900</x:v>
      </x:c>
      <x:c r="H16" s="4">
        <x:v>1213</x:v>
      </x:c>
      <x:c r="I16" s="4">
        <x:v>1982</x:v>
      </x:c>
      <x:c r="J16" s="4">
        <x:v>3</x:v>
      </x:c>
      <x:c r="K16" s="4">
        <x:v>3</x:v>
      </x:c>
      <x:c r="L16" s="4" t="n">
        <x:f>IFERROR(INDEX('楼层配置'!$D$5:$D$104,MATCH($K16,'楼层配置'!$B$5:$B$104,0)),"")</x:f>
        <x:v>22</x:v>
      </x:c>
      <x:c r="M16" s="4" t="str">
        <x:f>IFERROR(INDEX('_角色基线'!$B$2:$B$100,MATCH($B16,'_角色基线'!$A$2:$A$100,0)),"")</x:f>
        <x:v>大暑</x:v>
      </x:c>
      <x:c r="N16" s="4" t="str">
        <x:f>IFERROR(INDEX('_角色基线'!$C$2:$C$100,MATCH($B16,'_角色基线'!$A$2:$A$100,0)),"")</x:f>
        <x:v>Tank</x:v>
      </x:c>
      <x:c r="O16" s="4" t="n">
        <x:f>IFERROR(INDEX('_怪物基线'!$B$2:$B$501,MATCH(INT($L16),'_怪物基线'!$A$2:$A$501,0)),"")</x:f>
        <x:v>3435</x:v>
      </x:c>
      <x:c r="P16" s="4" t="n">
        <x:f>IFERROR(INDEX('_怪物基线'!$C$2:$C$501,MATCH(INT($L16),'_怪物基线'!$A$2:$A$501,0)),"")</x:f>
        <x:v>1064</x:v>
      </x:c>
      <x:c r="Q16" s="4" t="n">
        <x:f>IFERROR(INDEX('_怪物基线'!$D$2:$D$501,MATCH(INT($L16),'_怪物基线'!$A$2:$A$501,0)),"")</x:f>
        <x:v>1679</x:v>
      </x:c>
      <x:c r="R16" s="4" t="n">
        <x:f>'参数'!$B$10</x:f>
        <x:v>4</x:v>
      </x:c>
      <x:c r="S16" s="4" t="n">
        <x:f>'参数'!$C$10</x:f>
        <x:v>1.2</x:v>
      </x:c>
      <x:c r="T16" s="4" t="n">
        <x:f>'参数'!$D$10</x:f>
        <x:v>1</x:v>
      </x:c>
      <x:c r="U16" s="4" t="n">
        <x:f t="shared" si="0">IF($O16="","",$O16*$R16)</x:f>
        <x:v>13740</x:v>
      </x:c>
      <x:c r="V16" s="4" t="n">
        <x:f t="shared" si="1">IF($P16="","",$P16*$S16)</x:f>
        <x:v>1276.8</x:v>
      </x:c>
      <x:c r="W16" s="4" t="n">
        <x:f t="shared" si="2">IF($Q16="","",$Q16*$T16)</x:f>
        <x:v>1679</x:v>
      </x:c>
      <x:c r="X16" s="4" t="n">
        <x:f>IFERROR(INDEX('参数'!$B$5:$B$7,MATCH($N16,'参数'!$A$5:$A$7,0)),"")</x:f>
        <x:v>1.5</x:v>
      </x:c>
      <x:c r="Y16" s="4" t="n">
        <x:f>IFERROR(INDEX('参数'!$C$5:$C$7,MATCH($N16,'参数'!$A$5:$A$7,0)),"")</x:f>
        <x:v>1</x:v>
      </x:c>
      <x:c r="Z16" s="4" t="n">
        <x:f>IFERROR(INDEX('参数'!$D$5:$D$7,MATCH($N16,'参数'!$A$5:$A$7,0)),"")</x:f>
        <x:v>1.5</x:v>
      </x:c>
      <x:c r="AA16" s="4" t="n">
        <x:f>IFERROR(INDEX('楼层配置'!$E$5:$E$104,MATCH($K16,'楼层配置'!$B$5:$B$104,0)),1)</x:f>
        <x:v>1.0598272441572107</x:v>
      </x:c>
      <x:c r="AB16" s="4" t="n">
        <x:f>IFERROR(INDEX('楼层配置'!$F$5:$F$104,MATCH($K16,'楼层配置'!$B$5:$B$104,0)),1)</x:f>
        <x:v>0.8652500344048418</x:v>
      </x:c>
      <x:c r="AC16" s="4" t="n">
        <x:f>IFERROR(INDEX('楼层配置'!$G$5:$G$104,MATCH($K16,'楼层配置'!$B$5:$B$104,0)),1)</x:f>
        <x:v>1</x:v>
      </x:c>
      <x:c r="AD16" s="6" t="n">
        <x:f t="shared" si="3">IFERROR($D16/$G16-1,"")</x:f>
        <x:v>-0.21709677419354834</x:v>
      </x:c>
      <x:c r="AE16" s="6" t="n">
        <x:f t="shared" si="4">IFERROR($E16/$H16-1,"")</x:f>
        <x:v>-0.089035449299258</x:v>
      </x:c>
      <x:c r="AF16" s="6" t="n">
        <x:f t="shared" si="5">IFERROR($F16/$I16-1,"")</x:f>
        <x:v>0.2709384460141271</x:v>
      </x:c>
      <x:c r="AG16" s="4" t="str">
        <x:f t="shared" si="6">IF(AND($A16&gt;=1,$L16&gt;=1,$L16&lt;=500,OR($N16="Tank",$N16="DPS",$N16="Support"),ISNUMBER($D16),ISNUMBER($E16),ISNUMBER($F16)),"有效","异常")</x:f>
        <x:v>有效</x:v>
      </x:c>
      <x:c r="AH16" t="n">
        <x:f>D16/(1-MIN(0.75,F16/(24000+F16)))</x:f>
        <x:v>24135.604875</x:v>
      </x:c>
    </x:row>
    <x:row r="17" ht="14.25" customHeight="1">
      <x:c r="A17" s="4">
        <x:v>13</x:v>
      </x:c>
      <x:c r="B17" s="4">
        <x:v>1002</x:v>
      </x:c>
      <x:c r="C17" s="4">
        <x:v>11</x:v>
      </x:c>
      <x:c r="D17" s="5" t="n">
        <x:f>IFERROR(ROUND($U17*$X17*$AA17*'参数'!$B$13,0),"")</x:f>
        <x:v>21843</x:v>
      </x:c>
      <x:c r="E17" s="5" t="n">
        <x:f>IFERROR(ROUND($V17*$Y17*$AB17*'参数'!$C$13,0),"")</x:f>
        <x:v>1105</x:v>
      </x:c>
      <x:c r="F17" s="5" t="n">
        <x:f>IFERROR(ROUND($W17*$Z17*$AC17*'参数'!$D$13,0),"")</x:f>
        <x:v>2519</x:v>
      </x:c>
      <x:c r="G17" s="4">
        <x:v>27900</x:v>
      </x:c>
      <x:c r="H17" s="4">
        <x:v>1213</x:v>
      </x:c>
      <x:c r="I17" s="4">
        <x:v>1982</x:v>
      </x:c>
      <x:c r="J17" s="4">
        <x:v>3</x:v>
      </x:c>
      <x:c r="K17" s="4">
        <x:v>3</x:v>
      </x:c>
      <x:c r="L17" s="4" t="n">
        <x:f>IFERROR(INDEX('楼层配置'!$D$5:$D$104,MATCH($K17,'楼层配置'!$B$5:$B$104,0)),"")</x:f>
        <x:v>22</x:v>
      </x:c>
      <x:c r="M17" s="4" t="str">
        <x:f>IFERROR(INDEX('_角色基线'!$B$2:$B$100,MATCH($B17,'_角色基线'!$A$2:$A$100,0)),"")</x:f>
        <x:v>大暑</x:v>
      </x:c>
      <x:c r="N17" s="4" t="str">
        <x:f>IFERROR(INDEX('_角色基线'!$C$2:$C$100,MATCH($B17,'_角色基线'!$A$2:$A$100,0)),"")</x:f>
        <x:v>Tank</x:v>
      </x:c>
      <x:c r="O17" s="4" t="n">
        <x:f>IFERROR(INDEX('_怪物基线'!$B$2:$B$501,MATCH(INT($L17),'_怪物基线'!$A$2:$A$501,0)),"")</x:f>
        <x:v>3435</x:v>
      </x:c>
      <x:c r="P17" s="4" t="n">
        <x:f>IFERROR(INDEX('_怪物基线'!$C$2:$C$501,MATCH(INT($L17),'_怪物基线'!$A$2:$A$501,0)),"")</x:f>
        <x:v>1064</x:v>
      </x:c>
      <x:c r="Q17" s="4" t="n">
        <x:f>IFERROR(INDEX('_怪物基线'!$D$2:$D$501,MATCH(INT($L17),'_怪物基线'!$A$2:$A$501,0)),"")</x:f>
        <x:v>1679</x:v>
      </x:c>
      <x:c r="R17" s="4" t="n">
        <x:f>'参数'!$B$10</x:f>
        <x:v>4</x:v>
      </x:c>
      <x:c r="S17" s="4" t="n">
        <x:f>'参数'!$C$10</x:f>
        <x:v>1.2</x:v>
      </x:c>
      <x:c r="T17" s="4" t="n">
        <x:f>'参数'!$D$10</x:f>
        <x:v>1</x:v>
      </x:c>
      <x:c r="U17" s="4" t="n">
        <x:f t="shared" si="0">IF($O17="","",$O17*$R17)</x:f>
        <x:v>13740</x:v>
      </x:c>
      <x:c r="V17" s="4" t="n">
        <x:f t="shared" si="1">IF($P17="","",$P17*$S17)</x:f>
        <x:v>1276.8</x:v>
      </x:c>
      <x:c r="W17" s="4" t="n">
        <x:f t="shared" si="2">IF($Q17="","",$Q17*$T17)</x:f>
        <x:v>1679</x:v>
      </x:c>
      <x:c r="X17" s="4" t="n">
        <x:f>IFERROR(INDEX('参数'!$B$5:$B$7,MATCH($N17,'参数'!$A$5:$A$7,0)),"")</x:f>
        <x:v>1.5</x:v>
      </x:c>
      <x:c r="Y17" s="4" t="n">
        <x:f>IFERROR(INDEX('参数'!$C$5:$C$7,MATCH($N17,'参数'!$A$5:$A$7,0)),"")</x:f>
        <x:v>1</x:v>
      </x:c>
      <x:c r="Z17" s="4" t="n">
        <x:f>IFERROR(INDEX('参数'!$D$5:$D$7,MATCH($N17,'参数'!$A$5:$A$7,0)),"")</x:f>
        <x:v>1.5</x:v>
      </x:c>
      <x:c r="AA17" s="4" t="n">
        <x:f>IFERROR(INDEX('楼层配置'!$E$5:$E$104,MATCH($K17,'楼层配置'!$B$5:$B$104,0)),1)</x:f>
        <x:v>1.0598272441572107</x:v>
      </x:c>
      <x:c r="AB17" s="4" t="n">
        <x:f>IFERROR(INDEX('楼层配置'!$F$5:$F$104,MATCH($K17,'楼层配置'!$B$5:$B$104,0)),1)</x:f>
        <x:v>0.8652500344048418</x:v>
      </x:c>
      <x:c r="AC17" s="4" t="n">
        <x:f>IFERROR(INDEX('楼层配置'!$G$5:$G$104,MATCH($K17,'楼层配置'!$B$5:$B$104,0)),1)</x:f>
        <x:v>1</x:v>
      </x:c>
      <x:c r="AD17" s="6" t="n">
        <x:f t="shared" si="3">IFERROR($D17/$G17-1,"")</x:f>
        <x:v>-0.21709677419354834</x:v>
      </x:c>
      <x:c r="AE17" s="6" t="n">
        <x:f t="shared" si="4">IFERROR($E17/$H17-1,"")</x:f>
        <x:v>-0.089035449299258</x:v>
      </x:c>
      <x:c r="AF17" s="6" t="n">
        <x:f t="shared" si="5">IFERROR($F17/$I17-1,"")</x:f>
        <x:v>0.2709384460141271</x:v>
      </x:c>
      <x:c r="AG17" s="4" t="str">
        <x:f t="shared" si="6">IF(AND($A17&gt;=1,$L17&gt;=1,$L17&lt;=500,OR($N17="Tank",$N17="DPS",$N17="Support"),ISNUMBER($D17),ISNUMBER($E17),ISNUMBER($F17)),"有效","异常")</x:f>
        <x:v>有效</x:v>
      </x:c>
      <x:c r="AH17" t="n">
        <x:f>D17/(1-MIN(0.75,F17/(24000+F17)))</x:f>
        <x:v>24135.604875</x:v>
      </x:c>
    </x:row>
    <x:row r="18" ht="14.25" customHeight="1">
      <x:c r="A18" s="4">
        <x:v>14</x:v>
      </x:c>
      <x:c r="B18" s="4">
        <x:v>1011</x:v>
      </x:c>
      <x:c r="C18" s="4">
        <x:v>11</x:v>
      </x:c>
      <x:c r="D18" s="5" t="n">
        <x:f>IFERROR(ROUND($U18*$X18*$AA18*'参数'!$B$13,0),"")</x:f>
        <x:v>18203</x:v>
      </x:c>
      <x:c r="E18" s="5" t="n">
        <x:f>IFERROR(ROUND($V18*$Y18*$AB18*'参数'!$C$13,0),"")</x:f>
        <x:v>1105</x:v>
      </x:c>
      <x:c r="F18" s="5" t="n">
        <x:f>IFERROR(ROUND($W18*$Z18*$AC18*'参数'!$D$13,0),"")</x:f>
        <x:v>2099</x:v>
      </x:c>
      <x:c r="G18" s="4">
        <x:v>23250</x:v>
      </x:c>
      <x:c r="H18" s="4">
        <x:v>1213</x:v>
      </x:c>
      <x:c r="I18" s="4">
        <x:v>1652</x:v>
      </x:c>
      <x:c r="J18" s="4">
        <x:v>3</x:v>
      </x:c>
      <x:c r="K18" s="4">
        <x:v>3</x:v>
      </x:c>
      <x:c r="L18" s="4" t="n">
        <x:f>IFERROR(INDEX('楼层配置'!$D$5:$D$104,MATCH($K18,'楼层配置'!$B$5:$B$104,0)),"")</x:f>
        <x:v>22</x:v>
      </x:c>
      <x:c r="M18" s="4" t="str">
        <x:f>IFERROR(INDEX('_角色基线'!$B$2:$B$100,MATCH($B18,'_角色基线'!$A$2:$A$100,0)),"")</x:f>
        <x:v>陈双双</x:v>
      </x:c>
      <x:c r="N18" s="4" t="str">
        <x:f>IFERROR(INDEX('_角色基线'!$C$2:$C$100,MATCH($B18,'_角色基线'!$A$2:$A$100,0)),"")</x:f>
        <x:v>Support</x:v>
      </x:c>
      <x:c r="O18" s="4" t="n">
        <x:f>IFERROR(INDEX('_怪物基线'!$B$2:$B$501,MATCH(INT($L18),'_怪物基线'!$A$2:$A$501,0)),"")</x:f>
        <x:v>3435</x:v>
      </x:c>
      <x:c r="P18" s="4" t="n">
        <x:f>IFERROR(INDEX('_怪物基线'!$C$2:$C$501,MATCH(INT($L18),'_怪物基线'!$A$2:$A$501,0)),"")</x:f>
        <x:v>1064</x:v>
      </x:c>
      <x:c r="Q18" s="4" t="n">
        <x:f>IFERROR(INDEX('_怪物基线'!$D$2:$D$501,MATCH(INT($L18),'_怪物基线'!$A$2:$A$501,0)),"")</x:f>
        <x:v>1679</x:v>
      </x:c>
      <x:c r="R18" s="4" t="n">
        <x:f>'参数'!$B$10</x:f>
        <x:v>4</x:v>
      </x:c>
      <x:c r="S18" s="4" t="n">
        <x:f>'参数'!$C$10</x:f>
        <x:v>1.2</x:v>
      </x:c>
      <x:c r="T18" s="4" t="n">
        <x:f>'参数'!$D$10</x:f>
        <x:v>1</x:v>
      </x:c>
      <x:c r="U18" s="4" t="n">
        <x:f t="shared" si="0">IF($O18="","",$O18*$R18)</x:f>
        <x:v>13740</x:v>
      </x:c>
      <x:c r="V18" s="4" t="n">
        <x:f t="shared" si="1">IF($P18="","",$P18*$S18)</x:f>
        <x:v>1276.8</x:v>
      </x:c>
      <x:c r="W18" s="4" t="n">
        <x:f t="shared" si="2">IF($Q18="","",$Q18*$T18)</x:f>
        <x:v>1679</x:v>
      </x:c>
      <x:c r="X18" s="4" t="n">
        <x:f>IFERROR(INDEX('参数'!$B$5:$B$7,MATCH($N18,'参数'!$A$5:$A$7,0)),"")</x:f>
        <x:v>1.25</x:v>
      </x:c>
      <x:c r="Y18" s="4" t="n">
        <x:f>IFERROR(INDEX('参数'!$C$5:$C$7,MATCH($N18,'参数'!$A$5:$A$7,0)),"")</x:f>
        <x:v>1</x:v>
      </x:c>
      <x:c r="Z18" s="4" t="n">
        <x:f>IFERROR(INDEX('参数'!$D$5:$D$7,MATCH($N18,'参数'!$A$5:$A$7,0)),"")</x:f>
        <x:v>1.25</x:v>
      </x:c>
      <x:c r="AA18" s="4" t="n">
        <x:f>IFERROR(INDEX('楼层配置'!$E$5:$E$104,MATCH($K18,'楼层配置'!$B$5:$B$104,0)),1)</x:f>
        <x:v>1.0598272441572107</x:v>
      </x:c>
      <x:c r="AB18" s="4" t="n">
        <x:f>IFERROR(INDEX('楼层配置'!$F$5:$F$104,MATCH($K18,'楼层配置'!$B$5:$B$104,0)),1)</x:f>
        <x:v>0.8652500344048418</x:v>
      </x:c>
      <x:c r="AC18" s="4" t="n">
        <x:f>IFERROR(INDEX('楼层配置'!$G$5:$G$104,MATCH($K18,'楼层配置'!$B$5:$B$104,0)),1)</x:f>
        <x:v>1</x:v>
      </x:c>
      <x:c r="AD18" s="6" t="n">
        <x:f t="shared" si="3">IFERROR($D18/$G18-1,"")</x:f>
        <x:v>-0.2170752688172043</x:v>
      </x:c>
      <x:c r="AE18" s="6" t="n">
        <x:f t="shared" si="4">IFERROR($E18/$H18-1,"")</x:f>
        <x:v>-0.089035449299258</x:v>
      </x:c>
      <x:c r="AF18" s="6" t="n">
        <x:f t="shared" si="5">IFERROR($F18/$I18-1,"")</x:f>
        <x:v>0.2705811138014529</x:v>
      </x:c>
      <x:c r="AG18" s="4" t="str">
        <x:f t="shared" si="6">IF(AND($A18&gt;=1,$L18&gt;=1,$L18&lt;=500,OR($N18="Tank",$N18="DPS",$N18="Support"),ISNUMBER($D18),ISNUMBER($E18),ISNUMBER($F18)),"有效","异常")</x:f>
        <x:v>有效</x:v>
      </x:c>
      <x:c r="AH18" t="n">
        <x:f>D18/(1-MIN(0.75,F18/(24000+F18)))</x:f>
        <x:v>19795.004041666667</x:v>
      </x:c>
    </x:row>
    <x:row r="19" ht="14.25" customHeight="1">
      <x:c r="A19" s="4">
        <x:v>15</x:v>
      </x:c>
      <x:c r="B19" s="4">
        <x:v>1015</x:v>
      </x:c>
      <x:c r="C19" s="4">
        <x:v>11</x:v>
      </x:c>
      <x:c r="D19" s="5" t="n">
        <x:f>IFERROR(ROUND($U19*$X19*$AA19*'参数'!$B$13,0),"")</x:f>
        <x:v>18203</x:v>
      </x:c>
      <x:c r="E19" s="5" t="n">
        <x:f>IFERROR(ROUND($V19*$Y19*$AB19*'参数'!$C$13,0),"")</x:f>
        <x:v>1105</x:v>
      </x:c>
      <x:c r="F19" s="5" t="n">
        <x:f>IFERROR(ROUND($W19*$Z19*$AC19*'参数'!$D$13,0),"")</x:f>
        <x:v>2099</x:v>
      </x:c>
      <x:c r="G19" s="4">
        <x:v>23250</x:v>
      </x:c>
      <x:c r="H19" s="4">
        <x:v>1213</x:v>
      </x:c>
      <x:c r="I19" s="4">
        <x:v>1652</x:v>
      </x:c>
      <x:c r="J19" s="4">
        <x:v>3</x:v>
      </x:c>
      <x:c r="K19" s="4">
        <x:v>3</x:v>
      </x:c>
      <x:c r="L19" s="4" t="n">
        <x:f>IFERROR(INDEX('楼层配置'!$D$5:$D$104,MATCH($K19,'楼层配置'!$B$5:$B$104,0)),"")</x:f>
        <x:v>22</x:v>
      </x:c>
      <x:c r="M19" s="4" t="str">
        <x:f>IFERROR(INDEX('_角色基线'!$B$2:$B$100,MATCH($B19,'_角色基线'!$A$2:$A$100,0)),"")</x:f>
        <x:v>阿莱克西娅</x:v>
      </x:c>
      <x:c r="N19" s="4" t="str">
        <x:f>IFERROR(INDEX('_角色基线'!$C$2:$C$100,MATCH($B19,'_角色基线'!$A$2:$A$100,0)),"")</x:f>
        <x:v>Support</x:v>
      </x:c>
      <x:c r="O19" s="4" t="n">
        <x:f>IFERROR(INDEX('_怪物基线'!$B$2:$B$501,MATCH(INT($L19),'_怪物基线'!$A$2:$A$501,0)),"")</x:f>
        <x:v>3435</x:v>
      </x:c>
      <x:c r="P19" s="4" t="n">
        <x:f>IFERROR(INDEX('_怪物基线'!$C$2:$C$501,MATCH(INT($L19),'_怪物基线'!$A$2:$A$501,0)),"")</x:f>
        <x:v>1064</x:v>
      </x:c>
      <x:c r="Q19" s="4" t="n">
        <x:f>IFERROR(INDEX('_怪物基线'!$D$2:$D$501,MATCH(INT($L19),'_怪物基线'!$A$2:$A$501,0)),"")</x:f>
        <x:v>1679</x:v>
      </x:c>
      <x:c r="R19" s="4" t="n">
        <x:f>'参数'!$B$10</x:f>
        <x:v>4</x:v>
      </x:c>
      <x:c r="S19" s="4" t="n">
        <x:f>'参数'!$C$10</x:f>
        <x:v>1.2</x:v>
      </x:c>
      <x:c r="T19" s="4" t="n">
        <x:f>'参数'!$D$10</x:f>
        <x:v>1</x:v>
      </x:c>
      <x:c r="U19" s="4" t="n">
        <x:f t="shared" si="0">IF($O19="","",$O19*$R19)</x:f>
        <x:v>13740</x:v>
      </x:c>
      <x:c r="V19" s="4" t="n">
        <x:f t="shared" si="1">IF($P19="","",$P19*$S19)</x:f>
        <x:v>1276.8</x:v>
      </x:c>
      <x:c r="W19" s="4" t="n">
        <x:f t="shared" si="2">IF($Q19="","",$Q19*$T19)</x:f>
        <x:v>1679</x:v>
      </x:c>
      <x:c r="X19" s="4" t="n">
        <x:f>IFERROR(INDEX('参数'!$B$5:$B$7,MATCH($N19,'参数'!$A$5:$A$7,0)),"")</x:f>
        <x:v>1.25</x:v>
      </x:c>
      <x:c r="Y19" s="4" t="n">
        <x:f>IFERROR(INDEX('参数'!$C$5:$C$7,MATCH($N19,'参数'!$A$5:$A$7,0)),"")</x:f>
        <x:v>1</x:v>
      </x:c>
      <x:c r="Z19" s="4" t="n">
        <x:f>IFERROR(INDEX('参数'!$D$5:$D$7,MATCH($N19,'参数'!$A$5:$A$7,0)),"")</x:f>
        <x:v>1.25</x:v>
      </x:c>
      <x:c r="AA19" s="4" t="n">
        <x:f>IFERROR(INDEX('楼层配置'!$E$5:$E$104,MATCH($K19,'楼层配置'!$B$5:$B$104,0)),1)</x:f>
        <x:v>1.0598272441572107</x:v>
      </x:c>
      <x:c r="AB19" s="4" t="n">
        <x:f>IFERROR(INDEX('楼层配置'!$F$5:$F$104,MATCH($K19,'楼层配置'!$B$5:$B$104,0)),1)</x:f>
        <x:v>0.8652500344048418</x:v>
      </x:c>
      <x:c r="AC19" s="4" t="n">
        <x:f>IFERROR(INDEX('楼层配置'!$G$5:$G$104,MATCH($K19,'楼层配置'!$B$5:$B$104,0)),1)</x:f>
        <x:v>1</x:v>
      </x:c>
      <x:c r="AD19" s="6" t="n">
        <x:f t="shared" si="3">IFERROR($D19/$G19-1,"")</x:f>
        <x:v>-0.2170752688172043</x:v>
      </x:c>
      <x:c r="AE19" s="6" t="n">
        <x:f t="shared" si="4">IFERROR($E19/$H19-1,"")</x:f>
        <x:v>-0.089035449299258</x:v>
      </x:c>
      <x:c r="AF19" s="6" t="n">
        <x:f t="shared" si="5">IFERROR($F19/$I19-1,"")</x:f>
        <x:v>0.2705811138014529</x:v>
      </x:c>
      <x:c r="AG19" s="4" t="str">
        <x:f t="shared" si="6">IF(AND($A19&gt;=1,$L19&gt;=1,$L19&lt;=500,OR($N19="Tank",$N19="DPS",$N19="Support"),ISNUMBER($D19),ISNUMBER($E19),ISNUMBER($F19)),"有效","异常")</x:f>
        <x:v>有效</x:v>
      </x:c>
      <x:c r="AH19" t="n">
        <x:f>D19/(1-MIN(0.75,F19/(24000+F19)))</x:f>
        <x:v>19795.004041666667</x:v>
      </x:c>
    </x:row>
    <x:row r="20" ht="14.25" customHeight="1">
      <x:c r="A20" s="4">
        <x:v>16</x:v>
      </x:c>
      <x:c r="B20" s="4">
        <x:v>1035</x:v>
      </x:c>
      <x:c r="C20" s="4">
        <x:v>12</x:v>
      </x:c>
      <x:c r="D20" s="5" t="n">
        <x:f>IFERROR(ROUND($U20*$X20*$AA20*'参数'!$B$13,0),"")</x:f>
        <x:v>17861</x:v>
      </x:c>
      <x:c r="E20" s="5" t="n">
        <x:f>IFERROR(ROUND($V20*$Y20*$AB20*'参数'!$C$13,0),"")</x:f>
        <x:v>1530</x:v>
      </x:c>
      <x:c r="F20" s="5" t="n">
        <x:f>IFERROR(ROUND($W20*$Z20*$AC20*'参数'!$D$13,0),"")</x:f>
        <x:v>1917</x:v>
      </x:c>
      <x:c r="G20" s="4">
        <x:v>22555</x:v>
      </x:c>
      <x:c r="H20" s="4">
        <x:v>1680</x:v>
      </x:c>
      <x:c r="I20" s="4">
        <x:v>1522</x:v>
      </x:c>
      <x:c r="J20" s="4">
        <x:v>4</x:v>
      </x:c>
      <x:c r="K20" s="4">
        <x:v>4</x:v>
      </x:c>
      <x:c r="L20" s="4" t="n">
        <x:f>IFERROR(INDEX('楼层配置'!$D$5:$D$104,MATCH($K20,'楼层配置'!$B$5:$B$104,0)),"")</x:f>
        <x:v>25</x:v>
      </x:c>
      <x:c r="M20" s="4" t="str">
        <x:f>IFERROR(INDEX('_角色基线'!$B$2:$B$100,MATCH($B20,'_角色基线'!$A$2:$A$100,0)),"")</x:f>
        <x:v>碎冰者</x:v>
      </x:c>
      <x:c r="N20" s="4" t="str">
        <x:f>IFERROR(INDEX('_角色基线'!$C$2:$C$100,MATCH($B20,'_角色基线'!$A$2:$A$100,0)),"")</x:f>
        <x:v>DPS</x:v>
      </x:c>
      <x:c r="O20" s="4" t="n">
        <x:f>IFERROR(INDEX('_怪物基线'!$B$2:$B$501,MATCH(INT($L20),'_怪物基线'!$A$2:$A$501,0)),"")</x:f>
        <x:v>4096</x:v>
      </x:c>
      <x:c r="P20" s="4" t="n">
        <x:f>IFERROR(INDEX('_怪物基线'!$C$2:$C$501,MATCH(INT($L20),'_怪物基线'!$A$2:$A$501,0)),"")</x:f>
        <x:v>1225</x:v>
      </x:c>
      <x:c r="Q20" s="4" t="n">
        <x:f>IFERROR(INDEX('_怪物基线'!$D$2:$D$501,MATCH(INT($L20),'_怪物基线'!$A$2:$A$501,0)),"")</x:f>
        <x:v>1917</x:v>
      </x:c>
      <x:c r="R20" s="4" t="n">
        <x:f>'参数'!$B$10</x:f>
        <x:v>4</x:v>
      </x:c>
      <x:c r="S20" s="4" t="n">
        <x:f>'参数'!$C$10</x:f>
        <x:v>1.2</x:v>
      </x:c>
      <x:c r="T20" s="4" t="n">
        <x:f>'参数'!$D$10</x:f>
        <x:v>1</x:v>
      </x:c>
      <x:c r="U20" s="4" t="n">
        <x:f t="shared" si="0">IF($O20="","",$O20*$R20)</x:f>
        <x:v>16384</x:v>
      </x:c>
      <x:c r="V20" s="4" t="n">
        <x:f t="shared" si="1">IF($P20="","",$P20*$S20)</x:f>
        <x:v>1470</x:v>
      </x:c>
      <x:c r="W20" s="4" t="n">
        <x:f t="shared" si="2">IF($Q20="","",$Q20*$T20)</x:f>
        <x:v>1917</x:v>
      </x:c>
      <x:c r="X20" s="4" t="n">
        <x:f>IFERROR(INDEX('参数'!$B$5:$B$7,MATCH($N20,'参数'!$A$5:$A$7,0)),"")</x:f>
        <x:v>1</x:v>
      </x:c>
      <x:c r="Y20" s="4" t="n">
        <x:f>IFERROR(INDEX('参数'!$C$5:$C$7,MATCH($N20,'参数'!$A$5:$A$7,0)),"")</x:f>
        <x:v>1.2</x:v>
      </x:c>
      <x:c r="Z20" s="4" t="n">
        <x:f>IFERROR(INDEX('参数'!$D$5:$D$7,MATCH($N20,'参数'!$A$5:$A$7,0)),"")</x:f>
        <x:v>1</x:v>
      </x:c>
      <x:c r="AA20" s="4" t="n">
        <x:f>IFERROR(INDEX('楼层配置'!$E$5:$E$104,MATCH($K20,'楼层配置'!$B$5:$B$104,0)),1)</x:f>
        <x:v>1.0901499586871901</x:v>
      </x:c>
      <x:c r="AB20" s="4" t="n">
        <x:f>IFERROR(INDEX('楼层配置'!$F$5:$F$104,MATCH($K20,'楼层配置'!$B$5:$B$104,0)),1)</x:f>
        <x:v>0.8674959313306901</x:v>
      </x:c>
      <x:c r="AC20" s="4" t="n">
        <x:f>IFERROR(INDEX('楼层配置'!$G$5:$G$104,MATCH($K20,'楼层配置'!$B$5:$B$104,0)),1)</x:f>
        <x:v>1</x:v>
      </x:c>
      <x:c r="AD20" s="6" t="n">
        <x:f t="shared" si="3">IFERROR($D20/$G20-1,"")</x:f>
        <x:v>-0.20811350033252052</x:v>
      </x:c>
      <x:c r="AE20" s="6" t="n">
        <x:f t="shared" si="4">IFERROR($E20/$H20-1,"")</x:f>
        <x:v>-0.0892857142857143</x:v>
      </x:c>
      <x:c r="AF20" s="6" t="n">
        <x:f t="shared" si="5">IFERROR($F20/$I20-1,"")</x:f>
        <x:v>0.25952693823915896</x:v>
      </x:c>
      <x:c r="AG20" s="4" t="str">
        <x:f t="shared" si="6">IF(AND($A20&gt;=1,$L20&gt;=1,$L20&lt;=500,OR($N20="Tank",$N20="DPS",$N20="Support"),ISNUMBER($D20),ISNUMBER($E20),ISNUMBER($F20)),"有效","异常")</x:f>
        <x:v>有效</x:v>
      </x:c>
      <x:c r="AH20" t="n">
        <x:f>D20/(1-MIN(0.75,F20/(24000+F20)))</x:f>
        <x:v>19287.647375</x:v>
      </x:c>
    </x:row>
    <x:row r="21" ht="14.25" customHeight="1">
      <x:c r="A21" s="4">
        <x:v>17</x:v>
      </x:c>
      <x:c r="B21" s="4">
        <x:v>1037</x:v>
      </x:c>
      <x:c r="C21" s="4">
        <x:v>12</x:v>
      </x:c>
      <x:c r="D21" s="5" t="n">
        <x:f>IFERROR(ROUND($U21*$X21*$AA21*'参数'!$B$13,0),"")</x:f>
        <x:v>17861</x:v>
      </x:c>
      <x:c r="E21" s="5" t="n">
        <x:f>IFERROR(ROUND($V21*$Y21*$AB21*'参数'!$C$13,0),"")</x:f>
        <x:v>1530</x:v>
      </x:c>
      <x:c r="F21" s="5" t="n">
        <x:f>IFERROR(ROUND($W21*$Z21*$AC21*'参数'!$D$13,0),"")</x:f>
        <x:v>1917</x:v>
      </x:c>
      <x:c r="G21" s="4">
        <x:v>22555</x:v>
      </x:c>
      <x:c r="H21" s="4">
        <x:v>1680</x:v>
      </x:c>
      <x:c r="I21" s="4">
        <x:v>1522</x:v>
      </x:c>
      <x:c r="J21" s="4">
        <x:v>4</x:v>
      </x:c>
      <x:c r="K21" s="4">
        <x:v>4</x:v>
      </x:c>
      <x:c r="L21" s="4" t="n">
        <x:f>IFERROR(INDEX('楼层配置'!$D$5:$D$104,MATCH($K21,'楼层配置'!$B$5:$B$104,0)),"")</x:f>
        <x:v>25</x:v>
      </x:c>
      <x:c r="M21" s="4" t="str">
        <x:f>IFERROR(INDEX('_角色基线'!$B$2:$B$100,MATCH($B21,'_角色基线'!$A$2:$A$100,0)),"")</x:f>
        <x:v>霜狼战士</x:v>
      </x:c>
      <x:c r="N21" s="4" t="str">
        <x:f>IFERROR(INDEX('_角色基线'!$C$2:$C$100,MATCH($B21,'_角色基线'!$A$2:$A$100,0)),"")</x:f>
        <x:v>DPS</x:v>
      </x:c>
      <x:c r="O21" s="4" t="n">
        <x:f>IFERROR(INDEX('_怪物基线'!$B$2:$B$501,MATCH(INT($L21),'_怪物基线'!$A$2:$A$501,0)),"")</x:f>
        <x:v>4096</x:v>
      </x:c>
      <x:c r="P21" s="4" t="n">
        <x:f>IFERROR(INDEX('_怪物基线'!$C$2:$C$501,MATCH(INT($L21),'_怪物基线'!$A$2:$A$501,0)),"")</x:f>
        <x:v>1225</x:v>
      </x:c>
      <x:c r="Q21" s="4" t="n">
        <x:f>IFERROR(INDEX('_怪物基线'!$D$2:$D$501,MATCH(INT($L21),'_怪物基线'!$A$2:$A$501,0)),"")</x:f>
        <x:v>1917</x:v>
      </x:c>
      <x:c r="R21" s="4" t="n">
        <x:f>'参数'!$B$10</x:f>
        <x:v>4</x:v>
      </x:c>
      <x:c r="S21" s="4" t="n">
        <x:f>'参数'!$C$10</x:f>
        <x:v>1.2</x:v>
      </x:c>
      <x:c r="T21" s="4" t="n">
        <x:f>'参数'!$D$10</x:f>
        <x:v>1</x:v>
      </x:c>
      <x:c r="U21" s="4" t="n">
        <x:f t="shared" si="0">IF($O21="","",$O21*$R21)</x:f>
        <x:v>16384</x:v>
      </x:c>
      <x:c r="V21" s="4" t="n">
        <x:f t="shared" si="1">IF($P21="","",$P21*$S21)</x:f>
        <x:v>1470</x:v>
      </x:c>
      <x:c r="W21" s="4" t="n">
        <x:f t="shared" si="2">IF($Q21="","",$Q21*$T21)</x:f>
        <x:v>1917</x:v>
      </x:c>
      <x:c r="X21" s="4" t="n">
        <x:f>IFERROR(INDEX('参数'!$B$5:$B$7,MATCH($N21,'参数'!$A$5:$A$7,0)),"")</x:f>
        <x:v>1</x:v>
      </x:c>
      <x:c r="Y21" s="4" t="n">
        <x:f>IFERROR(INDEX('参数'!$C$5:$C$7,MATCH($N21,'参数'!$A$5:$A$7,0)),"")</x:f>
        <x:v>1.2</x:v>
      </x:c>
      <x:c r="Z21" s="4" t="n">
        <x:f>IFERROR(INDEX('参数'!$D$5:$D$7,MATCH($N21,'参数'!$A$5:$A$7,0)),"")</x:f>
        <x:v>1</x:v>
      </x:c>
      <x:c r="AA21" s="4" t="n">
        <x:f>IFERROR(INDEX('楼层配置'!$E$5:$E$104,MATCH($K21,'楼层配置'!$B$5:$B$104,0)),1)</x:f>
        <x:v>1.0901499586871901</x:v>
      </x:c>
      <x:c r="AB21" s="4" t="n">
        <x:f>IFERROR(INDEX('楼层配置'!$F$5:$F$104,MATCH($K21,'楼层配置'!$B$5:$B$104,0)),1)</x:f>
        <x:v>0.8674959313306901</x:v>
      </x:c>
      <x:c r="AC21" s="4" t="n">
        <x:f>IFERROR(INDEX('楼层配置'!$G$5:$G$104,MATCH($K21,'楼层配置'!$B$5:$B$104,0)),1)</x:f>
        <x:v>1</x:v>
      </x:c>
      <x:c r="AD21" s="6" t="n">
        <x:f t="shared" si="3">IFERROR($D21/$G21-1,"")</x:f>
        <x:v>-0.20811350033252052</x:v>
      </x:c>
      <x:c r="AE21" s="6" t="n">
        <x:f t="shared" si="4">IFERROR($E21/$H21-1,"")</x:f>
        <x:v>-0.0892857142857143</x:v>
      </x:c>
      <x:c r="AF21" s="6" t="n">
        <x:f t="shared" si="5">IFERROR($F21/$I21-1,"")</x:f>
        <x:v>0.25952693823915896</x:v>
      </x:c>
      <x:c r="AG21" s="4" t="str">
        <x:f t="shared" si="6">IF(AND($A21&gt;=1,$L21&gt;=1,$L21&lt;=500,OR($N21="Tank",$N21="DPS",$N21="Support"),ISNUMBER($D21),ISNUMBER($E21),ISNUMBER($F21)),"有效","异常")</x:f>
        <x:v>有效</x:v>
      </x:c>
      <x:c r="AH21" t="n">
        <x:f>D21/(1-MIN(0.75,F21/(24000+F21)))</x:f>
        <x:v>19287.647375</x:v>
      </x:c>
    </x:row>
    <x:row r="22" ht="14.25" customHeight="1">
      <x:c r="A22" s="4">
        <x:v>18</x:v>
      </x:c>
      <x:c r="B22" s="4">
        <x:v>1014</x:v>
      </x:c>
      <x:c r="C22" s="4">
        <x:v>12</x:v>
      </x:c>
      <x:c r="D22" s="5" t="n">
        <x:f>IFERROR(ROUND($U22*$X22*$AA22*'参数'!$B$13,0),"")</x:f>
        <x:v>17861</x:v>
      </x:c>
      <x:c r="E22" s="5" t="n">
        <x:f>IFERROR(ROUND($V22*$Y22*$AB22*'参数'!$C$13,0),"")</x:f>
        <x:v>1530</x:v>
      </x:c>
      <x:c r="F22" s="5" t="n">
        <x:f>IFERROR(ROUND($W22*$Z22*$AC22*'参数'!$D$13,0),"")</x:f>
        <x:v>1917</x:v>
      </x:c>
      <x:c r="G22" s="4">
        <x:v>22555</x:v>
      </x:c>
      <x:c r="H22" s="4">
        <x:v>1680</x:v>
      </x:c>
      <x:c r="I22" s="4">
        <x:v>1522</x:v>
      </x:c>
      <x:c r="J22" s="4">
        <x:v>4</x:v>
      </x:c>
      <x:c r="K22" s="4">
        <x:v>4</x:v>
      </x:c>
      <x:c r="L22" s="4" t="n">
        <x:f>IFERROR(INDEX('楼层配置'!$D$5:$D$104,MATCH($K22,'楼层配置'!$B$5:$B$104,0)),"")</x:f>
        <x:v>25</x:v>
      </x:c>
      <x:c r="M22" s="4" t="str">
        <x:f>IFERROR(INDEX('_角色基线'!$B$2:$B$100,MATCH($B22,'_角色基线'!$A$2:$A$100,0)),"")</x:f>
        <x:v>克莉丝汀</x:v>
      </x:c>
      <x:c r="N22" s="4" t="str">
        <x:f>IFERROR(INDEX('_角色基线'!$C$2:$C$100,MATCH($B22,'_角色基线'!$A$2:$A$100,0)),"")</x:f>
        <x:v>DPS</x:v>
      </x:c>
      <x:c r="O22" s="4" t="n">
        <x:f>IFERROR(INDEX('_怪物基线'!$B$2:$B$501,MATCH(INT($L22),'_怪物基线'!$A$2:$A$501,0)),"")</x:f>
        <x:v>4096</x:v>
      </x:c>
      <x:c r="P22" s="4" t="n">
        <x:f>IFERROR(INDEX('_怪物基线'!$C$2:$C$501,MATCH(INT($L22),'_怪物基线'!$A$2:$A$501,0)),"")</x:f>
        <x:v>1225</x:v>
      </x:c>
      <x:c r="Q22" s="4" t="n">
        <x:f>IFERROR(INDEX('_怪物基线'!$D$2:$D$501,MATCH(INT($L22),'_怪物基线'!$A$2:$A$501,0)),"")</x:f>
        <x:v>1917</x:v>
      </x:c>
      <x:c r="R22" s="4" t="n">
        <x:f>'参数'!$B$10</x:f>
        <x:v>4</x:v>
      </x:c>
      <x:c r="S22" s="4" t="n">
        <x:f>'参数'!$C$10</x:f>
        <x:v>1.2</x:v>
      </x:c>
      <x:c r="T22" s="4" t="n">
        <x:f>'参数'!$D$10</x:f>
        <x:v>1</x:v>
      </x:c>
      <x:c r="U22" s="4" t="n">
        <x:f t="shared" si="0">IF($O22="","",$O22*$R22)</x:f>
        <x:v>16384</x:v>
      </x:c>
      <x:c r="V22" s="4" t="n">
        <x:f t="shared" si="1">IF($P22="","",$P22*$S22)</x:f>
        <x:v>1470</x:v>
      </x:c>
      <x:c r="W22" s="4" t="n">
        <x:f t="shared" si="2">IF($Q22="","",$Q22*$T22)</x:f>
        <x:v>1917</x:v>
      </x:c>
      <x:c r="X22" s="4" t="n">
        <x:f>IFERROR(INDEX('参数'!$B$5:$B$7,MATCH($N22,'参数'!$A$5:$A$7,0)),"")</x:f>
        <x:v>1</x:v>
      </x:c>
      <x:c r="Y22" s="4" t="n">
        <x:f>IFERROR(INDEX('参数'!$C$5:$C$7,MATCH($N22,'参数'!$A$5:$A$7,0)),"")</x:f>
        <x:v>1.2</x:v>
      </x:c>
      <x:c r="Z22" s="4" t="n">
        <x:f>IFERROR(INDEX('参数'!$D$5:$D$7,MATCH($N22,'参数'!$A$5:$A$7,0)),"")</x:f>
        <x:v>1</x:v>
      </x:c>
      <x:c r="AA22" s="4" t="n">
        <x:f>IFERROR(INDEX('楼层配置'!$E$5:$E$104,MATCH($K22,'楼层配置'!$B$5:$B$104,0)),1)</x:f>
        <x:v>1.0901499586871901</x:v>
      </x:c>
      <x:c r="AB22" s="4" t="n">
        <x:f>IFERROR(INDEX('楼层配置'!$F$5:$F$104,MATCH($K22,'楼层配置'!$B$5:$B$104,0)),1)</x:f>
        <x:v>0.8674959313306901</x:v>
      </x:c>
      <x:c r="AC22" s="4" t="n">
        <x:f>IFERROR(INDEX('楼层配置'!$G$5:$G$104,MATCH($K22,'楼层配置'!$B$5:$B$104,0)),1)</x:f>
        <x:v>1</x:v>
      </x:c>
      <x:c r="AD22" s="6" t="n">
        <x:f t="shared" si="3">IFERROR($D22/$G22-1,"")</x:f>
        <x:v>-0.20811350033252052</x:v>
      </x:c>
      <x:c r="AE22" s="6" t="n">
        <x:f t="shared" si="4">IFERROR($E22/$H22-1,"")</x:f>
        <x:v>-0.0892857142857143</x:v>
      </x:c>
      <x:c r="AF22" s="6" t="n">
        <x:f t="shared" si="5">IFERROR($F22/$I22-1,"")</x:f>
        <x:v>0.25952693823915896</x:v>
      </x:c>
      <x:c r="AG22" s="4" t="str">
        <x:f t="shared" si="6">IF(AND($A22&gt;=1,$L22&gt;=1,$L22&lt;=500,OR($N22="Tank",$N22="DPS",$N22="Support"),ISNUMBER($D22),ISNUMBER($E22),ISNUMBER($F22)),"有效","异常")</x:f>
        <x:v>有效</x:v>
      </x:c>
      <x:c r="AH22" t="n">
        <x:f>D22/(1-MIN(0.75,F22/(24000+F22)))</x:f>
        <x:v>19287.647375</x:v>
      </x:c>
    </x:row>
    <x:row r="23" ht="14.25" customHeight="1">
      <x:c r="A23" s="4">
        <x:v>19</x:v>
      </x:c>
      <x:c r="B23" s="4">
        <x:v>1036</x:v>
      </x:c>
      <x:c r="C23" s="4">
        <x:v>12</x:v>
      </x:c>
      <x:c r="D23" s="5" t="n">
        <x:f>IFERROR(ROUND($U23*$X23*$AA23*'参数'!$B$13,0),"")</x:f>
        <x:v>17861</x:v>
      </x:c>
      <x:c r="E23" s="5" t="n">
        <x:f>IFERROR(ROUND($V23*$Y23*$AB23*'参数'!$C$13,0),"")</x:f>
        <x:v>1530</x:v>
      </x:c>
      <x:c r="F23" s="5" t="n">
        <x:f>IFERROR(ROUND($W23*$Z23*$AC23*'参数'!$D$13,0),"")</x:f>
        <x:v>1917</x:v>
      </x:c>
      <x:c r="G23" s="4">
        <x:v>22555</x:v>
      </x:c>
      <x:c r="H23" s="4">
        <x:v>1680</x:v>
      </x:c>
      <x:c r="I23" s="4">
        <x:v>1522</x:v>
      </x:c>
      <x:c r="J23" s="4">
        <x:v>4</x:v>
      </x:c>
      <x:c r="K23" s="4">
        <x:v>4</x:v>
      </x:c>
      <x:c r="L23" s="4" t="n">
        <x:f>IFERROR(INDEX('楼层配置'!$D$5:$D$104,MATCH($K23,'楼层配置'!$B$5:$B$104,0)),"")</x:f>
        <x:v>25</x:v>
      </x:c>
      <x:c r="M23" s="4" t="str">
        <x:f>IFERROR(INDEX('_角色基线'!$B$2:$B$100,MATCH($B23,'_角色基线'!$A$2:$A$100,0)),"")</x:f>
        <x:v>霜狼法师</x:v>
      </x:c>
      <x:c r="N23" s="4" t="str">
        <x:f>IFERROR(INDEX('_角色基线'!$C$2:$C$100,MATCH($B23,'_角色基线'!$A$2:$A$100,0)),"")</x:f>
        <x:v>DPS</x:v>
      </x:c>
      <x:c r="O23" s="4" t="n">
        <x:f>IFERROR(INDEX('_怪物基线'!$B$2:$B$501,MATCH(INT($L23),'_怪物基线'!$A$2:$A$501,0)),"")</x:f>
        <x:v>4096</x:v>
      </x:c>
      <x:c r="P23" s="4" t="n">
        <x:f>IFERROR(INDEX('_怪物基线'!$C$2:$C$501,MATCH(INT($L23),'_怪物基线'!$A$2:$A$501,0)),"")</x:f>
        <x:v>1225</x:v>
      </x:c>
      <x:c r="Q23" s="4" t="n">
        <x:f>IFERROR(INDEX('_怪物基线'!$D$2:$D$501,MATCH(INT($L23),'_怪物基线'!$A$2:$A$501,0)),"")</x:f>
        <x:v>1917</x:v>
      </x:c>
      <x:c r="R23" s="4" t="n">
        <x:f>'参数'!$B$10</x:f>
        <x:v>4</x:v>
      </x:c>
      <x:c r="S23" s="4" t="n">
        <x:f>'参数'!$C$10</x:f>
        <x:v>1.2</x:v>
      </x:c>
      <x:c r="T23" s="4" t="n">
        <x:f>'参数'!$D$10</x:f>
        <x:v>1</x:v>
      </x:c>
      <x:c r="U23" s="4" t="n">
        <x:f t="shared" si="0">IF($O23="","",$O23*$R23)</x:f>
        <x:v>16384</x:v>
      </x:c>
      <x:c r="V23" s="4" t="n">
        <x:f t="shared" si="1">IF($P23="","",$P23*$S23)</x:f>
        <x:v>1470</x:v>
      </x:c>
      <x:c r="W23" s="4" t="n">
        <x:f t="shared" si="2">IF($Q23="","",$Q23*$T23)</x:f>
        <x:v>1917</x:v>
      </x:c>
      <x:c r="X23" s="4" t="n">
        <x:f>IFERROR(INDEX('参数'!$B$5:$B$7,MATCH($N23,'参数'!$A$5:$A$7,0)),"")</x:f>
        <x:v>1</x:v>
      </x:c>
      <x:c r="Y23" s="4" t="n">
        <x:f>IFERROR(INDEX('参数'!$C$5:$C$7,MATCH($N23,'参数'!$A$5:$A$7,0)),"")</x:f>
        <x:v>1.2</x:v>
      </x:c>
      <x:c r="Z23" s="4" t="n">
        <x:f>IFERROR(INDEX('参数'!$D$5:$D$7,MATCH($N23,'参数'!$A$5:$A$7,0)),"")</x:f>
        <x:v>1</x:v>
      </x:c>
      <x:c r="AA23" s="4" t="n">
        <x:f>IFERROR(INDEX('楼层配置'!$E$5:$E$104,MATCH($K23,'楼层配置'!$B$5:$B$104,0)),1)</x:f>
        <x:v>1.0901499586871901</x:v>
      </x:c>
      <x:c r="AB23" s="4" t="n">
        <x:f>IFERROR(INDEX('楼层配置'!$F$5:$F$104,MATCH($K23,'楼层配置'!$B$5:$B$104,0)),1)</x:f>
        <x:v>0.8674959313306901</x:v>
      </x:c>
      <x:c r="AC23" s="4" t="n">
        <x:f>IFERROR(INDEX('楼层配置'!$G$5:$G$104,MATCH($K23,'楼层配置'!$B$5:$B$104,0)),1)</x:f>
        <x:v>1</x:v>
      </x:c>
      <x:c r="AD23" s="6" t="n">
        <x:f t="shared" si="3">IFERROR($D23/$G23-1,"")</x:f>
        <x:v>-0.20811350033252052</x:v>
      </x:c>
      <x:c r="AE23" s="6" t="n">
        <x:f t="shared" si="4">IFERROR($E23/$H23-1,"")</x:f>
        <x:v>-0.0892857142857143</x:v>
      </x:c>
      <x:c r="AF23" s="6" t="n">
        <x:f t="shared" si="5">IFERROR($F23/$I23-1,"")</x:f>
        <x:v>0.25952693823915896</x:v>
      </x:c>
      <x:c r="AG23" s="4" t="str">
        <x:f t="shared" si="6">IF(AND($A23&gt;=1,$L23&gt;=1,$L23&lt;=500,OR($N23="Tank",$N23="DPS",$N23="Support"),ISNUMBER($D23),ISNUMBER($E23),ISNUMBER($F23)),"有效","异常")</x:f>
        <x:v>有效</x:v>
      </x:c>
      <x:c r="AH23" t="n">
        <x:f>D23/(1-MIN(0.75,F23/(24000+F23)))</x:f>
        <x:v>19287.647375</x:v>
      </x:c>
    </x:row>
    <x:row r="24" ht="14.25" customHeight="1">
      <x:c r="A24" s="4">
        <x:v>20</x:v>
      </x:c>
      <x:c r="B24" s="4">
        <x:v>1015</x:v>
      </x:c>
      <x:c r="C24" s="4">
        <x:v>12</x:v>
      </x:c>
      <x:c r="D24" s="5" t="n">
        <x:f>IFERROR(ROUND($U24*$X24*$AA24*'参数'!$B$13,0),"")</x:f>
        <x:v>22326</x:v>
      </x:c>
      <x:c r="E24" s="5" t="n">
        <x:f>IFERROR(ROUND($V24*$Y24*$AB24*'参数'!$C$13,0),"")</x:f>
        <x:v>1275</x:v>
      </x:c>
      <x:c r="F24" s="5" t="n">
        <x:f>IFERROR(ROUND($W24*$Z24*$AC24*'参数'!$D$13,0),"")</x:f>
        <x:v>2396</x:v>
      </x:c>
      <x:c r="G24" s="4">
        <x:v>28194</x:v>
      </x:c>
      <x:c r="H24" s="4">
        <x:v>1400</x:v>
      </x:c>
      <x:c r="I24" s="4">
        <x:v>1903</x:v>
      </x:c>
      <x:c r="J24" s="4">
        <x:v>4</x:v>
      </x:c>
      <x:c r="K24" s="4">
        <x:v>4</x:v>
      </x:c>
      <x:c r="L24" s="4" t="n">
        <x:f>IFERROR(INDEX('楼层配置'!$D$5:$D$104,MATCH($K24,'楼层配置'!$B$5:$B$104,0)),"")</x:f>
        <x:v>25</x:v>
      </x:c>
      <x:c r="M24" s="4" t="str">
        <x:f>IFERROR(INDEX('_角色基线'!$B$2:$B$100,MATCH($B24,'_角色基线'!$A$2:$A$100,0)),"")</x:f>
        <x:v>阿莱克西娅</x:v>
      </x:c>
      <x:c r="N24" s="4" t="str">
        <x:f>IFERROR(INDEX('_角色基线'!$C$2:$C$100,MATCH($B24,'_角色基线'!$A$2:$A$100,0)),"")</x:f>
        <x:v>Support</x:v>
      </x:c>
      <x:c r="O24" s="4" t="n">
        <x:f>IFERROR(INDEX('_怪物基线'!$B$2:$B$501,MATCH(INT($L24),'_怪物基线'!$A$2:$A$501,0)),"")</x:f>
        <x:v>4096</x:v>
      </x:c>
      <x:c r="P24" s="4" t="n">
        <x:f>IFERROR(INDEX('_怪物基线'!$C$2:$C$501,MATCH(INT($L24),'_怪物基线'!$A$2:$A$501,0)),"")</x:f>
        <x:v>1225</x:v>
      </x:c>
      <x:c r="Q24" s="4" t="n">
        <x:f>IFERROR(INDEX('_怪物基线'!$D$2:$D$501,MATCH(INT($L24),'_怪物基线'!$A$2:$A$501,0)),"")</x:f>
        <x:v>1917</x:v>
      </x:c>
      <x:c r="R24" s="4" t="n">
        <x:f>'参数'!$B$10</x:f>
        <x:v>4</x:v>
      </x:c>
      <x:c r="S24" s="4" t="n">
        <x:f>'参数'!$C$10</x:f>
        <x:v>1.2</x:v>
      </x:c>
      <x:c r="T24" s="4" t="n">
        <x:f>'参数'!$D$10</x:f>
        <x:v>1</x:v>
      </x:c>
      <x:c r="U24" s="4" t="n">
        <x:f t="shared" si="0">IF($O24="","",$O24*$R24)</x:f>
        <x:v>16384</x:v>
      </x:c>
      <x:c r="V24" s="4" t="n">
        <x:f t="shared" si="1">IF($P24="","",$P24*$S24)</x:f>
        <x:v>1470</x:v>
      </x:c>
      <x:c r="W24" s="4" t="n">
        <x:f t="shared" si="2">IF($Q24="","",$Q24*$T24)</x:f>
        <x:v>1917</x:v>
      </x:c>
      <x:c r="X24" s="4" t="n">
        <x:f>IFERROR(INDEX('参数'!$B$5:$B$7,MATCH($N24,'参数'!$A$5:$A$7,0)),"")</x:f>
        <x:v>1.25</x:v>
      </x:c>
      <x:c r="Y24" s="4" t="n">
        <x:f>IFERROR(INDEX('参数'!$C$5:$C$7,MATCH($N24,'参数'!$A$5:$A$7,0)),"")</x:f>
        <x:v>1</x:v>
      </x:c>
      <x:c r="Z24" s="4" t="n">
        <x:f>IFERROR(INDEX('参数'!$D$5:$D$7,MATCH($N24,'参数'!$A$5:$A$7,0)),"")</x:f>
        <x:v>1.25</x:v>
      </x:c>
      <x:c r="AA24" s="4" t="n">
        <x:f>IFERROR(INDEX('楼层配置'!$E$5:$E$104,MATCH($K24,'楼层配置'!$B$5:$B$104,0)),1)</x:f>
        <x:v>1.0901499586871901</x:v>
      </x:c>
      <x:c r="AB24" s="4" t="n">
        <x:f>IFERROR(INDEX('楼层配置'!$F$5:$F$104,MATCH($K24,'楼层配置'!$B$5:$B$104,0)),1)</x:f>
        <x:v>0.8674959313306901</x:v>
      </x:c>
      <x:c r="AC24" s="4" t="n">
        <x:f>IFERROR(INDEX('楼层配置'!$G$5:$G$104,MATCH($K24,'楼层配置'!$B$5:$B$104,0)),1)</x:f>
        <x:v>1</x:v>
      </x:c>
      <x:c r="AD24" s="6" t="n">
        <x:f t="shared" si="3">IFERROR($D24/$G24-1,"")</x:f>
        <x:v>-0.2081293892317514</x:v>
      </x:c>
      <x:c r="AE24" s="6" t="n">
        <x:f t="shared" si="4">IFERROR($E24/$H24-1,"")</x:f>
        <x:v>-0.0892857142857143</x:v>
      </x:c>
      <x:c r="AF24" s="6" t="n">
        <x:f t="shared" si="5">IFERROR($F24/$I24-1,"")</x:f>
        <x:v>0.2590646347871781</x:v>
      </x:c>
      <x:c r="AG24" s="4" t="str">
        <x:f t="shared" si="6">IF(AND($A24&gt;=1,$L24&gt;=1,$L24&lt;=500,OR($N24="Tank",$N24="DPS",$N24="Support"),ISNUMBER($D24),ISNUMBER($E24),ISNUMBER($F24)),"有效","异常")</x:f>
        <x:v>有效</x:v>
      </x:c>
      <x:c r="AH24" t="n">
        <x:f>D24/(1-MIN(0.75,F24/(24000+F24)))</x:f>
        <x:v>24554.879</x:v>
      </x:c>
    </x:row>
    <x:row r="25" ht="14.25" customHeight="1">
      <x:c r="A25" s="4">
        <x:v>21</x:v>
      </x:c>
      <x:c r="B25" s="4">
        <x:v>1002</x:v>
      </x:c>
      <x:c r="C25" s="4">
        <x:v>12</x:v>
      </x:c>
      <x:c r="D25" s="5" t="n">
        <x:f>IFERROR(ROUND($U25*$X25*$AA25*'参数'!$B$13,0),"")</x:f>
        <x:v>30866</x:v>
      </x:c>
      <x:c r="E25" s="5" t="n">
        <x:f>IFERROR(ROUND($V25*$Y25*$AB25*'参数'!$C$13,0),"")</x:f>
        <x:v>1412</x:v>
      </x:c>
      <x:c r="F25" s="5" t="n">
        <x:f>IFERROR(ROUND($W25*$Z25*$AC25*'参数'!$D$13,0),"")</x:f>
        <x:v>3234</x:v>
      </x:c>
      <x:c r="G25" s="4">
        <x:v>40262</x:v>
      </x:c>
      <x:c r="H25" s="4">
        <x:v>1594</x:v>
      </x:c>
      <x:c r="I25" s="4">
        <x:v>2588</x:v>
      </x:c>
      <x:c r="J25" s="4">
        <x:v>5</x:v>
      </x:c>
      <x:c r="K25" s="4">
        <x:v>5</x:v>
      </x:c>
      <x:c r="L25" s="4" t="n">
        <x:f>IFERROR(INDEX('楼层配置'!$D$5:$D$104,MATCH($K25,'楼层配置'!$B$5:$B$104,0)),"")</x:f>
        <x:v>28</x:v>
      </x:c>
      <x:c r="M25" s="4" t="str">
        <x:f>IFERROR(INDEX('_角色基线'!$B$2:$B$100,MATCH($B25,'_角色基线'!$A$2:$A$100,0)),"")</x:f>
        <x:v>大暑</x:v>
      </x:c>
      <x:c r="N25" s="4" t="str">
        <x:f>IFERROR(INDEX('_角色基线'!$C$2:$C$100,MATCH($B25,'_角色基线'!$A$2:$A$100,0)),"")</x:f>
        <x:v>Tank</x:v>
      </x:c>
      <x:c r="O25" s="4" t="n">
        <x:f>IFERROR(INDEX('_怪物基线'!$B$2:$B$501,MATCH(INT($L25),'_怪物基线'!$A$2:$A$501,0)),"")</x:f>
        <x:v>4801</x:v>
      </x:c>
      <x:c r="P25" s="4" t="n">
        <x:f>IFERROR(INDEX('_怪物基线'!$C$2:$C$501,MATCH(INT($L25),'_怪物基线'!$A$2:$A$501,0)),"")</x:f>
        <x:v>1389</x:v>
      </x:c>
      <x:c r="Q25" s="4" t="n">
        <x:f>IFERROR(INDEX('_怪物基线'!$D$2:$D$501,MATCH(INT($L25),'_怪物基线'!$A$2:$A$501,0)),"")</x:f>
        <x:v>2156</x:v>
      </x:c>
      <x:c r="R25" s="4" t="n">
        <x:f>'参数'!$B$10</x:f>
        <x:v>4</x:v>
      </x:c>
      <x:c r="S25" s="4" t="n">
        <x:f>'参数'!$C$10</x:f>
        <x:v>1.2</x:v>
      </x:c>
      <x:c r="T25" s="4" t="n">
        <x:f>'参数'!$D$10</x:f>
        <x:v>1</x:v>
      </x:c>
      <x:c r="U25" s="4" t="n">
        <x:f t="shared" si="0">IF($O25="","",$O25*$R25)</x:f>
        <x:v>19204</x:v>
      </x:c>
      <x:c r="V25" s="4" t="n">
        <x:f t="shared" si="1">IF($P25="","",$P25*$S25)</x:f>
        <x:v>1666.8</x:v>
      </x:c>
      <x:c r="W25" s="4" t="n">
        <x:f t="shared" si="2">IF($Q25="","",$Q25*$T25)</x:f>
        <x:v>2156</x:v>
      </x:c>
      <x:c r="X25" s="4" t="n">
        <x:f>IFERROR(INDEX('参数'!$B$5:$B$7,MATCH($N25,'参数'!$A$5:$A$7,0)),"")</x:f>
        <x:v>1.5</x:v>
      </x:c>
      <x:c r="Y25" s="4" t="n">
        <x:f>IFERROR(INDEX('参数'!$C$5:$C$7,MATCH($N25,'参数'!$A$5:$A$7,0)),"")</x:f>
        <x:v>1</x:v>
      </x:c>
      <x:c r="Z25" s="4" t="n">
        <x:f>IFERROR(INDEX('参数'!$D$5:$D$7,MATCH($N25,'参数'!$A$5:$A$7,0)),"")</x:f>
        <x:v>1.5</x:v>
      </x:c>
      <x:c r="AA25" s="4" t="n">
        <x:f>IFERROR(INDEX('楼层配置'!$E$5:$E$104,MATCH($K25,'楼层配置'!$B$5:$B$104,0)),1)</x:f>
        <x:v>1.0715188407586125</x:v>
      </x:c>
      <x:c r="AB25" s="4" t="n">
        <x:f>IFERROR(INDEX('楼层配置'!$F$5:$F$104,MATCH($K25,'楼层配置'!$B$5:$B$104,0)),1)</x:f>
        <x:v>0.8474135761275439</x:v>
      </x:c>
      <x:c r="AC25" s="4" t="n">
        <x:f>IFERROR(INDEX('楼层配置'!$G$5:$G$104,MATCH($K25,'楼层配置'!$B$5:$B$104,0)),1)</x:f>
        <x:v>1</x:v>
      </x:c>
      <x:c r="AD25" s="6" t="n">
        <x:f t="shared" si="3">IFERROR($D25/$G25-1,"")</x:f>
        <x:v>-0.2333714172172272</x:v>
      </x:c>
      <x:c r="AE25" s="6" t="n">
        <x:f t="shared" si="4">IFERROR($E25/$H25-1,"")</x:f>
        <x:v>-0.11417816813048931</x:v>
      </x:c>
      <x:c r="AF25" s="6" t="n">
        <x:f t="shared" si="5">IFERROR($F25/$I25-1,"")</x:f>
        <x:v>0.24961360123647602</x:v>
      </x:c>
      <x:c r="AG25" s="4" t="str">
        <x:f t="shared" si="6">IF(AND($A25&gt;=1,$L25&gt;=1,$L25&lt;=500,OR($N25="Tank",$N25="DPS",$N25="Support"),ISNUMBER($D25),ISNUMBER($E25),ISNUMBER($F25)),"有效","异常")</x:f>
        <x:v>有效</x:v>
      </x:c>
      <x:c r="AH25" t="n">
        <x:f>D25/(1-MIN(0.75,F25/(24000+F25)))</x:f>
        <x:v>35025.1935</x:v>
      </x:c>
    </x:row>
    <x:row r="26" ht="14.25" customHeight="1">
      <x:c r="A26" s="4">
        <x:v>22</x:v>
      </x:c>
      <x:c r="B26" s="4">
        <x:v>1005</x:v>
      </x:c>
      <x:c r="C26" s="4">
        <x:v>12</x:v>
      </x:c>
      <x:c r="D26" s="5" t="n">
        <x:f>IFERROR(ROUND($U26*$X26*$AA26*'参数'!$B$13,0),"")</x:f>
        <x:v>20577</x:v>
      </x:c>
      <x:c r="E26" s="5" t="n">
        <x:f>IFERROR(ROUND($V26*$Y26*$AB26*'参数'!$C$13,0),"")</x:f>
        <x:v>1695</x:v>
      </x:c>
      <x:c r="F26" s="5" t="n">
        <x:f>IFERROR(ROUND($W26*$Z26*$AC26*'参数'!$D$13,0),"")</x:f>
        <x:v>2156</x:v>
      </x:c>
      <x:c r="G26" s="4">
        <x:v>26841</x:v>
      </x:c>
      <x:c r="H26" s="4">
        <x:v>1912</x:v>
      </x:c>
      <x:c r="I26" s="4">
        <x:v>1725</x:v>
      </x:c>
      <x:c r="J26" s="4">
        <x:v>5</x:v>
      </x:c>
      <x:c r="K26" s="4">
        <x:v>5</x:v>
      </x:c>
      <x:c r="L26" s="4" t="n">
        <x:f>IFERROR(INDEX('楼层配置'!$D$5:$D$104,MATCH($K26,'楼层配置'!$B$5:$B$104,0)),"")</x:f>
        <x:v>28</x:v>
      </x:c>
      <x:c r="M26" s="4" t="str">
        <x:f>IFERROR(INDEX('_角色基线'!$B$2:$B$100,MATCH($B26,'_角色基线'!$A$2:$A$100,0)),"")</x:f>
        <x:v>陈单单</x:v>
      </x:c>
      <x:c r="N26" s="4" t="str">
        <x:f>IFERROR(INDEX('_角色基线'!$C$2:$C$100,MATCH($B26,'_角色基线'!$A$2:$A$100,0)),"")</x:f>
        <x:v>DPS</x:v>
      </x:c>
      <x:c r="O26" s="4" t="n">
        <x:f>IFERROR(INDEX('_怪物基线'!$B$2:$B$501,MATCH(INT($L26),'_怪物基线'!$A$2:$A$501,0)),"")</x:f>
        <x:v>4801</x:v>
      </x:c>
      <x:c r="P26" s="4" t="n">
        <x:f>IFERROR(INDEX('_怪物基线'!$C$2:$C$501,MATCH(INT($L26),'_怪物基线'!$A$2:$A$501,0)),"")</x:f>
        <x:v>1389</x:v>
      </x:c>
      <x:c r="Q26" s="4" t="n">
        <x:f>IFERROR(INDEX('_怪物基线'!$D$2:$D$501,MATCH(INT($L26),'_怪物基线'!$A$2:$A$501,0)),"")</x:f>
        <x:v>2156</x:v>
      </x:c>
      <x:c r="R26" s="4" t="n">
        <x:f>'参数'!$B$10</x:f>
        <x:v>4</x:v>
      </x:c>
      <x:c r="S26" s="4" t="n">
        <x:f>'参数'!$C$10</x:f>
        <x:v>1.2</x:v>
      </x:c>
      <x:c r="T26" s="4" t="n">
        <x:f>'参数'!$D$10</x:f>
        <x:v>1</x:v>
      </x:c>
      <x:c r="U26" s="4" t="n">
        <x:f t="shared" si="0">IF($O26="","",$O26*$R26)</x:f>
        <x:v>19204</x:v>
      </x:c>
      <x:c r="V26" s="4" t="n">
        <x:f t="shared" si="1">IF($P26="","",$P26*$S26)</x:f>
        <x:v>1666.8</x:v>
      </x:c>
      <x:c r="W26" s="4" t="n">
        <x:f t="shared" si="2">IF($Q26="","",$Q26*$T26)</x:f>
        <x:v>2156</x:v>
      </x:c>
      <x:c r="X26" s="4" t="n">
        <x:f>IFERROR(INDEX('参数'!$B$5:$B$7,MATCH($N26,'参数'!$A$5:$A$7,0)),"")</x:f>
        <x:v>1</x:v>
      </x:c>
      <x:c r="Y26" s="4" t="n">
        <x:f>IFERROR(INDEX('参数'!$C$5:$C$7,MATCH($N26,'参数'!$A$5:$A$7,0)),"")</x:f>
        <x:v>1.2</x:v>
      </x:c>
      <x:c r="Z26" s="4" t="n">
        <x:f>IFERROR(INDEX('参数'!$D$5:$D$7,MATCH($N26,'参数'!$A$5:$A$7,0)),"")</x:f>
        <x:v>1</x:v>
      </x:c>
      <x:c r="AA26" s="4" t="n">
        <x:f>IFERROR(INDEX('楼层配置'!$E$5:$E$104,MATCH($K26,'楼层配置'!$B$5:$B$104,0)),1)</x:f>
        <x:v>1.0715188407586125</x:v>
      </x:c>
      <x:c r="AB26" s="4" t="n">
        <x:f>IFERROR(INDEX('楼层配置'!$F$5:$F$104,MATCH($K26,'楼层配置'!$B$5:$B$104,0)),1)</x:f>
        <x:v>0.8474135761275439</x:v>
      </x:c>
      <x:c r="AC26" s="4" t="n">
        <x:f>IFERROR(INDEX('楼层配置'!$G$5:$G$104,MATCH($K26,'楼层配置'!$B$5:$B$104,0)),1)</x:f>
        <x:v>1</x:v>
      </x:c>
      <x:c r="AD26" s="6" t="n">
        <x:f t="shared" si="3">IFERROR($D26/$G26-1,"")</x:f>
        <x:v>-0.2333743154129876</x:v>
      </x:c>
      <x:c r="AE26" s="6" t="n">
        <x:f t="shared" si="4">IFERROR($E26/$H26-1,"")</x:f>
        <x:v>-0.1134937238493724</x:v>
      </x:c>
      <x:c r="AF26" s="6" t="n">
        <x:f t="shared" si="5">IFERROR($F26/$I26-1,"")</x:f>
        <x:v>0.24985507246376804</x:v>
      </x:c>
      <x:c r="AG26" s="4" t="str">
        <x:f t="shared" si="6">IF(AND($A26&gt;=1,$L26&gt;=1,$L26&lt;=500,OR($N26="Tank",$N26="DPS",$N26="Support"),ISNUMBER($D26),ISNUMBER($E26),ISNUMBER($F26)),"有效","异常")</x:f>
        <x:v>有效</x:v>
      </x:c>
      <x:c r="AH26" t="n">
        <x:f>D26/(1-MIN(0.75,F26/(24000+F26)))</x:f>
        <x:v>22425.5005</x:v>
      </x:c>
    </x:row>
    <x:row r="27" ht="14.25" customHeight="1">
      <x:c r="A27" s="4">
        <x:v>23</x:v>
      </x:c>
      <x:c r="B27" s="4">
        <x:v>1029</x:v>
      </x:c>
      <x:c r="C27" s="4">
        <x:v>12</x:v>
      </x:c>
      <x:c r="D27" s="5" t="n">
        <x:f>IFERROR(ROUND($U27*$X27*$AA27*'参数'!$B$13,0),"")</x:f>
        <x:v>25722</x:v>
      </x:c>
      <x:c r="E27" s="5" t="n">
        <x:f>IFERROR(ROUND($V27*$Y27*$AB27*'参数'!$C$13,0),"")</x:f>
        <x:v>1412</x:v>
      </x:c>
      <x:c r="F27" s="5" t="n">
        <x:f>IFERROR(ROUND($W27*$Z27*$AC27*'参数'!$D$13,0),"")</x:f>
        <x:v>2695</x:v>
      </x:c>
      <x:c r="G27" s="4">
        <x:v>33552</x:v>
      </x:c>
      <x:c r="H27" s="4">
        <x:v>1594</x:v>
      </x:c>
      <x:c r="I27" s="4">
        <x:v>2157</x:v>
      </x:c>
      <x:c r="J27" s="4">
        <x:v>5</x:v>
      </x:c>
      <x:c r="K27" s="4">
        <x:v>5</x:v>
      </x:c>
      <x:c r="L27" s="4" t="n">
        <x:f>IFERROR(INDEX('楼层配置'!$D$5:$D$104,MATCH($K27,'楼层配置'!$B$5:$B$104,0)),"")</x:f>
        <x:v>28</x:v>
      </x:c>
      <x:c r="M27" s="4" t="str">
        <x:f>IFERROR(INDEX('_角色基线'!$B$2:$B$100,MATCH($B27,'_角色基线'!$A$2:$A$100,0)),"")</x:f>
        <x:v>凯兰</x:v>
      </x:c>
      <x:c r="N27" s="4" t="str">
        <x:f>IFERROR(INDEX('_角色基线'!$C$2:$C$100,MATCH($B27,'_角色基线'!$A$2:$A$100,0)),"")</x:f>
        <x:v>Support</x:v>
      </x:c>
      <x:c r="O27" s="4" t="n">
        <x:f>IFERROR(INDEX('_怪物基线'!$B$2:$B$501,MATCH(INT($L27),'_怪物基线'!$A$2:$A$501,0)),"")</x:f>
        <x:v>4801</x:v>
      </x:c>
      <x:c r="P27" s="4" t="n">
        <x:f>IFERROR(INDEX('_怪物基线'!$C$2:$C$501,MATCH(INT($L27),'_怪物基线'!$A$2:$A$501,0)),"")</x:f>
        <x:v>1389</x:v>
      </x:c>
      <x:c r="Q27" s="4" t="n">
        <x:f>IFERROR(INDEX('_怪物基线'!$D$2:$D$501,MATCH(INT($L27),'_怪物基线'!$A$2:$A$501,0)),"")</x:f>
        <x:v>2156</x:v>
      </x:c>
      <x:c r="R27" s="4" t="n">
        <x:f>'参数'!$B$10</x:f>
        <x:v>4</x:v>
      </x:c>
      <x:c r="S27" s="4" t="n">
        <x:f>'参数'!$C$10</x:f>
        <x:v>1.2</x:v>
      </x:c>
      <x:c r="T27" s="4" t="n">
        <x:f>'参数'!$D$10</x:f>
        <x:v>1</x:v>
      </x:c>
      <x:c r="U27" s="4" t="n">
        <x:f t="shared" si="0">IF($O27="","",$O27*$R27)</x:f>
        <x:v>19204</x:v>
      </x:c>
      <x:c r="V27" s="4" t="n">
        <x:f t="shared" si="1">IF($P27="","",$P27*$S27)</x:f>
        <x:v>1666.8</x:v>
      </x:c>
      <x:c r="W27" s="4" t="n">
        <x:f t="shared" si="2">IF($Q27="","",$Q27*$T27)</x:f>
        <x:v>2156</x:v>
      </x:c>
      <x:c r="X27" s="4" t="n">
        <x:f>IFERROR(INDEX('参数'!$B$5:$B$7,MATCH($N27,'参数'!$A$5:$A$7,0)),"")</x:f>
        <x:v>1.25</x:v>
      </x:c>
      <x:c r="Y27" s="4" t="n">
        <x:f>IFERROR(INDEX('参数'!$C$5:$C$7,MATCH($N27,'参数'!$A$5:$A$7,0)),"")</x:f>
        <x:v>1</x:v>
      </x:c>
      <x:c r="Z27" s="4" t="n">
        <x:f>IFERROR(INDEX('参数'!$D$5:$D$7,MATCH($N27,'参数'!$A$5:$A$7,0)),"")</x:f>
        <x:v>1.25</x:v>
      </x:c>
      <x:c r="AA27" s="4" t="n">
        <x:f>IFERROR(INDEX('楼层配置'!$E$5:$E$104,MATCH($K27,'楼层配置'!$B$5:$B$104,0)),1)</x:f>
        <x:v>1.0715188407586125</x:v>
      </x:c>
      <x:c r="AB27" s="4" t="n">
        <x:f>IFERROR(INDEX('楼层配置'!$F$5:$F$104,MATCH($K27,'楼层配置'!$B$5:$B$104,0)),1)</x:f>
        <x:v>0.8474135761275439</x:v>
      </x:c>
      <x:c r="AC27" s="4" t="n">
        <x:f>IFERROR(INDEX('楼层配置'!$G$5:$G$104,MATCH($K27,'楼层配置'!$B$5:$B$104,0)),1)</x:f>
        <x:v>1</x:v>
      </x:c>
      <x:c r="AD27" s="6" t="n">
        <x:f t="shared" si="3">IFERROR($D27/$G27-1,"")</x:f>
        <x:v>-0.23336909871244638</x:v>
      </x:c>
      <x:c r="AE27" s="6" t="n">
        <x:f t="shared" si="4">IFERROR($E27/$H27-1,"")</x:f>
        <x:v>-0.11417816813048931</x:v>
      </x:c>
      <x:c r="AF27" s="6" t="n">
        <x:f t="shared" si="5">IFERROR($F27/$I27-1,"")</x:f>
        <x:v>0.24942049142327316</x:v>
      </x:c>
      <x:c r="AG27" s="4" t="str">
        <x:f t="shared" si="6">IF(AND($A27&gt;=1,$L27&gt;=1,$L27&lt;=500,OR($N27="Tank",$N27="DPS",$N27="Support"),ISNUMBER($D27),ISNUMBER($E27),ISNUMBER($F27)),"有效","异常")</x:f>
        <x:v>有效</x:v>
      </x:c>
      <x:c r="AH27" t="n">
        <x:f>D27/(1-MIN(0.75,F27/(24000+F27)))</x:f>
        <x:v>28610.36625</x:v>
      </x:c>
    </x:row>
    <x:row r="28" ht="14.25" customHeight="1">
      <x:c r="A28" s="4">
        <x:v>24</x:v>
      </x:c>
      <x:c r="B28" s="4">
        <x:v>1012</x:v>
      </x:c>
      <x:c r="C28" s="4">
        <x:v>12</x:v>
      </x:c>
      <x:c r="D28" s="5" t="n">
        <x:f>IFERROR(ROUND($U28*$X28*$AA28*'参数'!$B$13,0),"")</x:f>
        <x:v>25722</x:v>
      </x:c>
      <x:c r="E28" s="5" t="n">
        <x:f>IFERROR(ROUND($V28*$Y28*$AB28*'参数'!$C$13,0),"")</x:f>
        <x:v>1412</x:v>
      </x:c>
      <x:c r="F28" s="5" t="n">
        <x:f>IFERROR(ROUND($W28*$Z28*$AC28*'参数'!$D$13,0),"")</x:f>
        <x:v>2695</x:v>
      </x:c>
      <x:c r="G28" s="4">
        <x:v>33552</x:v>
      </x:c>
      <x:c r="H28" s="4">
        <x:v>1594</x:v>
      </x:c>
      <x:c r="I28" s="4">
        <x:v>2157</x:v>
      </x:c>
      <x:c r="J28" s="4">
        <x:v>5</x:v>
      </x:c>
      <x:c r="K28" s="4">
        <x:v>5</x:v>
      </x:c>
      <x:c r="L28" s="4" t="n">
        <x:f>IFERROR(INDEX('楼层配置'!$D$5:$D$104,MATCH($K28,'楼层配置'!$B$5:$B$104,0)),"")</x:f>
        <x:v>28</x:v>
      </x:c>
      <x:c r="M28" s="4" t="str">
        <x:f>IFERROR(INDEX('_角色基线'!$B$2:$B$100,MATCH($B28,'_角色基线'!$A$2:$A$100,0)),"")</x:f>
        <x:v>艾德琳</x:v>
      </x:c>
      <x:c r="N28" s="4" t="str">
        <x:f>IFERROR(INDEX('_角色基线'!$C$2:$C$100,MATCH($B28,'_角色基线'!$A$2:$A$100,0)),"")</x:f>
        <x:v>Support</x:v>
      </x:c>
      <x:c r="O28" s="4" t="n">
        <x:f>IFERROR(INDEX('_怪物基线'!$B$2:$B$501,MATCH(INT($L28),'_怪物基线'!$A$2:$A$501,0)),"")</x:f>
        <x:v>4801</x:v>
      </x:c>
      <x:c r="P28" s="4" t="n">
        <x:f>IFERROR(INDEX('_怪物基线'!$C$2:$C$501,MATCH(INT($L28),'_怪物基线'!$A$2:$A$501,0)),"")</x:f>
        <x:v>1389</x:v>
      </x:c>
      <x:c r="Q28" s="4" t="n">
        <x:f>IFERROR(INDEX('_怪物基线'!$D$2:$D$501,MATCH(INT($L28),'_怪物基线'!$A$2:$A$501,0)),"")</x:f>
        <x:v>2156</x:v>
      </x:c>
      <x:c r="R28" s="4" t="n">
        <x:f>'参数'!$B$10</x:f>
        <x:v>4</x:v>
      </x:c>
      <x:c r="S28" s="4" t="n">
        <x:f>'参数'!$C$10</x:f>
        <x:v>1.2</x:v>
      </x:c>
      <x:c r="T28" s="4" t="n">
        <x:f>'参数'!$D$10</x:f>
        <x:v>1</x:v>
      </x:c>
      <x:c r="U28" s="4" t="n">
        <x:f t="shared" si="0">IF($O28="","",$O28*$R28)</x:f>
        <x:v>19204</x:v>
      </x:c>
      <x:c r="V28" s="4" t="n">
        <x:f t="shared" si="1">IF($P28="","",$P28*$S28)</x:f>
        <x:v>1666.8</x:v>
      </x:c>
      <x:c r="W28" s="4" t="n">
        <x:f t="shared" si="2">IF($Q28="","",$Q28*$T28)</x:f>
        <x:v>2156</x:v>
      </x:c>
      <x:c r="X28" s="4" t="n">
        <x:f>IFERROR(INDEX('参数'!$B$5:$B$7,MATCH($N28,'参数'!$A$5:$A$7,0)),"")</x:f>
        <x:v>1.25</x:v>
      </x:c>
      <x:c r="Y28" s="4" t="n">
        <x:f>IFERROR(INDEX('参数'!$C$5:$C$7,MATCH($N28,'参数'!$A$5:$A$7,0)),"")</x:f>
        <x:v>1</x:v>
      </x:c>
      <x:c r="Z28" s="4" t="n">
        <x:f>IFERROR(INDEX('参数'!$D$5:$D$7,MATCH($N28,'参数'!$A$5:$A$7,0)),"")</x:f>
        <x:v>1.25</x:v>
      </x:c>
      <x:c r="AA28" s="4" t="n">
        <x:f>IFERROR(INDEX('楼层配置'!$E$5:$E$104,MATCH($K28,'楼层配置'!$B$5:$B$104,0)),1)</x:f>
        <x:v>1.0715188407586125</x:v>
      </x:c>
      <x:c r="AB28" s="4" t="n">
        <x:f>IFERROR(INDEX('楼层配置'!$F$5:$F$104,MATCH($K28,'楼层配置'!$B$5:$B$104,0)),1)</x:f>
        <x:v>0.8474135761275439</x:v>
      </x:c>
      <x:c r="AC28" s="4" t="n">
        <x:f>IFERROR(INDEX('楼层配置'!$G$5:$G$104,MATCH($K28,'楼层配置'!$B$5:$B$104,0)),1)</x:f>
        <x:v>1</x:v>
      </x:c>
      <x:c r="AD28" s="6" t="n">
        <x:f t="shared" si="3">IFERROR($D28/$G28-1,"")</x:f>
        <x:v>-0.23336909871244638</x:v>
      </x:c>
      <x:c r="AE28" s="6" t="n">
        <x:f t="shared" si="4">IFERROR($E28/$H28-1,"")</x:f>
        <x:v>-0.11417816813048931</x:v>
      </x:c>
      <x:c r="AF28" s="6" t="n">
        <x:f t="shared" si="5">IFERROR($F28/$I28-1,"")</x:f>
        <x:v>0.24942049142327316</x:v>
      </x:c>
      <x:c r="AG28" s="4" t="str">
        <x:f t="shared" si="6">IF(AND($A28&gt;=1,$L28&gt;=1,$L28&lt;=500,OR($N28="Tank",$N28="DPS",$N28="Support"),ISNUMBER($D28),ISNUMBER($E28),ISNUMBER($F28)),"有效","异常")</x:f>
        <x:v>有效</x:v>
      </x:c>
      <x:c r="AH28" t="n">
        <x:f>D28/(1-MIN(0.75,F28/(24000+F28)))</x:f>
        <x:v>28610.36625</x:v>
      </x:c>
    </x:row>
    <x:row r="29" ht="14.25" customHeight="1">
      <x:c r="A29" s="4">
        <x:v>25</x:v>
      </x:c>
      <x:c r="B29" s="4">
        <x:v>1011</x:v>
      </x:c>
      <x:c r="C29" s="4">
        <x:v>12</x:v>
      </x:c>
      <x:c r="D29" s="5" t="n">
        <x:f>IFERROR(ROUND($U29*$X29*$AA29*'参数'!$B$13,0),"")</x:f>
        <x:v>25722</x:v>
      </x:c>
      <x:c r="E29" s="5" t="n">
        <x:f>IFERROR(ROUND($V29*$Y29*$AB29*'参数'!$C$13,0),"")</x:f>
        <x:v>1412</x:v>
      </x:c>
      <x:c r="F29" s="5" t="n">
        <x:f>IFERROR(ROUND($W29*$Z29*$AC29*'参数'!$D$13,0),"")</x:f>
        <x:v>2695</x:v>
      </x:c>
      <x:c r="G29" s="4">
        <x:v>33552</x:v>
      </x:c>
      <x:c r="H29" s="4">
        <x:v>1594</x:v>
      </x:c>
      <x:c r="I29" s="4">
        <x:v>2157</x:v>
      </x:c>
      <x:c r="J29" s="4">
        <x:v>5</x:v>
      </x:c>
      <x:c r="K29" s="4">
        <x:v>5</x:v>
      </x:c>
      <x:c r="L29" s="4" t="n">
        <x:f>IFERROR(INDEX('楼层配置'!$D$5:$D$104,MATCH($K29,'楼层配置'!$B$5:$B$104,0)),"")</x:f>
        <x:v>28</x:v>
      </x:c>
      <x:c r="M29" s="4" t="str">
        <x:f>IFERROR(INDEX('_角色基线'!$B$2:$B$100,MATCH($B29,'_角色基线'!$A$2:$A$100,0)),"")</x:f>
        <x:v>陈双双</x:v>
      </x:c>
      <x:c r="N29" s="4" t="str">
        <x:f>IFERROR(INDEX('_角色基线'!$C$2:$C$100,MATCH($B29,'_角色基线'!$A$2:$A$100,0)),"")</x:f>
        <x:v>Support</x:v>
      </x:c>
      <x:c r="O29" s="4" t="n">
        <x:f>IFERROR(INDEX('_怪物基线'!$B$2:$B$501,MATCH(INT($L29),'_怪物基线'!$A$2:$A$501,0)),"")</x:f>
        <x:v>4801</x:v>
      </x:c>
      <x:c r="P29" s="4" t="n">
        <x:f>IFERROR(INDEX('_怪物基线'!$C$2:$C$501,MATCH(INT($L29),'_怪物基线'!$A$2:$A$501,0)),"")</x:f>
        <x:v>1389</x:v>
      </x:c>
      <x:c r="Q29" s="4" t="n">
        <x:f>IFERROR(INDEX('_怪物基线'!$D$2:$D$501,MATCH(INT($L29),'_怪物基线'!$A$2:$A$501,0)),"")</x:f>
        <x:v>2156</x:v>
      </x:c>
      <x:c r="R29" s="4" t="n">
        <x:f>'参数'!$B$10</x:f>
        <x:v>4</x:v>
      </x:c>
      <x:c r="S29" s="4" t="n">
        <x:f>'参数'!$C$10</x:f>
        <x:v>1.2</x:v>
      </x:c>
      <x:c r="T29" s="4" t="n">
        <x:f>'参数'!$D$10</x:f>
        <x:v>1</x:v>
      </x:c>
      <x:c r="U29" s="4" t="n">
        <x:f t="shared" si="0">IF($O29="","",$O29*$R29)</x:f>
        <x:v>19204</x:v>
      </x:c>
      <x:c r="V29" s="4" t="n">
        <x:f t="shared" si="1">IF($P29="","",$P29*$S29)</x:f>
        <x:v>1666.8</x:v>
      </x:c>
      <x:c r="W29" s="4" t="n">
        <x:f t="shared" si="2">IF($Q29="","",$Q29*$T29)</x:f>
        <x:v>2156</x:v>
      </x:c>
      <x:c r="X29" s="4" t="n">
        <x:f>IFERROR(INDEX('参数'!$B$5:$B$7,MATCH($N29,'参数'!$A$5:$A$7,0)),"")</x:f>
        <x:v>1.25</x:v>
      </x:c>
      <x:c r="Y29" s="4" t="n">
        <x:f>IFERROR(INDEX('参数'!$C$5:$C$7,MATCH($N29,'参数'!$A$5:$A$7,0)),"")</x:f>
        <x:v>1</x:v>
      </x:c>
      <x:c r="Z29" s="4" t="n">
        <x:f>IFERROR(INDEX('参数'!$D$5:$D$7,MATCH($N29,'参数'!$A$5:$A$7,0)),"")</x:f>
        <x:v>1.25</x:v>
      </x:c>
      <x:c r="AA29" s="4" t="n">
        <x:f>IFERROR(INDEX('楼层配置'!$E$5:$E$104,MATCH($K29,'楼层配置'!$B$5:$B$104,0)),1)</x:f>
        <x:v>1.0715188407586125</x:v>
      </x:c>
      <x:c r="AB29" s="4" t="n">
        <x:f>IFERROR(INDEX('楼层配置'!$F$5:$F$104,MATCH($K29,'楼层配置'!$B$5:$B$104,0)),1)</x:f>
        <x:v>0.8474135761275439</x:v>
      </x:c>
      <x:c r="AC29" s="4" t="n">
        <x:f>IFERROR(INDEX('楼层配置'!$G$5:$G$104,MATCH($K29,'楼层配置'!$B$5:$B$104,0)),1)</x:f>
        <x:v>1</x:v>
      </x:c>
      <x:c r="AD29" s="6" t="n">
        <x:f t="shared" si="3">IFERROR($D29/$G29-1,"")</x:f>
        <x:v>-0.23336909871244638</x:v>
      </x:c>
      <x:c r="AE29" s="6" t="n">
        <x:f t="shared" si="4">IFERROR($E29/$H29-1,"")</x:f>
        <x:v>-0.11417816813048931</x:v>
      </x:c>
      <x:c r="AF29" s="6" t="n">
        <x:f t="shared" si="5">IFERROR($F29/$I29-1,"")</x:f>
        <x:v>0.24942049142327316</x:v>
      </x:c>
      <x:c r="AG29" s="4" t="str">
        <x:f t="shared" si="6">IF(AND($A29&gt;=1,$L29&gt;=1,$L29&lt;=500,OR($N29="Tank",$N29="DPS",$N29="Support"),ISNUMBER($D29),ISNUMBER($E29),ISNUMBER($F29)),"有效","异常")</x:f>
        <x:v>有效</x:v>
      </x:c>
      <x:c r="AH29" t="n">
        <x:f>D29/(1-MIN(0.75,F29/(24000+F29)))</x:f>
        <x:v>28610.36625</x:v>
      </x:c>
    </x:row>
    <x:row r="30" ht="14.25" customHeight="1">
      <x:c r="A30" s="4">
        <x:v>26</x:v>
      </x:c>
      <x:c r="B30" s="4">
        <x:v>1030</x:v>
      </x:c>
      <x:c r="C30" s="4">
        <x:v>13</x:v>
      </x:c>
      <x:c r="D30" s="5" t="n">
        <x:f>IFERROR(ROUND($U30*$X30*$AA30*'参数'!$B$13,0),"")</x:f>
        <x:v>38108</x:v>
      </x:c>
      <x:c r="E30" s="5" t="n">
        <x:f>IFERROR(ROUND($V30*$Y30*$AB30*'参数'!$C$13,0),"")</x:f>
        <x:v>1617</x:v>
      </x:c>
      <x:c r="F30" s="5" t="n">
        <x:f>IFERROR(ROUND($W30*$Z30*$AC30*'参数'!$D$13,0),"")</x:f>
        <x:v>3719</x:v>
      </x:c>
      <x:c r="G30" s="4">
        <x:v>47188</x:v>
      </x:c>
      <x:c r="H30" s="4">
        <x:v>1789</x:v>
      </x:c>
      <x:c r="I30" s="4">
        <x:v>2898</x:v>
      </x:c>
      <x:c r="J30" s="4">
        <x:v>6</x:v>
      </x:c>
      <x:c r="K30" s="4">
        <x:v>6</x:v>
      </x:c>
      <x:c r="L30" s="4" t="n">
        <x:f>IFERROR(INDEX('楼层配置'!$D$5:$D$104,MATCH($K30,'楼层配置'!$B$5:$B$104,0)),"")</x:f>
        <x:v>32</x:v>
      </x:c>
      <x:c r="M30" s="4" t="str">
        <x:f>IFERROR(INDEX('_角色基线'!$B$2:$B$100,MATCH($B30,'_角色基线'!$A$2:$A$100,0)),"")</x:f>
        <x:v>莫莉</x:v>
      </x:c>
      <x:c r="N30" s="4" t="str">
        <x:f>IFERROR(INDEX('_角色基线'!$C$2:$C$100,MATCH($B30,'_角色基线'!$A$2:$A$100,0)),"")</x:f>
        <x:v>Tank</x:v>
      </x:c>
      <x:c r="O30" s="4" t="n">
        <x:f>IFERROR(INDEX('_怪物基线'!$B$2:$B$501,MATCH(INT($L30),'_怪物基线'!$A$2:$A$501,0)),"")</x:f>
        <x:v>5812</x:v>
      </x:c>
      <x:c r="P30" s="4" t="n">
        <x:f>IFERROR(INDEX('_怪物基线'!$C$2:$C$501,MATCH(INT($L30),'_怪物基线'!$A$2:$A$501,0)),"")</x:f>
        <x:v>1613</x:v>
      </x:c>
      <x:c r="Q30" s="4" t="n">
        <x:f>IFERROR(INDEX('_怪物基线'!$D$2:$D$501,MATCH(INT($L30),'_怪物基线'!$A$2:$A$501,0)),"")</x:f>
        <x:v>2479</x:v>
      </x:c>
      <x:c r="R30" s="4" t="n">
        <x:f>'参数'!$B$10</x:f>
        <x:v>4</x:v>
      </x:c>
      <x:c r="S30" s="4" t="n">
        <x:f>'参数'!$C$10</x:f>
        <x:v>1.2</x:v>
      </x:c>
      <x:c r="T30" s="4" t="n">
        <x:f>'参数'!$D$10</x:f>
        <x:v>1</x:v>
      </x:c>
      <x:c r="U30" s="4" t="n">
        <x:f t="shared" si="0">IF($O30="","",$O30*$R30)</x:f>
        <x:v>23248</x:v>
      </x:c>
      <x:c r="V30" s="4" t="n">
        <x:f t="shared" si="1">IF($P30="","",$P30*$S30)</x:f>
        <x:v>1935.6</x:v>
      </x:c>
      <x:c r="W30" s="4" t="n">
        <x:f t="shared" si="2">IF($Q30="","",$Q30*$T30)</x:f>
        <x:v>2479</x:v>
      </x:c>
      <x:c r="X30" s="4" t="n">
        <x:f>IFERROR(INDEX('参数'!$B$5:$B$7,MATCH($N30,'参数'!$A$5:$A$7,0)),"")</x:f>
        <x:v>1.5</x:v>
      </x:c>
      <x:c r="Y30" s="4" t="n">
        <x:f>IFERROR(INDEX('参数'!$C$5:$C$7,MATCH($N30,'参数'!$A$5:$A$7,0)),"")</x:f>
        <x:v>1</x:v>
      </x:c>
      <x:c r="Z30" s="4" t="n">
        <x:f>IFERROR(INDEX('参数'!$D$5:$D$7,MATCH($N30,'参数'!$A$5:$A$7,0)),"")</x:f>
        <x:v>1.5</x:v>
      </x:c>
      <x:c r="AA30" s="4" t="n">
        <x:f>IFERROR(INDEX('楼层配置'!$E$5:$E$104,MATCH($K30,'楼层配置'!$B$5:$B$104,0)),1)</x:f>
        <x:v>1.0928101757529394</x:v>
      </x:c>
      <x:c r="AB30" s="4" t="n">
        <x:f>IFERROR(INDEX('楼层配置'!$F$5:$F$104,MATCH($K30,'楼层配置'!$B$5:$B$104,0)),1)</x:f>
        <x:v>0.835587298989708</x:v>
      </x:c>
      <x:c r="AC30" s="4" t="n">
        <x:f>IFERROR(INDEX('楼层配置'!$G$5:$G$104,MATCH($K30,'楼层配置'!$B$5:$B$104,0)),1)</x:f>
        <x:v>1</x:v>
      </x:c>
      <x:c r="AD30" s="6" t="n">
        <x:f t="shared" si="3">IFERROR($D30/$G30-1,"")</x:f>
        <x:v>-0.1924218021530898</x:v>
      </x:c>
      <x:c r="AE30" s="6" t="n">
        <x:f t="shared" si="4">IFERROR($E30/$H30-1,"")</x:f>
        <x:v>-0.09614309670206822</x:v>
      </x:c>
      <x:c r="AF30" s="6" t="n">
        <x:f t="shared" si="5">IFERROR($F30/$I30-1,"")</x:f>
        <x:v>0.28329882677708773</x:v>
      </x:c>
      <x:c r="AG30" s="4" t="str">
        <x:f t="shared" si="6">IF(AND($A30&gt;=1,$L30&gt;=1,$L30&lt;=500,OR($N30="Tank",$N30="DPS",$N30="Support"),ISNUMBER($D30),ISNUMBER($E30),ISNUMBER($F30)),"有效","异常")</x:f>
        <x:v>有效</x:v>
      </x:c>
      <x:c r="AH30" t="n">
        <x:f>D30/(1-MIN(0.75,F30/(24000+F30)))</x:f>
        <x:v>44013.15216666667</x:v>
      </x:c>
    </x:row>
    <x:row r="31" ht="14.25" customHeight="1">
      <x:c r="A31" s="4">
        <x:v>27</x:v>
      </x:c>
      <x:c r="B31" s="4">
        <x:v>1021</x:v>
      </x:c>
      <x:c r="C31" s="4">
        <x:v>13</x:v>
      </x:c>
      <x:c r="D31" s="5" t="n">
        <x:f>IFERROR(ROUND($U31*$X31*$AA31*'参数'!$B$13,0),"")</x:f>
        <x:v>25406</x:v>
      </x:c>
      <x:c r="E31" s="5" t="n">
        <x:f>IFERROR(ROUND($V31*$Y31*$AB31*'参数'!$C$13,0),"")</x:f>
        <x:v>1941</x:v>
      </x:c>
      <x:c r="F31" s="5" t="n">
        <x:f>IFERROR(ROUND($W31*$Z31*$AC31*'参数'!$D$13,0),"")</x:f>
        <x:v>2479</x:v>
      </x:c>
      <x:c r="G31" s="4">
        <x:v>31459</x:v>
      </x:c>
      <x:c r="H31" s="4">
        <x:v>2146</x:v>
      </x:c>
      <x:c r="I31" s="4">
        <x:v>1932</x:v>
      </x:c>
      <x:c r="J31" s="4">
        <x:v>6</x:v>
      </x:c>
      <x:c r="K31" s="4">
        <x:v>6</x:v>
      </x:c>
      <x:c r="L31" s="4" t="n">
        <x:f>IFERROR(INDEX('楼层配置'!$D$5:$D$104,MATCH($K31,'楼层配置'!$B$5:$B$104,0)),"")</x:f>
        <x:v>32</x:v>
      </x:c>
      <x:c r="M31" s="4" t="str">
        <x:f>IFERROR(INDEX('_角色基线'!$B$2:$B$100,MATCH($B31,'_角色基线'!$A$2:$A$100,0)),"")</x:f>
        <x:v>梅梅</x:v>
      </x:c>
      <x:c r="N31" s="4" t="str">
        <x:f>IFERROR(INDEX('_角色基线'!$C$2:$C$100,MATCH($B31,'_角色基线'!$A$2:$A$100,0)),"")</x:f>
        <x:v>DPS</x:v>
      </x:c>
      <x:c r="O31" s="4" t="n">
        <x:f>IFERROR(INDEX('_怪物基线'!$B$2:$B$501,MATCH(INT($L31),'_怪物基线'!$A$2:$A$501,0)),"")</x:f>
        <x:v>5812</x:v>
      </x:c>
      <x:c r="P31" s="4" t="n">
        <x:f>IFERROR(INDEX('_怪物基线'!$C$2:$C$501,MATCH(INT($L31),'_怪物基线'!$A$2:$A$501,0)),"")</x:f>
        <x:v>1613</x:v>
      </x:c>
      <x:c r="Q31" s="4" t="n">
        <x:f>IFERROR(INDEX('_怪物基线'!$D$2:$D$501,MATCH(INT($L31),'_怪物基线'!$A$2:$A$501,0)),"")</x:f>
        <x:v>2479</x:v>
      </x:c>
      <x:c r="R31" s="4" t="n">
        <x:f>'参数'!$B$10</x:f>
        <x:v>4</x:v>
      </x:c>
      <x:c r="S31" s="4" t="n">
        <x:f>'参数'!$C$10</x:f>
        <x:v>1.2</x:v>
      </x:c>
      <x:c r="T31" s="4" t="n">
        <x:f>'参数'!$D$10</x:f>
        <x:v>1</x:v>
      </x:c>
      <x:c r="U31" s="4" t="n">
        <x:f t="shared" si="0">IF($O31="","",$O31*$R31)</x:f>
        <x:v>23248</x:v>
      </x:c>
      <x:c r="V31" s="4" t="n">
        <x:f t="shared" si="1">IF($P31="","",$P31*$S31)</x:f>
        <x:v>1935.6</x:v>
      </x:c>
      <x:c r="W31" s="4" t="n">
        <x:f t="shared" si="2">IF($Q31="","",$Q31*$T31)</x:f>
        <x:v>2479</x:v>
      </x:c>
      <x:c r="X31" s="4" t="n">
        <x:f>IFERROR(INDEX('参数'!$B$5:$B$7,MATCH($N31,'参数'!$A$5:$A$7,0)),"")</x:f>
        <x:v>1</x:v>
      </x:c>
      <x:c r="Y31" s="4" t="n">
        <x:f>IFERROR(INDEX('参数'!$C$5:$C$7,MATCH($N31,'参数'!$A$5:$A$7,0)),"")</x:f>
        <x:v>1.2</x:v>
      </x:c>
      <x:c r="Z31" s="4" t="n">
        <x:f>IFERROR(INDEX('参数'!$D$5:$D$7,MATCH($N31,'参数'!$A$5:$A$7,0)),"")</x:f>
        <x:v>1</x:v>
      </x:c>
      <x:c r="AA31" s="4" t="n">
        <x:f>IFERROR(INDEX('楼层配置'!$E$5:$E$104,MATCH($K31,'楼层配置'!$B$5:$B$104,0)),1)</x:f>
        <x:v>1.0928101757529394</x:v>
      </x:c>
      <x:c r="AB31" s="4" t="n">
        <x:f>IFERROR(INDEX('楼层配置'!$F$5:$F$104,MATCH($K31,'楼层配置'!$B$5:$B$104,0)),1)</x:f>
        <x:v>0.835587298989708</x:v>
      </x:c>
      <x:c r="AC31" s="4" t="n">
        <x:f>IFERROR(INDEX('楼层配置'!$G$5:$G$104,MATCH($K31,'楼层配置'!$B$5:$B$104,0)),1)</x:f>
        <x:v>1</x:v>
      </x:c>
      <x:c r="AD31" s="6" t="n">
        <x:f t="shared" si="3">IFERROR($D31/$G31-1,"")</x:f>
        <x:v>-0.19240916748784131</x:v>
      </x:c>
      <x:c r="AE31" s="6" t="n">
        <x:f t="shared" si="4">IFERROR($E31/$H31-1,"")</x:f>
        <x:v>-0.09552656104380242</x:v>
      </x:c>
      <x:c r="AF31" s="6" t="n">
        <x:f t="shared" si="5">IFERROR($F31/$I31-1,"")</x:f>
        <x:v>0.2831262939958592</x:v>
      </x:c>
      <x:c r="AG31" s="4" t="str">
        <x:f t="shared" si="6">IF(AND($A31&gt;=1,$L31&gt;=1,$L31&lt;=500,OR($N31="Tank",$N31="DPS",$N31="Support"),ISNUMBER($D31),ISNUMBER($E31),ISNUMBER($F31)),"有效","异常")</x:f>
        <x:v>有效</x:v>
      </x:c>
      <x:c r="AH31" t="n">
        <x:f>D31/(1-MIN(0.75,F31/(24000+F31)))</x:f>
        <x:v>28030.228083333335</x:v>
      </x:c>
    </x:row>
    <x:row r="32" ht="14.25" customHeight="1">
      <x:c r="A32" s="4">
        <x:v>28</x:v>
      </x:c>
      <x:c r="B32" s="4">
        <x:v>1021</x:v>
      </x:c>
      <x:c r="C32" s="4">
        <x:v>13</x:v>
      </x:c>
      <x:c r="D32" s="5" t="n">
        <x:f>IFERROR(ROUND($U32*$X32*$AA32*'参数'!$B$13,0),"")</x:f>
        <x:v>25406</x:v>
      </x:c>
      <x:c r="E32" s="5" t="n">
        <x:f>IFERROR(ROUND($V32*$Y32*$AB32*'参数'!$C$13,0),"")</x:f>
        <x:v>1941</x:v>
      </x:c>
      <x:c r="F32" s="5" t="n">
        <x:f>IFERROR(ROUND($W32*$Z32*$AC32*'参数'!$D$13,0),"")</x:f>
        <x:v>2479</x:v>
      </x:c>
      <x:c r="G32" s="4">
        <x:v>31459</x:v>
      </x:c>
      <x:c r="H32" s="4">
        <x:v>2146</x:v>
      </x:c>
      <x:c r="I32" s="4">
        <x:v>1932</x:v>
      </x:c>
      <x:c r="J32" s="4">
        <x:v>6</x:v>
      </x:c>
      <x:c r="K32" s="4">
        <x:v>6</x:v>
      </x:c>
      <x:c r="L32" s="4" t="n">
        <x:f>IFERROR(INDEX('楼层配置'!$D$5:$D$104,MATCH($K32,'楼层配置'!$B$5:$B$104,0)),"")</x:f>
        <x:v>32</x:v>
      </x:c>
      <x:c r="M32" s="4" t="str">
        <x:f>IFERROR(INDEX('_角色基线'!$B$2:$B$100,MATCH($B32,'_角色基线'!$A$2:$A$100,0)),"")</x:f>
        <x:v>梅梅</x:v>
      </x:c>
      <x:c r="N32" s="4" t="str">
        <x:f>IFERROR(INDEX('_角色基线'!$C$2:$C$100,MATCH($B32,'_角色基线'!$A$2:$A$100,0)),"")</x:f>
        <x:v>DPS</x:v>
      </x:c>
      <x:c r="O32" s="4" t="n">
        <x:f>IFERROR(INDEX('_怪物基线'!$B$2:$B$501,MATCH(INT($L32),'_怪物基线'!$A$2:$A$501,0)),"")</x:f>
        <x:v>5812</x:v>
      </x:c>
      <x:c r="P32" s="4" t="n">
        <x:f>IFERROR(INDEX('_怪物基线'!$C$2:$C$501,MATCH(INT($L32),'_怪物基线'!$A$2:$A$501,0)),"")</x:f>
        <x:v>1613</x:v>
      </x:c>
      <x:c r="Q32" s="4" t="n">
        <x:f>IFERROR(INDEX('_怪物基线'!$D$2:$D$501,MATCH(INT($L32),'_怪物基线'!$A$2:$A$501,0)),"")</x:f>
        <x:v>2479</x:v>
      </x:c>
      <x:c r="R32" s="4" t="n">
        <x:f>'参数'!$B$10</x:f>
        <x:v>4</x:v>
      </x:c>
      <x:c r="S32" s="4" t="n">
        <x:f>'参数'!$C$10</x:f>
        <x:v>1.2</x:v>
      </x:c>
      <x:c r="T32" s="4" t="n">
        <x:f>'参数'!$D$10</x:f>
        <x:v>1</x:v>
      </x:c>
      <x:c r="U32" s="4" t="n">
        <x:f t="shared" si="0">IF($O32="","",$O32*$R32)</x:f>
        <x:v>23248</x:v>
      </x:c>
      <x:c r="V32" s="4" t="n">
        <x:f t="shared" si="1">IF($P32="","",$P32*$S32)</x:f>
        <x:v>1935.6</x:v>
      </x:c>
      <x:c r="W32" s="4" t="n">
        <x:f t="shared" si="2">IF($Q32="","",$Q32*$T32)</x:f>
        <x:v>2479</x:v>
      </x:c>
      <x:c r="X32" s="4" t="n">
        <x:f>IFERROR(INDEX('参数'!$B$5:$B$7,MATCH($N32,'参数'!$A$5:$A$7,0)),"")</x:f>
        <x:v>1</x:v>
      </x:c>
      <x:c r="Y32" s="4" t="n">
        <x:f>IFERROR(INDEX('参数'!$C$5:$C$7,MATCH($N32,'参数'!$A$5:$A$7,0)),"")</x:f>
        <x:v>1.2</x:v>
      </x:c>
      <x:c r="Z32" s="4" t="n">
        <x:f>IFERROR(INDEX('参数'!$D$5:$D$7,MATCH($N32,'参数'!$A$5:$A$7,0)),"")</x:f>
        <x:v>1</x:v>
      </x:c>
      <x:c r="AA32" s="4" t="n">
        <x:f>IFERROR(INDEX('楼层配置'!$E$5:$E$104,MATCH($K32,'楼层配置'!$B$5:$B$104,0)),1)</x:f>
        <x:v>1.0928101757529394</x:v>
      </x:c>
      <x:c r="AB32" s="4" t="n">
        <x:f>IFERROR(INDEX('楼层配置'!$F$5:$F$104,MATCH($K32,'楼层配置'!$B$5:$B$104,0)),1)</x:f>
        <x:v>0.835587298989708</x:v>
      </x:c>
      <x:c r="AC32" s="4" t="n">
        <x:f>IFERROR(INDEX('楼层配置'!$G$5:$G$104,MATCH($K32,'楼层配置'!$B$5:$B$104,0)),1)</x:f>
        <x:v>1</x:v>
      </x:c>
      <x:c r="AD32" s="6" t="n">
        <x:f t="shared" si="3">IFERROR($D32/$G32-1,"")</x:f>
        <x:v>-0.19240916748784131</x:v>
      </x:c>
      <x:c r="AE32" s="6" t="n">
        <x:f t="shared" si="4">IFERROR($E32/$H32-1,"")</x:f>
        <x:v>-0.09552656104380242</x:v>
      </x:c>
      <x:c r="AF32" s="6" t="n">
        <x:f t="shared" si="5">IFERROR($F32/$I32-1,"")</x:f>
        <x:v>0.2831262939958592</x:v>
      </x:c>
      <x:c r="AG32" s="4" t="str">
        <x:f t="shared" si="6">IF(AND($A32&gt;=1,$L32&gt;=1,$L32&lt;=500,OR($N32="Tank",$N32="DPS",$N32="Support"),ISNUMBER($D32),ISNUMBER($E32),ISNUMBER($F32)),"有效","异常")</x:f>
        <x:v>有效</x:v>
      </x:c>
      <x:c r="AH32" t="n">
        <x:f>D32/(1-MIN(0.75,F32/(24000+F32)))</x:f>
        <x:v>28030.228083333335</x:v>
      </x:c>
    </x:row>
    <x:row r="33" ht="14.25" customHeight="1">
      <x:c r="A33" s="4">
        <x:v>29</x:v>
      </x:c>
      <x:c r="B33" s="4">
        <x:v>1021</x:v>
      </x:c>
      <x:c r="C33" s="4">
        <x:v>13</x:v>
      </x:c>
      <x:c r="D33" s="5" t="n">
        <x:f>IFERROR(ROUND($U33*$X33*$AA33*'参数'!$B$13,0),"")</x:f>
        <x:v>25406</x:v>
      </x:c>
      <x:c r="E33" s="5" t="n">
        <x:f>IFERROR(ROUND($V33*$Y33*$AB33*'参数'!$C$13,0),"")</x:f>
        <x:v>1941</x:v>
      </x:c>
      <x:c r="F33" s="5" t="n">
        <x:f>IFERROR(ROUND($W33*$Z33*$AC33*'参数'!$D$13,0),"")</x:f>
        <x:v>2479</x:v>
      </x:c>
      <x:c r="G33" s="4">
        <x:v>31459</x:v>
      </x:c>
      <x:c r="H33" s="4">
        <x:v>2146</x:v>
      </x:c>
      <x:c r="I33" s="4">
        <x:v>1932</x:v>
      </x:c>
      <x:c r="J33" s="4">
        <x:v>6</x:v>
      </x:c>
      <x:c r="K33" s="4">
        <x:v>6</x:v>
      </x:c>
      <x:c r="L33" s="4" t="n">
        <x:f>IFERROR(INDEX('楼层配置'!$D$5:$D$104,MATCH($K33,'楼层配置'!$B$5:$B$104,0)),"")</x:f>
        <x:v>32</x:v>
      </x:c>
      <x:c r="M33" s="4" t="str">
        <x:f>IFERROR(INDEX('_角色基线'!$B$2:$B$100,MATCH($B33,'_角色基线'!$A$2:$A$100,0)),"")</x:f>
        <x:v>梅梅</x:v>
      </x:c>
      <x:c r="N33" s="4" t="str">
        <x:f>IFERROR(INDEX('_角色基线'!$C$2:$C$100,MATCH($B33,'_角色基线'!$A$2:$A$100,0)),"")</x:f>
        <x:v>DPS</x:v>
      </x:c>
      <x:c r="O33" s="4" t="n">
        <x:f>IFERROR(INDEX('_怪物基线'!$B$2:$B$501,MATCH(INT($L33),'_怪物基线'!$A$2:$A$501,0)),"")</x:f>
        <x:v>5812</x:v>
      </x:c>
      <x:c r="P33" s="4" t="n">
        <x:f>IFERROR(INDEX('_怪物基线'!$C$2:$C$501,MATCH(INT($L33),'_怪物基线'!$A$2:$A$501,0)),"")</x:f>
        <x:v>1613</x:v>
      </x:c>
      <x:c r="Q33" s="4" t="n">
        <x:f>IFERROR(INDEX('_怪物基线'!$D$2:$D$501,MATCH(INT($L33),'_怪物基线'!$A$2:$A$501,0)),"")</x:f>
        <x:v>2479</x:v>
      </x:c>
      <x:c r="R33" s="4" t="n">
        <x:f>'参数'!$B$10</x:f>
        <x:v>4</x:v>
      </x:c>
      <x:c r="S33" s="4" t="n">
        <x:f>'参数'!$C$10</x:f>
        <x:v>1.2</x:v>
      </x:c>
      <x:c r="T33" s="4" t="n">
        <x:f>'参数'!$D$10</x:f>
        <x:v>1</x:v>
      </x:c>
      <x:c r="U33" s="4" t="n">
        <x:f t="shared" si="0">IF($O33="","",$O33*$R33)</x:f>
        <x:v>23248</x:v>
      </x:c>
      <x:c r="V33" s="4" t="n">
        <x:f t="shared" si="1">IF($P33="","",$P33*$S33)</x:f>
        <x:v>1935.6</x:v>
      </x:c>
      <x:c r="W33" s="4" t="n">
        <x:f t="shared" si="2">IF($Q33="","",$Q33*$T33)</x:f>
        <x:v>2479</x:v>
      </x:c>
      <x:c r="X33" s="4" t="n">
        <x:f>IFERROR(INDEX('参数'!$B$5:$B$7,MATCH($N33,'参数'!$A$5:$A$7,0)),"")</x:f>
        <x:v>1</x:v>
      </x:c>
      <x:c r="Y33" s="4" t="n">
        <x:f>IFERROR(INDEX('参数'!$C$5:$C$7,MATCH($N33,'参数'!$A$5:$A$7,0)),"")</x:f>
        <x:v>1.2</x:v>
      </x:c>
      <x:c r="Z33" s="4" t="n">
        <x:f>IFERROR(INDEX('参数'!$D$5:$D$7,MATCH($N33,'参数'!$A$5:$A$7,0)),"")</x:f>
        <x:v>1</x:v>
      </x:c>
      <x:c r="AA33" s="4" t="n">
        <x:f>IFERROR(INDEX('楼层配置'!$E$5:$E$104,MATCH($K33,'楼层配置'!$B$5:$B$104,0)),1)</x:f>
        <x:v>1.0928101757529394</x:v>
      </x:c>
      <x:c r="AB33" s="4" t="n">
        <x:f>IFERROR(INDEX('楼层配置'!$F$5:$F$104,MATCH($K33,'楼层配置'!$B$5:$B$104,0)),1)</x:f>
        <x:v>0.835587298989708</x:v>
      </x:c>
      <x:c r="AC33" s="4" t="n">
        <x:f>IFERROR(INDEX('楼层配置'!$G$5:$G$104,MATCH($K33,'楼层配置'!$B$5:$B$104,0)),1)</x:f>
        <x:v>1</x:v>
      </x:c>
      <x:c r="AD33" s="6" t="n">
        <x:f t="shared" si="3">IFERROR($D33/$G33-1,"")</x:f>
        <x:v>-0.19240916748784131</x:v>
      </x:c>
      <x:c r="AE33" s="6" t="n">
        <x:f t="shared" si="4">IFERROR($E33/$H33-1,"")</x:f>
        <x:v>-0.09552656104380242</x:v>
      </x:c>
      <x:c r="AF33" s="6" t="n">
        <x:f t="shared" si="5">IFERROR($F33/$I33-1,"")</x:f>
        <x:v>0.2831262939958592</x:v>
      </x:c>
      <x:c r="AG33" s="4" t="str">
        <x:f t="shared" si="6">IF(AND($A33&gt;=1,$L33&gt;=1,$L33&lt;=500,OR($N33="Tank",$N33="DPS",$N33="Support"),ISNUMBER($D33),ISNUMBER($E33),ISNUMBER($F33)),"有效","异常")</x:f>
        <x:v>有效</x:v>
      </x:c>
      <x:c r="AH33" t="n">
        <x:f>D33/(1-MIN(0.75,F33/(24000+F33)))</x:f>
        <x:v>28030.228083333335</x:v>
      </x:c>
    </x:row>
    <x:row r="34" ht="14.25" customHeight="1">
      <x:c r="A34" s="4">
        <x:v>30</x:v>
      </x:c>
      <x:c r="B34" s="4">
        <x:v>1020</x:v>
      </x:c>
      <x:c r="C34" s="4">
        <x:v>13</x:v>
      </x:c>
      <x:c r="D34" s="5" t="n">
        <x:f>IFERROR(ROUND($U34*$X34*$AA34*'参数'!$B$13,0),"")</x:f>
        <x:v>31757</x:v>
      </x:c>
      <x:c r="E34" s="5" t="n">
        <x:f>IFERROR(ROUND($V34*$Y34*$AB34*'参数'!$C$13,0),"")</x:f>
        <x:v>1617</x:v>
      </x:c>
      <x:c r="F34" s="5" t="n">
        <x:f>IFERROR(ROUND($W34*$Z34*$AC34*'参数'!$D$13,0),"")</x:f>
        <x:v>3099</x:v>
      </x:c>
      <x:c r="G34" s="4">
        <x:v>39324</x:v>
      </x:c>
      <x:c r="H34" s="4">
        <x:v>1789</x:v>
      </x:c>
      <x:c r="I34" s="4">
        <x:v>2415</x:v>
      </x:c>
      <x:c r="J34" s="4">
        <x:v>6</x:v>
      </x:c>
      <x:c r="K34" s="4">
        <x:v>6</x:v>
      </x:c>
      <x:c r="L34" s="4" t="n">
        <x:f>IFERROR(INDEX('楼层配置'!$D$5:$D$104,MATCH($K34,'楼层配置'!$B$5:$B$104,0)),"")</x:f>
        <x:v>32</x:v>
      </x:c>
      <x:c r="M34" s="4" t="str">
        <x:f>IFERROR(INDEX('_角色基线'!$B$2:$B$100,MATCH($B34,'_角色基线'!$A$2:$A$100,0)),"")</x:f>
        <x:v>卡斯帕</x:v>
      </x:c>
      <x:c r="N34" s="4" t="str">
        <x:f>IFERROR(INDEX('_角色基线'!$C$2:$C$100,MATCH($B34,'_角色基线'!$A$2:$A$100,0)),"")</x:f>
        <x:v>Support</x:v>
      </x:c>
      <x:c r="O34" s="4" t="n">
        <x:f>IFERROR(INDEX('_怪物基线'!$B$2:$B$501,MATCH(INT($L34),'_怪物基线'!$A$2:$A$501,0)),"")</x:f>
        <x:v>5812</x:v>
      </x:c>
      <x:c r="P34" s="4" t="n">
        <x:f>IFERROR(INDEX('_怪物基线'!$C$2:$C$501,MATCH(INT($L34),'_怪物基线'!$A$2:$A$501,0)),"")</x:f>
        <x:v>1613</x:v>
      </x:c>
      <x:c r="Q34" s="4" t="n">
        <x:f>IFERROR(INDEX('_怪物基线'!$D$2:$D$501,MATCH(INT($L34),'_怪物基线'!$A$2:$A$501,0)),"")</x:f>
        <x:v>2479</x:v>
      </x:c>
      <x:c r="R34" s="4" t="n">
        <x:f>'参数'!$B$10</x:f>
        <x:v>4</x:v>
      </x:c>
      <x:c r="S34" s="4" t="n">
        <x:f>'参数'!$C$10</x:f>
        <x:v>1.2</x:v>
      </x:c>
      <x:c r="T34" s="4" t="n">
        <x:f>'参数'!$D$10</x:f>
        <x:v>1</x:v>
      </x:c>
      <x:c r="U34" s="4" t="n">
        <x:f t="shared" si="0">IF($O34="","",$O34*$R34)</x:f>
        <x:v>23248</x:v>
      </x:c>
      <x:c r="V34" s="4" t="n">
        <x:f t="shared" si="1">IF($P34="","",$P34*$S34)</x:f>
        <x:v>1935.6</x:v>
      </x:c>
      <x:c r="W34" s="4" t="n">
        <x:f t="shared" si="2">IF($Q34="","",$Q34*$T34)</x:f>
        <x:v>2479</x:v>
      </x:c>
      <x:c r="X34" s="4" t="n">
        <x:f>IFERROR(INDEX('参数'!$B$5:$B$7,MATCH($N34,'参数'!$A$5:$A$7,0)),"")</x:f>
        <x:v>1.25</x:v>
      </x:c>
      <x:c r="Y34" s="4" t="n">
        <x:f>IFERROR(INDEX('参数'!$C$5:$C$7,MATCH($N34,'参数'!$A$5:$A$7,0)),"")</x:f>
        <x:v>1</x:v>
      </x:c>
      <x:c r="Z34" s="4" t="n">
        <x:f>IFERROR(INDEX('参数'!$D$5:$D$7,MATCH($N34,'参数'!$A$5:$A$7,0)),"")</x:f>
        <x:v>1.25</x:v>
      </x:c>
      <x:c r="AA34" s="4" t="n">
        <x:f>IFERROR(INDEX('楼层配置'!$E$5:$E$104,MATCH($K34,'楼层配置'!$B$5:$B$104,0)),1)</x:f>
        <x:v>1.0928101757529394</x:v>
      </x:c>
      <x:c r="AB34" s="4" t="n">
        <x:f>IFERROR(INDEX('楼层配置'!$F$5:$F$104,MATCH($K34,'楼层配置'!$B$5:$B$104,0)),1)</x:f>
        <x:v>0.835587298989708</x:v>
      </x:c>
      <x:c r="AC34" s="4" t="n">
        <x:f>IFERROR(INDEX('楼层配置'!$G$5:$G$104,MATCH($K34,'楼层配置'!$B$5:$B$104,0)),1)</x:f>
        <x:v>1</x:v>
      </x:c>
      <x:c r="AD34" s="6" t="n">
        <x:f t="shared" si="3">IFERROR($D34/$G34-1,"")</x:f>
        <x:v>-0.19242701658020545</x:v>
      </x:c>
      <x:c r="AE34" s="6" t="n">
        <x:f t="shared" si="4">IFERROR($E34/$H34-1,"")</x:f>
        <x:v>-0.09614309670206822</x:v>
      </x:c>
      <x:c r="AF34" s="6" t="n">
        <x:f t="shared" si="5">IFERROR($F34/$I34-1,"")</x:f>
        <x:v>0.2832298136645963</x:v>
      </x:c>
      <x:c r="AG34" s="4" t="str">
        <x:f t="shared" si="6">IF(AND($A34&gt;=1,$L34&gt;=1,$L34&lt;=500,OR($N34="Tank",$N34="DPS",$N34="Support"),ISNUMBER($D34),ISNUMBER($E34),ISNUMBER($F34)),"有效","异常")</x:f>
        <x:v>有效</x:v>
      </x:c>
      <x:c r="AH34" t="n">
        <x:f>D34/(1-MIN(0.75,F34/(24000+F34)))</x:f>
        <x:v>35857.622624999996</x:v>
      </x:c>
    </x:row>
    <x:row r="35" ht="14.25" customHeight="1">
      <x:c r="A35" s="4">
        <x:v>31</x:v>
      </x:c>
      <x:c r="B35" s="4">
        <x:v>1030</x:v>
      </x:c>
      <x:c r="C35" s="4">
        <x:v>13</x:v>
      </x:c>
      <x:c r="D35" s="5" t="n">
        <x:f>IFERROR(ROUND($U35*$X35*$AA35*'参数'!$B$13,0),"")</x:f>
        <x:v>43864</x:v>
      </x:c>
      <x:c r="E35" s="5" t="n">
        <x:f>IFERROR(ROUND($V35*$Y35*$AB35*'参数'!$C$13,0),"")</x:f>
        <x:v>1763</x:v>
      </x:c>
      <x:c r="F35" s="5" t="n">
        <x:f>IFERROR(ROUND($W35*$Z35*$AC35*'参数'!$D$13,0),"")</x:f>
        <x:v>4085</x:v>
      </x:c>
      <x:c r="G35" s="4">
        <x:v>54633</x:v>
      </x:c>
      <x:c r="H35" s="4">
        <x:v>1990</x:v>
      </x:c>
      <x:c r="I35" s="4">
        <x:v>3211</x:v>
      </x:c>
      <x:c r="J35" s="4">
        <x:v>7</x:v>
      </x:c>
      <x:c r="K35" s="4">
        <x:v>7</x:v>
      </x:c>
      <x:c r="L35" s="4" t="n">
        <x:f>IFERROR(INDEX('楼层配置'!$D$5:$D$104,MATCH($K35,'楼层配置'!$B$5:$B$104,0)),"")</x:f>
        <x:v>35</x:v>
      </x:c>
      <x:c r="M35" s="4" t="str">
        <x:f>IFERROR(INDEX('_角色基线'!$B$2:$B$100,MATCH($B35,'_角色基线'!$A$2:$A$100,0)),"")</x:f>
        <x:v>莫莉</x:v>
      </x:c>
      <x:c r="N35" s="4" t="str">
        <x:f>IFERROR(INDEX('_角色基线'!$C$2:$C$100,MATCH($B35,'_角色基线'!$A$2:$A$100,0)),"")</x:f>
        <x:v>Tank</x:v>
      </x:c>
      <x:c r="O35" s="4" t="n">
        <x:f>IFERROR(INDEX('_怪物基线'!$B$2:$B$501,MATCH(INT($L35),'_怪物基线'!$A$2:$A$501,0)),"")</x:f>
        <x:v>6624</x:v>
      </x:c>
      <x:c r="P35" s="4" t="n">
        <x:f>IFERROR(INDEX('_怪物基线'!$C$2:$C$501,MATCH(INT($L35),'_怪物基线'!$A$2:$A$501,0)),"")</x:f>
        <x:v>1787</x:v>
      </x:c>
      <x:c r="Q35" s="4" t="n">
        <x:f>IFERROR(INDEX('_怪物基线'!$D$2:$D$501,MATCH(INT($L35),'_怪物基线'!$A$2:$A$501,0)),"")</x:f>
        <x:v>2723</x:v>
      </x:c>
      <x:c r="R35" s="4" t="n">
        <x:f>'参数'!$B$10</x:f>
        <x:v>4</x:v>
      </x:c>
      <x:c r="S35" s="4" t="n">
        <x:f>'参数'!$C$10</x:f>
        <x:v>1.2</x:v>
      </x:c>
      <x:c r="T35" s="4" t="n">
        <x:f>'参数'!$D$10</x:f>
        <x:v>1</x:v>
      </x:c>
      <x:c r="U35" s="4" t="n">
        <x:f t="shared" si="0">IF($O35="","",$O35*$R35)</x:f>
        <x:v>26496</x:v>
      </x:c>
      <x:c r="V35" s="4" t="n">
        <x:f t="shared" si="1">IF($P35="","",$P35*$S35)</x:f>
        <x:v>2144.4</x:v>
      </x:c>
      <x:c r="W35" s="4" t="n">
        <x:f t="shared" si="2">IF($Q35="","",$Q35*$T35)</x:f>
        <x:v>2723</x:v>
      </x:c>
      <x:c r="X35" s="4" t="n">
        <x:f>IFERROR(INDEX('参数'!$B$5:$B$7,MATCH($N35,'参数'!$A$5:$A$7,0)),"")</x:f>
        <x:v>1.5</x:v>
      </x:c>
      <x:c r="Y35" s="4" t="n">
        <x:f>IFERROR(INDEX('参数'!$C$5:$C$7,MATCH($N35,'参数'!$A$5:$A$7,0)),"")</x:f>
        <x:v>1</x:v>
      </x:c>
      <x:c r="Z35" s="4" t="n">
        <x:f>IFERROR(INDEX('参数'!$D$5:$D$7,MATCH($N35,'参数'!$A$5:$A$7,0)),"")</x:f>
        <x:v>1.5</x:v>
      </x:c>
      <x:c r="AA35" s="4" t="n">
        <x:f>IFERROR(INDEX('楼层配置'!$E$5:$E$104,MATCH($K35,'楼层配置'!$B$5:$B$104,0)),1)</x:f>
        <x:v>1.1036710258891091</x:v>
      </x:c>
      <x:c r="AB35" s="4" t="n">
        <x:f>IFERROR(INDEX('楼层配置'!$F$5:$F$104,MATCH($K35,'楼层配置'!$B$5:$B$104,0)),1)</x:f>
        <x:v>0.8219892307328823</x:v>
      </x:c>
      <x:c r="AC35" s="4" t="n">
        <x:f>IFERROR(INDEX('楼层配置'!$G$5:$G$104,MATCH($K35,'楼层配置'!$B$5:$B$104,0)),1)</x:f>
        <x:v>1</x:v>
      </x:c>
      <x:c r="AD35" s="6" t="n">
        <x:f t="shared" si="3">IFERROR($D35/$G35-1,"")</x:f>
        <x:v>-0.19711529661559868</x:v>
      </x:c>
      <x:c r="AE35" s="6" t="n">
        <x:f t="shared" si="4">IFERROR($E35/$H35-1,"")</x:f>
        <x:v>-0.11407035175879399</x:v>
      </x:c>
      <x:c r="AF35" s="6" t="n">
        <x:f t="shared" si="5">IFERROR($F35/$I35-1,"")</x:f>
        <x:v>0.2721893491124261</x:v>
      </x:c>
      <x:c r="AG35" s="4" t="str">
        <x:f t="shared" si="6">IF(AND($A35&gt;=1,$L35&gt;=1,$L35&lt;=500,OR($N35="Tank",$N35="DPS",$N35="Support"),ISNUMBER($D35),ISNUMBER($E35),ISNUMBER($F35)),"有效","异常")</x:f>
        <x:v>有效</x:v>
      </x:c>
      <x:c r="AH35" t="n">
        <x:f>D35/(1-MIN(0.75,F35/(24000+F35)))</x:f>
        <x:v>51330.01833333333</x:v>
      </x:c>
    </x:row>
    <x:row r="36" ht="14.25" customHeight="1">
      <x:c r="A36" s="4">
        <x:v>32</x:v>
      </x:c>
      <x:c r="B36" s="4">
        <x:v>1026</x:v>
      </x:c>
      <x:c r="C36" s="4">
        <x:v>13</x:v>
      </x:c>
      <x:c r="D36" s="5" t="n">
        <x:f>IFERROR(ROUND($U36*$X36*$AA36*'参数'!$B$13,0),"")</x:f>
        <x:v>29243</x:v>
      </x:c>
      <x:c r="E36" s="5" t="n">
        <x:f>IFERROR(ROUND($V36*$Y36*$AB36*'参数'!$C$13,0),"")</x:f>
        <x:v>2115</x:v>
      </x:c>
      <x:c r="F36" s="5" t="n">
        <x:f>IFERROR(ROUND($W36*$Z36*$AC36*'参数'!$D$13,0),"")</x:f>
        <x:v>2723</x:v>
      </x:c>
      <x:c r="G36" s="4">
        <x:v>36422</x:v>
      </x:c>
      <x:c r="H36" s="4">
        <x:v>2388</x:v>
      </x:c>
      <x:c r="I36" s="4">
        <x:v>2140</x:v>
      </x:c>
      <x:c r="J36" s="4">
        <x:v>7</x:v>
      </x:c>
      <x:c r="K36" s="4">
        <x:v>7</x:v>
      </x:c>
      <x:c r="L36" s="4" t="n">
        <x:f>IFERROR(INDEX('楼层配置'!$D$5:$D$104,MATCH($K36,'楼层配置'!$B$5:$B$104,0)),"")</x:f>
        <x:v>35</x:v>
      </x:c>
      <x:c r="M36" s="4" t="str">
        <x:f>IFERROR(INDEX('_角色基线'!$B$2:$B$100,MATCH($B36,'_角色基线'!$A$2:$A$100,0)),"")</x:f>
        <x:v>乔一</x:v>
      </x:c>
      <x:c r="N36" s="4" t="str">
        <x:f>IFERROR(INDEX('_角色基线'!$C$2:$C$100,MATCH($B36,'_角色基线'!$A$2:$A$100,0)),"")</x:f>
        <x:v>DPS</x:v>
      </x:c>
      <x:c r="O36" s="4" t="n">
        <x:f>IFERROR(INDEX('_怪物基线'!$B$2:$B$501,MATCH(INT($L36),'_怪物基线'!$A$2:$A$501,0)),"")</x:f>
        <x:v>6624</x:v>
      </x:c>
      <x:c r="P36" s="4" t="n">
        <x:f>IFERROR(INDEX('_怪物基线'!$C$2:$C$501,MATCH(INT($L36),'_怪物基线'!$A$2:$A$501,0)),"")</x:f>
        <x:v>1787</x:v>
      </x:c>
      <x:c r="Q36" s="4" t="n">
        <x:f>IFERROR(INDEX('_怪物基线'!$D$2:$D$501,MATCH(INT($L36),'_怪物基线'!$A$2:$A$501,0)),"")</x:f>
        <x:v>2723</x:v>
      </x:c>
      <x:c r="R36" s="4" t="n">
        <x:f>'参数'!$B$10</x:f>
        <x:v>4</x:v>
      </x:c>
      <x:c r="S36" s="4" t="n">
        <x:f>'参数'!$C$10</x:f>
        <x:v>1.2</x:v>
      </x:c>
      <x:c r="T36" s="4" t="n">
        <x:f>'参数'!$D$10</x:f>
        <x:v>1</x:v>
      </x:c>
      <x:c r="U36" s="4" t="n">
        <x:f t="shared" si="0">IF($O36="","",$O36*$R36)</x:f>
        <x:v>26496</x:v>
      </x:c>
      <x:c r="V36" s="4" t="n">
        <x:f t="shared" si="1">IF($P36="","",$P36*$S36)</x:f>
        <x:v>2144.4</x:v>
      </x:c>
      <x:c r="W36" s="4" t="n">
        <x:f t="shared" si="2">IF($Q36="","",$Q36*$T36)</x:f>
        <x:v>2723</x:v>
      </x:c>
      <x:c r="X36" s="4" t="n">
        <x:f>IFERROR(INDEX('参数'!$B$5:$B$7,MATCH($N36,'参数'!$A$5:$A$7,0)),"")</x:f>
        <x:v>1</x:v>
      </x:c>
      <x:c r="Y36" s="4" t="n">
        <x:f>IFERROR(INDEX('参数'!$C$5:$C$7,MATCH($N36,'参数'!$A$5:$A$7,0)),"")</x:f>
        <x:v>1.2</x:v>
      </x:c>
      <x:c r="Z36" s="4" t="n">
        <x:f>IFERROR(INDEX('参数'!$D$5:$D$7,MATCH($N36,'参数'!$A$5:$A$7,0)),"")</x:f>
        <x:v>1</x:v>
      </x:c>
      <x:c r="AA36" s="4" t="n">
        <x:f>IFERROR(INDEX('楼层配置'!$E$5:$E$104,MATCH($K36,'楼层配置'!$B$5:$B$104,0)),1)</x:f>
        <x:v>1.1036710258891091</x:v>
      </x:c>
      <x:c r="AB36" s="4" t="n">
        <x:f>IFERROR(INDEX('楼层配置'!$F$5:$F$104,MATCH($K36,'楼层配置'!$B$5:$B$104,0)),1)</x:f>
        <x:v>0.8219892307328823</x:v>
      </x:c>
      <x:c r="AC36" s="4" t="n">
        <x:f>IFERROR(INDEX('楼层配置'!$G$5:$G$104,MATCH($K36,'楼层配置'!$B$5:$B$104,0)),1)</x:f>
        <x:v>1</x:v>
      </x:c>
      <x:c r="AD36" s="6" t="n">
        <x:f t="shared" si="3">IFERROR($D36/$G36-1,"")</x:f>
        <x:v>-0.19710614463785625</x:v>
      </x:c>
      <x:c r="AE36" s="6" t="n">
        <x:f t="shared" si="4">IFERROR($E36/$H36-1,"")</x:f>
        <x:v>-0.11432160804020097</x:v>
      </x:c>
      <x:c r="AF36" s="6" t="n">
        <x:f t="shared" si="5">IFERROR($F36/$I36-1,"")</x:f>
        <x:v>0.2724299065420561</x:v>
      </x:c>
      <x:c r="AG36" s="4" t="str">
        <x:f t="shared" si="6">IF(AND($A36&gt;=1,$L36&gt;=1,$L36&lt;=500,OR($N36="Tank",$N36="DPS",$N36="Support"),ISNUMBER($D36),ISNUMBER($E36),ISNUMBER($F36)),"有效","异常")</x:f>
        <x:v>有效</x:v>
      </x:c>
      <x:c r="AH36" t="n">
        <x:f>D36/(1-MIN(0.75,F36/(24000+F36)))</x:f>
        <x:v>32560.862041666664</x:v>
      </x:c>
    </x:row>
    <x:row r="37" ht="14.25" customHeight="1">
      <x:c r="A37" s="4">
        <x:v>33</x:v>
      </x:c>
      <x:c r="B37" s="4">
        <x:v>1015</x:v>
      </x:c>
      <x:c r="C37" s="4">
        <x:v>13</x:v>
      </x:c>
      <x:c r="D37" s="5" t="n">
        <x:f>IFERROR(ROUND($U37*$X37*$AA37*'参数'!$B$13,0),"")</x:f>
        <x:v>36554</x:v>
      </x:c>
      <x:c r="E37" s="5" t="n">
        <x:f>IFERROR(ROUND($V37*$Y37*$AB37*'参数'!$C$13,0),"")</x:f>
        <x:v>1763</x:v>
      </x:c>
      <x:c r="F37" s="5" t="n">
        <x:f>IFERROR(ROUND($W37*$Z37*$AC37*'参数'!$D$13,0),"")</x:f>
        <x:v>3404</x:v>
      </x:c>
      <x:c r="G37" s="4">
        <x:v>45528</x:v>
      </x:c>
      <x:c r="H37" s="4">
        <x:v>1990</x:v>
      </x:c>
      <x:c r="I37" s="4">
        <x:v>2676</x:v>
      </x:c>
      <x:c r="J37" s="4">
        <x:v>7</x:v>
      </x:c>
      <x:c r="K37" s="4">
        <x:v>7</x:v>
      </x:c>
      <x:c r="L37" s="4" t="n">
        <x:f>IFERROR(INDEX('楼层配置'!$D$5:$D$104,MATCH($K37,'楼层配置'!$B$5:$B$104,0)),"")</x:f>
        <x:v>35</x:v>
      </x:c>
      <x:c r="M37" s="4" t="str">
        <x:f>IFERROR(INDEX('_角色基线'!$B$2:$B$100,MATCH($B37,'_角色基线'!$A$2:$A$100,0)),"")</x:f>
        <x:v>阿莱克西娅</x:v>
      </x:c>
      <x:c r="N37" s="4" t="str">
        <x:f>IFERROR(INDEX('_角色基线'!$C$2:$C$100,MATCH($B37,'_角色基线'!$A$2:$A$100,0)),"")</x:f>
        <x:v>Support</x:v>
      </x:c>
      <x:c r="O37" s="4" t="n">
        <x:f>IFERROR(INDEX('_怪物基线'!$B$2:$B$501,MATCH(INT($L37),'_怪物基线'!$A$2:$A$501,0)),"")</x:f>
        <x:v>6624</x:v>
      </x:c>
      <x:c r="P37" s="4" t="n">
        <x:f>IFERROR(INDEX('_怪物基线'!$C$2:$C$501,MATCH(INT($L37),'_怪物基线'!$A$2:$A$501,0)),"")</x:f>
        <x:v>1787</x:v>
      </x:c>
      <x:c r="Q37" s="4" t="n">
        <x:f>IFERROR(INDEX('_怪物基线'!$D$2:$D$501,MATCH(INT($L37),'_怪物基线'!$A$2:$A$501,0)),"")</x:f>
        <x:v>2723</x:v>
      </x:c>
      <x:c r="R37" s="4" t="n">
        <x:f>'参数'!$B$10</x:f>
        <x:v>4</x:v>
      </x:c>
      <x:c r="S37" s="4" t="n">
        <x:f>'参数'!$C$10</x:f>
        <x:v>1.2</x:v>
      </x:c>
      <x:c r="T37" s="4" t="n">
        <x:f>'参数'!$D$10</x:f>
        <x:v>1</x:v>
      </x:c>
      <x:c r="U37" s="4" t="n">
        <x:f t="shared" si="0">IF($O37="","",$O37*$R37)</x:f>
        <x:v>26496</x:v>
      </x:c>
      <x:c r="V37" s="4" t="n">
        <x:f t="shared" si="1">IF($P37="","",$P37*$S37)</x:f>
        <x:v>2144.4</x:v>
      </x:c>
      <x:c r="W37" s="4" t="n">
        <x:f t="shared" si="2">IF($Q37="","",$Q37*$T37)</x:f>
        <x:v>2723</x:v>
      </x:c>
      <x:c r="X37" s="4" t="n">
        <x:f>IFERROR(INDEX('参数'!$B$5:$B$7,MATCH($N37,'参数'!$A$5:$A$7,0)),"")</x:f>
        <x:v>1.25</x:v>
      </x:c>
      <x:c r="Y37" s="4" t="n">
        <x:f>IFERROR(INDEX('参数'!$C$5:$C$7,MATCH($N37,'参数'!$A$5:$A$7,0)),"")</x:f>
        <x:v>1</x:v>
      </x:c>
      <x:c r="Z37" s="4" t="n">
        <x:f>IFERROR(INDEX('参数'!$D$5:$D$7,MATCH($N37,'参数'!$A$5:$A$7,0)),"")</x:f>
        <x:v>1.25</x:v>
      </x:c>
      <x:c r="AA37" s="4" t="n">
        <x:f>IFERROR(INDEX('楼层配置'!$E$5:$E$104,MATCH($K37,'楼层配置'!$B$5:$B$104,0)),1)</x:f>
        <x:v>1.1036710258891091</x:v>
      </x:c>
      <x:c r="AB37" s="4" t="n">
        <x:f>IFERROR(INDEX('楼层配置'!$F$5:$F$104,MATCH($K37,'楼层配置'!$B$5:$B$104,0)),1)</x:f>
        <x:v>0.8219892307328823</x:v>
      </x:c>
      <x:c r="AC37" s="4" t="n">
        <x:f>IFERROR(INDEX('楼层配置'!$G$5:$G$104,MATCH($K37,'楼层配置'!$B$5:$B$104,0)),1)</x:f>
        <x:v>1</x:v>
      </x:c>
      <x:c r="AD37" s="6" t="n">
        <x:f t="shared" si="3">IFERROR($D37/$G37-1,"")</x:f>
        <x:v>-0.197109471094711</x:v>
      </x:c>
      <x:c r="AE37" s="6" t="n">
        <x:f t="shared" si="4">IFERROR($E37/$H37-1,"")</x:f>
        <x:v>-0.11407035175879399</x:v>
      </x:c>
      <x:c r="AF37" s="6" t="n">
        <x:f t="shared" si="5">IFERROR($F37/$I37-1,"")</x:f>
        <x:v>0.2720478325859492</x:v>
      </x:c>
      <x:c r="AG37" s="4" t="str">
        <x:f t="shared" si="6">IF(AND($A37&gt;=1,$L37&gt;=1,$L37&lt;=500,OR($N37="Tank",$N37="DPS",$N37="Support"),ISNUMBER($D37),ISNUMBER($E37),ISNUMBER($F37)),"有效","异常")</x:f>
        <x:v>有效</x:v>
      </x:c>
      <x:c r="AH37" t="n">
        <x:f>D37/(1-MIN(0.75,F37/(24000+F37)))</x:f>
        <x:v>41738.575666666664</x:v>
      </x:c>
    </x:row>
    <x:row r="38" ht="14.25" customHeight="1">
      <x:c r="A38" s="4">
        <x:v>34</x:v>
      </x:c>
      <x:c r="B38" s="4">
        <x:v>1023</x:v>
      </x:c>
      <x:c r="C38" s="4">
        <x:v>13</x:v>
      </x:c>
      <x:c r="D38" s="5" t="n">
        <x:f>IFERROR(ROUND($U38*$X38*$AA38*'参数'!$B$13,0),"")</x:f>
        <x:v>36554</x:v>
      </x:c>
      <x:c r="E38" s="5" t="n">
        <x:f>IFERROR(ROUND($V38*$Y38*$AB38*'参数'!$C$13,0),"")</x:f>
        <x:v>1763</x:v>
      </x:c>
      <x:c r="F38" s="5" t="n">
        <x:f>IFERROR(ROUND($W38*$Z38*$AC38*'参数'!$D$13,0),"")</x:f>
        <x:v>3404</x:v>
      </x:c>
      <x:c r="G38" s="4">
        <x:v>45528</x:v>
      </x:c>
      <x:c r="H38" s="4">
        <x:v>1990</x:v>
      </x:c>
      <x:c r="I38" s="4">
        <x:v>2676</x:v>
      </x:c>
      <x:c r="J38" s="4">
        <x:v>7</x:v>
      </x:c>
      <x:c r="K38" s="4">
        <x:v>7</x:v>
      </x:c>
      <x:c r="L38" s="4" t="n">
        <x:f>IFERROR(INDEX('楼层配置'!$D$5:$D$104,MATCH($K38,'楼层配置'!$B$5:$B$104,0)),"")</x:f>
        <x:v>35</x:v>
      </x:c>
      <x:c r="M38" s="4" t="str">
        <x:f>IFERROR(INDEX('_角色基线'!$B$2:$B$100,MATCH($B38,'_角色基线'!$A$2:$A$100,0)),"")</x:f>
        <x:v>马克</x:v>
      </x:c>
      <x:c r="N38" s="4" t="str">
        <x:f>IFERROR(INDEX('_角色基线'!$C$2:$C$100,MATCH($B38,'_角色基线'!$A$2:$A$100,0)),"")</x:f>
        <x:v>Support</x:v>
      </x:c>
      <x:c r="O38" s="4" t="n">
        <x:f>IFERROR(INDEX('_怪物基线'!$B$2:$B$501,MATCH(INT($L38),'_怪物基线'!$A$2:$A$501,0)),"")</x:f>
        <x:v>6624</x:v>
      </x:c>
      <x:c r="P38" s="4" t="n">
        <x:f>IFERROR(INDEX('_怪物基线'!$C$2:$C$501,MATCH(INT($L38),'_怪物基线'!$A$2:$A$501,0)),"")</x:f>
        <x:v>1787</x:v>
      </x:c>
      <x:c r="Q38" s="4" t="n">
        <x:f>IFERROR(INDEX('_怪物基线'!$D$2:$D$501,MATCH(INT($L38),'_怪物基线'!$A$2:$A$501,0)),"")</x:f>
        <x:v>2723</x:v>
      </x:c>
      <x:c r="R38" s="4" t="n">
        <x:f>'参数'!$B$10</x:f>
        <x:v>4</x:v>
      </x:c>
      <x:c r="S38" s="4" t="n">
        <x:f>'参数'!$C$10</x:f>
        <x:v>1.2</x:v>
      </x:c>
      <x:c r="T38" s="4" t="n">
        <x:f>'参数'!$D$10</x:f>
        <x:v>1</x:v>
      </x:c>
      <x:c r="U38" s="4" t="n">
        <x:f t="shared" si="0">IF($O38="","",$O38*$R38)</x:f>
        <x:v>26496</x:v>
      </x:c>
      <x:c r="V38" s="4" t="n">
        <x:f t="shared" si="1">IF($P38="","",$P38*$S38)</x:f>
        <x:v>2144.4</x:v>
      </x:c>
      <x:c r="W38" s="4" t="n">
        <x:f t="shared" si="2">IF($Q38="","",$Q38*$T38)</x:f>
        <x:v>2723</x:v>
      </x:c>
      <x:c r="X38" s="4" t="n">
        <x:f>IFERROR(INDEX('参数'!$B$5:$B$7,MATCH($N38,'参数'!$A$5:$A$7,0)),"")</x:f>
        <x:v>1.25</x:v>
      </x:c>
      <x:c r="Y38" s="4" t="n">
        <x:f>IFERROR(INDEX('参数'!$C$5:$C$7,MATCH($N38,'参数'!$A$5:$A$7,0)),"")</x:f>
        <x:v>1</x:v>
      </x:c>
      <x:c r="Z38" s="4" t="n">
        <x:f>IFERROR(INDEX('参数'!$D$5:$D$7,MATCH($N38,'参数'!$A$5:$A$7,0)),"")</x:f>
        <x:v>1.25</x:v>
      </x:c>
      <x:c r="AA38" s="4" t="n">
        <x:f>IFERROR(INDEX('楼层配置'!$E$5:$E$104,MATCH($K38,'楼层配置'!$B$5:$B$104,0)),1)</x:f>
        <x:v>1.1036710258891091</x:v>
      </x:c>
      <x:c r="AB38" s="4" t="n">
        <x:f>IFERROR(INDEX('楼层配置'!$F$5:$F$104,MATCH($K38,'楼层配置'!$B$5:$B$104,0)),1)</x:f>
        <x:v>0.8219892307328823</x:v>
      </x:c>
      <x:c r="AC38" s="4" t="n">
        <x:f>IFERROR(INDEX('楼层配置'!$G$5:$G$104,MATCH($K38,'楼层配置'!$B$5:$B$104,0)),1)</x:f>
        <x:v>1</x:v>
      </x:c>
      <x:c r="AD38" s="6" t="n">
        <x:f t="shared" si="3">IFERROR($D38/$G38-1,"")</x:f>
        <x:v>-0.197109471094711</x:v>
      </x:c>
      <x:c r="AE38" s="6" t="n">
        <x:f t="shared" si="4">IFERROR($E38/$H38-1,"")</x:f>
        <x:v>-0.11407035175879399</x:v>
      </x:c>
      <x:c r="AF38" s="6" t="n">
        <x:f t="shared" si="5">IFERROR($F38/$I38-1,"")</x:f>
        <x:v>0.2720478325859492</x:v>
      </x:c>
      <x:c r="AG38" s="4" t="str">
        <x:f t="shared" si="6">IF(AND($A38&gt;=1,$L38&gt;=1,$L38&lt;=500,OR($N38="Tank",$N38="DPS",$N38="Support"),ISNUMBER($D38),ISNUMBER($E38),ISNUMBER($F38)),"有效","异常")</x:f>
        <x:v>有效</x:v>
      </x:c>
      <x:c r="AH38" t="n">
        <x:f>D38/(1-MIN(0.75,F38/(24000+F38)))</x:f>
        <x:v>41738.575666666664</x:v>
      </x:c>
    </x:row>
    <x:row r="39" ht="14.25" customHeight="1">
      <x:c r="A39" s="4">
        <x:v>35</x:v>
      </x:c>
      <x:c r="B39" s="4">
        <x:v>1035</x:v>
      </x:c>
      <x:c r="C39" s="4">
        <x:v>13</x:v>
      </x:c>
      <x:c r="D39" s="5" t="n">
        <x:f>IFERROR(ROUND($U39*$X39*$AA39*'参数'!$B$13,0),"")</x:f>
        <x:v>29243</x:v>
      </x:c>
      <x:c r="E39" s="5" t="n">
        <x:f>IFERROR(ROUND($V39*$Y39*$AB39*'参数'!$C$13,0),"")</x:f>
        <x:v>2115</x:v>
      </x:c>
      <x:c r="F39" s="5" t="n">
        <x:f>IFERROR(ROUND($W39*$Z39*$AC39*'参数'!$D$13,0),"")</x:f>
        <x:v>2723</x:v>
      </x:c>
      <x:c r="G39" s="4">
        <x:v>36422</x:v>
      </x:c>
      <x:c r="H39" s="4">
        <x:v>2388</x:v>
      </x:c>
      <x:c r="I39" s="4">
        <x:v>2140</x:v>
      </x:c>
      <x:c r="J39" s="4">
        <x:v>7</x:v>
      </x:c>
      <x:c r="K39" s="4">
        <x:v>7</x:v>
      </x:c>
      <x:c r="L39" s="4" t="n">
        <x:f>IFERROR(INDEX('楼层配置'!$D$5:$D$104,MATCH($K39,'楼层配置'!$B$5:$B$104,0)),"")</x:f>
        <x:v>35</x:v>
      </x:c>
      <x:c r="M39" s="4" t="str">
        <x:f>IFERROR(INDEX('_角色基线'!$B$2:$B$100,MATCH($B39,'_角色基线'!$A$2:$A$100,0)),"")</x:f>
        <x:v>碎冰者</x:v>
      </x:c>
      <x:c r="N39" s="4" t="str">
        <x:f>IFERROR(INDEX('_角色基线'!$C$2:$C$100,MATCH($B39,'_角色基线'!$A$2:$A$100,0)),"")</x:f>
        <x:v>DPS</x:v>
      </x:c>
      <x:c r="O39" s="4" t="n">
        <x:f>IFERROR(INDEX('_怪物基线'!$B$2:$B$501,MATCH(INT($L39),'_怪物基线'!$A$2:$A$501,0)),"")</x:f>
        <x:v>6624</x:v>
      </x:c>
      <x:c r="P39" s="4" t="n">
        <x:f>IFERROR(INDEX('_怪物基线'!$C$2:$C$501,MATCH(INT($L39),'_怪物基线'!$A$2:$A$501,0)),"")</x:f>
        <x:v>1787</x:v>
      </x:c>
      <x:c r="Q39" s="4" t="n">
        <x:f>IFERROR(INDEX('_怪物基线'!$D$2:$D$501,MATCH(INT($L39),'_怪物基线'!$A$2:$A$501,0)),"")</x:f>
        <x:v>2723</x:v>
      </x:c>
      <x:c r="R39" s="4" t="n">
        <x:f>'参数'!$B$10</x:f>
        <x:v>4</x:v>
      </x:c>
      <x:c r="S39" s="4" t="n">
        <x:f>'参数'!$C$10</x:f>
        <x:v>1.2</x:v>
      </x:c>
      <x:c r="T39" s="4" t="n">
        <x:f>'参数'!$D$10</x:f>
        <x:v>1</x:v>
      </x:c>
      <x:c r="U39" s="4" t="n">
        <x:f t="shared" si="0">IF($O39="","",$O39*$R39)</x:f>
        <x:v>26496</x:v>
      </x:c>
      <x:c r="V39" s="4" t="n">
        <x:f t="shared" si="1">IF($P39="","",$P39*$S39)</x:f>
        <x:v>2144.4</x:v>
      </x:c>
      <x:c r="W39" s="4" t="n">
        <x:f t="shared" si="2">IF($Q39="","",$Q39*$T39)</x:f>
        <x:v>2723</x:v>
      </x:c>
      <x:c r="X39" s="4" t="n">
        <x:f>IFERROR(INDEX('参数'!$B$5:$B$7,MATCH($N39,'参数'!$A$5:$A$7,0)),"")</x:f>
        <x:v>1</x:v>
      </x:c>
      <x:c r="Y39" s="4" t="n">
        <x:f>IFERROR(INDEX('参数'!$C$5:$C$7,MATCH($N39,'参数'!$A$5:$A$7,0)),"")</x:f>
        <x:v>1.2</x:v>
      </x:c>
      <x:c r="Z39" s="4" t="n">
        <x:f>IFERROR(INDEX('参数'!$D$5:$D$7,MATCH($N39,'参数'!$A$5:$A$7,0)),"")</x:f>
        <x:v>1</x:v>
      </x:c>
      <x:c r="AA39" s="4" t="n">
        <x:f>IFERROR(INDEX('楼层配置'!$E$5:$E$104,MATCH($K39,'楼层配置'!$B$5:$B$104,0)),1)</x:f>
        <x:v>1.1036710258891091</x:v>
      </x:c>
      <x:c r="AB39" s="4" t="n">
        <x:f>IFERROR(INDEX('楼层配置'!$F$5:$F$104,MATCH($K39,'楼层配置'!$B$5:$B$104,0)),1)</x:f>
        <x:v>0.8219892307328823</x:v>
      </x:c>
      <x:c r="AC39" s="4" t="n">
        <x:f>IFERROR(INDEX('楼层配置'!$G$5:$G$104,MATCH($K39,'楼层配置'!$B$5:$B$104,0)),1)</x:f>
        <x:v>1</x:v>
      </x:c>
      <x:c r="AD39" s="6" t="n">
        <x:f t="shared" si="3">IFERROR($D39/$G39-1,"")</x:f>
        <x:v>-0.19710614463785625</x:v>
      </x:c>
      <x:c r="AE39" s="6" t="n">
        <x:f t="shared" si="4">IFERROR($E39/$H39-1,"")</x:f>
        <x:v>-0.11432160804020097</x:v>
      </x:c>
      <x:c r="AF39" s="6" t="n">
        <x:f t="shared" si="5">IFERROR($F39/$I39-1,"")</x:f>
        <x:v>0.2724299065420561</x:v>
      </x:c>
      <x:c r="AG39" s="4" t="str">
        <x:f t="shared" si="6">IF(AND($A39&gt;=1,$L39&gt;=1,$L39&lt;=500,OR($N39="Tank",$N39="DPS",$N39="Support"),ISNUMBER($D39),ISNUMBER($E39),ISNUMBER($F39)),"有效","异常")</x:f>
        <x:v>有效</x:v>
      </x:c>
      <x:c r="AH39" t="n">
        <x:f>D39/(1-MIN(0.75,F39/(24000+F39)))</x:f>
        <x:v>32560.862041666664</x:v>
      </x:c>
    </x:row>
    <x:row r="40" ht="14.25" customHeight="1">
      <x:c r="A40" s="4">
        <x:v>36</x:v>
      </x:c>
      <x:c r="B40" s="4">
        <x:v>1002</x:v>
      </x:c>
      <x:c r="C40" s="4">
        <x:v>14</x:v>
      </x:c>
      <x:c r="D40" s="5" t="n">
        <x:f>IFERROR(ROUND($U40*$X40*$AA40*'参数'!$B$13,0),"")</x:f>
        <x:v>48763</x:v>
      </x:c>
      <x:c r="E40" s="5" t="n">
        <x:f>IFERROR(ROUND($V40*$Y40*$AB40*'参数'!$C$13,0),"")</x:f>
        <x:v>1870</x:v>
      </x:c>
      <x:c r="F40" s="5" t="n">
        <x:f>IFERROR(ROUND($W40*$Z40*$AC40*'参数'!$D$13,0),"")</x:f>
        <x:v>4454</x:v>
      </x:c>
      <x:c r="G40" s="4">
        <x:v>62589</x:v>
      </x:c>
      <x:c r="H40" s="4">
        <x:v>2194</x:v>
      </x:c>
      <x:c r="I40" s="4">
        <x:v>3529</x:v>
      </x:c>
      <x:c r="J40" s="4">
        <x:v>8</x:v>
      </x:c>
      <x:c r="K40" s="4">
        <x:v>8</x:v>
      </x:c>
      <x:c r="L40" s="4" t="n">
        <x:f>IFERROR(INDEX('楼层配置'!$D$5:$D$104,MATCH($K40,'楼层配置'!$B$5:$B$104,0)),"")</x:f>
        <x:v>38</x:v>
      </x:c>
      <x:c r="M40" s="4" t="str">
        <x:f>IFERROR(INDEX('_角色基线'!$B$2:$B$100,MATCH($B40,'_角色基线'!$A$2:$A$100,0)),"")</x:f>
        <x:v>大暑</x:v>
      </x:c>
      <x:c r="N40" s="4" t="str">
        <x:f>IFERROR(INDEX('_角色基线'!$C$2:$C$100,MATCH($B40,'_角色基线'!$A$2:$A$100,0)),"")</x:f>
        <x:v>Tank</x:v>
      </x:c>
      <x:c r="O40" s="4" t="n">
        <x:f>IFERROR(INDEX('_怪物基线'!$B$2:$B$501,MATCH(INT($L40),'_怪物基线'!$A$2:$A$501,0)),"")</x:f>
        <x:v>7481</x:v>
      </x:c>
      <x:c r="P40" s="4" t="n">
        <x:f>IFERROR(INDEX('_怪物基线'!$C$2:$C$501,MATCH(INT($L40),'_怪物基线'!$A$2:$A$501,0)),"")</x:f>
        <x:v>1963</x:v>
      </x:c>
      <x:c r="Q40" s="4" t="n">
        <x:f>IFERROR(INDEX('_怪物基线'!$D$2:$D$501,MATCH(INT($L40),'_怪物基线'!$A$2:$A$501,0)),"")</x:f>
        <x:v>2969</x:v>
      </x:c>
      <x:c r="R40" s="4" t="n">
        <x:f>'参数'!$B$10</x:f>
        <x:v>4</x:v>
      </x:c>
      <x:c r="S40" s="4" t="n">
        <x:f>'参数'!$C$10</x:f>
        <x:v>1.2</x:v>
      </x:c>
      <x:c r="T40" s="4" t="n">
        <x:f>'参数'!$D$10</x:f>
        <x:v>1</x:v>
      </x:c>
      <x:c r="U40" s="4" t="n">
        <x:f t="shared" si="0">IF($O40="","",$O40*$R40)</x:f>
        <x:v>29924</x:v>
      </x:c>
      <x:c r="V40" s="4" t="n">
        <x:f t="shared" si="1">IF($P40="","",$P40*$S40)</x:f>
        <x:v>2355.6</x:v>
      </x:c>
      <x:c r="W40" s="4" t="n">
        <x:f t="shared" si="2">IF($Q40="","",$Q40*$T40)</x:f>
        <x:v>2969</x:v>
      </x:c>
      <x:c r="X40" s="4" t="n">
        <x:f>IFERROR(INDEX('参数'!$B$5:$B$7,MATCH($N40,'参数'!$A$5:$A$7,0)),"")</x:f>
        <x:v>1.5</x:v>
      </x:c>
      <x:c r="Y40" s="4" t="n">
        <x:f>IFERROR(INDEX('参数'!$C$5:$C$7,MATCH($N40,'参数'!$A$5:$A$7,0)),"")</x:f>
        <x:v>1</x:v>
      </x:c>
      <x:c r="Z40" s="4" t="n">
        <x:f>IFERROR(INDEX('参数'!$D$5:$D$7,MATCH($N40,'参数'!$A$5:$A$7,0)),"")</x:f>
        <x:v>1.5</x:v>
      </x:c>
      <x:c r="AA40" s="4" t="n">
        <x:f>IFERROR(INDEX('楼层配置'!$E$5:$E$104,MATCH($K40,'楼层配置'!$B$5:$B$104,0)),1)</x:f>
        <x:v>1.0863731474625475</x:v>
      </x:c>
      <x:c r="AB40" s="4" t="n">
        <x:f>IFERROR(INDEX('楼层配置'!$F$5:$F$104,MATCH($K40,'楼层配置'!$B$5:$B$104,0)),1)</x:f>
        <x:v>0.7936705867295538</x:v>
      </x:c>
      <x:c r="AC40" s="4" t="n">
        <x:f>IFERROR(INDEX('楼层配置'!$G$5:$G$104,MATCH($K40,'楼层配置'!$B$5:$B$104,0)),1)</x:f>
        <x:v>1</x:v>
      </x:c>
      <x:c r="AD40" s="6" t="n">
        <x:f t="shared" si="3">IFERROR($D40/$G40-1,"")</x:f>
        <x:v>-0.220901436354631</x:v>
      </x:c>
      <x:c r="AE40" s="6" t="n">
        <x:f t="shared" si="4">IFERROR($E40/$H40-1,"")</x:f>
        <x:v>-0.14767547857793983</x:v>
      </x:c>
      <x:c r="AF40" s="6" t="n">
        <x:f t="shared" si="5">IFERROR($F40/$I40-1,"")</x:f>
        <x:v>0.26211391328988376</x:v>
      </x:c>
      <x:c r="AG40" s="4" t="str">
        <x:f t="shared" si="6">IF(AND($A40&gt;=1,$L40&gt;=1,$L40&lt;=500,OR($N40="Tank",$N40="DPS",$N40="Support"),ISNUMBER($D40),ISNUMBER($E40),ISNUMBER($F40)),"有效","异常")</x:f>
        <x:v>有效</x:v>
      </x:c>
      <x:c r="AH40" t="n">
        <x:f>D40/(1-MIN(0.75,F40/(24000+F40)))</x:f>
        <x:v>57812.60008333334</x:v>
      </x:c>
    </x:row>
    <x:row r="41" ht="14.25" customHeight="1">
      <x:c r="A41" s="4">
        <x:v>37</x:v>
      </x:c>
      <x:c r="B41" s="4">
        <x:v>1011</x:v>
      </x:c>
      <x:c r="C41" s="4">
        <x:v>14</x:v>
      </x:c>
      <x:c r="D41" s="5" t="n">
        <x:f>IFERROR(ROUND($U41*$X41*$AA41*'参数'!$B$13,0),"")</x:f>
        <x:v>40636</x:v>
      </x:c>
      <x:c r="E41" s="5" t="n">
        <x:f>IFERROR(ROUND($V41*$Y41*$AB41*'参数'!$C$13,0),"")</x:f>
        <x:v>1870</x:v>
      </x:c>
      <x:c r="F41" s="5" t="n">
        <x:f>IFERROR(ROUND($W41*$Z41*$AC41*'参数'!$D$13,0),"")</x:f>
        <x:v>3711</x:v>
      </x:c>
      <x:c r="G41" s="4">
        <x:v>52158</x:v>
      </x:c>
      <x:c r="H41" s="4">
        <x:v>2194</x:v>
      </x:c>
      <x:c r="I41" s="4">
        <x:v>2941</x:v>
      </x:c>
      <x:c r="J41" s="4">
        <x:v>8</x:v>
      </x:c>
      <x:c r="K41" s="4">
        <x:v>8</x:v>
      </x:c>
      <x:c r="L41" s="4" t="n">
        <x:f>IFERROR(INDEX('楼层配置'!$D$5:$D$104,MATCH($K41,'楼层配置'!$B$5:$B$104,0)),"")</x:f>
        <x:v>38</x:v>
      </x:c>
      <x:c r="M41" s="4" t="str">
        <x:f>IFERROR(INDEX('_角色基线'!$B$2:$B$100,MATCH($B41,'_角色基线'!$A$2:$A$100,0)),"")</x:f>
        <x:v>陈双双</x:v>
      </x:c>
      <x:c r="N41" s="4" t="str">
        <x:f>IFERROR(INDEX('_角色基线'!$C$2:$C$100,MATCH($B41,'_角色基线'!$A$2:$A$100,0)),"")</x:f>
        <x:v>Support</x:v>
      </x:c>
      <x:c r="O41" s="4" t="n">
        <x:f>IFERROR(INDEX('_怪物基线'!$B$2:$B$501,MATCH(INT($L41),'_怪物基线'!$A$2:$A$501,0)),"")</x:f>
        <x:v>7481</x:v>
      </x:c>
      <x:c r="P41" s="4" t="n">
        <x:f>IFERROR(INDEX('_怪物基线'!$C$2:$C$501,MATCH(INT($L41),'_怪物基线'!$A$2:$A$501,0)),"")</x:f>
        <x:v>1963</x:v>
      </x:c>
      <x:c r="Q41" s="4" t="n">
        <x:f>IFERROR(INDEX('_怪物基线'!$D$2:$D$501,MATCH(INT($L41),'_怪物基线'!$A$2:$A$501,0)),"")</x:f>
        <x:v>2969</x:v>
      </x:c>
      <x:c r="R41" s="4" t="n">
        <x:f>'参数'!$B$10</x:f>
        <x:v>4</x:v>
      </x:c>
      <x:c r="S41" s="4" t="n">
        <x:f>'参数'!$C$10</x:f>
        <x:v>1.2</x:v>
      </x:c>
      <x:c r="T41" s="4" t="n">
        <x:f>'参数'!$D$10</x:f>
        <x:v>1</x:v>
      </x:c>
      <x:c r="U41" s="4" t="n">
        <x:f t="shared" si="0">IF($O41="","",$O41*$R41)</x:f>
        <x:v>29924</x:v>
      </x:c>
      <x:c r="V41" s="4" t="n">
        <x:f t="shared" si="1">IF($P41="","",$P41*$S41)</x:f>
        <x:v>2355.6</x:v>
      </x:c>
      <x:c r="W41" s="4" t="n">
        <x:f t="shared" si="2">IF($Q41="","",$Q41*$T41)</x:f>
        <x:v>2969</x:v>
      </x:c>
      <x:c r="X41" s="4" t="n">
        <x:f>IFERROR(INDEX('参数'!$B$5:$B$7,MATCH($N41,'参数'!$A$5:$A$7,0)),"")</x:f>
        <x:v>1.25</x:v>
      </x:c>
      <x:c r="Y41" s="4" t="n">
        <x:f>IFERROR(INDEX('参数'!$C$5:$C$7,MATCH($N41,'参数'!$A$5:$A$7,0)),"")</x:f>
        <x:v>1</x:v>
      </x:c>
      <x:c r="Z41" s="4" t="n">
        <x:f>IFERROR(INDEX('参数'!$D$5:$D$7,MATCH($N41,'参数'!$A$5:$A$7,0)),"")</x:f>
        <x:v>1.25</x:v>
      </x:c>
      <x:c r="AA41" s="4" t="n">
        <x:f>IFERROR(INDEX('楼层配置'!$E$5:$E$104,MATCH($K41,'楼层配置'!$B$5:$B$104,0)),1)</x:f>
        <x:v>1.0863731474625475</x:v>
      </x:c>
      <x:c r="AB41" s="4" t="n">
        <x:f>IFERROR(INDEX('楼层配置'!$F$5:$F$104,MATCH($K41,'楼层配置'!$B$5:$B$104,0)),1)</x:f>
        <x:v>0.7936705867295538</x:v>
      </x:c>
      <x:c r="AC41" s="4" t="n">
        <x:f>IFERROR(INDEX('楼层配置'!$G$5:$G$104,MATCH($K41,'楼层配置'!$B$5:$B$104,0)),1)</x:f>
        <x:v>1</x:v>
      </x:c>
      <x:c r="AD41" s="6" t="n">
        <x:f t="shared" si="3">IFERROR($D41/$G41-1,"")</x:f>
        <x:v>-0.22090570957475364</x:v>
      </x:c>
      <x:c r="AE41" s="6" t="n">
        <x:f t="shared" si="4">IFERROR($E41/$H41-1,"")</x:f>
        <x:v>-0.14767547857793983</x:v>
      </x:c>
      <x:c r="AF41" s="6" t="n">
        <x:f t="shared" si="5">IFERROR($F41/$I41-1,"")</x:f>
        <x:v>0.2618157089425366</x:v>
      </x:c>
      <x:c r="AG41" s="4" t="str">
        <x:f t="shared" si="6">IF(AND($A41&gt;=1,$L41&gt;=1,$L41&lt;=500,OR($N41="Tank",$N41="DPS",$N41="Support"),ISNUMBER($D41),ISNUMBER($E41),ISNUMBER($F41)),"有效","异常")</x:f>
        <x:v>有效</x:v>
      </x:c>
      <x:c r="AH41" t="n">
        <x:f>D41/(1-MIN(0.75,F41/(24000+F41)))</x:f>
        <x:v>46919.3415</x:v>
      </x:c>
    </x:row>
    <x:row r="42" ht="14.25" customHeight="1">
      <x:c r="A42" s="4">
        <x:v>38</x:v>
      </x:c>
      <x:c r="B42" s="4">
        <x:v>1015</x:v>
      </x:c>
      <x:c r="C42" s="4">
        <x:v>14</x:v>
      </x:c>
      <x:c r="D42" s="5" t="n">
        <x:f>IFERROR(ROUND($U42*$X42*$AA42*'参数'!$B$13,0),"")</x:f>
        <x:v>40636</x:v>
      </x:c>
      <x:c r="E42" s="5" t="n">
        <x:f>IFERROR(ROUND($V42*$Y42*$AB42*'参数'!$C$13,0),"")</x:f>
        <x:v>1870</x:v>
      </x:c>
      <x:c r="F42" s="5" t="n">
        <x:f>IFERROR(ROUND($W42*$Z42*$AC42*'参数'!$D$13,0),"")</x:f>
        <x:v>3711</x:v>
      </x:c>
      <x:c r="G42" s="4">
        <x:v>52158</x:v>
      </x:c>
      <x:c r="H42" s="4">
        <x:v>2194</x:v>
      </x:c>
      <x:c r="I42" s="4">
        <x:v>2941</x:v>
      </x:c>
      <x:c r="J42" s="4">
        <x:v>8</x:v>
      </x:c>
      <x:c r="K42" s="4">
        <x:v>8</x:v>
      </x:c>
      <x:c r="L42" s="4" t="n">
        <x:f>IFERROR(INDEX('楼层配置'!$D$5:$D$104,MATCH($K42,'楼层配置'!$B$5:$B$104,0)),"")</x:f>
        <x:v>38</x:v>
      </x:c>
      <x:c r="M42" s="4" t="str">
        <x:f>IFERROR(INDEX('_角色基线'!$B$2:$B$100,MATCH($B42,'_角色基线'!$A$2:$A$100,0)),"")</x:f>
        <x:v>阿莱克西娅</x:v>
      </x:c>
      <x:c r="N42" s="4" t="str">
        <x:f>IFERROR(INDEX('_角色基线'!$C$2:$C$100,MATCH($B42,'_角色基线'!$A$2:$A$100,0)),"")</x:f>
        <x:v>Support</x:v>
      </x:c>
      <x:c r="O42" s="4" t="n">
        <x:f>IFERROR(INDEX('_怪物基线'!$B$2:$B$501,MATCH(INT($L42),'_怪物基线'!$A$2:$A$501,0)),"")</x:f>
        <x:v>7481</x:v>
      </x:c>
      <x:c r="P42" s="4" t="n">
        <x:f>IFERROR(INDEX('_怪物基线'!$C$2:$C$501,MATCH(INT($L42),'_怪物基线'!$A$2:$A$501,0)),"")</x:f>
        <x:v>1963</x:v>
      </x:c>
      <x:c r="Q42" s="4" t="n">
        <x:f>IFERROR(INDEX('_怪物基线'!$D$2:$D$501,MATCH(INT($L42),'_怪物基线'!$A$2:$A$501,0)),"")</x:f>
        <x:v>2969</x:v>
      </x:c>
      <x:c r="R42" s="4" t="n">
        <x:f>'参数'!$B$10</x:f>
        <x:v>4</x:v>
      </x:c>
      <x:c r="S42" s="4" t="n">
        <x:f>'参数'!$C$10</x:f>
        <x:v>1.2</x:v>
      </x:c>
      <x:c r="T42" s="4" t="n">
        <x:f>'参数'!$D$10</x:f>
        <x:v>1</x:v>
      </x:c>
      <x:c r="U42" s="4" t="n">
        <x:f t="shared" si="0">IF($O42="","",$O42*$R42)</x:f>
        <x:v>29924</x:v>
      </x:c>
      <x:c r="V42" s="4" t="n">
        <x:f t="shared" si="1">IF($P42="","",$P42*$S42)</x:f>
        <x:v>2355.6</x:v>
      </x:c>
      <x:c r="W42" s="4" t="n">
        <x:f t="shared" si="2">IF($Q42="","",$Q42*$T42)</x:f>
        <x:v>2969</x:v>
      </x:c>
      <x:c r="X42" s="4" t="n">
        <x:f>IFERROR(INDEX('参数'!$B$5:$B$7,MATCH($N42,'参数'!$A$5:$A$7,0)),"")</x:f>
        <x:v>1.25</x:v>
      </x:c>
      <x:c r="Y42" s="4" t="n">
        <x:f>IFERROR(INDEX('参数'!$C$5:$C$7,MATCH($N42,'参数'!$A$5:$A$7,0)),"")</x:f>
        <x:v>1</x:v>
      </x:c>
      <x:c r="Z42" s="4" t="n">
        <x:f>IFERROR(INDEX('参数'!$D$5:$D$7,MATCH($N42,'参数'!$A$5:$A$7,0)),"")</x:f>
        <x:v>1.25</x:v>
      </x:c>
      <x:c r="AA42" s="4" t="n">
        <x:f>IFERROR(INDEX('楼层配置'!$E$5:$E$104,MATCH($K42,'楼层配置'!$B$5:$B$104,0)),1)</x:f>
        <x:v>1.0863731474625475</x:v>
      </x:c>
      <x:c r="AB42" s="4" t="n">
        <x:f>IFERROR(INDEX('楼层配置'!$F$5:$F$104,MATCH($K42,'楼层配置'!$B$5:$B$104,0)),1)</x:f>
        <x:v>0.7936705867295538</x:v>
      </x:c>
      <x:c r="AC42" s="4" t="n">
        <x:f>IFERROR(INDEX('楼层配置'!$G$5:$G$104,MATCH($K42,'楼层配置'!$B$5:$B$104,0)),1)</x:f>
        <x:v>1</x:v>
      </x:c>
      <x:c r="AD42" s="6" t="n">
        <x:f t="shared" si="3">IFERROR($D42/$G42-1,"")</x:f>
        <x:v>-0.22090570957475364</x:v>
      </x:c>
      <x:c r="AE42" s="6" t="n">
        <x:f t="shared" si="4">IFERROR($E42/$H42-1,"")</x:f>
        <x:v>-0.14767547857793983</x:v>
      </x:c>
      <x:c r="AF42" s="6" t="n">
        <x:f t="shared" si="5">IFERROR($F42/$I42-1,"")</x:f>
        <x:v>0.2618157089425366</x:v>
      </x:c>
      <x:c r="AG42" s="4" t="str">
        <x:f t="shared" si="6">IF(AND($A42&gt;=1,$L42&gt;=1,$L42&lt;=500,OR($N42="Tank",$N42="DPS",$N42="Support"),ISNUMBER($D42),ISNUMBER($E42),ISNUMBER($F42)),"有效","异常")</x:f>
        <x:v>有效</x:v>
      </x:c>
      <x:c r="AH42" t="n">
        <x:f>D42/(1-MIN(0.75,F42/(24000+F42)))</x:f>
        <x:v>46919.3415</x:v>
      </x:c>
    </x:row>
    <x:row r="43" ht="14.25" customHeight="1">
      <x:c r="A43" s="4">
        <x:v>39</x:v>
      </x:c>
      <x:c r="B43" s="4">
        <x:v>1018</x:v>
      </x:c>
      <x:c r="C43" s="4">
        <x:v>14</x:v>
      </x:c>
      <x:c r="D43" s="5" t="n">
        <x:f>IFERROR(ROUND($U43*$X43*$AA43*'参数'!$B$13,0),"")</x:f>
        <x:v>40636</x:v>
      </x:c>
      <x:c r="E43" s="5" t="n">
        <x:f>IFERROR(ROUND($V43*$Y43*$AB43*'参数'!$C$13,0),"")</x:f>
        <x:v>1870</x:v>
      </x:c>
      <x:c r="F43" s="5" t="n">
        <x:f>IFERROR(ROUND($W43*$Z43*$AC43*'参数'!$D$13,0),"")</x:f>
        <x:v>3711</x:v>
      </x:c>
      <x:c r="G43" s="4">
        <x:v>52158</x:v>
      </x:c>
      <x:c r="H43" s="4">
        <x:v>2194</x:v>
      </x:c>
      <x:c r="I43" s="4">
        <x:v>2941</x:v>
      </x:c>
      <x:c r="J43" s="4">
        <x:v>8</x:v>
      </x:c>
      <x:c r="K43" s="4">
        <x:v>8</x:v>
      </x:c>
      <x:c r="L43" s="4" t="n">
        <x:f>IFERROR(INDEX('楼层配置'!$D$5:$D$104,MATCH($K43,'楼层配置'!$B$5:$B$104,0)),"")</x:f>
        <x:v>38</x:v>
      </x:c>
      <x:c r="M43" s="4" t="str">
        <x:f>IFERROR(INDEX('_角色基线'!$B$2:$B$100,MATCH($B43,'_角色基线'!$A$2:$A$100,0)),"")</x:f>
        <x:v>埃莉诺</x:v>
      </x:c>
      <x:c r="N43" s="4" t="str">
        <x:f>IFERROR(INDEX('_角色基线'!$C$2:$C$100,MATCH($B43,'_角色基线'!$A$2:$A$100,0)),"")</x:f>
        <x:v>Support</x:v>
      </x:c>
      <x:c r="O43" s="4" t="n">
        <x:f>IFERROR(INDEX('_怪物基线'!$B$2:$B$501,MATCH(INT($L43),'_怪物基线'!$A$2:$A$501,0)),"")</x:f>
        <x:v>7481</x:v>
      </x:c>
      <x:c r="P43" s="4" t="n">
        <x:f>IFERROR(INDEX('_怪物基线'!$C$2:$C$501,MATCH(INT($L43),'_怪物基线'!$A$2:$A$501,0)),"")</x:f>
        <x:v>1963</x:v>
      </x:c>
      <x:c r="Q43" s="4" t="n">
        <x:f>IFERROR(INDEX('_怪物基线'!$D$2:$D$501,MATCH(INT($L43),'_怪物基线'!$A$2:$A$501,0)),"")</x:f>
        <x:v>2969</x:v>
      </x:c>
      <x:c r="R43" s="4" t="n">
        <x:f>'参数'!$B$10</x:f>
        <x:v>4</x:v>
      </x:c>
      <x:c r="S43" s="4" t="n">
        <x:f>'参数'!$C$10</x:f>
        <x:v>1.2</x:v>
      </x:c>
      <x:c r="T43" s="4" t="n">
        <x:f>'参数'!$D$10</x:f>
        <x:v>1</x:v>
      </x:c>
      <x:c r="U43" s="4" t="n">
        <x:f t="shared" si="0">IF($O43="","",$O43*$R43)</x:f>
        <x:v>29924</x:v>
      </x:c>
      <x:c r="V43" s="4" t="n">
        <x:f t="shared" si="1">IF($P43="","",$P43*$S43)</x:f>
        <x:v>2355.6</x:v>
      </x:c>
      <x:c r="W43" s="4" t="n">
        <x:f t="shared" si="2">IF($Q43="","",$Q43*$T43)</x:f>
        <x:v>2969</x:v>
      </x:c>
      <x:c r="X43" s="4" t="n">
        <x:f>IFERROR(INDEX('参数'!$B$5:$B$7,MATCH($N43,'参数'!$A$5:$A$7,0)),"")</x:f>
        <x:v>1.25</x:v>
      </x:c>
      <x:c r="Y43" s="4" t="n">
        <x:f>IFERROR(INDEX('参数'!$C$5:$C$7,MATCH($N43,'参数'!$A$5:$A$7,0)),"")</x:f>
        <x:v>1</x:v>
      </x:c>
      <x:c r="Z43" s="4" t="n">
        <x:f>IFERROR(INDEX('参数'!$D$5:$D$7,MATCH($N43,'参数'!$A$5:$A$7,0)),"")</x:f>
        <x:v>1.25</x:v>
      </x:c>
      <x:c r="AA43" s="4" t="n">
        <x:f>IFERROR(INDEX('楼层配置'!$E$5:$E$104,MATCH($K43,'楼层配置'!$B$5:$B$104,0)),1)</x:f>
        <x:v>1.0863731474625475</x:v>
      </x:c>
      <x:c r="AB43" s="4" t="n">
        <x:f>IFERROR(INDEX('楼层配置'!$F$5:$F$104,MATCH($K43,'楼层配置'!$B$5:$B$104,0)),1)</x:f>
        <x:v>0.7936705867295538</x:v>
      </x:c>
      <x:c r="AC43" s="4" t="n">
        <x:f>IFERROR(INDEX('楼层配置'!$G$5:$G$104,MATCH($K43,'楼层配置'!$B$5:$B$104,0)),1)</x:f>
        <x:v>1</x:v>
      </x:c>
      <x:c r="AD43" s="6" t="n">
        <x:f t="shared" si="3">IFERROR($D43/$G43-1,"")</x:f>
        <x:v>-0.22090570957475364</x:v>
      </x:c>
      <x:c r="AE43" s="6" t="n">
        <x:f t="shared" si="4">IFERROR($E43/$H43-1,"")</x:f>
        <x:v>-0.14767547857793983</x:v>
      </x:c>
      <x:c r="AF43" s="6" t="n">
        <x:f t="shared" si="5">IFERROR($F43/$I43-1,"")</x:f>
        <x:v>0.2618157089425366</x:v>
      </x:c>
      <x:c r="AG43" s="4" t="str">
        <x:f t="shared" si="6">IF(AND($A43&gt;=1,$L43&gt;=1,$L43&lt;=500,OR($N43="Tank",$N43="DPS",$N43="Support"),ISNUMBER($D43),ISNUMBER($E43),ISNUMBER($F43)),"有效","异常")</x:f>
        <x:v>有效</x:v>
      </x:c>
      <x:c r="AH43" t="n">
        <x:f>D43/(1-MIN(0.75,F43/(24000+F43)))</x:f>
        <x:v>46919.3415</x:v>
      </x:c>
    </x:row>
    <x:row r="44" ht="14.25" customHeight="1">
      <x:c r="A44" s="4">
        <x:v>40</x:v>
      </x:c>
      <x:c r="B44" s="4">
        <x:v>1040</x:v>
      </x:c>
      <x:c r="C44" s="4">
        <x:v>14</x:v>
      </x:c>
      <x:c r="D44" s="5" t="n">
        <x:f>IFERROR(ROUND($U44*$X44*$AA44*'参数'!$B$13,0),"")</x:f>
        <x:v>40636</x:v>
      </x:c>
      <x:c r="E44" s="5" t="n">
        <x:f>IFERROR(ROUND($V44*$Y44*$AB44*'参数'!$C$13,0),"")</x:f>
        <x:v>1870</x:v>
      </x:c>
      <x:c r="F44" s="5" t="n">
        <x:f>IFERROR(ROUND($W44*$Z44*$AC44*'参数'!$D$13,0),"")</x:f>
        <x:v>3711</x:v>
      </x:c>
      <x:c r="G44" s="4">
        <x:v>52158</x:v>
      </x:c>
      <x:c r="H44" s="4">
        <x:v>2194</x:v>
      </x:c>
      <x:c r="I44" s="4">
        <x:v>2941</x:v>
      </x:c>
      <x:c r="J44" s="4">
        <x:v>8</x:v>
      </x:c>
      <x:c r="K44" s="4">
        <x:v>8</x:v>
      </x:c>
      <x:c r="L44" s="4" t="n">
        <x:f>IFERROR(INDEX('楼层配置'!$D$5:$D$104,MATCH($K44,'楼层配置'!$B$5:$B$104,0)),"")</x:f>
        <x:v>38</x:v>
      </x:c>
      <x:c r="M44" s="4" t="str">
        <x:f>IFERROR(INDEX('_角色基线'!$B$2:$B$100,MATCH($B44,'_角色基线'!$A$2:$A$100,0)),"")</x:f>
        <x:v>小寒</x:v>
      </x:c>
      <x:c r="N44" s="4" t="str">
        <x:f>IFERROR(INDEX('_角色基线'!$C$2:$C$100,MATCH($B44,'_角色基线'!$A$2:$A$100,0)),"")</x:f>
        <x:v>Support</x:v>
      </x:c>
      <x:c r="O44" s="4" t="n">
        <x:f>IFERROR(INDEX('_怪物基线'!$B$2:$B$501,MATCH(INT($L44),'_怪物基线'!$A$2:$A$501,0)),"")</x:f>
        <x:v>7481</x:v>
      </x:c>
      <x:c r="P44" s="4" t="n">
        <x:f>IFERROR(INDEX('_怪物基线'!$C$2:$C$501,MATCH(INT($L44),'_怪物基线'!$A$2:$A$501,0)),"")</x:f>
        <x:v>1963</x:v>
      </x:c>
      <x:c r="Q44" s="4" t="n">
        <x:f>IFERROR(INDEX('_怪物基线'!$D$2:$D$501,MATCH(INT($L44),'_怪物基线'!$A$2:$A$501,0)),"")</x:f>
        <x:v>2969</x:v>
      </x:c>
      <x:c r="R44" s="4" t="n">
        <x:f>'参数'!$B$10</x:f>
        <x:v>4</x:v>
      </x:c>
      <x:c r="S44" s="4" t="n">
        <x:f>'参数'!$C$10</x:f>
        <x:v>1.2</x:v>
      </x:c>
      <x:c r="T44" s="4" t="n">
        <x:f>'参数'!$D$10</x:f>
        <x:v>1</x:v>
      </x:c>
      <x:c r="U44" s="4" t="n">
        <x:f t="shared" si="0">IF($O44="","",$O44*$R44)</x:f>
        <x:v>29924</x:v>
      </x:c>
      <x:c r="V44" s="4" t="n">
        <x:f t="shared" si="1">IF($P44="","",$P44*$S44)</x:f>
        <x:v>2355.6</x:v>
      </x:c>
      <x:c r="W44" s="4" t="n">
        <x:f t="shared" si="2">IF($Q44="","",$Q44*$T44)</x:f>
        <x:v>2969</x:v>
      </x:c>
      <x:c r="X44" s="4" t="n">
        <x:f>IFERROR(INDEX('参数'!$B$5:$B$7,MATCH($N44,'参数'!$A$5:$A$7,0)),"")</x:f>
        <x:v>1.25</x:v>
      </x:c>
      <x:c r="Y44" s="4" t="n">
        <x:f>IFERROR(INDEX('参数'!$C$5:$C$7,MATCH($N44,'参数'!$A$5:$A$7,0)),"")</x:f>
        <x:v>1</x:v>
      </x:c>
      <x:c r="Z44" s="4" t="n">
        <x:f>IFERROR(INDEX('参数'!$D$5:$D$7,MATCH($N44,'参数'!$A$5:$A$7,0)),"")</x:f>
        <x:v>1.25</x:v>
      </x:c>
      <x:c r="AA44" s="4" t="n">
        <x:f>IFERROR(INDEX('楼层配置'!$E$5:$E$104,MATCH($K44,'楼层配置'!$B$5:$B$104,0)),1)</x:f>
        <x:v>1.0863731474625475</x:v>
      </x:c>
      <x:c r="AB44" s="4" t="n">
        <x:f>IFERROR(INDEX('楼层配置'!$F$5:$F$104,MATCH($K44,'楼层配置'!$B$5:$B$104,0)),1)</x:f>
        <x:v>0.7936705867295538</x:v>
      </x:c>
      <x:c r="AC44" s="4" t="n">
        <x:f>IFERROR(INDEX('楼层配置'!$G$5:$G$104,MATCH($K44,'楼层配置'!$B$5:$B$104,0)),1)</x:f>
        <x:v>1</x:v>
      </x:c>
      <x:c r="AD44" s="6" t="n">
        <x:f t="shared" si="3">IFERROR($D44/$G44-1,"")</x:f>
        <x:v>-0.22090570957475364</x:v>
      </x:c>
      <x:c r="AE44" s="6" t="n">
        <x:f t="shared" si="4">IFERROR($E44/$H44-1,"")</x:f>
        <x:v>-0.14767547857793983</x:v>
      </x:c>
      <x:c r="AF44" s="6" t="n">
        <x:f t="shared" si="5">IFERROR($F44/$I44-1,"")</x:f>
        <x:v>0.2618157089425366</x:v>
      </x:c>
      <x:c r="AG44" s="4" t="str">
        <x:f t="shared" si="6">IF(AND($A44&gt;=1,$L44&gt;=1,$L44&lt;=500,OR($N44="Tank",$N44="DPS",$N44="Support"),ISNUMBER($D44),ISNUMBER($E44),ISNUMBER($F44)),"有效","异常")</x:f>
        <x:v>有效</x:v>
      </x:c>
      <x:c r="AH44" t="n">
        <x:f>D44/(1-MIN(0.75,F44/(24000+F44)))</x:f>
        <x:v>46919.3415</x:v>
      </x:c>
    </x:row>
    <x:row r="45" ht="14.25" customHeight="1">
      <x:c r="A45" s="4">
        <x:v>41</x:v>
      </x:c>
      <x:c r="B45" s="4">
        <x:v>1038</x:v>
      </x:c>
      <x:c r="C45" s="4">
        <x:v>14</x:v>
      </x:c>
      <x:c r="D45" s="5" t="n">
        <x:f>IFERROR(ROUND($U45*$X45*$AA45*'参数'!$B$13,0),"")</x:f>
        <x:v>57801</x:v>
      </x:c>
      <x:c r="E45" s="5" t="n">
        <x:f>IFERROR(ROUND($V45*$Y45*$AB45*'参数'!$C$13,0),"")</x:f>
        <x:v>2086</x:v>
      </x:c>
      <x:c r="F45" s="5" t="n">
        <x:f>IFERROR(ROUND($W45*$Z45*$AC45*'参数'!$D$13,0),"")</x:f>
        <x:v>4952</x:v>
      </x:c>
      <x:c r="G45" s="4">
        <x:v>71092</x:v>
      </x:c>
      <x:c r="H45" s="4">
        <x:v>2402</x:v>
      </x:c>
      <x:c r="I45" s="4">
        <x:v>3852</x:v>
      </x:c>
      <x:c r="J45" s="4">
        <x:v>9</x:v>
      </x:c>
      <x:c r="K45" s="4">
        <x:v>9</x:v>
      </x:c>
      <x:c r="L45" s="4" t="n">
        <x:f>IFERROR(INDEX('楼层配置'!$D$5:$D$104,MATCH($K45,'楼层配置'!$B$5:$B$104,0)),"")</x:f>
        <x:v>42</x:v>
      </x:c>
      <x:c r="M45" s="4" t="str">
        <x:f>IFERROR(INDEX('_角色基线'!$B$2:$B$100,MATCH($B45,'_角色基线'!$A$2:$A$100,0)),"")</x:f>
        <x:v>商队战斗员</x:v>
      </x:c>
      <x:c r="N45" s="4" t="str">
        <x:f>IFERROR(INDEX('_角色基线'!$C$2:$C$100,MATCH($B45,'_角色基线'!$A$2:$A$100,0)),"")</x:f>
        <x:v>Tank</x:v>
      </x:c>
      <x:c r="O45" s="4" t="n">
        <x:f>IFERROR(INDEX('_怪物基线'!$B$2:$B$501,MATCH(INT($L45),'_怪物基线'!$A$2:$A$501,0)),"")</x:f>
        <x:v>8698</x:v>
      </x:c>
      <x:c r="P45" s="4" t="n">
        <x:f>IFERROR(INDEX('_怪物基线'!$C$2:$C$501,MATCH(INT($L45),'_怪物基线'!$A$2:$A$501,0)),"")</x:f>
        <x:v>2206</x:v>
      </x:c>
      <x:c r="Q45" s="4" t="n">
        <x:f>IFERROR(INDEX('_怪物基线'!$D$2:$D$501,MATCH(INT($L45),'_怪物基线'!$A$2:$A$501,0)),"")</x:f>
        <x:v>3301</x:v>
      </x:c>
      <x:c r="R45" s="4" t="n">
        <x:f>'参数'!$B$10</x:f>
        <x:v>4</x:v>
      </x:c>
      <x:c r="S45" s="4" t="n">
        <x:f>'参数'!$C$10</x:f>
        <x:v>1.2</x:v>
      </x:c>
      <x:c r="T45" s="4" t="n">
        <x:f>'参数'!$D$10</x:f>
        <x:v>1</x:v>
      </x:c>
      <x:c r="U45" s="4" t="n">
        <x:f t="shared" si="0">IF($O45="","",$O45*$R45)</x:f>
        <x:v>34792</x:v>
      </x:c>
      <x:c r="V45" s="4" t="n">
        <x:f t="shared" si="1">IF($P45="","",$P45*$S45)</x:f>
        <x:v>2647.2</x:v>
      </x:c>
      <x:c r="W45" s="4" t="n">
        <x:f t="shared" si="2">IF($Q45="","",$Q45*$T45)</x:f>
        <x:v>3301</x:v>
      </x:c>
      <x:c r="X45" s="4" t="n">
        <x:f>IFERROR(INDEX('参数'!$B$5:$B$7,MATCH($N45,'参数'!$A$5:$A$7,0)),"")</x:f>
        <x:v>1.5</x:v>
      </x:c>
      <x:c r="Y45" s="4" t="n">
        <x:f>IFERROR(INDEX('参数'!$C$5:$C$7,MATCH($N45,'参数'!$A$5:$A$7,0)),"")</x:f>
        <x:v>1</x:v>
      </x:c>
      <x:c r="Z45" s="4" t="n">
        <x:f>IFERROR(INDEX('参数'!$D$5:$D$7,MATCH($N45,'参数'!$A$5:$A$7,0)),"")</x:f>
        <x:v>1.5</x:v>
      </x:c>
      <x:c r="AA45" s="4" t="n">
        <x:f>IFERROR(INDEX('楼层配置'!$E$5:$E$104,MATCH($K45,'楼层配置'!$B$5:$B$104,0)),1)</x:f>
        <x:v>1.1075471149797613</x:v>
      </x:c>
      <x:c r="AB45" s="4" t="n">
        <x:f>IFERROR(INDEX('楼层配置'!$F$5:$F$104,MATCH($K45,'楼层配置'!$B$5:$B$104,0)),1)</x:f>
        <x:v>0.7879483771432754</x:v>
      </x:c>
      <x:c r="AC45" s="4" t="n">
        <x:f>IFERROR(INDEX('楼层配置'!$G$5:$G$104,MATCH($K45,'楼层配置'!$B$5:$B$104,0)),1)</x:f>
        <x:v>1</x:v>
      </x:c>
      <x:c r="AD45" s="6" t="n">
        <x:f t="shared" si="3">IFERROR($D45/$G45-1,"")</x:f>
        <x:v>-0.18695493163787769</x:v>
      </x:c>
      <x:c r="AE45" s="6" t="n">
        <x:f t="shared" si="4">IFERROR($E45/$H45-1,"")</x:f>
        <x:v>-0.1315570358034971</x:v>
      </x:c>
      <x:c r="AF45" s="6" t="n">
        <x:f t="shared" si="5">IFERROR($F45/$I45-1,"")</x:f>
        <x:v>0.2855659397715473</x:v>
      </x:c>
      <x:c r="AG45" s="4" t="str">
        <x:f t="shared" si="6">IF(AND($A45&gt;=1,$L45&gt;=1,$L45&lt;=500,OR($N45="Tank",$N45="DPS",$N45="Support"),ISNUMBER($D45),ISNUMBER($E45),ISNUMBER($F45)),"有效","异常")</x:f>
        <x:v>有效</x:v>
      </x:c>
      <x:c r="AH45" t="n">
        <x:f>D45/(1-MIN(0.75,F45/(24000+F45)))</x:f>
        <x:v>69727.273</x:v>
      </x:c>
    </x:row>
    <x:row r="46" ht="14.25" customHeight="1">
      <x:c r="A46" s="4">
        <x:v>42</x:v>
      </x:c>
      <x:c r="B46" s="4">
        <x:v>1039</x:v>
      </x:c>
      <x:c r="C46" s="4">
        <x:v>14</x:v>
      </x:c>
      <x:c r="D46" s="5" t="n">
        <x:f>IFERROR(ROUND($U46*$X46*$AA46*'参数'!$B$13,0),"")</x:f>
        <x:v>38534</x:v>
      </x:c>
      <x:c r="E46" s="5" t="n">
        <x:f>IFERROR(ROUND($V46*$Y46*$AB46*'参数'!$C$13,0),"")</x:f>
        <x:v>2503</x:v>
      </x:c>
      <x:c r="F46" s="5" t="n">
        <x:f>IFERROR(ROUND($W46*$Z46*$AC46*'参数'!$D$13,0),"")</x:f>
        <x:v>3301</x:v>
      </x:c>
      <x:c r="G46" s="4">
        <x:v>47395</x:v>
      </x:c>
      <x:c r="H46" s="4">
        <x:v>2882</x:v>
      </x:c>
      <x:c r="I46" s="4">
        <x:v>2568</x:v>
      </x:c>
      <x:c r="J46" s="4">
        <x:v>9</x:v>
      </x:c>
      <x:c r="K46" s="4">
        <x:v>9</x:v>
      </x:c>
      <x:c r="L46" s="4" t="n">
        <x:f>IFERROR(INDEX('楼层配置'!$D$5:$D$104,MATCH($K46,'楼层配置'!$B$5:$B$104,0)),"")</x:f>
        <x:v>42</x:v>
      </x:c>
      <x:c r="M46" s="4" t="str">
        <x:f>IFERROR(INDEX('_角色基线'!$B$2:$B$100,MATCH($B46,'_角色基线'!$A$2:$A$100,0)),"")</x:f>
        <x:v>商队枪手</x:v>
      </x:c>
      <x:c r="N46" s="4" t="str">
        <x:f>IFERROR(INDEX('_角色基线'!$C$2:$C$100,MATCH($B46,'_角色基线'!$A$2:$A$100,0)),"")</x:f>
        <x:v>DPS</x:v>
      </x:c>
      <x:c r="O46" s="4" t="n">
        <x:f>IFERROR(INDEX('_怪物基线'!$B$2:$B$501,MATCH(INT($L46),'_怪物基线'!$A$2:$A$501,0)),"")</x:f>
        <x:v>8698</x:v>
      </x:c>
      <x:c r="P46" s="4" t="n">
        <x:f>IFERROR(INDEX('_怪物基线'!$C$2:$C$501,MATCH(INT($L46),'_怪物基线'!$A$2:$A$501,0)),"")</x:f>
        <x:v>2206</x:v>
      </x:c>
      <x:c r="Q46" s="4" t="n">
        <x:f>IFERROR(INDEX('_怪物基线'!$D$2:$D$501,MATCH(INT($L46),'_怪物基线'!$A$2:$A$501,0)),"")</x:f>
        <x:v>3301</x:v>
      </x:c>
      <x:c r="R46" s="4" t="n">
        <x:f>'参数'!$B$10</x:f>
        <x:v>4</x:v>
      </x:c>
      <x:c r="S46" s="4" t="n">
        <x:f>'参数'!$C$10</x:f>
        <x:v>1.2</x:v>
      </x:c>
      <x:c r="T46" s="4" t="n">
        <x:f>'参数'!$D$10</x:f>
        <x:v>1</x:v>
      </x:c>
      <x:c r="U46" s="4" t="n">
        <x:f t="shared" si="0">IF($O46="","",$O46*$R46)</x:f>
        <x:v>34792</x:v>
      </x:c>
      <x:c r="V46" s="4" t="n">
        <x:f t="shared" si="1">IF($P46="","",$P46*$S46)</x:f>
        <x:v>2647.2</x:v>
      </x:c>
      <x:c r="W46" s="4" t="n">
        <x:f t="shared" si="2">IF($Q46="","",$Q46*$T46)</x:f>
        <x:v>3301</x:v>
      </x:c>
      <x:c r="X46" s="4" t="n">
        <x:f>IFERROR(INDEX('参数'!$B$5:$B$7,MATCH($N46,'参数'!$A$5:$A$7,0)),"")</x:f>
        <x:v>1</x:v>
      </x:c>
      <x:c r="Y46" s="4" t="n">
        <x:f>IFERROR(INDEX('参数'!$C$5:$C$7,MATCH($N46,'参数'!$A$5:$A$7,0)),"")</x:f>
        <x:v>1.2</x:v>
      </x:c>
      <x:c r="Z46" s="4" t="n">
        <x:f>IFERROR(INDEX('参数'!$D$5:$D$7,MATCH($N46,'参数'!$A$5:$A$7,0)),"")</x:f>
        <x:v>1</x:v>
      </x:c>
      <x:c r="AA46" s="4" t="n">
        <x:f>IFERROR(INDEX('楼层配置'!$E$5:$E$104,MATCH($K46,'楼层配置'!$B$5:$B$104,0)),1)</x:f>
        <x:v>1.1075471149797613</x:v>
      </x:c>
      <x:c r="AB46" s="4" t="n">
        <x:f>IFERROR(INDEX('楼层配置'!$F$5:$F$104,MATCH($K46,'楼层配置'!$B$5:$B$104,0)),1)</x:f>
        <x:v>0.7879483771432754</x:v>
      </x:c>
      <x:c r="AC46" s="4" t="n">
        <x:f>IFERROR(INDEX('楼层配置'!$G$5:$G$104,MATCH($K46,'楼层配置'!$B$5:$B$104,0)),1)</x:f>
        <x:v>1</x:v>
      </x:c>
      <x:c r="AD46" s="6" t="n">
        <x:f t="shared" si="3">IFERROR($D46/$G46-1,"")</x:f>
        <x:v>-0.18696064985757987</x:v>
      </x:c>
      <x:c r="AE46" s="6" t="n">
        <x:f t="shared" si="4">IFERROR($E46/$H46-1,"")</x:f>
        <x:v>-0.13150589868147122</x:v>
      </x:c>
      <x:c r="AF46" s="6" t="n">
        <x:f t="shared" si="5">IFERROR($F46/$I46-1,"")</x:f>
        <x:v>0.28543613707165116</x:v>
      </x:c>
      <x:c r="AG46" s="4" t="str">
        <x:f t="shared" si="6">IF(AND($A46&gt;=1,$L46&gt;=1,$L46&lt;=500,OR($N46="Tank",$N46="DPS",$N46="Support"),ISNUMBER($D46),ISNUMBER($E46),ISNUMBER($F46)),"有效","异常")</x:f>
        <x:v>有效</x:v>
      </x:c>
      <x:c r="AH46" t="n">
        <x:f>D46/(1-MIN(0.75,F46/(24000+F46)))</x:f>
        <x:v>43834.03058333333</x:v>
      </x:c>
    </x:row>
    <x:row r="47" ht="14.25" customHeight="1">
      <x:c r="A47" s="4">
        <x:v>43</x:v>
      </x:c>
      <x:c r="B47" s="4">
        <x:v>1020</x:v>
      </x:c>
      <x:c r="C47" s="4">
        <x:v>14</x:v>
      </x:c>
      <x:c r="D47" s="5" t="n">
        <x:f>IFERROR(ROUND($U47*$X47*$AA47*'参数'!$B$13,0),"")</x:f>
        <x:v>48167</x:v>
      </x:c>
      <x:c r="E47" s="5" t="n">
        <x:f>IFERROR(ROUND($V47*$Y47*$AB47*'参数'!$C$13,0),"")</x:f>
        <x:v>2086</x:v>
      </x:c>
      <x:c r="F47" s="5" t="n">
        <x:f>IFERROR(ROUND($W47*$Z47*$AC47*'参数'!$D$13,0),"")</x:f>
        <x:v>4126</x:v>
      </x:c>
      <x:c r="G47" s="4">
        <x:v>59244</x:v>
      </x:c>
      <x:c r="H47" s="4">
        <x:v>2402</x:v>
      </x:c>
      <x:c r="I47" s="4">
        <x:v>3210</x:v>
      </x:c>
      <x:c r="J47" s="4">
        <x:v>9</x:v>
      </x:c>
      <x:c r="K47" s="4">
        <x:v>9</x:v>
      </x:c>
      <x:c r="L47" s="4" t="n">
        <x:f>IFERROR(INDEX('楼层配置'!$D$5:$D$104,MATCH($K47,'楼层配置'!$B$5:$B$104,0)),"")</x:f>
        <x:v>42</x:v>
      </x:c>
      <x:c r="M47" s="4" t="str">
        <x:f>IFERROR(INDEX('_角色基线'!$B$2:$B$100,MATCH($B47,'_角色基线'!$A$2:$A$100,0)),"")</x:f>
        <x:v>卡斯帕</x:v>
      </x:c>
      <x:c r="N47" s="4" t="str">
        <x:f>IFERROR(INDEX('_角色基线'!$C$2:$C$100,MATCH($B47,'_角色基线'!$A$2:$A$100,0)),"")</x:f>
        <x:v>Support</x:v>
      </x:c>
      <x:c r="O47" s="4" t="n">
        <x:f>IFERROR(INDEX('_怪物基线'!$B$2:$B$501,MATCH(INT($L47),'_怪物基线'!$A$2:$A$501,0)),"")</x:f>
        <x:v>8698</x:v>
      </x:c>
      <x:c r="P47" s="4" t="n">
        <x:f>IFERROR(INDEX('_怪物基线'!$C$2:$C$501,MATCH(INT($L47),'_怪物基线'!$A$2:$A$501,0)),"")</x:f>
        <x:v>2206</x:v>
      </x:c>
      <x:c r="Q47" s="4" t="n">
        <x:f>IFERROR(INDEX('_怪物基线'!$D$2:$D$501,MATCH(INT($L47),'_怪物基线'!$A$2:$A$501,0)),"")</x:f>
        <x:v>3301</x:v>
      </x:c>
      <x:c r="R47" s="4" t="n">
        <x:f>'参数'!$B$10</x:f>
        <x:v>4</x:v>
      </x:c>
      <x:c r="S47" s="4" t="n">
        <x:f>'参数'!$C$10</x:f>
        <x:v>1.2</x:v>
      </x:c>
      <x:c r="T47" s="4" t="n">
        <x:f>'参数'!$D$10</x:f>
        <x:v>1</x:v>
      </x:c>
      <x:c r="U47" s="4" t="n">
        <x:f t="shared" si="0">IF($O47="","",$O47*$R47)</x:f>
        <x:v>34792</x:v>
      </x:c>
      <x:c r="V47" s="4" t="n">
        <x:f t="shared" si="1">IF($P47="","",$P47*$S47)</x:f>
        <x:v>2647.2</x:v>
      </x:c>
      <x:c r="W47" s="4" t="n">
        <x:f t="shared" si="2">IF($Q47="","",$Q47*$T47)</x:f>
        <x:v>3301</x:v>
      </x:c>
      <x:c r="X47" s="4" t="n">
        <x:f>IFERROR(INDEX('参数'!$B$5:$B$7,MATCH($N47,'参数'!$A$5:$A$7,0)),"")</x:f>
        <x:v>1.25</x:v>
      </x:c>
      <x:c r="Y47" s="4" t="n">
        <x:f>IFERROR(INDEX('参数'!$C$5:$C$7,MATCH($N47,'参数'!$A$5:$A$7,0)),"")</x:f>
        <x:v>1</x:v>
      </x:c>
      <x:c r="Z47" s="4" t="n">
        <x:f>IFERROR(INDEX('参数'!$D$5:$D$7,MATCH($N47,'参数'!$A$5:$A$7,0)),"")</x:f>
        <x:v>1.25</x:v>
      </x:c>
      <x:c r="AA47" s="4" t="n">
        <x:f>IFERROR(INDEX('楼层配置'!$E$5:$E$104,MATCH($K47,'楼层配置'!$B$5:$B$104,0)),1)</x:f>
        <x:v>1.1075471149797613</x:v>
      </x:c>
      <x:c r="AB47" s="4" t="n">
        <x:f>IFERROR(INDEX('楼层配置'!$F$5:$F$104,MATCH($K47,'楼层配置'!$B$5:$B$104,0)),1)</x:f>
        <x:v>0.7879483771432754</x:v>
      </x:c>
      <x:c r="AC47" s="4" t="n">
        <x:f>IFERROR(INDEX('楼层配置'!$G$5:$G$104,MATCH($K47,'楼层配置'!$B$5:$B$104,0)),1)</x:f>
        <x:v>1</x:v>
      </x:c>
      <x:c r="AD47" s="6" t="n">
        <x:f t="shared" si="3">IFERROR($D47/$G47-1,"")</x:f>
        <x:v>-0.18697252042400914</x:v>
      </x:c>
      <x:c r="AE47" s="6" t="n">
        <x:f t="shared" si="4">IFERROR($E47/$H47-1,"")</x:f>
        <x:v>-0.1315570358034971</x:v>
      </x:c>
      <x:c r="AF47" s="6" t="n">
        <x:f t="shared" si="5">IFERROR($F47/$I47-1,"")</x:f>
        <x:v>0.28535825545171334</x:v>
      </x:c>
      <x:c r="AG47" s="4" t="str">
        <x:f t="shared" si="6">IF(AND($A47&gt;=1,$L47&gt;=1,$L47&lt;=500,OR($N47="Tank",$N47="DPS",$N47="Support"),ISNUMBER($D47),ISNUMBER($E47),ISNUMBER($F47)),"有效","异常")</x:f>
        <x:v>有效</x:v>
      </x:c>
      <x:c r="AH47" t="n">
        <x:f>D47/(1-MIN(0.75,F47/(24000+F47)))</x:f>
        <x:v>56447.71008333333</x:v>
      </x:c>
    </x:row>
    <x:row r="48" ht="14.25" customHeight="1">
      <x:c r="A48" s="4">
        <x:v>44</x:v>
      </x:c>
      <x:c r="B48" s="4">
        <x:v>1023</x:v>
      </x:c>
      <x:c r="C48" s="4">
        <x:v>14</x:v>
      </x:c>
      <x:c r="D48" s="5" t="n">
        <x:f>IFERROR(ROUND($U48*$X48*$AA48*'参数'!$B$13,0),"")</x:f>
        <x:v>48167</x:v>
      </x:c>
      <x:c r="E48" s="5" t="n">
        <x:f>IFERROR(ROUND($V48*$Y48*$AB48*'参数'!$C$13,0),"")</x:f>
        <x:v>2086</x:v>
      </x:c>
      <x:c r="F48" s="5" t="n">
        <x:f>IFERROR(ROUND($W48*$Z48*$AC48*'参数'!$D$13,0),"")</x:f>
        <x:v>4126</x:v>
      </x:c>
      <x:c r="G48" s="4">
        <x:v>59244</x:v>
      </x:c>
      <x:c r="H48" s="4">
        <x:v>2402</x:v>
      </x:c>
      <x:c r="I48" s="4">
        <x:v>3210</x:v>
      </x:c>
      <x:c r="J48" s="4">
        <x:v>9</x:v>
      </x:c>
      <x:c r="K48" s="4">
        <x:v>9</x:v>
      </x:c>
      <x:c r="L48" s="4" t="n">
        <x:f>IFERROR(INDEX('楼层配置'!$D$5:$D$104,MATCH($K48,'楼层配置'!$B$5:$B$104,0)),"")</x:f>
        <x:v>42</x:v>
      </x:c>
      <x:c r="M48" s="4" t="str">
        <x:f>IFERROR(INDEX('_角色基线'!$B$2:$B$100,MATCH($B48,'_角色基线'!$A$2:$A$100,0)),"")</x:f>
        <x:v>马克</x:v>
      </x:c>
      <x:c r="N48" s="4" t="str">
        <x:f>IFERROR(INDEX('_角色基线'!$C$2:$C$100,MATCH($B48,'_角色基线'!$A$2:$A$100,0)),"")</x:f>
        <x:v>Support</x:v>
      </x:c>
      <x:c r="O48" s="4" t="n">
        <x:f>IFERROR(INDEX('_怪物基线'!$B$2:$B$501,MATCH(INT($L48),'_怪物基线'!$A$2:$A$501,0)),"")</x:f>
        <x:v>8698</x:v>
      </x:c>
      <x:c r="P48" s="4" t="n">
        <x:f>IFERROR(INDEX('_怪物基线'!$C$2:$C$501,MATCH(INT($L48),'_怪物基线'!$A$2:$A$501,0)),"")</x:f>
        <x:v>2206</x:v>
      </x:c>
      <x:c r="Q48" s="4" t="n">
        <x:f>IFERROR(INDEX('_怪物基线'!$D$2:$D$501,MATCH(INT($L48),'_怪物基线'!$A$2:$A$501,0)),"")</x:f>
        <x:v>3301</x:v>
      </x:c>
      <x:c r="R48" s="4" t="n">
        <x:f>'参数'!$B$10</x:f>
        <x:v>4</x:v>
      </x:c>
      <x:c r="S48" s="4" t="n">
        <x:f>'参数'!$C$10</x:f>
        <x:v>1.2</x:v>
      </x:c>
      <x:c r="T48" s="4" t="n">
        <x:f>'参数'!$D$10</x:f>
        <x:v>1</x:v>
      </x:c>
      <x:c r="U48" s="4" t="n">
        <x:f t="shared" si="0">IF($O48="","",$O48*$R48)</x:f>
        <x:v>34792</x:v>
      </x:c>
      <x:c r="V48" s="4" t="n">
        <x:f t="shared" si="1">IF($P48="","",$P48*$S48)</x:f>
        <x:v>2647.2</x:v>
      </x:c>
      <x:c r="W48" s="4" t="n">
        <x:f t="shared" si="2">IF($Q48="","",$Q48*$T48)</x:f>
        <x:v>3301</x:v>
      </x:c>
      <x:c r="X48" s="4" t="n">
        <x:f>IFERROR(INDEX('参数'!$B$5:$B$7,MATCH($N48,'参数'!$A$5:$A$7,0)),"")</x:f>
        <x:v>1.25</x:v>
      </x:c>
      <x:c r="Y48" s="4" t="n">
        <x:f>IFERROR(INDEX('参数'!$C$5:$C$7,MATCH($N48,'参数'!$A$5:$A$7,0)),"")</x:f>
        <x:v>1</x:v>
      </x:c>
      <x:c r="Z48" s="4" t="n">
        <x:f>IFERROR(INDEX('参数'!$D$5:$D$7,MATCH($N48,'参数'!$A$5:$A$7,0)),"")</x:f>
        <x:v>1.25</x:v>
      </x:c>
      <x:c r="AA48" s="4" t="n">
        <x:f>IFERROR(INDEX('楼层配置'!$E$5:$E$104,MATCH($K48,'楼层配置'!$B$5:$B$104,0)),1)</x:f>
        <x:v>1.1075471149797613</x:v>
      </x:c>
      <x:c r="AB48" s="4" t="n">
        <x:f>IFERROR(INDEX('楼层配置'!$F$5:$F$104,MATCH($K48,'楼层配置'!$B$5:$B$104,0)),1)</x:f>
        <x:v>0.7879483771432754</x:v>
      </x:c>
      <x:c r="AC48" s="4" t="n">
        <x:f>IFERROR(INDEX('楼层配置'!$G$5:$G$104,MATCH($K48,'楼层配置'!$B$5:$B$104,0)),1)</x:f>
        <x:v>1</x:v>
      </x:c>
      <x:c r="AD48" s="6" t="n">
        <x:f t="shared" si="3">IFERROR($D48/$G48-1,"")</x:f>
        <x:v>-0.18697252042400914</x:v>
      </x:c>
      <x:c r="AE48" s="6" t="n">
        <x:f t="shared" si="4">IFERROR($E48/$H48-1,"")</x:f>
        <x:v>-0.1315570358034971</x:v>
      </x:c>
      <x:c r="AF48" s="6" t="n">
        <x:f t="shared" si="5">IFERROR($F48/$I48-1,"")</x:f>
        <x:v>0.28535825545171334</x:v>
      </x:c>
      <x:c r="AG48" s="4" t="str">
        <x:f t="shared" si="6">IF(AND($A48&gt;=1,$L48&gt;=1,$L48&lt;=500,OR($N48="Tank",$N48="DPS",$N48="Support"),ISNUMBER($D48),ISNUMBER($E48),ISNUMBER($F48)),"有效","异常")</x:f>
        <x:v>有效</x:v>
      </x:c>
      <x:c r="AH48" t="n">
        <x:f>D48/(1-MIN(0.75,F48/(24000+F48)))</x:f>
        <x:v>56447.71008333333</x:v>
      </x:c>
    </x:row>
    <x:row r="49" ht="14.25" customHeight="1">
      <x:c r="A49" s="4">
        <x:v>45</x:v>
      </x:c>
      <x:c r="B49" s="4">
        <x:v>1024</x:v>
      </x:c>
      <x:c r="C49" s="4">
        <x:v>14</x:v>
      </x:c>
      <x:c r="D49" s="5" t="n">
        <x:f>IFERROR(ROUND($U49*$X49*$AA49*'参数'!$B$13,0),"")</x:f>
        <x:v>38534</x:v>
      </x:c>
      <x:c r="E49" s="5" t="n">
        <x:f>IFERROR(ROUND($V49*$Y49*$AB49*'参数'!$C$13,0),"")</x:f>
        <x:v>2503</x:v>
      </x:c>
      <x:c r="F49" s="5" t="n">
        <x:f>IFERROR(ROUND($W49*$Z49*$AC49*'参数'!$D$13,0),"")</x:f>
        <x:v>3301</x:v>
      </x:c>
      <x:c r="G49" s="4">
        <x:v>47395</x:v>
      </x:c>
      <x:c r="H49" s="4">
        <x:v>2882</x:v>
      </x:c>
      <x:c r="I49" s="4">
        <x:v>2568</x:v>
      </x:c>
      <x:c r="J49" s="4">
        <x:v>9</x:v>
      </x:c>
      <x:c r="K49" s="4">
        <x:v>9</x:v>
      </x:c>
      <x:c r="L49" s="4" t="n">
        <x:f>IFERROR(INDEX('楼层配置'!$D$5:$D$104,MATCH($K49,'楼层配置'!$B$5:$B$104,0)),"")</x:f>
        <x:v>42</x:v>
      </x:c>
      <x:c r="M49" s="4" t="str">
        <x:f>IFERROR(INDEX('_角色基线'!$B$2:$B$100,MATCH($B49,'_角色基线'!$A$2:$A$100,0)),"")</x:f>
        <x:v>卡薇</x:v>
      </x:c>
      <x:c r="N49" s="4" t="str">
        <x:f>IFERROR(INDEX('_角色基线'!$C$2:$C$100,MATCH($B49,'_角色基线'!$A$2:$A$100,0)),"")</x:f>
        <x:v>DPS</x:v>
      </x:c>
      <x:c r="O49" s="4" t="n">
        <x:f>IFERROR(INDEX('_怪物基线'!$B$2:$B$501,MATCH(INT($L49),'_怪物基线'!$A$2:$A$501,0)),"")</x:f>
        <x:v>8698</x:v>
      </x:c>
      <x:c r="P49" s="4" t="n">
        <x:f>IFERROR(INDEX('_怪物基线'!$C$2:$C$501,MATCH(INT($L49),'_怪物基线'!$A$2:$A$501,0)),"")</x:f>
        <x:v>2206</x:v>
      </x:c>
      <x:c r="Q49" s="4" t="n">
        <x:f>IFERROR(INDEX('_怪物基线'!$D$2:$D$501,MATCH(INT($L49),'_怪物基线'!$A$2:$A$501,0)),"")</x:f>
        <x:v>3301</x:v>
      </x:c>
      <x:c r="R49" s="4" t="n">
        <x:f>'参数'!$B$10</x:f>
        <x:v>4</x:v>
      </x:c>
      <x:c r="S49" s="4" t="n">
        <x:f>'参数'!$C$10</x:f>
        <x:v>1.2</x:v>
      </x:c>
      <x:c r="T49" s="4" t="n">
        <x:f>'参数'!$D$10</x:f>
        <x:v>1</x:v>
      </x:c>
      <x:c r="U49" s="4" t="n">
        <x:f t="shared" si="0">IF($O49="","",$O49*$R49)</x:f>
        <x:v>34792</x:v>
      </x:c>
      <x:c r="V49" s="4" t="n">
        <x:f t="shared" si="1">IF($P49="","",$P49*$S49)</x:f>
        <x:v>2647.2</x:v>
      </x:c>
      <x:c r="W49" s="4" t="n">
        <x:f t="shared" si="2">IF($Q49="","",$Q49*$T49)</x:f>
        <x:v>3301</x:v>
      </x:c>
      <x:c r="X49" s="4" t="n">
        <x:f>IFERROR(INDEX('参数'!$B$5:$B$7,MATCH($N49,'参数'!$A$5:$A$7,0)),"")</x:f>
        <x:v>1</x:v>
      </x:c>
      <x:c r="Y49" s="4" t="n">
        <x:f>IFERROR(INDEX('参数'!$C$5:$C$7,MATCH($N49,'参数'!$A$5:$A$7,0)),"")</x:f>
        <x:v>1.2</x:v>
      </x:c>
      <x:c r="Z49" s="4" t="n">
        <x:f>IFERROR(INDEX('参数'!$D$5:$D$7,MATCH($N49,'参数'!$A$5:$A$7,0)),"")</x:f>
        <x:v>1</x:v>
      </x:c>
      <x:c r="AA49" s="4" t="n">
        <x:f>IFERROR(INDEX('楼层配置'!$E$5:$E$104,MATCH($K49,'楼层配置'!$B$5:$B$104,0)),1)</x:f>
        <x:v>1.1075471149797613</x:v>
      </x:c>
      <x:c r="AB49" s="4" t="n">
        <x:f>IFERROR(INDEX('楼层配置'!$F$5:$F$104,MATCH($K49,'楼层配置'!$B$5:$B$104,0)),1)</x:f>
        <x:v>0.7879483771432754</x:v>
      </x:c>
      <x:c r="AC49" s="4" t="n">
        <x:f>IFERROR(INDEX('楼层配置'!$G$5:$G$104,MATCH($K49,'楼层配置'!$B$5:$B$104,0)),1)</x:f>
        <x:v>1</x:v>
      </x:c>
      <x:c r="AD49" s="6" t="n">
        <x:f t="shared" si="3">IFERROR($D49/$G49-1,"")</x:f>
        <x:v>-0.18696064985757987</x:v>
      </x:c>
      <x:c r="AE49" s="6" t="n">
        <x:f t="shared" si="4">IFERROR($E49/$H49-1,"")</x:f>
        <x:v>-0.13150589868147122</x:v>
      </x:c>
      <x:c r="AF49" s="6" t="n">
        <x:f t="shared" si="5">IFERROR($F49/$I49-1,"")</x:f>
        <x:v>0.28543613707165116</x:v>
      </x:c>
      <x:c r="AG49" s="4" t="str">
        <x:f t="shared" si="6">IF(AND($A49&gt;=1,$L49&gt;=1,$L49&lt;=500,OR($N49="Tank",$N49="DPS",$N49="Support"),ISNUMBER($D49),ISNUMBER($E49),ISNUMBER($F49)),"有效","异常")</x:f>
        <x:v>有效</x:v>
      </x:c>
      <x:c r="AH49" t="n">
        <x:f>D49/(1-MIN(0.75,F49/(24000+F49)))</x:f>
        <x:v>43834.03058333333</x:v>
      </x:c>
    </x:row>
    <x:row r="50" ht="14.25" customHeight="1">
      <x:c r="A50" s="4">
        <x:v>46</x:v>
      </x:c>
      <x:c r="B50" s="4">
        <x:v>1007</x:v>
      </x:c>
      <x:c r="C50" s="4">
        <x:v>15</x:v>
      </x:c>
      <x:c r="D50" s="5" t="n">
        <x:f>IFERROR(ROUND($U50*$X50*$AA50*'参数'!$B$13,0),"")</x:f>
        <x:v>54706</x:v>
      </x:c>
      <x:c r="E50" s="5" t="n">
        <x:f>IFERROR(ROUND($V50*$Y50*$AB50*'参数'!$C$13,0),"")</x:f>
        <x:v>2253</x:v>
      </x:c>
      <x:c r="F50" s="5" t="n">
        <x:f>IFERROR(ROUND($W50*$Z50*$AC50*'参数'!$D$13,0),"")</x:f>
        <x:v>4440</x:v>
      </x:c>
      <x:c r="G50" s="4">
        <x:v>66792</x:v>
      </x:c>
      <x:c r="H50" s="4">
        <x:v>2615</x:v>
      </x:c>
      <x:c r="I50" s="4">
        <x:v>3482</x:v>
      </x:c>
      <x:c r="J50" s="4">
        <x:v>10</x:v>
      </x:c>
      <x:c r="K50" s="4">
        <x:v>10</x:v>
      </x:c>
      <x:c r="L50" s="4" t="n">
        <x:f>IFERROR(INDEX('楼层配置'!$D$5:$D$104,MATCH($K50,'楼层配置'!$B$5:$B$104,0)),"")</x:f>
        <x:v>45</x:v>
      </x:c>
      <x:c r="M50" s="4" t="str">
        <x:f>IFERROR(INDEX('_角色基线'!$B$2:$B$100,MATCH($B50,'_角色基线'!$A$2:$A$100,0)),"")</x:f>
        <x:v>萨萨莉安</x:v>
      </x:c>
      <x:c r="N50" s="4" t="str">
        <x:f>IFERROR(INDEX('_角色基线'!$C$2:$C$100,MATCH($B50,'_角色基线'!$A$2:$A$100,0)),"")</x:f>
        <x:v>Support</x:v>
      </x:c>
      <x:c r="O50" s="4" t="n">
        <x:f>IFERROR(INDEX('_怪物基线'!$B$2:$B$501,MATCH(INT($L50),'_怪物基线'!$A$2:$A$501,0)),"")</x:f>
        <x:v>9666</x:v>
      </x:c>
      <x:c r="P50" s="4" t="n">
        <x:f>IFERROR(INDEX('_怪物基线'!$C$2:$C$501,MATCH(INT($L50),'_怪物基线'!$A$2:$A$501,0)),"")</x:f>
        <x:v>2392</x:v>
      </x:c>
      <x:c r="Q50" s="4" t="n">
        <x:f>IFERROR(INDEX('_怪物基线'!$D$2:$D$501,MATCH(INT($L50),'_怪物基线'!$A$2:$A$501,0)),"")</x:f>
        <x:v>3552</x:v>
      </x:c>
      <x:c r="R50" s="4" t="n">
        <x:f>'参数'!$B$10</x:f>
        <x:v>4</x:v>
      </x:c>
      <x:c r="S50" s="4" t="n">
        <x:f>'参数'!$C$10</x:f>
        <x:v>1.2</x:v>
      </x:c>
      <x:c r="T50" s="4" t="n">
        <x:f>'参数'!$D$10</x:f>
        <x:v>1</x:v>
      </x:c>
      <x:c r="U50" s="4" t="n">
        <x:f t="shared" si="0">IF($O50="","",$O50*$R50)</x:f>
        <x:v>38664</x:v>
      </x:c>
      <x:c r="V50" s="4" t="n">
        <x:f t="shared" si="1">IF($P50="","",$P50*$S50)</x:f>
        <x:v>2870.4</x:v>
      </x:c>
      <x:c r="W50" s="4" t="n">
        <x:f t="shared" si="2">IF($Q50="","",$Q50*$T50)</x:f>
        <x:v>3552</x:v>
      </x:c>
      <x:c r="X50" s="4" t="n">
        <x:f>IFERROR(INDEX('参数'!$B$5:$B$7,MATCH($N50,'参数'!$A$5:$A$7,0)),"")</x:f>
        <x:v>1.25</x:v>
      </x:c>
      <x:c r="Y50" s="4" t="n">
        <x:f>IFERROR(INDEX('参数'!$C$5:$C$7,MATCH($N50,'参数'!$A$5:$A$7,0)),"")</x:f>
        <x:v>1</x:v>
      </x:c>
      <x:c r="Z50" s="4" t="n">
        <x:f>IFERROR(INDEX('参数'!$D$5:$D$7,MATCH($N50,'参数'!$A$5:$A$7,0)),"")</x:f>
        <x:v>1.25</x:v>
      </x:c>
      <x:c r="AA50" s="4" t="n">
        <x:f>IFERROR(INDEX('楼层配置'!$E$5:$E$104,MATCH($K50,'楼层配置'!$B$5:$B$104,0)),1)</x:f>
        <x:v>1.1319268358479748</x:v>
      </x:c>
      <x:c r="AB50" s="4" t="n">
        <x:f>IFERROR(INDEX('楼层配置'!$F$5:$F$104,MATCH($K50,'楼层配置'!$B$5:$B$104,0)),1)</x:f>
        <x:v>0.7850118757981474</x:v>
      </x:c>
      <x:c r="AC50" s="4" t="n">
        <x:f>IFERROR(INDEX('楼层配置'!$G$5:$G$104,MATCH($K50,'楼层配置'!$B$5:$B$104,0)),1)</x:f>
        <x:v>1</x:v>
      </x:c>
      <x:c r="AD50" s="6" t="n">
        <x:f t="shared" si="3">IFERROR($D50/$G50-1,"")</x:f>
        <x:v>-0.1809498143490238</x:v>
      </x:c>
      <x:c r="AE50" s="6" t="n">
        <x:f t="shared" si="4">IFERROR($E50/$H50-1,"")</x:f>
        <x:v>-0.13843212237093694</x:v>
      </x:c>
      <x:c r="AF50" s="6" t="n">
        <x:f t="shared" si="5">IFERROR($F50/$I50-1,"")</x:f>
        <x:v>0.2751292360712234</x:v>
      </x:c>
      <x:c r="AG50" s="4" t="str">
        <x:f t="shared" si="6">IF(AND($A50&gt;=1,$L50&gt;=1,$L50&lt;=500,OR($N50="Tank",$N50="DPS",$N50="Support"),ISNUMBER($D50),ISNUMBER($E50),ISNUMBER($F50)),"有效","异常")</x:f>
        <x:v>有效</x:v>
      </x:c>
      <x:c r="AH50" t="n">
        <x:f>D50/(1-MIN(0.75,F50/(24000+F50)))</x:f>
        <x:v>64826.61</x:v>
      </x:c>
    </x:row>
    <x:row r="51" ht="14.25" customHeight="1">
      <x:c r="A51" s="4">
        <x:v>47</x:v>
      </x:c>
      <x:c r="B51" s="4">
        <x:v>1005</x:v>
      </x:c>
      <x:c r="C51" s="4">
        <x:v>15</x:v>
      </x:c>
      <x:c r="D51" s="5" t="n">
        <x:f>IFERROR(ROUND($U51*$X51*$AA51*'参数'!$B$13,0),"")</x:f>
        <x:v>43765</x:v>
      </x:c>
      <x:c r="E51" s="5" t="n">
        <x:f>IFERROR(ROUND($V51*$Y51*$AB51*'参数'!$C$13,0),"")</x:f>
        <x:v>2704</x:v>
      </x:c>
      <x:c r="F51" s="5" t="n">
        <x:f>IFERROR(ROUND($W51*$Z51*$AC51*'参数'!$D$13,0),"")</x:f>
        <x:v>3552</x:v>
      </x:c>
      <x:c r="G51" s="4">
        <x:v>53433</x:v>
      </x:c>
      <x:c r="H51" s="4">
        <x:v>3138</x:v>
      </x:c>
      <x:c r="I51" s="4">
        <x:v>2785</x:v>
      </x:c>
      <x:c r="J51" s="4">
        <x:v>10</x:v>
      </x:c>
      <x:c r="K51" s="4">
        <x:v>10</x:v>
      </x:c>
      <x:c r="L51" s="4" t="n">
        <x:f>IFERROR(INDEX('楼层配置'!$D$5:$D$104,MATCH($K51,'楼层配置'!$B$5:$B$104,0)),"")</x:f>
        <x:v>45</x:v>
      </x:c>
      <x:c r="M51" s="4" t="str">
        <x:f>IFERROR(INDEX('_角色基线'!$B$2:$B$100,MATCH($B51,'_角色基线'!$A$2:$A$100,0)),"")</x:f>
        <x:v>陈单单</x:v>
      </x:c>
      <x:c r="N51" s="4" t="str">
        <x:f>IFERROR(INDEX('_角色基线'!$C$2:$C$100,MATCH($B51,'_角色基线'!$A$2:$A$100,0)),"")</x:f>
        <x:v>DPS</x:v>
      </x:c>
      <x:c r="O51" s="4" t="n">
        <x:f>IFERROR(INDEX('_怪物基线'!$B$2:$B$501,MATCH(INT($L51),'_怪物基线'!$A$2:$A$501,0)),"")</x:f>
        <x:v>9666</x:v>
      </x:c>
      <x:c r="P51" s="4" t="n">
        <x:f>IFERROR(INDEX('_怪物基线'!$C$2:$C$501,MATCH(INT($L51),'_怪物基线'!$A$2:$A$501,0)),"")</x:f>
        <x:v>2392</x:v>
      </x:c>
      <x:c r="Q51" s="4" t="n">
        <x:f>IFERROR(INDEX('_怪物基线'!$D$2:$D$501,MATCH(INT($L51),'_怪物基线'!$A$2:$A$501,0)),"")</x:f>
        <x:v>3552</x:v>
      </x:c>
      <x:c r="R51" s="4" t="n">
        <x:f>'参数'!$B$10</x:f>
        <x:v>4</x:v>
      </x:c>
      <x:c r="S51" s="4" t="n">
        <x:f>'参数'!$C$10</x:f>
        <x:v>1.2</x:v>
      </x:c>
      <x:c r="T51" s="4" t="n">
        <x:f>'参数'!$D$10</x:f>
        <x:v>1</x:v>
      </x:c>
      <x:c r="U51" s="4" t="n">
        <x:f t="shared" si="0">IF($O51="","",$O51*$R51)</x:f>
        <x:v>38664</x:v>
      </x:c>
      <x:c r="V51" s="4" t="n">
        <x:f t="shared" si="1">IF($P51="","",$P51*$S51)</x:f>
        <x:v>2870.4</x:v>
      </x:c>
      <x:c r="W51" s="4" t="n">
        <x:f t="shared" si="2">IF($Q51="","",$Q51*$T51)</x:f>
        <x:v>3552</x:v>
      </x:c>
      <x:c r="X51" s="4" t="n">
        <x:f>IFERROR(INDEX('参数'!$B$5:$B$7,MATCH($N51,'参数'!$A$5:$A$7,0)),"")</x:f>
        <x:v>1</x:v>
      </x:c>
      <x:c r="Y51" s="4" t="n">
        <x:f>IFERROR(INDEX('参数'!$C$5:$C$7,MATCH($N51,'参数'!$A$5:$A$7,0)),"")</x:f>
        <x:v>1.2</x:v>
      </x:c>
      <x:c r="Z51" s="4" t="n">
        <x:f>IFERROR(INDEX('参数'!$D$5:$D$7,MATCH($N51,'参数'!$A$5:$A$7,0)),"")</x:f>
        <x:v>1</x:v>
      </x:c>
      <x:c r="AA51" s="4" t="n">
        <x:f>IFERROR(INDEX('楼层配置'!$E$5:$E$104,MATCH($K51,'楼层配置'!$B$5:$B$104,0)),1)</x:f>
        <x:v>1.1319268358479748</x:v>
      </x:c>
      <x:c r="AB51" s="4" t="n">
        <x:f>IFERROR(INDEX('楼层配置'!$F$5:$F$104,MATCH($K51,'楼层配置'!$B$5:$B$104,0)),1)</x:f>
        <x:v>0.7850118757981474</x:v>
      </x:c>
      <x:c r="AC51" s="4" t="n">
        <x:f>IFERROR(INDEX('楼层配置'!$G$5:$G$104,MATCH($K51,'楼层配置'!$B$5:$B$104,0)),1)</x:f>
        <x:v>1</x:v>
      </x:c>
      <x:c r="AD51" s="6" t="n">
        <x:f t="shared" si="3">IFERROR($D51/$G51-1,"")</x:f>
        <x:v>-0.18093687421630822</x:v>
      </x:c>
      <x:c r="AE51" s="6" t="n">
        <x:f t="shared" si="4">IFERROR($E51/$H51-1,"")</x:f>
        <x:v>-0.1383046526449968</x:v>
      </x:c>
      <x:c r="AF51" s="6" t="n">
        <x:f t="shared" si="5">IFERROR($F51/$I51-1,"")</x:f>
        <x:v>0.27540394973070015</x:v>
      </x:c>
      <x:c r="AG51" s="4" t="str">
        <x:f t="shared" si="6">IF(AND($A51&gt;=1,$L51&gt;=1,$L51&lt;=500,OR($N51="Tank",$N51="DPS",$N51="Support"),ISNUMBER($D51),ISNUMBER($E51),ISNUMBER($F51)),"有效","异常")</x:f>
        <x:v>有效</x:v>
      </x:c>
      <x:c r="AH51" t="n">
        <x:f>D51/(1-MIN(0.75,F51/(24000+F51)))</x:f>
        <x:v>50242.22</x:v>
      </x:c>
    </x:row>
    <x:row r="52" ht="14.25" customHeight="1">
      <x:c r="A52" s="4">
        <x:v>48</x:v>
      </x:c>
      <x:c r="B52" s="4">
        <x:v>1005</x:v>
      </x:c>
      <x:c r="C52" s="4">
        <x:v>15</x:v>
      </x:c>
      <x:c r="D52" s="5" t="n">
        <x:f>IFERROR(ROUND($U52*$X52*$AA52*'参数'!$B$13,0),"")</x:f>
        <x:v>43765</x:v>
      </x:c>
      <x:c r="E52" s="5" t="n">
        <x:f>IFERROR(ROUND($V52*$Y52*$AB52*'参数'!$C$13,0),"")</x:f>
        <x:v>2704</x:v>
      </x:c>
      <x:c r="F52" s="5" t="n">
        <x:f>IFERROR(ROUND($W52*$Z52*$AC52*'参数'!$D$13,0),"")</x:f>
        <x:v>3552</x:v>
      </x:c>
      <x:c r="G52" s="4">
        <x:v>53433</x:v>
      </x:c>
      <x:c r="H52" s="4">
        <x:v>3138</x:v>
      </x:c>
      <x:c r="I52" s="4">
        <x:v>2785</x:v>
      </x:c>
      <x:c r="J52" s="4">
        <x:v>10</x:v>
      </x:c>
      <x:c r="K52" s="4">
        <x:v>10</x:v>
      </x:c>
      <x:c r="L52" s="4" t="n">
        <x:f>IFERROR(INDEX('楼层配置'!$D$5:$D$104,MATCH($K52,'楼层配置'!$B$5:$B$104,0)),"")</x:f>
        <x:v>45</x:v>
      </x:c>
      <x:c r="M52" s="4" t="str">
        <x:f>IFERROR(INDEX('_角色基线'!$B$2:$B$100,MATCH($B52,'_角色基线'!$A$2:$A$100,0)),"")</x:f>
        <x:v>陈单单</x:v>
      </x:c>
      <x:c r="N52" s="4" t="str">
        <x:f>IFERROR(INDEX('_角色基线'!$C$2:$C$100,MATCH($B52,'_角色基线'!$A$2:$A$100,0)),"")</x:f>
        <x:v>DPS</x:v>
      </x:c>
      <x:c r="O52" s="4" t="n">
        <x:f>IFERROR(INDEX('_怪物基线'!$B$2:$B$501,MATCH(INT($L52),'_怪物基线'!$A$2:$A$501,0)),"")</x:f>
        <x:v>9666</x:v>
      </x:c>
      <x:c r="P52" s="4" t="n">
        <x:f>IFERROR(INDEX('_怪物基线'!$C$2:$C$501,MATCH(INT($L52),'_怪物基线'!$A$2:$A$501,0)),"")</x:f>
        <x:v>2392</x:v>
      </x:c>
      <x:c r="Q52" s="4" t="n">
        <x:f>IFERROR(INDEX('_怪物基线'!$D$2:$D$501,MATCH(INT($L52),'_怪物基线'!$A$2:$A$501,0)),"")</x:f>
        <x:v>3552</x:v>
      </x:c>
      <x:c r="R52" s="4" t="n">
        <x:f>'参数'!$B$10</x:f>
        <x:v>4</x:v>
      </x:c>
      <x:c r="S52" s="4" t="n">
        <x:f>'参数'!$C$10</x:f>
        <x:v>1.2</x:v>
      </x:c>
      <x:c r="T52" s="4" t="n">
        <x:f>'参数'!$D$10</x:f>
        <x:v>1</x:v>
      </x:c>
      <x:c r="U52" s="4" t="n">
        <x:f t="shared" si="0">IF($O52="","",$O52*$R52)</x:f>
        <x:v>38664</x:v>
      </x:c>
      <x:c r="V52" s="4" t="n">
        <x:f t="shared" si="1">IF($P52="","",$P52*$S52)</x:f>
        <x:v>2870.4</x:v>
      </x:c>
      <x:c r="W52" s="4" t="n">
        <x:f t="shared" si="2">IF($Q52="","",$Q52*$T52)</x:f>
        <x:v>3552</x:v>
      </x:c>
      <x:c r="X52" s="4" t="n">
        <x:f>IFERROR(INDEX('参数'!$B$5:$B$7,MATCH($N52,'参数'!$A$5:$A$7,0)),"")</x:f>
        <x:v>1</x:v>
      </x:c>
      <x:c r="Y52" s="4" t="n">
        <x:f>IFERROR(INDEX('参数'!$C$5:$C$7,MATCH($N52,'参数'!$A$5:$A$7,0)),"")</x:f>
        <x:v>1.2</x:v>
      </x:c>
      <x:c r="Z52" s="4" t="n">
        <x:f>IFERROR(INDEX('参数'!$D$5:$D$7,MATCH($N52,'参数'!$A$5:$A$7,0)),"")</x:f>
        <x:v>1</x:v>
      </x:c>
      <x:c r="AA52" s="4" t="n">
        <x:f>IFERROR(INDEX('楼层配置'!$E$5:$E$104,MATCH($K52,'楼层配置'!$B$5:$B$104,0)),1)</x:f>
        <x:v>1.1319268358479748</x:v>
      </x:c>
      <x:c r="AB52" s="4" t="n">
        <x:f>IFERROR(INDEX('楼层配置'!$F$5:$F$104,MATCH($K52,'楼层配置'!$B$5:$B$104,0)),1)</x:f>
        <x:v>0.7850118757981474</x:v>
      </x:c>
      <x:c r="AC52" s="4" t="n">
        <x:f>IFERROR(INDEX('楼层配置'!$G$5:$G$104,MATCH($K52,'楼层配置'!$B$5:$B$104,0)),1)</x:f>
        <x:v>1</x:v>
      </x:c>
      <x:c r="AD52" s="6" t="n">
        <x:f t="shared" si="3">IFERROR($D52/$G52-1,"")</x:f>
        <x:v>-0.18093687421630822</x:v>
      </x:c>
      <x:c r="AE52" s="6" t="n">
        <x:f t="shared" si="4">IFERROR($E52/$H52-1,"")</x:f>
        <x:v>-0.1383046526449968</x:v>
      </x:c>
      <x:c r="AF52" s="6" t="n">
        <x:f t="shared" si="5">IFERROR($F52/$I52-1,"")</x:f>
        <x:v>0.27540394973070015</x:v>
      </x:c>
      <x:c r="AG52" s="4" t="str">
        <x:f t="shared" si="6">IF(AND($A52&gt;=1,$L52&gt;=1,$L52&lt;=500,OR($N52="Tank",$N52="DPS",$N52="Support"),ISNUMBER($D52),ISNUMBER($E52),ISNUMBER($F52)),"有效","异常")</x:f>
        <x:v>有效</x:v>
      </x:c>
      <x:c r="AH52" t="n">
        <x:f>D52/(1-MIN(0.75,F52/(24000+F52)))</x:f>
        <x:v>50242.22</x:v>
      </x:c>
    </x:row>
    <x:row r="53" ht="14.25" customHeight="1">
      <x:c r="A53" s="4">
        <x:v>49</x:v>
      </x:c>
      <x:c r="B53" s="4">
        <x:v>1005</x:v>
      </x:c>
      <x:c r="C53" s="4">
        <x:v>15</x:v>
      </x:c>
      <x:c r="D53" s="5" t="n">
        <x:f>IFERROR(ROUND($U53*$X53*$AA53*'参数'!$B$13,0),"")</x:f>
        <x:v>43765</x:v>
      </x:c>
      <x:c r="E53" s="5" t="n">
        <x:f>IFERROR(ROUND($V53*$Y53*$AB53*'参数'!$C$13,0),"")</x:f>
        <x:v>2704</x:v>
      </x:c>
      <x:c r="F53" s="5" t="n">
        <x:f>IFERROR(ROUND($W53*$Z53*$AC53*'参数'!$D$13,0),"")</x:f>
        <x:v>3552</x:v>
      </x:c>
      <x:c r="G53" s="4">
        <x:v>53433</x:v>
      </x:c>
      <x:c r="H53" s="4">
        <x:v>3138</x:v>
      </x:c>
      <x:c r="I53" s="4">
        <x:v>2785</x:v>
      </x:c>
      <x:c r="J53" s="4">
        <x:v>10</x:v>
      </x:c>
      <x:c r="K53" s="4">
        <x:v>10</x:v>
      </x:c>
      <x:c r="L53" s="4" t="n">
        <x:f>IFERROR(INDEX('楼层配置'!$D$5:$D$104,MATCH($K53,'楼层配置'!$B$5:$B$104,0)),"")</x:f>
        <x:v>45</x:v>
      </x:c>
      <x:c r="M53" s="4" t="str">
        <x:f>IFERROR(INDEX('_角色基线'!$B$2:$B$100,MATCH($B53,'_角色基线'!$A$2:$A$100,0)),"")</x:f>
        <x:v>陈单单</x:v>
      </x:c>
      <x:c r="N53" s="4" t="str">
        <x:f>IFERROR(INDEX('_角色基线'!$C$2:$C$100,MATCH($B53,'_角色基线'!$A$2:$A$100,0)),"")</x:f>
        <x:v>DPS</x:v>
      </x:c>
      <x:c r="O53" s="4" t="n">
        <x:f>IFERROR(INDEX('_怪物基线'!$B$2:$B$501,MATCH(INT($L53),'_怪物基线'!$A$2:$A$501,0)),"")</x:f>
        <x:v>9666</x:v>
      </x:c>
      <x:c r="P53" s="4" t="n">
        <x:f>IFERROR(INDEX('_怪物基线'!$C$2:$C$501,MATCH(INT($L53),'_怪物基线'!$A$2:$A$501,0)),"")</x:f>
        <x:v>2392</x:v>
      </x:c>
      <x:c r="Q53" s="4" t="n">
        <x:f>IFERROR(INDEX('_怪物基线'!$D$2:$D$501,MATCH(INT($L53),'_怪物基线'!$A$2:$A$501,0)),"")</x:f>
        <x:v>3552</x:v>
      </x:c>
      <x:c r="R53" s="4" t="n">
        <x:f>'参数'!$B$10</x:f>
        <x:v>4</x:v>
      </x:c>
      <x:c r="S53" s="4" t="n">
        <x:f>'参数'!$C$10</x:f>
        <x:v>1.2</x:v>
      </x:c>
      <x:c r="T53" s="4" t="n">
        <x:f>'参数'!$D$10</x:f>
        <x:v>1</x:v>
      </x:c>
      <x:c r="U53" s="4" t="n">
        <x:f t="shared" si="0">IF($O53="","",$O53*$R53)</x:f>
        <x:v>38664</x:v>
      </x:c>
      <x:c r="V53" s="4" t="n">
        <x:f t="shared" si="1">IF($P53="","",$P53*$S53)</x:f>
        <x:v>2870.4</x:v>
      </x:c>
      <x:c r="W53" s="4" t="n">
        <x:f t="shared" si="2">IF($Q53="","",$Q53*$T53)</x:f>
        <x:v>3552</x:v>
      </x:c>
      <x:c r="X53" s="4" t="n">
        <x:f>IFERROR(INDEX('参数'!$B$5:$B$7,MATCH($N53,'参数'!$A$5:$A$7,0)),"")</x:f>
        <x:v>1</x:v>
      </x:c>
      <x:c r="Y53" s="4" t="n">
        <x:f>IFERROR(INDEX('参数'!$C$5:$C$7,MATCH($N53,'参数'!$A$5:$A$7,0)),"")</x:f>
        <x:v>1.2</x:v>
      </x:c>
      <x:c r="Z53" s="4" t="n">
        <x:f>IFERROR(INDEX('参数'!$D$5:$D$7,MATCH($N53,'参数'!$A$5:$A$7,0)),"")</x:f>
        <x:v>1</x:v>
      </x:c>
      <x:c r="AA53" s="4" t="n">
        <x:f>IFERROR(INDEX('楼层配置'!$E$5:$E$104,MATCH($K53,'楼层配置'!$B$5:$B$104,0)),1)</x:f>
        <x:v>1.1319268358479748</x:v>
      </x:c>
      <x:c r="AB53" s="4" t="n">
        <x:f>IFERROR(INDEX('楼层配置'!$F$5:$F$104,MATCH($K53,'楼层配置'!$B$5:$B$104,0)),1)</x:f>
        <x:v>0.7850118757981474</x:v>
      </x:c>
      <x:c r="AC53" s="4" t="n">
        <x:f>IFERROR(INDEX('楼层配置'!$G$5:$G$104,MATCH($K53,'楼层配置'!$B$5:$B$104,0)),1)</x:f>
        <x:v>1</x:v>
      </x:c>
      <x:c r="AD53" s="6" t="n">
        <x:f t="shared" si="3">IFERROR($D53/$G53-1,"")</x:f>
        <x:v>-0.18093687421630822</x:v>
      </x:c>
      <x:c r="AE53" s="6" t="n">
        <x:f t="shared" si="4">IFERROR($E53/$H53-1,"")</x:f>
        <x:v>-0.1383046526449968</x:v>
      </x:c>
      <x:c r="AF53" s="6" t="n">
        <x:f t="shared" si="5">IFERROR($F53/$I53-1,"")</x:f>
        <x:v>0.27540394973070015</x:v>
      </x:c>
      <x:c r="AG53" s="4" t="str">
        <x:f t="shared" si="6">IF(AND($A53&gt;=1,$L53&gt;=1,$L53&lt;=500,OR($N53="Tank",$N53="DPS",$N53="Support"),ISNUMBER($D53),ISNUMBER($E53),ISNUMBER($F53)),"有效","异常")</x:f>
        <x:v>有效</x:v>
      </x:c>
      <x:c r="AH53" t="n">
        <x:f>D53/(1-MIN(0.75,F53/(24000+F53)))</x:f>
        <x:v>50242.22</x:v>
      </x:c>
    </x:row>
    <x:row r="54" ht="14.25" customHeight="1">
      <x:c r="A54" s="4">
        <x:v>50</x:v>
      </x:c>
      <x:c r="B54" s="4">
        <x:v>1029</x:v>
      </x:c>
      <x:c r="C54" s="4">
        <x:v>15</x:v>
      </x:c>
      <x:c r="D54" s="5" t="n">
        <x:f>IFERROR(ROUND($U54*$X54*$AA54*'参数'!$B$13,0),"")</x:f>
        <x:v>54706</x:v>
      </x:c>
      <x:c r="E54" s="5" t="n">
        <x:f>IFERROR(ROUND($V54*$Y54*$AB54*'参数'!$C$13,0),"")</x:f>
        <x:v>2253</x:v>
      </x:c>
      <x:c r="F54" s="5" t="n">
        <x:f>IFERROR(ROUND($W54*$Z54*$AC54*'参数'!$D$13,0),"")</x:f>
        <x:v>4440</x:v>
      </x:c>
      <x:c r="G54" s="4">
        <x:v>66792</x:v>
      </x:c>
      <x:c r="H54" s="4">
        <x:v>2615</x:v>
      </x:c>
      <x:c r="I54" s="4">
        <x:v>3482</x:v>
      </x:c>
      <x:c r="J54" s="4">
        <x:v>10</x:v>
      </x:c>
      <x:c r="K54" s="4">
        <x:v>10</x:v>
      </x:c>
      <x:c r="L54" s="4" t="n">
        <x:f>IFERROR(INDEX('楼层配置'!$D$5:$D$104,MATCH($K54,'楼层配置'!$B$5:$B$104,0)),"")</x:f>
        <x:v>45</x:v>
      </x:c>
      <x:c r="M54" s="4" t="str">
        <x:f>IFERROR(INDEX('_角色基线'!$B$2:$B$100,MATCH($B54,'_角色基线'!$A$2:$A$100,0)),"")</x:f>
        <x:v>凯兰</x:v>
      </x:c>
      <x:c r="N54" s="4" t="str">
        <x:f>IFERROR(INDEX('_角色基线'!$C$2:$C$100,MATCH($B54,'_角色基线'!$A$2:$A$100,0)),"")</x:f>
        <x:v>Support</x:v>
      </x:c>
      <x:c r="O54" s="4" t="n">
        <x:f>IFERROR(INDEX('_怪物基线'!$B$2:$B$501,MATCH(INT($L54),'_怪物基线'!$A$2:$A$501,0)),"")</x:f>
        <x:v>9666</x:v>
      </x:c>
      <x:c r="P54" s="4" t="n">
        <x:f>IFERROR(INDEX('_怪物基线'!$C$2:$C$501,MATCH(INT($L54),'_怪物基线'!$A$2:$A$501,0)),"")</x:f>
        <x:v>2392</x:v>
      </x:c>
      <x:c r="Q54" s="4" t="n">
        <x:f>IFERROR(INDEX('_怪物基线'!$D$2:$D$501,MATCH(INT($L54),'_怪物基线'!$A$2:$A$501,0)),"")</x:f>
        <x:v>3552</x:v>
      </x:c>
      <x:c r="R54" s="4" t="n">
        <x:f>'参数'!$B$10</x:f>
        <x:v>4</x:v>
      </x:c>
      <x:c r="S54" s="4" t="n">
        <x:f>'参数'!$C$10</x:f>
        <x:v>1.2</x:v>
      </x:c>
      <x:c r="T54" s="4" t="n">
        <x:f>'参数'!$D$10</x:f>
        <x:v>1</x:v>
      </x:c>
      <x:c r="U54" s="4" t="n">
        <x:f t="shared" si="0">IF($O54="","",$O54*$R54)</x:f>
        <x:v>38664</x:v>
      </x:c>
      <x:c r="V54" s="4" t="n">
        <x:f t="shared" si="1">IF($P54="","",$P54*$S54)</x:f>
        <x:v>2870.4</x:v>
      </x:c>
      <x:c r="W54" s="4" t="n">
        <x:f t="shared" si="2">IF($Q54="","",$Q54*$T54)</x:f>
        <x:v>3552</x:v>
      </x:c>
      <x:c r="X54" s="4" t="n">
        <x:f>IFERROR(INDEX('参数'!$B$5:$B$7,MATCH($N54,'参数'!$A$5:$A$7,0)),"")</x:f>
        <x:v>1.25</x:v>
      </x:c>
      <x:c r="Y54" s="4" t="n">
        <x:f>IFERROR(INDEX('参数'!$C$5:$C$7,MATCH($N54,'参数'!$A$5:$A$7,0)),"")</x:f>
        <x:v>1</x:v>
      </x:c>
      <x:c r="Z54" s="4" t="n">
        <x:f>IFERROR(INDEX('参数'!$D$5:$D$7,MATCH($N54,'参数'!$A$5:$A$7,0)),"")</x:f>
        <x:v>1.25</x:v>
      </x:c>
      <x:c r="AA54" s="4" t="n">
        <x:f>IFERROR(INDEX('楼层配置'!$E$5:$E$104,MATCH($K54,'楼层配置'!$B$5:$B$104,0)),1)</x:f>
        <x:v>1.1319268358479748</x:v>
      </x:c>
      <x:c r="AB54" s="4" t="n">
        <x:f>IFERROR(INDEX('楼层配置'!$F$5:$F$104,MATCH($K54,'楼层配置'!$B$5:$B$104,0)),1)</x:f>
        <x:v>0.7850118757981474</x:v>
      </x:c>
      <x:c r="AC54" s="4" t="n">
        <x:f>IFERROR(INDEX('楼层配置'!$G$5:$G$104,MATCH($K54,'楼层配置'!$B$5:$B$104,0)),1)</x:f>
        <x:v>1</x:v>
      </x:c>
      <x:c r="AD54" s="6" t="n">
        <x:f t="shared" si="3">IFERROR($D54/$G54-1,"")</x:f>
        <x:v>-0.1809498143490238</x:v>
      </x:c>
      <x:c r="AE54" s="6" t="n">
        <x:f t="shared" si="4">IFERROR($E54/$H54-1,"")</x:f>
        <x:v>-0.13843212237093694</x:v>
      </x:c>
      <x:c r="AF54" s="6" t="n">
        <x:f t="shared" si="5">IFERROR($F54/$I54-1,"")</x:f>
        <x:v>0.2751292360712234</x:v>
      </x:c>
      <x:c r="AG54" s="4" t="str">
        <x:f t="shared" si="6">IF(AND($A54&gt;=1,$L54&gt;=1,$L54&lt;=500,OR($N54="Tank",$N54="DPS",$N54="Support"),ISNUMBER($D54),ISNUMBER($E54),ISNUMBER($F54)),"有效","异常")</x:f>
        <x:v>有效</x:v>
      </x:c>
      <x:c r="AH54" t="n">
        <x:f>D54/(1-MIN(0.75,F54/(24000+F54)))</x:f>
        <x:v>64826.61</x:v>
      </x:c>
    </x:row>
    <x:row r="55" ht="14.25" customHeight="1">
      <x:c r="A55" s="4">
        <x:v>51</x:v>
      </x:c>
      <x:c r="B55" s="4">
        <x:v>1012</x:v>
      </x:c>
      <x:c r="C55" s="4">
        <x:v>15</x:v>
      </x:c>
      <x:c r="D55" s="5" t="n">
        <x:f>IFERROR(ROUND($U55*$X55*$AA55*'参数'!$B$13,0),"")</x:f>
        <x:v>62351</x:v>
      </x:c>
      <x:c r="E55" s="5" t="n">
        <x:f>IFERROR(ROUND($V55*$Y55*$AB55*'参数'!$C$13,0),"")</x:f>
        <x:v>2457</x:v>
      </x:c>
      <x:c r="F55" s="5" t="n">
        <x:f>IFERROR(ROUND($W55*$Z55*$AC55*'参数'!$D$13,0),"")</x:f>
        <x:v>4863</x:v>
      </x:c>
      <x:c r="G55" s="4">
        <x:v>74820</x:v>
      </x:c>
      <x:c r="H55" s="4">
        <x:v>2832</x:v>
      </x:c>
      <x:c r="I55" s="4">
        <x:v>3758</x:v>
      </x:c>
      <x:c r="J55" s="4">
        <x:v>11</x:v>
      </x:c>
      <x:c r="K55" s="4">
        <x:v>11</x:v>
      </x:c>
      <x:c r="L55" s="4" t="n">
        <x:f>IFERROR(INDEX('楼层配置'!$D$5:$D$104,MATCH($K55,'楼层配置'!$B$5:$B$104,0)),"")</x:f>
        <x:v>49</x:v>
      </x:c>
      <x:c r="M55" s="4" t="str">
        <x:f>IFERROR(INDEX('_角色基线'!$B$2:$B$100,MATCH($B55,'_角色基线'!$A$2:$A$100,0)),"")</x:f>
        <x:v>艾德琳</x:v>
      </x:c>
      <x:c r="N55" s="4" t="str">
        <x:f>IFERROR(INDEX('_角色基线'!$C$2:$C$100,MATCH($B55,'_角色基线'!$A$2:$A$100,0)),"")</x:f>
        <x:v>Support</x:v>
      </x:c>
      <x:c r="O55" s="4" t="n">
        <x:f>IFERROR(INDEX('_怪物基线'!$B$2:$B$501,MATCH(INT($L55),'_怪物基线'!$A$2:$A$501,0)),"")</x:f>
        <x:v>11033</x:v>
      </x:c>
      <x:c r="P55" s="4" t="n">
        <x:f>IFERROR(INDEX('_怪物基线'!$C$2:$C$501,MATCH(INT($L55),'_怪物基线'!$A$2:$A$501,0)),"")</x:f>
        <x:v>2647</x:v>
      </x:c>
      <x:c r="Q55" s="4" t="n">
        <x:f>IFERROR(INDEX('_怪物基线'!$D$2:$D$501,MATCH(INT($L55),'_怪物基线'!$A$2:$A$501,0)),"")</x:f>
        <x:v>3890</x:v>
      </x:c>
      <x:c r="R55" s="4" t="n">
        <x:f>'参数'!$B$10</x:f>
        <x:v>4</x:v>
      </x:c>
      <x:c r="S55" s="4" t="n">
        <x:f>'参数'!$C$10</x:f>
        <x:v>1.2</x:v>
      </x:c>
      <x:c r="T55" s="4" t="n">
        <x:f>'参数'!$D$10</x:f>
        <x:v>1</x:v>
      </x:c>
      <x:c r="U55" s="4" t="n">
        <x:f t="shared" si="0">IF($O55="","",$O55*$R55)</x:f>
        <x:v>44132</x:v>
      </x:c>
      <x:c r="V55" s="4" t="n">
        <x:f t="shared" si="1">IF($P55="","",$P55*$S55)</x:f>
        <x:v>3176.4</x:v>
      </x:c>
      <x:c r="W55" s="4" t="n">
        <x:f t="shared" si="2">IF($Q55="","",$Q55*$T55)</x:f>
        <x:v>3890</x:v>
      </x:c>
      <x:c r="X55" s="4" t="n">
        <x:f>IFERROR(INDEX('参数'!$B$5:$B$7,MATCH($N55,'参数'!$A$5:$A$7,0)),"")</x:f>
        <x:v>1.25</x:v>
      </x:c>
      <x:c r="Y55" s="4" t="n">
        <x:f>IFERROR(INDEX('参数'!$C$5:$C$7,MATCH($N55,'参数'!$A$5:$A$7,0)),"")</x:f>
        <x:v>1</x:v>
      </x:c>
      <x:c r="Z55" s="4" t="n">
        <x:f>IFERROR(INDEX('参数'!$D$5:$D$7,MATCH($N55,'参数'!$A$5:$A$7,0)),"")</x:f>
        <x:v>1.25</x:v>
      </x:c>
      <x:c r="AA55" s="4" t="n">
        <x:f>IFERROR(INDEX('楼层配置'!$E$5:$E$104,MATCH($K55,'楼层配置'!$B$5:$B$104,0)),1)</x:f>
        <x:v>1.1302695674070624</x:v>
      </x:c>
      <x:c r="AB55" s="4" t="n">
        <x:f>IFERROR(INDEX('楼层配置'!$F$5:$F$104,MATCH($K55,'楼层配置'!$B$5:$B$104,0)),1)</x:f>
        <x:v>0.7736222233010391</x:v>
      </x:c>
      <x:c r="AC55" s="4" t="n">
        <x:f>IFERROR(INDEX('楼层配置'!$G$5:$G$104,MATCH($K55,'楼层配置'!$B$5:$B$104,0)),1)</x:f>
        <x:v>1</x:v>
      </x:c>
      <x:c r="AD55" s="6" t="n">
        <x:f t="shared" si="3">IFERROR($D55/$G55-1,"")</x:f>
        <x:v>-0.16665330125634858</x:v>
      </x:c>
      <x:c r="AE55" s="6" t="n">
        <x:f t="shared" si="4">IFERROR($E55/$H55-1,"")</x:f>
        <x:v>-0.13241525423728817</x:v>
      </x:c>
      <x:c r="AF55" s="6" t="n">
        <x:f t="shared" si="5">IFERROR($F55/$I55-1,"")</x:f>
        <x:v>0.294039382650346</x:v>
      </x:c>
      <x:c r="AG55" s="4" t="str">
        <x:f t="shared" si="6">IF(AND($A55&gt;=1,$L55&gt;=1,$L55&lt;=500,OR($N55="Tank",$N55="DPS",$N55="Support"),ISNUMBER($D55),ISNUMBER($E55),ISNUMBER($F55)),"有效","异常")</x:f>
        <x:v>有效</x:v>
      </x:c>
      <x:c r="AH55" t="n">
        <x:f>D55/(1-MIN(0.75,F55/(24000+F55)))</x:f>
        <x:v>74984.871375</x:v>
      </x:c>
    </x:row>
    <x:row r="56" ht="14.25" customHeight="1">
      <x:c r="A56" s="4">
        <x:v>52</x:v>
      </x:c>
      <x:c r="B56" s="4">
        <x:v>1035</x:v>
      </x:c>
      <x:c r="C56" s="4">
        <x:v>15</x:v>
      </x:c>
      <x:c r="D56" s="5" t="n">
        <x:f>IFERROR(ROUND($U56*$X56*$AA56*'参数'!$B$13,0),"")</x:f>
        <x:v>49881</x:v>
      </x:c>
      <x:c r="E56" s="5" t="n">
        <x:f>IFERROR(ROUND($V56*$Y56*$AB56*'参数'!$C$13,0),"")</x:f>
        <x:v>2949</x:v>
      </x:c>
      <x:c r="F56" s="5" t="n">
        <x:f>IFERROR(ROUND($W56*$Z56*$AC56*'参数'!$D$13,0),"")</x:f>
        <x:v>3890</x:v>
      </x:c>
      <x:c r="G56" s="4">
        <x:v>59856</x:v>
      </x:c>
      <x:c r="H56" s="4">
        <x:v>3398</x:v>
      </x:c>
      <x:c r="I56" s="4">
        <x:v>3006</x:v>
      </x:c>
      <x:c r="J56" s="4">
        <x:v>11</x:v>
      </x:c>
      <x:c r="K56" s="4">
        <x:v>11</x:v>
      </x:c>
      <x:c r="L56" s="4" t="n">
        <x:f>IFERROR(INDEX('楼层配置'!$D$5:$D$104,MATCH($K56,'楼层配置'!$B$5:$B$104,0)),"")</x:f>
        <x:v>49</x:v>
      </x:c>
      <x:c r="M56" s="4" t="str">
        <x:f>IFERROR(INDEX('_角色基线'!$B$2:$B$100,MATCH($B56,'_角色基线'!$A$2:$A$100,0)),"")</x:f>
        <x:v>碎冰者</x:v>
      </x:c>
      <x:c r="N56" s="4" t="str">
        <x:f>IFERROR(INDEX('_角色基线'!$C$2:$C$100,MATCH($B56,'_角色基线'!$A$2:$A$100,0)),"")</x:f>
        <x:v>DPS</x:v>
      </x:c>
      <x:c r="O56" s="4" t="n">
        <x:f>IFERROR(INDEX('_怪物基线'!$B$2:$B$501,MATCH(INT($L56),'_怪物基线'!$A$2:$A$501,0)),"")</x:f>
        <x:v>11033</x:v>
      </x:c>
      <x:c r="P56" s="4" t="n">
        <x:f>IFERROR(INDEX('_怪物基线'!$C$2:$C$501,MATCH(INT($L56),'_怪物基线'!$A$2:$A$501,0)),"")</x:f>
        <x:v>2647</x:v>
      </x:c>
      <x:c r="Q56" s="4" t="n">
        <x:f>IFERROR(INDEX('_怪物基线'!$D$2:$D$501,MATCH(INT($L56),'_怪物基线'!$A$2:$A$501,0)),"")</x:f>
        <x:v>3890</x:v>
      </x:c>
      <x:c r="R56" s="4" t="n">
        <x:f>'参数'!$B$10</x:f>
        <x:v>4</x:v>
      </x:c>
      <x:c r="S56" s="4" t="n">
        <x:f>'参数'!$C$10</x:f>
        <x:v>1.2</x:v>
      </x:c>
      <x:c r="T56" s="4" t="n">
        <x:f>'参数'!$D$10</x:f>
        <x:v>1</x:v>
      </x:c>
      <x:c r="U56" s="4" t="n">
        <x:f t="shared" si="0">IF($O56="","",$O56*$R56)</x:f>
        <x:v>44132</x:v>
      </x:c>
      <x:c r="V56" s="4" t="n">
        <x:f t="shared" si="1">IF($P56="","",$P56*$S56)</x:f>
        <x:v>3176.4</x:v>
      </x:c>
      <x:c r="W56" s="4" t="n">
        <x:f t="shared" si="2">IF($Q56="","",$Q56*$T56)</x:f>
        <x:v>3890</x:v>
      </x:c>
      <x:c r="X56" s="4" t="n">
        <x:f>IFERROR(INDEX('参数'!$B$5:$B$7,MATCH($N56,'参数'!$A$5:$A$7,0)),"")</x:f>
        <x:v>1</x:v>
      </x:c>
      <x:c r="Y56" s="4" t="n">
        <x:f>IFERROR(INDEX('参数'!$C$5:$C$7,MATCH($N56,'参数'!$A$5:$A$7,0)),"")</x:f>
        <x:v>1.2</x:v>
      </x:c>
      <x:c r="Z56" s="4" t="n">
        <x:f>IFERROR(INDEX('参数'!$D$5:$D$7,MATCH($N56,'参数'!$A$5:$A$7,0)),"")</x:f>
        <x:v>1</x:v>
      </x:c>
      <x:c r="AA56" s="4" t="n">
        <x:f>IFERROR(INDEX('楼层配置'!$E$5:$E$104,MATCH($K56,'楼层配置'!$B$5:$B$104,0)),1)</x:f>
        <x:v>1.1302695674070624</x:v>
      </x:c>
      <x:c r="AB56" s="4" t="n">
        <x:f>IFERROR(INDEX('楼层配置'!$F$5:$F$104,MATCH($K56,'楼层配置'!$B$5:$B$104,0)),1)</x:f>
        <x:v>0.7736222233010391</x:v>
      </x:c>
      <x:c r="AC56" s="4" t="n">
        <x:f>IFERROR(INDEX('楼层配置'!$G$5:$G$104,MATCH($K56,'楼层配置'!$B$5:$B$104,0)),1)</x:f>
        <x:v>1</x:v>
      </x:c>
      <x:c r="AD56" s="6" t="n">
        <x:f t="shared" si="3">IFERROR($D56/$G56-1,"")</x:f>
        <x:v>-0.16664995990376907</x:v>
      </x:c>
      <x:c r="AE56" s="6" t="n">
        <x:f t="shared" si="4">IFERROR($E56/$H56-1,"")</x:f>
        <x:v>-0.13213655091230136</x:v>
      </x:c>
      <x:c r="AF56" s="6" t="n">
        <x:f t="shared" si="5">IFERROR($F56/$I56-1,"")</x:f>
        <x:v>0.2940785096473719</x:v>
      </x:c>
      <x:c r="AG56" s="4" t="str">
        <x:f t="shared" si="6">IF(AND($A56&gt;=1,$L56&gt;=1,$L56&lt;=500,OR($N56="Tank",$N56="DPS",$N56="Support"),ISNUMBER($D56),ISNUMBER($E56),ISNUMBER($F56)),"有效","异常")</x:f>
        <x:v>有效</x:v>
      </x:c>
      <x:c r="AH56" t="n">
        <x:f>D56/(1-MIN(0.75,F56/(24000+F56)))</x:f>
        <x:v>57965.87875</x:v>
      </x:c>
    </x:row>
    <x:row r="57" ht="14.25" customHeight="1">
      <x:c r="A57" s="4">
        <x:v>53</x:v>
      </x:c>
      <x:c r="B57" s="4">
        <x:v>1036</x:v>
      </x:c>
      <x:c r="C57" s="4">
        <x:v>15</x:v>
      </x:c>
      <x:c r="D57" s="5" t="n">
        <x:f>IFERROR(ROUND($U57*$X57*$AA57*'参数'!$B$13,0),"")</x:f>
        <x:v>49881</x:v>
      </x:c>
      <x:c r="E57" s="5" t="n">
        <x:f>IFERROR(ROUND($V57*$Y57*$AB57*'参数'!$C$13,0),"")</x:f>
        <x:v>2949</x:v>
      </x:c>
      <x:c r="F57" s="5" t="n">
        <x:f>IFERROR(ROUND($W57*$Z57*$AC57*'参数'!$D$13,0),"")</x:f>
        <x:v>3890</x:v>
      </x:c>
      <x:c r="G57" s="4">
        <x:v>59856</x:v>
      </x:c>
      <x:c r="H57" s="4">
        <x:v>3398</x:v>
      </x:c>
      <x:c r="I57" s="4">
        <x:v>3006</x:v>
      </x:c>
      <x:c r="J57" s="4">
        <x:v>11</x:v>
      </x:c>
      <x:c r="K57" s="4">
        <x:v>11</x:v>
      </x:c>
      <x:c r="L57" s="4" t="n">
        <x:f>IFERROR(INDEX('楼层配置'!$D$5:$D$104,MATCH($K57,'楼层配置'!$B$5:$B$104,0)),"")</x:f>
        <x:v>49</x:v>
      </x:c>
      <x:c r="M57" s="4" t="str">
        <x:f>IFERROR(INDEX('_角色基线'!$B$2:$B$100,MATCH($B57,'_角色基线'!$A$2:$A$100,0)),"")</x:f>
        <x:v>霜狼法师</x:v>
      </x:c>
      <x:c r="N57" s="4" t="str">
        <x:f>IFERROR(INDEX('_角色基线'!$C$2:$C$100,MATCH($B57,'_角色基线'!$A$2:$A$100,0)),"")</x:f>
        <x:v>DPS</x:v>
      </x:c>
      <x:c r="O57" s="4" t="n">
        <x:f>IFERROR(INDEX('_怪物基线'!$B$2:$B$501,MATCH(INT($L57),'_怪物基线'!$A$2:$A$501,0)),"")</x:f>
        <x:v>11033</x:v>
      </x:c>
      <x:c r="P57" s="4" t="n">
        <x:f>IFERROR(INDEX('_怪物基线'!$C$2:$C$501,MATCH(INT($L57),'_怪物基线'!$A$2:$A$501,0)),"")</x:f>
        <x:v>2647</x:v>
      </x:c>
      <x:c r="Q57" s="4" t="n">
        <x:f>IFERROR(INDEX('_怪物基线'!$D$2:$D$501,MATCH(INT($L57),'_怪物基线'!$A$2:$A$501,0)),"")</x:f>
        <x:v>3890</x:v>
      </x:c>
      <x:c r="R57" s="4" t="n">
        <x:f>'参数'!$B$10</x:f>
        <x:v>4</x:v>
      </x:c>
      <x:c r="S57" s="4" t="n">
        <x:f>'参数'!$C$10</x:f>
        <x:v>1.2</x:v>
      </x:c>
      <x:c r="T57" s="4" t="n">
        <x:f>'参数'!$D$10</x:f>
        <x:v>1</x:v>
      </x:c>
      <x:c r="U57" s="4" t="n">
        <x:f t="shared" si="0">IF($O57="","",$O57*$R57)</x:f>
        <x:v>44132</x:v>
      </x:c>
      <x:c r="V57" s="4" t="n">
        <x:f t="shared" si="1">IF($P57="","",$P57*$S57)</x:f>
        <x:v>3176.4</x:v>
      </x:c>
      <x:c r="W57" s="4" t="n">
        <x:f t="shared" si="2">IF($Q57="","",$Q57*$T57)</x:f>
        <x:v>3890</x:v>
      </x:c>
      <x:c r="X57" s="4" t="n">
        <x:f>IFERROR(INDEX('参数'!$B$5:$B$7,MATCH($N57,'参数'!$A$5:$A$7,0)),"")</x:f>
        <x:v>1</x:v>
      </x:c>
      <x:c r="Y57" s="4" t="n">
        <x:f>IFERROR(INDEX('参数'!$C$5:$C$7,MATCH($N57,'参数'!$A$5:$A$7,0)),"")</x:f>
        <x:v>1.2</x:v>
      </x:c>
      <x:c r="Z57" s="4" t="n">
        <x:f>IFERROR(INDEX('参数'!$D$5:$D$7,MATCH($N57,'参数'!$A$5:$A$7,0)),"")</x:f>
        <x:v>1</x:v>
      </x:c>
      <x:c r="AA57" s="4" t="n">
        <x:f>IFERROR(INDEX('楼层配置'!$E$5:$E$104,MATCH($K57,'楼层配置'!$B$5:$B$104,0)),1)</x:f>
        <x:v>1.1302695674070624</x:v>
      </x:c>
      <x:c r="AB57" s="4" t="n">
        <x:f>IFERROR(INDEX('楼层配置'!$F$5:$F$104,MATCH($K57,'楼层配置'!$B$5:$B$104,0)),1)</x:f>
        <x:v>0.7736222233010391</x:v>
      </x:c>
      <x:c r="AC57" s="4" t="n">
        <x:f>IFERROR(INDEX('楼层配置'!$G$5:$G$104,MATCH($K57,'楼层配置'!$B$5:$B$104,0)),1)</x:f>
        <x:v>1</x:v>
      </x:c>
      <x:c r="AD57" s="6" t="n">
        <x:f t="shared" si="3">IFERROR($D57/$G57-1,"")</x:f>
        <x:v>-0.16664995990376907</x:v>
      </x:c>
      <x:c r="AE57" s="6" t="n">
        <x:f t="shared" si="4">IFERROR($E57/$H57-1,"")</x:f>
        <x:v>-0.13213655091230136</x:v>
      </x:c>
      <x:c r="AF57" s="6" t="n">
        <x:f t="shared" si="5">IFERROR($F57/$I57-1,"")</x:f>
        <x:v>0.2940785096473719</x:v>
      </x:c>
      <x:c r="AG57" s="4" t="str">
        <x:f t="shared" si="6">IF(AND($A57&gt;=1,$L57&gt;=1,$L57&lt;=500,OR($N57="Tank",$N57="DPS",$N57="Support"),ISNUMBER($D57),ISNUMBER($E57),ISNUMBER($F57)),"有效","异常")</x:f>
        <x:v>有效</x:v>
      </x:c>
      <x:c r="AH57" t="n">
        <x:f>D57/(1-MIN(0.75,F57/(24000+F57)))</x:f>
        <x:v>57965.87875</x:v>
      </x:c>
    </x:row>
    <x:row r="58" ht="14.25" customHeight="1">
      <x:c r="A58" s="4">
        <x:v>54</x:v>
      </x:c>
      <x:c r="B58" s="4">
        <x:v>1015</x:v>
      </x:c>
      <x:c r="C58" s="4">
        <x:v>15</x:v>
      </x:c>
      <x:c r="D58" s="5" t="n">
        <x:f>IFERROR(ROUND($U58*$X58*$AA58*'参数'!$B$13,0),"")</x:f>
        <x:v>62351</x:v>
      </x:c>
      <x:c r="E58" s="5" t="n">
        <x:f>IFERROR(ROUND($V58*$Y58*$AB58*'参数'!$C$13,0),"")</x:f>
        <x:v>2457</x:v>
      </x:c>
      <x:c r="F58" s="5" t="n">
        <x:f>IFERROR(ROUND($W58*$Z58*$AC58*'参数'!$D$13,0),"")</x:f>
        <x:v>4863</x:v>
      </x:c>
      <x:c r="G58" s="4">
        <x:v>74820</x:v>
      </x:c>
      <x:c r="H58" s="4">
        <x:v>2832</x:v>
      </x:c>
      <x:c r="I58" s="4">
        <x:v>3758</x:v>
      </x:c>
      <x:c r="J58" s="4">
        <x:v>11</x:v>
      </x:c>
      <x:c r="K58" s="4">
        <x:v>11</x:v>
      </x:c>
      <x:c r="L58" s="4" t="n">
        <x:f>IFERROR(INDEX('楼层配置'!$D$5:$D$104,MATCH($K58,'楼层配置'!$B$5:$B$104,0)),"")</x:f>
        <x:v>49</x:v>
      </x:c>
      <x:c r="M58" s="4" t="str">
        <x:f>IFERROR(INDEX('_角色基线'!$B$2:$B$100,MATCH($B58,'_角色基线'!$A$2:$A$100,0)),"")</x:f>
        <x:v>阿莱克西娅</x:v>
      </x:c>
      <x:c r="N58" s="4" t="str">
        <x:f>IFERROR(INDEX('_角色基线'!$C$2:$C$100,MATCH($B58,'_角色基线'!$A$2:$A$100,0)),"")</x:f>
        <x:v>Support</x:v>
      </x:c>
      <x:c r="O58" s="4" t="n">
        <x:f>IFERROR(INDEX('_怪物基线'!$B$2:$B$501,MATCH(INT($L58),'_怪物基线'!$A$2:$A$501,0)),"")</x:f>
        <x:v>11033</x:v>
      </x:c>
      <x:c r="P58" s="4" t="n">
        <x:f>IFERROR(INDEX('_怪物基线'!$C$2:$C$501,MATCH(INT($L58),'_怪物基线'!$A$2:$A$501,0)),"")</x:f>
        <x:v>2647</x:v>
      </x:c>
      <x:c r="Q58" s="4" t="n">
        <x:f>IFERROR(INDEX('_怪物基线'!$D$2:$D$501,MATCH(INT($L58),'_怪物基线'!$A$2:$A$501,0)),"")</x:f>
        <x:v>3890</x:v>
      </x:c>
      <x:c r="R58" s="4" t="n">
        <x:f>'参数'!$B$10</x:f>
        <x:v>4</x:v>
      </x:c>
      <x:c r="S58" s="4" t="n">
        <x:f>'参数'!$C$10</x:f>
        <x:v>1.2</x:v>
      </x:c>
      <x:c r="T58" s="4" t="n">
        <x:f>'参数'!$D$10</x:f>
        <x:v>1</x:v>
      </x:c>
      <x:c r="U58" s="4" t="n">
        <x:f t="shared" si="0">IF($O58="","",$O58*$R58)</x:f>
        <x:v>44132</x:v>
      </x:c>
      <x:c r="V58" s="4" t="n">
        <x:f t="shared" si="1">IF($P58="","",$P58*$S58)</x:f>
        <x:v>3176.4</x:v>
      </x:c>
      <x:c r="W58" s="4" t="n">
        <x:f t="shared" si="2">IF($Q58="","",$Q58*$T58)</x:f>
        <x:v>3890</x:v>
      </x:c>
      <x:c r="X58" s="4" t="n">
        <x:f>IFERROR(INDEX('参数'!$B$5:$B$7,MATCH($N58,'参数'!$A$5:$A$7,0)),"")</x:f>
        <x:v>1.25</x:v>
      </x:c>
      <x:c r="Y58" s="4" t="n">
        <x:f>IFERROR(INDEX('参数'!$C$5:$C$7,MATCH($N58,'参数'!$A$5:$A$7,0)),"")</x:f>
        <x:v>1</x:v>
      </x:c>
      <x:c r="Z58" s="4" t="n">
        <x:f>IFERROR(INDEX('参数'!$D$5:$D$7,MATCH($N58,'参数'!$A$5:$A$7,0)),"")</x:f>
        <x:v>1.25</x:v>
      </x:c>
      <x:c r="AA58" s="4" t="n">
        <x:f>IFERROR(INDEX('楼层配置'!$E$5:$E$104,MATCH($K58,'楼层配置'!$B$5:$B$104,0)),1)</x:f>
        <x:v>1.1302695674070624</x:v>
      </x:c>
      <x:c r="AB58" s="4" t="n">
        <x:f>IFERROR(INDEX('楼层配置'!$F$5:$F$104,MATCH($K58,'楼层配置'!$B$5:$B$104,0)),1)</x:f>
        <x:v>0.7736222233010391</x:v>
      </x:c>
      <x:c r="AC58" s="4" t="n">
        <x:f>IFERROR(INDEX('楼层配置'!$G$5:$G$104,MATCH($K58,'楼层配置'!$B$5:$B$104,0)),1)</x:f>
        <x:v>1</x:v>
      </x:c>
      <x:c r="AD58" s="6" t="n">
        <x:f t="shared" si="3">IFERROR($D58/$G58-1,"")</x:f>
        <x:v>-0.16665330125634858</x:v>
      </x:c>
      <x:c r="AE58" s="6" t="n">
        <x:f t="shared" si="4">IFERROR($E58/$H58-1,"")</x:f>
        <x:v>-0.13241525423728817</x:v>
      </x:c>
      <x:c r="AF58" s="6" t="n">
        <x:f t="shared" si="5">IFERROR($F58/$I58-1,"")</x:f>
        <x:v>0.294039382650346</x:v>
      </x:c>
      <x:c r="AG58" s="4" t="str">
        <x:f t="shared" si="6">IF(AND($A58&gt;=1,$L58&gt;=1,$L58&lt;=500,OR($N58="Tank",$N58="DPS",$N58="Support"),ISNUMBER($D58),ISNUMBER($E58),ISNUMBER($F58)),"有效","异常")</x:f>
        <x:v>有效</x:v>
      </x:c>
      <x:c r="AH58" t="n">
        <x:f>D58/(1-MIN(0.75,F58/(24000+F58)))</x:f>
        <x:v>74984.871375</x:v>
      </x:c>
    </x:row>
    <x:row r="59" ht="14.25" customHeight="1">
      <x:c r="A59" s="4">
        <x:v>55</x:v>
      </x:c>
      <x:c r="B59" s="4">
        <x:v>1036</x:v>
      </x:c>
      <x:c r="C59" s="4">
        <x:v>15</x:v>
      </x:c>
      <x:c r="D59" s="5" t="n">
        <x:f>IFERROR(ROUND($U59*$X59*$AA59*'参数'!$B$13,0),"")</x:f>
        <x:v>49881</x:v>
      </x:c>
      <x:c r="E59" s="5" t="n">
        <x:f>IFERROR(ROUND($V59*$Y59*$AB59*'参数'!$C$13,0),"")</x:f>
        <x:v>2949</x:v>
      </x:c>
      <x:c r="F59" s="5" t="n">
        <x:f>IFERROR(ROUND($W59*$Z59*$AC59*'参数'!$D$13,0),"")</x:f>
        <x:v>3890</x:v>
      </x:c>
      <x:c r="G59" s="4">
        <x:v>59856</x:v>
      </x:c>
      <x:c r="H59" s="4">
        <x:v>3398</x:v>
      </x:c>
      <x:c r="I59" s="4">
        <x:v>3006</x:v>
      </x:c>
      <x:c r="J59" s="4">
        <x:v>11</x:v>
      </x:c>
      <x:c r="K59" s="4">
        <x:v>11</x:v>
      </x:c>
      <x:c r="L59" s="4" t="n">
        <x:f>IFERROR(INDEX('楼层配置'!$D$5:$D$104,MATCH($K59,'楼层配置'!$B$5:$B$104,0)),"")</x:f>
        <x:v>49</x:v>
      </x:c>
      <x:c r="M59" s="4" t="str">
        <x:f>IFERROR(INDEX('_角色基线'!$B$2:$B$100,MATCH($B59,'_角色基线'!$A$2:$A$100,0)),"")</x:f>
        <x:v>霜狼法师</x:v>
      </x:c>
      <x:c r="N59" s="4" t="str">
        <x:f>IFERROR(INDEX('_角色基线'!$C$2:$C$100,MATCH($B59,'_角色基线'!$A$2:$A$100,0)),"")</x:f>
        <x:v>DPS</x:v>
      </x:c>
      <x:c r="O59" s="4" t="n">
        <x:f>IFERROR(INDEX('_怪物基线'!$B$2:$B$501,MATCH(INT($L59),'_怪物基线'!$A$2:$A$501,0)),"")</x:f>
        <x:v>11033</x:v>
      </x:c>
      <x:c r="P59" s="4" t="n">
        <x:f>IFERROR(INDEX('_怪物基线'!$C$2:$C$501,MATCH(INT($L59),'_怪物基线'!$A$2:$A$501,0)),"")</x:f>
        <x:v>2647</x:v>
      </x:c>
      <x:c r="Q59" s="4" t="n">
        <x:f>IFERROR(INDEX('_怪物基线'!$D$2:$D$501,MATCH(INT($L59),'_怪物基线'!$A$2:$A$501,0)),"")</x:f>
        <x:v>3890</x:v>
      </x:c>
      <x:c r="R59" s="4" t="n">
        <x:f>'参数'!$B$10</x:f>
        <x:v>4</x:v>
      </x:c>
      <x:c r="S59" s="4" t="n">
        <x:f>'参数'!$C$10</x:f>
        <x:v>1.2</x:v>
      </x:c>
      <x:c r="T59" s="4" t="n">
        <x:f>'参数'!$D$10</x:f>
        <x:v>1</x:v>
      </x:c>
      <x:c r="U59" s="4" t="n">
        <x:f t="shared" si="0">IF($O59="","",$O59*$R59)</x:f>
        <x:v>44132</x:v>
      </x:c>
      <x:c r="V59" s="4" t="n">
        <x:f t="shared" si="1">IF($P59="","",$P59*$S59)</x:f>
        <x:v>3176.4</x:v>
      </x:c>
      <x:c r="W59" s="4" t="n">
        <x:f t="shared" si="2">IF($Q59="","",$Q59*$T59)</x:f>
        <x:v>3890</x:v>
      </x:c>
      <x:c r="X59" s="4" t="n">
        <x:f>IFERROR(INDEX('参数'!$B$5:$B$7,MATCH($N59,'参数'!$A$5:$A$7,0)),"")</x:f>
        <x:v>1</x:v>
      </x:c>
      <x:c r="Y59" s="4" t="n">
        <x:f>IFERROR(INDEX('参数'!$C$5:$C$7,MATCH($N59,'参数'!$A$5:$A$7,0)),"")</x:f>
        <x:v>1.2</x:v>
      </x:c>
      <x:c r="Z59" s="4" t="n">
        <x:f>IFERROR(INDEX('参数'!$D$5:$D$7,MATCH($N59,'参数'!$A$5:$A$7,0)),"")</x:f>
        <x:v>1</x:v>
      </x:c>
      <x:c r="AA59" s="4" t="n">
        <x:f>IFERROR(INDEX('楼层配置'!$E$5:$E$104,MATCH($K59,'楼层配置'!$B$5:$B$104,0)),1)</x:f>
        <x:v>1.1302695674070624</x:v>
      </x:c>
      <x:c r="AB59" s="4" t="n">
        <x:f>IFERROR(INDEX('楼层配置'!$F$5:$F$104,MATCH($K59,'楼层配置'!$B$5:$B$104,0)),1)</x:f>
        <x:v>0.7736222233010391</x:v>
      </x:c>
      <x:c r="AC59" s="4" t="n">
        <x:f>IFERROR(INDEX('楼层配置'!$G$5:$G$104,MATCH($K59,'楼层配置'!$B$5:$B$104,0)),1)</x:f>
        <x:v>1</x:v>
      </x:c>
      <x:c r="AD59" s="6" t="n">
        <x:f t="shared" si="3">IFERROR($D59/$G59-1,"")</x:f>
        <x:v>-0.16664995990376907</x:v>
      </x:c>
      <x:c r="AE59" s="6" t="n">
        <x:f t="shared" si="4">IFERROR($E59/$H59-1,"")</x:f>
        <x:v>-0.13213655091230136</x:v>
      </x:c>
      <x:c r="AF59" s="6" t="n">
        <x:f t="shared" si="5">IFERROR($F59/$I59-1,"")</x:f>
        <x:v>0.2940785096473719</x:v>
      </x:c>
      <x:c r="AG59" s="4" t="str">
        <x:f t="shared" si="6">IF(AND($A59&gt;=1,$L59&gt;=1,$L59&lt;=500,OR($N59="Tank",$N59="DPS",$N59="Support"),ISNUMBER($D59),ISNUMBER($E59),ISNUMBER($F59)),"有效","异常")</x:f>
        <x:v>有效</x:v>
      </x:c>
      <x:c r="AH59" t="n">
        <x:f>D59/(1-MIN(0.75,F59/(24000+F59)))</x:f>
        <x:v>57965.87875</x:v>
      </x:c>
    </x:row>
    <x:row r="60" ht="14.25" customHeight="1">
      <x:c r="A60" s="4">
        <x:v>56</x:v>
      </x:c>
      <x:c r="B60" s="4">
        <x:v>1038</x:v>
      </x:c>
      <x:c r="C60" s="4">
        <x:v>16</x:v>
      </x:c>
      <x:c r="D60" s="5" t="n">
        <x:f>IFERROR(ROUND($U60*$X60*$AA60*'参数'!$B$13,0),"")</x:f>
        <x:v>82296</x:v>
      </x:c>
      <x:c r="E60" s="5" t="n">
        <x:f>IFERROR(ROUND($V60*$Y60*$AB60*'参数'!$C$13,0),"")</x:f>
        <x:v>2599</x:v>
      </x:c>
      <x:c r="F60" s="5" t="n">
        <x:f>IFERROR(ROUND($W60*$Z60*$AC60*'参数'!$D$13,0),"")</x:f>
        <x:v>6219</x:v>
      </x:c>
      <x:c r="G60" s="4">
        <x:v>100000</x:v>
      </x:c>
      <x:c r="H60" s="4">
        <x:v>3053</x:v>
      </x:c>
      <x:c r="I60" s="4">
        <x:v>4845</x:v>
      </x:c>
      <x:c r="J60" s="4">
        <x:v>12</x:v>
      </x:c>
      <x:c r="K60" s="4">
        <x:v>12</x:v>
      </x:c>
      <x:c r="L60" s="4" t="n">
        <x:f>IFERROR(INDEX('楼层配置'!$D$5:$D$104,MATCH($K60,'楼层配置'!$B$5:$B$104,0)),"")</x:f>
        <x:v>52</x:v>
      </x:c>
      <x:c r="M60" s="4" t="str">
        <x:f>IFERROR(INDEX('_角色基线'!$B$2:$B$100,MATCH($B60,'_角色基线'!$A$2:$A$100,0)),"")</x:f>
        <x:v>商队战斗员</x:v>
      </x:c>
      <x:c r="N60" s="4" t="str">
        <x:f>IFERROR(INDEX('_角色基线'!$C$2:$C$100,MATCH($B60,'_角色基线'!$A$2:$A$100,0)),"")</x:f>
        <x:v>Tank</x:v>
      </x:c>
      <x:c r="O60" s="4" t="n">
        <x:f>IFERROR(INDEX('_怪物基线'!$B$2:$B$501,MATCH(INT($L60),'_怪物基线'!$A$2:$A$501,0)),"")</x:f>
        <x:v>12117</x:v>
      </x:c>
      <x:c r="P60" s="4" t="n">
        <x:f>IFERROR(INDEX('_怪物基线'!$C$2:$C$501,MATCH(INT($L60),'_怪物基线'!$A$2:$A$501,0)),"")</x:f>
        <x:v>2843</x:v>
      </x:c>
      <x:c r="Q60" s="4" t="n">
        <x:f>IFERROR(INDEX('_怪物基线'!$D$2:$D$501,MATCH(INT($L60),'_怪物基线'!$A$2:$A$501,0)),"")</x:f>
        <x:v>4146</x:v>
      </x:c>
      <x:c r="R60" s="4" t="n">
        <x:f>'参数'!$B$10</x:f>
        <x:v>4</x:v>
      </x:c>
      <x:c r="S60" s="4" t="n">
        <x:f>'参数'!$C$10</x:f>
        <x:v>1.2</x:v>
      </x:c>
      <x:c r="T60" s="4" t="n">
        <x:f>'参数'!$D$10</x:f>
        <x:v>1</x:v>
      </x:c>
      <x:c r="U60" s="4" t="n">
        <x:f t="shared" si="0">IF($O60="","",$O60*$R60)</x:f>
        <x:v>48468</x:v>
      </x:c>
      <x:c r="V60" s="4" t="n">
        <x:f t="shared" si="1">IF($P60="","",$P60*$S60)</x:f>
        <x:v>3411.6</x:v>
      </x:c>
      <x:c r="W60" s="4" t="n">
        <x:f t="shared" si="2">IF($Q60="","",$Q60*$T60)</x:f>
        <x:v>4146</x:v>
      </x:c>
      <x:c r="X60" s="4" t="n">
        <x:f>IFERROR(INDEX('参数'!$B$5:$B$7,MATCH($N60,'参数'!$A$5:$A$7,0)),"")</x:f>
        <x:v>1.5</x:v>
      </x:c>
      <x:c r="Y60" s="4" t="n">
        <x:f>IFERROR(INDEX('参数'!$C$5:$C$7,MATCH($N60,'参数'!$A$5:$A$7,0)),"")</x:f>
        <x:v>1</x:v>
      </x:c>
      <x:c r="Z60" s="4" t="n">
        <x:f>IFERROR(INDEX('参数'!$D$5:$D$7,MATCH($N60,'参数'!$A$5:$A$7,0)),"")</x:f>
        <x:v>1.5</x:v>
      </x:c>
      <x:c r="AA60" s="4" t="n">
        <x:f>IFERROR(INDEX('楼层配置'!$E$5:$E$104,MATCH($K60,'楼层配置'!$B$5:$B$104,0)),1)</x:f>
        <x:v>1.131963747096483</x:v>
      </x:c>
      <x:c r="AB60" s="4" t="n">
        <x:f>IFERROR(INDEX('楼层配置'!$F$5:$F$104,MATCH($K60,'楼层配置'!$B$5:$B$104,0)),1)</x:f>
        <x:v>0.7617184547319715</x:v>
      </x:c>
      <x:c r="AC60" s="4" t="n">
        <x:f>IFERROR(INDEX('楼层配置'!$G$5:$G$104,MATCH($K60,'楼层配置'!$B$5:$B$104,0)),1)</x:f>
        <x:v>1</x:v>
      </x:c>
      <x:c r="AD60" s="6" t="n">
        <x:f t="shared" si="3">IFERROR($D60/$G60-1,"")</x:f>
        <x:v>-0.17703999999999998</x:v>
      </x:c>
      <x:c r="AE60" s="6" t="n">
        <x:f t="shared" si="4">IFERROR($E60/$H60-1,"")</x:f>
        <x:v>-0.14870619063216506</x:v>
      </x:c>
      <x:c r="AF60" s="6" t="n">
        <x:f t="shared" si="5">IFERROR($F60/$I60-1,"")</x:f>
        <x:v>0.2835913312693499</x:v>
      </x:c>
      <x:c r="AG60" s="4" t="str">
        <x:f t="shared" si="6">IF(AND($A60&gt;=1,$L60&gt;=1,$L60&lt;=500,OR($N60="Tank",$N60="DPS",$N60="Support"),ISNUMBER($D60),ISNUMBER($E60),ISNUMBER($F60)),"有效","异常")</x:f>
        <x:v>有效</x:v>
      </x:c>
      <x:c r="AH60" t="n">
        <x:f>D60/(1-MIN(0.75,F60/(24000+F60)))</x:f>
        <x:v>103620.951</x:v>
      </x:c>
    </x:row>
    <x:row r="61" ht="14.25" customHeight="1">
      <x:c r="A61" s="4">
        <x:v>57</x:v>
      </x:c>
      <x:c r="B61" s="4">
        <x:v>1036</x:v>
      </x:c>
      <x:c r="C61" s="4">
        <x:v>16</x:v>
      </x:c>
      <x:c r="D61" s="5" t="n">
        <x:f>IFERROR(ROUND($U61*$X61*$AA61*'参数'!$B$13,0),"")</x:f>
        <x:v>54864</x:v>
      </x:c>
      <x:c r="E61" s="5" t="n">
        <x:f>IFERROR(ROUND($V61*$Y61*$AB61*'参数'!$C$13,0),"")</x:f>
        <x:v>3118</x:v>
      </x:c>
      <x:c r="F61" s="5" t="n">
        <x:f>IFERROR(ROUND($W61*$Z61*$AC61*'参数'!$D$13,0),"")</x:f>
        <x:v>4146</x:v>
      </x:c>
      <x:c r="G61" s="4">
        <x:v>66667</x:v>
      </x:c>
      <x:c r="H61" s="4">
        <x:v>3663</x:v>
      </x:c>
      <x:c r="I61" s="4">
        <x:v>3230</x:v>
      </x:c>
      <x:c r="J61" s="4">
        <x:v>12</x:v>
      </x:c>
      <x:c r="K61" s="4">
        <x:v>12</x:v>
      </x:c>
      <x:c r="L61" s="4" t="n">
        <x:f>IFERROR(INDEX('楼层配置'!$D$5:$D$104,MATCH($K61,'楼层配置'!$B$5:$B$104,0)),"")</x:f>
        <x:v>52</x:v>
      </x:c>
      <x:c r="M61" s="4" t="str">
        <x:f>IFERROR(INDEX('_角色基线'!$B$2:$B$100,MATCH($B61,'_角色基线'!$A$2:$A$100,0)),"")</x:f>
        <x:v>霜狼法师</x:v>
      </x:c>
      <x:c r="N61" s="4" t="str">
        <x:f>IFERROR(INDEX('_角色基线'!$C$2:$C$100,MATCH($B61,'_角色基线'!$A$2:$A$100,0)),"")</x:f>
        <x:v>DPS</x:v>
      </x:c>
      <x:c r="O61" s="4" t="n">
        <x:f>IFERROR(INDEX('_怪物基线'!$B$2:$B$501,MATCH(INT($L61),'_怪物基线'!$A$2:$A$501,0)),"")</x:f>
        <x:v>12117</x:v>
      </x:c>
      <x:c r="P61" s="4" t="n">
        <x:f>IFERROR(INDEX('_怪物基线'!$C$2:$C$501,MATCH(INT($L61),'_怪物基线'!$A$2:$A$501,0)),"")</x:f>
        <x:v>2843</x:v>
      </x:c>
      <x:c r="Q61" s="4" t="n">
        <x:f>IFERROR(INDEX('_怪物基线'!$D$2:$D$501,MATCH(INT($L61),'_怪物基线'!$A$2:$A$501,0)),"")</x:f>
        <x:v>4146</x:v>
      </x:c>
      <x:c r="R61" s="4" t="n">
        <x:f>'参数'!$B$10</x:f>
        <x:v>4</x:v>
      </x:c>
      <x:c r="S61" s="4" t="n">
        <x:f>'参数'!$C$10</x:f>
        <x:v>1.2</x:v>
      </x:c>
      <x:c r="T61" s="4" t="n">
        <x:f>'参数'!$D$10</x:f>
        <x:v>1</x:v>
      </x:c>
      <x:c r="U61" s="4" t="n">
        <x:f t="shared" si="0">IF($O61="","",$O61*$R61)</x:f>
        <x:v>48468</x:v>
      </x:c>
      <x:c r="V61" s="4" t="n">
        <x:f t="shared" si="1">IF($P61="","",$P61*$S61)</x:f>
        <x:v>3411.6</x:v>
      </x:c>
      <x:c r="W61" s="4" t="n">
        <x:f t="shared" si="2">IF($Q61="","",$Q61*$T61)</x:f>
        <x:v>4146</x:v>
      </x:c>
      <x:c r="X61" s="4" t="n">
        <x:f>IFERROR(INDEX('参数'!$B$5:$B$7,MATCH($N61,'参数'!$A$5:$A$7,0)),"")</x:f>
        <x:v>1</x:v>
      </x:c>
      <x:c r="Y61" s="4" t="n">
        <x:f>IFERROR(INDEX('参数'!$C$5:$C$7,MATCH($N61,'参数'!$A$5:$A$7,0)),"")</x:f>
        <x:v>1.2</x:v>
      </x:c>
      <x:c r="Z61" s="4" t="n">
        <x:f>IFERROR(INDEX('参数'!$D$5:$D$7,MATCH($N61,'参数'!$A$5:$A$7,0)),"")</x:f>
        <x:v>1</x:v>
      </x:c>
      <x:c r="AA61" s="4" t="n">
        <x:f>IFERROR(INDEX('楼层配置'!$E$5:$E$104,MATCH($K61,'楼层配置'!$B$5:$B$104,0)),1)</x:f>
        <x:v>1.131963747096483</x:v>
      </x:c>
      <x:c r="AB61" s="4" t="n">
        <x:f>IFERROR(INDEX('楼层配置'!$F$5:$F$104,MATCH($K61,'楼层配置'!$B$5:$B$104,0)),1)</x:f>
        <x:v>0.7617184547319715</x:v>
      </x:c>
      <x:c r="AC61" s="4" t="n">
        <x:f>IFERROR(INDEX('楼层配置'!$G$5:$G$104,MATCH($K61,'楼层配置'!$B$5:$B$104,0)),1)</x:f>
        <x:v>1</x:v>
      </x:c>
      <x:c r="AD61" s="6" t="n">
        <x:f t="shared" si="3">IFERROR($D61/$G61-1,"")</x:f>
        <x:v>-0.17704411477942605</x:v>
      </x:c>
      <x:c r="AE61" s="6" t="n">
        <x:f t="shared" si="4">IFERROR($E61/$H61-1,"")</x:f>
        <x:v>-0.1487851487851488</x:v>
      </x:c>
      <x:c r="AF61" s="6" t="n">
        <x:f t="shared" si="5">IFERROR($F61/$I61-1,"")</x:f>
        <x:v>0.2835913312693499</x:v>
      </x:c>
      <x:c r="AG61" s="4" t="str">
        <x:f t="shared" si="6">IF(AND($A61&gt;=1,$L61&gt;=1,$L61&lt;=500,OR($N61="Tank",$N61="DPS",$N61="Support"),ISNUMBER($D61),ISNUMBER($E61),ISNUMBER($F61)),"有效","异常")</x:f>
        <x:v>有效</x:v>
      </x:c>
      <x:c r="AH61" t="n">
        <x:f>D61/(1-MIN(0.75,F61/(24000+F61)))</x:f>
        <x:v>64341.755999999994</x:v>
      </x:c>
    </x:row>
    <x:row r="62" ht="14.25" customHeight="1">
      <x:c r="A62" s="4">
        <x:v>58</x:v>
      </x:c>
      <x:c r="B62" s="4">
        <x:v>1015</x:v>
      </x:c>
      <x:c r="C62" s="4">
        <x:v>16</x:v>
      </x:c>
      <x:c r="D62" s="5" t="n">
        <x:f>IFERROR(ROUND($U62*$X62*$AA62*'参数'!$B$13,0),"")</x:f>
        <x:v>68580</x:v>
      </x:c>
      <x:c r="E62" s="5" t="n">
        <x:f>IFERROR(ROUND($V62*$Y62*$AB62*'参数'!$C$13,0),"")</x:f>
        <x:v>2599</x:v>
      </x:c>
      <x:c r="F62" s="5" t="n">
        <x:f>IFERROR(ROUND($W62*$Z62*$AC62*'参数'!$D$13,0),"")</x:f>
        <x:v>5183</x:v>
      </x:c>
      <x:c r="G62" s="4">
        <x:v>83334</x:v>
      </x:c>
      <x:c r="H62" s="4">
        <x:v>3053</x:v>
      </x:c>
      <x:c r="I62" s="4">
        <x:v>4038</x:v>
      </x:c>
      <x:c r="J62" s="4">
        <x:v>12</x:v>
      </x:c>
      <x:c r="K62" s="4">
        <x:v>12</x:v>
      </x:c>
      <x:c r="L62" s="4" t="n">
        <x:f>IFERROR(INDEX('楼层配置'!$D$5:$D$104,MATCH($K62,'楼层配置'!$B$5:$B$104,0)),"")</x:f>
        <x:v>52</x:v>
      </x:c>
      <x:c r="M62" s="4" t="str">
        <x:f>IFERROR(INDEX('_角色基线'!$B$2:$B$100,MATCH($B62,'_角色基线'!$A$2:$A$100,0)),"")</x:f>
        <x:v>阿莱克西娅</x:v>
      </x:c>
      <x:c r="N62" s="4" t="str">
        <x:f>IFERROR(INDEX('_角色基线'!$C$2:$C$100,MATCH($B62,'_角色基线'!$A$2:$A$100,0)),"")</x:f>
        <x:v>Support</x:v>
      </x:c>
      <x:c r="O62" s="4" t="n">
        <x:f>IFERROR(INDEX('_怪物基线'!$B$2:$B$501,MATCH(INT($L62),'_怪物基线'!$A$2:$A$501,0)),"")</x:f>
        <x:v>12117</x:v>
      </x:c>
      <x:c r="P62" s="4" t="n">
        <x:f>IFERROR(INDEX('_怪物基线'!$C$2:$C$501,MATCH(INT($L62),'_怪物基线'!$A$2:$A$501,0)),"")</x:f>
        <x:v>2843</x:v>
      </x:c>
      <x:c r="Q62" s="4" t="n">
        <x:f>IFERROR(INDEX('_怪物基线'!$D$2:$D$501,MATCH(INT($L62),'_怪物基线'!$A$2:$A$501,0)),"")</x:f>
        <x:v>4146</x:v>
      </x:c>
      <x:c r="R62" s="4" t="n">
        <x:f>'参数'!$B$10</x:f>
        <x:v>4</x:v>
      </x:c>
      <x:c r="S62" s="4" t="n">
        <x:f>'参数'!$C$10</x:f>
        <x:v>1.2</x:v>
      </x:c>
      <x:c r="T62" s="4" t="n">
        <x:f>'参数'!$D$10</x:f>
        <x:v>1</x:v>
      </x:c>
      <x:c r="U62" s="4" t="n">
        <x:f t="shared" si="0">IF($O62="","",$O62*$R62)</x:f>
        <x:v>48468</x:v>
      </x:c>
      <x:c r="V62" s="4" t="n">
        <x:f t="shared" si="1">IF($P62="","",$P62*$S62)</x:f>
        <x:v>3411.6</x:v>
      </x:c>
      <x:c r="W62" s="4" t="n">
        <x:f t="shared" si="2">IF($Q62="","",$Q62*$T62)</x:f>
        <x:v>4146</x:v>
      </x:c>
      <x:c r="X62" s="4" t="n">
        <x:f>IFERROR(INDEX('参数'!$B$5:$B$7,MATCH($N62,'参数'!$A$5:$A$7,0)),"")</x:f>
        <x:v>1.25</x:v>
      </x:c>
      <x:c r="Y62" s="4" t="n">
        <x:f>IFERROR(INDEX('参数'!$C$5:$C$7,MATCH($N62,'参数'!$A$5:$A$7,0)),"")</x:f>
        <x:v>1</x:v>
      </x:c>
      <x:c r="Z62" s="4" t="n">
        <x:f>IFERROR(INDEX('参数'!$D$5:$D$7,MATCH($N62,'参数'!$A$5:$A$7,0)),"")</x:f>
        <x:v>1.25</x:v>
      </x:c>
      <x:c r="AA62" s="4" t="n">
        <x:f>IFERROR(INDEX('楼层配置'!$E$5:$E$104,MATCH($K62,'楼层配置'!$B$5:$B$104,0)),1)</x:f>
        <x:v>1.131963747096483</x:v>
      </x:c>
      <x:c r="AB62" s="4" t="n">
        <x:f>IFERROR(INDEX('楼层配置'!$F$5:$F$104,MATCH($K62,'楼层配置'!$B$5:$B$104,0)),1)</x:f>
        <x:v>0.7617184547319715</x:v>
      </x:c>
      <x:c r="AC62" s="4" t="n">
        <x:f>IFERROR(INDEX('楼层配置'!$G$5:$G$104,MATCH($K62,'楼层配置'!$B$5:$B$104,0)),1)</x:f>
        <x:v>1</x:v>
      </x:c>
      <x:c r="AD62" s="6" t="n">
        <x:f t="shared" si="3">IFERROR($D62/$G62-1,"")</x:f>
        <x:v>-0.17704658362733094</x:v>
      </x:c>
      <x:c r="AE62" s="6" t="n">
        <x:f t="shared" si="4">IFERROR($E62/$H62-1,"")</x:f>
        <x:v>-0.14870619063216506</x:v>
      </x:c>
      <x:c r="AF62" s="6" t="n">
        <x:f t="shared" si="5">IFERROR($F62/$I62-1,"")</x:f>
        <x:v>0.28355621594848945</x:v>
      </x:c>
      <x:c r="AG62" s="4" t="str">
        <x:f t="shared" si="6">IF(AND($A62&gt;=1,$L62&gt;=1,$L62&lt;=500,OR($N62="Tank",$N62="DPS",$N62="Support"),ISNUMBER($D62),ISNUMBER($E62),ISNUMBER($F62)),"有效","异常")</x:f>
        <x:v>有效</x:v>
      </x:c>
      <x:c r="AH62" t="n">
        <x:f>D62/(1-MIN(0.75,F62/(24000+F62)))</x:f>
        <x:v>83390.4225</x:v>
      </x:c>
    </x:row>
    <x:row r="63" ht="14.25" customHeight="1">
      <x:c r="A63" s="4">
        <x:v>59</x:v>
      </x:c>
      <x:c r="B63" s="4">
        <x:v>1018</x:v>
      </x:c>
      <x:c r="C63" s="4">
        <x:v>16</x:v>
      </x:c>
      <x:c r="D63" s="5" t="n">
        <x:f>IFERROR(ROUND($U63*$X63*$AA63*'参数'!$B$13,0),"")</x:f>
        <x:v>68580</x:v>
      </x:c>
      <x:c r="E63" s="5" t="n">
        <x:f>IFERROR(ROUND($V63*$Y63*$AB63*'参数'!$C$13,0),"")</x:f>
        <x:v>2599</x:v>
      </x:c>
      <x:c r="F63" s="5" t="n">
        <x:f>IFERROR(ROUND($W63*$Z63*$AC63*'参数'!$D$13,0),"")</x:f>
        <x:v>5183</x:v>
      </x:c>
      <x:c r="G63" s="4">
        <x:v>83334</x:v>
      </x:c>
      <x:c r="H63" s="4">
        <x:v>3053</x:v>
      </x:c>
      <x:c r="I63" s="4">
        <x:v>4038</x:v>
      </x:c>
      <x:c r="J63" s="4">
        <x:v>12</x:v>
      </x:c>
      <x:c r="K63" s="4">
        <x:v>12</x:v>
      </x:c>
      <x:c r="L63" s="4" t="n">
        <x:f>IFERROR(INDEX('楼层配置'!$D$5:$D$104,MATCH($K63,'楼层配置'!$B$5:$B$104,0)),"")</x:f>
        <x:v>52</x:v>
      </x:c>
      <x:c r="M63" s="4" t="str">
        <x:f>IFERROR(INDEX('_角色基线'!$B$2:$B$100,MATCH($B63,'_角色基线'!$A$2:$A$100,0)),"")</x:f>
        <x:v>埃莉诺</x:v>
      </x:c>
      <x:c r="N63" s="4" t="str">
        <x:f>IFERROR(INDEX('_角色基线'!$C$2:$C$100,MATCH($B63,'_角色基线'!$A$2:$A$100,0)),"")</x:f>
        <x:v>Support</x:v>
      </x:c>
      <x:c r="O63" s="4" t="n">
        <x:f>IFERROR(INDEX('_怪物基线'!$B$2:$B$501,MATCH(INT($L63),'_怪物基线'!$A$2:$A$501,0)),"")</x:f>
        <x:v>12117</x:v>
      </x:c>
      <x:c r="P63" s="4" t="n">
        <x:f>IFERROR(INDEX('_怪物基线'!$C$2:$C$501,MATCH(INT($L63),'_怪物基线'!$A$2:$A$501,0)),"")</x:f>
        <x:v>2843</x:v>
      </x:c>
      <x:c r="Q63" s="4" t="n">
        <x:f>IFERROR(INDEX('_怪物基线'!$D$2:$D$501,MATCH(INT($L63),'_怪物基线'!$A$2:$A$501,0)),"")</x:f>
        <x:v>4146</x:v>
      </x:c>
      <x:c r="R63" s="4" t="n">
        <x:f>'参数'!$B$10</x:f>
        <x:v>4</x:v>
      </x:c>
      <x:c r="S63" s="4" t="n">
        <x:f>'参数'!$C$10</x:f>
        <x:v>1.2</x:v>
      </x:c>
      <x:c r="T63" s="4" t="n">
        <x:f>'参数'!$D$10</x:f>
        <x:v>1</x:v>
      </x:c>
      <x:c r="U63" s="4" t="n">
        <x:f t="shared" si="0">IF($O63="","",$O63*$R63)</x:f>
        <x:v>48468</x:v>
      </x:c>
      <x:c r="V63" s="4" t="n">
        <x:f t="shared" si="1">IF($P63="","",$P63*$S63)</x:f>
        <x:v>3411.6</x:v>
      </x:c>
      <x:c r="W63" s="4" t="n">
        <x:f t="shared" si="2">IF($Q63="","",$Q63*$T63)</x:f>
        <x:v>4146</x:v>
      </x:c>
      <x:c r="X63" s="4" t="n">
        <x:f>IFERROR(INDEX('参数'!$B$5:$B$7,MATCH($N63,'参数'!$A$5:$A$7,0)),"")</x:f>
        <x:v>1.25</x:v>
      </x:c>
      <x:c r="Y63" s="4" t="n">
        <x:f>IFERROR(INDEX('参数'!$C$5:$C$7,MATCH($N63,'参数'!$A$5:$A$7,0)),"")</x:f>
        <x:v>1</x:v>
      </x:c>
      <x:c r="Z63" s="4" t="n">
        <x:f>IFERROR(INDEX('参数'!$D$5:$D$7,MATCH($N63,'参数'!$A$5:$A$7,0)),"")</x:f>
        <x:v>1.25</x:v>
      </x:c>
      <x:c r="AA63" s="4" t="n">
        <x:f>IFERROR(INDEX('楼层配置'!$E$5:$E$104,MATCH($K63,'楼层配置'!$B$5:$B$104,0)),1)</x:f>
        <x:v>1.131963747096483</x:v>
      </x:c>
      <x:c r="AB63" s="4" t="n">
        <x:f>IFERROR(INDEX('楼层配置'!$F$5:$F$104,MATCH($K63,'楼层配置'!$B$5:$B$104,0)),1)</x:f>
        <x:v>0.7617184547319715</x:v>
      </x:c>
      <x:c r="AC63" s="4" t="n">
        <x:f>IFERROR(INDEX('楼层配置'!$G$5:$G$104,MATCH($K63,'楼层配置'!$B$5:$B$104,0)),1)</x:f>
        <x:v>1</x:v>
      </x:c>
      <x:c r="AD63" s="6" t="n">
        <x:f t="shared" si="3">IFERROR($D63/$G63-1,"")</x:f>
        <x:v>-0.17704658362733094</x:v>
      </x:c>
      <x:c r="AE63" s="6" t="n">
        <x:f t="shared" si="4">IFERROR($E63/$H63-1,"")</x:f>
        <x:v>-0.14870619063216506</x:v>
      </x:c>
      <x:c r="AF63" s="6" t="n">
        <x:f t="shared" si="5">IFERROR($F63/$I63-1,"")</x:f>
        <x:v>0.28355621594848945</x:v>
      </x:c>
      <x:c r="AG63" s="4" t="str">
        <x:f t="shared" si="6">IF(AND($A63&gt;=1,$L63&gt;=1,$L63&lt;=500,OR($N63="Tank",$N63="DPS",$N63="Support"),ISNUMBER($D63),ISNUMBER($E63),ISNUMBER($F63)),"有效","异常")</x:f>
        <x:v>有效</x:v>
      </x:c>
      <x:c r="AH63" t="n">
        <x:f>D63/(1-MIN(0.75,F63/(24000+F63)))</x:f>
        <x:v>83390.4225</x:v>
      </x:c>
    </x:row>
    <x:row r="64" ht="14.25" customHeight="1">
      <x:c r="A64" s="4">
        <x:v>60</x:v>
      </x:c>
      <x:c r="B64" s="4">
        <x:v>1036</x:v>
      </x:c>
      <x:c r="C64" s="4">
        <x:v>16</x:v>
      </x:c>
      <x:c r="D64" s="5" t="n">
        <x:f>IFERROR(ROUND($U64*$X64*$AA64*'参数'!$B$13,0),"")</x:f>
        <x:v>54864</x:v>
      </x:c>
      <x:c r="E64" s="5" t="n">
        <x:f>IFERROR(ROUND($V64*$Y64*$AB64*'参数'!$C$13,0),"")</x:f>
        <x:v>3118</x:v>
      </x:c>
      <x:c r="F64" s="5" t="n">
        <x:f>IFERROR(ROUND($W64*$Z64*$AC64*'参数'!$D$13,0),"")</x:f>
        <x:v>4146</x:v>
      </x:c>
      <x:c r="G64" s="4">
        <x:v>66667</x:v>
      </x:c>
      <x:c r="H64" s="4">
        <x:v>3663</x:v>
      </x:c>
      <x:c r="I64" s="4">
        <x:v>3230</x:v>
      </x:c>
      <x:c r="J64" s="4">
        <x:v>12</x:v>
      </x:c>
      <x:c r="K64" s="4">
        <x:v>12</x:v>
      </x:c>
      <x:c r="L64" s="4" t="n">
        <x:f>IFERROR(INDEX('楼层配置'!$D$5:$D$104,MATCH($K64,'楼层配置'!$B$5:$B$104,0)),"")</x:f>
        <x:v>52</x:v>
      </x:c>
      <x:c r="M64" s="4" t="str">
        <x:f>IFERROR(INDEX('_角色基线'!$B$2:$B$100,MATCH($B64,'_角色基线'!$A$2:$A$100,0)),"")</x:f>
        <x:v>霜狼法师</x:v>
      </x:c>
      <x:c r="N64" s="4" t="str">
        <x:f>IFERROR(INDEX('_角色基线'!$C$2:$C$100,MATCH($B64,'_角色基线'!$A$2:$A$100,0)),"")</x:f>
        <x:v>DPS</x:v>
      </x:c>
      <x:c r="O64" s="4" t="n">
        <x:f>IFERROR(INDEX('_怪物基线'!$B$2:$B$501,MATCH(INT($L64),'_怪物基线'!$A$2:$A$501,0)),"")</x:f>
        <x:v>12117</x:v>
      </x:c>
      <x:c r="P64" s="4" t="n">
        <x:f>IFERROR(INDEX('_怪物基线'!$C$2:$C$501,MATCH(INT($L64),'_怪物基线'!$A$2:$A$501,0)),"")</x:f>
        <x:v>2843</x:v>
      </x:c>
      <x:c r="Q64" s="4" t="n">
        <x:f>IFERROR(INDEX('_怪物基线'!$D$2:$D$501,MATCH(INT($L64),'_怪物基线'!$A$2:$A$501,0)),"")</x:f>
        <x:v>4146</x:v>
      </x:c>
      <x:c r="R64" s="4" t="n">
        <x:f>'参数'!$B$10</x:f>
        <x:v>4</x:v>
      </x:c>
      <x:c r="S64" s="4" t="n">
        <x:f>'参数'!$C$10</x:f>
        <x:v>1.2</x:v>
      </x:c>
      <x:c r="T64" s="4" t="n">
        <x:f>'参数'!$D$10</x:f>
        <x:v>1</x:v>
      </x:c>
      <x:c r="U64" s="4" t="n">
        <x:f t="shared" si="0">IF($O64="","",$O64*$R64)</x:f>
        <x:v>48468</x:v>
      </x:c>
      <x:c r="V64" s="4" t="n">
        <x:f t="shared" si="1">IF($P64="","",$P64*$S64)</x:f>
        <x:v>3411.6</x:v>
      </x:c>
      <x:c r="W64" s="4" t="n">
        <x:f t="shared" si="2">IF($Q64="","",$Q64*$T64)</x:f>
        <x:v>4146</x:v>
      </x:c>
      <x:c r="X64" s="4" t="n">
        <x:f>IFERROR(INDEX('参数'!$B$5:$B$7,MATCH($N64,'参数'!$A$5:$A$7,0)),"")</x:f>
        <x:v>1</x:v>
      </x:c>
      <x:c r="Y64" s="4" t="n">
        <x:f>IFERROR(INDEX('参数'!$C$5:$C$7,MATCH($N64,'参数'!$A$5:$A$7,0)),"")</x:f>
        <x:v>1.2</x:v>
      </x:c>
      <x:c r="Z64" s="4" t="n">
        <x:f>IFERROR(INDEX('参数'!$D$5:$D$7,MATCH($N64,'参数'!$A$5:$A$7,0)),"")</x:f>
        <x:v>1</x:v>
      </x:c>
      <x:c r="AA64" s="4" t="n">
        <x:f>IFERROR(INDEX('楼层配置'!$E$5:$E$104,MATCH($K64,'楼层配置'!$B$5:$B$104,0)),1)</x:f>
        <x:v>1.131963747096483</x:v>
      </x:c>
      <x:c r="AB64" s="4" t="n">
        <x:f>IFERROR(INDEX('楼层配置'!$F$5:$F$104,MATCH($K64,'楼层配置'!$B$5:$B$104,0)),1)</x:f>
        <x:v>0.7617184547319715</x:v>
      </x:c>
      <x:c r="AC64" s="4" t="n">
        <x:f>IFERROR(INDEX('楼层配置'!$G$5:$G$104,MATCH($K64,'楼层配置'!$B$5:$B$104,0)),1)</x:f>
        <x:v>1</x:v>
      </x:c>
      <x:c r="AD64" s="6" t="n">
        <x:f t="shared" si="3">IFERROR($D64/$G64-1,"")</x:f>
        <x:v>-0.17704411477942605</x:v>
      </x:c>
      <x:c r="AE64" s="6" t="n">
        <x:f t="shared" si="4">IFERROR($E64/$H64-1,"")</x:f>
        <x:v>-0.1487851487851488</x:v>
      </x:c>
      <x:c r="AF64" s="6" t="n">
        <x:f t="shared" si="5">IFERROR($F64/$I64-1,"")</x:f>
        <x:v>0.2835913312693499</x:v>
      </x:c>
      <x:c r="AG64" s="4" t="str">
        <x:f t="shared" si="6">IF(AND($A64&gt;=1,$L64&gt;=1,$L64&lt;=500,OR($N64="Tank",$N64="DPS",$N64="Support"),ISNUMBER($D64),ISNUMBER($E64),ISNUMBER($F64)),"有效","异常")</x:f>
        <x:v>有效</x:v>
      </x:c>
      <x:c r="AH64" t="n">
        <x:f>D64/(1-MIN(0.75,F64/(24000+F64)))</x:f>
        <x:v>64341.755999999994</x:v>
      </x:c>
    </x:row>
    <x:row r="65" ht="14.25" customHeight="1">
      <x:c r="A65" s="4">
        <x:v>61</x:v>
      </x:c>
      <x:c r="B65" s="4">
        <x:v>1037</x:v>
      </x:c>
      <x:c r="C65" s="4">
        <x:v>16</x:v>
      </x:c>
      <x:c r="D65" s="5" t="n">
        <x:f>IFERROR(ROUND($U65*$X65*$AA65*'参数'!$B$13,0),"")</x:f>
        <x:v>61327</x:v>
      </x:c>
      <x:c r="E65" s="5" t="n">
        <x:f>IFERROR(ROUND($V65*$Y65*$AB65*'参数'!$C$13,0),"")</x:f>
        <x:v>3368</x:v>
      </x:c>
      <x:c r="F65" s="5" t="n">
        <x:f>IFERROR(ROUND($W65*$Z65*$AC65*'参数'!$D$13,0),"")</x:f>
        <x:v>4491</x:v>
      </x:c>
      <x:c r="G65" s="4">
        <x:v>73891</x:v>
      </x:c>
      <x:c r="H65" s="4">
        <x:v>3936</x:v>
      </x:c>
      <x:c r="I65" s="4">
        <x:v>3456</x:v>
      </x:c>
      <x:c r="J65" s="4">
        <x:v>13</x:v>
      </x:c>
      <x:c r="K65" s="4">
        <x:v>13</x:v>
      </x:c>
      <x:c r="L65" s="4" t="n">
        <x:f>IFERROR(INDEX('楼层配置'!$D$5:$D$104,MATCH($K65,'楼层配置'!$B$5:$B$104,0)),"")</x:f>
        <x:v>56</x:v>
      </x:c>
      <x:c r="M65" s="4" t="str">
        <x:f>IFERROR(INDEX('_角色基线'!$B$2:$B$100,MATCH($B65,'_角色基线'!$A$2:$A$100,0)),"")</x:f>
        <x:v>霜狼战士</x:v>
      </x:c>
      <x:c r="N65" s="4" t="str">
        <x:f>IFERROR(INDEX('_角色基线'!$C$2:$C$100,MATCH($B65,'_角色基线'!$A$2:$A$100,0)),"")</x:f>
        <x:v>DPS</x:v>
      </x:c>
      <x:c r="O65" s="4" t="n">
        <x:f>IFERROR(INDEX('_怪物基线'!$B$2:$B$501,MATCH(INT($L65),'_怪物基线'!$A$2:$A$501,0)),"")</x:f>
        <x:v>13643</x:v>
      </x:c>
      <x:c r="P65" s="4" t="n">
        <x:f>IFERROR(INDEX('_怪物基线'!$C$2:$C$501,MATCH(INT($L65),'_怪物基线'!$A$2:$A$501,0)),"")</x:f>
        <x:v>3112</x:v>
      </x:c>
      <x:c r="Q65" s="4" t="n">
        <x:f>IFERROR(INDEX('_怪物基线'!$D$2:$D$501,MATCH(INT($L65),'_怪物基线'!$A$2:$A$501,0)),"")</x:f>
        <x:v>4491</x:v>
      </x:c>
      <x:c r="R65" s="4" t="n">
        <x:f>'参数'!$B$10</x:f>
        <x:v>4</x:v>
      </x:c>
      <x:c r="S65" s="4" t="n">
        <x:f>'参数'!$C$10</x:f>
        <x:v>1.2</x:v>
      </x:c>
      <x:c r="T65" s="4" t="n">
        <x:f>'参数'!$D$10</x:f>
        <x:v>1</x:v>
      </x:c>
      <x:c r="U65" s="4" t="n">
        <x:f t="shared" si="0">IF($O65="","",$O65*$R65)</x:f>
        <x:v>54572</x:v>
      </x:c>
      <x:c r="V65" s="4" t="n">
        <x:f t="shared" si="1">IF($P65="","",$P65*$S65)</x:f>
        <x:v>3734.3999999999996</x:v>
      </x:c>
      <x:c r="W65" s="4" t="n">
        <x:f t="shared" si="2">IF($Q65="","",$Q65*$T65)</x:f>
        <x:v>4491</x:v>
      </x:c>
      <x:c r="X65" s="4" t="n">
        <x:f>IFERROR(INDEX('参数'!$B$5:$B$7,MATCH($N65,'参数'!$A$5:$A$7,0)),"")</x:f>
        <x:v>1</x:v>
      </x:c>
      <x:c r="Y65" s="4" t="n">
        <x:f>IFERROR(INDEX('参数'!$C$5:$C$7,MATCH($N65,'参数'!$A$5:$A$7,0)),"")</x:f>
        <x:v>1.2</x:v>
      </x:c>
      <x:c r="Z65" s="4" t="n">
        <x:f>IFERROR(INDEX('参数'!$D$5:$D$7,MATCH($N65,'参数'!$A$5:$A$7,0)),"")</x:f>
        <x:v>1</x:v>
      </x:c>
      <x:c r="AA65" s="4" t="n">
        <x:f>IFERROR(INDEX('楼层配置'!$E$5:$E$104,MATCH($K65,'楼层配置'!$B$5:$B$104,0)),1)</x:f>
        <x:v>1.1237878495797426</x:v>
      </x:c>
      <x:c r="AB65" s="4" t="n">
        <x:f>IFERROR(INDEX('楼层配置'!$F$5:$F$104,MATCH($K65,'楼层配置'!$B$5:$B$104,0)),1)</x:f>
        <x:v>0.7516710013973092</x:v>
      </x:c>
      <x:c r="AC65" s="4" t="n">
        <x:f>IFERROR(INDEX('楼层配置'!$G$5:$G$104,MATCH($K65,'楼层配置'!$B$5:$B$104,0)),1)</x:f>
        <x:v>1</x:v>
      </x:c>
      <x:c r="AD65" s="6" t="n">
        <x:f t="shared" si="3">IFERROR($D65/$G65-1,"")</x:f>
        <x:v>-0.17003423962322883</x:v>
      </x:c>
      <x:c r="AE65" s="6" t="n">
        <x:f t="shared" si="4">IFERROR($E65/$H65-1,"")</x:f>
        <x:v>-0.14430894308943087</x:v>
      </x:c>
      <x:c r="AF65" s="6" t="n">
        <x:f t="shared" si="5">IFERROR($F65/$I65-1,"")</x:f>
        <x:v>0.29947916666666674</x:v>
      </x:c>
      <x:c r="AG65" s="4" t="str">
        <x:f t="shared" si="6">IF(AND($A65&gt;=1,$L65&gt;=1,$L65&lt;=500,OR($N65="Tank",$N65="DPS",$N65="Support"),ISNUMBER($D65),ISNUMBER($E65),ISNUMBER($F65)),"有效","异常")</x:f>
        <x:v>有效</x:v>
      </x:c>
      <x:c r="AH65" t="n">
        <x:f>D65/(1-MIN(0.75,F65/(24000+F65)))</x:f>
        <x:v>72802.814875</x:v>
      </x:c>
    </x:row>
    <x:row r="66" ht="14.25" customHeight="1">
      <x:c r="A66" s="4">
        <x:v>62</x:v>
      </x:c>
      <x:c r="B66" s="4">
        <x:v>1015</x:v>
      </x:c>
      <x:c r="C66" s="4">
        <x:v>16</x:v>
      </x:c>
      <x:c r="D66" s="5" t="n">
        <x:f>IFERROR(ROUND($U66*$X66*$AA66*'参数'!$B$13,0),"")</x:f>
        <x:v>76659</x:v>
      </x:c>
      <x:c r="E66" s="5" t="n">
        <x:f>IFERROR(ROUND($V66*$Y66*$AB66*'参数'!$C$13,0),"")</x:f>
        <x:v>2807</x:v>
      </x:c>
      <x:c r="F66" s="5" t="n">
        <x:f>IFERROR(ROUND($W66*$Z66*$AC66*'参数'!$D$13,0),"")</x:f>
        <x:v>5614</x:v>
      </x:c>
      <x:c r="G66" s="4">
        <x:v>92364</x:v>
      </x:c>
      <x:c r="H66" s="4">
        <x:v>3280</x:v>
      </x:c>
      <x:c r="I66" s="4">
        <x:v>4321</x:v>
      </x:c>
      <x:c r="J66" s="4">
        <x:v>13</x:v>
      </x:c>
      <x:c r="K66" s="4">
        <x:v>13</x:v>
      </x:c>
      <x:c r="L66" s="4" t="n">
        <x:f>IFERROR(INDEX('楼层配置'!$D$5:$D$104,MATCH($K66,'楼层配置'!$B$5:$B$104,0)),"")</x:f>
        <x:v>56</x:v>
      </x:c>
      <x:c r="M66" s="4" t="str">
        <x:f>IFERROR(INDEX('_角色基线'!$B$2:$B$100,MATCH($B66,'_角色基线'!$A$2:$A$100,0)),"")</x:f>
        <x:v>阿莱克西娅</x:v>
      </x:c>
      <x:c r="N66" s="4" t="str">
        <x:f>IFERROR(INDEX('_角色基线'!$C$2:$C$100,MATCH($B66,'_角色基线'!$A$2:$A$100,0)),"")</x:f>
        <x:v>Support</x:v>
      </x:c>
      <x:c r="O66" s="4" t="n">
        <x:f>IFERROR(INDEX('_怪物基线'!$B$2:$B$501,MATCH(INT($L66),'_怪物基线'!$A$2:$A$501,0)),"")</x:f>
        <x:v>13643</x:v>
      </x:c>
      <x:c r="P66" s="4" t="n">
        <x:f>IFERROR(INDEX('_怪物基线'!$C$2:$C$501,MATCH(INT($L66),'_怪物基线'!$A$2:$A$501,0)),"")</x:f>
        <x:v>3112</x:v>
      </x:c>
      <x:c r="Q66" s="4" t="n">
        <x:f>IFERROR(INDEX('_怪物基线'!$D$2:$D$501,MATCH(INT($L66),'_怪物基线'!$A$2:$A$501,0)),"")</x:f>
        <x:v>4491</x:v>
      </x:c>
      <x:c r="R66" s="4" t="n">
        <x:f>'参数'!$B$10</x:f>
        <x:v>4</x:v>
      </x:c>
      <x:c r="S66" s="4" t="n">
        <x:f>'参数'!$C$10</x:f>
        <x:v>1.2</x:v>
      </x:c>
      <x:c r="T66" s="4" t="n">
        <x:f>'参数'!$D$10</x:f>
        <x:v>1</x:v>
      </x:c>
      <x:c r="U66" s="4" t="n">
        <x:f t="shared" si="0">IF($O66="","",$O66*$R66)</x:f>
        <x:v>54572</x:v>
      </x:c>
      <x:c r="V66" s="4" t="n">
        <x:f t="shared" si="1">IF($P66="","",$P66*$S66)</x:f>
        <x:v>3734.3999999999996</x:v>
      </x:c>
      <x:c r="W66" s="4" t="n">
        <x:f t="shared" si="2">IF($Q66="","",$Q66*$T66)</x:f>
        <x:v>4491</x:v>
      </x:c>
      <x:c r="X66" s="4" t="n">
        <x:f>IFERROR(INDEX('参数'!$B$5:$B$7,MATCH($N66,'参数'!$A$5:$A$7,0)),"")</x:f>
        <x:v>1.25</x:v>
      </x:c>
      <x:c r="Y66" s="4" t="n">
        <x:f>IFERROR(INDEX('参数'!$C$5:$C$7,MATCH($N66,'参数'!$A$5:$A$7,0)),"")</x:f>
        <x:v>1</x:v>
      </x:c>
      <x:c r="Z66" s="4" t="n">
        <x:f>IFERROR(INDEX('参数'!$D$5:$D$7,MATCH($N66,'参数'!$A$5:$A$7,0)),"")</x:f>
        <x:v>1.25</x:v>
      </x:c>
      <x:c r="AA66" s="4" t="n">
        <x:f>IFERROR(INDEX('楼层配置'!$E$5:$E$104,MATCH($K66,'楼层配置'!$B$5:$B$104,0)),1)</x:f>
        <x:v>1.1237878495797426</x:v>
      </x:c>
      <x:c r="AB66" s="4" t="n">
        <x:f>IFERROR(INDEX('楼层配置'!$F$5:$F$104,MATCH($K66,'楼层配置'!$B$5:$B$104,0)),1)</x:f>
        <x:v>0.7516710013973092</x:v>
      </x:c>
      <x:c r="AC66" s="4" t="n">
        <x:f>IFERROR(INDEX('楼层配置'!$G$5:$G$104,MATCH($K66,'楼层配置'!$B$5:$B$104,0)),1)</x:f>
        <x:v>1</x:v>
      </x:c>
      <x:c r="AD66" s="6" t="n">
        <x:f t="shared" si="3">IFERROR($D66/$G66-1,"")</x:f>
        <x:v>-0.17003377939456932</x:v>
      </x:c>
      <x:c r="AE66" s="6" t="n">
        <x:f t="shared" si="4">IFERROR($E66/$H66-1,"")</x:f>
        <x:v>-0.1442073170731707</x:v>
      </x:c>
      <x:c r="AF66" s="6" t="n">
        <x:f t="shared" si="5">IFERROR($F66/$I66-1,"")</x:f>
        <x:v>0.2992362878963204</x:v>
      </x:c>
      <x:c r="AG66" s="4" t="str">
        <x:f t="shared" si="6">IF(AND($A66&gt;=1,$L66&gt;=1,$L66&lt;=500,OR($N66="Tank",$N66="DPS",$N66="Support"),ISNUMBER($D66),ISNUMBER($E66),ISNUMBER($F66)),"有效","异常")</x:f>
        <x:v>有效</x:v>
      </x:c>
      <x:c r="AH66" t="n">
        <x:f>D66/(1-MIN(0.75,F66/(24000+F66)))</x:f>
        <x:v>94590.81775</x:v>
      </x:c>
    </x:row>
    <x:row r="67" ht="14.25" customHeight="1">
      <x:c r="A67" s="4">
        <x:v>63</x:v>
      </x:c>
      <x:c r="B67" s="4">
        <x:v>1036</x:v>
      </x:c>
      <x:c r="C67" s="4">
        <x:v>16</x:v>
      </x:c>
      <x:c r="D67" s="5" t="n">
        <x:f>IFERROR(ROUND($U67*$X67*$AA67*'参数'!$B$13,0),"")</x:f>
        <x:v>61327</x:v>
      </x:c>
      <x:c r="E67" s="5" t="n">
        <x:f>IFERROR(ROUND($V67*$Y67*$AB67*'参数'!$C$13,0),"")</x:f>
        <x:v>3368</x:v>
      </x:c>
      <x:c r="F67" s="5" t="n">
        <x:f>IFERROR(ROUND($W67*$Z67*$AC67*'参数'!$D$13,0),"")</x:f>
        <x:v>4491</x:v>
      </x:c>
      <x:c r="G67" s="4">
        <x:v>73891</x:v>
      </x:c>
      <x:c r="H67" s="4">
        <x:v>3936</x:v>
      </x:c>
      <x:c r="I67" s="4">
        <x:v>3456</x:v>
      </x:c>
      <x:c r="J67" s="4">
        <x:v>13</x:v>
      </x:c>
      <x:c r="K67" s="4">
        <x:v>13</x:v>
      </x:c>
      <x:c r="L67" s="4" t="n">
        <x:f>IFERROR(INDEX('楼层配置'!$D$5:$D$104,MATCH($K67,'楼层配置'!$B$5:$B$104,0)),"")</x:f>
        <x:v>56</x:v>
      </x:c>
      <x:c r="M67" s="4" t="str">
        <x:f>IFERROR(INDEX('_角色基线'!$B$2:$B$100,MATCH($B67,'_角色基线'!$A$2:$A$100,0)),"")</x:f>
        <x:v>霜狼法师</x:v>
      </x:c>
      <x:c r="N67" s="4" t="str">
        <x:f>IFERROR(INDEX('_角色基线'!$C$2:$C$100,MATCH($B67,'_角色基线'!$A$2:$A$100,0)),"")</x:f>
        <x:v>DPS</x:v>
      </x:c>
      <x:c r="O67" s="4" t="n">
        <x:f>IFERROR(INDEX('_怪物基线'!$B$2:$B$501,MATCH(INT($L67),'_怪物基线'!$A$2:$A$501,0)),"")</x:f>
        <x:v>13643</x:v>
      </x:c>
      <x:c r="P67" s="4" t="n">
        <x:f>IFERROR(INDEX('_怪物基线'!$C$2:$C$501,MATCH(INT($L67),'_怪物基线'!$A$2:$A$501,0)),"")</x:f>
        <x:v>3112</x:v>
      </x:c>
      <x:c r="Q67" s="4" t="n">
        <x:f>IFERROR(INDEX('_怪物基线'!$D$2:$D$501,MATCH(INT($L67),'_怪物基线'!$A$2:$A$501,0)),"")</x:f>
        <x:v>4491</x:v>
      </x:c>
      <x:c r="R67" s="4" t="n">
        <x:f>'参数'!$B$10</x:f>
        <x:v>4</x:v>
      </x:c>
      <x:c r="S67" s="4" t="n">
        <x:f>'参数'!$C$10</x:f>
        <x:v>1.2</x:v>
      </x:c>
      <x:c r="T67" s="4" t="n">
        <x:f>'参数'!$D$10</x:f>
        <x:v>1</x:v>
      </x:c>
      <x:c r="U67" s="4" t="n">
        <x:f t="shared" si="0">IF($O67="","",$O67*$R67)</x:f>
        <x:v>54572</x:v>
      </x:c>
      <x:c r="V67" s="4" t="n">
        <x:f t="shared" si="1">IF($P67="","",$P67*$S67)</x:f>
        <x:v>3734.3999999999996</x:v>
      </x:c>
      <x:c r="W67" s="4" t="n">
        <x:f t="shared" si="2">IF($Q67="","",$Q67*$T67)</x:f>
        <x:v>4491</x:v>
      </x:c>
      <x:c r="X67" s="4" t="n">
        <x:f>IFERROR(INDEX('参数'!$B$5:$B$7,MATCH($N67,'参数'!$A$5:$A$7,0)),"")</x:f>
        <x:v>1</x:v>
      </x:c>
      <x:c r="Y67" s="4" t="n">
        <x:f>IFERROR(INDEX('参数'!$C$5:$C$7,MATCH($N67,'参数'!$A$5:$A$7,0)),"")</x:f>
        <x:v>1.2</x:v>
      </x:c>
      <x:c r="Z67" s="4" t="n">
        <x:f>IFERROR(INDEX('参数'!$D$5:$D$7,MATCH($N67,'参数'!$A$5:$A$7,0)),"")</x:f>
        <x:v>1</x:v>
      </x:c>
      <x:c r="AA67" s="4" t="n">
        <x:f>IFERROR(INDEX('楼层配置'!$E$5:$E$104,MATCH($K67,'楼层配置'!$B$5:$B$104,0)),1)</x:f>
        <x:v>1.1237878495797426</x:v>
      </x:c>
      <x:c r="AB67" s="4" t="n">
        <x:f>IFERROR(INDEX('楼层配置'!$F$5:$F$104,MATCH($K67,'楼层配置'!$B$5:$B$104,0)),1)</x:f>
        <x:v>0.7516710013973092</x:v>
      </x:c>
      <x:c r="AC67" s="4" t="n">
        <x:f>IFERROR(INDEX('楼层配置'!$G$5:$G$104,MATCH($K67,'楼层配置'!$B$5:$B$104,0)),1)</x:f>
        <x:v>1</x:v>
      </x:c>
      <x:c r="AD67" s="6" t="n">
        <x:f t="shared" si="3">IFERROR($D67/$G67-1,"")</x:f>
        <x:v>-0.17003423962322883</x:v>
      </x:c>
      <x:c r="AE67" s="6" t="n">
        <x:f t="shared" si="4">IFERROR($E67/$H67-1,"")</x:f>
        <x:v>-0.14430894308943087</x:v>
      </x:c>
      <x:c r="AF67" s="6" t="n">
        <x:f t="shared" si="5">IFERROR($F67/$I67-1,"")</x:f>
        <x:v>0.29947916666666674</x:v>
      </x:c>
      <x:c r="AG67" s="4" t="str">
        <x:f t="shared" si="6">IF(AND($A67&gt;=1,$L67&gt;=1,$L67&lt;=500,OR($N67="Tank",$N67="DPS",$N67="Support"),ISNUMBER($D67),ISNUMBER($E67),ISNUMBER($F67)),"有效","异常")</x:f>
        <x:v>有效</x:v>
      </x:c>
      <x:c r="AH67" t="n">
        <x:f>D67/(1-MIN(0.75,F67/(24000+F67)))</x:f>
        <x:v>72802.814875</x:v>
      </x:c>
    </x:row>
    <x:row r="68" ht="14.25" customHeight="1">
      <x:c r="A68" s="4">
        <x:v>64</x:v>
      </x:c>
      <x:c r="B68" s="4">
        <x:v>1039</x:v>
      </x:c>
      <x:c r="C68" s="4">
        <x:v>16</x:v>
      </x:c>
      <x:c r="D68" s="5" t="n">
        <x:f>IFERROR(ROUND($U68*$X68*$AA68*'参数'!$B$13,0),"")</x:f>
        <x:v>61327</x:v>
      </x:c>
      <x:c r="E68" s="5" t="n">
        <x:f>IFERROR(ROUND($V68*$Y68*$AB68*'参数'!$C$13,0),"")</x:f>
        <x:v>3368</x:v>
      </x:c>
      <x:c r="F68" s="5" t="n">
        <x:f>IFERROR(ROUND($W68*$Z68*$AC68*'参数'!$D$13,0),"")</x:f>
        <x:v>4491</x:v>
      </x:c>
      <x:c r="G68" s="4">
        <x:v>73891</x:v>
      </x:c>
      <x:c r="H68" s="4">
        <x:v>3936</x:v>
      </x:c>
      <x:c r="I68" s="4">
        <x:v>3456</x:v>
      </x:c>
      <x:c r="J68" s="4">
        <x:v>13</x:v>
      </x:c>
      <x:c r="K68" s="4">
        <x:v>13</x:v>
      </x:c>
      <x:c r="L68" s="4" t="n">
        <x:f>IFERROR(INDEX('楼层配置'!$D$5:$D$104,MATCH($K68,'楼层配置'!$B$5:$B$104,0)),"")</x:f>
        <x:v>56</x:v>
      </x:c>
      <x:c r="M68" s="4" t="str">
        <x:f>IFERROR(INDEX('_角色基线'!$B$2:$B$100,MATCH($B68,'_角色基线'!$A$2:$A$100,0)),"")</x:f>
        <x:v>商队枪手</x:v>
      </x:c>
      <x:c r="N68" s="4" t="str">
        <x:f>IFERROR(INDEX('_角色基线'!$C$2:$C$100,MATCH($B68,'_角色基线'!$A$2:$A$100,0)),"")</x:f>
        <x:v>DPS</x:v>
      </x:c>
      <x:c r="O68" s="4" t="n">
        <x:f>IFERROR(INDEX('_怪物基线'!$B$2:$B$501,MATCH(INT($L68),'_怪物基线'!$A$2:$A$501,0)),"")</x:f>
        <x:v>13643</x:v>
      </x:c>
      <x:c r="P68" s="4" t="n">
        <x:f>IFERROR(INDEX('_怪物基线'!$C$2:$C$501,MATCH(INT($L68),'_怪物基线'!$A$2:$A$501,0)),"")</x:f>
        <x:v>3112</x:v>
      </x:c>
      <x:c r="Q68" s="4" t="n">
        <x:f>IFERROR(INDEX('_怪物基线'!$D$2:$D$501,MATCH(INT($L68),'_怪物基线'!$A$2:$A$501,0)),"")</x:f>
        <x:v>4491</x:v>
      </x:c>
      <x:c r="R68" s="4" t="n">
        <x:f>'参数'!$B$10</x:f>
        <x:v>4</x:v>
      </x:c>
      <x:c r="S68" s="4" t="n">
        <x:f>'参数'!$C$10</x:f>
        <x:v>1.2</x:v>
      </x:c>
      <x:c r="T68" s="4" t="n">
        <x:f>'参数'!$D$10</x:f>
        <x:v>1</x:v>
      </x:c>
      <x:c r="U68" s="4" t="n">
        <x:f t="shared" si="0">IF($O68="","",$O68*$R68)</x:f>
        <x:v>54572</x:v>
      </x:c>
      <x:c r="V68" s="4" t="n">
        <x:f t="shared" si="1">IF($P68="","",$P68*$S68)</x:f>
        <x:v>3734.3999999999996</x:v>
      </x:c>
      <x:c r="W68" s="4" t="n">
        <x:f t="shared" si="2">IF($Q68="","",$Q68*$T68)</x:f>
        <x:v>4491</x:v>
      </x:c>
      <x:c r="X68" s="4" t="n">
        <x:f>IFERROR(INDEX('参数'!$B$5:$B$7,MATCH($N68,'参数'!$A$5:$A$7,0)),"")</x:f>
        <x:v>1</x:v>
      </x:c>
      <x:c r="Y68" s="4" t="n">
        <x:f>IFERROR(INDEX('参数'!$C$5:$C$7,MATCH($N68,'参数'!$A$5:$A$7,0)),"")</x:f>
        <x:v>1.2</x:v>
      </x:c>
      <x:c r="Z68" s="4" t="n">
        <x:f>IFERROR(INDEX('参数'!$D$5:$D$7,MATCH($N68,'参数'!$A$5:$A$7,0)),"")</x:f>
        <x:v>1</x:v>
      </x:c>
      <x:c r="AA68" s="4" t="n">
        <x:f>IFERROR(INDEX('楼层配置'!$E$5:$E$104,MATCH($K68,'楼层配置'!$B$5:$B$104,0)),1)</x:f>
        <x:v>1.1237878495797426</x:v>
      </x:c>
      <x:c r="AB68" s="4" t="n">
        <x:f>IFERROR(INDEX('楼层配置'!$F$5:$F$104,MATCH($K68,'楼层配置'!$B$5:$B$104,0)),1)</x:f>
        <x:v>0.7516710013973092</x:v>
      </x:c>
      <x:c r="AC68" s="4" t="n">
        <x:f>IFERROR(INDEX('楼层配置'!$G$5:$G$104,MATCH($K68,'楼层配置'!$B$5:$B$104,0)),1)</x:f>
        <x:v>1</x:v>
      </x:c>
      <x:c r="AD68" s="6" t="n">
        <x:f t="shared" si="3">IFERROR($D68/$G68-1,"")</x:f>
        <x:v>-0.17003423962322883</x:v>
      </x:c>
      <x:c r="AE68" s="6" t="n">
        <x:f t="shared" si="4">IFERROR($E68/$H68-1,"")</x:f>
        <x:v>-0.14430894308943087</x:v>
      </x:c>
      <x:c r="AF68" s="6" t="n">
        <x:f t="shared" si="5">IFERROR($F68/$I68-1,"")</x:f>
        <x:v>0.29947916666666674</x:v>
      </x:c>
      <x:c r="AG68" s="4" t="str">
        <x:f t="shared" si="6">IF(AND($A68&gt;=1,$L68&gt;=1,$L68&lt;=500,OR($N68="Tank",$N68="DPS",$N68="Support"),ISNUMBER($D68),ISNUMBER($E68),ISNUMBER($F68)),"有效","异常")</x:f>
        <x:v>有效</x:v>
      </x:c>
      <x:c r="AH68" t="n">
        <x:f>D68/(1-MIN(0.75,F68/(24000+F68)))</x:f>
        <x:v>72802.814875</x:v>
      </x:c>
    </x:row>
    <x:row r="69" ht="14.25" customHeight="1">
      <x:c r="A69" s="4">
        <x:v>65</x:v>
      </x:c>
      <x:c r="B69" s="4">
        <x:v>1035</x:v>
      </x:c>
      <x:c r="C69" s="4">
        <x:v>16</x:v>
      </x:c>
      <x:c r="D69" s="5" t="n">
        <x:f>IFERROR(ROUND($U69*$X69*$AA69*'参数'!$B$13,0),"")</x:f>
        <x:v>61327</x:v>
      </x:c>
      <x:c r="E69" s="5" t="n">
        <x:f>IFERROR(ROUND($V69*$Y69*$AB69*'参数'!$C$13,0),"")</x:f>
        <x:v>3368</x:v>
      </x:c>
      <x:c r="F69" s="5" t="n">
        <x:f>IFERROR(ROUND($W69*$Z69*$AC69*'参数'!$D$13,0),"")</x:f>
        <x:v>4491</x:v>
      </x:c>
      <x:c r="G69" s="4">
        <x:v>73891</x:v>
      </x:c>
      <x:c r="H69" s="4">
        <x:v>3936</x:v>
      </x:c>
      <x:c r="I69" s="4">
        <x:v>3456</x:v>
      </x:c>
      <x:c r="J69" s="4">
        <x:v>13</x:v>
      </x:c>
      <x:c r="K69" s="4">
        <x:v>13</x:v>
      </x:c>
      <x:c r="L69" s="4" t="n">
        <x:f>IFERROR(INDEX('楼层配置'!$D$5:$D$104,MATCH($K69,'楼层配置'!$B$5:$B$104,0)),"")</x:f>
        <x:v>56</x:v>
      </x:c>
      <x:c r="M69" s="4" t="str">
        <x:f>IFERROR(INDEX('_角色基线'!$B$2:$B$100,MATCH($B69,'_角色基线'!$A$2:$A$100,0)),"")</x:f>
        <x:v>碎冰者</x:v>
      </x:c>
      <x:c r="N69" s="4" t="str">
        <x:f>IFERROR(INDEX('_角色基线'!$C$2:$C$100,MATCH($B69,'_角色基线'!$A$2:$A$100,0)),"")</x:f>
        <x:v>DPS</x:v>
      </x:c>
      <x:c r="O69" s="4" t="n">
        <x:f>IFERROR(INDEX('_怪物基线'!$B$2:$B$501,MATCH(INT($L69),'_怪物基线'!$A$2:$A$501,0)),"")</x:f>
        <x:v>13643</x:v>
      </x:c>
      <x:c r="P69" s="4" t="n">
        <x:f>IFERROR(INDEX('_怪物基线'!$C$2:$C$501,MATCH(INT($L69),'_怪物基线'!$A$2:$A$501,0)),"")</x:f>
        <x:v>3112</x:v>
      </x:c>
      <x:c r="Q69" s="4" t="n">
        <x:f>IFERROR(INDEX('_怪物基线'!$D$2:$D$501,MATCH(INT($L69),'_怪物基线'!$A$2:$A$501,0)),"")</x:f>
        <x:v>4491</x:v>
      </x:c>
      <x:c r="R69" s="4" t="n">
        <x:f>'参数'!$B$10</x:f>
        <x:v>4</x:v>
      </x:c>
      <x:c r="S69" s="4" t="n">
        <x:f>'参数'!$C$10</x:f>
        <x:v>1.2</x:v>
      </x:c>
      <x:c r="T69" s="4" t="n">
        <x:f>'参数'!$D$10</x:f>
        <x:v>1</x:v>
      </x:c>
      <x:c r="U69" s="4" t="n">
        <x:f t="shared" ref="U69:U132" si="7">IF($O69="","",$O69*$R69)</x:f>
        <x:v>54572</x:v>
      </x:c>
      <x:c r="V69" s="4" t="n">
        <x:f t="shared" ref="V69:V132" si="8">IF($P69="","",$P69*$S69)</x:f>
        <x:v>3734.3999999999996</x:v>
      </x:c>
      <x:c r="W69" s="4" t="n">
        <x:f t="shared" ref="W69:W132" si="9">IF($Q69="","",$Q69*$T69)</x:f>
        <x:v>4491</x:v>
      </x:c>
      <x:c r="X69" s="4" t="n">
        <x:f>IFERROR(INDEX('参数'!$B$5:$B$7,MATCH($N69,'参数'!$A$5:$A$7,0)),"")</x:f>
        <x:v>1</x:v>
      </x:c>
      <x:c r="Y69" s="4" t="n">
        <x:f>IFERROR(INDEX('参数'!$C$5:$C$7,MATCH($N69,'参数'!$A$5:$A$7,0)),"")</x:f>
        <x:v>1.2</x:v>
      </x:c>
      <x:c r="Z69" s="4" t="n">
        <x:f>IFERROR(INDEX('参数'!$D$5:$D$7,MATCH($N69,'参数'!$A$5:$A$7,0)),"")</x:f>
        <x:v>1</x:v>
      </x:c>
      <x:c r="AA69" s="4" t="n">
        <x:f>IFERROR(INDEX('楼层配置'!$E$5:$E$104,MATCH($K69,'楼层配置'!$B$5:$B$104,0)),1)</x:f>
        <x:v>1.1237878495797426</x:v>
      </x:c>
      <x:c r="AB69" s="4" t="n">
        <x:f>IFERROR(INDEX('楼层配置'!$F$5:$F$104,MATCH($K69,'楼层配置'!$B$5:$B$104,0)),1)</x:f>
        <x:v>0.7516710013973092</x:v>
      </x:c>
      <x:c r="AC69" s="4" t="n">
        <x:f>IFERROR(INDEX('楼层配置'!$G$5:$G$104,MATCH($K69,'楼层配置'!$B$5:$B$104,0)),1)</x:f>
        <x:v>1</x:v>
      </x:c>
      <x:c r="AD69" s="6" t="n">
        <x:f t="shared" ref="AD69:AD132" si="10">IFERROR($D69/$G69-1,"")</x:f>
        <x:v>-0.17003423962322883</x:v>
      </x:c>
      <x:c r="AE69" s="6" t="n">
        <x:f t="shared" ref="AE69:AE132" si="11">IFERROR($E69/$H69-1,"")</x:f>
        <x:v>-0.14430894308943087</x:v>
      </x:c>
      <x:c r="AF69" s="6" t="n">
        <x:f t="shared" ref="AF69:AF132" si="12">IFERROR($F69/$I69-1,"")</x:f>
        <x:v>0.29947916666666674</x:v>
      </x:c>
      <x:c r="AG69" s="4" t="str">
        <x:f t="shared" ref="AG69:AG132" si="13">IF(AND($A69&gt;=1,$L69&gt;=1,$L69&lt;=500,OR($N69="Tank",$N69="DPS",$N69="Support"),ISNUMBER($D69),ISNUMBER($E69),ISNUMBER($F69)),"有效","异常")</x:f>
        <x:v>有效</x:v>
      </x:c>
      <x:c r="AH69" t="n">
        <x:f>D69/(1-MIN(0.75,F69/(24000+F69)))</x:f>
        <x:v>72802.814875</x:v>
      </x:c>
    </x:row>
    <x:row r="70" ht="14.25" customHeight="1">
      <x:c r="A70" s="4">
        <x:v>66</x:v>
      </x:c>
      <x:c r="B70" s="4">
        <x:v>1002</x:v>
      </x:c>
      <x:c r="C70" s="4">
        <x:v>17</x:v>
      </x:c>
      <x:c r="D70" s="5" t="n">
        <x:f>IFERROR(ROUND($U70*$X70*$AA70*'参数'!$B$13,0),"")</x:f>
        <x:v>99795</x:v>
      </x:c>
      <x:c r="E70" s="5" t="n">
        <x:f>IFERROR(ROUND($V70*$Y70*$AB70*'参数'!$C$13,0),"")</x:f>
        <x:v>2943</x:v>
      </x:c>
      <x:c r="F70" s="5" t="n">
        <x:f>IFERROR(ROUND($W70*$Z70*$AC70*'参数'!$D$13,0),"")</x:f>
        <x:v>7127</x:v>
      </x:c>
      <x:c r="G70" s="4">
        <x:v>122313</x:v>
      </x:c>
      <x:c r="H70" s="4">
        <x:v>3510</x:v>
      </x:c>
      <x:c r="I70" s="4">
        <x:v>5529</x:v>
      </x:c>
      <x:c r="J70" s="4">
        <x:v>14</x:v>
      </x:c>
      <x:c r="K70" s="4">
        <x:v>14</x:v>
      </x:c>
      <x:c r="L70" s="4" t="n">
        <x:f>IFERROR(INDEX('楼层配置'!$D$5:$D$104,MATCH($K70,'楼层配置'!$B$5:$B$104,0)),"")</x:f>
        <x:v>59</x:v>
      </x:c>
      <x:c r="M70" s="4" t="str">
        <x:f>IFERROR(INDEX('_角色基线'!$B$2:$B$100,MATCH($B70,'_角色基线'!$A$2:$A$100,0)),"")</x:f>
        <x:v>大暑</x:v>
      </x:c>
      <x:c r="N70" s="4" t="str">
        <x:f>IFERROR(INDEX('_角色基线'!$C$2:$C$100,MATCH($B70,'_角色基线'!$A$2:$A$100,0)),"")</x:f>
        <x:v>Tank</x:v>
      </x:c>
      <x:c r="O70" s="4" t="n">
        <x:f>IFERROR(INDEX('_怪物基线'!$B$2:$B$501,MATCH(INT($L70),'_怪物基线'!$A$2:$A$501,0)),"")</x:f>
        <x:v>14849</x:v>
      </x:c>
      <x:c r="P70" s="4" t="n">
        <x:f>IFERROR(INDEX('_怪物基线'!$C$2:$C$501,MATCH(INT($L70),'_怪物基线'!$A$2:$A$501,0)),"")</x:f>
        <x:v>3319</x:v>
      </x:c>
      <x:c r="Q70" s="4" t="n">
        <x:f>IFERROR(INDEX('_怪物基线'!$D$2:$D$501,MATCH(INT($L70),'_怪物基线'!$A$2:$A$501,0)),"")</x:f>
        <x:v>4751</x:v>
      </x:c>
      <x:c r="R70" s="4" t="n">
        <x:f>'参数'!$B$10</x:f>
        <x:v>4</x:v>
      </x:c>
      <x:c r="S70" s="4" t="n">
        <x:f>'参数'!$C$10</x:f>
        <x:v>1.2</x:v>
      </x:c>
      <x:c r="T70" s="4" t="n">
        <x:f>'参数'!$D$10</x:f>
        <x:v>1</x:v>
      </x:c>
      <x:c r="U70" s="4" t="n">
        <x:f t="shared" si="7">IF($O70="","",$O70*$R70)</x:f>
        <x:v>59396</x:v>
      </x:c>
      <x:c r="V70" s="4" t="n">
        <x:f t="shared" si="8">IF($P70="","",$P70*$S70)</x:f>
        <x:v>3982.7999999999997</x:v>
      </x:c>
      <x:c r="W70" s="4" t="n">
        <x:f t="shared" si="9">IF($Q70="","",$Q70*$T70)</x:f>
        <x:v>4751</x:v>
      </x:c>
      <x:c r="X70" s="4" t="n">
        <x:f>IFERROR(INDEX('参数'!$B$5:$B$7,MATCH($N70,'参数'!$A$5:$A$7,0)),"")</x:f>
        <x:v>1.5</x:v>
      </x:c>
      <x:c r="Y70" s="4" t="n">
        <x:f>IFERROR(INDEX('参数'!$C$5:$C$7,MATCH($N70,'参数'!$A$5:$A$7,0)),"")</x:f>
        <x:v>1</x:v>
      </x:c>
      <x:c r="Z70" s="4" t="n">
        <x:f>IFERROR(INDEX('参数'!$D$5:$D$7,MATCH($N70,'参数'!$A$5:$A$7,0)),"")</x:f>
        <x:v>1.5</x:v>
      </x:c>
      <x:c r="AA70" s="4" t="n">
        <x:f>IFERROR(INDEX('楼层配置'!$E$5:$E$104,MATCH($K70,'楼层配置'!$B$5:$B$104,0)),1)</x:f>
        <x:v>1.1201058307423077</x:v>
      </x:c>
      <x:c r="AB70" s="4" t="n">
        <x:f>IFERROR(INDEX('楼层配置'!$F$5:$F$104,MATCH($K70,'楼层配置'!$B$5:$B$104,0)),1)</x:f>
        <x:v>0.7389907529287635</x:v>
      </x:c>
      <x:c r="AC70" s="4" t="n">
        <x:f>IFERROR(INDEX('楼层配置'!$G$5:$G$104,MATCH($K70,'楼层配置'!$B$5:$B$104,0)),1)</x:f>
        <x:v>1</x:v>
      </x:c>
      <x:c r="AD70" s="6" t="n">
        <x:f t="shared" si="10">IFERROR($D70/$G70-1,"")</x:f>
        <x:v>-0.18410144465428857</x:v>
      </x:c>
      <x:c r="AE70" s="6" t="n">
        <x:f t="shared" si="11">IFERROR($E70/$H70-1,"")</x:f>
        <x:v>-0.16153846153846152</x:v>
      </x:c>
      <x:c r="AF70" s="6" t="n">
        <x:f t="shared" si="12">IFERROR($F70/$I70-1,"")</x:f>
        <x:v>0.28902152287936334</x:v>
      </x:c>
      <x:c r="AG70" s="4" t="str">
        <x:f t="shared" si="13">IF(AND($A70&gt;=1,$L70&gt;=1,$L70&lt;=500,OR($N70="Tank",$N70="DPS",$N70="Support"),ISNUMBER($D70),ISNUMBER($E70),ISNUMBER($F70)),"有效","异常")</x:f>
        <x:v>有效</x:v>
      </x:c>
      <x:c r="AH70" t="n">
        <x:f>D70/(1-MIN(0.75,F70/(24000+F70)))</x:f>
        <x:v>129429.956875</x:v>
      </x:c>
    </x:row>
    <x:row r="71" ht="14.25" customHeight="1">
      <x:c r="A71" s="4">
        <x:v>67</x:v>
      </x:c>
      <x:c r="B71" s="4">
        <x:v>1015</x:v>
      </x:c>
      <x:c r="C71" s="4">
        <x:v>17</x:v>
      </x:c>
      <x:c r="D71" s="5" t="n">
        <x:f>IFERROR(ROUND($U71*$X71*$AA71*'参数'!$B$13,0),"")</x:f>
        <x:v>83162</x:v>
      </x:c>
      <x:c r="E71" s="5" t="n">
        <x:f>IFERROR(ROUND($V71*$Y71*$AB71*'参数'!$C$13,0),"")</x:f>
        <x:v>2943</x:v>
      </x:c>
      <x:c r="F71" s="5" t="n">
        <x:f>IFERROR(ROUND($W71*$Z71*$AC71*'参数'!$D$13,0),"")</x:f>
        <x:v>5939</x:v>
      </x:c>
      <x:c r="G71" s="4">
        <x:v>101928</x:v>
      </x:c>
      <x:c r="H71" s="4">
        <x:v>3510</x:v>
      </x:c>
      <x:c r="I71" s="4">
        <x:v>4608</x:v>
      </x:c>
      <x:c r="J71" s="4">
        <x:v>14</x:v>
      </x:c>
      <x:c r="K71" s="4">
        <x:v>14</x:v>
      </x:c>
      <x:c r="L71" s="4" t="n">
        <x:f>IFERROR(INDEX('楼层配置'!$D$5:$D$104,MATCH($K71,'楼层配置'!$B$5:$B$104,0)),"")</x:f>
        <x:v>59</x:v>
      </x:c>
      <x:c r="M71" s="4" t="str">
        <x:f>IFERROR(INDEX('_角色基线'!$B$2:$B$100,MATCH($B71,'_角色基线'!$A$2:$A$100,0)),"")</x:f>
        <x:v>阿莱克西娅</x:v>
      </x:c>
      <x:c r="N71" s="4" t="str">
        <x:f>IFERROR(INDEX('_角色基线'!$C$2:$C$100,MATCH($B71,'_角色基线'!$A$2:$A$100,0)),"")</x:f>
        <x:v>Support</x:v>
      </x:c>
      <x:c r="O71" s="4" t="n">
        <x:f>IFERROR(INDEX('_怪物基线'!$B$2:$B$501,MATCH(INT($L71),'_怪物基线'!$A$2:$A$501,0)),"")</x:f>
        <x:v>14849</x:v>
      </x:c>
      <x:c r="P71" s="4" t="n">
        <x:f>IFERROR(INDEX('_怪物基线'!$C$2:$C$501,MATCH(INT($L71),'_怪物基线'!$A$2:$A$501,0)),"")</x:f>
        <x:v>3319</x:v>
      </x:c>
      <x:c r="Q71" s="4" t="n">
        <x:f>IFERROR(INDEX('_怪物基线'!$D$2:$D$501,MATCH(INT($L71),'_怪物基线'!$A$2:$A$501,0)),"")</x:f>
        <x:v>4751</x:v>
      </x:c>
      <x:c r="R71" s="4" t="n">
        <x:f>'参数'!$B$10</x:f>
        <x:v>4</x:v>
      </x:c>
      <x:c r="S71" s="4" t="n">
        <x:f>'参数'!$C$10</x:f>
        <x:v>1.2</x:v>
      </x:c>
      <x:c r="T71" s="4" t="n">
        <x:f>'参数'!$D$10</x:f>
        <x:v>1</x:v>
      </x:c>
      <x:c r="U71" s="4" t="n">
        <x:f t="shared" si="7">IF($O71="","",$O71*$R71)</x:f>
        <x:v>59396</x:v>
      </x:c>
      <x:c r="V71" s="4" t="n">
        <x:f t="shared" si="8">IF($P71="","",$P71*$S71)</x:f>
        <x:v>3982.7999999999997</x:v>
      </x:c>
      <x:c r="W71" s="4" t="n">
        <x:f t="shared" si="9">IF($Q71="","",$Q71*$T71)</x:f>
        <x:v>4751</x:v>
      </x:c>
      <x:c r="X71" s="4" t="n">
        <x:f>IFERROR(INDEX('参数'!$B$5:$B$7,MATCH($N71,'参数'!$A$5:$A$7,0)),"")</x:f>
        <x:v>1.25</x:v>
      </x:c>
      <x:c r="Y71" s="4" t="n">
        <x:f>IFERROR(INDEX('参数'!$C$5:$C$7,MATCH($N71,'参数'!$A$5:$A$7,0)),"")</x:f>
        <x:v>1</x:v>
      </x:c>
      <x:c r="Z71" s="4" t="n">
        <x:f>IFERROR(INDEX('参数'!$D$5:$D$7,MATCH($N71,'参数'!$A$5:$A$7,0)),"")</x:f>
        <x:v>1.25</x:v>
      </x:c>
      <x:c r="AA71" s="4" t="n">
        <x:f>IFERROR(INDEX('楼层配置'!$E$5:$E$104,MATCH($K71,'楼层配置'!$B$5:$B$104,0)),1)</x:f>
        <x:v>1.1201058307423077</x:v>
      </x:c>
      <x:c r="AB71" s="4" t="n">
        <x:f>IFERROR(INDEX('楼层配置'!$F$5:$F$104,MATCH($K71,'楼层配置'!$B$5:$B$104,0)),1)</x:f>
        <x:v>0.7389907529287635</x:v>
      </x:c>
      <x:c r="AC71" s="4" t="n">
        <x:f>IFERROR(INDEX('楼层配置'!$G$5:$G$104,MATCH($K71,'楼层配置'!$B$5:$B$104,0)),1)</x:f>
        <x:v>1</x:v>
      </x:c>
      <x:c r="AD71" s="6" t="n">
        <x:f t="shared" si="10">IFERROR($D71/$G71-1,"")</x:f>
        <x:v>-0.18411035240561968</x:v>
      </x:c>
      <x:c r="AE71" s="6" t="n">
        <x:f t="shared" si="11">IFERROR($E71/$H71-1,"")</x:f>
        <x:v>-0.16153846153846152</x:v>
      </x:c>
      <x:c r="AF71" s="6" t="n">
        <x:f t="shared" si="12">IFERROR($F71/$I71-1,"")</x:f>
        <x:v>0.28884548611111116</x:v>
      </x:c>
      <x:c r="AG71" s="4" t="str">
        <x:f t="shared" si="13">IF(AND($A71&gt;=1,$L71&gt;=1,$L71&lt;=500,OR($N71="Tank",$N71="DPS",$N71="Support"),ISNUMBER($D71),ISNUMBER($E71),ISNUMBER($F71)),"有效","异常")</x:f>
        <x:v>有效</x:v>
      </x:c>
      <x:c r="AH71" t="n">
        <x:f>D71/(1-MIN(0.75,F71/(24000+F71)))</x:f>
        <x:v>103741.12991666667</x:v>
      </x:c>
    </x:row>
    <x:row r="72" ht="14.25" customHeight="1">
      <x:c r="A72" s="4">
        <x:v>68</x:v>
      </x:c>
      <x:c r="B72" s="4">
        <x:v>1039</x:v>
      </x:c>
      <x:c r="C72" s="4">
        <x:v>17</x:v>
      </x:c>
      <x:c r="D72" s="5" t="n">
        <x:f>IFERROR(ROUND($U72*$X72*$AA72*'参数'!$B$13,0),"")</x:f>
        <x:v>66530</x:v>
      </x:c>
      <x:c r="E72" s="5" t="n">
        <x:f>IFERROR(ROUND($V72*$Y72*$AB72*'参数'!$C$13,0),"")</x:f>
        <x:v>3532</x:v>
      </x:c>
      <x:c r="F72" s="5" t="n">
        <x:f>IFERROR(ROUND($W72*$Z72*$AC72*'参数'!$D$13,0),"")</x:f>
        <x:v>4751</x:v>
      </x:c>
      <x:c r="G72" s="4">
        <x:v>81542</x:v>
      </x:c>
      <x:c r="H72" s="4">
        <x:v>4212</x:v>
      </x:c>
      <x:c r="I72" s="4">
        <x:v>3686</x:v>
      </x:c>
      <x:c r="J72" s="4">
        <x:v>14</x:v>
      </x:c>
      <x:c r="K72" s="4">
        <x:v>14</x:v>
      </x:c>
      <x:c r="L72" s="4" t="n">
        <x:f>IFERROR(INDEX('楼层配置'!$D$5:$D$104,MATCH($K72,'楼层配置'!$B$5:$B$104,0)),"")</x:f>
        <x:v>59</x:v>
      </x:c>
      <x:c r="M72" s="4" t="str">
        <x:f>IFERROR(INDEX('_角色基线'!$B$2:$B$100,MATCH($B72,'_角色基线'!$A$2:$A$100,0)),"")</x:f>
        <x:v>商队枪手</x:v>
      </x:c>
      <x:c r="N72" s="4" t="str">
        <x:f>IFERROR(INDEX('_角色基线'!$C$2:$C$100,MATCH($B72,'_角色基线'!$A$2:$A$100,0)),"")</x:f>
        <x:v>DPS</x:v>
      </x:c>
      <x:c r="O72" s="4" t="n">
        <x:f>IFERROR(INDEX('_怪物基线'!$B$2:$B$501,MATCH(INT($L72),'_怪物基线'!$A$2:$A$501,0)),"")</x:f>
        <x:v>14849</x:v>
      </x:c>
      <x:c r="P72" s="4" t="n">
        <x:f>IFERROR(INDEX('_怪物基线'!$C$2:$C$501,MATCH(INT($L72),'_怪物基线'!$A$2:$A$501,0)),"")</x:f>
        <x:v>3319</x:v>
      </x:c>
      <x:c r="Q72" s="4" t="n">
        <x:f>IFERROR(INDEX('_怪物基线'!$D$2:$D$501,MATCH(INT($L72),'_怪物基线'!$A$2:$A$501,0)),"")</x:f>
        <x:v>4751</x:v>
      </x:c>
      <x:c r="R72" s="4" t="n">
        <x:f>'参数'!$B$10</x:f>
        <x:v>4</x:v>
      </x:c>
      <x:c r="S72" s="4" t="n">
        <x:f>'参数'!$C$10</x:f>
        <x:v>1.2</x:v>
      </x:c>
      <x:c r="T72" s="4" t="n">
        <x:f>'参数'!$D$10</x:f>
        <x:v>1</x:v>
      </x:c>
      <x:c r="U72" s="4" t="n">
        <x:f t="shared" si="7">IF($O72="","",$O72*$R72)</x:f>
        <x:v>59396</x:v>
      </x:c>
      <x:c r="V72" s="4" t="n">
        <x:f t="shared" si="8">IF($P72="","",$P72*$S72)</x:f>
        <x:v>3982.7999999999997</x:v>
      </x:c>
      <x:c r="W72" s="4" t="n">
        <x:f t="shared" si="9">IF($Q72="","",$Q72*$T72)</x:f>
        <x:v>4751</x:v>
      </x:c>
      <x:c r="X72" s="4" t="n">
        <x:f>IFERROR(INDEX('参数'!$B$5:$B$7,MATCH($N72,'参数'!$A$5:$A$7,0)),"")</x:f>
        <x:v>1</x:v>
      </x:c>
      <x:c r="Y72" s="4" t="n">
        <x:f>IFERROR(INDEX('参数'!$C$5:$C$7,MATCH($N72,'参数'!$A$5:$A$7,0)),"")</x:f>
        <x:v>1.2</x:v>
      </x:c>
      <x:c r="Z72" s="4" t="n">
        <x:f>IFERROR(INDEX('参数'!$D$5:$D$7,MATCH($N72,'参数'!$A$5:$A$7,0)),"")</x:f>
        <x:v>1</x:v>
      </x:c>
      <x:c r="AA72" s="4" t="n">
        <x:f>IFERROR(INDEX('楼层配置'!$E$5:$E$104,MATCH($K72,'楼层配置'!$B$5:$B$104,0)),1)</x:f>
        <x:v>1.1201058307423077</x:v>
      </x:c>
      <x:c r="AB72" s="4" t="n">
        <x:f>IFERROR(INDEX('楼层配置'!$F$5:$F$104,MATCH($K72,'楼层配置'!$B$5:$B$104,0)),1)</x:f>
        <x:v>0.7389907529287635</x:v>
      </x:c>
      <x:c r="AC72" s="4" t="n">
        <x:f>IFERROR(INDEX('楼层配置'!$G$5:$G$104,MATCH($K72,'楼层配置'!$B$5:$B$104,0)),1)</x:f>
        <x:v>1</x:v>
      </x:c>
      <x:c r="AD72" s="6" t="n">
        <x:f t="shared" si="10">IFERROR($D72/$G72-1,"")</x:f>
        <x:v>-0.18410144465428857</x:v>
      </x:c>
      <x:c r="AE72" s="6" t="n">
        <x:f t="shared" si="11">IFERROR($E72/$H72-1,"")</x:f>
        <x:v>-0.16144349477682807</x:v>
      </x:c>
      <x:c r="AF72" s="6" t="n">
        <x:f t="shared" si="12">IFERROR($F72/$I72-1,"")</x:f>
        <x:v>0.2889310906131308</x:v>
      </x:c>
      <x:c r="AG72" s="4" t="str">
        <x:f t="shared" si="13">IF(AND($A72&gt;=1,$L72&gt;=1,$L72&lt;=500,OR($N72="Tank",$N72="DPS",$N72="Support"),ISNUMBER($D72),ISNUMBER($E72),ISNUMBER($F72)),"有效","异常")</x:f>
        <x:v>有效</x:v>
      </x:c>
      <x:c r="AH72" t="n">
        <x:f>D72/(1-MIN(0.75,F72/(24000+F72)))</x:f>
        <x:v>79700.16791666666</x:v>
      </x:c>
    </x:row>
    <x:row r="73" ht="14.25" customHeight="1">
      <x:c r="A73" s="4">
        <x:v>69</x:v>
      </x:c>
      <x:c r="B73" s="4">
        <x:v>1012</x:v>
      </x:c>
      <x:c r="C73" s="4">
        <x:v>17</x:v>
      </x:c>
      <x:c r="D73" s="5" t="n">
        <x:f>IFERROR(ROUND($U73*$X73*$AA73*'参数'!$B$13,0),"")</x:f>
        <x:v>83162</x:v>
      </x:c>
      <x:c r="E73" s="5" t="n">
        <x:f>IFERROR(ROUND($V73*$Y73*$AB73*'参数'!$C$13,0),"")</x:f>
        <x:v>2943</x:v>
      </x:c>
      <x:c r="F73" s="5" t="n">
        <x:f>IFERROR(ROUND($W73*$Z73*$AC73*'参数'!$D$13,0),"")</x:f>
        <x:v>5939</x:v>
      </x:c>
      <x:c r="G73" s="4">
        <x:v>101928</x:v>
      </x:c>
      <x:c r="H73" s="4">
        <x:v>3510</x:v>
      </x:c>
      <x:c r="I73" s="4">
        <x:v>4608</x:v>
      </x:c>
      <x:c r="J73" s="4">
        <x:v>14</x:v>
      </x:c>
      <x:c r="K73" s="4">
        <x:v>14</x:v>
      </x:c>
      <x:c r="L73" s="4" t="n">
        <x:f>IFERROR(INDEX('楼层配置'!$D$5:$D$104,MATCH($K73,'楼层配置'!$B$5:$B$104,0)),"")</x:f>
        <x:v>59</x:v>
      </x:c>
      <x:c r="M73" s="4" t="str">
        <x:f>IFERROR(INDEX('_角色基线'!$B$2:$B$100,MATCH($B73,'_角色基线'!$A$2:$A$100,0)),"")</x:f>
        <x:v>艾德琳</x:v>
      </x:c>
      <x:c r="N73" s="4" t="str">
        <x:f>IFERROR(INDEX('_角色基线'!$C$2:$C$100,MATCH($B73,'_角色基线'!$A$2:$A$100,0)),"")</x:f>
        <x:v>Support</x:v>
      </x:c>
      <x:c r="O73" s="4" t="n">
        <x:f>IFERROR(INDEX('_怪物基线'!$B$2:$B$501,MATCH(INT($L73),'_怪物基线'!$A$2:$A$501,0)),"")</x:f>
        <x:v>14849</x:v>
      </x:c>
      <x:c r="P73" s="4" t="n">
        <x:f>IFERROR(INDEX('_怪物基线'!$C$2:$C$501,MATCH(INT($L73),'_怪物基线'!$A$2:$A$501,0)),"")</x:f>
        <x:v>3319</x:v>
      </x:c>
      <x:c r="Q73" s="4" t="n">
        <x:f>IFERROR(INDEX('_怪物基线'!$D$2:$D$501,MATCH(INT($L73),'_怪物基线'!$A$2:$A$501,0)),"")</x:f>
        <x:v>4751</x:v>
      </x:c>
      <x:c r="R73" s="4" t="n">
        <x:f>'参数'!$B$10</x:f>
        <x:v>4</x:v>
      </x:c>
      <x:c r="S73" s="4" t="n">
        <x:f>'参数'!$C$10</x:f>
        <x:v>1.2</x:v>
      </x:c>
      <x:c r="T73" s="4" t="n">
        <x:f>'参数'!$D$10</x:f>
        <x:v>1</x:v>
      </x:c>
      <x:c r="U73" s="4" t="n">
        <x:f t="shared" si="7">IF($O73="","",$O73*$R73)</x:f>
        <x:v>59396</x:v>
      </x:c>
      <x:c r="V73" s="4" t="n">
        <x:f t="shared" si="8">IF($P73="","",$P73*$S73)</x:f>
        <x:v>3982.7999999999997</x:v>
      </x:c>
      <x:c r="W73" s="4" t="n">
        <x:f t="shared" si="9">IF($Q73="","",$Q73*$T73)</x:f>
        <x:v>4751</x:v>
      </x:c>
      <x:c r="X73" s="4" t="n">
        <x:f>IFERROR(INDEX('参数'!$B$5:$B$7,MATCH($N73,'参数'!$A$5:$A$7,0)),"")</x:f>
        <x:v>1.25</x:v>
      </x:c>
      <x:c r="Y73" s="4" t="n">
        <x:f>IFERROR(INDEX('参数'!$C$5:$C$7,MATCH($N73,'参数'!$A$5:$A$7,0)),"")</x:f>
        <x:v>1</x:v>
      </x:c>
      <x:c r="Z73" s="4" t="n">
        <x:f>IFERROR(INDEX('参数'!$D$5:$D$7,MATCH($N73,'参数'!$A$5:$A$7,0)),"")</x:f>
        <x:v>1.25</x:v>
      </x:c>
      <x:c r="AA73" s="4" t="n">
        <x:f>IFERROR(INDEX('楼层配置'!$E$5:$E$104,MATCH($K73,'楼层配置'!$B$5:$B$104,0)),1)</x:f>
        <x:v>1.1201058307423077</x:v>
      </x:c>
      <x:c r="AB73" s="4" t="n">
        <x:f>IFERROR(INDEX('楼层配置'!$F$5:$F$104,MATCH($K73,'楼层配置'!$B$5:$B$104,0)),1)</x:f>
        <x:v>0.7389907529287635</x:v>
      </x:c>
      <x:c r="AC73" s="4" t="n">
        <x:f>IFERROR(INDEX('楼层配置'!$G$5:$G$104,MATCH($K73,'楼层配置'!$B$5:$B$104,0)),1)</x:f>
        <x:v>1</x:v>
      </x:c>
      <x:c r="AD73" s="6" t="n">
        <x:f t="shared" si="10">IFERROR($D73/$G73-1,"")</x:f>
        <x:v>-0.18411035240561968</x:v>
      </x:c>
      <x:c r="AE73" s="6" t="n">
        <x:f t="shared" si="11">IFERROR($E73/$H73-1,"")</x:f>
        <x:v>-0.16153846153846152</x:v>
      </x:c>
      <x:c r="AF73" s="6" t="n">
        <x:f t="shared" si="12">IFERROR($F73/$I73-1,"")</x:f>
        <x:v>0.28884548611111116</x:v>
      </x:c>
      <x:c r="AG73" s="4" t="str">
        <x:f t="shared" si="13">IF(AND($A73&gt;=1,$L73&gt;=1,$L73&lt;=500,OR($N73="Tank",$N73="DPS",$N73="Support"),ISNUMBER($D73),ISNUMBER($E73),ISNUMBER($F73)),"有效","异常")</x:f>
        <x:v>有效</x:v>
      </x:c>
      <x:c r="AH73" t="n">
        <x:f>D73/(1-MIN(0.75,F73/(24000+F73)))</x:f>
        <x:v>103741.12991666667</x:v>
      </x:c>
    </x:row>
    <x:row r="74" ht="14.25" customHeight="1">
      <x:c r="A74" s="4">
        <x:v>70</x:v>
      </x:c>
      <x:c r="B74" s="4">
        <x:v>1011</x:v>
      </x:c>
      <x:c r="C74" s="4">
        <x:v>17</x:v>
      </x:c>
      <x:c r="D74" s="5" t="n">
        <x:f>IFERROR(ROUND($U74*$X74*$AA74*'参数'!$B$13,0),"")</x:f>
        <x:v>83162</x:v>
      </x:c>
      <x:c r="E74" s="5" t="n">
        <x:f>IFERROR(ROUND($V74*$Y74*$AB74*'参数'!$C$13,0),"")</x:f>
        <x:v>2943</x:v>
      </x:c>
      <x:c r="F74" s="5" t="n">
        <x:f>IFERROR(ROUND($W74*$Z74*$AC74*'参数'!$D$13,0),"")</x:f>
        <x:v>5939</x:v>
      </x:c>
      <x:c r="G74" s="4">
        <x:v>101928</x:v>
      </x:c>
      <x:c r="H74" s="4">
        <x:v>3510</x:v>
      </x:c>
      <x:c r="I74" s="4">
        <x:v>4608</x:v>
      </x:c>
      <x:c r="J74" s="4">
        <x:v>14</x:v>
      </x:c>
      <x:c r="K74" s="4">
        <x:v>14</x:v>
      </x:c>
      <x:c r="L74" s="4" t="n">
        <x:f>IFERROR(INDEX('楼层配置'!$D$5:$D$104,MATCH($K74,'楼层配置'!$B$5:$B$104,0)),"")</x:f>
        <x:v>59</x:v>
      </x:c>
      <x:c r="M74" s="4" t="str">
        <x:f>IFERROR(INDEX('_角色基线'!$B$2:$B$100,MATCH($B74,'_角色基线'!$A$2:$A$100,0)),"")</x:f>
        <x:v>陈双双</x:v>
      </x:c>
      <x:c r="N74" s="4" t="str">
        <x:f>IFERROR(INDEX('_角色基线'!$C$2:$C$100,MATCH($B74,'_角色基线'!$A$2:$A$100,0)),"")</x:f>
        <x:v>Support</x:v>
      </x:c>
      <x:c r="O74" s="4" t="n">
        <x:f>IFERROR(INDEX('_怪物基线'!$B$2:$B$501,MATCH(INT($L74),'_怪物基线'!$A$2:$A$501,0)),"")</x:f>
        <x:v>14849</x:v>
      </x:c>
      <x:c r="P74" s="4" t="n">
        <x:f>IFERROR(INDEX('_怪物基线'!$C$2:$C$501,MATCH(INT($L74),'_怪物基线'!$A$2:$A$501,0)),"")</x:f>
        <x:v>3319</x:v>
      </x:c>
      <x:c r="Q74" s="4" t="n">
        <x:f>IFERROR(INDEX('_怪物基线'!$D$2:$D$501,MATCH(INT($L74),'_怪物基线'!$A$2:$A$501,0)),"")</x:f>
        <x:v>4751</x:v>
      </x:c>
      <x:c r="R74" s="4" t="n">
        <x:f>'参数'!$B$10</x:f>
        <x:v>4</x:v>
      </x:c>
      <x:c r="S74" s="4" t="n">
        <x:f>'参数'!$C$10</x:f>
        <x:v>1.2</x:v>
      </x:c>
      <x:c r="T74" s="4" t="n">
        <x:f>'参数'!$D$10</x:f>
        <x:v>1</x:v>
      </x:c>
      <x:c r="U74" s="4" t="n">
        <x:f t="shared" si="7">IF($O74="","",$O74*$R74)</x:f>
        <x:v>59396</x:v>
      </x:c>
      <x:c r="V74" s="4" t="n">
        <x:f t="shared" si="8">IF($P74="","",$P74*$S74)</x:f>
        <x:v>3982.7999999999997</x:v>
      </x:c>
      <x:c r="W74" s="4" t="n">
        <x:f t="shared" si="9">IF($Q74="","",$Q74*$T74)</x:f>
        <x:v>4751</x:v>
      </x:c>
      <x:c r="X74" s="4" t="n">
        <x:f>IFERROR(INDEX('参数'!$B$5:$B$7,MATCH($N74,'参数'!$A$5:$A$7,0)),"")</x:f>
        <x:v>1.25</x:v>
      </x:c>
      <x:c r="Y74" s="4" t="n">
        <x:f>IFERROR(INDEX('参数'!$C$5:$C$7,MATCH($N74,'参数'!$A$5:$A$7,0)),"")</x:f>
        <x:v>1</x:v>
      </x:c>
      <x:c r="Z74" s="4" t="n">
        <x:f>IFERROR(INDEX('参数'!$D$5:$D$7,MATCH($N74,'参数'!$A$5:$A$7,0)),"")</x:f>
        <x:v>1.25</x:v>
      </x:c>
      <x:c r="AA74" s="4" t="n">
        <x:f>IFERROR(INDEX('楼层配置'!$E$5:$E$104,MATCH($K74,'楼层配置'!$B$5:$B$104,0)),1)</x:f>
        <x:v>1.1201058307423077</x:v>
      </x:c>
      <x:c r="AB74" s="4" t="n">
        <x:f>IFERROR(INDEX('楼层配置'!$F$5:$F$104,MATCH($K74,'楼层配置'!$B$5:$B$104,0)),1)</x:f>
        <x:v>0.7389907529287635</x:v>
      </x:c>
      <x:c r="AC74" s="4" t="n">
        <x:f>IFERROR(INDEX('楼层配置'!$G$5:$G$104,MATCH($K74,'楼层配置'!$B$5:$B$104,0)),1)</x:f>
        <x:v>1</x:v>
      </x:c>
      <x:c r="AD74" s="6" t="n">
        <x:f t="shared" si="10">IFERROR($D74/$G74-1,"")</x:f>
        <x:v>-0.18411035240561968</x:v>
      </x:c>
      <x:c r="AE74" s="6" t="n">
        <x:f t="shared" si="11">IFERROR($E74/$H74-1,"")</x:f>
        <x:v>-0.16153846153846152</x:v>
      </x:c>
      <x:c r="AF74" s="6" t="n">
        <x:f t="shared" si="12">IFERROR($F74/$I74-1,"")</x:f>
        <x:v>0.28884548611111116</x:v>
      </x:c>
      <x:c r="AG74" s="4" t="str">
        <x:f t="shared" si="13">IF(AND($A74&gt;=1,$L74&gt;=1,$L74&lt;=500,OR($N74="Tank",$N74="DPS",$N74="Support"),ISNUMBER($D74),ISNUMBER($E74),ISNUMBER($F74)),"有效","异常")</x:f>
        <x:v>有效</x:v>
      </x:c>
      <x:c r="AH74" t="n">
        <x:f>D74/(1-MIN(0.75,F74/(24000+F74)))</x:f>
        <x:v>103741.12991666667</x:v>
      </x:c>
    </x:row>
    <x:row r="75" ht="14.25" customHeight="1">
      <x:c r="A75" s="4">
        <x:v>71</x:v>
      </x:c>
      <x:c r="B75" s="4">
        <x:v>1003</x:v>
      </x:c>
      <x:c r="C75" s="4">
        <x:v>17</x:v>
      </x:c>
      <x:c r="D75" s="5" t="n">
        <x:f>IFERROR(ROUND($U75*$X75*$AA75*'参数'!$B$13,0),"")</x:f>
        <x:v>112335</x:v>
      </x:c>
      <x:c r="E75" s="5" t="n">
        <x:f>IFERROR(ROUND($V75*$Y75*$AB75*'参数'!$C$13,0),"")</x:f>
        <x:v>3185</x:v>
      </x:c>
      <x:c r="F75" s="5" t="n">
        <x:f>IFERROR(ROUND($W75*$Z75*$AC75*'参数'!$D$13,0),"")</x:f>
        <x:v>7653</x:v>
      </x:c>
      <x:c r="G75" s="4">
        <x:v>134438</x:v>
      </x:c>
      <x:c r="H75" s="4">
        <x:v>3744</x:v>
      </x:c>
      <x:c r="I75" s="4">
        <x:v>5878</x:v>
      </x:c>
      <x:c r="J75" s="4">
        <x:v>15</x:v>
      </x:c>
      <x:c r="K75" s="4">
        <x:v>15</x:v>
      </x:c>
      <x:c r="L75" s="4" t="n">
        <x:f>IFERROR(INDEX('楼层配置'!$D$5:$D$104,MATCH($K75,'楼层配置'!$B$5:$B$104,0)),"")</x:f>
        <x:v>63</x:v>
      </x:c>
      <x:c r="M75" s="4" t="str">
        <x:f>IFERROR(INDEX('_角色基线'!$B$2:$B$100,MATCH($B75,'_角色基线'!$A$2:$A$100,0)),"")</x:f>
        <x:v>塔拉夏</x:v>
      </x:c>
      <x:c r="N75" s="4" t="str">
        <x:f>IFERROR(INDEX('_角色基线'!$C$2:$C$100,MATCH($B75,'_角色基线'!$A$2:$A$100,0)),"")</x:f>
        <x:v>Tank</x:v>
      </x:c>
      <x:c r="O75" s="4" t="n">
        <x:f>IFERROR(INDEX('_怪物基线'!$B$2:$B$501,MATCH(INT($L75),'_怪物基线'!$A$2:$A$501,0)),"")</x:f>
        <x:v>16542</x:v>
      </x:c>
      <x:c r="P75" s="4" t="n">
        <x:f>IFERROR(INDEX('_怪物基线'!$C$2:$C$501,MATCH(INT($L75),'_怪物基线'!$A$2:$A$501,0)),"")</x:f>
        <x:v>3600</x:v>
      </x:c>
      <x:c r="Q75" s="4" t="n">
        <x:f>IFERROR(INDEX('_怪物基线'!$D$2:$D$501,MATCH(INT($L75),'_怪物基线'!$A$2:$A$501,0)),"")</x:f>
        <x:v>5102</x:v>
      </x:c>
      <x:c r="R75" s="4" t="n">
        <x:f>'参数'!$B$10</x:f>
        <x:v>4</x:v>
      </x:c>
      <x:c r="S75" s="4" t="n">
        <x:f>'参数'!$C$10</x:f>
        <x:v>1.2</x:v>
      </x:c>
      <x:c r="T75" s="4" t="n">
        <x:f>'参数'!$D$10</x:f>
        <x:v>1</x:v>
      </x:c>
      <x:c r="U75" s="4" t="n">
        <x:f t="shared" si="7">IF($O75="","",$O75*$R75)</x:f>
        <x:v>66168</x:v>
      </x:c>
      <x:c r="V75" s="4" t="n">
        <x:f t="shared" si="8">IF($P75="","",$P75*$S75)</x:f>
        <x:v>4320</x:v>
      </x:c>
      <x:c r="W75" s="4" t="n">
        <x:f t="shared" si="9">IF($Q75="","",$Q75*$T75)</x:f>
        <x:v>5102</x:v>
      </x:c>
      <x:c r="X75" s="4" t="n">
        <x:f>IFERROR(INDEX('参数'!$B$5:$B$7,MATCH($N75,'参数'!$A$5:$A$7,0)),"")</x:f>
        <x:v>1.5</x:v>
      </x:c>
      <x:c r="Y75" s="4" t="n">
        <x:f>IFERROR(INDEX('参数'!$C$5:$C$7,MATCH($N75,'参数'!$A$5:$A$7,0)),"")</x:f>
        <x:v>1</x:v>
      </x:c>
      <x:c r="Z75" s="4" t="n">
        <x:f>IFERROR(INDEX('参数'!$D$5:$D$7,MATCH($N75,'参数'!$A$5:$A$7,0)),"")</x:f>
        <x:v>1.5</x:v>
      </x:c>
      <x:c r="AA75" s="4" t="n">
        <x:f>IFERROR(INDEX('楼层配置'!$E$5:$E$104,MATCH($K75,'楼层配置'!$B$5:$B$104,0)),1)</x:f>
        <x:v>1.1318191261630695</x:v>
      </x:c>
      <x:c r="AB75" s="4" t="n">
        <x:f>IFERROR(INDEX('楼层配置'!$F$5:$F$104,MATCH($K75,'楼层配置'!$B$5:$B$104,0)),1)</x:f>
        <x:v>0.7372448330371939</x:v>
      </x:c>
      <x:c r="AC75" s="4" t="n">
        <x:f>IFERROR(INDEX('楼层配置'!$G$5:$G$104,MATCH($K75,'楼层配置'!$B$5:$B$104,0)),1)</x:f>
        <x:v>1</x:v>
      </x:c>
      <x:c r="AD75" s="6" t="n">
        <x:f t="shared" si="10">IFERROR($D75/$G75-1,"")</x:f>
        <x:v>-0.1644103601660245</x:v>
      </x:c>
      <x:c r="AE75" s="6" t="n">
        <x:f t="shared" si="11">IFERROR($E75/$H75-1,"")</x:f>
        <x:v>-0.14930555555555558</x:v>
      </x:c>
      <x:c r="AF75" s="6" t="n">
        <x:f t="shared" si="12">IFERROR($F75/$I75-1,"")</x:f>
        <x:v>0.30197346036066697</x:v>
      </x:c>
      <x:c r="AG75" s="4" t="str">
        <x:f t="shared" si="13">IF(AND($A75&gt;=1,$L75&gt;=1,$L75&lt;=500,OR($N75="Tank",$N75="DPS",$N75="Support"),ISNUMBER($D75),ISNUMBER($E75),ISNUMBER($F75)),"有效","异常")</x:f>
        <x:v>有效</x:v>
      </x:c>
      <x:c r="AH75" t="n">
        <x:f>D75/(1-MIN(0.75,F75/(24000+F75)))</x:f>
        <x:v>148155.823125</x:v>
      </x:c>
    </x:row>
    <x:row r="76" ht="14.25" customHeight="1">
      <x:c r="A76" s="4">
        <x:v>72</x:v>
      </x:c>
      <x:c r="B76" s="4">
        <x:v>1021</x:v>
      </x:c>
      <x:c r="C76" s="4">
        <x:v>17</x:v>
      </x:c>
      <x:c r="D76" s="5" t="n">
        <x:f>IFERROR(ROUND($U76*$X76*$AA76*'参数'!$B$13,0),"")</x:f>
        <x:v>74890</x:v>
      </x:c>
      <x:c r="E76" s="5" t="n">
        <x:f>IFERROR(ROUND($V76*$Y76*$AB76*'参数'!$C$13,0),"")</x:f>
        <x:v>3822</x:v>
      </x:c>
      <x:c r="F76" s="5" t="n">
        <x:f>IFERROR(ROUND($W76*$Z76*$AC76*'参数'!$D$13,0),"")</x:f>
        <x:v>5102</x:v>
      </x:c>
      <x:c r="G76" s="4">
        <x:v>89625</x:v>
      </x:c>
      <x:c r="H76" s="4">
        <x:v>4492</x:v>
      </x:c>
      <x:c r="I76" s="4">
        <x:v>3919</x:v>
      </x:c>
      <x:c r="J76" s="4">
        <x:v>15</x:v>
      </x:c>
      <x:c r="K76" s="4">
        <x:v>15</x:v>
      </x:c>
      <x:c r="L76" s="4" t="n">
        <x:f>IFERROR(INDEX('楼层配置'!$D$5:$D$104,MATCH($K76,'楼层配置'!$B$5:$B$104,0)),"")</x:f>
        <x:v>63</x:v>
      </x:c>
      <x:c r="M76" s="4" t="str">
        <x:f>IFERROR(INDEX('_角色基线'!$B$2:$B$100,MATCH($B76,'_角色基线'!$A$2:$A$100,0)),"")</x:f>
        <x:v>梅梅</x:v>
      </x:c>
      <x:c r="N76" s="4" t="str">
        <x:f>IFERROR(INDEX('_角色基线'!$C$2:$C$100,MATCH($B76,'_角色基线'!$A$2:$A$100,0)),"")</x:f>
        <x:v>DPS</x:v>
      </x:c>
      <x:c r="O76" s="4" t="n">
        <x:f>IFERROR(INDEX('_怪物基线'!$B$2:$B$501,MATCH(INT($L76),'_怪物基线'!$A$2:$A$501,0)),"")</x:f>
        <x:v>16542</x:v>
      </x:c>
      <x:c r="P76" s="4" t="n">
        <x:f>IFERROR(INDEX('_怪物基线'!$C$2:$C$501,MATCH(INT($L76),'_怪物基线'!$A$2:$A$501,0)),"")</x:f>
        <x:v>3600</x:v>
      </x:c>
      <x:c r="Q76" s="4" t="n">
        <x:f>IFERROR(INDEX('_怪物基线'!$D$2:$D$501,MATCH(INT($L76),'_怪物基线'!$A$2:$A$501,0)),"")</x:f>
        <x:v>5102</x:v>
      </x:c>
      <x:c r="R76" s="4" t="n">
        <x:f>'参数'!$B$10</x:f>
        <x:v>4</x:v>
      </x:c>
      <x:c r="S76" s="4" t="n">
        <x:f>'参数'!$C$10</x:f>
        <x:v>1.2</x:v>
      </x:c>
      <x:c r="T76" s="4" t="n">
        <x:f>'参数'!$D$10</x:f>
        <x:v>1</x:v>
      </x:c>
      <x:c r="U76" s="4" t="n">
        <x:f t="shared" si="7">IF($O76="","",$O76*$R76)</x:f>
        <x:v>66168</x:v>
      </x:c>
      <x:c r="V76" s="4" t="n">
        <x:f t="shared" si="8">IF($P76="","",$P76*$S76)</x:f>
        <x:v>4320</x:v>
      </x:c>
      <x:c r="W76" s="4" t="n">
        <x:f t="shared" si="9">IF($Q76="","",$Q76*$T76)</x:f>
        <x:v>5102</x:v>
      </x:c>
      <x:c r="X76" s="4" t="n">
        <x:f>IFERROR(INDEX('参数'!$B$5:$B$7,MATCH($N76,'参数'!$A$5:$A$7,0)),"")</x:f>
        <x:v>1</x:v>
      </x:c>
      <x:c r="Y76" s="4" t="n">
        <x:f>IFERROR(INDEX('参数'!$C$5:$C$7,MATCH($N76,'参数'!$A$5:$A$7,0)),"")</x:f>
        <x:v>1.2</x:v>
      </x:c>
      <x:c r="Z76" s="4" t="n">
        <x:f>IFERROR(INDEX('参数'!$D$5:$D$7,MATCH($N76,'参数'!$A$5:$A$7,0)),"")</x:f>
        <x:v>1</x:v>
      </x:c>
      <x:c r="AA76" s="4" t="n">
        <x:f>IFERROR(INDEX('楼层配置'!$E$5:$E$104,MATCH($K76,'楼层配置'!$B$5:$B$104,0)),1)</x:f>
        <x:v>1.1318191261630695</x:v>
      </x:c>
      <x:c r="AB76" s="4" t="n">
        <x:f>IFERROR(INDEX('楼层配置'!$F$5:$F$104,MATCH($K76,'楼层配置'!$B$5:$B$104,0)),1)</x:f>
        <x:v>0.7372448330371939</x:v>
      </x:c>
      <x:c r="AC76" s="4" t="n">
        <x:f>IFERROR(INDEX('楼层配置'!$G$5:$G$104,MATCH($K76,'楼层配置'!$B$5:$B$104,0)),1)</x:f>
        <x:v>1</x:v>
      </x:c>
      <x:c r="AD76" s="6" t="n">
        <x:f t="shared" si="10">IFERROR($D76/$G76-1,"")</x:f>
        <x:v>-0.1644072524407253</x:v>
      </x:c>
      <x:c r="AE76" s="6" t="n">
        <x:f t="shared" si="11">IFERROR($E76/$H76-1,"")</x:f>
        <x:v>-0.14915405164737305</x:v>
      </x:c>
      <x:c r="AF76" s="6" t="n">
        <x:f t="shared" si="12">IFERROR($F76/$I76-1,"")</x:f>
        <x:v>0.3018627200816535</x:v>
      </x:c>
      <x:c r="AG76" s="4" t="str">
        <x:f t="shared" si="13">IF(AND($A76&gt;=1,$L76&gt;=1,$L76&lt;=500,OR($N76="Tank",$N76="DPS",$N76="Support"),ISNUMBER($D76),ISNUMBER($E76),ISNUMBER($F76)),"有效","异常")</x:f>
        <x:v>有效</x:v>
      </x:c>
      <x:c r="AH76" t="n">
        <x:f>D76/(1-MIN(0.75,F76/(24000+F76)))</x:f>
        <x:v>90810.36583333333</x:v>
      </x:c>
    </x:row>
    <x:row r="77" ht="14.25" customHeight="1">
      <x:c r="A77" s="4">
        <x:v>73</x:v>
      </x:c>
      <x:c r="B77" s="4">
        <x:v>1007</x:v>
      </x:c>
      <x:c r="C77" s="4">
        <x:v>17</x:v>
      </x:c>
      <x:c r="D77" s="5" t="n">
        <x:f>IFERROR(ROUND($U77*$X77*$AA77*'参数'!$B$13,0),"")</x:f>
        <x:v>93613</x:v>
      </x:c>
      <x:c r="E77" s="5" t="n">
        <x:f>IFERROR(ROUND($V77*$Y77*$AB77*'参数'!$C$13,0),"")</x:f>
        <x:v>3185</x:v>
      </x:c>
      <x:c r="F77" s="5" t="n">
        <x:f>IFERROR(ROUND($W77*$Z77*$AC77*'参数'!$D$13,0),"")</x:f>
        <x:v>6378</x:v>
      </x:c>
      <x:c r="G77" s="4">
        <x:v>112032</x:v>
      </x:c>
      <x:c r="H77" s="4">
        <x:v>3744</x:v>
      </x:c>
      <x:c r="I77" s="4">
        <x:v>4899</x:v>
      </x:c>
      <x:c r="J77" s="4">
        <x:v>15</x:v>
      </x:c>
      <x:c r="K77" s="4">
        <x:v>15</x:v>
      </x:c>
      <x:c r="L77" s="4" t="n">
        <x:f>IFERROR(INDEX('楼层配置'!$D$5:$D$104,MATCH($K77,'楼层配置'!$B$5:$B$104,0)),"")</x:f>
        <x:v>63</x:v>
      </x:c>
      <x:c r="M77" s="4" t="str">
        <x:f>IFERROR(INDEX('_角色基线'!$B$2:$B$100,MATCH($B77,'_角色基线'!$A$2:$A$100,0)),"")</x:f>
        <x:v>萨萨莉安</x:v>
      </x:c>
      <x:c r="N77" s="4" t="str">
        <x:f>IFERROR(INDEX('_角色基线'!$C$2:$C$100,MATCH($B77,'_角色基线'!$A$2:$A$100,0)),"")</x:f>
        <x:v>Support</x:v>
      </x:c>
      <x:c r="O77" s="4" t="n">
        <x:f>IFERROR(INDEX('_怪物基线'!$B$2:$B$501,MATCH(INT($L77),'_怪物基线'!$A$2:$A$501,0)),"")</x:f>
        <x:v>16542</x:v>
      </x:c>
      <x:c r="P77" s="4" t="n">
        <x:f>IFERROR(INDEX('_怪物基线'!$C$2:$C$501,MATCH(INT($L77),'_怪物基线'!$A$2:$A$501,0)),"")</x:f>
        <x:v>3600</x:v>
      </x:c>
      <x:c r="Q77" s="4" t="n">
        <x:f>IFERROR(INDEX('_怪物基线'!$D$2:$D$501,MATCH(INT($L77),'_怪物基线'!$A$2:$A$501,0)),"")</x:f>
        <x:v>5102</x:v>
      </x:c>
      <x:c r="R77" s="4" t="n">
        <x:f>'参数'!$B$10</x:f>
        <x:v>4</x:v>
      </x:c>
      <x:c r="S77" s="4" t="n">
        <x:f>'参数'!$C$10</x:f>
        <x:v>1.2</x:v>
      </x:c>
      <x:c r="T77" s="4" t="n">
        <x:f>'参数'!$D$10</x:f>
        <x:v>1</x:v>
      </x:c>
      <x:c r="U77" s="4" t="n">
        <x:f t="shared" si="7">IF($O77="","",$O77*$R77)</x:f>
        <x:v>66168</x:v>
      </x:c>
      <x:c r="V77" s="4" t="n">
        <x:f t="shared" si="8">IF($P77="","",$P77*$S77)</x:f>
        <x:v>4320</x:v>
      </x:c>
      <x:c r="W77" s="4" t="n">
        <x:f t="shared" si="9">IF($Q77="","",$Q77*$T77)</x:f>
        <x:v>5102</x:v>
      </x:c>
      <x:c r="X77" s="4" t="n">
        <x:f>IFERROR(INDEX('参数'!$B$5:$B$7,MATCH($N77,'参数'!$A$5:$A$7,0)),"")</x:f>
        <x:v>1.25</x:v>
      </x:c>
      <x:c r="Y77" s="4" t="n">
        <x:f>IFERROR(INDEX('参数'!$C$5:$C$7,MATCH($N77,'参数'!$A$5:$A$7,0)),"")</x:f>
        <x:v>1</x:v>
      </x:c>
      <x:c r="Z77" s="4" t="n">
        <x:f>IFERROR(INDEX('参数'!$D$5:$D$7,MATCH($N77,'参数'!$A$5:$A$7,0)),"")</x:f>
        <x:v>1.25</x:v>
      </x:c>
      <x:c r="AA77" s="4" t="n">
        <x:f>IFERROR(INDEX('楼层配置'!$E$5:$E$104,MATCH($K77,'楼层配置'!$B$5:$B$104,0)),1)</x:f>
        <x:v>1.1318191261630695</x:v>
      </x:c>
      <x:c r="AB77" s="4" t="n">
        <x:f>IFERROR(INDEX('楼层配置'!$F$5:$F$104,MATCH($K77,'楼层配置'!$B$5:$B$104,0)),1)</x:f>
        <x:v>0.7372448330371939</x:v>
      </x:c>
      <x:c r="AC77" s="4" t="n">
        <x:f>IFERROR(INDEX('楼层配置'!$G$5:$G$104,MATCH($K77,'楼层配置'!$B$5:$B$104,0)),1)</x:f>
        <x:v>1</x:v>
      </x:c>
      <x:c r="AD77" s="6" t="n">
        <x:f t="shared" si="10">IFERROR($D77/$G77-1,"")</x:f>
        <x:v>-0.16440838331905172</x:v>
      </x:c>
      <x:c r="AE77" s="6" t="n">
        <x:f t="shared" si="11">IFERROR($E77/$H77-1,"")</x:f>
        <x:v>-0.14930555555555558</x:v>
      </x:c>
      <x:c r="AF77" s="6" t="n">
        <x:f t="shared" si="12">IFERROR($F77/$I77-1,"")</x:f>
        <x:v>0.3018983466013472</x:v>
      </x:c>
      <x:c r="AG77" s="4" t="str">
        <x:f t="shared" si="13">IF(AND($A77&gt;=1,$L77&gt;=1,$L77&lt;=500,OR($N77="Tank",$N77="DPS",$N77="Support"),ISNUMBER($D77),ISNUMBER($E77),ISNUMBER($F77)),"有效","异常")</x:f>
        <x:v>有效</x:v>
      </x:c>
      <x:c r="AH77" t="n">
        <x:f>D77/(1-MIN(0.75,F77/(24000+F77)))</x:f>
        <x:v>118490.65474999999</x:v>
      </x:c>
    </x:row>
    <x:row r="78" ht="14.25" customHeight="1">
      <x:c r="A78" s="4">
        <x:v>74</x:v>
      </x:c>
      <x:c r="B78" s="4">
        <x:v>1008</x:v>
      </x:c>
      <x:c r="C78" s="4">
        <x:v>17</x:v>
      </x:c>
      <x:c r="D78" s="5" t="n">
        <x:f>IFERROR(ROUND($U78*$X78*$AA78*'参数'!$B$13,0),"")</x:f>
        <x:v>74890</x:v>
      </x:c>
      <x:c r="E78" s="5" t="n">
        <x:f>IFERROR(ROUND($V78*$Y78*$AB78*'参数'!$C$13,0),"")</x:f>
        <x:v>3822</x:v>
      </x:c>
      <x:c r="F78" s="5" t="n">
        <x:f>IFERROR(ROUND($W78*$Z78*$AC78*'参数'!$D$13,0),"")</x:f>
        <x:v>5102</x:v>
      </x:c>
      <x:c r="G78" s="4">
        <x:v>89625</x:v>
      </x:c>
      <x:c r="H78" s="4">
        <x:v>4492</x:v>
      </x:c>
      <x:c r="I78" s="4">
        <x:v>3919</x:v>
      </x:c>
      <x:c r="J78" s="4">
        <x:v>15</x:v>
      </x:c>
      <x:c r="K78" s="4">
        <x:v>15</x:v>
      </x:c>
      <x:c r="L78" s="4" t="n">
        <x:f>IFERROR(INDEX('楼层配置'!$D$5:$D$104,MATCH($K78,'楼层配置'!$B$5:$B$104,0)),"")</x:f>
        <x:v>63</x:v>
      </x:c>
      <x:c r="M78" s="4" t="str">
        <x:f>IFERROR(INDEX('_角色基线'!$B$2:$B$100,MATCH($B78,'_角色基线'!$A$2:$A$100,0)),"")</x:f>
        <x:v>薇</x:v>
      </x:c>
      <x:c r="N78" s="4" t="str">
        <x:f>IFERROR(INDEX('_角色基线'!$C$2:$C$100,MATCH($B78,'_角色基线'!$A$2:$A$100,0)),"")</x:f>
        <x:v>DPS</x:v>
      </x:c>
      <x:c r="O78" s="4" t="n">
        <x:f>IFERROR(INDEX('_怪物基线'!$B$2:$B$501,MATCH(INT($L78),'_怪物基线'!$A$2:$A$501,0)),"")</x:f>
        <x:v>16542</x:v>
      </x:c>
      <x:c r="P78" s="4" t="n">
        <x:f>IFERROR(INDEX('_怪物基线'!$C$2:$C$501,MATCH(INT($L78),'_怪物基线'!$A$2:$A$501,0)),"")</x:f>
        <x:v>3600</x:v>
      </x:c>
      <x:c r="Q78" s="4" t="n">
        <x:f>IFERROR(INDEX('_怪物基线'!$D$2:$D$501,MATCH(INT($L78),'_怪物基线'!$A$2:$A$501,0)),"")</x:f>
        <x:v>5102</x:v>
      </x:c>
      <x:c r="R78" s="4" t="n">
        <x:f>'参数'!$B$10</x:f>
        <x:v>4</x:v>
      </x:c>
      <x:c r="S78" s="4" t="n">
        <x:f>'参数'!$C$10</x:f>
        <x:v>1.2</x:v>
      </x:c>
      <x:c r="T78" s="4" t="n">
        <x:f>'参数'!$D$10</x:f>
        <x:v>1</x:v>
      </x:c>
      <x:c r="U78" s="4" t="n">
        <x:f t="shared" si="7">IF($O78="","",$O78*$R78)</x:f>
        <x:v>66168</x:v>
      </x:c>
      <x:c r="V78" s="4" t="n">
        <x:f t="shared" si="8">IF($P78="","",$P78*$S78)</x:f>
        <x:v>4320</x:v>
      </x:c>
      <x:c r="W78" s="4" t="n">
        <x:f t="shared" si="9">IF($Q78="","",$Q78*$T78)</x:f>
        <x:v>5102</x:v>
      </x:c>
      <x:c r="X78" s="4" t="n">
        <x:f>IFERROR(INDEX('参数'!$B$5:$B$7,MATCH($N78,'参数'!$A$5:$A$7,0)),"")</x:f>
        <x:v>1</x:v>
      </x:c>
      <x:c r="Y78" s="4" t="n">
        <x:f>IFERROR(INDEX('参数'!$C$5:$C$7,MATCH($N78,'参数'!$A$5:$A$7,0)),"")</x:f>
        <x:v>1.2</x:v>
      </x:c>
      <x:c r="Z78" s="4" t="n">
        <x:f>IFERROR(INDEX('参数'!$D$5:$D$7,MATCH($N78,'参数'!$A$5:$A$7,0)),"")</x:f>
        <x:v>1</x:v>
      </x:c>
      <x:c r="AA78" s="4" t="n">
        <x:f>IFERROR(INDEX('楼层配置'!$E$5:$E$104,MATCH($K78,'楼层配置'!$B$5:$B$104,0)),1)</x:f>
        <x:v>1.1318191261630695</x:v>
      </x:c>
      <x:c r="AB78" s="4" t="n">
        <x:f>IFERROR(INDEX('楼层配置'!$F$5:$F$104,MATCH($K78,'楼层配置'!$B$5:$B$104,0)),1)</x:f>
        <x:v>0.7372448330371939</x:v>
      </x:c>
      <x:c r="AC78" s="4" t="n">
        <x:f>IFERROR(INDEX('楼层配置'!$G$5:$G$104,MATCH($K78,'楼层配置'!$B$5:$B$104,0)),1)</x:f>
        <x:v>1</x:v>
      </x:c>
      <x:c r="AD78" s="6" t="n">
        <x:f t="shared" si="10">IFERROR($D78/$G78-1,"")</x:f>
        <x:v>-0.1644072524407253</x:v>
      </x:c>
      <x:c r="AE78" s="6" t="n">
        <x:f t="shared" si="11">IFERROR($E78/$H78-1,"")</x:f>
        <x:v>-0.14915405164737305</x:v>
      </x:c>
      <x:c r="AF78" s="6" t="n">
        <x:f t="shared" si="12">IFERROR($F78/$I78-1,"")</x:f>
        <x:v>0.3018627200816535</x:v>
      </x:c>
      <x:c r="AG78" s="4" t="str">
        <x:f t="shared" si="13">IF(AND($A78&gt;=1,$L78&gt;=1,$L78&lt;=500,OR($N78="Tank",$N78="DPS",$N78="Support"),ISNUMBER($D78),ISNUMBER($E78),ISNUMBER($F78)),"有效","异常")</x:f>
        <x:v>有效</x:v>
      </x:c>
      <x:c r="AH78" t="n">
        <x:f>D78/(1-MIN(0.75,F78/(24000+F78)))</x:f>
        <x:v>90810.36583333333</x:v>
      </x:c>
    </x:row>
    <x:row r="79" ht="14.25" customHeight="1">
      <x:c r="A79" s="4">
        <x:v>75</x:v>
      </x:c>
      <x:c r="B79" s="4">
        <x:v>1029</x:v>
      </x:c>
      <x:c r="C79" s="4">
        <x:v>17</x:v>
      </x:c>
      <x:c r="D79" s="5" t="n">
        <x:f>IFERROR(ROUND($U79*$X79*$AA79*'参数'!$B$13,0),"")</x:f>
        <x:v>93613</x:v>
      </x:c>
      <x:c r="E79" s="5" t="n">
        <x:f>IFERROR(ROUND($V79*$Y79*$AB79*'参数'!$C$13,0),"")</x:f>
        <x:v>3185</x:v>
      </x:c>
      <x:c r="F79" s="5" t="n">
        <x:f>IFERROR(ROUND($W79*$Z79*$AC79*'参数'!$D$13,0),"")</x:f>
        <x:v>6378</x:v>
      </x:c>
      <x:c r="G79" s="4">
        <x:v>112032</x:v>
      </x:c>
      <x:c r="H79" s="4">
        <x:v>3744</x:v>
      </x:c>
      <x:c r="I79" s="4">
        <x:v>4899</x:v>
      </x:c>
      <x:c r="J79" s="4">
        <x:v>15</x:v>
      </x:c>
      <x:c r="K79" s="4">
        <x:v>15</x:v>
      </x:c>
      <x:c r="L79" s="4" t="n">
        <x:f>IFERROR(INDEX('楼层配置'!$D$5:$D$104,MATCH($K79,'楼层配置'!$B$5:$B$104,0)),"")</x:f>
        <x:v>63</x:v>
      </x:c>
      <x:c r="M79" s="4" t="str">
        <x:f>IFERROR(INDEX('_角色基线'!$B$2:$B$100,MATCH($B79,'_角色基线'!$A$2:$A$100,0)),"")</x:f>
        <x:v>凯兰</x:v>
      </x:c>
      <x:c r="N79" s="4" t="str">
        <x:f>IFERROR(INDEX('_角色基线'!$C$2:$C$100,MATCH($B79,'_角色基线'!$A$2:$A$100,0)),"")</x:f>
        <x:v>Support</x:v>
      </x:c>
      <x:c r="O79" s="4" t="n">
        <x:f>IFERROR(INDEX('_怪物基线'!$B$2:$B$501,MATCH(INT($L79),'_怪物基线'!$A$2:$A$501,0)),"")</x:f>
        <x:v>16542</x:v>
      </x:c>
      <x:c r="P79" s="4" t="n">
        <x:f>IFERROR(INDEX('_怪物基线'!$C$2:$C$501,MATCH(INT($L79),'_怪物基线'!$A$2:$A$501,0)),"")</x:f>
        <x:v>3600</x:v>
      </x:c>
      <x:c r="Q79" s="4" t="n">
        <x:f>IFERROR(INDEX('_怪物基线'!$D$2:$D$501,MATCH(INT($L79),'_怪物基线'!$A$2:$A$501,0)),"")</x:f>
        <x:v>5102</x:v>
      </x:c>
      <x:c r="R79" s="4" t="n">
        <x:f>'参数'!$B$10</x:f>
        <x:v>4</x:v>
      </x:c>
      <x:c r="S79" s="4" t="n">
        <x:f>'参数'!$C$10</x:f>
        <x:v>1.2</x:v>
      </x:c>
      <x:c r="T79" s="4" t="n">
        <x:f>'参数'!$D$10</x:f>
        <x:v>1</x:v>
      </x:c>
      <x:c r="U79" s="4" t="n">
        <x:f t="shared" si="7">IF($O79="","",$O79*$R79)</x:f>
        <x:v>66168</x:v>
      </x:c>
      <x:c r="V79" s="4" t="n">
        <x:f t="shared" si="8">IF($P79="","",$P79*$S79)</x:f>
        <x:v>4320</x:v>
      </x:c>
      <x:c r="W79" s="4" t="n">
        <x:f t="shared" si="9">IF($Q79="","",$Q79*$T79)</x:f>
        <x:v>5102</x:v>
      </x:c>
      <x:c r="X79" s="4" t="n">
        <x:f>IFERROR(INDEX('参数'!$B$5:$B$7,MATCH($N79,'参数'!$A$5:$A$7,0)),"")</x:f>
        <x:v>1.25</x:v>
      </x:c>
      <x:c r="Y79" s="4" t="n">
        <x:f>IFERROR(INDEX('参数'!$C$5:$C$7,MATCH($N79,'参数'!$A$5:$A$7,0)),"")</x:f>
        <x:v>1</x:v>
      </x:c>
      <x:c r="Z79" s="4" t="n">
        <x:f>IFERROR(INDEX('参数'!$D$5:$D$7,MATCH($N79,'参数'!$A$5:$A$7,0)),"")</x:f>
        <x:v>1.25</x:v>
      </x:c>
      <x:c r="AA79" s="4" t="n">
        <x:f>IFERROR(INDEX('楼层配置'!$E$5:$E$104,MATCH($K79,'楼层配置'!$B$5:$B$104,0)),1)</x:f>
        <x:v>1.1318191261630695</x:v>
      </x:c>
      <x:c r="AB79" s="4" t="n">
        <x:f>IFERROR(INDEX('楼层配置'!$F$5:$F$104,MATCH($K79,'楼层配置'!$B$5:$B$104,0)),1)</x:f>
        <x:v>0.7372448330371939</x:v>
      </x:c>
      <x:c r="AC79" s="4" t="n">
        <x:f>IFERROR(INDEX('楼层配置'!$G$5:$G$104,MATCH($K79,'楼层配置'!$B$5:$B$104,0)),1)</x:f>
        <x:v>1</x:v>
      </x:c>
      <x:c r="AD79" s="6" t="n">
        <x:f t="shared" si="10">IFERROR($D79/$G79-1,"")</x:f>
        <x:v>-0.16440838331905172</x:v>
      </x:c>
      <x:c r="AE79" s="6" t="n">
        <x:f t="shared" si="11">IFERROR($E79/$H79-1,"")</x:f>
        <x:v>-0.14930555555555558</x:v>
      </x:c>
      <x:c r="AF79" s="6" t="n">
        <x:f t="shared" si="12">IFERROR($F79/$I79-1,"")</x:f>
        <x:v>0.3018983466013472</x:v>
      </x:c>
      <x:c r="AG79" s="4" t="str">
        <x:f t="shared" si="13">IF(AND($A79&gt;=1,$L79&gt;=1,$L79&lt;=500,OR($N79="Tank",$N79="DPS",$N79="Support"),ISNUMBER($D79),ISNUMBER($E79),ISNUMBER($F79)),"有效","异常")</x:f>
        <x:v>有效</x:v>
      </x:c>
      <x:c r="AH79" t="n">
        <x:f>D79/(1-MIN(0.75,F79/(24000+F79)))</x:f>
        <x:v>118490.65474999999</x:v>
      </x:c>
    </x:row>
    <x:row r="80" ht="14.25" customHeight="1">
      <x:c r="A80" s="4">
        <x:v>76</x:v>
      </x:c>
      <x:c r="B80" s="4">
        <x:v>1030</x:v>
      </x:c>
      <x:c r="C80" s="4">
        <x:v>18</x:v>
      </x:c>
      <x:c r="D80" s="5" t="n">
        <x:f>IFERROR(ROUND($U80*$X80*$AA80*'参数'!$B$13,0),"")</x:f>
        <x:v>122916</x:v>
      </x:c>
      <x:c r="E80" s="5" t="n">
        <x:f>IFERROR(ROUND($V80*$Y80*$AB80*'参数'!$C$13,0),"")</x:f>
        <x:v>3364</x:v>
      </x:c>
      <x:c r="F80" s="5" t="n">
        <x:f>IFERROR(ROUND($W80*$Z80*$AC80*'参数'!$D$13,0),"")</x:f>
        <x:v>8051</x:v>
      </x:c>
      <x:c r="G80" s="4">
        <x:v>147247</x:v>
      </x:c>
      <x:c r="H80" s="4">
        <x:v>3984</x:v>
      </x:c>
      <x:c r="I80" s="4">
        <x:v>6231</x:v>
      </x:c>
      <x:c r="J80" s="4">
        <x:v>16</x:v>
      </x:c>
      <x:c r="K80" s="4">
        <x:v>16</x:v>
      </x:c>
      <x:c r="L80" s="4" t="n">
        <x:f>IFERROR(INDEX('楼层配置'!$D$5:$D$104,MATCH($K80,'楼层配置'!$B$5:$B$104,0)),"")</x:f>
        <x:v>66</x:v>
      </x:c>
      <x:c r="M80" s="4" t="str">
        <x:f>IFERROR(INDEX('_角色基线'!$B$2:$B$100,MATCH($B80,'_角色基线'!$A$2:$A$100,0)),"")</x:f>
        <x:v>莫莉</x:v>
      </x:c>
      <x:c r="N80" s="4" t="str">
        <x:f>IFERROR(INDEX('_角色基线'!$C$2:$C$100,MATCH($B80,'_角色基线'!$A$2:$A$100,0)),"")</x:f>
        <x:v>Tank</x:v>
      </x:c>
      <x:c r="O80" s="4" t="n">
        <x:f>IFERROR(INDEX('_怪物基线'!$B$2:$B$501,MATCH(INT($L80),'_怪物基线'!$A$2:$A$501,0)),"")</x:f>
        <x:v>17879</x:v>
      </x:c>
      <x:c r="P80" s="4" t="n">
        <x:f>IFERROR(INDEX('_怪物基线'!$C$2:$C$501,MATCH(INT($L80),'_怪物基线'!$A$2:$A$501,0)),"")</x:f>
        <x:v>3818</x:v>
      </x:c>
      <x:c r="Q80" s="4" t="n">
        <x:f>IFERROR(INDEX('_怪物基线'!$D$2:$D$501,MATCH(INT($L80),'_怪物基线'!$A$2:$A$501,0)),"")</x:f>
        <x:v>5367</x:v>
      </x:c>
      <x:c r="R80" s="4" t="n">
        <x:f>'参数'!$B$10</x:f>
        <x:v>4</x:v>
      </x:c>
      <x:c r="S80" s="4" t="n">
        <x:f>'参数'!$C$10</x:f>
        <x:v>1.2</x:v>
      </x:c>
      <x:c r="T80" s="4" t="n">
        <x:f>'参数'!$D$10</x:f>
        <x:v>1</x:v>
      </x:c>
      <x:c r="U80" s="4" t="n">
        <x:f t="shared" si="7">IF($O80="","",$O80*$R80)</x:f>
        <x:v>71516</x:v>
      </x:c>
      <x:c r="V80" s="4" t="n">
        <x:f t="shared" si="8">IF($P80="","",$P80*$S80)</x:f>
        <x:v>4581.599999999999</x:v>
      </x:c>
      <x:c r="W80" s="4" t="n">
        <x:f t="shared" si="9">IF($Q80="","",$Q80*$T80)</x:f>
        <x:v>5367</x:v>
      </x:c>
      <x:c r="X80" s="4" t="n">
        <x:f>IFERROR(INDEX('参数'!$B$5:$B$7,MATCH($N80,'参数'!$A$5:$A$7,0)),"")</x:f>
        <x:v>1.5</x:v>
      </x:c>
      <x:c r="Y80" s="4" t="n">
        <x:f>IFERROR(INDEX('参数'!$C$5:$C$7,MATCH($N80,'参数'!$A$5:$A$7,0)),"")</x:f>
        <x:v>1</x:v>
      </x:c>
      <x:c r="Z80" s="4" t="n">
        <x:f>IFERROR(INDEX('参数'!$D$5:$D$7,MATCH($N80,'参数'!$A$5:$A$7,0)),"")</x:f>
        <x:v>1.5</x:v>
      </x:c>
      <x:c r="AA80" s="4" t="n">
        <x:f>IFERROR(INDEX('楼层配置'!$E$5:$E$104,MATCH($K80,'楼层配置'!$B$5:$B$104,0)),1)</x:f>
        <x:v>1.1458168739611851</x:v>
      </x:c>
      <x:c r="AB80" s="4" t="n">
        <x:f>IFERROR(INDEX('楼层配置'!$F$5:$F$104,MATCH($K80,'楼层配置'!$B$5:$B$104,0)),1)</x:f>
        <x:v>0.734314126639064</x:v>
      </x:c>
      <x:c r="AC80" s="4" t="n">
        <x:f>IFERROR(INDEX('楼层配置'!$G$5:$G$104,MATCH($K80,'楼层配置'!$B$5:$B$104,0)),1)</x:f>
        <x:v>1</x:v>
      </x:c>
      <x:c r="AD80" s="6" t="n">
        <x:f t="shared" si="10">IFERROR($D80/$G80-1,"")</x:f>
        <x:v>-0.16523935971530834</x:v>
      </x:c>
      <x:c r="AE80" s="6" t="n">
        <x:f t="shared" si="11">IFERROR($E80/$H80-1,"")</x:f>
        <x:v>-0.1556224899598394</x:v>
      </x:c>
      <x:c r="AF80" s="6" t="n">
        <x:f t="shared" si="12">IFERROR($F80/$I80-1,"")</x:f>
        <x:v>0.29208794735997423</x:v>
      </x:c>
      <x:c r="AG80" s="4" t="str">
        <x:f t="shared" si="13">IF(AND($A80&gt;=1,$L80&gt;=1,$L80&lt;=500,OR($N80="Tank",$N80="DPS",$N80="Support"),ISNUMBER($D80),ISNUMBER($E80),ISNUMBER($F80)),"有效","异常")</x:f>
        <x:v>有效</x:v>
      </x:c>
      <x:c r="AH80" t="n">
        <x:f>D80/(1-MIN(0.75,F80/(24000+F80)))</x:f>
        <x:v>164149.1965</x:v>
      </x:c>
    </x:row>
    <x:row r="81" ht="14.25" customHeight="1">
      <x:c r="A81" s="4">
        <x:v>77</x:v>
      </x:c>
      <x:c r="B81" s="4">
        <x:v>1002</x:v>
      </x:c>
      <x:c r="C81" s="4">
        <x:v>18</x:v>
      </x:c>
      <x:c r="D81" s="5" t="n">
        <x:f>IFERROR(ROUND($U81*$X81*$AA81*'参数'!$B$13,0),"")</x:f>
        <x:v>122916</x:v>
      </x:c>
      <x:c r="E81" s="5" t="n">
        <x:f>IFERROR(ROUND($V81*$Y81*$AB81*'参数'!$C$13,0),"")</x:f>
        <x:v>3364</x:v>
      </x:c>
      <x:c r="F81" s="5" t="n">
        <x:f>IFERROR(ROUND($W81*$Z81*$AC81*'参数'!$D$13,0),"")</x:f>
        <x:v>8051</x:v>
      </x:c>
      <x:c r="G81" s="4">
        <x:v>147247</x:v>
      </x:c>
      <x:c r="H81" s="4">
        <x:v>3984</x:v>
      </x:c>
      <x:c r="I81" s="4">
        <x:v>6231</x:v>
      </x:c>
      <x:c r="J81" s="4">
        <x:v>16</x:v>
      </x:c>
      <x:c r="K81" s="4">
        <x:v>16</x:v>
      </x:c>
      <x:c r="L81" s="4" t="n">
        <x:f>IFERROR(INDEX('楼层配置'!$D$5:$D$104,MATCH($K81,'楼层配置'!$B$5:$B$104,0)),"")</x:f>
        <x:v>66</x:v>
      </x:c>
      <x:c r="M81" s="4" t="str">
        <x:f>IFERROR(INDEX('_角色基线'!$B$2:$B$100,MATCH($B81,'_角色基线'!$A$2:$A$100,0)),"")</x:f>
        <x:v>大暑</x:v>
      </x:c>
      <x:c r="N81" s="4" t="str">
        <x:f>IFERROR(INDEX('_角色基线'!$C$2:$C$100,MATCH($B81,'_角色基线'!$A$2:$A$100,0)),"")</x:f>
        <x:v>Tank</x:v>
      </x:c>
      <x:c r="O81" s="4" t="n">
        <x:f>IFERROR(INDEX('_怪物基线'!$B$2:$B$501,MATCH(INT($L81),'_怪物基线'!$A$2:$A$501,0)),"")</x:f>
        <x:v>17879</x:v>
      </x:c>
      <x:c r="P81" s="4" t="n">
        <x:f>IFERROR(INDEX('_怪物基线'!$C$2:$C$501,MATCH(INT($L81),'_怪物基线'!$A$2:$A$501,0)),"")</x:f>
        <x:v>3818</x:v>
      </x:c>
      <x:c r="Q81" s="4" t="n">
        <x:f>IFERROR(INDEX('_怪物基线'!$D$2:$D$501,MATCH(INT($L81),'_怪物基线'!$A$2:$A$501,0)),"")</x:f>
        <x:v>5367</x:v>
      </x:c>
      <x:c r="R81" s="4" t="n">
        <x:f>'参数'!$B$10</x:f>
        <x:v>4</x:v>
      </x:c>
      <x:c r="S81" s="4" t="n">
        <x:f>'参数'!$C$10</x:f>
        <x:v>1.2</x:v>
      </x:c>
      <x:c r="T81" s="4" t="n">
        <x:f>'参数'!$D$10</x:f>
        <x:v>1</x:v>
      </x:c>
      <x:c r="U81" s="4" t="n">
        <x:f t="shared" si="7">IF($O81="","",$O81*$R81)</x:f>
        <x:v>71516</x:v>
      </x:c>
      <x:c r="V81" s="4" t="n">
        <x:f t="shared" si="8">IF($P81="","",$P81*$S81)</x:f>
        <x:v>4581.599999999999</x:v>
      </x:c>
      <x:c r="W81" s="4" t="n">
        <x:f t="shared" si="9">IF($Q81="","",$Q81*$T81)</x:f>
        <x:v>5367</x:v>
      </x:c>
      <x:c r="X81" s="4" t="n">
        <x:f>IFERROR(INDEX('参数'!$B$5:$B$7,MATCH($N81,'参数'!$A$5:$A$7,0)),"")</x:f>
        <x:v>1.5</x:v>
      </x:c>
      <x:c r="Y81" s="4" t="n">
        <x:f>IFERROR(INDEX('参数'!$C$5:$C$7,MATCH($N81,'参数'!$A$5:$A$7,0)),"")</x:f>
        <x:v>1</x:v>
      </x:c>
      <x:c r="Z81" s="4" t="n">
        <x:f>IFERROR(INDEX('参数'!$D$5:$D$7,MATCH($N81,'参数'!$A$5:$A$7,0)),"")</x:f>
        <x:v>1.5</x:v>
      </x:c>
      <x:c r="AA81" s="4" t="n">
        <x:f>IFERROR(INDEX('楼层配置'!$E$5:$E$104,MATCH($K81,'楼层配置'!$B$5:$B$104,0)),1)</x:f>
        <x:v>1.1458168739611851</x:v>
      </x:c>
      <x:c r="AB81" s="4" t="n">
        <x:f>IFERROR(INDEX('楼层配置'!$F$5:$F$104,MATCH($K81,'楼层配置'!$B$5:$B$104,0)),1)</x:f>
        <x:v>0.734314126639064</x:v>
      </x:c>
      <x:c r="AC81" s="4" t="n">
        <x:f>IFERROR(INDEX('楼层配置'!$G$5:$G$104,MATCH($K81,'楼层配置'!$B$5:$B$104,0)),1)</x:f>
        <x:v>1</x:v>
      </x:c>
      <x:c r="AD81" s="6" t="n">
        <x:f t="shared" si="10">IFERROR($D81/$G81-1,"")</x:f>
        <x:v>-0.16523935971530834</x:v>
      </x:c>
      <x:c r="AE81" s="6" t="n">
        <x:f t="shared" si="11">IFERROR($E81/$H81-1,"")</x:f>
        <x:v>-0.1556224899598394</x:v>
      </x:c>
      <x:c r="AF81" s="6" t="n">
        <x:f t="shared" si="12">IFERROR($F81/$I81-1,"")</x:f>
        <x:v>0.29208794735997423</x:v>
      </x:c>
      <x:c r="AG81" s="4" t="str">
        <x:f t="shared" si="13">IF(AND($A81&gt;=1,$L81&gt;=1,$L81&lt;=500,OR($N81="Tank",$N81="DPS",$N81="Support"),ISNUMBER($D81),ISNUMBER($E81),ISNUMBER($F81)),"有效","异常")</x:f>
        <x:v>有效</x:v>
      </x:c>
      <x:c r="AH81" t="n">
        <x:f>D81/(1-MIN(0.75,F81/(24000+F81)))</x:f>
        <x:v>164149.1965</x:v>
      </x:c>
    </x:row>
    <x:row r="82" ht="14.25" customHeight="1">
      <x:c r="A82" s="4">
        <x:v>78</x:v>
      </x:c>
      <x:c r="B82" s="4">
        <x:v>1012</x:v>
      </x:c>
      <x:c r="C82" s="4">
        <x:v>18</x:v>
      </x:c>
      <x:c r="D82" s="5" t="n">
        <x:f>IFERROR(ROUND($U82*$X82*$AA82*'参数'!$B$13,0),"")</x:f>
        <x:v>102430</x:v>
      </x:c>
      <x:c r="E82" s="5" t="n">
        <x:f>IFERROR(ROUND($V82*$Y82*$AB82*'参数'!$C$13,0),"")</x:f>
        <x:v>3364</x:v>
      </x:c>
      <x:c r="F82" s="5" t="n">
        <x:f>IFERROR(ROUND($W82*$Z82*$AC82*'参数'!$D$13,0),"")</x:f>
        <x:v>6709</x:v>
      </x:c>
      <x:c r="G82" s="4">
        <x:v>122706</x:v>
      </x:c>
      <x:c r="H82" s="4">
        <x:v>3984</x:v>
      </x:c>
      <x:c r="I82" s="4">
        <x:v>5193</x:v>
      </x:c>
      <x:c r="J82" s="4">
        <x:v>16</x:v>
      </x:c>
      <x:c r="K82" s="4">
        <x:v>16</x:v>
      </x:c>
      <x:c r="L82" s="4" t="n">
        <x:f>IFERROR(INDEX('楼层配置'!$D$5:$D$104,MATCH($K82,'楼层配置'!$B$5:$B$104,0)),"")</x:f>
        <x:v>66</x:v>
      </x:c>
      <x:c r="M82" s="4" t="str">
        <x:f>IFERROR(INDEX('_角色基线'!$B$2:$B$100,MATCH($B82,'_角色基线'!$A$2:$A$100,0)),"")</x:f>
        <x:v>艾德琳</x:v>
      </x:c>
      <x:c r="N82" s="4" t="str">
        <x:f>IFERROR(INDEX('_角色基线'!$C$2:$C$100,MATCH($B82,'_角色基线'!$A$2:$A$100,0)),"")</x:f>
        <x:v>Support</x:v>
      </x:c>
      <x:c r="O82" s="4" t="n">
        <x:f>IFERROR(INDEX('_怪物基线'!$B$2:$B$501,MATCH(INT($L82),'_怪物基线'!$A$2:$A$501,0)),"")</x:f>
        <x:v>17879</x:v>
      </x:c>
      <x:c r="P82" s="4" t="n">
        <x:f>IFERROR(INDEX('_怪物基线'!$C$2:$C$501,MATCH(INT($L82),'_怪物基线'!$A$2:$A$501,0)),"")</x:f>
        <x:v>3818</x:v>
      </x:c>
      <x:c r="Q82" s="4" t="n">
        <x:f>IFERROR(INDEX('_怪物基线'!$D$2:$D$501,MATCH(INT($L82),'_怪物基线'!$A$2:$A$501,0)),"")</x:f>
        <x:v>5367</x:v>
      </x:c>
      <x:c r="R82" s="4" t="n">
        <x:f>'参数'!$B$10</x:f>
        <x:v>4</x:v>
      </x:c>
      <x:c r="S82" s="4" t="n">
        <x:f>'参数'!$C$10</x:f>
        <x:v>1.2</x:v>
      </x:c>
      <x:c r="T82" s="4" t="n">
        <x:f>'参数'!$D$10</x:f>
        <x:v>1</x:v>
      </x:c>
      <x:c r="U82" s="4" t="n">
        <x:f t="shared" si="7">IF($O82="","",$O82*$R82)</x:f>
        <x:v>71516</x:v>
      </x:c>
      <x:c r="V82" s="4" t="n">
        <x:f t="shared" si="8">IF($P82="","",$P82*$S82)</x:f>
        <x:v>4581.599999999999</x:v>
      </x:c>
      <x:c r="W82" s="4" t="n">
        <x:f t="shared" si="9">IF($Q82="","",$Q82*$T82)</x:f>
        <x:v>5367</x:v>
      </x:c>
      <x:c r="X82" s="4" t="n">
        <x:f>IFERROR(INDEX('参数'!$B$5:$B$7,MATCH($N82,'参数'!$A$5:$A$7,0)),"")</x:f>
        <x:v>1.25</x:v>
      </x:c>
      <x:c r="Y82" s="4" t="n">
        <x:f>IFERROR(INDEX('参数'!$C$5:$C$7,MATCH($N82,'参数'!$A$5:$A$7,0)),"")</x:f>
        <x:v>1</x:v>
      </x:c>
      <x:c r="Z82" s="4" t="n">
        <x:f>IFERROR(INDEX('参数'!$D$5:$D$7,MATCH($N82,'参数'!$A$5:$A$7,0)),"")</x:f>
        <x:v>1.25</x:v>
      </x:c>
      <x:c r="AA82" s="4" t="n">
        <x:f>IFERROR(INDEX('楼层配置'!$E$5:$E$104,MATCH($K82,'楼层配置'!$B$5:$B$104,0)),1)</x:f>
        <x:v>1.1458168739611851</x:v>
      </x:c>
      <x:c r="AB82" s="4" t="n">
        <x:f>IFERROR(INDEX('楼层配置'!$F$5:$F$104,MATCH($K82,'楼层配置'!$B$5:$B$104,0)),1)</x:f>
        <x:v>0.734314126639064</x:v>
      </x:c>
      <x:c r="AC82" s="4" t="n">
        <x:f>IFERROR(INDEX('楼层配置'!$G$5:$G$104,MATCH($K82,'楼层配置'!$B$5:$B$104,0)),1)</x:f>
        <x:v>1</x:v>
      </x:c>
      <x:c r="AD82" s="6" t="n">
        <x:f t="shared" si="10">IFERROR($D82/$G82-1,"")</x:f>
        <x:v>-0.16524049353739834</x:v>
      </x:c>
      <x:c r="AE82" s="6" t="n">
        <x:f t="shared" si="11">IFERROR($E82/$H82-1,"")</x:f>
        <x:v>-0.1556224899598394</x:v>
      </x:c>
      <x:c r="AF82" s="6" t="n">
        <x:f t="shared" si="12">IFERROR($F82/$I82-1,"")</x:f>
        <x:v>0.2919314461775466</x:v>
      </x:c>
      <x:c r="AG82" s="4" t="str">
        <x:f t="shared" si="13">IF(AND($A82&gt;=1,$L82&gt;=1,$L82&lt;=500,OR($N82="Tank",$N82="DPS",$N82="Support"),ISNUMBER($D82),ISNUMBER($E82),ISNUMBER($F82)),"有效","异常")</x:f>
        <x:v>有效</x:v>
      </x:c>
      <x:c r="AH82" t="n">
        <x:f>D82/(1-MIN(0.75,F82/(24000+F82)))</x:f>
        <x:v>131063.45291666668</x:v>
      </x:c>
    </x:row>
    <x:row r="83" ht="14.25" customHeight="1">
      <x:c r="A83" s="4">
        <x:v>79</x:v>
      </x:c>
      <x:c r="B83" s="4">
        <x:v>1035</x:v>
      </x:c>
      <x:c r="C83" s="4">
        <x:v>18</x:v>
      </x:c>
      <x:c r="D83" s="5" t="n">
        <x:f>IFERROR(ROUND($U83*$X83*$AA83*'参数'!$B$13,0),"")</x:f>
        <x:v>81944</x:v>
      </x:c>
      <x:c r="E83" s="5" t="n">
        <x:f>IFERROR(ROUND($V83*$Y83*$AB83*'参数'!$C$13,0),"")</x:f>
        <x:v>4037</x:v>
      </x:c>
      <x:c r="F83" s="5" t="n">
        <x:f>IFERROR(ROUND($W83*$Z83*$AC83*'参数'!$D$13,0),"")</x:f>
        <x:v>5367</x:v>
      </x:c>
      <x:c r="G83" s="4">
        <x:v>98164</x:v>
      </x:c>
      <x:c r="H83" s="4">
        <x:v>4780</x:v>
      </x:c>
      <x:c r="I83" s="4">
        <x:v>4154</x:v>
      </x:c>
      <x:c r="J83" s="4">
        <x:v>16</x:v>
      </x:c>
      <x:c r="K83" s="4">
        <x:v>16</x:v>
      </x:c>
      <x:c r="L83" s="4" t="n">
        <x:f>IFERROR(INDEX('楼层配置'!$D$5:$D$104,MATCH($K83,'楼层配置'!$B$5:$B$104,0)),"")</x:f>
        <x:v>66</x:v>
      </x:c>
      <x:c r="M83" s="4" t="str">
        <x:f>IFERROR(INDEX('_角色基线'!$B$2:$B$100,MATCH($B83,'_角色基线'!$A$2:$A$100,0)),"")</x:f>
        <x:v>碎冰者</x:v>
      </x:c>
      <x:c r="N83" s="4" t="str">
        <x:f>IFERROR(INDEX('_角色基线'!$C$2:$C$100,MATCH($B83,'_角色基线'!$A$2:$A$100,0)),"")</x:f>
        <x:v>DPS</x:v>
      </x:c>
      <x:c r="O83" s="4" t="n">
        <x:f>IFERROR(INDEX('_怪物基线'!$B$2:$B$501,MATCH(INT($L83),'_怪物基线'!$A$2:$A$501,0)),"")</x:f>
        <x:v>17879</x:v>
      </x:c>
      <x:c r="P83" s="4" t="n">
        <x:f>IFERROR(INDEX('_怪物基线'!$C$2:$C$501,MATCH(INT($L83),'_怪物基线'!$A$2:$A$501,0)),"")</x:f>
        <x:v>3818</x:v>
      </x:c>
      <x:c r="Q83" s="4" t="n">
        <x:f>IFERROR(INDEX('_怪物基线'!$D$2:$D$501,MATCH(INT($L83),'_怪物基线'!$A$2:$A$501,0)),"")</x:f>
        <x:v>5367</x:v>
      </x:c>
      <x:c r="R83" s="4" t="n">
        <x:f>'参数'!$B$10</x:f>
        <x:v>4</x:v>
      </x:c>
      <x:c r="S83" s="4" t="n">
        <x:f>'参数'!$C$10</x:f>
        <x:v>1.2</x:v>
      </x:c>
      <x:c r="T83" s="4" t="n">
        <x:f>'参数'!$D$10</x:f>
        <x:v>1</x:v>
      </x:c>
      <x:c r="U83" s="4" t="n">
        <x:f t="shared" si="7">IF($O83="","",$O83*$R83)</x:f>
        <x:v>71516</x:v>
      </x:c>
      <x:c r="V83" s="4" t="n">
        <x:f t="shared" si="8">IF($P83="","",$P83*$S83)</x:f>
        <x:v>4581.599999999999</x:v>
      </x:c>
      <x:c r="W83" s="4" t="n">
        <x:f t="shared" si="9">IF($Q83="","",$Q83*$T83)</x:f>
        <x:v>5367</x:v>
      </x:c>
      <x:c r="X83" s="4" t="n">
        <x:f>IFERROR(INDEX('参数'!$B$5:$B$7,MATCH($N83,'参数'!$A$5:$A$7,0)),"")</x:f>
        <x:v>1</x:v>
      </x:c>
      <x:c r="Y83" s="4" t="n">
        <x:f>IFERROR(INDEX('参数'!$C$5:$C$7,MATCH($N83,'参数'!$A$5:$A$7,0)),"")</x:f>
        <x:v>1.2</x:v>
      </x:c>
      <x:c r="Z83" s="4" t="n">
        <x:f>IFERROR(INDEX('参数'!$D$5:$D$7,MATCH($N83,'参数'!$A$5:$A$7,0)),"")</x:f>
        <x:v>1</x:v>
      </x:c>
      <x:c r="AA83" s="4" t="n">
        <x:f>IFERROR(INDEX('楼层配置'!$E$5:$E$104,MATCH($K83,'楼层配置'!$B$5:$B$104,0)),1)</x:f>
        <x:v>1.1458168739611851</x:v>
      </x:c>
      <x:c r="AB83" s="4" t="n">
        <x:f>IFERROR(INDEX('楼层配置'!$F$5:$F$104,MATCH($K83,'楼层配置'!$B$5:$B$104,0)),1)</x:f>
        <x:v>0.734314126639064</x:v>
      </x:c>
      <x:c r="AC83" s="4" t="n">
        <x:f>IFERROR(INDEX('楼层配置'!$G$5:$G$104,MATCH($K83,'楼层配置'!$B$5:$B$104,0)),1)</x:f>
        <x:v>1</x:v>
      </x:c>
      <x:c r="AD83" s="6" t="n">
        <x:f t="shared" si="10">IFERROR($D83/$G83-1,"")</x:f>
        <x:v>-0.1652336905586569</x:v>
      </x:c>
      <x:c r="AE83" s="6" t="n">
        <x:f t="shared" si="11">IFERROR($E83/$H83-1,"")</x:f>
        <x:v>-0.1554393305439331</x:v>
      </x:c>
      <x:c r="AF83" s="6" t="n">
        <x:f t="shared" si="12">IFERROR($F83/$I83-1,"")</x:f>
        <x:v>0.2920077034183919</x:v>
      </x:c>
      <x:c r="AG83" s="4" t="str">
        <x:f t="shared" si="13">IF(AND($A83&gt;=1,$L83&gt;=1,$L83&lt;=500,OR($N83="Tank",$N83="DPS",$N83="Support"),ISNUMBER($D83),ISNUMBER($E83),ISNUMBER($F83)),"有效","异常")</x:f>
        <x:v>有效</x:v>
      </x:c>
      <x:c r="AH83" t="n">
        <x:f>D83/(1-MIN(0.75,F83/(24000+F83)))</x:f>
        <x:v>100268.727</x:v>
      </x:c>
    </x:row>
    <x:row r="84" ht="14.25" customHeight="1">
      <x:c r="A84" s="4">
        <x:v>80</x:v>
      </x:c>
      <x:c r="B84" s="4">
        <x:v>1036</x:v>
      </x:c>
      <x:c r="C84" s="4">
        <x:v>18</x:v>
      </x:c>
      <x:c r="D84" s="5" t="n">
        <x:f>IFERROR(ROUND($U84*$X84*$AA84*'参数'!$B$13,0),"")</x:f>
        <x:v>81944</x:v>
      </x:c>
      <x:c r="E84" s="5" t="n">
        <x:f>IFERROR(ROUND($V84*$Y84*$AB84*'参数'!$C$13,0),"")</x:f>
        <x:v>4037</x:v>
      </x:c>
      <x:c r="F84" s="5" t="n">
        <x:f>IFERROR(ROUND($W84*$Z84*$AC84*'参数'!$D$13,0),"")</x:f>
        <x:v>5367</x:v>
      </x:c>
      <x:c r="G84" s="4">
        <x:v>98164</x:v>
      </x:c>
      <x:c r="H84" s="4">
        <x:v>4780</x:v>
      </x:c>
      <x:c r="I84" s="4">
        <x:v>4154</x:v>
      </x:c>
      <x:c r="J84" s="4">
        <x:v>16</x:v>
      </x:c>
      <x:c r="K84" s="4">
        <x:v>16</x:v>
      </x:c>
      <x:c r="L84" s="4" t="n">
        <x:f>IFERROR(INDEX('楼层配置'!$D$5:$D$104,MATCH($K84,'楼层配置'!$B$5:$B$104,0)),"")</x:f>
        <x:v>66</x:v>
      </x:c>
      <x:c r="M84" s="4" t="str">
        <x:f>IFERROR(INDEX('_角色基线'!$B$2:$B$100,MATCH($B84,'_角色基线'!$A$2:$A$100,0)),"")</x:f>
        <x:v>霜狼法师</x:v>
      </x:c>
      <x:c r="N84" s="4" t="str">
        <x:f>IFERROR(INDEX('_角色基线'!$C$2:$C$100,MATCH($B84,'_角色基线'!$A$2:$A$100,0)),"")</x:f>
        <x:v>DPS</x:v>
      </x:c>
      <x:c r="O84" s="4" t="n">
        <x:f>IFERROR(INDEX('_怪物基线'!$B$2:$B$501,MATCH(INT($L84),'_怪物基线'!$A$2:$A$501,0)),"")</x:f>
        <x:v>17879</x:v>
      </x:c>
      <x:c r="P84" s="4" t="n">
        <x:f>IFERROR(INDEX('_怪物基线'!$C$2:$C$501,MATCH(INT($L84),'_怪物基线'!$A$2:$A$501,0)),"")</x:f>
        <x:v>3818</x:v>
      </x:c>
      <x:c r="Q84" s="4" t="n">
        <x:f>IFERROR(INDEX('_怪物基线'!$D$2:$D$501,MATCH(INT($L84),'_怪物基线'!$A$2:$A$501,0)),"")</x:f>
        <x:v>5367</x:v>
      </x:c>
      <x:c r="R84" s="4" t="n">
        <x:f>'参数'!$B$10</x:f>
        <x:v>4</x:v>
      </x:c>
      <x:c r="S84" s="4" t="n">
        <x:f>'参数'!$C$10</x:f>
        <x:v>1.2</x:v>
      </x:c>
      <x:c r="T84" s="4" t="n">
        <x:f>'参数'!$D$10</x:f>
        <x:v>1</x:v>
      </x:c>
      <x:c r="U84" s="4" t="n">
        <x:f t="shared" si="7">IF($O84="","",$O84*$R84)</x:f>
        <x:v>71516</x:v>
      </x:c>
      <x:c r="V84" s="4" t="n">
        <x:f t="shared" si="8">IF($P84="","",$P84*$S84)</x:f>
        <x:v>4581.599999999999</x:v>
      </x:c>
      <x:c r="W84" s="4" t="n">
        <x:f t="shared" si="9">IF($Q84="","",$Q84*$T84)</x:f>
        <x:v>5367</x:v>
      </x:c>
      <x:c r="X84" s="4" t="n">
        <x:f>IFERROR(INDEX('参数'!$B$5:$B$7,MATCH($N84,'参数'!$A$5:$A$7,0)),"")</x:f>
        <x:v>1</x:v>
      </x:c>
      <x:c r="Y84" s="4" t="n">
        <x:f>IFERROR(INDEX('参数'!$C$5:$C$7,MATCH($N84,'参数'!$A$5:$A$7,0)),"")</x:f>
        <x:v>1.2</x:v>
      </x:c>
      <x:c r="Z84" s="4" t="n">
        <x:f>IFERROR(INDEX('参数'!$D$5:$D$7,MATCH($N84,'参数'!$A$5:$A$7,0)),"")</x:f>
        <x:v>1</x:v>
      </x:c>
      <x:c r="AA84" s="4" t="n">
        <x:f>IFERROR(INDEX('楼层配置'!$E$5:$E$104,MATCH($K84,'楼层配置'!$B$5:$B$104,0)),1)</x:f>
        <x:v>1.1458168739611851</x:v>
      </x:c>
      <x:c r="AB84" s="4" t="n">
        <x:f>IFERROR(INDEX('楼层配置'!$F$5:$F$104,MATCH($K84,'楼层配置'!$B$5:$B$104,0)),1)</x:f>
        <x:v>0.734314126639064</x:v>
      </x:c>
      <x:c r="AC84" s="4" t="n">
        <x:f>IFERROR(INDEX('楼层配置'!$G$5:$G$104,MATCH($K84,'楼层配置'!$B$5:$B$104,0)),1)</x:f>
        <x:v>1</x:v>
      </x:c>
      <x:c r="AD84" s="6" t="n">
        <x:f t="shared" si="10">IFERROR($D84/$G84-1,"")</x:f>
        <x:v>-0.1652336905586569</x:v>
      </x:c>
      <x:c r="AE84" s="6" t="n">
        <x:f t="shared" si="11">IFERROR($E84/$H84-1,"")</x:f>
        <x:v>-0.1554393305439331</x:v>
      </x:c>
      <x:c r="AF84" s="6" t="n">
        <x:f t="shared" si="12">IFERROR($F84/$I84-1,"")</x:f>
        <x:v>0.2920077034183919</x:v>
      </x:c>
      <x:c r="AG84" s="4" t="str">
        <x:f t="shared" si="13">IF(AND($A84&gt;=1,$L84&gt;=1,$L84&lt;=500,OR($N84="Tank",$N84="DPS",$N84="Support"),ISNUMBER($D84),ISNUMBER($E84),ISNUMBER($F84)),"有效","异常")</x:f>
        <x:v>有效</x:v>
      </x:c>
      <x:c r="AH84" t="n">
        <x:f>D84/(1-MIN(0.75,F84/(24000+F84)))</x:f>
        <x:v>100268.727</x:v>
      </x:c>
    </x:row>
    <x:row r="85" ht="14.25" customHeight="1">
      <x:c r="A85" s="4">
        <x:v>81</x:v>
      </x:c>
      <x:c r="B85" s="4">
        <x:v>1038</x:v>
      </x:c>
      <x:c r="C85" s="4">
        <x:v>18</x:v>
      </x:c>
      <x:c r="D85" s="5" t="n">
        <x:f>IFERROR(ROUND($U85*$X85*$AA85*'参数'!$B$13,0),"")</x:f>
        <x:v>134342</x:v>
      </x:c>
      <x:c r="E85" s="5" t="n">
        <x:f>IFERROR(ROUND($V85*$Y85*$AB85*'参数'!$C$13,0),"")</x:f>
        <x:v>3570</x:v>
      </x:c>
      <x:c r="F85" s="5" t="n">
        <x:f>IFERROR(ROUND($W85*$Z85*$AC85*'参数'!$D$13,0),"")</x:f>
        <x:v>8588</x:v>
      </x:c>
      <x:c r="G85" s="4">
        <x:v>160761</x:v>
      </x:c>
      <x:c r="H85" s="4">
        <x:v>4229</x:v>
      </x:c>
      <x:c r="I85" s="4">
        <x:v>6589</x:v>
      </x:c>
      <x:c r="J85" s="4">
        <x:v>17</x:v>
      </x:c>
      <x:c r="K85" s="4">
        <x:v>17</x:v>
      </x:c>
      <x:c r="L85" s="4" t="n">
        <x:f>IFERROR(INDEX('楼层配置'!$D$5:$D$104,MATCH($K85,'楼层配置'!$B$5:$B$104,0)),"")</x:f>
        <x:v>70</x:v>
      </x:c>
      <x:c r="M85" s="4" t="str">
        <x:f>IFERROR(INDEX('_角色基线'!$B$2:$B$100,MATCH($B85,'_角色基线'!$A$2:$A$100,0)),"")</x:f>
        <x:v>商队战斗员</x:v>
      </x:c>
      <x:c r="N85" s="4" t="str">
        <x:f>IFERROR(INDEX('_角色基线'!$C$2:$C$100,MATCH($B85,'_角色基线'!$A$2:$A$100,0)),"")</x:f>
        <x:v>Tank</x:v>
      </x:c>
      <x:c r="O85" s="4" t="n">
        <x:f>IFERROR(INDEX('_怪物基线'!$B$2:$B$501,MATCH(INT($L85),'_怪物基线'!$A$2:$A$501,0)),"")</x:f>
        <x:v>19751</x:v>
      </x:c>
      <x:c r="P85" s="4" t="n">
        <x:f>IFERROR(INDEX('_怪物基线'!$C$2:$C$501,MATCH(INT($L85),'_怪物基线'!$A$2:$A$501,0)),"")</x:f>
        <x:v>4115</x:v>
      </x:c>
      <x:c r="Q85" s="4" t="n">
        <x:f>IFERROR(INDEX('_怪物基线'!$D$2:$D$501,MATCH(INT($L85),'_怪物基线'!$A$2:$A$501,0)),"")</x:f>
        <x:v>5725</x:v>
      </x:c>
      <x:c r="R85" s="4" t="n">
        <x:f>'参数'!$B$10</x:f>
        <x:v>4</x:v>
      </x:c>
      <x:c r="S85" s="4" t="n">
        <x:f>'参数'!$C$10</x:f>
        <x:v>1.2</x:v>
      </x:c>
      <x:c r="T85" s="4" t="n">
        <x:f>'参数'!$D$10</x:f>
        <x:v>1</x:v>
      </x:c>
      <x:c r="U85" s="4" t="n">
        <x:f t="shared" si="7">IF($O85="","",$O85*$R85)</x:f>
        <x:v>79004</x:v>
      </x:c>
      <x:c r="V85" s="4" t="n">
        <x:f t="shared" si="8">IF($P85="","",$P85*$S85)</x:f>
        <x:v>4938</x:v>
      </x:c>
      <x:c r="W85" s="4" t="n">
        <x:f t="shared" si="9">IF($Q85="","",$Q85*$T85)</x:f>
        <x:v>5725</x:v>
      </x:c>
      <x:c r="X85" s="4" t="n">
        <x:f>IFERROR(INDEX('参数'!$B$5:$B$7,MATCH($N85,'参数'!$A$5:$A$7,0)),"")</x:f>
        <x:v>1.5</x:v>
      </x:c>
      <x:c r="Y85" s="4" t="n">
        <x:f>IFERROR(INDEX('参数'!$C$5:$C$7,MATCH($N85,'参数'!$A$5:$A$7,0)),"")</x:f>
        <x:v>1</x:v>
      </x:c>
      <x:c r="Z85" s="4" t="n">
        <x:f>IFERROR(INDEX('参数'!$D$5:$D$7,MATCH($N85,'参数'!$A$5:$A$7,0)),"")</x:f>
        <x:v>1.5</x:v>
      </x:c>
      <x:c r="AA85" s="4" t="n">
        <x:f>IFERROR(INDEX('楼层配置'!$E$5:$E$104,MATCH($K85,'楼层配置'!$B$5:$B$104,0)),1)</x:f>
        <x:v>1.1336283378590932</x:v>
      </x:c>
      <x:c r="AB85" s="4" t="n">
        <x:f>IFERROR(INDEX('楼层配置'!$F$5:$F$104,MATCH($K85,'楼层配置'!$B$5:$B$104,0)),1)</x:f>
        <x:v>0.7230268431087193</x:v>
      </x:c>
      <x:c r="AC85" s="4" t="n">
        <x:f>IFERROR(INDEX('楼层配置'!$G$5:$G$104,MATCH($K85,'楼层配置'!$B$5:$B$104,0)),1)</x:f>
        <x:v>1</x:v>
      </x:c>
      <x:c r="AD85" s="6" t="n">
        <x:f t="shared" si="10">IFERROR($D85/$G85-1,"")</x:f>
        <x:v>-0.1643371215655538</x:v>
      </x:c>
      <x:c r="AE85" s="6" t="n">
        <x:f t="shared" si="11">IFERROR($E85/$H85-1,"")</x:f>
        <x:v>-0.15582880113502007</x:v>
      </x:c>
      <x:c r="AF85" s="6" t="n">
        <x:f t="shared" si="12">IFERROR($F85/$I85-1,"")</x:f>
        <x:v>0.30338442859310977</x:v>
      </x:c>
      <x:c r="AG85" s="4" t="str">
        <x:f t="shared" si="13">IF(AND($A85&gt;=1,$L85&gt;=1,$L85&lt;=500,OR($N85="Tank",$N85="DPS",$N85="Support"),ISNUMBER($D85),ISNUMBER($E85),ISNUMBER($F85)),"有效","异常")</x:f>
        <x:v>有效</x:v>
      </x:c>
      <x:c r="AH85" t="n">
        <x:f>D85/(1-MIN(0.75,F85/(24000+F85)))</x:f>
        <x:v>182414.04566666664</x:v>
      </x:c>
    </x:row>
    <x:row r="86" ht="14.25" customHeight="1">
      <x:c r="A86" s="4">
        <x:v>82</x:v>
      </x:c>
      <x:c r="B86" s="4">
        <x:v>1038</x:v>
      </x:c>
      <x:c r="C86" s="4">
        <x:v>18</x:v>
      </x:c>
      <x:c r="D86" s="5" t="n">
        <x:f>IFERROR(ROUND($U86*$X86*$AA86*'参数'!$B$13,0),"")</x:f>
        <x:v>134342</x:v>
      </x:c>
      <x:c r="E86" s="5" t="n">
        <x:f>IFERROR(ROUND($V86*$Y86*$AB86*'参数'!$C$13,0),"")</x:f>
        <x:v>3570</x:v>
      </x:c>
      <x:c r="F86" s="5" t="n">
        <x:f>IFERROR(ROUND($W86*$Z86*$AC86*'参数'!$D$13,0),"")</x:f>
        <x:v>8588</x:v>
      </x:c>
      <x:c r="G86" s="4">
        <x:v>160761</x:v>
      </x:c>
      <x:c r="H86" s="4">
        <x:v>4229</x:v>
      </x:c>
      <x:c r="I86" s="4">
        <x:v>6589</x:v>
      </x:c>
      <x:c r="J86" s="4">
        <x:v>17</x:v>
      </x:c>
      <x:c r="K86" s="4">
        <x:v>17</x:v>
      </x:c>
      <x:c r="L86" s="4" t="n">
        <x:f>IFERROR(INDEX('楼层配置'!$D$5:$D$104,MATCH($K86,'楼层配置'!$B$5:$B$104,0)),"")</x:f>
        <x:v>70</x:v>
      </x:c>
      <x:c r="M86" s="4" t="str">
        <x:f>IFERROR(INDEX('_角色基线'!$B$2:$B$100,MATCH($B86,'_角色基线'!$A$2:$A$100,0)),"")</x:f>
        <x:v>商队战斗员</x:v>
      </x:c>
      <x:c r="N86" s="4" t="str">
        <x:f>IFERROR(INDEX('_角色基线'!$C$2:$C$100,MATCH($B86,'_角色基线'!$A$2:$A$100,0)),"")</x:f>
        <x:v>Tank</x:v>
      </x:c>
      <x:c r="O86" s="4" t="n">
        <x:f>IFERROR(INDEX('_怪物基线'!$B$2:$B$501,MATCH(INT($L86),'_怪物基线'!$A$2:$A$501,0)),"")</x:f>
        <x:v>19751</x:v>
      </x:c>
      <x:c r="P86" s="4" t="n">
        <x:f>IFERROR(INDEX('_怪物基线'!$C$2:$C$501,MATCH(INT($L86),'_怪物基线'!$A$2:$A$501,0)),"")</x:f>
        <x:v>4115</x:v>
      </x:c>
      <x:c r="Q86" s="4" t="n">
        <x:f>IFERROR(INDEX('_怪物基线'!$D$2:$D$501,MATCH(INT($L86),'_怪物基线'!$A$2:$A$501,0)),"")</x:f>
        <x:v>5725</x:v>
      </x:c>
      <x:c r="R86" s="4" t="n">
        <x:f>'参数'!$B$10</x:f>
        <x:v>4</x:v>
      </x:c>
      <x:c r="S86" s="4" t="n">
        <x:f>'参数'!$C$10</x:f>
        <x:v>1.2</x:v>
      </x:c>
      <x:c r="T86" s="4" t="n">
        <x:f>'参数'!$D$10</x:f>
        <x:v>1</x:v>
      </x:c>
      <x:c r="U86" s="4" t="n">
        <x:f t="shared" si="7">IF($O86="","",$O86*$R86)</x:f>
        <x:v>79004</x:v>
      </x:c>
      <x:c r="V86" s="4" t="n">
        <x:f t="shared" si="8">IF($P86="","",$P86*$S86)</x:f>
        <x:v>4938</x:v>
      </x:c>
      <x:c r="W86" s="4" t="n">
        <x:f t="shared" si="9">IF($Q86="","",$Q86*$T86)</x:f>
        <x:v>5725</x:v>
      </x:c>
      <x:c r="X86" s="4" t="n">
        <x:f>IFERROR(INDEX('参数'!$B$5:$B$7,MATCH($N86,'参数'!$A$5:$A$7,0)),"")</x:f>
        <x:v>1.5</x:v>
      </x:c>
      <x:c r="Y86" s="4" t="n">
        <x:f>IFERROR(INDEX('参数'!$C$5:$C$7,MATCH($N86,'参数'!$A$5:$A$7,0)),"")</x:f>
        <x:v>1</x:v>
      </x:c>
      <x:c r="Z86" s="4" t="n">
        <x:f>IFERROR(INDEX('参数'!$D$5:$D$7,MATCH($N86,'参数'!$A$5:$A$7,0)),"")</x:f>
        <x:v>1.5</x:v>
      </x:c>
      <x:c r="AA86" s="4" t="n">
        <x:f>IFERROR(INDEX('楼层配置'!$E$5:$E$104,MATCH($K86,'楼层配置'!$B$5:$B$104,0)),1)</x:f>
        <x:v>1.1336283378590932</x:v>
      </x:c>
      <x:c r="AB86" s="4" t="n">
        <x:f>IFERROR(INDEX('楼层配置'!$F$5:$F$104,MATCH($K86,'楼层配置'!$B$5:$B$104,0)),1)</x:f>
        <x:v>0.7230268431087193</x:v>
      </x:c>
      <x:c r="AC86" s="4" t="n">
        <x:f>IFERROR(INDEX('楼层配置'!$G$5:$G$104,MATCH($K86,'楼层配置'!$B$5:$B$104,0)),1)</x:f>
        <x:v>1</x:v>
      </x:c>
      <x:c r="AD86" s="6" t="n">
        <x:f t="shared" si="10">IFERROR($D86/$G86-1,"")</x:f>
        <x:v>-0.1643371215655538</x:v>
      </x:c>
      <x:c r="AE86" s="6" t="n">
        <x:f t="shared" si="11">IFERROR($E86/$H86-1,"")</x:f>
        <x:v>-0.15582880113502007</x:v>
      </x:c>
      <x:c r="AF86" s="6" t="n">
        <x:f t="shared" si="12">IFERROR($F86/$I86-1,"")</x:f>
        <x:v>0.30338442859310977</x:v>
      </x:c>
      <x:c r="AG86" s="4" t="str">
        <x:f t="shared" si="13">IF(AND($A86&gt;=1,$L86&gt;=1,$L86&lt;=500,OR($N86="Tank",$N86="DPS",$N86="Support"),ISNUMBER($D86),ISNUMBER($E86),ISNUMBER($F86)),"有效","异常")</x:f>
        <x:v>有效</x:v>
      </x:c>
      <x:c r="AH86" t="n">
        <x:f>D86/(1-MIN(0.75,F86/(24000+F86)))</x:f>
        <x:v>182414.04566666664</x:v>
      </x:c>
    </x:row>
    <x:row r="87" ht="14.25" customHeight="1">
      <x:c r="A87" s="4">
        <x:v>83</x:v>
      </x:c>
      <x:c r="B87" s="4">
        <x:v>1039</x:v>
      </x:c>
      <x:c r="C87" s="4">
        <x:v>18</x:v>
      </x:c>
      <x:c r="D87" s="5" t="n">
        <x:f>IFERROR(ROUND($U87*$X87*$AA87*'参数'!$B$13,0),"")</x:f>
        <x:v>89561</x:v>
      </x:c>
      <x:c r="E87" s="5" t="n">
        <x:f>IFERROR(ROUND($V87*$Y87*$AB87*'参数'!$C$13,0),"")</x:f>
        <x:v>4284</x:v>
      </x:c>
      <x:c r="F87" s="5" t="n">
        <x:f>IFERROR(ROUND($W87*$Z87*$AC87*'参数'!$D$13,0),"")</x:f>
        <x:v>5725</x:v>
      </x:c>
      <x:c r="G87" s="4">
        <x:v>107174</x:v>
      </x:c>
      <x:c r="H87" s="4">
        <x:v>5074</x:v>
      </x:c>
      <x:c r="I87" s="4">
        <x:v>4392</x:v>
      </x:c>
      <x:c r="J87" s="4">
        <x:v>17</x:v>
      </x:c>
      <x:c r="K87" s="4">
        <x:v>17</x:v>
      </x:c>
      <x:c r="L87" s="4" t="n">
        <x:f>IFERROR(INDEX('楼层配置'!$D$5:$D$104,MATCH($K87,'楼层配置'!$B$5:$B$104,0)),"")</x:f>
        <x:v>70</x:v>
      </x:c>
      <x:c r="M87" s="4" t="str">
        <x:f>IFERROR(INDEX('_角色基线'!$B$2:$B$100,MATCH($B87,'_角色基线'!$A$2:$A$100,0)),"")</x:f>
        <x:v>商队枪手</x:v>
      </x:c>
      <x:c r="N87" s="4" t="str">
        <x:f>IFERROR(INDEX('_角色基线'!$C$2:$C$100,MATCH($B87,'_角色基线'!$A$2:$A$100,0)),"")</x:f>
        <x:v>DPS</x:v>
      </x:c>
      <x:c r="O87" s="4" t="n">
        <x:f>IFERROR(INDEX('_怪物基线'!$B$2:$B$501,MATCH(INT($L87),'_怪物基线'!$A$2:$A$501,0)),"")</x:f>
        <x:v>19751</x:v>
      </x:c>
      <x:c r="P87" s="4" t="n">
        <x:f>IFERROR(INDEX('_怪物基线'!$C$2:$C$501,MATCH(INT($L87),'_怪物基线'!$A$2:$A$501,0)),"")</x:f>
        <x:v>4115</x:v>
      </x:c>
      <x:c r="Q87" s="4" t="n">
        <x:f>IFERROR(INDEX('_怪物基线'!$D$2:$D$501,MATCH(INT($L87),'_怪物基线'!$A$2:$A$501,0)),"")</x:f>
        <x:v>5725</x:v>
      </x:c>
      <x:c r="R87" s="4" t="n">
        <x:f>'参数'!$B$10</x:f>
        <x:v>4</x:v>
      </x:c>
      <x:c r="S87" s="4" t="n">
        <x:f>'参数'!$C$10</x:f>
        <x:v>1.2</x:v>
      </x:c>
      <x:c r="T87" s="4" t="n">
        <x:f>'参数'!$D$10</x:f>
        <x:v>1</x:v>
      </x:c>
      <x:c r="U87" s="4" t="n">
        <x:f t="shared" si="7">IF($O87="","",$O87*$R87)</x:f>
        <x:v>79004</x:v>
      </x:c>
      <x:c r="V87" s="4" t="n">
        <x:f t="shared" si="8">IF($P87="","",$P87*$S87)</x:f>
        <x:v>4938</x:v>
      </x:c>
      <x:c r="W87" s="4" t="n">
        <x:f t="shared" si="9">IF($Q87="","",$Q87*$T87)</x:f>
        <x:v>5725</x:v>
      </x:c>
      <x:c r="X87" s="4" t="n">
        <x:f>IFERROR(INDEX('参数'!$B$5:$B$7,MATCH($N87,'参数'!$A$5:$A$7,0)),"")</x:f>
        <x:v>1</x:v>
      </x:c>
      <x:c r="Y87" s="4" t="n">
        <x:f>IFERROR(INDEX('参数'!$C$5:$C$7,MATCH($N87,'参数'!$A$5:$A$7,0)),"")</x:f>
        <x:v>1.2</x:v>
      </x:c>
      <x:c r="Z87" s="4" t="n">
        <x:f>IFERROR(INDEX('参数'!$D$5:$D$7,MATCH($N87,'参数'!$A$5:$A$7,0)),"")</x:f>
        <x:v>1</x:v>
      </x:c>
      <x:c r="AA87" s="4" t="n">
        <x:f>IFERROR(INDEX('楼层配置'!$E$5:$E$104,MATCH($K87,'楼层配置'!$B$5:$B$104,0)),1)</x:f>
        <x:v>1.1336283378590932</x:v>
      </x:c>
      <x:c r="AB87" s="4" t="n">
        <x:f>IFERROR(INDEX('楼层配置'!$F$5:$F$104,MATCH($K87,'楼层配置'!$B$5:$B$104,0)),1)</x:f>
        <x:v>0.7230268431087193</x:v>
      </x:c>
      <x:c r="AC87" s="4" t="n">
        <x:f>IFERROR(INDEX('楼层配置'!$G$5:$G$104,MATCH($K87,'楼层配置'!$B$5:$B$104,0)),1)</x:f>
        <x:v>1</x:v>
      </x:c>
      <x:c r="AD87" s="6" t="n">
        <x:f t="shared" si="10">IFERROR($D87/$G87-1,"")</x:f>
        <x:v>-0.16434023177263146</x:v>
      </x:c>
      <x:c r="AE87" s="6" t="n">
        <x:f t="shared" si="11">IFERROR($E87/$H87-1,"")</x:f>
        <x:v>-0.15569570358691365</x:v>
      </x:c>
      <x:c r="AF87" s="6" t="n">
        <x:f t="shared" si="12">IFERROR($F87/$I87-1,"")</x:f>
        <x:v>0.30350637522768675</x:v>
      </x:c>
      <x:c r="AG87" s="4" t="str">
        <x:f t="shared" si="13">IF(AND($A87&gt;=1,$L87&gt;=1,$L87&lt;=500,OR($N87="Tank",$N87="DPS",$N87="Support"),ISNUMBER($D87),ISNUMBER($E87),ISNUMBER($F87)),"有效","异常")</x:f>
        <x:v>有效</x:v>
      </x:c>
      <x:c r="AH87" t="n">
        <x:f>D87/(1-MIN(0.75,F87/(24000+F87)))</x:f>
        <x:v>110925.03020833334</x:v>
      </x:c>
    </x:row>
    <x:row r="88" ht="14.25" customHeight="1">
      <x:c r="A88" s="4">
        <x:v>84</x:v>
      </x:c>
      <x:c r="B88" s="4">
        <x:v>1035</x:v>
      </x:c>
      <x:c r="C88" s="4">
        <x:v>18</x:v>
      </x:c>
      <x:c r="D88" s="5" t="n">
        <x:f>IFERROR(ROUND($U88*$X88*$AA88*'参数'!$B$13,0),"")</x:f>
        <x:v>89561</x:v>
      </x:c>
      <x:c r="E88" s="5" t="n">
        <x:f>IFERROR(ROUND($V88*$Y88*$AB88*'参数'!$C$13,0),"")</x:f>
        <x:v>4284</x:v>
      </x:c>
      <x:c r="F88" s="5" t="n">
        <x:f>IFERROR(ROUND($W88*$Z88*$AC88*'参数'!$D$13,0),"")</x:f>
        <x:v>5725</x:v>
      </x:c>
      <x:c r="G88" s="4">
        <x:v>107174</x:v>
      </x:c>
      <x:c r="H88" s="4">
        <x:v>5074</x:v>
      </x:c>
      <x:c r="I88" s="4">
        <x:v>4392</x:v>
      </x:c>
      <x:c r="J88" s="4">
        <x:v>17</x:v>
      </x:c>
      <x:c r="K88" s="4">
        <x:v>17</x:v>
      </x:c>
      <x:c r="L88" s="4" t="n">
        <x:f>IFERROR(INDEX('楼层配置'!$D$5:$D$104,MATCH($K88,'楼层配置'!$B$5:$B$104,0)),"")</x:f>
        <x:v>70</x:v>
      </x:c>
      <x:c r="M88" s="4" t="str">
        <x:f>IFERROR(INDEX('_角色基线'!$B$2:$B$100,MATCH($B88,'_角色基线'!$A$2:$A$100,0)),"")</x:f>
        <x:v>碎冰者</x:v>
      </x:c>
      <x:c r="N88" s="4" t="str">
        <x:f>IFERROR(INDEX('_角色基线'!$C$2:$C$100,MATCH($B88,'_角色基线'!$A$2:$A$100,0)),"")</x:f>
        <x:v>DPS</x:v>
      </x:c>
      <x:c r="O88" s="4" t="n">
        <x:f>IFERROR(INDEX('_怪物基线'!$B$2:$B$501,MATCH(INT($L88),'_怪物基线'!$A$2:$A$501,0)),"")</x:f>
        <x:v>19751</x:v>
      </x:c>
      <x:c r="P88" s="4" t="n">
        <x:f>IFERROR(INDEX('_怪物基线'!$C$2:$C$501,MATCH(INT($L88),'_怪物基线'!$A$2:$A$501,0)),"")</x:f>
        <x:v>4115</x:v>
      </x:c>
      <x:c r="Q88" s="4" t="n">
        <x:f>IFERROR(INDEX('_怪物基线'!$D$2:$D$501,MATCH(INT($L88),'_怪物基线'!$A$2:$A$501,0)),"")</x:f>
        <x:v>5725</x:v>
      </x:c>
      <x:c r="R88" s="4" t="n">
        <x:f>'参数'!$B$10</x:f>
        <x:v>4</x:v>
      </x:c>
      <x:c r="S88" s="4" t="n">
        <x:f>'参数'!$C$10</x:f>
        <x:v>1.2</x:v>
      </x:c>
      <x:c r="T88" s="4" t="n">
        <x:f>'参数'!$D$10</x:f>
        <x:v>1</x:v>
      </x:c>
      <x:c r="U88" s="4" t="n">
        <x:f t="shared" si="7">IF($O88="","",$O88*$R88)</x:f>
        <x:v>79004</x:v>
      </x:c>
      <x:c r="V88" s="4" t="n">
        <x:f t="shared" si="8">IF($P88="","",$P88*$S88)</x:f>
        <x:v>4938</x:v>
      </x:c>
      <x:c r="W88" s="4" t="n">
        <x:f t="shared" si="9">IF($Q88="","",$Q88*$T88)</x:f>
        <x:v>5725</x:v>
      </x:c>
      <x:c r="X88" s="4" t="n">
        <x:f>IFERROR(INDEX('参数'!$B$5:$B$7,MATCH($N88,'参数'!$A$5:$A$7,0)),"")</x:f>
        <x:v>1</x:v>
      </x:c>
      <x:c r="Y88" s="4" t="n">
        <x:f>IFERROR(INDEX('参数'!$C$5:$C$7,MATCH($N88,'参数'!$A$5:$A$7,0)),"")</x:f>
        <x:v>1.2</x:v>
      </x:c>
      <x:c r="Z88" s="4" t="n">
        <x:f>IFERROR(INDEX('参数'!$D$5:$D$7,MATCH($N88,'参数'!$A$5:$A$7,0)),"")</x:f>
        <x:v>1</x:v>
      </x:c>
      <x:c r="AA88" s="4" t="n">
        <x:f>IFERROR(INDEX('楼层配置'!$E$5:$E$104,MATCH($K88,'楼层配置'!$B$5:$B$104,0)),1)</x:f>
        <x:v>1.1336283378590932</x:v>
      </x:c>
      <x:c r="AB88" s="4" t="n">
        <x:f>IFERROR(INDEX('楼层配置'!$F$5:$F$104,MATCH($K88,'楼层配置'!$B$5:$B$104,0)),1)</x:f>
        <x:v>0.7230268431087193</x:v>
      </x:c>
      <x:c r="AC88" s="4" t="n">
        <x:f>IFERROR(INDEX('楼层配置'!$G$5:$G$104,MATCH($K88,'楼层配置'!$B$5:$B$104,0)),1)</x:f>
        <x:v>1</x:v>
      </x:c>
      <x:c r="AD88" s="6" t="n">
        <x:f t="shared" si="10">IFERROR($D88/$G88-1,"")</x:f>
        <x:v>-0.16434023177263146</x:v>
      </x:c>
      <x:c r="AE88" s="6" t="n">
        <x:f t="shared" si="11">IFERROR($E88/$H88-1,"")</x:f>
        <x:v>-0.15569570358691365</x:v>
      </x:c>
      <x:c r="AF88" s="6" t="n">
        <x:f t="shared" si="12">IFERROR($F88/$I88-1,"")</x:f>
        <x:v>0.30350637522768675</x:v>
      </x:c>
      <x:c r="AG88" s="4" t="str">
        <x:f t="shared" si="13">IF(AND($A88&gt;=1,$L88&gt;=1,$L88&lt;=500,OR($N88="Tank",$N88="DPS",$N88="Support"),ISNUMBER($D88),ISNUMBER($E88),ISNUMBER($F88)),"有效","异常")</x:f>
        <x:v>有效</x:v>
      </x:c>
      <x:c r="AH88" t="n">
        <x:f>D88/(1-MIN(0.75,F88/(24000+F88)))</x:f>
        <x:v>110925.03020833334</x:v>
      </x:c>
    </x:row>
    <x:row r="89" ht="14.25" customHeight="1">
      <x:c r="A89" s="4">
        <x:v>85</x:v>
      </x:c>
      <x:c r="B89" s="4">
        <x:v>1015</x:v>
      </x:c>
      <x:c r="C89" s="4">
        <x:v>18</x:v>
      </x:c>
      <x:c r="D89" s="5" t="n">
        <x:f>IFERROR(ROUND($U89*$X89*$AA89*'参数'!$B$13,0),"")</x:f>
        <x:v>111951</x:v>
      </x:c>
      <x:c r="E89" s="5" t="n">
        <x:f>IFERROR(ROUND($V89*$Y89*$AB89*'参数'!$C$13,0),"")</x:f>
        <x:v>3570</x:v>
      </x:c>
      <x:c r="F89" s="5" t="n">
        <x:f>IFERROR(ROUND($W89*$Z89*$AC89*'参数'!$D$13,0),"")</x:f>
        <x:v>7156</x:v>
      </x:c>
      <x:c r="G89" s="4">
        <x:v>133968</x:v>
      </x:c>
      <x:c r="H89" s="4">
        <x:v>4229</x:v>
      </x:c>
      <x:c r="I89" s="4">
        <x:v>5491</x:v>
      </x:c>
      <x:c r="J89" s="4">
        <x:v>17</x:v>
      </x:c>
      <x:c r="K89" s="4">
        <x:v>17</x:v>
      </x:c>
      <x:c r="L89" s="4" t="n">
        <x:f>IFERROR(INDEX('楼层配置'!$D$5:$D$104,MATCH($K89,'楼层配置'!$B$5:$B$104,0)),"")</x:f>
        <x:v>70</x:v>
      </x:c>
      <x:c r="M89" s="4" t="str">
        <x:f>IFERROR(INDEX('_角色基线'!$B$2:$B$100,MATCH($B89,'_角色基线'!$A$2:$A$100,0)),"")</x:f>
        <x:v>阿莱克西娅</x:v>
      </x:c>
      <x:c r="N89" s="4" t="str">
        <x:f>IFERROR(INDEX('_角色基线'!$C$2:$C$100,MATCH($B89,'_角色基线'!$A$2:$A$100,0)),"")</x:f>
        <x:v>Support</x:v>
      </x:c>
      <x:c r="O89" s="4" t="n">
        <x:f>IFERROR(INDEX('_怪物基线'!$B$2:$B$501,MATCH(INT($L89),'_怪物基线'!$A$2:$A$501,0)),"")</x:f>
        <x:v>19751</x:v>
      </x:c>
      <x:c r="P89" s="4" t="n">
        <x:f>IFERROR(INDEX('_怪物基线'!$C$2:$C$501,MATCH(INT($L89),'_怪物基线'!$A$2:$A$501,0)),"")</x:f>
        <x:v>4115</x:v>
      </x:c>
      <x:c r="Q89" s="4" t="n">
        <x:f>IFERROR(INDEX('_怪物基线'!$D$2:$D$501,MATCH(INT($L89),'_怪物基线'!$A$2:$A$501,0)),"")</x:f>
        <x:v>5725</x:v>
      </x:c>
      <x:c r="R89" s="4" t="n">
        <x:f>'参数'!$B$10</x:f>
        <x:v>4</x:v>
      </x:c>
      <x:c r="S89" s="4" t="n">
        <x:f>'参数'!$C$10</x:f>
        <x:v>1.2</x:v>
      </x:c>
      <x:c r="T89" s="4" t="n">
        <x:f>'参数'!$D$10</x:f>
        <x:v>1</x:v>
      </x:c>
      <x:c r="U89" s="4" t="n">
        <x:f t="shared" si="7">IF($O89="","",$O89*$R89)</x:f>
        <x:v>79004</x:v>
      </x:c>
      <x:c r="V89" s="4" t="n">
        <x:f t="shared" si="8">IF($P89="","",$P89*$S89)</x:f>
        <x:v>4938</x:v>
      </x:c>
      <x:c r="W89" s="4" t="n">
        <x:f t="shared" si="9">IF($Q89="","",$Q89*$T89)</x:f>
        <x:v>5725</x:v>
      </x:c>
      <x:c r="X89" s="4" t="n">
        <x:f>IFERROR(INDEX('参数'!$B$5:$B$7,MATCH($N89,'参数'!$A$5:$A$7,0)),"")</x:f>
        <x:v>1.25</x:v>
      </x:c>
      <x:c r="Y89" s="4" t="n">
        <x:f>IFERROR(INDEX('参数'!$C$5:$C$7,MATCH($N89,'参数'!$A$5:$A$7,0)),"")</x:f>
        <x:v>1</x:v>
      </x:c>
      <x:c r="Z89" s="4" t="n">
        <x:f>IFERROR(INDEX('参数'!$D$5:$D$7,MATCH($N89,'参数'!$A$5:$A$7,0)),"")</x:f>
        <x:v>1.25</x:v>
      </x:c>
      <x:c r="AA89" s="4" t="n">
        <x:f>IFERROR(INDEX('楼层配置'!$E$5:$E$104,MATCH($K89,'楼层配置'!$B$5:$B$104,0)),1)</x:f>
        <x:v>1.1336283378590932</x:v>
      </x:c>
      <x:c r="AB89" s="4" t="n">
        <x:f>IFERROR(INDEX('楼层配置'!$F$5:$F$104,MATCH($K89,'楼层配置'!$B$5:$B$104,0)),1)</x:f>
        <x:v>0.7230268431087193</x:v>
      </x:c>
      <x:c r="AC89" s="4" t="n">
        <x:f>IFERROR(INDEX('楼层配置'!$G$5:$G$104,MATCH($K89,'楼层配置'!$B$5:$B$104,0)),1)</x:f>
        <x:v>1</x:v>
      </x:c>
      <x:c r="AD89" s="6" t="n">
        <x:f t="shared" si="10">IFERROR($D89/$G89-1,"")</x:f>
        <x:v>-0.16434521676818348</x:v>
      </x:c>
      <x:c r="AE89" s="6" t="n">
        <x:f t="shared" si="11">IFERROR($E89/$H89-1,"")</x:f>
        <x:v>-0.15582880113502007</x:v>
      </x:c>
      <x:c r="AF89" s="6" t="n">
        <x:f t="shared" si="12">IFERROR($F89/$I89-1,"")</x:f>
        <x:v>0.3032234565652887</x:v>
      </x:c>
      <x:c r="AG89" s="4" t="str">
        <x:f t="shared" si="13">IF(AND($A89&gt;=1,$L89&gt;=1,$L89&lt;=500,OR($N89="Tank",$N89="DPS",$N89="Support"),ISNUMBER($D89),ISNUMBER($E89),ISNUMBER($F89)),"有效","异常")</x:f>
        <x:v>有效</x:v>
      </x:c>
      <x:c r="AH89" t="n">
        <x:f>D89/(1-MIN(0.75,F89/(24000+F89)))</x:f>
        <x:v>145331.05649999998</x:v>
      </x:c>
    </x:row>
    <x:row r="90" ht="14.25" customHeight="1">
      <x:c r="A90" s="4">
        <x:v>86</x:v>
      </x:c>
      <x:c r="B90" s="4">
        <x:v>1035</x:v>
      </x:c>
      <x:c r="C90" s="4">
        <x:v>19</x:v>
      </x:c>
      <x:c r="D90" s="5" t="n">
        <x:f>IFERROR(ROUND($U90*$X90*$AA90*'参数'!$B$13,0),"")</x:f>
        <x:v>97666</x:v>
      </x:c>
      <x:c r="E90" s="5" t="n">
        <x:f>IFERROR(ROUND($V90*$Y90*$AB90*'参数'!$C$13,0),"")</x:f>
        <x:v>4530</x:v>
      </x:c>
      <x:c r="F90" s="5" t="n">
        <x:f>IFERROR(ROUND($W90*$Z90*$AC90*'参数'!$D$13,0),"")</x:f>
        <x:v>5995</x:v>
      </x:c>
      <x:c r="G90" s="4">
        <x:v>116668</x:v>
      </x:c>
      <x:c r="H90" s="4">
        <x:v>5373</x:v>
      </x:c>
      <x:c r="I90" s="4">
        <x:v>4634</x:v>
      </x:c>
      <x:c r="J90" s="4">
        <x:v>18</x:v>
      </x:c>
      <x:c r="K90" s="4">
        <x:v>18</x:v>
      </x:c>
      <x:c r="L90" s="4" t="n">
        <x:f>IFERROR(INDEX('楼层配置'!$D$5:$D$104,MATCH($K90,'楼层配置'!$B$5:$B$104,0)),"")</x:f>
        <x:v>73</x:v>
      </x:c>
      <x:c r="M90" s="4" t="str">
        <x:f>IFERROR(INDEX('_角色基线'!$B$2:$B$100,MATCH($B90,'_角色基线'!$A$2:$A$100,0)),"")</x:f>
        <x:v>碎冰者</x:v>
      </x:c>
      <x:c r="N90" s="4" t="str">
        <x:f>IFERROR(INDEX('_角色基线'!$C$2:$C$100,MATCH($B90,'_角色基线'!$A$2:$A$100,0)),"")</x:f>
        <x:v>DPS</x:v>
      </x:c>
      <x:c r="O90" s="4" t="n">
        <x:f>IFERROR(INDEX('_怪物基线'!$B$2:$B$501,MATCH(INT($L90),'_怪物基线'!$A$2:$A$501,0)),"")</x:f>
        <x:v>21225</x:v>
      </x:c>
      <x:c r="P90" s="4" t="n">
        <x:f>IFERROR(INDEX('_怪物基线'!$C$2:$C$501,MATCH(INT($L90),'_怪物基线'!$A$2:$A$501,0)),"")</x:f>
        <x:v>4343</x:v>
      </x:c>
      <x:c r="Q90" s="4" t="n">
        <x:f>IFERROR(INDEX('_怪物基线'!$D$2:$D$501,MATCH(INT($L90),'_怪物基线'!$A$2:$A$501,0)),"")</x:f>
        <x:v>5995</x:v>
      </x:c>
      <x:c r="R90" s="4" t="n">
        <x:f>'参数'!$B$10</x:f>
        <x:v>4</x:v>
      </x:c>
      <x:c r="S90" s="4" t="n">
        <x:f>'参数'!$C$10</x:f>
        <x:v>1.2</x:v>
      </x:c>
      <x:c r="T90" s="4" t="n">
        <x:f>'参数'!$D$10</x:f>
        <x:v>1</x:v>
      </x:c>
      <x:c r="U90" s="4" t="n">
        <x:f t="shared" si="7">IF($O90="","",$O90*$R90)</x:f>
        <x:v>84900</x:v>
      </x:c>
      <x:c r="V90" s="4" t="n">
        <x:f t="shared" si="8">IF($P90="","",$P90*$S90)</x:f>
        <x:v>5211.599999999999</x:v>
      </x:c>
      <x:c r="W90" s="4" t="n">
        <x:f t="shared" si="9">IF($Q90="","",$Q90*$T90)</x:f>
        <x:v>5995</x:v>
      </x:c>
      <x:c r="X90" s="4" t="n">
        <x:f>IFERROR(INDEX('参数'!$B$5:$B$7,MATCH($N90,'参数'!$A$5:$A$7,0)),"")</x:f>
        <x:v>1</x:v>
      </x:c>
      <x:c r="Y90" s="4" t="n">
        <x:f>IFERROR(INDEX('参数'!$C$5:$C$7,MATCH($N90,'参数'!$A$5:$A$7,0)),"")</x:f>
        <x:v>1.2</x:v>
      </x:c>
      <x:c r="Z90" s="4" t="n">
        <x:f>IFERROR(INDEX('参数'!$D$5:$D$7,MATCH($N90,'参数'!$A$5:$A$7,0)),"")</x:f>
        <x:v>1</x:v>
      </x:c>
      <x:c r="AA90" s="4" t="n">
        <x:f>IFERROR(INDEX('楼层配置'!$E$5:$E$104,MATCH($K90,'楼层配置'!$B$5:$B$104,0)),1)</x:f>
        <x:v>1.150368061399929</x:v>
      </x:c>
      <x:c r="AB90" s="4" t="n">
        <x:f>IFERROR(INDEX('楼层配置'!$F$5:$F$104,MATCH($K90,'楼层配置'!$B$5:$B$104,0)),1)</x:f>
        <x:v>0.7243124125084344</x:v>
      </x:c>
      <x:c r="AC90" s="4" t="n">
        <x:f>IFERROR(INDEX('楼层配置'!$G$5:$G$104,MATCH($K90,'楼层配置'!$B$5:$B$104,0)),1)</x:f>
        <x:v>1</x:v>
      </x:c>
      <x:c r="AD90" s="6" t="n">
        <x:f t="shared" si="10">IFERROR($D90/$G90-1,"")</x:f>
        <x:v>-0.1628724243151507</x:v>
      </x:c>
      <x:c r="AE90" s="6" t="n">
        <x:f t="shared" si="11">IFERROR($E90/$H90-1,"")</x:f>
        <x:v>-0.15689558905639311</x:v>
      </x:c>
      <x:c r="AF90" s="6" t="n">
        <x:f t="shared" si="12">IFERROR($F90/$I90-1,"")</x:f>
        <x:v>0.2936987483815279</x:v>
      </x:c>
      <x:c r="AG90" s="4" t="str">
        <x:f t="shared" si="13">IF(AND($A90&gt;=1,$L90&gt;=1,$L90&lt;=500,OR($N90="Tank",$N90="DPS",$N90="Support"),ISNUMBER($D90),ISNUMBER($E90),ISNUMBER($F90)),"有效","异常")</x:f>
        <x:v>有效</x:v>
      </x:c>
      <x:c r="AH90" t="n">
        <x:f>D90/(1-MIN(0.75,F90/(24000+F90)))</x:f>
        <x:v>122062.15291666666</x:v>
      </x:c>
    </x:row>
    <x:row r="91" ht="14.25" customHeight="1">
      <x:c r="A91" s="4">
        <x:v>87</x:v>
      </x:c>
      <x:c r="B91" s="4">
        <x:v>1015</x:v>
      </x:c>
      <x:c r="C91" s="4">
        <x:v>19</x:v>
      </x:c>
      <x:c r="D91" s="5" t="n">
        <x:f>IFERROR(ROUND($U91*$X91*$AA91*'参数'!$B$13,0),"")</x:f>
        <x:v>122083</x:v>
      </x:c>
      <x:c r="E91" s="5" t="n">
        <x:f>IFERROR(ROUND($V91*$Y91*$AB91*'参数'!$C$13,0),"")</x:f>
        <x:v>3775</x:v>
      </x:c>
      <x:c r="F91" s="5" t="n">
        <x:f>IFERROR(ROUND($W91*$Z91*$AC91*'参数'!$D$13,0),"")</x:f>
        <x:v>7494</x:v>
      </x:c>
      <x:c r="G91" s="4">
        <x:v>145836</x:v>
      </x:c>
      <x:c r="H91" s="4">
        <x:v>4478</x:v>
      </x:c>
      <x:c r="I91" s="4">
        <x:v>5793</x:v>
      </x:c>
      <x:c r="J91" s="4">
        <x:v>18</x:v>
      </x:c>
      <x:c r="K91" s="4">
        <x:v>18</x:v>
      </x:c>
      <x:c r="L91" s="4" t="n">
        <x:f>IFERROR(INDEX('楼层配置'!$D$5:$D$104,MATCH($K91,'楼层配置'!$B$5:$B$104,0)),"")</x:f>
        <x:v>73</x:v>
      </x:c>
      <x:c r="M91" s="4" t="str">
        <x:f>IFERROR(INDEX('_角色基线'!$B$2:$B$100,MATCH($B91,'_角色基线'!$A$2:$A$100,0)),"")</x:f>
        <x:v>阿莱克西娅</x:v>
      </x:c>
      <x:c r="N91" s="4" t="str">
        <x:f>IFERROR(INDEX('_角色基线'!$C$2:$C$100,MATCH($B91,'_角色基线'!$A$2:$A$100,0)),"")</x:f>
        <x:v>Support</x:v>
      </x:c>
      <x:c r="O91" s="4" t="n">
        <x:f>IFERROR(INDEX('_怪物基线'!$B$2:$B$501,MATCH(INT($L91),'_怪物基线'!$A$2:$A$501,0)),"")</x:f>
        <x:v>21225</x:v>
      </x:c>
      <x:c r="P91" s="4" t="n">
        <x:f>IFERROR(INDEX('_怪物基线'!$C$2:$C$501,MATCH(INT($L91),'_怪物基线'!$A$2:$A$501,0)),"")</x:f>
        <x:v>4343</x:v>
      </x:c>
      <x:c r="Q91" s="4" t="n">
        <x:f>IFERROR(INDEX('_怪物基线'!$D$2:$D$501,MATCH(INT($L91),'_怪物基线'!$A$2:$A$501,0)),"")</x:f>
        <x:v>5995</x:v>
      </x:c>
      <x:c r="R91" s="4" t="n">
        <x:f>'参数'!$B$10</x:f>
        <x:v>4</x:v>
      </x:c>
      <x:c r="S91" s="4" t="n">
        <x:f>'参数'!$C$10</x:f>
        <x:v>1.2</x:v>
      </x:c>
      <x:c r="T91" s="4" t="n">
        <x:f>'参数'!$D$10</x:f>
        <x:v>1</x:v>
      </x:c>
      <x:c r="U91" s="4" t="n">
        <x:f t="shared" si="7">IF($O91="","",$O91*$R91)</x:f>
        <x:v>84900</x:v>
      </x:c>
      <x:c r="V91" s="4" t="n">
        <x:f t="shared" si="8">IF($P91="","",$P91*$S91)</x:f>
        <x:v>5211.599999999999</x:v>
      </x:c>
      <x:c r="W91" s="4" t="n">
        <x:f t="shared" si="9">IF($Q91="","",$Q91*$T91)</x:f>
        <x:v>5995</x:v>
      </x:c>
      <x:c r="X91" s="4" t="n">
        <x:f>IFERROR(INDEX('参数'!$B$5:$B$7,MATCH($N91,'参数'!$A$5:$A$7,0)),"")</x:f>
        <x:v>1.25</x:v>
      </x:c>
      <x:c r="Y91" s="4" t="n">
        <x:f>IFERROR(INDEX('参数'!$C$5:$C$7,MATCH($N91,'参数'!$A$5:$A$7,0)),"")</x:f>
        <x:v>1</x:v>
      </x:c>
      <x:c r="Z91" s="4" t="n">
        <x:f>IFERROR(INDEX('参数'!$D$5:$D$7,MATCH($N91,'参数'!$A$5:$A$7,0)),"")</x:f>
        <x:v>1.25</x:v>
      </x:c>
      <x:c r="AA91" s="4" t="n">
        <x:f>IFERROR(INDEX('楼层配置'!$E$5:$E$104,MATCH($K91,'楼层配置'!$B$5:$B$104,0)),1)</x:f>
        <x:v>1.150368061399929</x:v>
      </x:c>
      <x:c r="AB91" s="4" t="n">
        <x:f>IFERROR(INDEX('楼层配置'!$F$5:$F$104,MATCH($K91,'楼层配置'!$B$5:$B$104,0)),1)</x:f>
        <x:v>0.7243124125084344</x:v>
      </x:c>
      <x:c r="AC91" s="4" t="n">
        <x:f>IFERROR(INDEX('楼层配置'!$G$5:$G$104,MATCH($K91,'楼层配置'!$B$5:$B$104,0)),1)</x:f>
        <x:v>1</x:v>
      </x:c>
      <x:c r="AD91" s="6" t="n">
        <x:f t="shared" si="10">IFERROR($D91/$G91-1,"")</x:f>
        <x:v>-0.16287473600482738</x:v>
      </x:c>
      <x:c r="AE91" s="6" t="n">
        <x:f t="shared" si="11">IFERROR($E91/$H91-1,"")</x:f>
        <x:v>-0.15698972755694507</x:v>
      </x:c>
      <x:c r="AF91" s="6" t="n">
        <x:f t="shared" si="12">IFERROR($F91/$I91-1,"")</x:f>
        <x:v>0.29363024339720356</x:v>
      </x:c>
      <x:c r="AG91" s="4" t="str">
        <x:f t="shared" si="13">IF(AND($A91&gt;=1,$L91&gt;=1,$L91&lt;=500,OR($N91="Tank",$N91="DPS",$N91="Support"),ISNUMBER($D91),ISNUMBER($E91),ISNUMBER($F91)),"有效","异常")</x:f>
        <x:v>有效</x:v>
      </x:c>
      <x:c r="AH91" t="n">
        <x:f>D91/(1-MIN(0.75,F91/(24000+F91)))</x:f>
        <x:v>160203.41675</x:v>
      </x:c>
    </x:row>
    <x:row r="92" ht="14.25" customHeight="1">
      <x:c r="A92" s="4">
        <x:v>88</x:v>
      </x:c>
      <x:c r="B92" s="4">
        <x:v>1037</x:v>
      </x:c>
      <x:c r="C92" s="4">
        <x:v>19</x:v>
      </x:c>
      <x:c r="D92" s="5" t="n">
        <x:f>IFERROR(ROUND($U92*$X92*$AA92*'参数'!$B$13,0),"")</x:f>
        <x:v>97666</x:v>
      </x:c>
      <x:c r="E92" s="5" t="n">
        <x:f>IFERROR(ROUND($V92*$Y92*$AB92*'参数'!$C$13,0),"")</x:f>
        <x:v>4530</x:v>
      </x:c>
      <x:c r="F92" s="5" t="n">
        <x:f>IFERROR(ROUND($W92*$Z92*$AC92*'参数'!$D$13,0),"")</x:f>
        <x:v>5995</x:v>
      </x:c>
      <x:c r="G92" s="4">
        <x:v>116668</x:v>
      </x:c>
      <x:c r="H92" s="4">
        <x:v>5373</x:v>
      </x:c>
      <x:c r="I92" s="4">
        <x:v>4634</x:v>
      </x:c>
      <x:c r="J92" s="4">
        <x:v>18</x:v>
      </x:c>
      <x:c r="K92" s="4">
        <x:v>18</x:v>
      </x:c>
      <x:c r="L92" s="4" t="n">
        <x:f>IFERROR(INDEX('楼层配置'!$D$5:$D$104,MATCH($K92,'楼层配置'!$B$5:$B$104,0)),"")</x:f>
        <x:v>73</x:v>
      </x:c>
      <x:c r="M92" s="4" t="str">
        <x:f>IFERROR(INDEX('_角色基线'!$B$2:$B$100,MATCH($B92,'_角色基线'!$A$2:$A$100,0)),"")</x:f>
        <x:v>霜狼战士</x:v>
      </x:c>
      <x:c r="N92" s="4" t="str">
        <x:f>IFERROR(INDEX('_角色基线'!$C$2:$C$100,MATCH($B92,'_角色基线'!$A$2:$A$100,0)),"")</x:f>
        <x:v>DPS</x:v>
      </x:c>
      <x:c r="O92" s="4" t="n">
        <x:f>IFERROR(INDEX('_怪物基线'!$B$2:$B$501,MATCH(INT($L92),'_怪物基线'!$A$2:$A$501,0)),"")</x:f>
        <x:v>21225</x:v>
      </x:c>
      <x:c r="P92" s="4" t="n">
        <x:f>IFERROR(INDEX('_怪物基线'!$C$2:$C$501,MATCH(INT($L92),'_怪物基线'!$A$2:$A$501,0)),"")</x:f>
        <x:v>4343</x:v>
      </x:c>
      <x:c r="Q92" s="4" t="n">
        <x:f>IFERROR(INDEX('_怪物基线'!$D$2:$D$501,MATCH(INT($L92),'_怪物基线'!$A$2:$A$501,0)),"")</x:f>
        <x:v>5995</x:v>
      </x:c>
      <x:c r="R92" s="4" t="n">
        <x:f>'参数'!$B$10</x:f>
        <x:v>4</x:v>
      </x:c>
      <x:c r="S92" s="4" t="n">
        <x:f>'参数'!$C$10</x:f>
        <x:v>1.2</x:v>
      </x:c>
      <x:c r="T92" s="4" t="n">
        <x:f>'参数'!$D$10</x:f>
        <x:v>1</x:v>
      </x:c>
      <x:c r="U92" s="4" t="n">
        <x:f t="shared" si="7">IF($O92="","",$O92*$R92)</x:f>
        <x:v>84900</x:v>
      </x:c>
      <x:c r="V92" s="4" t="n">
        <x:f t="shared" si="8">IF($P92="","",$P92*$S92)</x:f>
        <x:v>5211.599999999999</x:v>
      </x:c>
      <x:c r="W92" s="4" t="n">
        <x:f t="shared" si="9">IF($Q92="","",$Q92*$T92)</x:f>
        <x:v>5995</x:v>
      </x:c>
      <x:c r="X92" s="4" t="n">
        <x:f>IFERROR(INDEX('参数'!$B$5:$B$7,MATCH($N92,'参数'!$A$5:$A$7,0)),"")</x:f>
        <x:v>1</x:v>
      </x:c>
      <x:c r="Y92" s="4" t="n">
        <x:f>IFERROR(INDEX('参数'!$C$5:$C$7,MATCH($N92,'参数'!$A$5:$A$7,0)),"")</x:f>
        <x:v>1.2</x:v>
      </x:c>
      <x:c r="Z92" s="4" t="n">
        <x:f>IFERROR(INDEX('参数'!$D$5:$D$7,MATCH($N92,'参数'!$A$5:$A$7,0)),"")</x:f>
        <x:v>1</x:v>
      </x:c>
      <x:c r="AA92" s="4" t="n">
        <x:f>IFERROR(INDEX('楼层配置'!$E$5:$E$104,MATCH($K92,'楼层配置'!$B$5:$B$104,0)),1)</x:f>
        <x:v>1.150368061399929</x:v>
      </x:c>
      <x:c r="AB92" s="4" t="n">
        <x:f>IFERROR(INDEX('楼层配置'!$F$5:$F$104,MATCH($K92,'楼层配置'!$B$5:$B$104,0)),1)</x:f>
        <x:v>0.7243124125084344</x:v>
      </x:c>
      <x:c r="AC92" s="4" t="n">
        <x:f>IFERROR(INDEX('楼层配置'!$G$5:$G$104,MATCH($K92,'楼层配置'!$B$5:$B$104,0)),1)</x:f>
        <x:v>1</x:v>
      </x:c>
      <x:c r="AD92" s="6" t="n">
        <x:f t="shared" si="10">IFERROR($D92/$G92-1,"")</x:f>
        <x:v>-0.1628724243151507</x:v>
      </x:c>
      <x:c r="AE92" s="6" t="n">
        <x:f t="shared" si="11">IFERROR($E92/$H92-1,"")</x:f>
        <x:v>-0.15689558905639311</x:v>
      </x:c>
      <x:c r="AF92" s="6" t="n">
        <x:f t="shared" si="12">IFERROR($F92/$I92-1,"")</x:f>
        <x:v>0.2936987483815279</x:v>
      </x:c>
      <x:c r="AG92" s="4" t="str">
        <x:f t="shared" si="13">IF(AND($A92&gt;=1,$L92&gt;=1,$L92&lt;=500,OR($N92="Tank",$N92="DPS",$N92="Support"),ISNUMBER($D92),ISNUMBER($E92),ISNUMBER($F92)),"有效","异常")</x:f>
        <x:v>有效</x:v>
      </x:c>
      <x:c r="AH92" t="n">
        <x:f>D92/(1-MIN(0.75,F92/(24000+F92)))</x:f>
        <x:v>122062.15291666666</x:v>
      </x:c>
    </x:row>
    <x:row r="93" ht="14.25" customHeight="1">
      <x:c r="A93" s="4">
        <x:v>89</x:v>
      </x:c>
      <x:c r="B93" s="4">
        <x:v>1018</x:v>
      </x:c>
      <x:c r="C93" s="4">
        <x:v>19</x:v>
      </x:c>
      <x:c r="D93" s="5" t="n">
        <x:f>IFERROR(ROUND($U93*$X93*$AA93*'参数'!$B$13,0),"")</x:f>
        <x:v>122083</x:v>
      </x:c>
      <x:c r="E93" s="5" t="n">
        <x:f>IFERROR(ROUND($V93*$Y93*$AB93*'参数'!$C$13,0),"")</x:f>
        <x:v>3775</x:v>
      </x:c>
      <x:c r="F93" s="5" t="n">
        <x:f>IFERROR(ROUND($W93*$Z93*$AC93*'参数'!$D$13,0),"")</x:f>
        <x:v>7494</x:v>
      </x:c>
      <x:c r="G93" s="4">
        <x:v>145836</x:v>
      </x:c>
      <x:c r="H93" s="4">
        <x:v>4478</x:v>
      </x:c>
      <x:c r="I93" s="4">
        <x:v>5793</x:v>
      </x:c>
      <x:c r="J93" s="4">
        <x:v>18</x:v>
      </x:c>
      <x:c r="K93" s="4">
        <x:v>18</x:v>
      </x:c>
      <x:c r="L93" s="4" t="n">
        <x:f>IFERROR(INDEX('楼层配置'!$D$5:$D$104,MATCH($K93,'楼层配置'!$B$5:$B$104,0)),"")</x:f>
        <x:v>73</x:v>
      </x:c>
      <x:c r="M93" s="4" t="str">
        <x:f>IFERROR(INDEX('_角色基线'!$B$2:$B$100,MATCH($B93,'_角色基线'!$A$2:$A$100,0)),"")</x:f>
        <x:v>埃莉诺</x:v>
      </x:c>
      <x:c r="N93" s="4" t="str">
        <x:f>IFERROR(INDEX('_角色基线'!$C$2:$C$100,MATCH($B93,'_角色基线'!$A$2:$A$100,0)),"")</x:f>
        <x:v>Support</x:v>
      </x:c>
      <x:c r="O93" s="4" t="n">
        <x:f>IFERROR(INDEX('_怪物基线'!$B$2:$B$501,MATCH(INT($L93),'_怪物基线'!$A$2:$A$501,0)),"")</x:f>
        <x:v>21225</x:v>
      </x:c>
      <x:c r="P93" s="4" t="n">
        <x:f>IFERROR(INDEX('_怪物基线'!$C$2:$C$501,MATCH(INT($L93),'_怪物基线'!$A$2:$A$501,0)),"")</x:f>
        <x:v>4343</x:v>
      </x:c>
      <x:c r="Q93" s="4" t="n">
        <x:f>IFERROR(INDEX('_怪物基线'!$D$2:$D$501,MATCH(INT($L93),'_怪物基线'!$A$2:$A$501,0)),"")</x:f>
        <x:v>5995</x:v>
      </x:c>
      <x:c r="R93" s="4" t="n">
        <x:f>'参数'!$B$10</x:f>
        <x:v>4</x:v>
      </x:c>
      <x:c r="S93" s="4" t="n">
        <x:f>'参数'!$C$10</x:f>
        <x:v>1.2</x:v>
      </x:c>
      <x:c r="T93" s="4" t="n">
        <x:f>'参数'!$D$10</x:f>
        <x:v>1</x:v>
      </x:c>
      <x:c r="U93" s="4" t="n">
        <x:f t="shared" si="7">IF($O93="","",$O93*$R93)</x:f>
        <x:v>84900</x:v>
      </x:c>
      <x:c r="V93" s="4" t="n">
        <x:f t="shared" si="8">IF($P93="","",$P93*$S93)</x:f>
        <x:v>5211.599999999999</x:v>
      </x:c>
      <x:c r="W93" s="4" t="n">
        <x:f t="shared" si="9">IF($Q93="","",$Q93*$T93)</x:f>
        <x:v>5995</x:v>
      </x:c>
      <x:c r="X93" s="4" t="n">
        <x:f>IFERROR(INDEX('参数'!$B$5:$B$7,MATCH($N93,'参数'!$A$5:$A$7,0)),"")</x:f>
        <x:v>1.25</x:v>
      </x:c>
      <x:c r="Y93" s="4" t="n">
        <x:f>IFERROR(INDEX('参数'!$C$5:$C$7,MATCH($N93,'参数'!$A$5:$A$7,0)),"")</x:f>
        <x:v>1</x:v>
      </x:c>
      <x:c r="Z93" s="4" t="n">
        <x:f>IFERROR(INDEX('参数'!$D$5:$D$7,MATCH($N93,'参数'!$A$5:$A$7,0)),"")</x:f>
        <x:v>1.25</x:v>
      </x:c>
      <x:c r="AA93" s="4" t="n">
        <x:f>IFERROR(INDEX('楼层配置'!$E$5:$E$104,MATCH($K93,'楼层配置'!$B$5:$B$104,0)),1)</x:f>
        <x:v>1.150368061399929</x:v>
      </x:c>
      <x:c r="AB93" s="4" t="n">
        <x:f>IFERROR(INDEX('楼层配置'!$F$5:$F$104,MATCH($K93,'楼层配置'!$B$5:$B$104,0)),1)</x:f>
        <x:v>0.7243124125084344</x:v>
      </x:c>
      <x:c r="AC93" s="4" t="n">
        <x:f>IFERROR(INDEX('楼层配置'!$G$5:$G$104,MATCH($K93,'楼层配置'!$B$5:$B$104,0)),1)</x:f>
        <x:v>1</x:v>
      </x:c>
      <x:c r="AD93" s="6" t="n">
        <x:f t="shared" si="10">IFERROR($D93/$G93-1,"")</x:f>
        <x:v>-0.16287473600482738</x:v>
      </x:c>
      <x:c r="AE93" s="6" t="n">
        <x:f t="shared" si="11">IFERROR($E93/$H93-1,"")</x:f>
        <x:v>-0.15698972755694507</x:v>
      </x:c>
      <x:c r="AF93" s="6" t="n">
        <x:f t="shared" si="12">IFERROR($F93/$I93-1,"")</x:f>
        <x:v>0.29363024339720356</x:v>
      </x:c>
      <x:c r="AG93" s="4" t="str">
        <x:f t="shared" si="13">IF(AND($A93&gt;=1,$L93&gt;=1,$L93&lt;=500,OR($N93="Tank",$N93="DPS",$N93="Support"),ISNUMBER($D93),ISNUMBER($E93),ISNUMBER($F93)),"有效","异常")</x:f>
        <x:v>有效</x:v>
      </x:c>
      <x:c r="AH93" t="n">
        <x:f>D93/(1-MIN(0.75,F93/(24000+F93)))</x:f>
        <x:v>160203.41675</x:v>
      </x:c>
    </x:row>
    <x:row r="94" ht="14.25" customHeight="1">
      <x:c r="A94" s="4">
        <x:v>90</x:v>
      </x:c>
      <x:c r="B94" s="4">
        <x:v>1012</x:v>
      </x:c>
      <x:c r="C94" s="4">
        <x:v>19</x:v>
      </x:c>
      <x:c r="D94" s="5" t="n">
        <x:f>IFERROR(ROUND($U94*$X94*$AA94*'参数'!$B$13,0),"")</x:f>
        <x:v>122083</x:v>
      </x:c>
      <x:c r="E94" s="5" t="n">
        <x:f>IFERROR(ROUND($V94*$Y94*$AB94*'参数'!$C$13,0),"")</x:f>
        <x:v>3775</x:v>
      </x:c>
      <x:c r="F94" s="5" t="n">
        <x:f>IFERROR(ROUND($W94*$Z94*$AC94*'参数'!$D$13,0),"")</x:f>
        <x:v>7494</x:v>
      </x:c>
      <x:c r="G94" s="4">
        <x:v>145836</x:v>
      </x:c>
      <x:c r="H94" s="4">
        <x:v>4478</x:v>
      </x:c>
      <x:c r="I94" s="4">
        <x:v>5793</x:v>
      </x:c>
      <x:c r="J94" s="4">
        <x:v>18</x:v>
      </x:c>
      <x:c r="K94" s="4">
        <x:v>18</x:v>
      </x:c>
      <x:c r="L94" s="4" t="n">
        <x:f>IFERROR(INDEX('楼层配置'!$D$5:$D$104,MATCH($K94,'楼层配置'!$B$5:$B$104,0)),"")</x:f>
        <x:v>73</x:v>
      </x:c>
      <x:c r="M94" s="4" t="str">
        <x:f>IFERROR(INDEX('_角色基线'!$B$2:$B$100,MATCH($B94,'_角色基线'!$A$2:$A$100,0)),"")</x:f>
        <x:v>艾德琳</x:v>
      </x:c>
      <x:c r="N94" s="4" t="str">
        <x:f>IFERROR(INDEX('_角色基线'!$C$2:$C$100,MATCH($B94,'_角色基线'!$A$2:$A$100,0)),"")</x:f>
        <x:v>Support</x:v>
      </x:c>
      <x:c r="O94" s="4" t="n">
        <x:f>IFERROR(INDEX('_怪物基线'!$B$2:$B$501,MATCH(INT($L94),'_怪物基线'!$A$2:$A$501,0)),"")</x:f>
        <x:v>21225</x:v>
      </x:c>
      <x:c r="P94" s="4" t="n">
        <x:f>IFERROR(INDEX('_怪物基线'!$C$2:$C$501,MATCH(INT($L94),'_怪物基线'!$A$2:$A$501,0)),"")</x:f>
        <x:v>4343</x:v>
      </x:c>
      <x:c r="Q94" s="4" t="n">
        <x:f>IFERROR(INDEX('_怪物基线'!$D$2:$D$501,MATCH(INT($L94),'_怪物基线'!$A$2:$A$501,0)),"")</x:f>
        <x:v>5995</x:v>
      </x:c>
      <x:c r="R94" s="4" t="n">
        <x:f>'参数'!$B$10</x:f>
        <x:v>4</x:v>
      </x:c>
      <x:c r="S94" s="4" t="n">
        <x:f>'参数'!$C$10</x:f>
        <x:v>1.2</x:v>
      </x:c>
      <x:c r="T94" s="4" t="n">
        <x:f>'参数'!$D$10</x:f>
        <x:v>1</x:v>
      </x:c>
      <x:c r="U94" s="4" t="n">
        <x:f t="shared" si="7">IF($O94="","",$O94*$R94)</x:f>
        <x:v>84900</x:v>
      </x:c>
      <x:c r="V94" s="4" t="n">
        <x:f t="shared" si="8">IF($P94="","",$P94*$S94)</x:f>
        <x:v>5211.599999999999</x:v>
      </x:c>
      <x:c r="W94" s="4" t="n">
        <x:f t="shared" si="9">IF($Q94="","",$Q94*$T94)</x:f>
        <x:v>5995</x:v>
      </x:c>
      <x:c r="X94" s="4" t="n">
        <x:f>IFERROR(INDEX('参数'!$B$5:$B$7,MATCH($N94,'参数'!$A$5:$A$7,0)),"")</x:f>
        <x:v>1.25</x:v>
      </x:c>
      <x:c r="Y94" s="4" t="n">
        <x:f>IFERROR(INDEX('参数'!$C$5:$C$7,MATCH($N94,'参数'!$A$5:$A$7,0)),"")</x:f>
        <x:v>1</x:v>
      </x:c>
      <x:c r="Z94" s="4" t="n">
        <x:f>IFERROR(INDEX('参数'!$D$5:$D$7,MATCH($N94,'参数'!$A$5:$A$7,0)),"")</x:f>
        <x:v>1.25</x:v>
      </x:c>
      <x:c r="AA94" s="4" t="n">
        <x:f>IFERROR(INDEX('楼层配置'!$E$5:$E$104,MATCH($K94,'楼层配置'!$B$5:$B$104,0)),1)</x:f>
        <x:v>1.150368061399929</x:v>
      </x:c>
      <x:c r="AB94" s="4" t="n">
        <x:f>IFERROR(INDEX('楼层配置'!$F$5:$F$104,MATCH($K94,'楼层配置'!$B$5:$B$104,0)),1)</x:f>
        <x:v>0.7243124125084344</x:v>
      </x:c>
      <x:c r="AC94" s="4" t="n">
        <x:f>IFERROR(INDEX('楼层配置'!$G$5:$G$104,MATCH($K94,'楼层配置'!$B$5:$B$104,0)),1)</x:f>
        <x:v>1</x:v>
      </x:c>
      <x:c r="AD94" s="6" t="n">
        <x:f t="shared" si="10">IFERROR($D94/$G94-1,"")</x:f>
        <x:v>-0.16287473600482738</x:v>
      </x:c>
      <x:c r="AE94" s="6" t="n">
        <x:f t="shared" si="11">IFERROR($E94/$H94-1,"")</x:f>
        <x:v>-0.15698972755694507</x:v>
      </x:c>
      <x:c r="AF94" s="6" t="n">
        <x:f t="shared" si="12">IFERROR($F94/$I94-1,"")</x:f>
        <x:v>0.29363024339720356</x:v>
      </x:c>
      <x:c r="AG94" s="4" t="str">
        <x:f t="shared" si="13">IF(AND($A94&gt;=1,$L94&gt;=1,$L94&lt;=500,OR($N94="Tank",$N94="DPS",$N94="Support"),ISNUMBER($D94),ISNUMBER($E94),ISNUMBER($F94)),"有效","异常")</x:f>
        <x:v>有效</x:v>
      </x:c>
      <x:c r="AH94" t="n">
        <x:f>D94/(1-MIN(0.75,F94/(24000+F94)))</x:f>
        <x:v>160203.41675</x:v>
      </x:c>
    </x:row>
    <x:row r="95" ht="14.25" customHeight="1">
      <x:c r="A95" s="4">
        <x:v>91</x:v>
      </x:c>
      <x:c r="B95" s="4">
        <x:v>1002</x:v>
      </x:c>
      <x:c r="C95" s="4">
        <x:v>19</x:v>
      </x:c>
      <x:c r="D95" s="5" t="n">
        <x:f>IFERROR(ROUND($U95*$X95*$AA95*'参数'!$B$13,0),"")</x:f>
        <x:v>158986</x:v>
      </x:c>
      <x:c r="E95" s="5" t="n">
        <x:f>IFERROR(ROUND($V95*$Y95*$AB95*'参数'!$C$13,0),"")</x:f>
        <x:v>3972</x:v>
      </x:c>
      <x:c r="F95" s="5" t="n">
        <x:f>IFERROR(ROUND($W95*$Z95*$AC95*'参数'!$D$13,0),"")</x:f>
        <x:v>9537</x:v>
      </x:c>
      <x:c r="G95" s="4">
        <x:v>190000</x:v>
      </x:c>
      <x:c r="H95" s="4">
        <x:v>4733</x:v>
      </x:c>
      <x:c r="I95" s="4">
        <x:v>7317</x:v>
      </x:c>
      <x:c r="J95" s="4">
        <x:v>19</x:v>
      </x:c>
      <x:c r="K95" s="4">
        <x:v>19</x:v>
      </x:c>
      <x:c r="L95" s="4" t="n">
        <x:f>IFERROR(INDEX('楼层配置'!$D$5:$D$104,MATCH($K95,'楼层配置'!$B$5:$B$104,0)),"")</x:f>
        <x:v>77</x:v>
      </x:c>
      <x:c r="M95" s="4" t="str">
        <x:f>IFERROR(INDEX('_角色基线'!$B$2:$B$100,MATCH($B95,'_角色基线'!$A$2:$A$100,0)),"")</x:f>
        <x:v>大暑</x:v>
      </x:c>
      <x:c r="N95" s="4" t="str">
        <x:f>IFERROR(INDEX('_角色基线'!$C$2:$C$100,MATCH($B95,'_角色基线'!$A$2:$A$100,0)),"")</x:f>
        <x:v>Tank</x:v>
      </x:c>
      <x:c r="O95" s="4" t="n">
        <x:f>IFERROR(INDEX('_怪物基线'!$B$2:$B$501,MATCH(INT($L95),'_怪物基线'!$A$2:$A$501,0)),"")</x:f>
        <x:v>23288</x:v>
      </x:c>
      <x:c r="P95" s="4" t="n">
        <x:f>IFERROR(INDEX('_怪物基线'!$C$2:$C$501,MATCH(INT($L95),'_怪物基线'!$A$2:$A$501,0)),"")</x:f>
        <x:v>4654</x:v>
      </x:c>
      <x:c r="Q95" s="4" t="n">
        <x:f>IFERROR(INDEX('_怪物基线'!$D$2:$D$501,MATCH(INT($L95),'_怪物基线'!$A$2:$A$501,0)),"")</x:f>
        <x:v>6358</x:v>
      </x:c>
      <x:c r="R95" s="4" t="n">
        <x:f>'参数'!$B$10</x:f>
        <x:v>4</x:v>
      </x:c>
      <x:c r="S95" s="4" t="n">
        <x:f>'参数'!$C$10</x:f>
        <x:v>1.2</x:v>
      </x:c>
      <x:c r="T95" s="4" t="n">
        <x:f>'参数'!$D$10</x:f>
        <x:v>1</x:v>
      </x:c>
      <x:c r="U95" s="4" t="n">
        <x:f t="shared" si="7">IF($O95="","",$O95*$R95)</x:f>
        <x:v>93152</x:v>
      </x:c>
      <x:c r="V95" s="4" t="n">
        <x:f t="shared" si="8">IF($P95="","",$P95*$S95)</x:f>
        <x:v>5584.8</x:v>
      </x:c>
      <x:c r="W95" s="4" t="n">
        <x:f t="shared" si="9">IF($Q95="","",$Q95*$T95)</x:f>
        <x:v>6358</x:v>
      </x:c>
      <x:c r="X95" s="4" t="n">
        <x:f>IFERROR(INDEX('参数'!$B$5:$B$7,MATCH($N95,'参数'!$A$5:$A$7,0)),"")</x:f>
        <x:v>1.5</x:v>
      </x:c>
      <x:c r="Y95" s="4" t="n">
        <x:f>IFERROR(INDEX('参数'!$C$5:$C$7,MATCH($N95,'参数'!$A$5:$A$7,0)),"")</x:f>
        <x:v>1</x:v>
      </x:c>
      <x:c r="Z95" s="4" t="n">
        <x:f>IFERROR(INDEX('参数'!$D$5:$D$7,MATCH($N95,'参数'!$A$5:$A$7,0)),"")</x:f>
        <x:v>1.5</x:v>
      </x:c>
      <x:c r="AA95" s="4" t="n">
        <x:f>IFERROR(INDEX('楼层配置'!$E$5:$E$104,MATCH($K95,'楼层配置'!$B$5:$B$104,0)),1)</x:f>
        <x:v>1.1378215373987672</x:v>
      </x:c>
      <x:c r="AB95" s="4" t="n">
        <x:f>IFERROR(INDEX('楼层配置'!$F$5:$F$104,MATCH($K95,'楼层配置'!$B$5:$B$104,0)),1)</x:f>
        <x:v>0.7112034664512266</x:v>
      </x:c>
      <x:c r="AC95" s="4" t="n">
        <x:f>IFERROR(INDEX('楼层配置'!$G$5:$G$104,MATCH($K95,'楼层配置'!$B$5:$B$104,0)),1)</x:f>
        <x:v>1</x:v>
      </x:c>
      <x:c r="AD95" s="6" t="n">
        <x:f t="shared" si="10">IFERROR($D95/$G95-1,"")</x:f>
        <x:v>-0.1632315789473684</x:v>
      </x:c>
      <x:c r="AE95" s="6" t="n">
        <x:f t="shared" si="11">IFERROR($E95/$H95-1,"")</x:f>
        <x:v>-0.16078597084301716</x:v>
      </x:c>
      <x:c r="AF95" s="6" t="n">
        <x:f t="shared" si="12">IFERROR($F95/$I95-1,"")</x:f>
        <x:v>0.3034030340303404</x:v>
      </x:c>
      <x:c r="AG95" s="4" t="str">
        <x:f t="shared" si="13">IF(AND($A95&gt;=1,$L95&gt;=1,$L95&lt;=500,OR($N95="Tank",$N95="DPS",$N95="Support"),ISNUMBER($D95),ISNUMBER($E95),ISNUMBER($F95)),"有效","异常")</x:f>
        <x:v>有效</x:v>
      </x:c>
      <x:c r="AH95" t="n">
        <x:f>D95/(1-MIN(0.75,F95/(24000+F95)))</x:f>
        <x:v>222163.06175000002</x:v>
      </x:c>
    </x:row>
    <x:row r="96" ht="14.25" customHeight="1">
      <x:c r="A96" s="4">
        <x:v>92</x:v>
      </x:c>
      <x:c r="B96" s="4">
        <x:v>1018</x:v>
      </x:c>
      <x:c r="C96" s="4">
        <x:v>19</x:v>
      </x:c>
      <x:c r="D96" s="5" t="n">
        <x:f>IFERROR(ROUND($U96*$X96*$AA96*'参数'!$B$13,0),"")</x:f>
        <x:v>132488</x:v>
      </x:c>
      <x:c r="E96" s="5" t="n">
        <x:f>IFERROR(ROUND($V96*$Y96*$AB96*'参数'!$C$13,0),"")</x:f>
        <x:v>3972</x:v>
      </x:c>
      <x:c r="F96" s="5" t="n">
        <x:f>IFERROR(ROUND($W96*$Z96*$AC96*'参数'!$D$13,0),"")</x:f>
        <x:v>7948</x:v>
      </x:c>
      <x:c r="G96" s="4">
        <x:v>158334</x:v>
      </x:c>
      <x:c r="H96" s="4">
        <x:v>4733</x:v>
      </x:c>
      <x:c r="I96" s="4">
        <x:v>6098</x:v>
      </x:c>
      <x:c r="J96" s="4">
        <x:v>19</x:v>
      </x:c>
      <x:c r="K96" s="4">
        <x:v>19</x:v>
      </x:c>
      <x:c r="L96" s="4" t="n">
        <x:f>IFERROR(INDEX('楼层配置'!$D$5:$D$104,MATCH($K96,'楼层配置'!$B$5:$B$104,0)),"")</x:f>
        <x:v>77</x:v>
      </x:c>
      <x:c r="M96" s="4" t="str">
        <x:f>IFERROR(INDEX('_角色基线'!$B$2:$B$100,MATCH($B96,'_角色基线'!$A$2:$A$100,0)),"")</x:f>
        <x:v>埃莉诺</x:v>
      </x:c>
      <x:c r="N96" s="4" t="str">
        <x:f>IFERROR(INDEX('_角色基线'!$C$2:$C$100,MATCH($B96,'_角色基线'!$A$2:$A$100,0)),"")</x:f>
        <x:v>Support</x:v>
      </x:c>
      <x:c r="O96" s="4" t="n">
        <x:f>IFERROR(INDEX('_怪物基线'!$B$2:$B$501,MATCH(INT($L96),'_怪物基线'!$A$2:$A$501,0)),"")</x:f>
        <x:v>23288</x:v>
      </x:c>
      <x:c r="P96" s="4" t="n">
        <x:f>IFERROR(INDEX('_怪物基线'!$C$2:$C$501,MATCH(INT($L96),'_怪物基线'!$A$2:$A$501,0)),"")</x:f>
        <x:v>4654</x:v>
      </x:c>
      <x:c r="Q96" s="4" t="n">
        <x:f>IFERROR(INDEX('_怪物基线'!$D$2:$D$501,MATCH(INT($L96),'_怪物基线'!$A$2:$A$501,0)),"")</x:f>
        <x:v>6358</x:v>
      </x:c>
      <x:c r="R96" s="4" t="n">
        <x:f>'参数'!$B$10</x:f>
        <x:v>4</x:v>
      </x:c>
      <x:c r="S96" s="4" t="n">
        <x:f>'参数'!$C$10</x:f>
        <x:v>1.2</x:v>
      </x:c>
      <x:c r="T96" s="4" t="n">
        <x:f>'参数'!$D$10</x:f>
        <x:v>1</x:v>
      </x:c>
      <x:c r="U96" s="4" t="n">
        <x:f t="shared" si="7">IF($O96="","",$O96*$R96)</x:f>
        <x:v>93152</x:v>
      </x:c>
      <x:c r="V96" s="4" t="n">
        <x:f t="shared" si="8">IF($P96="","",$P96*$S96)</x:f>
        <x:v>5584.8</x:v>
      </x:c>
      <x:c r="W96" s="4" t="n">
        <x:f t="shared" si="9">IF($Q96="","",$Q96*$T96)</x:f>
        <x:v>6358</x:v>
      </x:c>
      <x:c r="X96" s="4" t="n">
        <x:f>IFERROR(INDEX('参数'!$B$5:$B$7,MATCH($N96,'参数'!$A$5:$A$7,0)),"")</x:f>
        <x:v>1.25</x:v>
      </x:c>
      <x:c r="Y96" s="4" t="n">
        <x:f>IFERROR(INDEX('参数'!$C$5:$C$7,MATCH($N96,'参数'!$A$5:$A$7,0)),"")</x:f>
        <x:v>1</x:v>
      </x:c>
      <x:c r="Z96" s="4" t="n">
        <x:f>IFERROR(INDEX('参数'!$D$5:$D$7,MATCH($N96,'参数'!$A$5:$A$7,0)),"")</x:f>
        <x:v>1.25</x:v>
      </x:c>
      <x:c r="AA96" s="4" t="n">
        <x:f>IFERROR(INDEX('楼层配置'!$E$5:$E$104,MATCH($K96,'楼层配置'!$B$5:$B$104,0)),1)</x:f>
        <x:v>1.1378215373987672</x:v>
      </x:c>
      <x:c r="AB96" s="4" t="n">
        <x:f>IFERROR(INDEX('楼层配置'!$F$5:$F$104,MATCH($K96,'楼层配置'!$B$5:$B$104,0)),1)</x:f>
        <x:v>0.7112034664512266</x:v>
      </x:c>
      <x:c r="AC96" s="4" t="n">
        <x:f>IFERROR(INDEX('楼层配置'!$G$5:$G$104,MATCH($K96,'楼层配置'!$B$5:$B$104,0)),1)</x:f>
        <x:v>1</x:v>
      </x:c>
      <x:c r="AD96" s="6" t="n">
        <x:f t="shared" si="10">IFERROR($D96/$G96-1,"")</x:f>
        <x:v>-0.16323720742228454</x:v>
      </x:c>
      <x:c r="AE96" s="6" t="n">
        <x:f t="shared" si="11">IFERROR($E96/$H96-1,"")</x:f>
        <x:v>-0.16078597084301716</x:v>
      </x:c>
      <x:c r="AF96" s="6" t="n">
        <x:f t="shared" si="12">IFERROR($F96/$I96-1,"")</x:f>
        <x:v>0.3033781567727123</x:v>
      </x:c>
      <x:c r="AG96" s="4" t="str">
        <x:f t="shared" si="13">IF(AND($A96&gt;=1,$L96&gt;=1,$L96&lt;=500,OR($N96="Tank",$N96="DPS",$N96="Support"),ISNUMBER($D96),ISNUMBER($E96),ISNUMBER($F96)),"有效","异常")</x:f>
        <x:v>有效</x:v>
      </x:c>
      <x:c r="AH96" t="n">
        <x:f>D96/(1-MIN(0.75,F96/(24000+F96)))</x:f>
        <x:v>176363.60933333336</x:v>
      </x:c>
    </x:row>
    <x:row r="97" ht="14.25" customHeight="1">
      <x:c r="A97" s="4">
        <x:v>93</x:v>
      </x:c>
      <x:c r="B97" s="4">
        <x:v>1018</x:v>
      </x:c>
      <x:c r="C97" s="4">
        <x:v>19</x:v>
      </x:c>
      <x:c r="D97" s="5" t="n">
        <x:f>IFERROR(ROUND($U97*$X97*$AA97*'参数'!$B$13,0),"")</x:f>
        <x:v>132488</x:v>
      </x:c>
      <x:c r="E97" s="5" t="n">
        <x:f>IFERROR(ROUND($V97*$Y97*$AB97*'参数'!$C$13,0),"")</x:f>
        <x:v>3972</x:v>
      </x:c>
      <x:c r="F97" s="5" t="n">
        <x:f>IFERROR(ROUND($W97*$Z97*$AC97*'参数'!$D$13,0),"")</x:f>
        <x:v>7948</x:v>
      </x:c>
      <x:c r="G97" s="4">
        <x:v>158334</x:v>
      </x:c>
      <x:c r="H97" s="4">
        <x:v>4733</x:v>
      </x:c>
      <x:c r="I97" s="4">
        <x:v>6098</x:v>
      </x:c>
      <x:c r="J97" s="4">
        <x:v>19</x:v>
      </x:c>
      <x:c r="K97" s="4">
        <x:v>19</x:v>
      </x:c>
      <x:c r="L97" s="4" t="n">
        <x:f>IFERROR(INDEX('楼层配置'!$D$5:$D$104,MATCH($K97,'楼层配置'!$B$5:$B$104,0)),"")</x:f>
        <x:v>77</x:v>
      </x:c>
      <x:c r="M97" s="4" t="str">
        <x:f>IFERROR(INDEX('_角色基线'!$B$2:$B$100,MATCH($B97,'_角色基线'!$A$2:$A$100,0)),"")</x:f>
        <x:v>埃莉诺</x:v>
      </x:c>
      <x:c r="N97" s="4" t="str">
        <x:f>IFERROR(INDEX('_角色基线'!$C$2:$C$100,MATCH($B97,'_角色基线'!$A$2:$A$100,0)),"")</x:f>
        <x:v>Support</x:v>
      </x:c>
      <x:c r="O97" s="4" t="n">
        <x:f>IFERROR(INDEX('_怪物基线'!$B$2:$B$501,MATCH(INT($L97),'_怪物基线'!$A$2:$A$501,0)),"")</x:f>
        <x:v>23288</x:v>
      </x:c>
      <x:c r="P97" s="4" t="n">
        <x:f>IFERROR(INDEX('_怪物基线'!$C$2:$C$501,MATCH(INT($L97),'_怪物基线'!$A$2:$A$501,0)),"")</x:f>
        <x:v>4654</x:v>
      </x:c>
      <x:c r="Q97" s="4" t="n">
        <x:f>IFERROR(INDEX('_怪物基线'!$D$2:$D$501,MATCH(INT($L97),'_怪物基线'!$A$2:$A$501,0)),"")</x:f>
        <x:v>6358</x:v>
      </x:c>
      <x:c r="R97" s="4" t="n">
        <x:f>'参数'!$B$10</x:f>
        <x:v>4</x:v>
      </x:c>
      <x:c r="S97" s="4" t="n">
        <x:f>'参数'!$C$10</x:f>
        <x:v>1.2</x:v>
      </x:c>
      <x:c r="T97" s="4" t="n">
        <x:f>'参数'!$D$10</x:f>
        <x:v>1</x:v>
      </x:c>
      <x:c r="U97" s="4" t="n">
        <x:f t="shared" si="7">IF($O97="","",$O97*$R97)</x:f>
        <x:v>93152</x:v>
      </x:c>
      <x:c r="V97" s="4" t="n">
        <x:f t="shared" si="8">IF($P97="","",$P97*$S97)</x:f>
        <x:v>5584.8</x:v>
      </x:c>
      <x:c r="W97" s="4" t="n">
        <x:f t="shared" si="9">IF($Q97="","",$Q97*$T97)</x:f>
        <x:v>6358</x:v>
      </x:c>
      <x:c r="X97" s="4" t="n">
        <x:f>IFERROR(INDEX('参数'!$B$5:$B$7,MATCH($N97,'参数'!$A$5:$A$7,0)),"")</x:f>
        <x:v>1.25</x:v>
      </x:c>
      <x:c r="Y97" s="4" t="n">
        <x:f>IFERROR(INDEX('参数'!$C$5:$C$7,MATCH($N97,'参数'!$A$5:$A$7,0)),"")</x:f>
        <x:v>1</x:v>
      </x:c>
      <x:c r="Z97" s="4" t="n">
        <x:f>IFERROR(INDEX('参数'!$D$5:$D$7,MATCH($N97,'参数'!$A$5:$A$7,0)),"")</x:f>
        <x:v>1.25</x:v>
      </x:c>
      <x:c r="AA97" s="4" t="n">
        <x:f>IFERROR(INDEX('楼层配置'!$E$5:$E$104,MATCH($K97,'楼层配置'!$B$5:$B$104,0)),1)</x:f>
        <x:v>1.1378215373987672</x:v>
      </x:c>
      <x:c r="AB97" s="4" t="n">
        <x:f>IFERROR(INDEX('楼层配置'!$F$5:$F$104,MATCH($K97,'楼层配置'!$B$5:$B$104,0)),1)</x:f>
        <x:v>0.7112034664512266</x:v>
      </x:c>
      <x:c r="AC97" s="4" t="n">
        <x:f>IFERROR(INDEX('楼层配置'!$G$5:$G$104,MATCH($K97,'楼层配置'!$B$5:$B$104,0)),1)</x:f>
        <x:v>1</x:v>
      </x:c>
      <x:c r="AD97" s="6" t="n">
        <x:f t="shared" si="10">IFERROR($D97/$G97-1,"")</x:f>
        <x:v>-0.16323720742228454</x:v>
      </x:c>
      <x:c r="AE97" s="6" t="n">
        <x:f t="shared" si="11">IFERROR($E97/$H97-1,"")</x:f>
        <x:v>-0.16078597084301716</x:v>
      </x:c>
      <x:c r="AF97" s="6" t="n">
        <x:f t="shared" si="12">IFERROR($F97/$I97-1,"")</x:f>
        <x:v>0.3033781567727123</x:v>
      </x:c>
      <x:c r="AG97" s="4" t="str">
        <x:f t="shared" si="13">IF(AND($A97&gt;=1,$L97&gt;=1,$L97&lt;=500,OR($N97="Tank",$N97="DPS",$N97="Support"),ISNUMBER($D97),ISNUMBER($E97),ISNUMBER($F97)),"有效","异常")</x:f>
        <x:v>有效</x:v>
      </x:c>
      <x:c r="AH97" t="n">
        <x:f>D97/(1-MIN(0.75,F97/(24000+F97)))</x:f>
        <x:v>176363.60933333336</x:v>
      </x:c>
    </x:row>
    <x:row r="98" ht="14.25" customHeight="1">
      <x:c r="A98" s="4">
        <x:v>94</x:v>
      </x:c>
      <x:c r="B98" s="4">
        <x:v>1012</x:v>
      </x:c>
      <x:c r="C98" s="4">
        <x:v>19</x:v>
      </x:c>
      <x:c r="D98" s="5" t="n">
        <x:f>IFERROR(ROUND($U98*$X98*$AA98*'参数'!$B$13,0),"")</x:f>
        <x:v>132488</x:v>
      </x:c>
      <x:c r="E98" s="5" t="n">
        <x:f>IFERROR(ROUND($V98*$Y98*$AB98*'参数'!$C$13,0),"")</x:f>
        <x:v>3972</x:v>
      </x:c>
      <x:c r="F98" s="5" t="n">
        <x:f>IFERROR(ROUND($W98*$Z98*$AC98*'参数'!$D$13,0),"")</x:f>
        <x:v>7948</x:v>
      </x:c>
      <x:c r="G98" s="4">
        <x:v>158334</x:v>
      </x:c>
      <x:c r="H98" s="4">
        <x:v>4733</x:v>
      </x:c>
      <x:c r="I98" s="4">
        <x:v>6098</x:v>
      </x:c>
      <x:c r="J98" s="4">
        <x:v>19</x:v>
      </x:c>
      <x:c r="K98" s="4">
        <x:v>19</x:v>
      </x:c>
      <x:c r="L98" s="4" t="n">
        <x:f>IFERROR(INDEX('楼层配置'!$D$5:$D$104,MATCH($K98,'楼层配置'!$B$5:$B$104,0)),"")</x:f>
        <x:v>77</x:v>
      </x:c>
      <x:c r="M98" s="4" t="str">
        <x:f>IFERROR(INDEX('_角色基线'!$B$2:$B$100,MATCH($B98,'_角色基线'!$A$2:$A$100,0)),"")</x:f>
        <x:v>艾德琳</x:v>
      </x:c>
      <x:c r="N98" s="4" t="str">
        <x:f>IFERROR(INDEX('_角色基线'!$C$2:$C$100,MATCH($B98,'_角色基线'!$A$2:$A$100,0)),"")</x:f>
        <x:v>Support</x:v>
      </x:c>
      <x:c r="O98" s="4" t="n">
        <x:f>IFERROR(INDEX('_怪物基线'!$B$2:$B$501,MATCH(INT($L98),'_怪物基线'!$A$2:$A$501,0)),"")</x:f>
        <x:v>23288</x:v>
      </x:c>
      <x:c r="P98" s="4" t="n">
        <x:f>IFERROR(INDEX('_怪物基线'!$C$2:$C$501,MATCH(INT($L98),'_怪物基线'!$A$2:$A$501,0)),"")</x:f>
        <x:v>4654</x:v>
      </x:c>
      <x:c r="Q98" s="4" t="n">
        <x:f>IFERROR(INDEX('_怪物基线'!$D$2:$D$501,MATCH(INT($L98),'_怪物基线'!$A$2:$A$501,0)),"")</x:f>
        <x:v>6358</x:v>
      </x:c>
      <x:c r="R98" s="4" t="n">
        <x:f>'参数'!$B$10</x:f>
        <x:v>4</x:v>
      </x:c>
      <x:c r="S98" s="4" t="n">
        <x:f>'参数'!$C$10</x:f>
        <x:v>1.2</x:v>
      </x:c>
      <x:c r="T98" s="4" t="n">
        <x:f>'参数'!$D$10</x:f>
        <x:v>1</x:v>
      </x:c>
      <x:c r="U98" s="4" t="n">
        <x:f t="shared" si="7">IF($O98="","",$O98*$R98)</x:f>
        <x:v>93152</x:v>
      </x:c>
      <x:c r="V98" s="4" t="n">
        <x:f t="shared" si="8">IF($P98="","",$P98*$S98)</x:f>
        <x:v>5584.8</x:v>
      </x:c>
      <x:c r="W98" s="4" t="n">
        <x:f t="shared" si="9">IF($Q98="","",$Q98*$T98)</x:f>
        <x:v>6358</x:v>
      </x:c>
      <x:c r="X98" s="4" t="n">
        <x:f>IFERROR(INDEX('参数'!$B$5:$B$7,MATCH($N98,'参数'!$A$5:$A$7,0)),"")</x:f>
        <x:v>1.25</x:v>
      </x:c>
      <x:c r="Y98" s="4" t="n">
        <x:f>IFERROR(INDEX('参数'!$C$5:$C$7,MATCH($N98,'参数'!$A$5:$A$7,0)),"")</x:f>
        <x:v>1</x:v>
      </x:c>
      <x:c r="Z98" s="4" t="n">
        <x:f>IFERROR(INDEX('参数'!$D$5:$D$7,MATCH($N98,'参数'!$A$5:$A$7,0)),"")</x:f>
        <x:v>1.25</x:v>
      </x:c>
      <x:c r="AA98" s="4" t="n">
        <x:f>IFERROR(INDEX('楼层配置'!$E$5:$E$104,MATCH($K98,'楼层配置'!$B$5:$B$104,0)),1)</x:f>
        <x:v>1.1378215373987672</x:v>
      </x:c>
      <x:c r="AB98" s="4" t="n">
        <x:f>IFERROR(INDEX('楼层配置'!$F$5:$F$104,MATCH($K98,'楼层配置'!$B$5:$B$104,0)),1)</x:f>
        <x:v>0.7112034664512266</x:v>
      </x:c>
      <x:c r="AC98" s="4" t="n">
        <x:f>IFERROR(INDEX('楼层配置'!$G$5:$G$104,MATCH($K98,'楼层配置'!$B$5:$B$104,0)),1)</x:f>
        <x:v>1</x:v>
      </x:c>
      <x:c r="AD98" s="6" t="n">
        <x:f t="shared" si="10">IFERROR($D98/$G98-1,"")</x:f>
        <x:v>-0.16323720742228454</x:v>
      </x:c>
      <x:c r="AE98" s="6" t="n">
        <x:f t="shared" si="11">IFERROR($E98/$H98-1,"")</x:f>
        <x:v>-0.16078597084301716</x:v>
      </x:c>
      <x:c r="AF98" s="6" t="n">
        <x:f t="shared" si="12">IFERROR($F98/$I98-1,"")</x:f>
        <x:v>0.3033781567727123</x:v>
      </x:c>
      <x:c r="AG98" s="4" t="str">
        <x:f t="shared" si="13">IF(AND($A98&gt;=1,$L98&gt;=1,$L98&lt;=500,OR($N98="Tank",$N98="DPS",$N98="Support"),ISNUMBER($D98),ISNUMBER($E98),ISNUMBER($F98)),"有效","异常")</x:f>
        <x:v>有效</x:v>
      </x:c>
      <x:c r="AH98" t="n">
        <x:f>D98/(1-MIN(0.75,F98/(24000+F98)))</x:f>
        <x:v>176363.60933333336</x:v>
      </x:c>
    </x:row>
    <x:row r="99" ht="14.25" customHeight="1">
      <x:c r="A99" s="4">
        <x:v>95</x:v>
      </x:c>
      <x:c r="B99" s="4">
        <x:v>1036</x:v>
      </x:c>
      <x:c r="C99" s="4">
        <x:v>19</x:v>
      </x:c>
      <x:c r="D99" s="5" t="n">
        <x:f>IFERROR(ROUND($U99*$X99*$AA99*'参数'!$B$13,0),"")</x:f>
        <x:v>105990</x:v>
      </x:c>
      <x:c r="E99" s="5" t="n">
        <x:f>IFERROR(ROUND($V99*$Y99*$AB99*'参数'!$C$13,0),"")</x:f>
        <x:v>4766</x:v>
      </x:c>
      <x:c r="F99" s="5" t="n">
        <x:f>IFERROR(ROUND($W99*$Z99*$AC99*'参数'!$D$13,0),"")</x:f>
        <x:v>6358</x:v>
      </x:c>
      <x:c r="G99" s="4">
        <x:v>126667</x:v>
      </x:c>
      <x:c r="H99" s="4">
        <x:v>5679</x:v>
      </x:c>
      <x:c r="I99" s="4">
        <x:v>4878</x:v>
      </x:c>
      <x:c r="J99" s="4">
        <x:v>19</x:v>
      </x:c>
      <x:c r="K99" s="4">
        <x:v>19</x:v>
      </x:c>
      <x:c r="L99" s="4" t="n">
        <x:f>IFERROR(INDEX('楼层配置'!$D$5:$D$104,MATCH($K99,'楼层配置'!$B$5:$B$104,0)),"")</x:f>
        <x:v>77</x:v>
      </x:c>
      <x:c r="M99" s="4" t="str">
        <x:f>IFERROR(INDEX('_角色基线'!$B$2:$B$100,MATCH($B99,'_角色基线'!$A$2:$A$100,0)),"")</x:f>
        <x:v>霜狼法师</x:v>
      </x:c>
      <x:c r="N99" s="4" t="str">
        <x:f>IFERROR(INDEX('_角色基线'!$C$2:$C$100,MATCH($B99,'_角色基线'!$A$2:$A$100,0)),"")</x:f>
        <x:v>DPS</x:v>
      </x:c>
      <x:c r="O99" s="4" t="n">
        <x:f>IFERROR(INDEX('_怪物基线'!$B$2:$B$501,MATCH(INT($L99),'_怪物基线'!$A$2:$A$501,0)),"")</x:f>
        <x:v>23288</x:v>
      </x:c>
      <x:c r="P99" s="4" t="n">
        <x:f>IFERROR(INDEX('_怪物基线'!$C$2:$C$501,MATCH(INT($L99),'_怪物基线'!$A$2:$A$501,0)),"")</x:f>
        <x:v>4654</x:v>
      </x:c>
      <x:c r="Q99" s="4" t="n">
        <x:f>IFERROR(INDEX('_怪物基线'!$D$2:$D$501,MATCH(INT($L99),'_怪物基线'!$A$2:$A$501,0)),"")</x:f>
        <x:v>6358</x:v>
      </x:c>
      <x:c r="R99" s="4" t="n">
        <x:f>'参数'!$B$10</x:f>
        <x:v>4</x:v>
      </x:c>
      <x:c r="S99" s="4" t="n">
        <x:f>'参数'!$C$10</x:f>
        <x:v>1.2</x:v>
      </x:c>
      <x:c r="T99" s="4" t="n">
        <x:f>'参数'!$D$10</x:f>
        <x:v>1</x:v>
      </x:c>
      <x:c r="U99" s="4" t="n">
        <x:f t="shared" si="7">IF($O99="","",$O99*$R99)</x:f>
        <x:v>93152</x:v>
      </x:c>
      <x:c r="V99" s="4" t="n">
        <x:f t="shared" si="8">IF($P99="","",$P99*$S99)</x:f>
        <x:v>5584.8</x:v>
      </x:c>
      <x:c r="W99" s="4" t="n">
        <x:f t="shared" si="9">IF($Q99="","",$Q99*$T99)</x:f>
        <x:v>6358</x:v>
      </x:c>
      <x:c r="X99" s="4" t="n">
        <x:f>IFERROR(INDEX('参数'!$B$5:$B$7,MATCH($N99,'参数'!$A$5:$A$7,0)),"")</x:f>
        <x:v>1</x:v>
      </x:c>
      <x:c r="Y99" s="4" t="n">
        <x:f>IFERROR(INDEX('参数'!$C$5:$C$7,MATCH($N99,'参数'!$A$5:$A$7,0)),"")</x:f>
        <x:v>1.2</x:v>
      </x:c>
      <x:c r="Z99" s="4" t="n">
        <x:f>IFERROR(INDEX('参数'!$D$5:$D$7,MATCH($N99,'参数'!$A$5:$A$7,0)),"")</x:f>
        <x:v>1</x:v>
      </x:c>
      <x:c r="AA99" s="4" t="n">
        <x:f>IFERROR(INDEX('楼层配置'!$E$5:$E$104,MATCH($K99,'楼层配置'!$B$5:$B$104,0)),1)</x:f>
        <x:v>1.1378215373987672</x:v>
      </x:c>
      <x:c r="AB99" s="4" t="n">
        <x:f>IFERROR(INDEX('楼层配置'!$F$5:$F$104,MATCH($K99,'楼层配置'!$B$5:$B$104,0)),1)</x:f>
        <x:v>0.7112034664512266</x:v>
      </x:c>
      <x:c r="AC99" s="4" t="n">
        <x:f>IFERROR(INDEX('楼层配置'!$G$5:$G$104,MATCH($K99,'楼层配置'!$B$5:$B$104,0)),1)</x:f>
        <x:v>1</x:v>
      </x:c>
      <x:c r="AD99" s="6" t="n">
        <x:f t="shared" si="10">IFERROR($D99/$G99-1,"")</x:f>
        <x:v>-0.16323904410777867</x:v>
      </x:c>
      <x:c r="AE99" s="6" t="n">
        <x:f t="shared" si="11">IFERROR($E99/$H99-1,"")</x:f>
        <x:v>-0.16076774079943656</x:v>
      </x:c>
      <x:c r="AF99" s="6" t="n">
        <x:f t="shared" si="12">IFERROR($F99/$I99-1,"")</x:f>
        <x:v>0.3034030340303404</x:v>
      </x:c>
      <x:c r="AG99" s="4" t="str">
        <x:f t="shared" si="13">IF(AND($A99&gt;=1,$L99&gt;=1,$L99&lt;=500,OR($N99="Tank",$N99="DPS",$N99="Support"),ISNUMBER($D99),ISNUMBER($E99),ISNUMBER($F99)),"有效","异常")</x:f>
        <x:v>有效</x:v>
      </x:c>
      <x:c r="AH99" t="n">
        <x:f>D99/(1-MIN(0.75,F99/(24000+F99)))</x:f>
        <x:v>134068.5175</x:v>
      </x:c>
    </x:row>
    <x:row r="100" ht="14.25" customHeight="1">
      <x:c r="A100" s="4">
        <x:v>96</x:v>
      </x:c>
      <x:c r="B100" s="4">
        <x:v>1008</x:v>
      </x:c>
      <x:c r="C100" s="4">
        <x:v>20</x:v>
      </x:c>
      <x:c r="D100" s="5" t="n">
        <x:f>IFERROR(ROUND($U100*$X100*$AA100*'参数'!$B$13,0),"")</x:f>
        <x:v>113609</x:v>
      </x:c>
      <x:c r="E100" s="5" t="n">
        <x:f>IFERROR(ROUND($V100*$Y100*$AB100*'参数'!$C$13,0),"")</x:f>
        <x:v>4998</x:v>
      </x:c>
      <x:c r="F100" s="5" t="n">
        <x:f>IFERROR(ROUND($W100*$Z100*$AC100*'参数'!$D$13,0),"")</x:f>
        <x:v>6633</x:v>
      </x:c>
      <x:c r="G100" s="4">
        <x:v>137188</x:v>
      </x:c>
      <x:c r="H100" s="4">
        <x:v>5990</x:v>
      </x:c>
      <x:c r="I100" s="4">
        <x:v>5124</x:v>
      </x:c>
      <x:c r="J100" s="4">
        <x:v>20</x:v>
      </x:c>
      <x:c r="K100" s="4">
        <x:v>20</x:v>
      </x:c>
      <x:c r="L100" s="4" t="n">
        <x:f>IFERROR(INDEX('楼层配置'!$D$5:$D$104,MATCH($K100,'楼层配置'!$B$5:$B$104,0)),"")</x:f>
        <x:v>80</x:v>
      </x:c>
      <x:c r="M100" s="4" t="str">
        <x:f>IFERROR(INDEX('_角色基线'!$B$2:$B$100,MATCH($B100,'_角色基线'!$A$2:$A$100,0)),"")</x:f>
        <x:v>薇</x:v>
      </x:c>
      <x:c r="N100" s="4" t="str">
        <x:f>IFERROR(INDEX('_角色基线'!$C$2:$C$100,MATCH($B100,'_角色基线'!$A$2:$A$100,0)),"")</x:f>
        <x:v>DPS</x:v>
      </x:c>
      <x:c r="O100" s="4" t="n">
        <x:f>IFERROR(INDEX('_怪物基线'!$B$2:$B$501,MATCH(INT($L100),'_怪物基线'!$A$2:$A$501,0)),"")</x:f>
        <x:v>24910</x:v>
      </x:c>
      <x:c r="P100" s="4" t="n">
        <x:f>IFERROR(INDEX('_怪物基线'!$C$2:$C$501,MATCH(INT($L100),'_怪物基线'!$A$2:$A$501,0)),"")</x:f>
        <x:v>4893</x:v>
      </x:c>
      <x:c r="Q100" s="4" t="n">
        <x:f>IFERROR(INDEX('_怪物基线'!$D$2:$D$501,MATCH(INT($L100),'_怪物基线'!$A$2:$A$501,0)),"")</x:f>
        <x:v>6633</x:v>
      </x:c>
      <x:c r="R100" s="4" t="n">
        <x:f>'参数'!$B$10</x:f>
        <x:v>4</x:v>
      </x:c>
      <x:c r="S100" s="4" t="n">
        <x:f>'参数'!$C$10</x:f>
        <x:v>1.2</x:v>
      </x:c>
      <x:c r="T100" s="4" t="n">
        <x:f>'参数'!$D$10</x:f>
        <x:v>1</x:v>
      </x:c>
      <x:c r="U100" s="4" t="n">
        <x:f t="shared" si="7">IF($O100="","",$O100*$R100)</x:f>
        <x:v>99640</x:v>
      </x:c>
      <x:c r="V100" s="4" t="n">
        <x:f t="shared" si="8">IF($P100="","",$P100*$S100)</x:f>
        <x:v>5871.599999999999</x:v>
      </x:c>
      <x:c r="W100" s="4" t="n">
        <x:f t="shared" si="9">IF($Q100="","",$Q100*$T100)</x:f>
        <x:v>6633</x:v>
      </x:c>
      <x:c r="X100" s="4" t="n">
        <x:f>IFERROR(INDEX('参数'!$B$5:$B$7,MATCH($N100,'参数'!$A$5:$A$7,0)),"")</x:f>
        <x:v>1</x:v>
      </x:c>
      <x:c r="Y100" s="4" t="n">
        <x:f>IFERROR(INDEX('参数'!$C$5:$C$7,MATCH($N100,'参数'!$A$5:$A$7,0)),"")</x:f>
        <x:v>1.2</x:v>
      </x:c>
      <x:c r="Z100" s="4" t="n">
        <x:f>IFERROR(INDEX('参数'!$D$5:$D$7,MATCH($N100,'参数'!$A$5:$A$7,0)),"")</x:f>
        <x:v>1</x:v>
      </x:c>
      <x:c r="AA100" s="4" t="n">
        <x:f>IFERROR(INDEX('楼层配置'!$E$5:$E$104,MATCH($K100,'楼层配置'!$B$5:$B$104,0)),1)</x:f>
        <x:v>1.1401953788956354</x:v>
      </x:c>
      <x:c r="AB100" s="4" t="n">
        <x:f>IFERROR(INDEX('楼层配置'!$F$5:$F$104,MATCH($K100,'楼层配置'!$B$5:$B$104,0)),1)</x:f>
        <x:v>0.7093065421045627</x:v>
      </x:c>
      <x:c r="AC100" s="4" t="n">
        <x:f>IFERROR(INDEX('楼层配置'!$G$5:$G$104,MATCH($K100,'楼层配置'!$B$5:$B$104,0)),1)</x:f>
        <x:v>1</x:v>
      </x:c>
      <x:c r="AD100" s="6" t="n">
        <x:f t="shared" si="10">IFERROR($D100/$G100-1,"")</x:f>
        <x:v>-0.17187363326238447</x:v>
      </x:c>
      <x:c r="AE100" s="6" t="n">
        <x:f t="shared" si="11">IFERROR($E100/$H100-1,"")</x:f>
        <x:v>-0.16560934891485812</x:v>
      </x:c>
      <x:c r="AF100" s="6" t="n">
        <x:f t="shared" si="12">IFERROR($F100/$I100-1,"")</x:f>
        <x:v>0.294496487119438</x:v>
      </x:c>
      <x:c r="AG100" s="4" t="str">
        <x:f t="shared" si="13">IF(AND($A100&gt;=1,$L100&gt;=1,$L100&lt;=500,OR($N100="Tank",$N100="DPS",$N100="Support"),ISNUMBER($D100),ISNUMBER($E100),ISNUMBER($F100)),"有效","异常")</x:f>
        <x:v>有效</x:v>
      </x:c>
      <x:c r="AH100" t="n">
        <x:f>D100/(1-MIN(0.75,F100/(24000+F100)))</x:f>
        <x:v>145007.687375</x:v>
      </x:c>
    </x:row>
    <x:row r="101" ht="14.25" customHeight="1">
      <x:c r="A101" s="4">
        <x:v>97</x:v>
      </x:c>
      <x:c r="B101" s="4">
        <x:v>1008</x:v>
      </x:c>
      <x:c r="C101" s="4">
        <x:v>20</x:v>
      </x:c>
      <x:c r="D101" s="5" t="n">
        <x:f>IFERROR(ROUND($U101*$X101*$AA101*'参数'!$B$13,0),"")</x:f>
        <x:v>113609</x:v>
      </x:c>
      <x:c r="E101" s="5" t="n">
        <x:f>IFERROR(ROUND($V101*$Y101*$AB101*'参数'!$C$13,0),"")</x:f>
        <x:v>4998</x:v>
      </x:c>
      <x:c r="F101" s="5" t="n">
        <x:f>IFERROR(ROUND($W101*$Z101*$AC101*'参数'!$D$13,0),"")</x:f>
        <x:v>6633</x:v>
      </x:c>
      <x:c r="G101" s="4">
        <x:v>137188</x:v>
      </x:c>
      <x:c r="H101" s="4">
        <x:v>5990</x:v>
      </x:c>
      <x:c r="I101" s="4">
        <x:v>5124</x:v>
      </x:c>
      <x:c r="J101" s="4">
        <x:v>20</x:v>
      </x:c>
      <x:c r="K101" s="4">
        <x:v>20</x:v>
      </x:c>
      <x:c r="L101" s="4" t="n">
        <x:f>IFERROR(INDEX('楼层配置'!$D$5:$D$104,MATCH($K101,'楼层配置'!$B$5:$B$104,0)),"")</x:f>
        <x:v>80</x:v>
      </x:c>
      <x:c r="M101" s="4" t="str">
        <x:f>IFERROR(INDEX('_角色基线'!$B$2:$B$100,MATCH($B101,'_角色基线'!$A$2:$A$100,0)),"")</x:f>
        <x:v>薇</x:v>
      </x:c>
      <x:c r="N101" s="4" t="str">
        <x:f>IFERROR(INDEX('_角色基线'!$C$2:$C$100,MATCH($B101,'_角色基线'!$A$2:$A$100,0)),"")</x:f>
        <x:v>DPS</x:v>
      </x:c>
      <x:c r="O101" s="4" t="n">
        <x:f>IFERROR(INDEX('_怪物基线'!$B$2:$B$501,MATCH(INT($L101),'_怪物基线'!$A$2:$A$501,0)),"")</x:f>
        <x:v>24910</x:v>
      </x:c>
      <x:c r="P101" s="4" t="n">
        <x:f>IFERROR(INDEX('_怪物基线'!$C$2:$C$501,MATCH(INT($L101),'_怪物基线'!$A$2:$A$501,0)),"")</x:f>
        <x:v>4893</x:v>
      </x:c>
      <x:c r="Q101" s="4" t="n">
        <x:f>IFERROR(INDEX('_怪物基线'!$D$2:$D$501,MATCH(INT($L101),'_怪物基线'!$A$2:$A$501,0)),"")</x:f>
        <x:v>6633</x:v>
      </x:c>
      <x:c r="R101" s="4" t="n">
        <x:f>'参数'!$B$10</x:f>
        <x:v>4</x:v>
      </x:c>
      <x:c r="S101" s="4" t="n">
        <x:f>'参数'!$C$10</x:f>
        <x:v>1.2</x:v>
      </x:c>
      <x:c r="T101" s="4" t="n">
        <x:f>'参数'!$D$10</x:f>
        <x:v>1</x:v>
      </x:c>
      <x:c r="U101" s="4" t="n">
        <x:f t="shared" si="7">IF($O101="","",$O101*$R101)</x:f>
        <x:v>99640</x:v>
      </x:c>
      <x:c r="V101" s="4" t="n">
        <x:f t="shared" si="8">IF($P101="","",$P101*$S101)</x:f>
        <x:v>5871.599999999999</x:v>
      </x:c>
      <x:c r="W101" s="4" t="n">
        <x:f t="shared" si="9">IF($Q101="","",$Q101*$T101)</x:f>
        <x:v>6633</x:v>
      </x:c>
      <x:c r="X101" s="4" t="n">
        <x:f>IFERROR(INDEX('参数'!$B$5:$B$7,MATCH($N101,'参数'!$A$5:$A$7,0)),"")</x:f>
        <x:v>1</x:v>
      </x:c>
      <x:c r="Y101" s="4" t="n">
        <x:f>IFERROR(INDEX('参数'!$C$5:$C$7,MATCH($N101,'参数'!$A$5:$A$7,0)),"")</x:f>
        <x:v>1.2</x:v>
      </x:c>
      <x:c r="Z101" s="4" t="n">
        <x:f>IFERROR(INDEX('参数'!$D$5:$D$7,MATCH($N101,'参数'!$A$5:$A$7,0)),"")</x:f>
        <x:v>1</x:v>
      </x:c>
      <x:c r="AA101" s="4" t="n">
        <x:f>IFERROR(INDEX('楼层配置'!$E$5:$E$104,MATCH($K101,'楼层配置'!$B$5:$B$104,0)),1)</x:f>
        <x:v>1.1401953788956354</x:v>
      </x:c>
      <x:c r="AB101" s="4" t="n">
        <x:f>IFERROR(INDEX('楼层配置'!$F$5:$F$104,MATCH($K101,'楼层配置'!$B$5:$B$104,0)),1)</x:f>
        <x:v>0.7093065421045627</x:v>
      </x:c>
      <x:c r="AC101" s="4" t="n">
        <x:f>IFERROR(INDEX('楼层配置'!$G$5:$G$104,MATCH($K101,'楼层配置'!$B$5:$B$104,0)),1)</x:f>
        <x:v>1</x:v>
      </x:c>
      <x:c r="AD101" s="6" t="n">
        <x:f t="shared" si="10">IFERROR($D101/$G101-1,"")</x:f>
        <x:v>-0.17187363326238447</x:v>
      </x:c>
      <x:c r="AE101" s="6" t="n">
        <x:f t="shared" si="11">IFERROR($E101/$H101-1,"")</x:f>
        <x:v>-0.16560934891485812</x:v>
      </x:c>
      <x:c r="AF101" s="6" t="n">
        <x:f t="shared" si="12">IFERROR($F101/$I101-1,"")</x:f>
        <x:v>0.294496487119438</x:v>
      </x:c>
      <x:c r="AG101" s="4" t="str">
        <x:f t="shared" si="13">IF(AND($A101&gt;=1,$L101&gt;=1,$L101&lt;=500,OR($N101="Tank",$N101="DPS",$N101="Support"),ISNUMBER($D101),ISNUMBER($E101),ISNUMBER($F101)),"有效","异常")</x:f>
        <x:v>有效</x:v>
      </x:c>
      <x:c r="AH101" t="n">
        <x:f>D101/(1-MIN(0.75,F101/(24000+F101)))</x:f>
        <x:v>145007.687375</x:v>
      </x:c>
    </x:row>
    <x:row r="102" ht="14.25" customHeight="1">
      <x:c r="A102" s="4">
        <x:v>98</x:v>
      </x:c>
      <x:c r="B102" s="4">
        <x:v>1008</x:v>
      </x:c>
      <x:c r="C102" s="4">
        <x:v>20</x:v>
      </x:c>
      <x:c r="D102" s="5" t="n">
        <x:f>IFERROR(ROUND($U102*$X102*$AA102*'参数'!$B$13,0),"")</x:f>
        <x:v>113609</x:v>
      </x:c>
      <x:c r="E102" s="5" t="n">
        <x:f>IFERROR(ROUND($V102*$Y102*$AB102*'参数'!$C$13,0),"")</x:f>
        <x:v>4998</x:v>
      </x:c>
      <x:c r="F102" s="5" t="n">
        <x:f>IFERROR(ROUND($W102*$Z102*$AC102*'参数'!$D$13,0),"")</x:f>
        <x:v>6633</x:v>
      </x:c>
      <x:c r="G102" s="4">
        <x:v>137188</x:v>
      </x:c>
      <x:c r="H102" s="4">
        <x:v>5990</x:v>
      </x:c>
      <x:c r="I102" s="4">
        <x:v>5124</x:v>
      </x:c>
      <x:c r="J102" s="4">
        <x:v>20</x:v>
      </x:c>
      <x:c r="K102" s="4">
        <x:v>20</x:v>
      </x:c>
      <x:c r="L102" s="4" t="n">
        <x:f>IFERROR(INDEX('楼层配置'!$D$5:$D$104,MATCH($K102,'楼层配置'!$B$5:$B$104,0)),"")</x:f>
        <x:v>80</x:v>
      </x:c>
      <x:c r="M102" s="4" t="str">
        <x:f>IFERROR(INDEX('_角色基线'!$B$2:$B$100,MATCH($B102,'_角色基线'!$A$2:$A$100,0)),"")</x:f>
        <x:v>薇</x:v>
      </x:c>
      <x:c r="N102" s="4" t="str">
        <x:f>IFERROR(INDEX('_角色基线'!$C$2:$C$100,MATCH($B102,'_角色基线'!$A$2:$A$100,0)),"")</x:f>
        <x:v>DPS</x:v>
      </x:c>
      <x:c r="O102" s="4" t="n">
        <x:f>IFERROR(INDEX('_怪物基线'!$B$2:$B$501,MATCH(INT($L102),'_怪物基线'!$A$2:$A$501,0)),"")</x:f>
        <x:v>24910</x:v>
      </x:c>
      <x:c r="P102" s="4" t="n">
        <x:f>IFERROR(INDEX('_怪物基线'!$C$2:$C$501,MATCH(INT($L102),'_怪物基线'!$A$2:$A$501,0)),"")</x:f>
        <x:v>4893</x:v>
      </x:c>
      <x:c r="Q102" s="4" t="n">
        <x:f>IFERROR(INDEX('_怪物基线'!$D$2:$D$501,MATCH(INT($L102),'_怪物基线'!$A$2:$A$501,0)),"")</x:f>
        <x:v>6633</x:v>
      </x:c>
      <x:c r="R102" s="4" t="n">
        <x:f>'参数'!$B$10</x:f>
        <x:v>4</x:v>
      </x:c>
      <x:c r="S102" s="4" t="n">
        <x:f>'参数'!$C$10</x:f>
        <x:v>1.2</x:v>
      </x:c>
      <x:c r="T102" s="4" t="n">
        <x:f>'参数'!$D$10</x:f>
        <x:v>1</x:v>
      </x:c>
      <x:c r="U102" s="4" t="n">
        <x:f t="shared" si="7">IF($O102="","",$O102*$R102)</x:f>
        <x:v>99640</x:v>
      </x:c>
      <x:c r="V102" s="4" t="n">
        <x:f t="shared" si="8">IF($P102="","",$P102*$S102)</x:f>
        <x:v>5871.599999999999</x:v>
      </x:c>
      <x:c r="W102" s="4" t="n">
        <x:f t="shared" si="9">IF($Q102="","",$Q102*$T102)</x:f>
        <x:v>6633</x:v>
      </x:c>
      <x:c r="X102" s="4" t="n">
        <x:f>IFERROR(INDEX('参数'!$B$5:$B$7,MATCH($N102,'参数'!$A$5:$A$7,0)),"")</x:f>
        <x:v>1</x:v>
      </x:c>
      <x:c r="Y102" s="4" t="n">
        <x:f>IFERROR(INDEX('参数'!$C$5:$C$7,MATCH($N102,'参数'!$A$5:$A$7,0)),"")</x:f>
        <x:v>1.2</x:v>
      </x:c>
      <x:c r="Z102" s="4" t="n">
        <x:f>IFERROR(INDEX('参数'!$D$5:$D$7,MATCH($N102,'参数'!$A$5:$A$7,0)),"")</x:f>
        <x:v>1</x:v>
      </x:c>
      <x:c r="AA102" s="4" t="n">
        <x:f>IFERROR(INDEX('楼层配置'!$E$5:$E$104,MATCH($K102,'楼层配置'!$B$5:$B$104,0)),1)</x:f>
        <x:v>1.1401953788956354</x:v>
      </x:c>
      <x:c r="AB102" s="4" t="n">
        <x:f>IFERROR(INDEX('楼层配置'!$F$5:$F$104,MATCH($K102,'楼层配置'!$B$5:$B$104,0)),1)</x:f>
        <x:v>0.7093065421045627</x:v>
      </x:c>
      <x:c r="AC102" s="4" t="n">
        <x:f>IFERROR(INDEX('楼层配置'!$G$5:$G$104,MATCH($K102,'楼层配置'!$B$5:$B$104,0)),1)</x:f>
        <x:v>1</x:v>
      </x:c>
      <x:c r="AD102" s="6" t="n">
        <x:f t="shared" si="10">IFERROR($D102/$G102-1,"")</x:f>
        <x:v>-0.17187363326238447</x:v>
      </x:c>
      <x:c r="AE102" s="6" t="n">
        <x:f t="shared" si="11">IFERROR($E102/$H102-1,"")</x:f>
        <x:v>-0.16560934891485812</x:v>
      </x:c>
      <x:c r="AF102" s="6" t="n">
        <x:f t="shared" si="12">IFERROR($F102/$I102-1,"")</x:f>
        <x:v>0.294496487119438</x:v>
      </x:c>
      <x:c r="AG102" s="4" t="str">
        <x:f t="shared" si="13">IF(AND($A102&gt;=1,$L102&gt;=1,$L102&lt;=500,OR($N102="Tank",$N102="DPS",$N102="Support"),ISNUMBER($D102),ISNUMBER($E102),ISNUMBER($F102)),"有效","异常")</x:f>
        <x:v>有效</x:v>
      </x:c>
      <x:c r="AH102" t="n">
        <x:f>D102/(1-MIN(0.75,F102/(24000+F102)))</x:f>
        <x:v>145007.687375</x:v>
      </x:c>
    </x:row>
    <x:row r="103" ht="14.25" customHeight="1">
      <x:c r="A103" s="4">
        <x:v>99</x:v>
      </x:c>
      <x:c r="B103" s="4">
        <x:v>1007</x:v>
      </x:c>
      <x:c r="C103" s="4">
        <x:v>20</x:v>
      </x:c>
      <x:c r="D103" s="5" t="n">
        <x:f>IFERROR(ROUND($U103*$X103*$AA103*'参数'!$B$13,0),"")</x:f>
        <x:v>142011</x:v>
      </x:c>
      <x:c r="E103" s="5" t="n">
        <x:f>IFERROR(ROUND($V103*$Y103*$AB103*'参数'!$C$13,0),"")</x:f>
        <x:v>4165</x:v>
      </x:c>
      <x:c r="F103" s="5" t="n">
        <x:f>IFERROR(ROUND($W103*$Z103*$AC103*'参数'!$D$13,0),"")</x:f>
        <x:v>8291</x:v>
      </x:c>
      <x:c r="G103" s="4">
        <x:v>171486</x:v>
      </x:c>
      <x:c r="H103" s="4">
        <x:v>4992</x:v>
      </x:c>
      <x:c r="I103" s="4">
        <x:v>6406</x:v>
      </x:c>
      <x:c r="J103" s="4">
        <x:v>20</x:v>
      </x:c>
      <x:c r="K103" s="4">
        <x:v>20</x:v>
      </x:c>
      <x:c r="L103" s="4" t="n">
        <x:f>IFERROR(INDEX('楼层配置'!$D$5:$D$104,MATCH($K103,'楼层配置'!$B$5:$B$104,0)),"")</x:f>
        <x:v>80</x:v>
      </x:c>
      <x:c r="M103" s="4" t="str">
        <x:f>IFERROR(INDEX('_角色基线'!$B$2:$B$100,MATCH($B103,'_角色基线'!$A$2:$A$100,0)),"")</x:f>
        <x:v>萨萨莉安</x:v>
      </x:c>
      <x:c r="N103" s="4" t="str">
        <x:f>IFERROR(INDEX('_角色基线'!$C$2:$C$100,MATCH($B103,'_角色基线'!$A$2:$A$100,0)),"")</x:f>
        <x:v>Support</x:v>
      </x:c>
      <x:c r="O103" s="4" t="n">
        <x:f>IFERROR(INDEX('_怪物基线'!$B$2:$B$501,MATCH(INT($L103),'_怪物基线'!$A$2:$A$501,0)),"")</x:f>
        <x:v>24910</x:v>
      </x:c>
      <x:c r="P103" s="4" t="n">
        <x:f>IFERROR(INDEX('_怪物基线'!$C$2:$C$501,MATCH(INT($L103),'_怪物基线'!$A$2:$A$501,0)),"")</x:f>
        <x:v>4893</x:v>
      </x:c>
      <x:c r="Q103" s="4" t="n">
        <x:f>IFERROR(INDEX('_怪物基线'!$D$2:$D$501,MATCH(INT($L103),'_怪物基线'!$A$2:$A$501,0)),"")</x:f>
        <x:v>6633</x:v>
      </x:c>
      <x:c r="R103" s="4" t="n">
        <x:f>'参数'!$B$10</x:f>
        <x:v>4</x:v>
      </x:c>
      <x:c r="S103" s="4" t="n">
        <x:f>'参数'!$C$10</x:f>
        <x:v>1.2</x:v>
      </x:c>
      <x:c r="T103" s="4" t="n">
        <x:f>'参数'!$D$10</x:f>
        <x:v>1</x:v>
      </x:c>
      <x:c r="U103" s="4" t="n">
        <x:f t="shared" si="7">IF($O103="","",$O103*$R103)</x:f>
        <x:v>99640</x:v>
      </x:c>
      <x:c r="V103" s="4" t="n">
        <x:f t="shared" si="8">IF($P103="","",$P103*$S103)</x:f>
        <x:v>5871.599999999999</x:v>
      </x:c>
      <x:c r="W103" s="4" t="n">
        <x:f t="shared" si="9">IF($Q103="","",$Q103*$T103)</x:f>
        <x:v>6633</x:v>
      </x:c>
      <x:c r="X103" s="4" t="n">
        <x:f>IFERROR(INDEX('参数'!$B$5:$B$7,MATCH($N103,'参数'!$A$5:$A$7,0)),"")</x:f>
        <x:v>1.25</x:v>
      </x:c>
      <x:c r="Y103" s="4" t="n">
        <x:f>IFERROR(INDEX('参数'!$C$5:$C$7,MATCH($N103,'参数'!$A$5:$A$7,0)),"")</x:f>
        <x:v>1</x:v>
      </x:c>
      <x:c r="Z103" s="4" t="n">
        <x:f>IFERROR(INDEX('参数'!$D$5:$D$7,MATCH($N103,'参数'!$A$5:$A$7,0)),"")</x:f>
        <x:v>1.25</x:v>
      </x:c>
      <x:c r="AA103" s="4" t="n">
        <x:f>IFERROR(INDEX('楼层配置'!$E$5:$E$104,MATCH($K103,'楼层配置'!$B$5:$B$104,0)),1)</x:f>
        <x:v>1.1401953788956354</x:v>
      </x:c>
      <x:c r="AB103" s="4" t="n">
        <x:f>IFERROR(INDEX('楼层配置'!$F$5:$F$104,MATCH($K103,'楼层配置'!$B$5:$B$104,0)),1)</x:f>
        <x:v>0.7093065421045627</x:v>
      </x:c>
      <x:c r="AC103" s="4" t="n">
        <x:f>IFERROR(INDEX('楼层配置'!$G$5:$G$104,MATCH($K103,'楼层配置'!$B$5:$B$104,0)),1)</x:f>
        <x:v>1</x:v>
      </x:c>
      <x:c r="AD103" s="6" t="n">
        <x:f t="shared" si="10">IFERROR($D103/$G103-1,"")</x:f>
        <x:v>-0.17187992022672405</x:v>
      </x:c>
      <x:c r="AE103" s="6" t="n">
        <x:f t="shared" si="11">IFERROR($E103/$H103-1,"")</x:f>
        <x:v>-0.1656650641025641</x:v>
      </x:c>
      <x:c r="AF103" s="6" t="n">
        <x:f t="shared" si="12">IFERROR($F103/$I103-1,"")</x:f>
        <x:v>0.2942553855760224</x:v>
      </x:c>
      <x:c r="AG103" s="4" t="str">
        <x:f t="shared" si="13">IF(AND($A103&gt;=1,$L103&gt;=1,$L103&lt;=500,OR($N103="Tank",$N103="DPS",$N103="Support"),ISNUMBER($D103),ISNUMBER($E103),ISNUMBER($F103)),"有效","异常")</x:f>
        <x:v>有效</x:v>
      </x:c>
      <x:c r="AH103" t="n">
        <x:f>D103/(1-MIN(0.75,F103/(24000+F103)))</x:f>
        <x:v>191069.883375</x:v>
      </x:c>
    </x:row>
    <x:row r="104" ht="14.25" customHeight="1">
      <x:c r="A104" s="4">
        <x:v>100</x:v>
      </x:c>
      <x:c r="B104" s="4">
        <x:v>1007</x:v>
      </x:c>
      <x:c r="C104" s="4">
        <x:v>20</x:v>
      </x:c>
      <x:c r="D104" s="5" t="n">
        <x:f>IFERROR(ROUND($U104*$X104*$AA104*'参数'!$B$13,0),"")</x:f>
        <x:v>142011</x:v>
      </x:c>
      <x:c r="E104" s="5" t="n">
        <x:f>IFERROR(ROUND($V104*$Y104*$AB104*'参数'!$C$13,0),"")</x:f>
        <x:v>4165</x:v>
      </x:c>
      <x:c r="F104" s="5" t="n">
        <x:f>IFERROR(ROUND($W104*$Z104*$AC104*'参数'!$D$13,0),"")</x:f>
        <x:v>8291</x:v>
      </x:c>
      <x:c r="G104" s="4">
        <x:v>171486</x:v>
      </x:c>
      <x:c r="H104" s="4">
        <x:v>4992</x:v>
      </x:c>
      <x:c r="I104" s="4">
        <x:v>6406</x:v>
      </x:c>
      <x:c r="J104" s="4">
        <x:v>20</x:v>
      </x:c>
      <x:c r="K104" s="4">
        <x:v>20</x:v>
      </x:c>
      <x:c r="L104" s="4" t="n">
        <x:f>IFERROR(INDEX('楼层配置'!$D$5:$D$104,MATCH($K104,'楼层配置'!$B$5:$B$104,0)),"")</x:f>
        <x:v>80</x:v>
      </x:c>
      <x:c r="M104" s="4" t="str">
        <x:f>IFERROR(INDEX('_角色基线'!$B$2:$B$100,MATCH($B104,'_角色基线'!$A$2:$A$100,0)),"")</x:f>
        <x:v>萨萨莉安</x:v>
      </x:c>
      <x:c r="N104" s="4" t="str">
        <x:f>IFERROR(INDEX('_角色基线'!$C$2:$C$100,MATCH($B104,'_角色基线'!$A$2:$A$100,0)),"")</x:f>
        <x:v>Support</x:v>
      </x:c>
      <x:c r="O104" s="4" t="n">
        <x:f>IFERROR(INDEX('_怪物基线'!$B$2:$B$501,MATCH(INT($L104),'_怪物基线'!$A$2:$A$501,0)),"")</x:f>
        <x:v>24910</x:v>
      </x:c>
      <x:c r="P104" s="4" t="n">
        <x:f>IFERROR(INDEX('_怪物基线'!$C$2:$C$501,MATCH(INT($L104),'_怪物基线'!$A$2:$A$501,0)),"")</x:f>
        <x:v>4893</x:v>
      </x:c>
      <x:c r="Q104" s="4" t="n">
        <x:f>IFERROR(INDEX('_怪物基线'!$D$2:$D$501,MATCH(INT($L104),'_怪物基线'!$A$2:$A$501,0)),"")</x:f>
        <x:v>6633</x:v>
      </x:c>
      <x:c r="R104" s="4" t="n">
        <x:f>'参数'!$B$10</x:f>
        <x:v>4</x:v>
      </x:c>
      <x:c r="S104" s="4" t="n">
        <x:f>'参数'!$C$10</x:f>
        <x:v>1.2</x:v>
      </x:c>
      <x:c r="T104" s="4" t="n">
        <x:f>'参数'!$D$10</x:f>
        <x:v>1</x:v>
      </x:c>
      <x:c r="U104" s="4" t="n">
        <x:f t="shared" si="7">IF($O104="","",$O104*$R104)</x:f>
        <x:v>99640</x:v>
      </x:c>
      <x:c r="V104" s="4" t="n">
        <x:f t="shared" si="8">IF($P104="","",$P104*$S104)</x:f>
        <x:v>5871.599999999999</x:v>
      </x:c>
      <x:c r="W104" s="4" t="n">
        <x:f t="shared" si="9">IF($Q104="","",$Q104*$T104)</x:f>
        <x:v>6633</x:v>
      </x:c>
      <x:c r="X104" s="4" t="n">
        <x:f>IFERROR(INDEX('参数'!$B$5:$B$7,MATCH($N104,'参数'!$A$5:$A$7,0)),"")</x:f>
        <x:v>1.25</x:v>
      </x:c>
      <x:c r="Y104" s="4" t="n">
        <x:f>IFERROR(INDEX('参数'!$C$5:$C$7,MATCH($N104,'参数'!$A$5:$A$7,0)),"")</x:f>
        <x:v>1</x:v>
      </x:c>
      <x:c r="Z104" s="4" t="n">
        <x:f>IFERROR(INDEX('参数'!$D$5:$D$7,MATCH($N104,'参数'!$A$5:$A$7,0)),"")</x:f>
        <x:v>1.25</x:v>
      </x:c>
      <x:c r="AA104" s="4" t="n">
        <x:f>IFERROR(INDEX('楼层配置'!$E$5:$E$104,MATCH($K104,'楼层配置'!$B$5:$B$104,0)),1)</x:f>
        <x:v>1.1401953788956354</x:v>
      </x:c>
      <x:c r="AB104" s="4" t="n">
        <x:f>IFERROR(INDEX('楼层配置'!$F$5:$F$104,MATCH($K104,'楼层配置'!$B$5:$B$104,0)),1)</x:f>
        <x:v>0.7093065421045627</x:v>
      </x:c>
      <x:c r="AC104" s="4" t="n">
        <x:f>IFERROR(INDEX('楼层配置'!$G$5:$G$104,MATCH($K104,'楼层配置'!$B$5:$B$104,0)),1)</x:f>
        <x:v>1</x:v>
      </x:c>
      <x:c r="AD104" s="6" t="n">
        <x:f t="shared" si="10">IFERROR($D104/$G104-1,"")</x:f>
        <x:v>-0.17187992022672405</x:v>
      </x:c>
      <x:c r="AE104" s="6" t="n">
        <x:f t="shared" si="11">IFERROR($E104/$H104-1,"")</x:f>
        <x:v>-0.1656650641025641</x:v>
      </x:c>
      <x:c r="AF104" s="6" t="n">
        <x:f t="shared" si="12">IFERROR($F104/$I104-1,"")</x:f>
        <x:v>0.2942553855760224</x:v>
      </x:c>
      <x:c r="AG104" s="4" t="str">
        <x:f t="shared" si="13">IF(AND($A104&gt;=1,$L104&gt;=1,$L104&lt;=500,OR($N104="Tank",$N104="DPS",$N104="Support"),ISNUMBER($D104),ISNUMBER($E104),ISNUMBER($F104)),"有效","异常")</x:f>
        <x:v>有效</x:v>
      </x:c>
      <x:c r="AH104" t="n">
        <x:f>D104/(1-MIN(0.75,F104/(24000+F104)))</x:f>
        <x:v>191069.883375</x:v>
      </x:c>
    </x:row>
    <x:row r="105" ht="14.25" customHeight="1">
      <x:c r="A105" s="4">
        <x:v>101</x:v>
      </x:c>
      <x:c r="B105" s="4">
        <x:v>1038</x:v>
      </x:c>
      <x:c r="C105" s="4">
        <x:v>20</x:v>
      </x:c>
      <x:c r="D105" s="5" t="n">
        <x:f>IFERROR(ROUND($U105*$X105*$AA105*'参数'!$B$13,0),"")</x:f>
        <x:v>188492</x:v>
      </x:c>
      <x:c r="E105" s="5" t="n">
        <x:f>IFERROR(ROUND($V105*$Y105*$AB105*'参数'!$C$13,0),"")</x:f>
        <x:v>4425</x:v>
      </x:c>
      <x:c r="F105" s="5" t="n">
        <x:f>IFERROR(ROUND($W105*$Z105*$AC105*'参数'!$D$13,0),"")</x:f>
        <x:v>10505</x:v>
      </x:c>
      <x:c r="G105" s="4">
        <x:v>222364</x:v>
      </x:c>
      <x:c r="H105" s="4">
        <x:v>5257</x:v>
      </x:c>
      <x:c r="I105" s="4">
        <x:v>8062</x:v>
      </x:c>
      <x:c r="J105" s="4">
        <x:v>21</x:v>
      </x:c>
      <x:c r="K105" s="4">
        <x:v>21</x:v>
      </x:c>
      <x:c r="L105" s="4" t="n">
        <x:f>IFERROR(INDEX('楼层配置'!$D$5:$D$104,MATCH($K105,'楼层配置'!$B$5:$B$104,0)),"")</x:f>
        <x:v>84</x:v>
      </x:c>
      <x:c r="M105" s="4" t="str">
        <x:f>IFERROR(INDEX('_角色基线'!$B$2:$B$100,MATCH($B105,'_角色基线'!$A$2:$A$100,0)),"")</x:f>
        <x:v>商队战斗员</x:v>
      </x:c>
      <x:c r="N105" s="4" t="str">
        <x:f>IFERROR(INDEX('_角色基线'!$C$2:$C$100,MATCH($B105,'_角色基线'!$A$2:$A$100,0)),"")</x:f>
        <x:v>Tank</x:v>
      </x:c>
      <x:c r="O105" s="4" t="n">
        <x:f>IFERROR(INDEX('_怪物基线'!$B$2:$B$501,MATCH(INT($L105),'_怪物基线'!$A$2:$A$501,0)),"")</x:f>
        <x:v>27175</x:v>
      </x:c>
      <x:c r="P105" s="4" t="n">
        <x:f>IFERROR(INDEX('_怪物基线'!$C$2:$C$501,MATCH(INT($L105),'_怪物基线'!$A$2:$A$501,0)),"")</x:f>
        <x:v>5221</x:v>
      </x:c>
      <x:c r="Q105" s="4" t="n">
        <x:f>IFERROR(INDEX('_怪物基线'!$D$2:$D$501,MATCH(INT($L105),'_怪物基线'!$A$2:$A$501,0)),"")</x:f>
        <x:v>7003</x:v>
      </x:c>
      <x:c r="R105" s="4" t="n">
        <x:f>'参数'!$B$10</x:f>
        <x:v>4</x:v>
      </x:c>
      <x:c r="S105" s="4" t="n">
        <x:f>'参数'!$C$10</x:f>
        <x:v>1.2</x:v>
      </x:c>
      <x:c r="T105" s="4" t="n">
        <x:f>'参数'!$D$10</x:f>
        <x:v>1</x:v>
      </x:c>
      <x:c r="U105" s="4" t="n">
        <x:f t="shared" si="7">IF($O105="","",$O105*$R105)</x:f>
        <x:v>108700</x:v>
      </x:c>
      <x:c r="V105" s="4" t="n">
        <x:f t="shared" si="8">IF($P105="","",$P105*$S105)</x:f>
        <x:v>6265.2</x:v>
      </x:c>
      <x:c r="W105" s="4" t="n">
        <x:f t="shared" si="9">IF($Q105="","",$Q105*$T105)</x:f>
        <x:v>7003</x:v>
      </x:c>
      <x:c r="X105" s="4" t="n">
        <x:f>IFERROR(INDEX('参数'!$B$5:$B$7,MATCH($N105,'参数'!$A$5:$A$7,0)),"")</x:f>
        <x:v>1.5</x:v>
      </x:c>
      <x:c r="Y105" s="4" t="n">
        <x:f>IFERROR(INDEX('参数'!$C$5:$C$7,MATCH($N105,'参数'!$A$5:$A$7,0)),"")</x:f>
        <x:v>1</x:v>
      </x:c>
      <x:c r="Z105" s="4" t="n">
        <x:f>IFERROR(INDEX('参数'!$D$5:$D$7,MATCH($N105,'参数'!$A$5:$A$7,0)),"")</x:f>
        <x:v>1.5</x:v>
      </x:c>
      <x:c r="AA105" s="4" t="n">
        <x:f>IFERROR(INDEX('楼层配置'!$E$5:$E$104,MATCH($K105,'楼层配置'!$B$5:$B$104,0)),1)</x:f>
        <x:v>1.1560372887829735</x:v>
      </x:c>
      <x:c r="AB105" s="4" t="n">
        <x:f>IFERROR(INDEX('楼层配置'!$F$5:$F$104,MATCH($K105,'楼层配置'!$B$5:$B$104,0)),1)</x:f>
        <x:v>0.7062969227297671</x:v>
      </x:c>
      <x:c r="AC105" s="4" t="n">
        <x:f>IFERROR(INDEX('楼层配置'!$G$5:$G$104,MATCH($K105,'楼层配置'!$B$5:$B$104,0)),1)</x:f>
        <x:v>1</x:v>
      </x:c>
      <x:c r="AD105" s="6" t="n">
        <x:f t="shared" si="10">IFERROR($D105/$G105-1,"")</x:f>
        <x:v>-0.15232681549171634</x:v>
      </x:c>
      <x:c r="AE105" s="6" t="n">
        <x:f t="shared" si="11">IFERROR($E105/$H105-1,"")</x:f>
        <x:v>-0.1582651702491915</x:v>
      </x:c>
      <x:c r="AF105" s="6" t="n">
        <x:f t="shared" si="12">IFERROR($F105/$I105-1,"")</x:f>
        <x:v>0.30302654428181586</x:v>
      </x:c>
      <x:c r="AG105" s="4" t="str">
        <x:f t="shared" si="13">IF(AND($A105&gt;=1,$L105&gt;=1,$L105&lt;=500,OR($N105="Tank",$N105="DPS",$N105="Support"),ISNUMBER($D105),ISNUMBER($E105),ISNUMBER($F105)),"有效","异常")</x:f>
        <x:v>有效</x:v>
      </x:c>
      <x:c r="AH105" t="n">
        <x:f>D105/(1-MIN(0.75,F105/(24000+F105)))</x:f>
        <x:v>270996.51916666667</x:v>
      </x:c>
    </x:row>
    <x:row r="106" ht="14.25" customHeight="1">
      <x:c r="A106" s="4">
        <x:v>102</x:v>
      </x:c>
      <x:c r="B106" s="4">
        <x:v>1030</x:v>
      </x:c>
      <x:c r="C106" s="4">
        <x:v>20</x:v>
      </x:c>
      <x:c r="D106" s="5" t="n">
        <x:f>IFERROR(ROUND($U106*$X106*$AA106*'参数'!$B$13,0),"")</x:f>
        <x:v>188492</x:v>
      </x:c>
      <x:c r="E106" s="5" t="n">
        <x:f>IFERROR(ROUND($V106*$Y106*$AB106*'参数'!$C$13,0),"")</x:f>
        <x:v>4425</x:v>
      </x:c>
      <x:c r="F106" s="5" t="n">
        <x:f>IFERROR(ROUND($W106*$Z106*$AC106*'参数'!$D$13,0),"")</x:f>
        <x:v>10505</x:v>
      </x:c>
      <x:c r="G106" s="4">
        <x:v>222364</x:v>
      </x:c>
      <x:c r="H106" s="4">
        <x:v>5257</x:v>
      </x:c>
      <x:c r="I106" s="4">
        <x:v>8062</x:v>
      </x:c>
      <x:c r="J106" s="4">
        <x:v>21</x:v>
      </x:c>
      <x:c r="K106" s="4">
        <x:v>21</x:v>
      </x:c>
      <x:c r="L106" s="4" t="n">
        <x:f>IFERROR(INDEX('楼层配置'!$D$5:$D$104,MATCH($K106,'楼层配置'!$B$5:$B$104,0)),"")</x:f>
        <x:v>84</x:v>
      </x:c>
      <x:c r="M106" s="4" t="str">
        <x:f>IFERROR(INDEX('_角色基线'!$B$2:$B$100,MATCH($B106,'_角色基线'!$A$2:$A$100,0)),"")</x:f>
        <x:v>莫莉</x:v>
      </x:c>
      <x:c r="N106" s="4" t="str">
        <x:f>IFERROR(INDEX('_角色基线'!$C$2:$C$100,MATCH($B106,'_角色基线'!$A$2:$A$100,0)),"")</x:f>
        <x:v>Tank</x:v>
      </x:c>
      <x:c r="O106" s="4" t="n">
        <x:f>IFERROR(INDEX('_怪物基线'!$B$2:$B$501,MATCH(INT($L106),'_怪物基线'!$A$2:$A$501,0)),"")</x:f>
        <x:v>27175</x:v>
      </x:c>
      <x:c r="P106" s="4" t="n">
        <x:f>IFERROR(INDEX('_怪物基线'!$C$2:$C$501,MATCH(INT($L106),'_怪物基线'!$A$2:$A$501,0)),"")</x:f>
        <x:v>5221</x:v>
      </x:c>
      <x:c r="Q106" s="4" t="n">
        <x:f>IFERROR(INDEX('_怪物基线'!$D$2:$D$501,MATCH(INT($L106),'_怪物基线'!$A$2:$A$501,0)),"")</x:f>
        <x:v>7003</x:v>
      </x:c>
      <x:c r="R106" s="4" t="n">
        <x:f>'参数'!$B$10</x:f>
        <x:v>4</x:v>
      </x:c>
      <x:c r="S106" s="4" t="n">
        <x:f>'参数'!$C$10</x:f>
        <x:v>1.2</x:v>
      </x:c>
      <x:c r="T106" s="4" t="n">
        <x:f>'参数'!$D$10</x:f>
        <x:v>1</x:v>
      </x:c>
      <x:c r="U106" s="4" t="n">
        <x:f t="shared" si="7">IF($O106="","",$O106*$R106)</x:f>
        <x:v>108700</x:v>
      </x:c>
      <x:c r="V106" s="4" t="n">
        <x:f t="shared" si="8">IF($P106="","",$P106*$S106)</x:f>
        <x:v>6265.2</x:v>
      </x:c>
      <x:c r="W106" s="4" t="n">
        <x:f t="shared" si="9">IF($Q106="","",$Q106*$T106)</x:f>
        <x:v>7003</x:v>
      </x:c>
      <x:c r="X106" s="4" t="n">
        <x:f>IFERROR(INDEX('参数'!$B$5:$B$7,MATCH($N106,'参数'!$A$5:$A$7,0)),"")</x:f>
        <x:v>1.5</x:v>
      </x:c>
      <x:c r="Y106" s="4" t="n">
        <x:f>IFERROR(INDEX('参数'!$C$5:$C$7,MATCH($N106,'参数'!$A$5:$A$7,0)),"")</x:f>
        <x:v>1</x:v>
      </x:c>
      <x:c r="Z106" s="4" t="n">
        <x:f>IFERROR(INDEX('参数'!$D$5:$D$7,MATCH($N106,'参数'!$A$5:$A$7,0)),"")</x:f>
        <x:v>1.5</x:v>
      </x:c>
      <x:c r="AA106" s="4" t="n">
        <x:f>IFERROR(INDEX('楼层配置'!$E$5:$E$104,MATCH($K106,'楼层配置'!$B$5:$B$104,0)),1)</x:f>
        <x:v>1.1560372887829735</x:v>
      </x:c>
      <x:c r="AB106" s="4" t="n">
        <x:f>IFERROR(INDEX('楼层配置'!$F$5:$F$104,MATCH($K106,'楼层配置'!$B$5:$B$104,0)),1)</x:f>
        <x:v>0.7062969227297671</x:v>
      </x:c>
      <x:c r="AC106" s="4" t="n">
        <x:f>IFERROR(INDEX('楼层配置'!$G$5:$G$104,MATCH($K106,'楼层配置'!$B$5:$B$104,0)),1)</x:f>
        <x:v>1</x:v>
      </x:c>
      <x:c r="AD106" s="6" t="n">
        <x:f t="shared" si="10">IFERROR($D106/$G106-1,"")</x:f>
        <x:v>-0.15232681549171634</x:v>
      </x:c>
      <x:c r="AE106" s="6" t="n">
        <x:f t="shared" si="11">IFERROR($E106/$H106-1,"")</x:f>
        <x:v>-0.1582651702491915</x:v>
      </x:c>
      <x:c r="AF106" s="6" t="n">
        <x:f t="shared" si="12">IFERROR($F106/$I106-1,"")</x:f>
        <x:v>0.30302654428181586</x:v>
      </x:c>
      <x:c r="AG106" s="4" t="str">
        <x:f t="shared" si="13">IF(AND($A106&gt;=1,$L106&gt;=1,$L106&lt;=500,OR($N106="Tank",$N106="DPS",$N106="Support"),ISNUMBER($D106),ISNUMBER($E106),ISNUMBER($F106)),"有效","异常")</x:f>
        <x:v>有效</x:v>
      </x:c>
      <x:c r="AH106" t="n">
        <x:f>D106/(1-MIN(0.75,F106/(24000+F106)))</x:f>
        <x:v>270996.51916666667</x:v>
      </x:c>
    </x:row>
    <x:row r="107" ht="14.25" customHeight="1">
      <x:c r="A107" s="4">
        <x:v>103</x:v>
      </x:c>
      <x:c r="B107" s="4">
        <x:v>1020</x:v>
      </x:c>
      <x:c r="C107" s="4">
        <x:v>20</x:v>
      </x:c>
      <x:c r="D107" s="5" t="n">
        <x:f>IFERROR(ROUND($U107*$X107*$AA107*'参数'!$B$13,0),"")</x:f>
        <x:v>157077</x:v>
      </x:c>
      <x:c r="E107" s="5" t="n">
        <x:f>IFERROR(ROUND($V107*$Y107*$AB107*'参数'!$C$13,0),"")</x:f>
        <x:v>4425</x:v>
      </x:c>
      <x:c r="F107" s="5" t="n">
        <x:f>IFERROR(ROUND($W107*$Z107*$AC107*'参数'!$D$13,0),"")</x:f>
        <x:v>8754</x:v>
      </x:c>
      <x:c r="G107" s="4">
        <x:v>185304</x:v>
      </x:c>
      <x:c r="H107" s="4">
        <x:v>5257</x:v>
      </x:c>
      <x:c r="I107" s="4">
        <x:v>6719</x:v>
      </x:c>
      <x:c r="J107" s="4">
        <x:v>21</x:v>
      </x:c>
      <x:c r="K107" s="4">
        <x:v>21</x:v>
      </x:c>
      <x:c r="L107" s="4" t="n">
        <x:f>IFERROR(INDEX('楼层配置'!$D$5:$D$104,MATCH($K107,'楼层配置'!$B$5:$B$104,0)),"")</x:f>
        <x:v>84</x:v>
      </x:c>
      <x:c r="M107" s="4" t="str">
        <x:f>IFERROR(INDEX('_角色基线'!$B$2:$B$100,MATCH($B107,'_角色基线'!$A$2:$A$100,0)),"")</x:f>
        <x:v>卡斯帕</x:v>
      </x:c>
      <x:c r="N107" s="4" t="str">
        <x:f>IFERROR(INDEX('_角色基线'!$C$2:$C$100,MATCH($B107,'_角色基线'!$A$2:$A$100,0)),"")</x:f>
        <x:v>Support</x:v>
      </x:c>
      <x:c r="O107" s="4" t="n">
        <x:f>IFERROR(INDEX('_怪物基线'!$B$2:$B$501,MATCH(INT($L107),'_怪物基线'!$A$2:$A$501,0)),"")</x:f>
        <x:v>27175</x:v>
      </x:c>
      <x:c r="P107" s="4" t="n">
        <x:f>IFERROR(INDEX('_怪物基线'!$C$2:$C$501,MATCH(INT($L107),'_怪物基线'!$A$2:$A$501,0)),"")</x:f>
        <x:v>5221</x:v>
      </x:c>
      <x:c r="Q107" s="4" t="n">
        <x:f>IFERROR(INDEX('_怪物基线'!$D$2:$D$501,MATCH(INT($L107),'_怪物基线'!$A$2:$A$501,0)),"")</x:f>
        <x:v>7003</x:v>
      </x:c>
      <x:c r="R107" s="4" t="n">
        <x:f>'参数'!$B$10</x:f>
        <x:v>4</x:v>
      </x:c>
      <x:c r="S107" s="4" t="n">
        <x:f>'参数'!$C$10</x:f>
        <x:v>1.2</x:v>
      </x:c>
      <x:c r="T107" s="4" t="n">
        <x:f>'参数'!$D$10</x:f>
        <x:v>1</x:v>
      </x:c>
      <x:c r="U107" s="4" t="n">
        <x:f t="shared" si="7">IF($O107="","",$O107*$R107)</x:f>
        <x:v>108700</x:v>
      </x:c>
      <x:c r="V107" s="4" t="n">
        <x:f t="shared" si="8">IF($P107="","",$P107*$S107)</x:f>
        <x:v>6265.2</x:v>
      </x:c>
      <x:c r="W107" s="4" t="n">
        <x:f t="shared" si="9">IF($Q107="","",$Q107*$T107)</x:f>
        <x:v>7003</x:v>
      </x:c>
      <x:c r="X107" s="4" t="n">
        <x:f>IFERROR(INDEX('参数'!$B$5:$B$7,MATCH($N107,'参数'!$A$5:$A$7,0)),"")</x:f>
        <x:v>1.25</x:v>
      </x:c>
      <x:c r="Y107" s="4" t="n">
        <x:f>IFERROR(INDEX('参数'!$C$5:$C$7,MATCH($N107,'参数'!$A$5:$A$7,0)),"")</x:f>
        <x:v>1</x:v>
      </x:c>
      <x:c r="Z107" s="4" t="n">
        <x:f>IFERROR(INDEX('参数'!$D$5:$D$7,MATCH($N107,'参数'!$A$5:$A$7,0)),"")</x:f>
        <x:v>1.25</x:v>
      </x:c>
      <x:c r="AA107" s="4" t="n">
        <x:f>IFERROR(INDEX('楼层配置'!$E$5:$E$104,MATCH($K107,'楼层配置'!$B$5:$B$104,0)),1)</x:f>
        <x:v>1.1560372887829735</x:v>
      </x:c>
      <x:c r="AB107" s="4" t="n">
        <x:f>IFERROR(INDEX('楼层配置'!$F$5:$F$104,MATCH($K107,'楼层配置'!$B$5:$B$104,0)),1)</x:f>
        <x:v>0.7062969227297671</x:v>
      </x:c>
      <x:c r="AC107" s="4" t="n">
        <x:f>IFERROR(INDEX('楼层配置'!$G$5:$G$104,MATCH($K107,'楼层配置'!$B$5:$B$104,0)),1)</x:f>
        <x:v>1</x:v>
      </x:c>
      <x:c r="AD107" s="6" t="n">
        <x:f t="shared" si="10">IFERROR($D107/$G107-1,"")</x:f>
        <x:v>-0.15232806631265383</x:v>
      </x:c>
      <x:c r="AE107" s="6" t="n">
        <x:f t="shared" si="11">IFERROR($E107/$H107-1,"")</x:f>
        <x:v>-0.1582651702491915</x:v>
      </x:c>
      <x:c r="AF107" s="6" t="n">
        <x:f t="shared" si="12">IFERROR($F107/$I107-1,"")</x:f>
        <x:v>0.3028724512576275</x:v>
      </x:c>
      <x:c r="AG107" s="4" t="str">
        <x:f t="shared" si="13">IF(AND($A107&gt;=1,$L107&gt;=1,$L107&lt;=500,OR($N107="Tank",$N107="DPS",$N107="Support"),ISNUMBER($D107),ISNUMBER($E107),ISNUMBER($F107)),"有效","异常")</x:f>
        <x:v>有效</x:v>
      </x:c>
      <x:c r="AH107" t="n">
        <x:f>D107/(1-MIN(0.75,F107/(24000+F107)))</x:f>
        <x:v>214370.83575</x:v>
      </x:c>
    </x:row>
    <x:row r="108" ht="14.25" customHeight="1">
      <x:c r="A108" s="4">
        <x:v>104</x:v>
      </x:c>
      <x:c r="B108" s="4">
        <x:v>1036</x:v>
      </x:c>
      <x:c r="C108" s="4">
        <x:v>20</x:v>
      </x:c>
      <x:c r="D108" s="5" t="n">
        <x:f>IFERROR(ROUND($U108*$X108*$AA108*'参数'!$B$13,0),"")</x:f>
        <x:v>125661</x:v>
      </x:c>
      <x:c r="E108" s="5" t="n">
        <x:f>IFERROR(ROUND($V108*$Y108*$AB108*'参数'!$C$13,0),"")</x:f>
        <x:v>5310</x:v>
      </x:c>
      <x:c r="F108" s="5" t="n">
        <x:f>IFERROR(ROUND($W108*$Z108*$AC108*'参数'!$D$13,0),"")</x:f>
        <x:v>7003</x:v>
      </x:c>
      <x:c r="G108" s="4">
        <x:v>148243</x:v>
      </x:c>
      <x:c r="H108" s="4">
        <x:v>6308</x:v>
      </x:c>
      <x:c r="I108" s="4">
        <x:v>5375</x:v>
      </x:c>
      <x:c r="J108" s="4">
        <x:v>21</x:v>
      </x:c>
      <x:c r="K108" s="4">
        <x:v>21</x:v>
      </x:c>
      <x:c r="L108" s="4" t="n">
        <x:f>IFERROR(INDEX('楼层配置'!$D$5:$D$104,MATCH($K108,'楼层配置'!$B$5:$B$104,0)),"")</x:f>
        <x:v>84</x:v>
      </x:c>
      <x:c r="M108" s="4" t="str">
        <x:f>IFERROR(INDEX('_角色基线'!$B$2:$B$100,MATCH($B108,'_角色基线'!$A$2:$A$100,0)),"")</x:f>
        <x:v>霜狼法师</x:v>
      </x:c>
      <x:c r="N108" s="4" t="str">
        <x:f>IFERROR(INDEX('_角色基线'!$C$2:$C$100,MATCH($B108,'_角色基线'!$A$2:$A$100,0)),"")</x:f>
        <x:v>DPS</x:v>
      </x:c>
      <x:c r="O108" s="4" t="n">
        <x:f>IFERROR(INDEX('_怪物基线'!$B$2:$B$501,MATCH(INT($L108),'_怪物基线'!$A$2:$A$501,0)),"")</x:f>
        <x:v>27175</x:v>
      </x:c>
      <x:c r="P108" s="4" t="n">
        <x:f>IFERROR(INDEX('_怪物基线'!$C$2:$C$501,MATCH(INT($L108),'_怪物基线'!$A$2:$A$501,0)),"")</x:f>
        <x:v>5221</x:v>
      </x:c>
      <x:c r="Q108" s="4" t="n">
        <x:f>IFERROR(INDEX('_怪物基线'!$D$2:$D$501,MATCH(INT($L108),'_怪物基线'!$A$2:$A$501,0)),"")</x:f>
        <x:v>7003</x:v>
      </x:c>
      <x:c r="R108" s="4" t="n">
        <x:f>'参数'!$B$10</x:f>
        <x:v>4</x:v>
      </x:c>
      <x:c r="S108" s="4" t="n">
        <x:f>'参数'!$C$10</x:f>
        <x:v>1.2</x:v>
      </x:c>
      <x:c r="T108" s="4" t="n">
        <x:f>'参数'!$D$10</x:f>
        <x:v>1</x:v>
      </x:c>
      <x:c r="U108" s="4" t="n">
        <x:f t="shared" si="7">IF($O108="","",$O108*$R108)</x:f>
        <x:v>108700</x:v>
      </x:c>
      <x:c r="V108" s="4" t="n">
        <x:f t="shared" si="8">IF($P108="","",$P108*$S108)</x:f>
        <x:v>6265.2</x:v>
      </x:c>
      <x:c r="W108" s="4" t="n">
        <x:f t="shared" si="9">IF($Q108="","",$Q108*$T108)</x:f>
        <x:v>7003</x:v>
      </x:c>
      <x:c r="X108" s="4" t="n">
        <x:f>IFERROR(INDEX('参数'!$B$5:$B$7,MATCH($N108,'参数'!$A$5:$A$7,0)),"")</x:f>
        <x:v>1</x:v>
      </x:c>
      <x:c r="Y108" s="4" t="n">
        <x:f>IFERROR(INDEX('参数'!$C$5:$C$7,MATCH($N108,'参数'!$A$5:$A$7,0)),"")</x:f>
        <x:v>1.2</x:v>
      </x:c>
      <x:c r="Z108" s="4" t="n">
        <x:f>IFERROR(INDEX('参数'!$D$5:$D$7,MATCH($N108,'参数'!$A$5:$A$7,0)),"")</x:f>
        <x:v>1</x:v>
      </x:c>
      <x:c r="AA108" s="4" t="n">
        <x:f>IFERROR(INDEX('楼层配置'!$E$5:$E$104,MATCH($K108,'楼层配置'!$B$5:$B$104,0)),1)</x:f>
        <x:v>1.1560372887829735</x:v>
      </x:c>
      <x:c r="AB108" s="4" t="n">
        <x:f>IFERROR(INDEX('楼层配置'!$F$5:$F$104,MATCH($K108,'楼层配置'!$B$5:$B$104,0)),1)</x:f>
        <x:v>0.7062969227297671</x:v>
      </x:c>
      <x:c r="AC108" s="4" t="n">
        <x:f>IFERROR(INDEX('楼层配置'!$G$5:$G$104,MATCH($K108,'楼层配置'!$B$5:$B$104,0)),1)</x:f>
        <x:v>1</x:v>
      </x:c>
      <x:c r="AD108" s="6" t="n">
        <x:f t="shared" si="10">IFERROR($D108/$G108-1,"")</x:f>
        <x:v>-0.15233097009639573</x:v>
      </x:c>
      <x:c r="AE108" s="6" t="n">
        <x:f t="shared" si="11">IFERROR($E108/$H108-1,"")</x:f>
        <x:v>-0.1582117945466075</x:v>
      </x:c>
      <x:c r="AF108" s="6" t="n">
        <x:f t="shared" si="12">IFERROR($F108/$I108-1,"")</x:f>
        <x:v>0.30288372093023264</x:v>
      </x:c>
      <x:c r="AG108" s="4" t="str">
        <x:f t="shared" si="13">IF(AND($A108&gt;=1,$L108&gt;=1,$L108&lt;=500,OR($N108="Tank",$N108="DPS",$N108="Support"),ISNUMBER($D108),ISNUMBER($E108),ISNUMBER($F108)),"有效","异常")</x:f>
        <x:v>有效</x:v>
      </x:c>
      <x:c r="AH108" t="n">
        <x:f>D108/(1-MIN(0.75,F108/(24000+F108)))</x:f>
        <x:v>162327.83262499998</x:v>
      </x:c>
    </x:row>
    <x:row r="109" ht="14.25" customHeight="1">
      <x:c r="A109" s="4">
        <x:v>105</x:v>
      </x:c>
      <x:c r="B109" s="4">
        <x:v>1026</x:v>
      </x:c>
      <x:c r="C109" s="4">
        <x:v>20</x:v>
      </x:c>
      <x:c r="D109" s="5" t="n">
        <x:f>IFERROR(ROUND($U109*$X109*$AA109*'参数'!$B$13,0),"")</x:f>
        <x:v>125661</x:v>
      </x:c>
      <x:c r="E109" s="5" t="n">
        <x:f>IFERROR(ROUND($V109*$Y109*$AB109*'参数'!$C$13,0),"")</x:f>
        <x:v>5310</x:v>
      </x:c>
      <x:c r="F109" s="5" t="n">
        <x:f>IFERROR(ROUND($W109*$Z109*$AC109*'参数'!$D$13,0),"")</x:f>
        <x:v>7003</x:v>
      </x:c>
      <x:c r="G109" s="4">
        <x:v>148243</x:v>
      </x:c>
      <x:c r="H109" s="4">
        <x:v>6308</x:v>
      </x:c>
      <x:c r="I109" s="4">
        <x:v>5375</x:v>
      </x:c>
      <x:c r="J109" s="4">
        <x:v>21</x:v>
      </x:c>
      <x:c r="K109" s="4">
        <x:v>21</x:v>
      </x:c>
      <x:c r="L109" s="4" t="n">
        <x:f>IFERROR(INDEX('楼层配置'!$D$5:$D$104,MATCH($K109,'楼层配置'!$B$5:$B$104,0)),"")</x:f>
        <x:v>84</x:v>
      </x:c>
      <x:c r="M109" s="4" t="str">
        <x:f>IFERROR(INDEX('_角色基线'!$B$2:$B$100,MATCH($B109,'_角色基线'!$A$2:$A$100,0)),"")</x:f>
        <x:v>乔一</x:v>
      </x:c>
      <x:c r="N109" s="4" t="str">
        <x:f>IFERROR(INDEX('_角色基线'!$C$2:$C$100,MATCH($B109,'_角色基线'!$A$2:$A$100,0)),"")</x:f>
        <x:v>DPS</x:v>
      </x:c>
      <x:c r="O109" s="4" t="n">
        <x:f>IFERROR(INDEX('_怪物基线'!$B$2:$B$501,MATCH(INT($L109),'_怪物基线'!$A$2:$A$501,0)),"")</x:f>
        <x:v>27175</x:v>
      </x:c>
      <x:c r="P109" s="4" t="n">
        <x:f>IFERROR(INDEX('_怪物基线'!$C$2:$C$501,MATCH(INT($L109),'_怪物基线'!$A$2:$A$501,0)),"")</x:f>
        <x:v>5221</x:v>
      </x:c>
      <x:c r="Q109" s="4" t="n">
        <x:f>IFERROR(INDEX('_怪物基线'!$D$2:$D$501,MATCH(INT($L109),'_怪物基线'!$A$2:$A$501,0)),"")</x:f>
        <x:v>7003</x:v>
      </x:c>
      <x:c r="R109" s="4" t="n">
        <x:f>'参数'!$B$10</x:f>
        <x:v>4</x:v>
      </x:c>
      <x:c r="S109" s="4" t="n">
        <x:f>'参数'!$C$10</x:f>
        <x:v>1.2</x:v>
      </x:c>
      <x:c r="T109" s="4" t="n">
        <x:f>'参数'!$D$10</x:f>
        <x:v>1</x:v>
      </x:c>
      <x:c r="U109" s="4" t="n">
        <x:f t="shared" si="7">IF($O109="","",$O109*$R109)</x:f>
        <x:v>108700</x:v>
      </x:c>
      <x:c r="V109" s="4" t="n">
        <x:f t="shared" si="8">IF($P109="","",$P109*$S109)</x:f>
        <x:v>6265.2</x:v>
      </x:c>
      <x:c r="W109" s="4" t="n">
        <x:f t="shared" si="9">IF($Q109="","",$Q109*$T109)</x:f>
        <x:v>7003</x:v>
      </x:c>
      <x:c r="X109" s="4" t="n">
        <x:f>IFERROR(INDEX('参数'!$B$5:$B$7,MATCH($N109,'参数'!$A$5:$A$7,0)),"")</x:f>
        <x:v>1</x:v>
      </x:c>
      <x:c r="Y109" s="4" t="n">
        <x:f>IFERROR(INDEX('参数'!$C$5:$C$7,MATCH($N109,'参数'!$A$5:$A$7,0)),"")</x:f>
        <x:v>1.2</x:v>
      </x:c>
      <x:c r="Z109" s="4" t="n">
        <x:f>IFERROR(INDEX('参数'!$D$5:$D$7,MATCH($N109,'参数'!$A$5:$A$7,0)),"")</x:f>
        <x:v>1</x:v>
      </x:c>
      <x:c r="AA109" s="4" t="n">
        <x:f>IFERROR(INDEX('楼层配置'!$E$5:$E$104,MATCH($K109,'楼层配置'!$B$5:$B$104,0)),1)</x:f>
        <x:v>1.1560372887829735</x:v>
      </x:c>
      <x:c r="AB109" s="4" t="n">
        <x:f>IFERROR(INDEX('楼层配置'!$F$5:$F$104,MATCH($K109,'楼层配置'!$B$5:$B$104,0)),1)</x:f>
        <x:v>0.7062969227297671</x:v>
      </x:c>
      <x:c r="AC109" s="4" t="n">
        <x:f>IFERROR(INDEX('楼层配置'!$G$5:$G$104,MATCH($K109,'楼层配置'!$B$5:$B$104,0)),1)</x:f>
        <x:v>1</x:v>
      </x:c>
      <x:c r="AD109" s="6" t="n">
        <x:f t="shared" si="10">IFERROR($D109/$G109-1,"")</x:f>
        <x:v>-0.15233097009639573</x:v>
      </x:c>
      <x:c r="AE109" s="6" t="n">
        <x:f t="shared" si="11">IFERROR($E109/$H109-1,"")</x:f>
        <x:v>-0.1582117945466075</x:v>
      </x:c>
      <x:c r="AF109" s="6" t="n">
        <x:f t="shared" si="12">IFERROR($F109/$I109-1,"")</x:f>
        <x:v>0.30288372093023264</x:v>
      </x:c>
      <x:c r="AG109" s="4" t="str">
        <x:f t="shared" si="13">IF(AND($A109&gt;=1,$L109&gt;=1,$L109&lt;=500,OR($N109="Tank",$N109="DPS",$N109="Support"),ISNUMBER($D109),ISNUMBER($E109),ISNUMBER($F109)),"有效","异常")</x:f>
        <x:v>有效</x:v>
      </x:c>
      <x:c r="AH109" t="n">
        <x:f>D109/(1-MIN(0.75,F109/(24000+F109)))</x:f>
        <x:v>162327.83262499998</x:v>
      </x:c>
    </x:row>
    <x:row r="110" ht="14.25" customHeight="1">
      <x:c r="A110" s="4">
        <x:v>106</x:v>
      </x:c>
      <x:c r="B110" s="4">
        <x:v>1002</x:v>
      </x:c>
      <x:c r="C110" s="4">
        <x:v>21</x:v>
      </x:c>
      <x:c r="D110" s="5" t="n">
        <x:f>IFERROR(ROUND($U110*$X110*$AA110*'参数'!$B$13,0),"")</x:f>
        <x:v>206539</x:v>
      </x:c>
      <x:c r="E110" s="5" t="n">
        <x:f>IFERROR(ROUND($V110*$Y110*$AB110*'参数'!$C$13,0),"")</x:f>
        <x:v>4698</x:v>
      </x:c>
      <x:c r="F110" s="5" t="n">
        <x:f>IFERROR(ROUND($W110*$Z110*$AC110*'参数'!$D$13,0),"")</x:f>
        <x:v>11066</x:v>
      </x:c>
      <x:c r="G110" s="4">
        <x:v>239781</x:v>
      </x:c>
      <x:c r="H110" s="4">
        <x:v>5527</x:v>
      </x:c>
      <x:c r="I110" s="4">
        <x:v>8442</x:v>
      </x:c>
      <x:c r="J110" s="4">
        <x:v>22</x:v>
      </x:c>
      <x:c r="K110" s="4">
        <x:v>22</x:v>
      </x:c>
      <x:c r="L110" s="4" t="n">
        <x:f>IFERROR(INDEX('楼层配置'!$D$5:$D$104,MATCH($K110,'楼层配置'!$B$5:$B$104,0)),"")</x:f>
        <x:v>88</x:v>
      </x:c>
      <x:c r="M110" s="4" t="str">
        <x:f>IFERROR(INDEX('_角色基线'!$B$2:$B$100,MATCH($B110,'_角色基线'!$A$2:$A$100,0)),"")</x:f>
        <x:v>大暑</x:v>
      </x:c>
      <x:c r="N110" s="4" t="str">
        <x:f>IFERROR(INDEX('_角色基线'!$C$2:$C$100,MATCH($B110,'_角色基线'!$A$2:$A$100,0)),"")</x:f>
        <x:v>Tank</x:v>
      </x:c>
      <x:c r="O110" s="4" t="n">
        <x:f>IFERROR(INDEX('_怪物基线'!$B$2:$B$501,MATCH(INT($L110),'_怪物基线'!$A$2:$A$501,0)),"")</x:f>
        <x:v>29563</x:v>
      </x:c>
      <x:c r="P110" s="4" t="n">
        <x:f>IFERROR(INDEX('_怪物基线'!$C$2:$C$501,MATCH(INT($L110),'_怪物基线'!$A$2:$A$501,0)),"")</x:f>
        <x:v>5557</x:v>
      </x:c>
      <x:c r="Q110" s="4" t="n">
        <x:f>IFERROR(INDEX('_怪物基线'!$D$2:$D$501,MATCH(INT($L110),'_怪物基线'!$A$2:$A$501,0)),"")</x:f>
        <x:v>7377</x:v>
      </x:c>
      <x:c r="R110" s="4" t="n">
        <x:f>'参数'!$B$10</x:f>
        <x:v>4</x:v>
      </x:c>
      <x:c r="S110" s="4" t="n">
        <x:f>'参数'!$C$10</x:f>
        <x:v>1.2</x:v>
      </x:c>
      <x:c r="T110" s="4" t="n">
        <x:f>'参数'!$D$10</x:f>
        <x:v>1</x:v>
      </x:c>
      <x:c r="U110" s="4" t="n">
        <x:f t="shared" si="7">IF($O110="","",$O110*$R110)</x:f>
        <x:v>118252</x:v>
      </x:c>
      <x:c r="V110" s="4" t="n">
        <x:f t="shared" si="8">IF($P110="","",$P110*$S110)</x:f>
        <x:v>6668.4</x:v>
      </x:c>
      <x:c r="W110" s="4" t="n">
        <x:f t="shared" si="9">IF($Q110="","",$Q110*$T110)</x:f>
        <x:v>7377</x:v>
      </x:c>
      <x:c r="X110" s="4" t="n">
        <x:f>IFERROR(INDEX('参数'!$B$5:$B$7,MATCH($N110,'参数'!$A$5:$A$7,0)),"")</x:f>
        <x:v>1.5</x:v>
      </x:c>
      <x:c r="Y110" s="4" t="n">
        <x:f>IFERROR(INDEX('参数'!$C$5:$C$7,MATCH($N110,'参数'!$A$5:$A$7,0)),"")</x:f>
        <x:v>1</x:v>
      </x:c>
      <x:c r="Z110" s="4" t="n">
        <x:f>IFERROR(INDEX('参数'!$D$5:$D$7,MATCH($N110,'参数'!$A$5:$A$7,0)),"")</x:f>
        <x:v>1.5</x:v>
      </x:c>
      <x:c r="AA110" s="4" t="n">
        <x:f>IFERROR(INDEX('楼层配置'!$E$5:$E$104,MATCH($K110,'楼层配置'!$B$5:$B$104,0)),1)</x:f>
        <x:v>1.1643979107151963</x:v>
      </x:c>
      <x:c r="AB110" s="4" t="n">
        <x:f>IFERROR(INDEX('楼层配置'!$F$5:$F$104,MATCH($K110,'楼层配置'!$B$5:$B$104,0)),1)</x:f>
        <x:v>0.704486371215438</x:v>
      </x:c>
      <x:c r="AC110" s="4" t="n">
        <x:f>IFERROR(INDEX('楼层配置'!$G$5:$G$104,MATCH($K110,'楼层配置'!$B$5:$B$104,0)),1)</x:f>
        <x:v>1</x:v>
      </x:c>
      <x:c r="AD110" s="6" t="n">
        <x:f t="shared" si="10">IFERROR($D110/$G110-1,"")</x:f>
        <x:v>-0.13863483762266404</x:v>
      </x:c>
      <x:c r="AE110" s="6" t="n">
        <x:f t="shared" si="11">IFERROR($E110/$H110-1,"")</x:f>
        <x:v>-0.14999095350099512</x:v>
      </x:c>
      <x:c r="AF110" s="6" t="n">
        <x:f t="shared" si="12">IFERROR($F110/$I110-1,"")</x:f>
        <x:v>0.31082681828950487</x:v>
      </x:c>
      <x:c r="AG110" s="4" t="str">
        <x:f t="shared" si="13">IF(AND($A110&gt;=1,$L110&gt;=1,$L110&lt;=500,OR($N110="Tank",$N110="DPS",$N110="Support"),ISNUMBER($D110),ISNUMBER($E110),ISNUMBER($F110)),"有效","异常")</x:f>
        <x:v>有效</x:v>
      </x:c>
      <x:c r="AH110" t="n">
        <x:f>D110/(1-MIN(0.75,F110/(24000+F110)))</x:f>
        <x:v>301770.6905833333</x:v>
      </x:c>
    </x:row>
    <x:row r="111" ht="14.25" customHeight="1">
      <x:c r="A111" s="4">
        <x:v>107</x:v>
      </x:c>
      <x:c r="B111" s="4">
        <x:v>1002</x:v>
      </x:c>
      <x:c r="C111" s="4">
        <x:v>21</x:v>
      </x:c>
      <x:c r="D111" s="5" t="n">
        <x:f>IFERROR(ROUND($U111*$X111*$AA111*'参数'!$B$13,0),"")</x:f>
        <x:v>206539</x:v>
      </x:c>
      <x:c r="E111" s="5" t="n">
        <x:f>IFERROR(ROUND($V111*$Y111*$AB111*'参数'!$C$13,0),"")</x:f>
        <x:v>4698</x:v>
      </x:c>
      <x:c r="F111" s="5" t="n">
        <x:f>IFERROR(ROUND($W111*$Z111*$AC111*'参数'!$D$13,0),"")</x:f>
        <x:v>11066</x:v>
      </x:c>
      <x:c r="G111" s="4">
        <x:v>239781</x:v>
      </x:c>
      <x:c r="H111" s="4">
        <x:v>5527</x:v>
      </x:c>
      <x:c r="I111" s="4">
        <x:v>8442</x:v>
      </x:c>
      <x:c r="J111" s="4">
        <x:v>22</x:v>
      </x:c>
      <x:c r="K111" s="4">
        <x:v>22</x:v>
      </x:c>
      <x:c r="L111" s="4" t="n">
        <x:f>IFERROR(INDEX('楼层配置'!$D$5:$D$104,MATCH($K111,'楼层配置'!$B$5:$B$104,0)),"")</x:f>
        <x:v>88</x:v>
      </x:c>
      <x:c r="M111" s="4" t="str">
        <x:f>IFERROR(INDEX('_角色基线'!$B$2:$B$100,MATCH($B111,'_角色基线'!$A$2:$A$100,0)),"")</x:f>
        <x:v>大暑</x:v>
      </x:c>
      <x:c r="N111" s="4" t="str">
        <x:f>IFERROR(INDEX('_角色基线'!$C$2:$C$100,MATCH($B111,'_角色基线'!$A$2:$A$100,0)),"")</x:f>
        <x:v>Tank</x:v>
      </x:c>
      <x:c r="O111" s="4" t="n">
        <x:f>IFERROR(INDEX('_怪物基线'!$B$2:$B$501,MATCH(INT($L111),'_怪物基线'!$A$2:$A$501,0)),"")</x:f>
        <x:v>29563</x:v>
      </x:c>
      <x:c r="P111" s="4" t="n">
        <x:f>IFERROR(INDEX('_怪物基线'!$C$2:$C$501,MATCH(INT($L111),'_怪物基线'!$A$2:$A$501,0)),"")</x:f>
        <x:v>5557</x:v>
      </x:c>
      <x:c r="Q111" s="4" t="n">
        <x:f>IFERROR(INDEX('_怪物基线'!$D$2:$D$501,MATCH(INT($L111),'_怪物基线'!$A$2:$A$501,0)),"")</x:f>
        <x:v>7377</x:v>
      </x:c>
      <x:c r="R111" s="4" t="n">
        <x:f>'参数'!$B$10</x:f>
        <x:v>4</x:v>
      </x:c>
      <x:c r="S111" s="4" t="n">
        <x:f>'参数'!$C$10</x:f>
        <x:v>1.2</x:v>
      </x:c>
      <x:c r="T111" s="4" t="n">
        <x:f>'参数'!$D$10</x:f>
        <x:v>1</x:v>
      </x:c>
      <x:c r="U111" s="4" t="n">
        <x:f t="shared" si="7">IF($O111="","",$O111*$R111)</x:f>
        <x:v>118252</x:v>
      </x:c>
      <x:c r="V111" s="4" t="n">
        <x:f t="shared" si="8">IF($P111="","",$P111*$S111)</x:f>
        <x:v>6668.4</x:v>
      </x:c>
      <x:c r="W111" s="4" t="n">
        <x:f t="shared" si="9">IF($Q111="","",$Q111*$T111)</x:f>
        <x:v>7377</x:v>
      </x:c>
      <x:c r="X111" s="4" t="n">
        <x:f>IFERROR(INDEX('参数'!$B$5:$B$7,MATCH($N111,'参数'!$A$5:$A$7,0)),"")</x:f>
        <x:v>1.5</x:v>
      </x:c>
      <x:c r="Y111" s="4" t="n">
        <x:f>IFERROR(INDEX('参数'!$C$5:$C$7,MATCH($N111,'参数'!$A$5:$A$7,0)),"")</x:f>
        <x:v>1</x:v>
      </x:c>
      <x:c r="Z111" s="4" t="n">
        <x:f>IFERROR(INDEX('参数'!$D$5:$D$7,MATCH($N111,'参数'!$A$5:$A$7,0)),"")</x:f>
        <x:v>1.5</x:v>
      </x:c>
      <x:c r="AA111" s="4" t="n">
        <x:f>IFERROR(INDEX('楼层配置'!$E$5:$E$104,MATCH($K111,'楼层配置'!$B$5:$B$104,0)),1)</x:f>
        <x:v>1.1643979107151963</x:v>
      </x:c>
      <x:c r="AB111" s="4" t="n">
        <x:f>IFERROR(INDEX('楼层配置'!$F$5:$F$104,MATCH($K111,'楼层配置'!$B$5:$B$104,0)),1)</x:f>
        <x:v>0.704486371215438</x:v>
      </x:c>
      <x:c r="AC111" s="4" t="n">
        <x:f>IFERROR(INDEX('楼层配置'!$G$5:$G$104,MATCH($K111,'楼层配置'!$B$5:$B$104,0)),1)</x:f>
        <x:v>1</x:v>
      </x:c>
      <x:c r="AD111" s="6" t="n">
        <x:f t="shared" si="10">IFERROR($D111/$G111-1,"")</x:f>
        <x:v>-0.13863483762266404</x:v>
      </x:c>
      <x:c r="AE111" s="6" t="n">
        <x:f t="shared" si="11">IFERROR($E111/$H111-1,"")</x:f>
        <x:v>-0.14999095350099512</x:v>
      </x:c>
      <x:c r="AF111" s="6" t="n">
        <x:f t="shared" si="12">IFERROR($F111/$I111-1,"")</x:f>
        <x:v>0.31082681828950487</x:v>
      </x:c>
      <x:c r="AG111" s="4" t="str">
        <x:f t="shared" si="13">IF(AND($A111&gt;=1,$L111&gt;=1,$L111&lt;=500,OR($N111="Tank",$N111="DPS",$N111="Support"),ISNUMBER($D111),ISNUMBER($E111),ISNUMBER($F111)),"有效","异常")</x:f>
        <x:v>有效</x:v>
      </x:c>
      <x:c r="AH111" t="n">
        <x:f>D111/(1-MIN(0.75,F111/(24000+F111)))</x:f>
        <x:v>301770.6905833333</x:v>
      </x:c>
    </x:row>
    <x:row r="112" ht="14.25" customHeight="1">
      <x:c r="A112" s="4">
        <x:v>108</x:v>
      </x:c>
      <x:c r="B112" s="4">
        <x:v>1036</x:v>
      </x:c>
      <x:c r="C112" s="4">
        <x:v>21</x:v>
      </x:c>
      <x:c r="D112" s="5" t="n">
        <x:f>IFERROR(ROUND($U112*$X112*$AA112*'参数'!$B$13,0),"")</x:f>
        <x:v>137692</x:v>
      </x:c>
      <x:c r="E112" s="5" t="n">
        <x:f>IFERROR(ROUND($V112*$Y112*$AB112*'参数'!$C$13,0),"")</x:f>
        <x:v>5637</x:v>
      </x:c>
      <x:c r="F112" s="5" t="n">
        <x:f>IFERROR(ROUND($W112*$Z112*$AC112*'参数'!$D$13,0),"")</x:f>
        <x:v>7377</x:v>
      </x:c>
      <x:c r="G112" s="4">
        <x:v>159854</x:v>
      </x:c>
      <x:c r="H112" s="4">
        <x:v>6632</x:v>
      </x:c>
      <x:c r="I112" s="4">
        <x:v>5628</x:v>
      </x:c>
      <x:c r="J112" s="4">
        <x:v>22</x:v>
      </x:c>
      <x:c r="K112" s="4">
        <x:v>22</x:v>
      </x:c>
      <x:c r="L112" s="4" t="n">
        <x:f>IFERROR(INDEX('楼层配置'!$D$5:$D$104,MATCH($K112,'楼层配置'!$B$5:$B$104,0)),"")</x:f>
        <x:v>88</x:v>
      </x:c>
      <x:c r="M112" s="4" t="str">
        <x:f>IFERROR(INDEX('_角色基线'!$B$2:$B$100,MATCH($B112,'_角色基线'!$A$2:$A$100,0)),"")</x:f>
        <x:v>霜狼法师</x:v>
      </x:c>
      <x:c r="N112" s="4" t="str">
        <x:f>IFERROR(INDEX('_角色基线'!$C$2:$C$100,MATCH($B112,'_角色基线'!$A$2:$A$100,0)),"")</x:f>
        <x:v>DPS</x:v>
      </x:c>
      <x:c r="O112" s="4" t="n">
        <x:f>IFERROR(INDEX('_怪物基线'!$B$2:$B$501,MATCH(INT($L112),'_怪物基线'!$A$2:$A$501,0)),"")</x:f>
        <x:v>29563</x:v>
      </x:c>
      <x:c r="P112" s="4" t="n">
        <x:f>IFERROR(INDEX('_怪物基线'!$C$2:$C$501,MATCH(INT($L112),'_怪物基线'!$A$2:$A$501,0)),"")</x:f>
        <x:v>5557</x:v>
      </x:c>
      <x:c r="Q112" s="4" t="n">
        <x:f>IFERROR(INDEX('_怪物基线'!$D$2:$D$501,MATCH(INT($L112),'_怪物基线'!$A$2:$A$501,0)),"")</x:f>
        <x:v>7377</x:v>
      </x:c>
      <x:c r="R112" s="4" t="n">
        <x:f>'参数'!$B$10</x:f>
        <x:v>4</x:v>
      </x:c>
      <x:c r="S112" s="4" t="n">
        <x:f>'参数'!$C$10</x:f>
        <x:v>1.2</x:v>
      </x:c>
      <x:c r="T112" s="4" t="n">
        <x:f>'参数'!$D$10</x:f>
        <x:v>1</x:v>
      </x:c>
      <x:c r="U112" s="4" t="n">
        <x:f t="shared" si="7">IF($O112="","",$O112*$R112)</x:f>
        <x:v>118252</x:v>
      </x:c>
      <x:c r="V112" s="4" t="n">
        <x:f t="shared" si="8">IF($P112="","",$P112*$S112)</x:f>
        <x:v>6668.4</x:v>
      </x:c>
      <x:c r="W112" s="4" t="n">
        <x:f t="shared" si="9">IF($Q112="","",$Q112*$T112)</x:f>
        <x:v>7377</x:v>
      </x:c>
      <x:c r="X112" s="4" t="n">
        <x:f>IFERROR(INDEX('参数'!$B$5:$B$7,MATCH($N112,'参数'!$A$5:$A$7,0)),"")</x:f>
        <x:v>1</x:v>
      </x:c>
      <x:c r="Y112" s="4" t="n">
        <x:f>IFERROR(INDEX('参数'!$C$5:$C$7,MATCH($N112,'参数'!$A$5:$A$7,0)),"")</x:f>
        <x:v>1.2</x:v>
      </x:c>
      <x:c r="Z112" s="4" t="n">
        <x:f>IFERROR(INDEX('参数'!$D$5:$D$7,MATCH($N112,'参数'!$A$5:$A$7,0)),"")</x:f>
        <x:v>1</x:v>
      </x:c>
      <x:c r="AA112" s="4" t="n">
        <x:f>IFERROR(INDEX('楼层配置'!$E$5:$E$104,MATCH($K112,'楼层配置'!$B$5:$B$104,0)),1)</x:f>
        <x:v>1.1643979107151963</x:v>
      </x:c>
      <x:c r="AB112" s="4" t="n">
        <x:f>IFERROR(INDEX('楼层配置'!$F$5:$F$104,MATCH($K112,'楼层配置'!$B$5:$B$104,0)),1)</x:f>
        <x:v>0.704486371215438</x:v>
      </x:c>
      <x:c r="AC112" s="4" t="n">
        <x:f>IFERROR(INDEX('楼层配置'!$G$5:$G$104,MATCH($K112,'楼层配置'!$B$5:$B$104,0)),1)</x:f>
        <x:v>1</x:v>
      </x:c>
      <x:c r="AD112" s="6" t="n">
        <x:f t="shared" si="10">IFERROR($D112/$G112-1,"")</x:f>
        <x:v>-0.1386390080948866</x:v>
      </x:c>
      <x:c r="AE112" s="6" t="n">
        <x:f t="shared" si="11">IFERROR($E112/$H112-1,"")</x:f>
        <x:v>-0.1500301568154403</x:v>
      </x:c>
      <x:c r="AF112" s="6" t="n">
        <x:f t="shared" si="12">IFERROR($F112/$I112-1,"")</x:f>
        <x:v>0.3107675906183369</x:v>
      </x:c>
      <x:c r="AG112" s="4" t="str">
        <x:f t="shared" si="13">IF(AND($A112&gt;=1,$L112&gt;=1,$L112&lt;=500,OR($N112="Tank",$N112="DPS",$N112="Support"),ISNUMBER($D112),ISNUMBER($E112),ISNUMBER($F112)),"有效","异常")</x:f>
        <x:v>有效</x:v>
      </x:c>
      <x:c r="AH112" t="n">
        <x:f>D112/(1-MIN(0.75,F112/(24000+F112)))</x:f>
        <x:v>180015.0785</x:v>
      </x:c>
    </x:row>
    <x:row r="113" ht="14.25" customHeight="1">
      <x:c r="A113" s="4">
        <x:v>109</x:v>
      </x:c>
      <x:c r="B113" s="4">
        <x:v>1026</x:v>
      </x:c>
      <x:c r="C113" s="4">
        <x:v>21</x:v>
      </x:c>
      <x:c r="D113" s="5" t="n">
        <x:f>IFERROR(ROUND($U113*$X113*$AA113*'参数'!$B$13,0),"")</x:f>
        <x:v>137692</x:v>
      </x:c>
      <x:c r="E113" s="5" t="n">
        <x:f>IFERROR(ROUND($V113*$Y113*$AB113*'参数'!$C$13,0),"")</x:f>
        <x:v>5637</x:v>
      </x:c>
      <x:c r="F113" s="5" t="n">
        <x:f>IFERROR(ROUND($W113*$Z113*$AC113*'参数'!$D$13,0),"")</x:f>
        <x:v>7377</x:v>
      </x:c>
      <x:c r="G113" s="4">
        <x:v>159854</x:v>
      </x:c>
      <x:c r="H113" s="4">
        <x:v>6632</x:v>
      </x:c>
      <x:c r="I113" s="4">
        <x:v>5628</x:v>
      </x:c>
      <x:c r="J113" s="4">
        <x:v>22</x:v>
      </x:c>
      <x:c r="K113" s="4">
        <x:v>22</x:v>
      </x:c>
      <x:c r="L113" s="4" t="n">
        <x:f>IFERROR(INDEX('楼层配置'!$D$5:$D$104,MATCH($K113,'楼层配置'!$B$5:$B$104,0)),"")</x:f>
        <x:v>88</x:v>
      </x:c>
      <x:c r="M113" s="4" t="str">
        <x:f>IFERROR(INDEX('_角色基线'!$B$2:$B$100,MATCH($B113,'_角色基线'!$A$2:$A$100,0)),"")</x:f>
        <x:v>乔一</x:v>
      </x:c>
      <x:c r="N113" s="4" t="str">
        <x:f>IFERROR(INDEX('_角色基线'!$C$2:$C$100,MATCH($B113,'_角色基线'!$A$2:$A$100,0)),"")</x:f>
        <x:v>DPS</x:v>
      </x:c>
      <x:c r="O113" s="4" t="n">
        <x:f>IFERROR(INDEX('_怪物基线'!$B$2:$B$501,MATCH(INT($L113),'_怪物基线'!$A$2:$A$501,0)),"")</x:f>
        <x:v>29563</x:v>
      </x:c>
      <x:c r="P113" s="4" t="n">
        <x:f>IFERROR(INDEX('_怪物基线'!$C$2:$C$501,MATCH(INT($L113),'_怪物基线'!$A$2:$A$501,0)),"")</x:f>
        <x:v>5557</x:v>
      </x:c>
      <x:c r="Q113" s="4" t="n">
        <x:f>IFERROR(INDEX('_怪物基线'!$D$2:$D$501,MATCH(INT($L113),'_怪物基线'!$A$2:$A$501,0)),"")</x:f>
        <x:v>7377</x:v>
      </x:c>
      <x:c r="R113" s="4" t="n">
        <x:f>'参数'!$B$10</x:f>
        <x:v>4</x:v>
      </x:c>
      <x:c r="S113" s="4" t="n">
        <x:f>'参数'!$C$10</x:f>
        <x:v>1.2</x:v>
      </x:c>
      <x:c r="T113" s="4" t="n">
        <x:f>'参数'!$D$10</x:f>
        <x:v>1</x:v>
      </x:c>
      <x:c r="U113" s="4" t="n">
        <x:f t="shared" si="7">IF($O113="","",$O113*$R113)</x:f>
        <x:v>118252</x:v>
      </x:c>
      <x:c r="V113" s="4" t="n">
        <x:f t="shared" si="8">IF($P113="","",$P113*$S113)</x:f>
        <x:v>6668.4</x:v>
      </x:c>
      <x:c r="W113" s="4" t="n">
        <x:f t="shared" si="9">IF($Q113="","",$Q113*$T113)</x:f>
        <x:v>7377</x:v>
      </x:c>
      <x:c r="X113" s="4" t="n">
        <x:f>IFERROR(INDEX('参数'!$B$5:$B$7,MATCH($N113,'参数'!$A$5:$A$7,0)),"")</x:f>
        <x:v>1</x:v>
      </x:c>
      <x:c r="Y113" s="4" t="n">
        <x:f>IFERROR(INDEX('参数'!$C$5:$C$7,MATCH($N113,'参数'!$A$5:$A$7,0)),"")</x:f>
        <x:v>1.2</x:v>
      </x:c>
      <x:c r="Z113" s="4" t="n">
        <x:f>IFERROR(INDEX('参数'!$D$5:$D$7,MATCH($N113,'参数'!$A$5:$A$7,0)),"")</x:f>
        <x:v>1</x:v>
      </x:c>
      <x:c r="AA113" s="4" t="n">
        <x:f>IFERROR(INDEX('楼层配置'!$E$5:$E$104,MATCH($K113,'楼层配置'!$B$5:$B$104,0)),1)</x:f>
        <x:v>1.1643979107151963</x:v>
      </x:c>
      <x:c r="AB113" s="4" t="n">
        <x:f>IFERROR(INDEX('楼层配置'!$F$5:$F$104,MATCH($K113,'楼层配置'!$B$5:$B$104,0)),1)</x:f>
        <x:v>0.704486371215438</x:v>
      </x:c>
      <x:c r="AC113" s="4" t="n">
        <x:f>IFERROR(INDEX('楼层配置'!$G$5:$G$104,MATCH($K113,'楼层配置'!$B$5:$B$104,0)),1)</x:f>
        <x:v>1</x:v>
      </x:c>
      <x:c r="AD113" s="6" t="n">
        <x:f t="shared" si="10">IFERROR($D113/$G113-1,"")</x:f>
        <x:v>-0.1386390080948866</x:v>
      </x:c>
      <x:c r="AE113" s="6" t="n">
        <x:f t="shared" si="11">IFERROR($E113/$H113-1,"")</x:f>
        <x:v>-0.1500301568154403</x:v>
      </x:c>
      <x:c r="AF113" s="6" t="n">
        <x:f t="shared" si="12">IFERROR($F113/$I113-1,"")</x:f>
        <x:v>0.3107675906183369</x:v>
      </x:c>
      <x:c r="AG113" s="4" t="str">
        <x:f t="shared" si="13">IF(AND($A113&gt;=1,$L113&gt;=1,$L113&lt;=500,OR($N113="Tank",$N113="DPS",$N113="Support"),ISNUMBER($D113),ISNUMBER($E113),ISNUMBER($F113)),"有效","异常")</x:f>
        <x:v>有效</x:v>
      </x:c>
      <x:c r="AH113" t="n">
        <x:f>D113/(1-MIN(0.75,F113/(24000+F113)))</x:f>
        <x:v>180015.0785</x:v>
      </x:c>
    </x:row>
    <x:row r="114" ht="14.25" customHeight="1">
      <x:c r="A114" s="4">
        <x:v>110</x:v>
      </x:c>
      <x:c r="B114" s="4">
        <x:v>1014</x:v>
      </x:c>
      <x:c r="C114" s="4">
        <x:v>21</x:v>
      </x:c>
      <x:c r="D114" s="5" t="n">
        <x:f>IFERROR(ROUND($U114*$X114*$AA114*'参数'!$B$13,0),"")</x:f>
        <x:v>137692</x:v>
      </x:c>
      <x:c r="E114" s="5" t="n">
        <x:f>IFERROR(ROUND($V114*$Y114*$AB114*'参数'!$C$13,0),"")</x:f>
        <x:v>5637</x:v>
      </x:c>
      <x:c r="F114" s="5" t="n">
        <x:f>IFERROR(ROUND($W114*$Z114*$AC114*'参数'!$D$13,0),"")</x:f>
        <x:v>7377</x:v>
      </x:c>
      <x:c r="G114" s="4">
        <x:v>159854</x:v>
      </x:c>
      <x:c r="H114" s="4">
        <x:v>6632</x:v>
      </x:c>
      <x:c r="I114" s="4">
        <x:v>5628</x:v>
      </x:c>
      <x:c r="J114" s="4">
        <x:v>22</x:v>
      </x:c>
      <x:c r="K114" s="4">
        <x:v>22</x:v>
      </x:c>
      <x:c r="L114" s="4" t="n">
        <x:f>IFERROR(INDEX('楼层配置'!$D$5:$D$104,MATCH($K114,'楼层配置'!$B$5:$B$104,0)),"")</x:f>
        <x:v>88</x:v>
      </x:c>
      <x:c r="M114" s="4" t="str">
        <x:f>IFERROR(INDEX('_角色基线'!$B$2:$B$100,MATCH($B114,'_角色基线'!$A$2:$A$100,0)),"")</x:f>
        <x:v>克莉丝汀</x:v>
      </x:c>
      <x:c r="N114" s="4" t="str">
        <x:f>IFERROR(INDEX('_角色基线'!$C$2:$C$100,MATCH($B114,'_角色基线'!$A$2:$A$100,0)),"")</x:f>
        <x:v>DPS</x:v>
      </x:c>
      <x:c r="O114" s="4" t="n">
        <x:f>IFERROR(INDEX('_怪物基线'!$B$2:$B$501,MATCH(INT($L114),'_怪物基线'!$A$2:$A$501,0)),"")</x:f>
        <x:v>29563</x:v>
      </x:c>
      <x:c r="P114" s="4" t="n">
        <x:f>IFERROR(INDEX('_怪物基线'!$C$2:$C$501,MATCH(INT($L114),'_怪物基线'!$A$2:$A$501,0)),"")</x:f>
        <x:v>5557</x:v>
      </x:c>
      <x:c r="Q114" s="4" t="n">
        <x:f>IFERROR(INDEX('_怪物基线'!$D$2:$D$501,MATCH(INT($L114),'_怪物基线'!$A$2:$A$501,0)),"")</x:f>
        <x:v>7377</x:v>
      </x:c>
      <x:c r="R114" s="4" t="n">
        <x:f>'参数'!$B$10</x:f>
        <x:v>4</x:v>
      </x:c>
      <x:c r="S114" s="4" t="n">
        <x:f>'参数'!$C$10</x:f>
        <x:v>1.2</x:v>
      </x:c>
      <x:c r="T114" s="4" t="n">
        <x:f>'参数'!$D$10</x:f>
        <x:v>1</x:v>
      </x:c>
      <x:c r="U114" s="4" t="n">
        <x:f t="shared" si="7">IF($O114="","",$O114*$R114)</x:f>
        <x:v>118252</x:v>
      </x:c>
      <x:c r="V114" s="4" t="n">
        <x:f t="shared" si="8">IF($P114="","",$P114*$S114)</x:f>
        <x:v>6668.4</x:v>
      </x:c>
      <x:c r="W114" s="4" t="n">
        <x:f t="shared" si="9">IF($Q114="","",$Q114*$T114)</x:f>
        <x:v>7377</x:v>
      </x:c>
      <x:c r="X114" s="4" t="n">
        <x:f>IFERROR(INDEX('参数'!$B$5:$B$7,MATCH($N114,'参数'!$A$5:$A$7,0)),"")</x:f>
        <x:v>1</x:v>
      </x:c>
      <x:c r="Y114" s="4" t="n">
        <x:f>IFERROR(INDEX('参数'!$C$5:$C$7,MATCH($N114,'参数'!$A$5:$A$7,0)),"")</x:f>
        <x:v>1.2</x:v>
      </x:c>
      <x:c r="Z114" s="4" t="n">
        <x:f>IFERROR(INDEX('参数'!$D$5:$D$7,MATCH($N114,'参数'!$A$5:$A$7,0)),"")</x:f>
        <x:v>1</x:v>
      </x:c>
      <x:c r="AA114" s="4" t="n">
        <x:f>IFERROR(INDEX('楼层配置'!$E$5:$E$104,MATCH($K114,'楼层配置'!$B$5:$B$104,0)),1)</x:f>
        <x:v>1.1643979107151963</x:v>
      </x:c>
      <x:c r="AB114" s="4" t="n">
        <x:f>IFERROR(INDEX('楼层配置'!$F$5:$F$104,MATCH($K114,'楼层配置'!$B$5:$B$104,0)),1)</x:f>
        <x:v>0.704486371215438</x:v>
      </x:c>
      <x:c r="AC114" s="4" t="n">
        <x:f>IFERROR(INDEX('楼层配置'!$G$5:$G$104,MATCH($K114,'楼层配置'!$B$5:$B$104,0)),1)</x:f>
        <x:v>1</x:v>
      </x:c>
      <x:c r="AD114" s="6" t="n">
        <x:f t="shared" si="10">IFERROR($D114/$G114-1,"")</x:f>
        <x:v>-0.1386390080948866</x:v>
      </x:c>
      <x:c r="AE114" s="6" t="n">
        <x:f t="shared" si="11">IFERROR($E114/$H114-1,"")</x:f>
        <x:v>-0.1500301568154403</x:v>
      </x:c>
      <x:c r="AF114" s="6" t="n">
        <x:f t="shared" si="12">IFERROR($F114/$I114-1,"")</x:f>
        <x:v>0.3107675906183369</x:v>
      </x:c>
      <x:c r="AG114" s="4" t="str">
        <x:f t="shared" si="13">IF(AND($A114&gt;=1,$L114&gt;=1,$L114&lt;=500,OR($N114="Tank",$N114="DPS",$N114="Support"),ISNUMBER($D114),ISNUMBER($E114),ISNUMBER($F114)),"有效","异常")</x:f>
        <x:v>有效</x:v>
      </x:c>
      <x:c r="AH114" t="n">
        <x:f>D114/(1-MIN(0.75,F114/(24000+F114)))</x:f>
        <x:v>180015.0785</x:v>
      </x:c>
    </x:row>
    <x:row r="115" ht="14.25" customHeight="1">
      <x:c r="A115" s="4">
        <x:v>111</x:v>
      </x:c>
      <x:c r="B115" s="4">
        <x:v>1038</x:v>
      </x:c>
      <x:c r="C115" s="4">
        <x:v>21</x:v>
      </x:c>
      <x:c r="D115" s="5" t="n">
        <x:f>IFERROR(ROUND($U115*$X115*$AA115*'参数'!$B$13,0),"")</x:f>
        <x:v>220482</x:v>
      </x:c>
      <x:c r="E115" s="5" t="n">
        <x:f>IFERROR(ROUND($V115*$Y115*$AB115*'参数'!$C$13,0),"")</x:f>
        <x:v>4910</x:v>
      </x:c>
      <x:c r="F115" s="5" t="n">
        <x:f>IFERROR(ROUND($W115*$Z115*$AC115*'参数'!$D$13,0),"")</x:f>
        <x:v>11631</x:v>
      </x:c>
      <x:c r="G115" s="4">
        <x:v>258062</x:v>
      </x:c>
      <x:c r="H115" s="4">
        <x:v>5802</x:v>
      </x:c>
      <x:c r="I115" s="4">
        <x:v>8826</x:v>
      </x:c>
      <x:c r="J115" s="4">
        <x:v>23</x:v>
      </x:c>
      <x:c r="K115" s="4">
        <x:v>23</x:v>
      </x:c>
      <x:c r="L115" s="4" t="n">
        <x:f>IFERROR(INDEX('楼层配置'!$D$5:$D$104,MATCH($K115,'楼层配置'!$B$5:$B$104,0)),"")</x:f>
        <x:v>92</x:v>
      </x:c>
      <x:c r="M115" s="4" t="str">
        <x:f>IFERROR(INDEX('_角色基线'!$B$2:$B$100,MATCH($B115,'_角色基线'!$A$2:$A$100,0)),"")</x:f>
        <x:v>商队战斗员</x:v>
      </x:c>
      <x:c r="N115" s="4" t="str">
        <x:f>IFERROR(INDEX('_角色基线'!$C$2:$C$100,MATCH($B115,'_角色基线'!$A$2:$A$100,0)),"")</x:f>
        <x:v>Tank</x:v>
      </x:c>
      <x:c r="O115" s="4" t="n">
        <x:f>IFERROR(INDEX('_怪物基线'!$B$2:$B$501,MATCH(INT($L115),'_怪物基线'!$A$2:$A$501,0)),"")</x:f>
        <x:v>32077</x:v>
      </x:c>
      <x:c r="P115" s="4" t="n">
        <x:f>IFERROR(INDEX('_怪物基线'!$C$2:$C$501,MATCH(INT($L115),'_怪物基线'!$A$2:$A$501,0)),"")</x:f>
        <x:v>5902</x:v>
      </x:c>
      <x:c r="Q115" s="4" t="n">
        <x:f>IFERROR(INDEX('_怪物基线'!$D$2:$D$501,MATCH(INT($L115),'_怪物基线'!$A$2:$A$501,0)),"")</x:f>
        <x:v>7754</x:v>
      </x:c>
      <x:c r="R115" s="4" t="n">
        <x:f>'参数'!$B$10</x:f>
        <x:v>4</x:v>
      </x:c>
      <x:c r="S115" s="4" t="n">
        <x:f>'参数'!$C$10</x:f>
        <x:v>1.2</x:v>
      </x:c>
      <x:c r="T115" s="4" t="n">
        <x:f>'参数'!$D$10</x:f>
        <x:v>1</x:v>
      </x:c>
      <x:c r="U115" s="4" t="n">
        <x:f t="shared" si="7">IF($O115="","",$O115*$R115)</x:f>
        <x:v>128308</x:v>
      </x:c>
      <x:c r="V115" s="4" t="n">
        <x:f t="shared" si="8">IF($P115="","",$P115*$S115)</x:f>
        <x:v>7082.4</x:v>
      </x:c>
      <x:c r="W115" s="4" t="n">
        <x:f t="shared" si="9">IF($Q115="","",$Q115*$T115)</x:f>
        <x:v>7754</x:v>
      </x:c>
      <x:c r="X115" s="4" t="n">
        <x:f>IFERROR(INDEX('参数'!$B$5:$B$7,MATCH($N115,'参数'!$A$5:$A$7,0)),"")</x:f>
        <x:v>1.5</x:v>
      </x:c>
      <x:c r="Y115" s="4" t="n">
        <x:f>IFERROR(INDEX('参数'!$C$5:$C$7,MATCH($N115,'参数'!$A$5:$A$7,0)),"")</x:f>
        <x:v>1</x:v>
      </x:c>
      <x:c r="Z115" s="4" t="n">
        <x:f>IFERROR(INDEX('参数'!$D$5:$D$7,MATCH($N115,'参数'!$A$5:$A$7,0)),"")</x:f>
        <x:v>1.5</x:v>
      </x:c>
      <x:c r="AA115" s="4" t="n">
        <x:f>IFERROR(INDEX('楼层配置'!$E$5:$E$104,MATCH($K115,'楼层配置'!$B$5:$B$104,0)),1)</x:f>
        <x:v>1.1455861640222549</x:v>
      </x:c>
      <x:c r="AB115" s="4" t="n">
        <x:f>IFERROR(INDEX('楼层配置'!$F$5:$F$104,MATCH($K115,'楼层配置'!$B$5:$B$104,0)),1)</x:f>
        <x:v>0.6932729741666585</x:v>
      </x:c>
      <x:c r="AC115" s="4" t="n">
        <x:f>IFERROR(INDEX('楼层配置'!$G$5:$G$104,MATCH($K115,'楼层配置'!$B$5:$B$104,0)),1)</x:f>
        <x:v>1</x:v>
      </x:c>
      <x:c r="AD115" s="6" t="n">
        <x:f t="shared" si="10">IFERROR($D115/$G115-1,"")</x:f>
        <x:v>-0.14562391983321843</x:v>
      </x:c>
      <x:c r="AE115" s="6" t="n">
        <x:f t="shared" si="11">IFERROR($E115/$H115-1,"")</x:f>
        <x:v>-0.15374008962426744</x:v>
      </x:c>
      <x:c r="AF115" s="6" t="n">
        <x:f t="shared" si="12">IFERROR($F115/$I115-1,"")</x:f>
        <x:v>0.31781101291638336</x:v>
      </x:c>
      <x:c r="AG115" s="4" t="str">
        <x:f t="shared" si="13">IF(AND($A115&gt;=1,$L115&gt;=1,$L115&lt;=500,OR($N115="Tank",$N115="DPS",$N115="Support"),ISNUMBER($D115),ISNUMBER($E115),ISNUMBER($F115)),"有效","异常")</x:f>
        <x:v>有效</x:v>
      </x:c>
      <x:c r="AH115" t="n">
        <x:f>D115/(1-MIN(0.75,F115/(24000+F115)))</x:f>
        <x:v>327333.08924999996</x:v>
      </x:c>
    </x:row>
    <x:row r="116" ht="14.25" customHeight="1">
      <x:c r="A116" s="4">
        <x:v>112</x:v>
      </x:c>
      <x:c r="B116" s="4">
        <x:v>1002</x:v>
      </x:c>
      <x:c r="C116" s="4">
        <x:v>21</x:v>
      </x:c>
      <x:c r="D116" s="5" t="n">
        <x:f>IFERROR(ROUND($U116*$X116*$AA116*'参数'!$B$13,0),"")</x:f>
        <x:v>220482</x:v>
      </x:c>
      <x:c r="E116" s="5" t="n">
        <x:f>IFERROR(ROUND($V116*$Y116*$AB116*'参数'!$C$13,0),"")</x:f>
        <x:v>4910</x:v>
      </x:c>
      <x:c r="F116" s="5" t="n">
        <x:f>IFERROR(ROUND($W116*$Z116*$AC116*'参数'!$D$13,0),"")</x:f>
        <x:v>11631</x:v>
      </x:c>
      <x:c r="G116" s="4">
        <x:v>258062</x:v>
      </x:c>
      <x:c r="H116" s="4">
        <x:v>5802</x:v>
      </x:c>
      <x:c r="I116" s="4">
        <x:v>8826</x:v>
      </x:c>
      <x:c r="J116" s="4">
        <x:v>23</x:v>
      </x:c>
      <x:c r="K116" s="4">
        <x:v>23</x:v>
      </x:c>
      <x:c r="L116" s="4" t="n">
        <x:f>IFERROR(INDEX('楼层配置'!$D$5:$D$104,MATCH($K116,'楼层配置'!$B$5:$B$104,0)),"")</x:f>
        <x:v>92</x:v>
      </x:c>
      <x:c r="M116" s="4" t="str">
        <x:f>IFERROR(INDEX('_角色基线'!$B$2:$B$100,MATCH($B116,'_角色基线'!$A$2:$A$100,0)),"")</x:f>
        <x:v>大暑</x:v>
      </x:c>
      <x:c r="N116" s="4" t="str">
        <x:f>IFERROR(INDEX('_角色基线'!$C$2:$C$100,MATCH($B116,'_角色基线'!$A$2:$A$100,0)),"")</x:f>
        <x:v>Tank</x:v>
      </x:c>
      <x:c r="O116" s="4" t="n">
        <x:f>IFERROR(INDEX('_怪物基线'!$B$2:$B$501,MATCH(INT($L116),'_怪物基线'!$A$2:$A$501,0)),"")</x:f>
        <x:v>32077</x:v>
      </x:c>
      <x:c r="P116" s="4" t="n">
        <x:f>IFERROR(INDEX('_怪物基线'!$C$2:$C$501,MATCH(INT($L116),'_怪物基线'!$A$2:$A$501,0)),"")</x:f>
        <x:v>5902</x:v>
      </x:c>
      <x:c r="Q116" s="4" t="n">
        <x:f>IFERROR(INDEX('_怪物基线'!$D$2:$D$501,MATCH(INT($L116),'_怪物基线'!$A$2:$A$501,0)),"")</x:f>
        <x:v>7754</x:v>
      </x:c>
      <x:c r="R116" s="4" t="n">
        <x:f>'参数'!$B$10</x:f>
        <x:v>4</x:v>
      </x:c>
      <x:c r="S116" s="4" t="n">
        <x:f>'参数'!$C$10</x:f>
        <x:v>1.2</x:v>
      </x:c>
      <x:c r="T116" s="4" t="n">
        <x:f>'参数'!$D$10</x:f>
        <x:v>1</x:v>
      </x:c>
      <x:c r="U116" s="4" t="n">
        <x:f t="shared" si="7">IF($O116="","",$O116*$R116)</x:f>
        <x:v>128308</x:v>
      </x:c>
      <x:c r="V116" s="4" t="n">
        <x:f t="shared" si="8">IF($P116="","",$P116*$S116)</x:f>
        <x:v>7082.4</x:v>
      </x:c>
      <x:c r="W116" s="4" t="n">
        <x:f t="shared" si="9">IF($Q116="","",$Q116*$T116)</x:f>
        <x:v>7754</x:v>
      </x:c>
      <x:c r="X116" s="4" t="n">
        <x:f>IFERROR(INDEX('参数'!$B$5:$B$7,MATCH($N116,'参数'!$A$5:$A$7,0)),"")</x:f>
        <x:v>1.5</x:v>
      </x:c>
      <x:c r="Y116" s="4" t="n">
        <x:f>IFERROR(INDEX('参数'!$C$5:$C$7,MATCH($N116,'参数'!$A$5:$A$7,0)),"")</x:f>
        <x:v>1</x:v>
      </x:c>
      <x:c r="Z116" s="4" t="n">
        <x:f>IFERROR(INDEX('参数'!$D$5:$D$7,MATCH($N116,'参数'!$A$5:$A$7,0)),"")</x:f>
        <x:v>1.5</x:v>
      </x:c>
      <x:c r="AA116" s="4" t="n">
        <x:f>IFERROR(INDEX('楼层配置'!$E$5:$E$104,MATCH($K116,'楼层配置'!$B$5:$B$104,0)),1)</x:f>
        <x:v>1.1455861640222549</x:v>
      </x:c>
      <x:c r="AB116" s="4" t="n">
        <x:f>IFERROR(INDEX('楼层配置'!$F$5:$F$104,MATCH($K116,'楼层配置'!$B$5:$B$104,0)),1)</x:f>
        <x:v>0.6932729741666585</x:v>
      </x:c>
      <x:c r="AC116" s="4" t="n">
        <x:f>IFERROR(INDEX('楼层配置'!$G$5:$G$104,MATCH($K116,'楼层配置'!$B$5:$B$104,0)),1)</x:f>
        <x:v>1</x:v>
      </x:c>
      <x:c r="AD116" s="6" t="n">
        <x:f t="shared" si="10">IFERROR($D116/$G116-1,"")</x:f>
        <x:v>-0.14562391983321843</x:v>
      </x:c>
      <x:c r="AE116" s="6" t="n">
        <x:f t="shared" si="11">IFERROR($E116/$H116-1,"")</x:f>
        <x:v>-0.15374008962426744</x:v>
      </x:c>
      <x:c r="AF116" s="6" t="n">
        <x:f t="shared" si="12">IFERROR($F116/$I116-1,"")</x:f>
        <x:v>0.31781101291638336</x:v>
      </x:c>
      <x:c r="AG116" s="4" t="str">
        <x:f t="shared" si="13">IF(AND($A116&gt;=1,$L116&gt;=1,$L116&lt;=500,OR($N116="Tank",$N116="DPS",$N116="Support"),ISNUMBER($D116),ISNUMBER($E116),ISNUMBER($F116)),"有效","异常")</x:f>
        <x:v>有效</x:v>
      </x:c>
      <x:c r="AH116" t="n">
        <x:f>D116/(1-MIN(0.75,F116/(24000+F116)))</x:f>
        <x:v>327333.08924999996</x:v>
      </x:c>
    </x:row>
    <x:row r="117" ht="14.25" customHeight="1">
      <x:c r="A117" s="4">
        <x:v>113</x:v>
      </x:c>
      <x:c r="B117" s="4">
        <x:v>1020</x:v>
      </x:c>
      <x:c r="C117" s="4">
        <x:v>21</x:v>
      </x:c>
      <x:c r="D117" s="5" t="n">
        <x:f>IFERROR(ROUND($U117*$X117*$AA117*'参数'!$B$13,0),"")</x:f>
        <x:v>183735</x:v>
      </x:c>
      <x:c r="E117" s="5" t="n">
        <x:f>IFERROR(ROUND($V117*$Y117*$AB117*'参数'!$C$13,0),"")</x:f>
        <x:v>4910</x:v>
      </x:c>
      <x:c r="F117" s="5" t="n">
        <x:f>IFERROR(ROUND($W117*$Z117*$AC117*'参数'!$D$13,0),"")</x:f>
        <x:v>9693</x:v>
      </x:c>
      <x:c r="G117" s="4">
        <x:v>215052</x:v>
      </x:c>
      <x:c r="H117" s="4">
        <x:v>5802</x:v>
      </x:c>
      <x:c r="I117" s="4">
        <x:v>7355</x:v>
      </x:c>
      <x:c r="J117" s="4">
        <x:v>23</x:v>
      </x:c>
      <x:c r="K117" s="4">
        <x:v>23</x:v>
      </x:c>
      <x:c r="L117" s="4" t="n">
        <x:f>IFERROR(INDEX('楼层配置'!$D$5:$D$104,MATCH($K117,'楼层配置'!$B$5:$B$104,0)),"")</x:f>
        <x:v>92</x:v>
      </x:c>
      <x:c r="M117" s="4" t="str">
        <x:f>IFERROR(INDEX('_角色基线'!$B$2:$B$100,MATCH($B117,'_角色基线'!$A$2:$A$100,0)),"")</x:f>
        <x:v>卡斯帕</x:v>
      </x:c>
      <x:c r="N117" s="4" t="str">
        <x:f>IFERROR(INDEX('_角色基线'!$C$2:$C$100,MATCH($B117,'_角色基线'!$A$2:$A$100,0)),"")</x:f>
        <x:v>Support</x:v>
      </x:c>
      <x:c r="O117" s="4" t="n">
        <x:f>IFERROR(INDEX('_怪物基线'!$B$2:$B$501,MATCH(INT($L117),'_怪物基线'!$A$2:$A$501,0)),"")</x:f>
        <x:v>32077</x:v>
      </x:c>
      <x:c r="P117" s="4" t="n">
        <x:f>IFERROR(INDEX('_怪物基线'!$C$2:$C$501,MATCH(INT($L117),'_怪物基线'!$A$2:$A$501,0)),"")</x:f>
        <x:v>5902</x:v>
      </x:c>
      <x:c r="Q117" s="4" t="n">
        <x:f>IFERROR(INDEX('_怪物基线'!$D$2:$D$501,MATCH(INT($L117),'_怪物基线'!$A$2:$A$501,0)),"")</x:f>
        <x:v>7754</x:v>
      </x:c>
      <x:c r="R117" s="4" t="n">
        <x:f>'参数'!$B$10</x:f>
        <x:v>4</x:v>
      </x:c>
      <x:c r="S117" s="4" t="n">
        <x:f>'参数'!$C$10</x:f>
        <x:v>1.2</x:v>
      </x:c>
      <x:c r="T117" s="4" t="n">
        <x:f>'参数'!$D$10</x:f>
        <x:v>1</x:v>
      </x:c>
      <x:c r="U117" s="4" t="n">
        <x:f t="shared" si="7">IF($O117="","",$O117*$R117)</x:f>
        <x:v>128308</x:v>
      </x:c>
      <x:c r="V117" s="4" t="n">
        <x:f t="shared" si="8">IF($P117="","",$P117*$S117)</x:f>
        <x:v>7082.4</x:v>
      </x:c>
      <x:c r="W117" s="4" t="n">
        <x:f t="shared" si="9">IF($Q117="","",$Q117*$T117)</x:f>
        <x:v>7754</x:v>
      </x:c>
      <x:c r="X117" s="4" t="n">
        <x:f>IFERROR(INDEX('参数'!$B$5:$B$7,MATCH($N117,'参数'!$A$5:$A$7,0)),"")</x:f>
        <x:v>1.25</x:v>
      </x:c>
      <x:c r="Y117" s="4" t="n">
        <x:f>IFERROR(INDEX('参数'!$C$5:$C$7,MATCH($N117,'参数'!$A$5:$A$7,0)),"")</x:f>
        <x:v>1</x:v>
      </x:c>
      <x:c r="Z117" s="4" t="n">
        <x:f>IFERROR(INDEX('参数'!$D$5:$D$7,MATCH($N117,'参数'!$A$5:$A$7,0)),"")</x:f>
        <x:v>1.25</x:v>
      </x:c>
      <x:c r="AA117" s="4" t="n">
        <x:f>IFERROR(INDEX('楼层配置'!$E$5:$E$104,MATCH($K117,'楼层配置'!$B$5:$B$104,0)),1)</x:f>
        <x:v>1.1455861640222549</x:v>
      </x:c>
      <x:c r="AB117" s="4" t="n">
        <x:f>IFERROR(INDEX('楼层配置'!$F$5:$F$104,MATCH($K117,'楼层配置'!$B$5:$B$104,0)),1)</x:f>
        <x:v>0.6932729741666585</x:v>
      </x:c>
      <x:c r="AC117" s="4" t="n">
        <x:f>IFERROR(INDEX('楼层配置'!$G$5:$G$104,MATCH($K117,'楼层配置'!$B$5:$B$104,0)),1)</x:f>
        <x:v>1</x:v>
      </x:c>
      <x:c r="AD117" s="6" t="n">
        <x:f t="shared" si="10">IFERROR($D117/$G117-1,"")</x:f>
        <x:v>-0.14562524412700184</x:v>
      </x:c>
      <x:c r="AE117" s="6" t="n">
        <x:f t="shared" si="11">IFERROR($E117/$H117-1,"")</x:f>
        <x:v>-0.15374008962426744</x:v>
      </x:c>
      <x:c r="AF117" s="6" t="n">
        <x:f t="shared" si="12">IFERROR($F117/$I117-1,"")</x:f>
        <x:v>0.31787899388171303</x:v>
      </x:c>
      <x:c r="AG117" s="4" t="str">
        <x:f t="shared" si="13">IF(AND($A117&gt;=1,$L117&gt;=1,$L117&lt;=500,OR($N117="Tank",$N117="DPS",$N117="Support"),ISNUMBER($D117),ISNUMBER($E117),ISNUMBER($F117)),"有效","异常")</x:f>
        <x:v>有效</x:v>
      </x:c>
      <x:c r="AH117" t="n">
        <x:f>D117/(1-MIN(0.75,F117/(24000+F117)))</x:f>
        <x:v>257940.97312500002</x:v>
      </x:c>
    </x:row>
    <x:row r="118" ht="14.25" customHeight="1">
      <x:c r="A118" s="4">
        <x:v>114</x:v>
      </x:c>
      <x:c r="B118" s="4">
        <x:v>1001</x:v>
      </x:c>
      <x:c r="C118" s="4">
        <x:v>21</x:v>
      </x:c>
      <x:c r="D118" s="5" t="n">
        <x:f>IFERROR(ROUND($U118*$X118*$AA118*'参数'!$B$13,0),"")</x:f>
        <x:v>146988</x:v>
      </x:c>
      <x:c r="E118" s="5" t="n">
        <x:f>IFERROR(ROUND($V118*$Y118*$AB118*'参数'!$C$13,0),"")</x:f>
        <x:v>5892</x:v>
      </x:c>
      <x:c r="F118" s="5" t="n">
        <x:f>IFERROR(ROUND($W118*$Z118*$AC118*'参数'!$D$13,0),"")</x:f>
        <x:v>7754</x:v>
      </x:c>
      <x:c r="G118" s="4">
        <x:v>172041</x:v>
      </x:c>
      <x:c r="H118" s="4">
        <x:v>6962</x:v>
      </x:c>
      <x:c r="I118" s="4">
        <x:v>5884</x:v>
      </x:c>
      <x:c r="J118" s="4">
        <x:v>23</x:v>
      </x:c>
      <x:c r="K118" s="4">
        <x:v>23</x:v>
      </x:c>
      <x:c r="L118" s="4" t="n">
        <x:f>IFERROR(INDEX('楼层配置'!$D$5:$D$104,MATCH($K118,'楼层配置'!$B$5:$B$104,0)),"")</x:f>
        <x:v>92</x:v>
      </x:c>
      <x:c r="M118" s="4" t="str">
        <x:f>IFERROR(INDEX('_角色基线'!$B$2:$B$100,MATCH($B118,'_角色基线'!$A$2:$A$100,0)),"")</x:f>
        <x:v>星海</x:v>
      </x:c>
      <x:c r="N118" s="4" t="str">
        <x:f>IFERROR(INDEX('_角色基线'!$C$2:$C$100,MATCH($B118,'_角色基线'!$A$2:$A$100,0)),"")</x:f>
        <x:v>DPS</x:v>
      </x:c>
      <x:c r="O118" s="4" t="n">
        <x:f>IFERROR(INDEX('_怪物基线'!$B$2:$B$501,MATCH(INT($L118),'_怪物基线'!$A$2:$A$501,0)),"")</x:f>
        <x:v>32077</x:v>
      </x:c>
      <x:c r="P118" s="4" t="n">
        <x:f>IFERROR(INDEX('_怪物基线'!$C$2:$C$501,MATCH(INT($L118),'_怪物基线'!$A$2:$A$501,0)),"")</x:f>
        <x:v>5902</x:v>
      </x:c>
      <x:c r="Q118" s="4" t="n">
        <x:f>IFERROR(INDEX('_怪物基线'!$D$2:$D$501,MATCH(INT($L118),'_怪物基线'!$A$2:$A$501,0)),"")</x:f>
        <x:v>7754</x:v>
      </x:c>
      <x:c r="R118" s="4" t="n">
        <x:f>'参数'!$B$10</x:f>
        <x:v>4</x:v>
      </x:c>
      <x:c r="S118" s="4" t="n">
        <x:f>'参数'!$C$10</x:f>
        <x:v>1.2</x:v>
      </x:c>
      <x:c r="T118" s="4" t="n">
        <x:f>'参数'!$D$10</x:f>
        <x:v>1</x:v>
      </x:c>
      <x:c r="U118" s="4" t="n">
        <x:f t="shared" si="7">IF($O118="","",$O118*$R118)</x:f>
        <x:v>128308</x:v>
      </x:c>
      <x:c r="V118" s="4" t="n">
        <x:f t="shared" si="8">IF($P118="","",$P118*$S118)</x:f>
        <x:v>7082.4</x:v>
      </x:c>
      <x:c r="W118" s="4" t="n">
        <x:f t="shared" si="9">IF($Q118="","",$Q118*$T118)</x:f>
        <x:v>7754</x:v>
      </x:c>
      <x:c r="X118" s="4" t="n">
        <x:f>IFERROR(INDEX('参数'!$B$5:$B$7,MATCH($N118,'参数'!$A$5:$A$7,0)),"")</x:f>
        <x:v>1</x:v>
      </x:c>
      <x:c r="Y118" s="4" t="n">
        <x:f>IFERROR(INDEX('参数'!$C$5:$C$7,MATCH($N118,'参数'!$A$5:$A$7,0)),"")</x:f>
        <x:v>1.2</x:v>
      </x:c>
      <x:c r="Z118" s="4" t="n">
        <x:f>IFERROR(INDEX('参数'!$D$5:$D$7,MATCH($N118,'参数'!$A$5:$A$7,0)),"")</x:f>
        <x:v>1</x:v>
      </x:c>
      <x:c r="AA118" s="4" t="n">
        <x:f>IFERROR(INDEX('楼层配置'!$E$5:$E$104,MATCH($K118,'楼层配置'!$B$5:$B$104,0)),1)</x:f>
        <x:v>1.1455861640222549</x:v>
      </x:c>
      <x:c r="AB118" s="4" t="n">
        <x:f>IFERROR(INDEX('楼层配置'!$F$5:$F$104,MATCH($K118,'楼层配置'!$B$5:$B$104,0)),1)</x:f>
        <x:v>0.6932729741666585</x:v>
      </x:c>
      <x:c r="AC118" s="4" t="n">
        <x:f>IFERROR(INDEX('楼层配置'!$G$5:$G$104,MATCH($K118,'楼层配置'!$B$5:$B$104,0)),1)</x:f>
        <x:v>1</x:v>
      </x:c>
      <x:c r="AD118" s="6" t="n">
        <x:f t="shared" si="10">IFERROR($D118/$G118-1,"")</x:f>
        <x:v>-0.14562226446021587</x:v>
      </x:c>
      <x:c r="AE118" s="6" t="n">
        <x:f t="shared" si="11">IFERROR($E118/$H118-1,"")</x:f>
        <x:v>-0.15369146796897448</x:v>
      </x:c>
      <x:c r="AF118" s="6" t="n">
        <x:f t="shared" si="12">IFERROR($F118/$I118-1,"")</x:f>
        <x:v>0.31781101291638336</x:v>
      </x:c>
      <x:c r="AG118" s="4" t="str">
        <x:f t="shared" si="13">IF(AND($A118&gt;=1,$L118&gt;=1,$L118&lt;=500,OR($N118="Tank",$N118="DPS",$N118="Support"),ISNUMBER($D118),ISNUMBER($E118),ISNUMBER($F118)),"有效","异常")</x:f>
        <x:v>有效</x:v>
      </x:c>
      <x:c r="AH118" t="n">
        <x:f>D118/(1-MIN(0.75,F118/(24000+F118)))</x:f>
        <x:v>194477.37300000002</x:v>
      </x:c>
    </x:row>
    <x:row r="119" ht="14.25" customHeight="1">
      <x:c r="A119" s="4">
        <x:v>115</x:v>
      </x:c>
      <x:c r="B119" s="4">
        <x:v>1012</x:v>
      </x:c>
      <x:c r="C119" s="4">
        <x:v>21</x:v>
      </x:c>
      <x:c r="D119" s="5" t="n">
        <x:f>IFERROR(ROUND($U119*$X119*$AA119*'参数'!$B$13,0),"")</x:f>
        <x:v>183735</x:v>
      </x:c>
      <x:c r="E119" s="5" t="n">
        <x:f>IFERROR(ROUND($V119*$Y119*$AB119*'参数'!$C$13,0),"")</x:f>
        <x:v>4910</x:v>
      </x:c>
      <x:c r="F119" s="5" t="n">
        <x:f>IFERROR(ROUND($W119*$Z119*$AC119*'参数'!$D$13,0),"")</x:f>
        <x:v>9693</x:v>
      </x:c>
      <x:c r="G119" s="4">
        <x:v>215052</x:v>
      </x:c>
      <x:c r="H119" s="4">
        <x:v>5802</x:v>
      </x:c>
      <x:c r="I119" s="4">
        <x:v>7355</x:v>
      </x:c>
      <x:c r="J119" s="4">
        <x:v>23</x:v>
      </x:c>
      <x:c r="K119" s="4">
        <x:v>23</x:v>
      </x:c>
      <x:c r="L119" s="4" t="n">
        <x:f>IFERROR(INDEX('楼层配置'!$D$5:$D$104,MATCH($K119,'楼层配置'!$B$5:$B$104,0)),"")</x:f>
        <x:v>92</x:v>
      </x:c>
      <x:c r="M119" s="4" t="str">
        <x:f>IFERROR(INDEX('_角色基线'!$B$2:$B$100,MATCH($B119,'_角色基线'!$A$2:$A$100,0)),"")</x:f>
        <x:v>艾德琳</x:v>
      </x:c>
      <x:c r="N119" s="4" t="str">
        <x:f>IFERROR(INDEX('_角色基线'!$C$2:$C$100,MATCH($B119,'_角色基线'!$A$2:$A$100,0)),"")</x:f>
        <x:v>Support</x:v>
      </x:c>
      <x:c r="O119" s="4" t="n">
        <x:f>IFERROR(INDEX('_怪物基线'!$B$2:$B$501,MATCH(INT($L119),'_怪物基线'!$A$2:$A$501,0)),"")</x:f>
        <x:v>32077</x:v>
      </x:c>
      <x:c r="P119" s="4" t="n">
        <x:f>IFERROR(INDEX('_怪物基线'!$C$2:$C$501,MATCH(INT($L119),'_怪物基线'!$A$2:$A$501,0)),"")</x:f>
        <x:v>5902</x:v>
      </x:c>
      <x:c r="Q119" s="4" t="n">
        <x:f>IFERROR(INDEX('_怪物基线'!$D$2:$D$501,MATCH(INT($L119),'_怪物基线'!$A$2:$A$501,0)),"")</x:f>
        <x:v>7754</x:v>
      </x:c>
      <x:c r="R119" s="4" t="n">
        <x:f>'参数'!$B$10</x:f>
        <x:v>4</x:v>
      </x:c>
      <x:c r="S119" s="4" t="n">
        <x:f>'参数'!$C$10</x:f>
        <x:v>1.2</x:v>
      </x:c>
      <x:c r="T119" s="4" t="n">
        <x:f>'参数'!$D$10</x:f>
        <x:v>1</x:v>
      </x:c>
      <x:c r="U119" s="4" t="n">
        <x:f t="shared" si="7">IF($O119="","",$O119*$R119)</x:f>
        <x:v>128308</x:v>
      </x:c>
      <x:c r="V119" s="4" t="n">
        <x:f t="shared" si="8">IF($P119="","",$P119*$S119)</x:f>
        <x:v>7082.4</x:v>
      </x:c>
      <x:c r="W119" s="4" t="n">
        <x:f t="shared" si="9">IF($Q119="","",$Q119*$T119)</x:f>
        <x:v>7754</x:v>
      </x:c>
      <x:c r="X119" s="4" t="n">
        <x:f>IFERROR(INDEX('参数'!$B$5:$B$7,MATCH($N119,'参数'!$A$5:$A$7,0)),"")</x:f>
        <x:v>1.25</x:v>
      </x:c>
      <x:c r="Y119" s="4" t="n">
        <x:f>IFERROR(INDEX('参数'!$C$5:$C$7,MATCH($N119,'参数'!$A$5:$A$7,0)),"")</x:f>
        <x:v>1</x:v>
      </x:c>
      <x:c r="Z119" s="4" t="n">
        <x:f>IFERROR(INDEX('参数'!$D$5:$D$7,MATCH($N119,'参数'!$A$5:$A$7,0)),"")</x:f>
        <x:v>1.25</x:v>
      </x:c>
      <x:c r="AA119" s="4" t="n">
        <x:f>IFERROR(INDEX('楼层配置'!$E$5:$E$104,MATCH($K119,'楼层配置'!$B$5:$B$104,0)),1)</x:f>
        <x:v>1.1455861640222549</x:v>
      </x:c>
      <x:c r="AB119" s="4" t="n">
        <x:f>IFERROR(INDEX('楼层配置'!$F$5:$F$104,MATCH($K119,'楼层配置'!$B$5:$B$104,0)),1)</x:f>
        <x:v>0.6932729741666585</x:v>
      </x:c>
      <x:c r="AC119" s="4" t="n">
        <x:f>IFERROR(INDEX('楼层配置'!$G$5:$G$104,MATCH($K119,'楼层配置'!$B$5:$B$104,0)),1)</x:f>
        <x:v>1</x:v>
      </x:c>
      <x:c r="AD119" s="6" t="n">
        <x:f t="shared" si="10">IFERROR($D119/$G119-1,"")</x:f>
        <x:v>-0.14562524412700184</x:v>
      </x:c>
      <x:c r="AE119" s="6" t="n">
        <x:f t="shared" si="11">IFERROR($E119/$H119-1,"")</x:f>
        <x:v>-0.15374008962426744</x:v>
      </x:c>
      <x:c r="AF119" s="6" t="n">
        <x:f t="shared" si="12">IFERROR($F119/$I119-1,"")</x:f>
        <x:v>0.31787899388171303</x:v>
      </x:c>
      <x:c r="AG119" s="4" t="str">
        <x:f t="shared" si="13">IF(AND($A119&gt;=1,$L119&gt;=1,$L119&lt;=500,OR($N119="Tank",$N119="DPS",$N119="Support"),ISNUMBER($D119),ISNUMBER($E119),ISNUMBER($F119)),"有效","异常")</x:f>
        <x:v>有效</x:v>
      </x:c>
      <x:c r="AH119" t="n">
        <x:f>D119/(1-MIN(0.75,F119/(24000+F119)))</x:f>
        <x:v>257940.97312500002</x:v>
      </x:c>
    </x:row>
    <x:row r="120" ht="14.25" customHeight="1">
      <x:c r="A120" s="4">
        <x:v>116</x:v>
      </x:c>
      <x:c r="B120" s="4">
        <x:v>1002</x:v>
      </x:c>
      <x:c r="C120" s="4">
        <x:v>22</x:v>
      </x:c>
      <x:c r="D120" s="5" t="n">
        <x:f>IFERROR(ROUND($U120*$X120*$AA120*'参数'!$B$13,0),"")</x:f>
        <x:v>242233</x:v>
      </x:c>
      <x:c r="E120" s="5" t="n">
        <x:f>IFERROR(ROUND($V120*$Y120*$AB120*'参数'!$C$13,0),"")</x:f>
        <x:v>5202</x:v>
      </x:c>
      <x:c r="F120" s="5" t="n">
        <x:f>IFERROR(ROUND($W120*$Z120*$AC120*'参数'!$D$13,0),"")</x:f>
        <x:v>12203</x:v>
      </x:c>
      <x:c r="G120" s="4">
        <x:v>277228</x:v>
      </x:c>
      <x:c r="H120" s="4">
        <x:v>6083</x:v>
      </x:c>
      <x:c r="I120" s="4">
        <x:v>9213</x:v>
      </x:c>
      <x:c r="J120" s="4">
        <x:v>24</x:v>
      </x:c>
      <x:c r="K120" s="4">
        <x:v>24</x:v>
      </x:c>
      <x:c r="L120" s="4" t="n">
        <x:f>IFERROR(INDEX('楼层配置'!$D$5:$D$104,MATCH($K120,'楼层配置'!$B$5:$B$104,0)),"")</x:f>
        <x:v>96</x:v>
      </x:c>
      <x:c r="M120" s="4" t="str">
        <x:f>IFERROR(INDEX('_角色基线'!$B$2:$B$100,MATCH($B120,'_角色基线'!$A$2:$A$100,0)),"")</x:f>
        <x:v>大暑</x:v>
      </x:c>
      <x:c r="N120" s="4" t="str">
        <x:f>IFERROR(INDEX('_角色基线'!$C$2:$C$100,MATCH($B120,'_角色基线'!$A$2:$A$100,0)),"")</x:f>
        <x:v>Tank</x:v>
      </x:c>
      <x:c r="O120" s="4" t="n">
        <x:f>IFERROR(INDEX('_怪物基线'!$B$2:$B$501,MATCH(INT($L120),'_怪物基线'!$A$2:$A$501,0)),"")</x:f>
        <x:v>34722</x:v>
      </x:c>
      <x:c r="P120" s="4" t="n">
        <x:f>IFERROR(INDEX('_怪物基线'!$C$2:$C$501,MATCH(INT($L120),'_怪物基线'!$A$2:$A$501,0)),"")</x:f>
        <x:v>6257</x:v>
      </x:c>
      <x:c r="Q120" s="4" t="n">
        <x:f>IFERROR(INDEX('_怪物基线'!$D$2:$D$501,MATCH(INT($L120),'_怪物基线'!$A$2:$A$501,0)),"")</x:f>
        <x:v>8135</x:v>
      </x:c>
      <x:c r="R120" s="4" t="n">
        <x:f>'参数'!$B$10</x:f>
        <x:v>4</x:v>
      </x:c>
      <x:c r="S120" s="4" t="n">
        <x:f>'参数'!$C$10</x:f>
        <x:v>1.2</x:v>
      </x:c>
      <x:c r="T120" s="4" t="n">
        <x:f>'参数'!$D$10</x:f>
        <x:v>1</x:v>
      </x:c>
      <x:c r="U120" s="4" t="n">
        <x:f t="shared" si="7">IF($O120="","",$O120*$R120)</x:f>
        <x:v>138888</x:v>
      </x:c>
      <x:c r="V120" s="4" t="n">
        <x:f t="shared" si="8">IF($P120="","",$P120*$S120)</x:f>
        <x:v>7508.4</x:v>
      </x:c>
      <x:c r="W120" s="4" t="n">
        <x:f t="shared" si="9">IF($Q120="","",$Q120*$T120)</x:f>
        <x:v>8135</x:v>
      </x:c>
      <x:c r="X120" s="4" t="n">
        <x:f>IFERROR(INDEX('参数'!$B$5:$B$7,MATCH($N120,'参数'!$A$5:$A$7,0)),"")</x:f>
        <x:v>1.5</x:v>
      </x:c>
      <x:c r="Y120" s="4" t="n">
        <x:f>IFERROR(INDEX('参数'!$C$5:$C$7,MATCH($N120,'参数'!$A$5:$A$7,0)),"")</x:f>
        <x:v>1</x:v>
      </x:c>
      <x:c r="Z120" s="4" t="n">
        <x:f>IFERROR(INDEX('参数'!$D$5:$D$7,MATCH($N120,'参数'!$A$5:$A$7,0)),"")</x:f>
        <x:v>1.5</x:v>
      </x:c>
      <x:c r="AA120" s="4" t="n">
        <x:f>IFERROR(INDEX('楼层配置'!$E$5:$E$104,MATCH($K120,'楼层配置'!$B$5:$B$104,0)),1)</x:f>
        <x:v>1.1627277997345378</x:v>
      </x:c>
      <x:c r="AB120" s="4" t="n">
        <x:f>IFERROR(INDEX('楼层配置'!$F$5:$F$104,MATCH($K120,'楼层配置'!$B$5:$B$104,0)),1)</x:f>
        <x:v>0.6927914635292687</x:v>
      </x:c>
      <x:c r="AC120" s="4" t="n">
        <x:f>IFERROR(INDEX('楼层配置'!$G$5:$G$104,MATCH($K120,'楼层配置'!$B$5:$B$104,0)),1)</x:f>
        <x:v>1</x:v>
      </x:c>
      <x:c r="AD120" s="6" t="n">
        <x:f t="shared" si="10">IFERROR($D120/$G120-1,"")</x:f>
        <x:v>-0.12623183805387628</x:v>
      </x:c>
      <x:c r="AE120" s="6" t="n">
        <x:f t="shared" si="11">IFERROR($E120/$H120-1,"")</x:f>
        <x:v>-0.1448298536906132</x:v>
      </x:c>
      <x:c r="AF120" s="6" t="n">
        <x:f t="shared" si="12">IFERROR($F120/$I120-1,"")</x:f>
        <x:v>0.3245414088787584</x:v>
      </x:c>
      <x:c r="AG120" s="4" t="str">
        <x:f t="shared" si="13">IF(AND($A120&gt;=1,$L120&gt;=1,$L120&lt;=500,OR($N120="Tank",$N120="DPS",$N120="Support"),ISNUMBER($D120),ISNUMBER($E120),ISNUMBER($F120)),"有效","异常")</x:f>
        <x:v>有效</x:v>
      </x:c>
      <x:c r="AH120" t="n">
        <x:f>D120/(1-MIN(0.75,F120/(24000+F120)))</x:f>
        <x:v>365398.3874583334</x:v>
      </x:c>
    </x:row>
    <x:row r="121" ht="14.25" customHeight="1">
      <x:c r="A121" s="4">
        <x:v>117</x:v>
      </x:c>
      <x:c r="B121" s="4">
        <x:v>1018</x:v>
      </x:c>
      <x:c r="C121" s="4">
        <x:v>22</x:v>
      </x:c>
      <x:c r="D121" s="5" t="n">
        <x:f>IFERROR(ROUND($U121*$X121*$AA121*'参数'!$B$13,0),"")</x:f>
        <x:v>201861</x:v>
      </x:c>
      <x:c r="E121" s="5" t="n">
        <x:f>IFERROR(ROUND($V121*$Y121*$AB121*'参数'!$C$13,0),"")</x:f>
        <x:v>5202</x:v>
      </x:c>
      <x:c r="F121" s="5" t="n">
        <x:f>IFERROR(ROUND($W121*$Z121*$AC121*'参数'!$D$13,0),"")</x:f>
        <x:v>10169</x:v>
      </x:c>
      <x:c r="G121" s="4">
        <x:v>231024</x:v>
      </x:c>
      <x:c r="H121" s="4">
        <x:v>6083</x:v>
      </x:c>
      <x:c r="I121" s="4">
        <x:v>7678</x:v>
      </x:c>
      <x:c r="J121" s="4">
        <x:v>24</x:v>
      </x:c>
      <x:c r="K121" s="4">
        <x:v>24</x:v>
      </x:c>
      <x:c r="L121" s="4" t="n">
        <x:f>IFERROR(INDEX('楼层配置'!$D$5:$D$104,MATCH($K121,'楼层配置'!$B$5:$B$104,0)),"")</x:f>
        <x:v>96</x:v>
      </x:c>
      <x:c r="M121" s="4" t="str">
        <x:f>IFERROR(INDEX('_角色基线'!$B$2:$B$100,MATCH($B121,'_角色基线'!$A$2:$A$100,0)),"")</x:f>
        <x:v>埃莉诺</x:v>
      </x:c>
      <x:c r="N121" s="4" t="str">
        <x:f>IFERROR(INDEX('_角色基线'!$C$2:$C$100,MATCH($B121,'_角色基线'!$A$2:$A$100,0)),"")</x:f>
        <x:v>Support</x:v>
      </x:c>
      <x:c r="O121" s="4" t="n">
        <x:f>IFERROR(INDEX('_怪物基线'!$B$2:$B$501,MATCH(INT($L121),'_怪物基线'!$A$2:$A$501,0)),"")</x:f>
        <x:v>34722</x:v>
      </x:c>
      <x:c r="P121" s="4" t="n">
        <x:f>IFERROR(INDEX('_怪物基线'!$C$2:$C$501,MATCH(INT($L121),'_怪物基线'!$A$2:$A$501,0)),"")</x:f>
        <x:v>6257</x:v>
      </x:c>
      <x:c r="Q121" s="4" t="n">
        <x:f>IFERROR(INDEX('_怪物基线'!$D$2:$D$501,MATCH(INT($L121),'_怪物基线'!$A$2:$A$501,0)),"")</x:f>
        <x:v>8135</x:v>
      </x:c>
      <x:c r="R121" s="4" t="n">
        <x:f>'参数'!$B$10</x:f>
        <x:v>4</x:v>
      </x:c>
      <x:c r="S121" s="4" t="n">
        <x:f>'参数'!$C$10</x:f>
        <x:v>1.2</x:v>
      </x:c>
      <x:c r="T121" s="4" t="n">
        <x:f>'参数'!$D$10</x:f>
        <x:v>1</x:v>
      </x:c>
      <x:c r="U121" s="4" t="n">
        <x:f t="shared" si="7">IF($O121="","",$O121*$R121)</x:f>
        <x:v>138888</x:v>
      </x:c>
      <x:c r="V121" s="4" t="n">
        <x:f t="shared" si="8">IF($P121="","",$P121*$S121)</x:f>
        <x:v>7508.4</x:v>
      </x:c>
      <x:c r="W121" s="4" t="n">
        <x:f t="shared" si="9">IF($Q121="","",$Q121*$T121)</x:f>
        <x:v>8135</x:v>
      </x:c>
      <x:c r="X121" s="4" t="n">
        <x:f>IFERROR(INDEX('参数'!$B$5:$B$7,MATCH($N121,'参数'!$A$5:$A$7,0)),"")</x:f>
        <x:v>1.25</x:v>
      </x:c>
      <x:c r="Y121" s="4" t="n">
        <x:f>IFERROR(INDEX('参数'!$C$5:$C$7,MATCH($N121,'参数'!$A$5:$A$7,0)),"")</x:f>
        <x:v>1</x:v>
      </x:c>
      <x:c r="Z121" s="4" t="n">
        <x:f>IFERROR(INDEX('参数'!$D$5:$D$7,MATCH($N121,'参数'!$A$5:$A$7,0)),"")</x:f>
        <x:v>1.25</x:v>
      </x:c>
      <x:c r="AA121" s="4" t="n">
        <x:f>IFERROR(INDEX('楼层配置'!$E$5:$E$104,MATCH($K121,'楼层配置'!$B$5:$B$104,0)),1)</x:f>
        <x:v>1.1627277997345378</x:v>
      </x:c>
      <x:c r="AB121" s="4" t="n">
        <x:f>IFERROR(INDEX('楼层配置'!$F$5:$F$104,MATCH($K121,'楼层配置'!$B$5:$B$104,0)),1)</x:f>
        <x:v>0.6927914635292687</x:v>
      </x:c>
      <x:c r="AC121" s="4" t="n">
        <x:f>IFERROR(INDEX('楼层配置'!$G$5:$G$104,MATCH($K121,'楼层配置'!$B$5:$B$104,0)),1)</x:f>
        <x:v>1</x:v>
      </x:c>
      <x:c r="AD121" s="6" t="n">
        <x:f t="shared" si="10">IFERROR($D121/$G121-1,"")</x:f>
        <x:v>-0.1262336380635778</x:v>
      </x:c>
      <x:c r="AE121" s="6" t="n">
        <x:f t="shared" si="11">IFERROR($E121/$H121-1,"")</x:f>
        <x:v>-0.1448298536906132</x:v>
      </x:c>
      <x:c r="AF121" s="6" t="n">
        <x:f t="shared" si="12">IFERROR($F121/$I121-1,"")</x:f>
        <x:v>0.3244334462099505</x:v>
      </x:c>
      <x:c r="AG121" s="4" t="str">
        <x:f t="shared" si="13">IF(AND($A121&gt;=1,$L121&gt;=1,$L121&lt;=500,OR($N121="Tank",$N121="DPS",$N121="Support"),ISNUMBER($D121),ISNUMBER($E121),ISNUMBER($F121)),"有效","异常")</x:f>
        <x:v>有效</x:v>
      </x:c>
      <x:c r="AH121" t="n">
        <x:f>D121/(1-MIN(0.75,F121/(24000+F121)))</x:f>
        <x:v>287391.18787499995</x:v>
      </x:c>
    </x:row>
    <x:row r="122" ht="14.25" customHeight="1">
      <x:c r="A122" s="4">
        <x:v>118</x:v>
      </x:c>
      <x:c r="B122" s="4">
        <x:v>1015</x:v>
      </x:c>
      <x:c r="C122" s="4">
        <x:v>22</x:v>
      </x:c>
      <x:c r="D122" s="5" t="n">
        <x:f>IFERROR(ROUND($U122*$X122*$AA122*'参数'!$B$13,0),"")</x:f>
        <x:v>201861</x:v>
      </x:c>
      <x:c r="E122" s="5" t="n">
        <x:f>IFERROR(ROUND($V122*$Y122*$AB122*'参数'!$C$13,0),"")</x:f>
        <x:v>5202</x:v>
      </x:c>
      <x:c r="F122" s="5" t="n">
        <x:f>IFERROR(ROUND($W122*$Z122*$AC122*'参数'!$D$13,0),"")</x:f>
        <x:v>10169</x:v>
      </x:c>
      <x:c r="G122" s="4">
        <x:v>231024</x:v>
      </x:c>
      <x:c r="H122" s="4">
        <x:v>6083</x:v>
      </x:c>
      <x:c r="I122" s="4">
        <x:v>7678</x:v>
      </x:c>
      <x:c r="J122" s="4">
        <x:v>24</x:v>
      </x:c>
      <x:c r="K122" s="4">
        <x:v>24</x:v>
      </x:c>
      <x:c r="L122" s="4" t="n">
        <x:f>IFERROR(INDEX('楼层配置'!$D$5:$D$104,MATCH($K122,'楼层配置'!$B$5:$B$104,0)),"")</x:f>
        <x:v>96</x:v>
      </x:c>
      <x:c r="M122" s="4" t="str">
        <x:f>IFERROR(INDEX('_角色基线'!$B$2:$B$100,MATCH($B122,'_角色基线'!$A$2:$A$100,0)),"")</x:f>
        <x:v>阿莱克西娅</x:v>
      </x:c>
      <x:c r="N122" s="4" t="str">
        <x:f>IFERROR(INDEX('_角色基线'!$C$2:$C$100,MATCH($B122,'_角色基线'!$A$2:$A$100,0)),"")</x:f>
        <x:v>Support</x:v>
      </x:c>
      <x:c r="O122" s="4" t="n">
        <x:f>IFERROR(INDEX('_怪物基线'!$B$2:$B$501,MATCH(INT($L122),'_怪物基线'!$A$2:$A$501,0)),"")</x:f>
        <x:v>34722</x:v>
      </x:c>
      <x:c r="P122" s="4" t="n">
        <x:f>IFERROR(INDEX('_怪物基线'!$C$2:$C$501,MATCH(INT($L122),'_怪物基线'!$A$2:$A$501,0)),"")</x:f>
        <x:v>6257</x:v>
      </x:c>
      <x:c r="Q122" s="4" t="n">
        <x:f>IFERROR(INDEX('_怪物基线'!$D$2:$D$501,MATCH(INT($L122),'_怪物基线'!$A$2:$A$501,0)),"")</x:f>
        <x:v>8135</x:v>
      </x:c>
      <x:c r="R122" s="4" t="n">
        <x:f>'参数'!$B$10</x:f>
        <x:v>4</x:v>
      </x:c>
      <x:c r="S122" s="4" t="n">
        <x:f>'参数'!$C$10</x:f>
        <x:v>1.2</x:v>
      </x:c>
      <x:c r="T122" s="4" t="n">
        <x:f>'参数'!$D$10</x:f>
        <x:v>1</x:v>
      </x:c>
      <x:c r="U122" s="4" t="n">
        <x:f t="shared" si="7">IF($O122="","",$O122*$R122)</x:f>
        <x:v>138888</x:v>
      </x:c>
      <x:c r="V122" s="4" t="n">
        <x:f t="shared" si="8">IF($P122="","",$P122*$S122)</x:f>
        <x:v>7508.4</x:v>
      </x:c>
      <x:c r="W122" s="4" t="n">
        <x:f t="shared" si="9">IF($Q122="","",$Q122*$T122)</x:f>
        <x:v>8135</x:v>
      </x:c>
      <x:c r="X122" s="4" t="n">
        <x:f>IFERROR(INDEX('参数'!$B$5:$B$7,MATCH($N122,'参数'!$A$5:$A$7,0)),"")</x:f>
        <x:v>1.25</x:v>
      </x:c>
      <x:c r="Y122" s="4" t="n">
        <x:f>IFERROR(INDEX('参数'!$C$5:$C$7,MATCH($N122,'参数'!$A$5:$A$7,0)),"")</x:f>
        <x:v>1</x:v>
      </x:c>
      <x:c r="Z122" s="4" t="n">
        <x:f>IFERROR(INDEX('参数'!$D$5:$D$7,MATCH($N122,'参数'!$A$5:$A$7,0)),"")</x:f>
        <x:v>1.25</x:v>
      </x:c>
      <x:c r="AA122" s="4" t="n">
        <x:f>IFERROR(INDEX('楼层配置'!$E$5:$E$104,MATCH($K122,'楼层配置'!$B$5:$B$104,0)),1)</x:f>
        <x:v>1.1627277997345378</x:v>
      </x:c>
      <x:c r="AB122" s="4" t="n">
        <x:f>IFERROR(INDEX('楼层配置'!$F$5:$F$104,MATCH($K122,'楼层配置'!$B$5:$B$104,0)),1)</x:f>
        <x:v>0.6927914635292687</x:v>
      </x:c>
      <x:c r="AC122" s="4" t="n">
        <x:f>IFERROR(INDEX('楼层配置'!$G$5:$G$104,MATCH($K122,'楼层配置'!$B$5:$B$104,0)),1)</x:f>
        <x:v>1</x:v>
      </x:c>
      <x:c r="AD122" s="6" t="n">
        <x:f t="shared" si="10">IFERROR($D122/$G122-1,"")</x:f>
        <x:v>-0.1262336380635778</x:v>
      </x:c>
      <x:c r="AE122" s="6" t="n">
        <x:f t="shared" si="11">IFERROR($E122/$H122-1,"")</x:f>
        <x:v>-0.1448298536906132</x:v>
      </x:c>
      <x:c r="AF122" s="6" t="n">
        <x:f t="shared" si="12">IFERROR($F122/$I122-1,"")</x:f>
        <x:v>0.3244334462099505</x:v>
      </x:c>
      <x:c r="AG122" s="4" t="str">
        <x:f t="shared" si="13">IF(AND($A122&gt;=1,$L122&gt;=1,$L122&lt;=500,OR($N122="Tank",$N122="DPS",$N122="Support"),ISNUMBER($D122),ISNUMBER($E122),ISNUMBER($F122)),"有效","异常")</x:f>
        <x:v>有效</x:v>
      </x:c>
      <x:c r="AH122" t="n">
        <x:f>D122/(1-MIN(0.75,F122/(24000+F122)))</x:f>
        <x:v>287391.18787499995</x:v>
      </x:c>
    </x:row>
    <x:row r="123" ht="14.25" customHeight="1">
      <x:c r="A123" s="4">
        <x:v>119</x:v>
      </x:c>
      <x:c r="B123" s="4">
        <x:v>1018</x:v>
      </x:c>
      <x:c r="C123" s="4">
        <x:v>22</x:v>
      </x:c>
      <x:c r="D123" s="5" t="n">
        <x:f>IFERROR(ROUND($U123*$X123*$AA123*'参数'!$B$13,0),"")</x:f>
        <x:v>201861</x:v>
      </x:c>
      <x:c r="E123" s="5" t="n">
        <x:f>IFERROR(ROUND($V123*$Y123*$AB123*'参数'!$C$13,0),"")</x:f>
        <x:v>5202</x:v>
      </x:c>
      <x:c r="F123" s="5" t="n">
        <x:f>IFERROR(ROUND($W123*$Z123*$AC123*'参数'!$D$13,0),"")</x:f>
        <x:v>10169</x:v>
      </x:c>
      <x:c r="G123" s="4">
        <x:v>231024</x:v>
      </x:c>
      <x:c r="H123" s="4">
        <x:v>6083</x:v>
      </x:c>
      <x:c r="I123" s="4">
        <x:v>7678</x:v>
      </x:c>
      <x:c r="J123" s="4">
        <x:v>24</x:v>
      </x:c>
      <x:c r="K123" s="4">
        <x:v>24</x:v>
      </x:c>
      <x:c r="L123" s="4" t="n">
        <x:f>IFERROR(INDEX('楼层配置'!$D$5:$D$104,MATCH($K123,'楼层配置'!$B$5:$B$104,0)),"")</x:f>
        <x:v>96</x:v>
      </x:c>
      <x:c r="M123" s="4" t="str">
        <x:f>IFERROR(INDEX('_角色基线'!$B$2:$B$100,MATCH($B123,'_角色基线'!$A$2:$A$100,0)),"")</x:f>
        <x:v>埃莉诺</x:v>
      </x:c>
      <x:c r="N123" s="4" t="str">
        <x:f>IFERROR(INDEX('_角色基线'!$C$2:$C$100,MATCH($B123,'_角色基线'!$A$2:$A$100,0)),"")</x:f>
        <x:v>Support</x:v>
      </x:c>
      <x:c r="O123" s="4" t="n">
        <x:f>IFERROR(INDEX('_怪物基线'!$B$2:$B$501,MATCH(INT($L123),'_怪物基线'!$A$2:$A$501,0)),"")</x:f>
        <x:v>34722</x:v>
      </x:c>
      <x:c r="P123" s="4" t="n">
        <x:f>IFERROR(INDEX('_怪物基线'!$C$2:$C$501,MATCH(INT($L123),'_怪物基线'!$A$2:$A$501,0)),"")</x:f>
        <x:v>6257</x:v>
      </x:c>
      <x:c r="Q123" s="4" t="n">
        <x:f>IFERROR(INDEX('_怪物基线'!$D$2:$D$501,MATCH(INT($L123),'_怪物基线'!$A$2:$A$501,0)),"")</x:f>
        <x:v>8135</x:v>
      </x:c>
      <x:c r="R123" s="4" t="n">
        <x:f>'参数'!$B$10</x:f>
        <x:v>4</x:v>
      </x:c>
      <x:c r="S123" s="4" t="n">
        <x:f>'参数'!$C$10</x:f>
        <x:v>1.2</x:v>
      </x:c>
      <x:c r="T123" s="4" t="n">
        <x:f>'参数'!$D$10</x:f>
        <x:v>1</x:v>
      </x:c>
      <x:c r="U123" s="4" t="n">
        <x:f t="shared" si="7">IF($O123="","",$O123*$R123)</x:f>
        <x:v>138888</x:v>
      </x:c>
      <x:c r="V123" s="4" t="n">
        <x:f t="shared" si="8">IF($P123="","",$P123*$S123)</x:f>
        <x:v>7508.4</x:v>
      </x:c>
      <x:c r="W123" s="4" t="n">
        <x:f t="shared" si="9">IF($Q123="","",$Q123*$T123)</x:f>
        <x:v>8135</x:v>
      </x:c>
      <x:c r="X123" s="4" t="n">
        <x:f>IFERROR(INDEX('参数'!$B$5:$B$7,MATCH($N123,'参数'!$A$5:$A$7,0)),"")</x:f>
        <x:v>1.25</x:v>
      </x:c>
      <x:c r="Y123" s="4" t="n">
        <x:f>IFERROR(INDEX('参数'!$C$5:$C$7,MATCH($N123,'参数'!$A$5:$A$7,0)),"")</x:f>
        <x:v>1</x:v>
      </x:c>
      <x:c r="Z123" s="4" t="n">
        <x:f>IFERROR(INDEX('参数'!$D$5:$D$7,MATCH($N123,'参数'!$A$5:$A$7,0)),"")</x:f>
        <x:v>1.25</x:v>
      </x:c>
      <x:c r="AA123" s="4" t="n">
        <x:f>IFERROR(INDEX('楼层配置'!$E$5:$E$104,MATCH($K123,'楼层配置'!$B$5:$B$104,0)),1)</x:f>
        <x:v>1.1627277997345378</x:v>
      </x:c>
      <x:c r="AB123" s="4" t="n">
        <x:f>IFERROR(INDEX('楼层配置'!$F$5:$F$104,MATCH($K123,'楼层配置'!$B$5:$B$104,0)),1)</x:f>
        <x:v>0.6927914635292687</x:v>
      </x:c>
      <x:c r="AC123" s="4" t="n">
        <x:f>IFERROR(INDEX('楼层配置'!$G$5:$G$104,MATCH($K123,'楼层配置'!$B$5:$B$104,0)),1)</x:f>
        <x:v>1</x:v>
      </x:c>
      <x:c r="AD123" s="6" t="n">
        <x:f t="shared" si="10">IFERROR($D123/$G123-1,"")</x:f>
        <x:v>-0.1262336380635778</x:v>
      </x:c>
      <x:c r="AE123" s="6" t="n">
        <x:f t="shared" si="11">IFERROR($E123/$H123-1,"")</x:f>
        <x:v>-0.1448298536906132</x:v>
      </x:c>
      <x:c r="AF123" s="6" t="n">
        <x:f t="shared" si="12">IFERROR($F123/$I123-1,"")</x:f>
        <x:v>0.3244334462099505</x:v>
      </x:c>
      <x:c r="AG123" s="4" t="str">
        <x:f t="shared" si="13">IF(AND($A123&gt;=1,$L123&gt;=1,$L123&lt;=500,OR($N123="Tank",$N123="DPS",$N123="Support"),ISNUMBER($D123),ISNUMBER($E123),ISNUMBER($F123)),"有效","异常")</x:f>
        <x:v>有效</x:v>
      </x:c>
      <x:c r="AH123" t="n">
        <x:f>D123/(1-MIN(0.75,F123/(24000+F123)))</x:f>
        <x:v>287391.18787499995</x:v>
      </x:c>
    </x:row>
    <x:row r="124" ht="14.25" customHeight="1">
      <x:c r="A124" s="4">
        <x:v>120</x:v>
      </x:c>
      <x:c r="B124" s="4">
        <x:v>1012</x:v>
      </x:c>
      <x:c r="C124" s="4">
        <x:v>22</x:v>
      </x:c>
      <x:c r="D124" s="5" t="n">
        <x:f>IFERROR(ROUND($U124*$X124*$AA124*'参数'!$B$13,0),"")</x:f>
        <x:v>201861</x:v>
      </x:c>
      <x:c r="E124" s="5" t="n">
        <x:f>IFERROR(ROUND($V124*$Y124*$AB124*'参数'!$C$13,0),"")</x:f>
        <x:v>5202</x:v>
      </x:c>
      <x:c r="F124" s="5" t="n">
        <x:f>IFERROR(ROUND($W124*$Z124*$AC124*'参数'!$D$13,0),"")</x:f>
        <x:v>10169</x:v>
      </x:c>
      <x:c r="G124" s="4">
        <x:v>231024</x:v>
      </x:c>
      <x:c r="H124" s="4">
        <x:v>6083</x:v>
      </x:c>
      <x:c r="I124" s="4">
        <x:v>7678</x:v>
      </x:c>
      <x:c r="J124" s="4">
        <x:v>24</x:v>
      </x:c>
      <x:c r="K124" s="4">
        <x:v>24</x:v>
      </x:c>
      <x:c r="L124" s="4" t="n">
        <x:f>IFERROR(INDEX('楼层配置'!$D$5:$D$104,MATCH($K124,'楼层配置'!$B$5:$B$104,0)),"")</x:f>
        <x:v>96</x:v>
      </x:c>
      <x:c r="M124" s="4" t="str">
        <x:f>IFERROR(INDEX('_角色基线'!$B$2:$B$100,MATCH($B124,'_角色基线'!$A$2:$A$100,0)),"")</x:f>
        <x:v>艾德琳</x:v>
      </x:c>
      <x:c r="N124" s="4" t="str">
        <x:f>IFERROR(INDEX('_角色基线'!$C$2:$C$100,MATCH($B124,'_角色基线'!$A$2:$A$100,0)),"")</x:f>
        <x:v>Support</x:v>
      </x:c>
      <x:c r="O124" s="4" t="n">
        <x:f>IFERROR(INDEX('_怪物基线'!$B$2:$B$501,MATCH(INT($L124),'_怪物基线'!$A$2:$A$501,0)),"")</x:f>
        <x:v>34722</x:v>
      </x:c>
      <x:c r="P124" s="4" t="n">
        <x:f>IFERROR(INDEX('_怪物基线'!$C$2:$C$501,MATCH(INT($L124),'_怪物基线'!$A$2:$A$501,0)),"")</x:f>
        <x:v>6257</x:v>
      </x:c>
      <x:c r="Q124" s="4" t="n">
        <x:f>IFERROR(INDEX('_怪物基线'!$D$2:$D$501,MATCH(INT($L124),'_怪物基线'!$A$2:$A$501,0)),"")</x:f>
        <x:v>8135</x:v>
      </x:c>
      <x:c r="R124" s="4" t="n">
        <x:f>'参数'!$B$10</x:f>
        <x:v>4</x:v>
      </x:c>
      <x:c r="S124" s="4" t="n">
        <x:f>'参数'!$C$10</x:f>
        <x:v>1.2</x:v>
      </x:c>
      <x:c r="T124" s="4" t="n">
        <x:f>'参数'!$D$10</x:f>
        <x:v>1</x:v>
      </x:c>
      <x:c r="U124" s="4" t="n">
        <x:f t="shared" si="7">IF($O124="","",$O124*$R124)</x:f>
        <x:v>138888</x:v>
      </x:c>
      <x:c r="V124" s="4" t="n">
        <x:f t="shared" si="8">IF($P124="","",$P124*$S124)</x:f>
        <x:v>7508.4</x:v>
      </x:c>
      <x:c r="W124" s="4" t="n">
        <x:f t="shared" si="9">IF($Q124="","",$Q124*$T124)</x:f>
        <x:v>8135</x:v>
      </x:c>
      <x:c r="X124" s="4" t="n">
        <x:f>IFERROR(INDEX('参数'!$B$5:$B$7,MATCH($N124,'参数'!$A$5:$A$7,0)),"")</x:f>
        <x:v>1.25</x:v>
      </x:c>
      <x:c r="Y124" s="4" t="n">
        <x:f>IFERROR(INDEX('参数'!$C$5:$C$7,MATCH($N124,'参数'!$A$5:$A$7,0)),"")</x:f>
        <x:v>1</x:v>
      </x:c>
      <x:c r="Z124" s="4" t="n">
        <x:f>IFERROR(INDEX('参数'!$D$5:$D$7,MATCH($N124,'参数'!$A$5:$A$7,0)),"")</x:f>
        <x:v>1.25</x:v>
      </x:c>
      <x:c r="AA124" s="4" t="n">
        <x:f>IFERROR(INDEX('楼层配置'!$E$5:$E$104,MATCH($K124,'楼层配置'!$B$5:$B$104,0)),1)</x:f>
        <x:v>1.1627277997345378</x:v>
      </x:c>
      <x:c r="AB124" s="4" t="n">
        <x:f>IFERROR(INDEX('楼层配置'!$F$5:$F$104,MATCH($K124,'楼层配置'!$B$5:$B$104,0)),1)</x:f>
        <x:v>0.6927914635292687</x:v>
      </x:c>
      <x:c r="AC124" s="4" t="n">
        <x:f>IFERROR(INDEX('楼层配置'!$G$5:$G$104,MATCH($K124,'楼层配置'!$B$5:$B$104,0)),1)</x:f>
        <x:v>1</x:v>
      </x:c>
      <x:c r="AD124" s="6" t="n">
        <x:f t="shared" si="10">IFERROR($D124/$G124-1,"")</x:f>
        <x:v>-0.1262336380635778</x:v>
      </x:c>
      <x:c r="AE124" s="6" t="n">
        <x:f t="shared" si="11">IFERROR($E124/$H124-1,"")</x:f>
        <x:v>-0.1448298536906132</x:v>
      </x:c>
      <x:c r="AF124" s="6" t="n">
        <x:f t="shared" si="12">IFERROR($F124/$I124-1,"")</x:f>
        <x:v>0.3244334462099505</x:v>
      </x:c>
      <x:c r="AG124" s="4" t="str">
        <x:f t="shared" si="13">IF(AND($A124&gt;=1,$L124&gt;=1,$L124&lt;=500,OR($N124="Tank",$N124="DPS",$N124="Support"),ISNUMBER($D124),ISNUMBER($E124),ISNUMBER($F124)),"有效","异常")</x:f>
        <x:v>有效</x:v>
      </x:c>
      <x:c r="AH124" t="n">
        <x:f>D124/(1-MIN(0.75,F124/(24000+F124)))</x:f>
        <x:v>287391.18787499995</x:v>
      </x:c>
    </x:row>
    <x:row r="125" ht="14.25" customHeight="1">
      <x:c r="A125" s="4">
        <x:v>121</x:v>
      </x:c>
      <x:c r="B125" s="4">
        <x:v>1002</x:v>
      </x:c>
      <x:c r="C125" s="4">
        <x:v>22</x:v>
      </x:c>
      <x:c r="D125" s="5" t="n">
        <x:f>IFERROR(ROUND($U125*$X125*$AA125*'参数'!$B$13,0),"")</x:f>
        <x:v>258695</x:v>
      </x:c>
      <x:c r="E125" s="5" t="n">
        <x:f>IFERROR(ROUND($V125*$Y125*$AB125*'参数'!$C$13,0),"")</x:f>
        <x:v>5437</x:v>
      </x:c>
      <x:c r="F125" s="5" t="n">
        <x:f>IFERROR(ROUND($W125*$Z125*$AC125*'参数'!$D$13,0),"")</x:f>
        <x:v>12779</x:v>
      </x:c>
      <x:c r="G125" s="4">
        <x:v>297316</x:v>
      </x:c>
      <x:c r="H125" s="4">
        <x:v>6370</x:v>
      </x:c>
      <x:c r="I125" s="4">
        <x:v>9606</x:v>
      </x:c>
      <x:c r="J125" s="4">
        <x:v>25</x:v>
      </x:c>
      <x:c r="K125" s="4">
        <x:v>25</x:v>
      </x:c>
      <x:c r="L125" s="4" t="n">
        <x:f>IFERROR(INDEX('楼层配置'!$D$5:$D$104,MATCH($K125,'楼层配置'!$B$5:$B$104,0)),"")</x:f>
        <x:v>100</x:v>
      </x:c>
      <x:c r="M125" s="4" t="str">
        <x:f>IFERROR(INDEX('_角色基线'!$B$2:$B$100,MATCH($B125,'_角色基线'!$A$2:$A$100,0)),"")</x:f>
        <x:v>大暑</x:v>
      </x:c>
      <x:c r="N125" s="4" t="str">
        <x:f>IFERROR(INDEX('_角色基线'!$C$2:$C$100,MATCH($B125,'_角色基线'!$A$2:$A$100,0)),"")</x:f>
        <x:v>Tank</x:v>
      </x:c>
      <x:c r="O125" s="4" t="n">
        <x:f>IFERROR(INDEX('_怪物基线'!$B$2:$B$501,MATCH(INT($L125),'_怪物基线'!$A$2:$A$501,0)),"")</x:f>
        <x:v>37502</x:v>
      </x:c>
      <x:c r="P125" s="4" t="n">
        <x:f>IFERROR(INDEX('_怪物基线'!$C$2:$C$501,MATCH(INT($L125),'_怪物基线'!$A$2:$A$501,0)),"")</x:f>
        <x:v>6622</x:v>
      </x:c>
      <x:c r="Q125" s="4" t="n">
        <x:f>IFERROR(INDEX('_怪物基线'!$D$2:$D$501,MATCH(INT($L125),'_怪物基线'!$A$2:$A$501,0)),"")</x:f>
        <x:v>8519</x:v>
      </x:c>
      <x:c r="R125" s="4" t="n">
        <x:f>'参数'!$B$10</x:f>
        <x:v>4</x:v>
      </x:c>
      <x:c r="S125" s="4" t="n">
        <x:f>'参数'!$C$10</x:f>
        <x:v>1.2</x:v>
      </x:c>
      <x:c r="T125" s="4" t="n">
        <x:f>'参数'!$D$10</x:f>
        <x:v>1</x:v>
      </x:c>
      <x:c r="U125" s="4" t="n">
        <x:f t="shared" si="7">IF($O125="","",$O125*$R125)</x:f>
        <x:v>150008</x:v>
      </x:c>
      <x:c r="V125" s="4" t="n">
        <x:f t="shared" si="8">IF($P125="","",$P125*$S125)</x:f>
        <x:v>7946.4</x:v>
      </x:c>
      <x:c r="W125" s="4" t="n">
        <x:f t="shared" si="9">IF($Q125="","",$Q125*$T125)</x:f>
        <x:v>8519</x:v>
      </x:c>
      <x:c r="X125" s="4" t="n">
        <x:f>IFERROR(INDEX('参数'!$B$5:$B$7,MATCH($N125,'参数'!$A$5:$A$7,0)),"")</x:f>
        <x:v>1.5</x:v>
      </x:c>
      <x:c r="Y125" s="4" t="n">
        <x:f>IFERROR(INDEX('参数'!$C$5:$C$7,MATCH($N125,'参数'!$A$5:$A$7,0)),"")</x:f>
        <x:v>1</x:v>
      </x:c>
      <x:c r="Z125" s="4" t="n">
        <x:f>IFERROR(INDEX('参数'!$D$5:$D$7,MATCH($N125,'参数'!$A$5:$A$7,0)),"")</x:f>
        <x:v>1.5</x:v>
      </x:c>
      <x:c r="AA125" s="4" t="n">
        <x:f>IFERROR(INDEX('楼层配置'!$E$5:$E$104,MATCH($K125,'楼层配置'!$B$5:$B$104,0)),1)</x:f>
        <x:v>1.1496942960104415</x:v>
      </x:c>
      <x:c r="AB125" s="4" t="n">
        <x:f>IFERROR(INDEX('楼层配置'!$F$5:$F$104,MATCH($K125,'楼层配置'!$B$5:$B$104,0)),1)</x:f>
        <x:v>0.6842367951672301</x:v>
      </x:c>
      <x:c r="AC125" s="4" t="n">
        <x:f>IFERROR(INDEX('楼层配置'!$G$5:$G$104,MATCH($K125,'楼层配置'!$B$5:$B$104,0)),1)</x:f>
        <x:v>1</x:v>
      </x:c>
      <x:c r="AD125" s="6" t="n">
        <x:f t="shared" si="10">IFERROR($D125/$G125-1,"")</x:f>
        <x:v>-0.12989882818280885</x:v>
      </x:c>
      <x:c r="AE125" s="6" t="n">
        <x:f t="shared" si="11">IFERROR($E125/$H125-1,"")</x:f>
        <x:v>-0.1464678178963893</x:v>
      </x:c>
      <x:c r="AF125" s="6" t="n">
        <x:f t="shared" si="12">IFERROR($F125/$I125-1,"")</x:f>
        <x:v>0.33031438684155745</x:v>
      </x:c>
      <x:c r="AG125" s="4" t="str">
        <x:f t="shared" si="13">IF(AND($A125&gt;=1,$L125&gt;=1,$L125&lt;=500,OR($N125="Tank",$N125="DPS",$N125="Support"),ISNUMBER($D125),ISNUMBER($E125),ISNUMBER($F125)),"有效","异常")</x:f>
        <x:v>有效</x:v>
      </x:c>
      <x:c r="AH125" t="n">
        <x:f>D125/(1-MIN(0.75,F125/(24000+F125)))</x:f>
        <x:v>396439.30854166666</x:v>
      </x:c>
    </x:row>
    <x:row r="126" ht="14.25" customHeight="1">
      <x:c r="A126" s="4">
        <x:v>122</x:v>
      </x:c>
      <x:c r="B126" s="4">
        <x:v>1014</x:v>
      </x:c>
      <x:c r="C126" s="4">
        <x:v>22</x:v>
      </x:c>
      <x:c r="D126" s="5" t="n">
        <x:f>IFERROR(ROUND($U126*$X126*$AA126*'参数'!$B$13,0),"")</x:f>
        <x:v>172463</x:v>
      </x:c>
      <x:c r="E126" s="5" t="n">
        <x:f>IFERROR(ROUND($V126*$Y126*$AB126*'参数'!$C$13,0),"")</x:f>
        <x:v>6525</x:v>
      </x:c>
      <x:c r="F126" s="5" t="n">
        <x:f>IFERROR(ROUND($W126*$Z126*$AC126*'参数'!$D$13,0),"")</x:f>
        <x:v>8519</x:v>
      </x:c>
      <x:c r="G126" s="4">
        <x:v>198211</x:v>
      </x:c>
      <x:c r="H126" s="4">
        <x:v>7644</x:v>
      </x:c>
      <x:c r="I126" s="4">
        <x:v>6404</x:v>
      </x:c>
      <x:c r="J126" s="4">
        <x:v>25</x:v>
      </x:c>
      <x:c r="K126" s="4">
        <x:v>25</x:v>
      </x:c>
      <x:c r="L126" s="4" t="n">
        <x:f>IFERROR(INDEX('楼层配置'!$D$5:$D$104,MATCH($K126,'楼层配置'!$B$5:$B$104,0)),"")</x:f>
        <x:v>100</x:v>
      </x:c>
      <x:c r="M126" s="4" t="str">
        <x:f>IFERROR(INDEX('_角色基线'!$B$2:$B$100,MATCH($B126,'_角色基线'!$A$2:$A$100,0)),"")</x:f>
        <x:v>克莉丝汀</x:v>
      </x:c>
      <x:c r="N126" s="4" t="str">
        <x:f>IFERROR(INDEX('_角色基线'!$C$2:$C$100,MATCH($B126,'_角色基线'!$A$2:$A$100,0)),"")</x:f>
        <x:v>DPS</x:v>
      </x:c>
      <x:c r="O126" s="4" t="n">
        <x:f>IFERROR(INDEX('_怪物基线'!$B$2:$B$501,MATCH(INT($L126),'_怪物基线'!$A$2:$A$501,0)),"")</x:f>
        <x:v>37502</x:v>
      </x:c>
      <x:c r="P126" s="4" t="n">
        <x:f>IFERROR(INDEX('_怪物基线'!$C$2:$C$501,MATCH(INT($L126),'_怪物基线'!$A$2:$A$501,0)),"")</x:f>
        <x:v>6622</x:v>
      </x:c>
      <x:c r="Q126" s="4" t="n">
        <x:f>IFERROR(INDEX('_怪物基线'!$D$2:$D$501,MATCH(INT($L126),'_怪物基线'!$A$2:$A$501,0)),"")</x:f>
        <x:v>8519</x:v>
      </x:c>
      <x:c r="R126" s="4" t="n">
        <x:f>'参数'!$B$10</x:f>
        <x:v>4</x:v>
      </x:c>
      <x:c r="S126" s="4" t="n">
        <x:f>'参数'!$C$10</x:f>
        <x:v>1.2</x:v>
      </x:c>
      <x:c r="T126" s="4" t="n">
        <x:f>'参数'!$D$10</x:f>
        <x:v>1</x:v>
      </x:c>
      <x:c r="U126" s="4" t="n">
        <x:f t="shared" si="7">IF($O126="","",$O126*$R126)</x:f>
        <x:v>150008</x:v>
      </x:c>
      <x:c r="V126" s="4" t="n">
        <x:f t="shared" si="8">IF($P126="","",$P126*$S126)</x:f>
        <x:v>7946.4</x:v>
      </x:c>
      <x:c r="W126" s="4" t="n">
        <x:f t="shared" si="9">IF($Q126="","",$Q126*$T126)</x:f>
        <x:v>8519</x:v>
      </x:c>
      <x:c r="X126" s="4" t="n">
        <x:f>IFERROR(INDEX('参数'!$B$5:$B$7,MATCH($N126,'参数'!$A$5:$A$7,0)),"")</x:f>
        <x:v>1</x:v>
      </x:c>
      <x:c r="Y126" s="4" t="n">
        <x:f>IFERROR(INDEX('参数'!$C$5:$C$7,MATCH($N126,'参数'!$A$5:$A$7,0)),"")</x:f>
        <x:v>1.2</x:v>
      </x:c>
      <x:c r="Z126" s="4" t="n">
        <x:f>IFERROR(INDEX('参数'!$D$5:$D$7,MATCH($N126,'参数'!$A$5:$A$7,0)),"")</x:f>
        <x:v>1</x:v>
      </x:c>
      <x:c r="AA126" s="4" t="n">
        <x:f>IFERROR(INDEX('楼层配置'!$E$5:$E$104,MATCH($K126,'楼层配置'!$B$5:$B$104,0)),1)</x:f>
        <x:v>1.1496942960104415</x:v>
      </x:c>
      <x:c r="AB126" s="4" t="n">
        <x:f>IFERROR(INDEX('楼层配置'!$F$5:$F$104,MATCH($K126,'楼层配置'!$B$5:$B$104,0)),1)</x:f>
        <x:v>0.6842367951672301</x:v>
      </x:c>
      <x:c r="AC126" s="4" t="n">
        <x:f>IFERROR(INDEX('楼层配置'!$G$5:$G$104,MATCH($K126,'楼层配置'!$B$5:$B$104,0)),1)</x:f>
        <x:v>1</x:v>
      </x:c>
      <x:c r="AD126" s="6" t="n">
        <x:f t="shared" si="10">IFERROR($D126/$G126-1,"")</x:f>
        <x:v>-0.1299019731498252</x:v>
      </x:c>
      <x:c r="AE126" s="6" t="n">
        <x:f t="shared" si="11">IFERROR($E126/$H126-1,"")</x:f>
        <x:v>-0.14638932496075352</x:v>
      </x:c>
      <x:c r="AF126" s="6" t="n">
        <x:f t="shared" si="12">IFERROR($F126/$I126-1,"")</x:f>
        <x:v>0.330262336039975</x:v>
      </x:c>
      <x:c r="AG126" s="4" t="str">
        <x:f t="shared" si="13">IF(AND($A126&gt;=1,$L126&gt;=1,$L126&lt;=500,OR($N126="Tank",$N126="DPS",$N126="Support"),ISNUMBER($D126),ISNUMBER($E126),ISNUMBER($F126)),"有效","异常")</x:f>
        <x:v>有效</x:v>
      </x:c>
      <x:c r="AH126" t="n">
        <x:f>D126/(1-MIN(0.75,F126/(24000+F126)))</x:f>
        <x:v>233680.17904166668</x:v>
      </x:c>
    </x:row>
    <x:row r="127" ht="14.25" customHeight="1">
      <x:c r="A127" s="4">
        <x:v>123</x:v>
      </x:c>
      <x:c r="B127" s="4">
        <x:v>1029</x:v>
      </x:c>
      <x:c r="C127" s="4">
        <x:v>22</x:v>
      </x:c>
      <x:c r="D127" s="5" t="n">
        <x:f>IFERROR(ROUND($U127*$X127*$AA127*'参数'!$B$13,0),"")</x:f>
        <x:v>215579</x:v>
      </x:c>
      <x:c r="E127" s="5" t="n">
        <x:f>IFERROR(ROUND($V127*$Y127*$AB127*'参数'!$C$13,0),"")</x:f>
        <x:v>5437</x:v>
      </x:c>
      <x:c r="F127" s="5" t="n">
        <x:f>IFERROR(ROUND($W127*$Z127*$AC127*'参数'!$D$13,0),"")</x:f>
        <x:v>10649</x:v>
      </x:c>
      <x:c r="G127" s="4">
        <x:v>247764</x:v>
      </x:c>
      <x:c r="H127" s="4">
        <x:v>6370</x:v>
      </x:c>
      <x:c r="I127" s="4">
        <x:v>8005</x:v>
      </x:c>
      <x:c r="J127" s="4">
        <x:v>25</x:v>
      </x:c>
      <x:c r="K127" s="4">
        <x:v>25</x:v>
      </x:c>
      <x:c r="L127" s="4" t="n">
        <x:f>IFERROR(INDEX('楼层配置'!$D$5:$D$104,MATCH($K127,'楼层配置'!$B$5:$B$104,0)),"")</x:f>
        <x:v>100</x:v>
      </x:c>
      <x:c r="M127" s="4" t="str">
        <x:f>IFERROR(INDEX('_角色基线'!$B$2:$B$100,MATCH($B127,'_角色基线'!$A$2:$A$100,0)),"")</x:f>
        <x:v>凯兰</x:v>
      </x:c>
      <x:c r="N127" s="4" t="str">
        <x:f>IFERROR(INDEX('_角色基线'!$C$2:$C$100,MATCH($B127,'_角色基线'!$A$2:$A$100,0)),"")</x:f>
        <x:v>Support</x:v>
      </x:c>
      <x:c r="O127" s="4" t="n">
        <x:f>IFERROR(INDEX('_怪物基线'!$B$2:$B$501,MATCH(INT($L127),'_怪物基线'!$A$2:$A$501,0)),"")</x:f>
        <x:v>37502</x:v>
      </x:c>
      <x:c r="P127" s="4" t="n">
        <x:f>IFERROR(INDEX('_怪物基线'!$C$2:$C$501,MATCH(INT($L127),'_怪物基线'!$A$2:$A$501,0)),"")</x:f>
        <x:v>6622</x:v>
      </x:c>
      <x:c r="Q127" s="4" t="n">
        <x:f>IFERROR(INDEX('_怪物基线'!$D$2:$D$501,MATCH(INT($L127),'_怪物基线'!$A$2:$A$501,0)),"")</x:f>
        <x:v>8519</x:v>
      </x:c>
      <x:c r="R127" s="4" t="n">
        <x:f>'参数'!$B$10</x:f>
        <x:v>4</x:v>
      </x:c>
      <x:c r="S127" s="4" t="n">
        <x:f>'参数'!$C$10</x:f>
        <x:v>1.2</x:v>
      </x:c>
      <x:c r="T127" s="4" t="n">
        <x:f>'参数'!$D$10</x:f>
        <x:v>1</x:v>
      </x:c>
      <x:c r="U127" s="4" t="n">
        <x:f t="shared" si="7">IF($O127="","",$O127*$R127)</x:f>
        <x:v>150008</x:v>
      </x:c>
      <x:c r="V127" s="4" t="n">
        <x:f t="shared" si="8">IF($P127="","",$P127*$S127)</x:f>
        <x:v>7946.4</x:v>
      </x:c>
      <x:c r="W127" s="4" t="n">
        <x:f t="shared" si="9">IF($Q127="","",$Q127*$T127)</x:f>
        <x:v>8519</x:v>
      </x:c>
      <x:c r="X127" s="4" t="n">
        <x:f>IFERROR(INDEX('参数'!$B$5:$B$7,MATCH($N127,'参数'!$A$5:$A$7,0)),"")</x:f>
        <x:v>1.25</x:v>
      </x:c>
      <x:c r="Y127" s="4" t="n">
        <x:f>IFERROR(INDEX('参数'!$C$5:$C$7,MATCH($N127,'参数'!$A$5:$A$7,0)),"")</x:f>
        <x:v>1</x:v>
      </x:c>
      <x:c r="Z127" s="4" t="n">
        <x:f>IFERROR(INDEX('参数'!$D$5:$D$7,MATCH($N127,'参数'!$A$5:$A$7,0)),"")</x:f>
        <x:v>1.25</x:v>
      </x:c>
      <x:c r="AA127" s="4" t="n">
        <x:f>IFERROR(INDEX('楼层配置'!$E$5:$E$104,MATCH($K127,'楼层配置'!$B$5:$B$104,0)),1)</x:f>
        <x:v>1.1496942960104415</x:v>
      </x:c>
      <x:c r="AB127" s="4" t="n">
        <x:f>IFERROR(INDEX('楼层配置'!$F$5:$F$104,MATCH($K127,'楼层配置'!$B$5:$B$104,0)),1)</x:f>
        <x:v>0.6842367951672301</x:v>
      </x:c>
      <x:c r="AC127" s="4" t="n">
        <x:f>IFERROR(INDEX('楼层配置'!$G$5:$G$104,MATCH($K127,'楼层配置'!$B$5:$B$104,0)),1)</x:f>
        <x:v>1</x:v>
      </x:c>
      <x:c r="AD127" s="6" t="n">
        <x:f t="shared" si="10">IFERROR($D127/$G127-1,"")</x:f>
        <x:v>-0.12990184207552347</x:v>
      </x:c>
      <x:c r="AE127" s="6" t="n">
        <x:f t="shared" si="11">IFERROR($E127/$H127-1,"")</x:f>
        <x:v>-0.1464678178963893</x:v>
      </x:c>
      <x:c r="AF127" s="6" t="n">
        <x:f t="shared" si="12">IFERROR($F127/$I127-1,"")</x:f>
        <x:v>0.33029356652092434</x:v>
      </x:c>
      <x:c r="AG127" s="4" t="str">
        <x:f t="shared" si="13">IF(AND($A127&gt;=1,$L127&gt;=1,$L127&lt;=500,OR($N127="Tank",$N127="DPS",$N127="Support"),ISNUMBER($D127),ISNUMBER($E127),ISNUMBER($F127)),"有效","异常")</x:f>
        <x:v>有效</x:v>
      </x:c>
      <x:c r="AH127" t="n">
        <x:f>D127/(1-MIN(0.75,F127/(24000+F127)))</x:f>
        <x:v>311233.1987916667</x:v>
      </x:c>
    </x:row>
    <x:row r="128" ht="14.25" customHeight="1">
      <x:c r="A128" s="4">
        <x:v>124</x:v>
      </x:c>
      <x:c r="B128" s="4">
        <x:v>1018</x:v>
      </x:c>
      <x:c r="C128" s="4">
        <x:v>22</x:v>
      </x:c>
      <x:c r="D128" s="5" t="n">
        <x:f>IFERROR(ROUND($U128*$X128*$AA128*'参数'!$B$13,0),"")</x:f>
        <x:v>215579</x:v>
      </x:c>
      <x:c r="E128" s="5" t="n">
        <x:f>IFERROR(ROUND($V128*$Y128*$AB128*'参数'!$C$13,0),"")</x:f>
        <x:v>5437</x:v>
      </x:c>
      <x:c r="F128" s="5" t="n">
        <x:f>IFERROR(ROUND($W128*$Z128*$AC128*'参数'!$D$13,0),"")</x:f>
        <x:v>10649</x:v>
      </x:c>
      <x:c r="G128" s="4">
        <x:v>247764</x:v>
      </x:c>
      <x:c r="H128" s="4">
        <x:v>6370</x:v>
      </x:c>
      <x:c r="I128" s="4">
        <x:v>8005</x:v>
      </x:c>
      <x:c r="J128" s="4">
        <x:v>25</x:v>
      </x:c>
      <x:c r="K128" s="4">
        <x:v>25</x:v>
      </x:c>
      <x:c r="L128" s="4" t="n">
        <x:f>IFERROR(INDEX('楼层配置'!$D$5:$D$104,MATCH($K128,'楼层配置'!$B$5:$B$104,0)),"")</x:f>
        <x:v>100</x:v>
      </x:c>
      <x:c r="M128" s="4" t="str">
        <x:f>IFERROR(INDEX('_角色基线'!$B$2:$B$100,MATCH($B128,'_角色基线'!$A$2:$A$100,0)),"")</x:f>
        <x:v>埃莉诺</x:v>
      </x:c>
      <x:c r="N128" s="4" t="str">
        <x:f>IFERROR(INDEX('_角色基线'!$C$2:$C$100,MATCH($B128,'_角色基线'!$A$2:$A$100,0)),"")</x:f>
        <x:v>Support</x:v>
      </x:c>
      <x:c r="O128" s="4" t="n">
        <x:f>IFERROR(INDEX('_怪物基线'!$B$2:$B$501,MATCH(INT($L128),'_怪物基线'!$A$2:$A$501,0)),"")</x:f>
        <x:v>37502</x:v>
      </x:c>
      <x:c r="P128" s="4" t="n">
        <x:f>IFERROR(INDEX('_怪物基线'!$C$2:$C$501,MATCH(INT($L128),'_怪物基线'!$A$2:$A$501,0)),"")</x:f>
        <x:v>6622</x:v>
      </x:c>
      <x:c r="Q128" s="4" t="n">
        <x:f>IFERROR(INDEX('_怪物基线'!$D$2:$D$501,MATCH(INT($L128),'_怪物基线'!$A$2:$A$501,0)),"")</x:f>
        <x:v>8519</x:v>
      </x:c>
      <x:c r="R128" s="4" t="n">
        <x:f>'参数'!$B$10</x:f>
        <x:v>4</x:v>
      </x:c>
      <x:c r="S128" s="4" t="n">
        <x:f>'参数'!$C$10</x:f>
        <x:v>1.2</x:v>
      </x:c>
      <x:c r="T128" s="4" t="n">
        <x:f>'参数'!$D$10</x:f>
        <x:v>1</x:v>
      </x:c>
      <x:c r="U128" s="4" t="n">
        <x:f t="shared" si="7">IF($O128="","",$O128*$R128)</x:f>
        <x:v>150008</x:v>
      </x:c>
      <x:c r="V128" s="4" t="n">
        <x:f t="shared" si="8">IF($P128="","",$P128*$S128)</x:f>
        <x:v>7946.4</x:v>
      </x:c>
      <x:c r="W128" s="4" t="n">
        <x:f t="shared" si="9">IF($Q128="","",$Q128*$T128)</x:f>
        <x:v>8519</x:v>
      </x:c>
      <x:c r="X128" s="4" t="n">
        <x:f>IFERROR(INDEX('参数'!$B$5:$B$7,MATCH($N128,'参数'!$A$5:$A$7,0)),"")</x:f>
        <x:v>1.25</x:v>
      </x:c>
      <x:c r="Y128" s="4" t="n">
        <x:f>IFERROR(INDEX('参数'!$C$5:$C$7,MATCH($N128,'参数'!$A$5:$A$7,0)),"")</x:f>
        <x:v>1</x:v>
      </x:c>
      <x:c r="Z128" s="4" t="n">
        <x:f>IFERROR(INDEX('参数'!$D$5:$D$7,MATCH($N128,'参数'!$A$5:$A$7,0)),"")</x:f>
        <x:v>1.25</x:v>
      </x:c>
      <x:c r="AA128" s="4" t="n">
        <x:f>IFERROR(INDEX('楼层配置'!$E$5:$E$104,MATCH($K128,'楼层配置'!$B$5:$B$104,0)),1)</x:f>
        <x:v>1.1496942960104415</x:v>
      </x:c>
      <x:c r="AB128" s="4" t="n">
        <x:f>IFERROR(INDEX('楼层配置'!$F$5:$F$104,MATCH($K128,'楼层配置'!$B$5:$B$104,0)),1)</x:f>
        <x:v>0.6842367951672301</x:v>
      </x:c>
      <x:c r="AC128" s="4" t="n">
        <x:f>IFERROR(INDEX('楼层配置'!$G$5:$G$104,MATCH($K128,'楼层配置'!$B$5:$B$104,0)),1)</x:f>
        <x:v>1</x:v>
      </x:c>
      <x:c r="AD128" s="6" t="n">
        <x:f t="shared" si="10">IFERROR($D128/$G128-1,"")</x:f>
        <x:v>-0.12990184207552347</x:v>
      </x:c>
      <x:c r="AE128" s="6" t="n">
        <x:f t="shared" si="11">IFERROR($E128/$H128-1,"")</x:f>
        <x:v>-0.1464678178963893</x:v>
      </x:c>
      <x:c r="AF128" s="6" t="n">
        <x:f t="shared" si="12">IFERROR($F128/$I128-1,"")</x:f>
        <x:v>0.33029356652092434</x:v>
      </x:c>
      <x:c r="AG128" s="4" t="str">
        <x:f t="shared" si="13">IF(AND($A128&gt;=1,$L128&gt;=1,$L128&lt;=500,OR($N128="Tank",$N128="DPS",$N128="Support"),ISNUMBER($D128),ISNUMBER($E128),ISNUMBER($F128)),"有效","异常")</x:f>
        <x:v>有效</x:v>
      </x:c>
      <x:c r="AH128" t="n">
        <x:f>D128/(1-MIN(0.75,F128/(24000+F128)))</x:f>
        <x:v>311233.1987916667</x:v>
      </x:c>
    </x:row>
    <x:row r="129" ht="14.25" customHeight="1">
      <x:c r="A129" s="4">
        <x:v>125</x:v>
      </x:c>
      <x:c r="B129" s="4">
        <x:v>1012</x:v>
      </x:c>
      <x:c r="C129" s="4">
        <x:v>22</x:v>
      </x:c>
      <x:c r="D129" s="5" t="n">
        <x:f>IFERROR(ROUND($U129*$X129*$AA129*'参数'!$B$13,0),"")</x:f>
        <x:v>215579</x:v>
      </x:c>
      <x:c r="E129" s="5" t="n">
        <x:f>IFERROR(ROUND($V129*$Y129*$AB129*'参数'!$C$13,0),"")</x:f>
        <x:v>5437</x:v>
      </x:c>
      <x:c r="F129" s="5" t="n">
        <x:f>IFERROR(ROUND($W129*$Z129*$AC129*'参数'!$D$13,0),"")</x:f>
        <x:v>10649</x:v>
      </x:c>
      <x:c r="G129" s="4">
        <x:v>247764</x:v>
      </x:c>
      <x:c r="H129" s="4">
        <x:v>6370</x:v>
      </x:c>
      <x:c r="I129" s="4">
        <x:v>8005</x:v>
      </x:c>
      <x:c r="J129" s="4">
        <x:v>25</x:v>
      </x:c>
      <x:c r="K129" s="4">
        <x:v>25</x:v>
      </x:c>
      <x:c r="L129" s="4" t="n">
        <x:f>IFERROR(INDEX('楼层配置'!$D$5:$D$104,MATCH($K129,'楼层配置'!$B$5:$B$104,0)),"")</x:f>
        <x:v>100</x:v>
      </x:c>
      <x:c r="M129" s="4" t="str">
        <x:f>IFERROR(INDEX('_角色基线'!$B$2:$B$100,MATCH($B129,'_角色基线'!$A$2:$A$100,0)),"")</x:f>
        <x:v>艾德琳</x:v>
      </x:c>
      <x:c r="N129" s="4" t="str">
        <x:f>IFERROR(INDEX('_角色基线'!$C$2:$C$100,MATCH($B129,'_角色基线'!$A$2:$A$100,0)),"")</x:f>
        <x:v>Support</x:v>
      </x:c>
      <x:c r="O129" s="4" t="n">
        <x:f>IFERROR(INDEX('_怪物基线'!$B$2:$B$501,MATCH(INT($L129),'_怪物基线'!$A$2:$A$501,0)),"")</x:f>
        <x:v>37502</x:v>
      </x:c>
      <x:c r="P129" s="4" t="n">
        <x:f>IFERROR(INDEX('_怪物基线'!$C$2:$C$501,MATCH(INT($L129),'_怪物基线'!$A$2:$A$501,0)),"")</x:f>
        <x:v>6622</x:v>
      </x:c>
      <x:c r="Q129" s="4" t="n">
        <x:f>IFERROR(INDEX('_怪物基线'!$D$2:$D$501,MATCH(INT($L129),'_怪物基线'!$A$2:$A$501,0)),"")</x:f>
        <x:v>8519</x:v>
      </x:c>
      <x:c r="R129" s="4" t="n">
        <x:f>'参数'!$B$10</x:f>
        <x:v>4</x:v>
      </x:c>
      <x:c r="S129" s="4" t="n">
        <x:f>'参数'!$C$10</x:f>
        <x:v>1.2</x:v>
      </x:c>
      <x:c r="T129" s="4" t="n">
        <x:f>'参数'!$D$10</x:f>
        <x:v>1</x:v>
      </x:c>
      <x:c r="U129" s="4" t="n">
        <x:f t="shared" si="7">IF($O129="","",$O129*$R129)</x:f>
        <x:v>150008</x:v>
      </x:c>
      <x:c r="V129" s="4" t="n">
        <x:f t="shared" si="8">IF($P129="","",$P129*$S129)</x:f>
        <x:v>7946.4</x:v>
      </x:c>
      <x:c r="W129" s="4" t="n">
        <x:f t="shared" si="9">IF($Q129="","",$Q129*$T129)</x:f>
        <x:v>8519</x:v>
      </x:c>
      <x:c r="X129" s="4" t="n">
        <x:f>IFERROR(INDEX('参数'!$B$5:$B$7,MATCH($N129,'参数'!$A$5:$A$7,0)),"")</x:f>
        <x:v>1.25</x:v>
      </x:c>
      <x:c r="Y129" s="4" t="n">
        <x:f>IFERROR(INDEX('参数'!$C$5:$C$7,MATCH($N129,'参数'!$A$5:$A$7,0)),"")</x:f>
        <x:v>1</x:v>
      </x:c>
      <x:c r="Z129" s="4" t="n">
        <x:f>IFERROR(INDEX('参数'!$D$5:$D$7,MATCH($N129,'参数'!$A$5:$A$7,0)),"")</x:f>
        <x:v>1.25</x:v>
      </x:c>
      <x:c r="AA129" s="4" t="n">
        <x:f>IFERROR(INDEX('楼层配置'!$E$5:$E$104,MATCH($K129,'楼层配置'!$B$5:$B$104,0)),1)</x:f>
        <x:v>1.1496942960104415</x:v>
      </x:c>
      <x:c r="AB129" s="4" t="n">
        <x:f>IFERROR(INDEX('楼层配置'!$F$5:$F$104,MATCH($K129,'楼层配置'!$B$5:$B$104,0)),1)</x:f>
        <x:v>0.6842367951672301</x:v>
      </x:c>
      <x:c r="AC129" s="4" t="n">
        <x:f>IFERROR(INDEX('楼层配置'!$G$5:$G$104,MATCH($K129,'楼层配置'!$B$5:$B$104,0)),1)</x:f>
        <x:v>1</x:v>
      </x:c>
      <x:c r="AD129" s="6" t="n">
        <x:f t="shared" si="10">IFERROR($D129/$G129-1,"")</x:f>
        <x:v>-0.12990184207552347</x:v>
      </x:c>
      <x:c r="AE129" s="6" t="n">
        <x:f t="shared" si="11">IFERROR($E129/$H129-1,"")</x:f>
        <x:v>-0.1464678178963893</x:v>
      </x:c>
      <x:c r="AF129" s="6" t="n">
        <x:f t="shared" si="12">IFERROR($F129/$I129-1,"")</x:f>
        <x:v>0.33029356652092434</x:v>
      </x:c>
      <x:c r="AG129" s="4" t="str">
        <x:f t="shared" si="13">IF(AND($A129&gt;=1,$L129&gt;=1,$L129&lt;=500,OR($N129="Tank",$N129="DPS",$N129="Support"),ISNUMBER($D129),ISNUMBER($E129),ISNUMBER($F129)),"有效","异常")</x:f>
        <x:v>有效</x:v>
      </x:c>
      <x:c r="AH129" t="n">
        <x:f>D129/(1-MIN(0.75,F129/(24000+F129)))</x:f>
        <x:v>311233.1987916667</x:v>
      </x:c>
    </x:row>
    <x:row r="130" ht="14.25" customHeight="1">
      <x:c r="A130" s="4">
        <x:v>126</x:v>
      </x:c>
      <x:c r="B130" s="4">
        <x:v>1038</x:v>
      </x:c>
      <x:c r="C130" s="4">
        <x:v>23</x:v>
      </x:c>
      <x:c r="D130" s="5" t="n">
        <x:f>IFERROR(ROUND($U130*$X130*$AA130*'参数'!$B$13,0),"")</x:f>
        <x:v>283107</x:v>
      </x:c>
      <x:c r="E130" s="5" t="n">
        <x:f>IFERROR(ROUND($V130*$Y130*$AB130*'参数'!$C$13,0),"")</x:f>
        <x:v>5788</x:v>
      </x:c>
      <x:c r="F130" s="5" t="n">
        <x:f>IFERROR(ROUND($W130*$Z130*$AC130*'参数'!$D$13,0),"")</x:f>
        <x:v>13361</x:v>
      </x:c>
      <x:c r="G130" s="4">
        <x:v>323748</x:v>
      </x:c>
      <x:c r="H130" s="4">
        <x:v>6736</x:v>
      </x:c>
      <x:c r="I130" s="4">
        <x:v>10102</x:v>
      </x:c>
      <x:c r="J130" s="4">
        <x:v>26</x:v>
      </x:c>
      <x:c r="K130" s="4">
        <x:v>26</x:v>
      </x:c>
      <x:c r="L130" s="4" t="n">
        <x:f>IFERROR(INDEX('楼层配置'!$D$5:$D$104,MATCH($K130,'楼层配置'!$B$5:$B$104,0)),"")</x:f>
        <x:v>104</x:v>
      </x:c>
      <x:c r="M130" s="4" t="str">
        <x:f>IFERROR(INDEX('_角色基线'!$B$2:$B$100,MATCH($B130,'_角色基线'!$A$2:$A$100,0)),"")</x:f>
        <x:v>商队战斗员</x:v>
      </x:c>
      <x:c r="N130" s="4" t="str">
        <x:f>IFERROR(INDEX('_角色基线'!$C$2:$C$100,MATCH($B130,'_角色基线'!$A$2:$A$100,0)),"")</x:f>
        <x:v>Tank</x:v>
      </x:c>
      <x:c r="O130" s="4" t="n">
        <x:f>IFERROR(INDEX('_怪物基线'!$B$2:$B$501,MATCH(INT($L130),'_怪物基线'!$A$2:$A$501,0)),"")</x:f>
        <x:v>40424</x:v>
      </x:c>
      <x:c r="P130" s="4" t="n">
        <x:f>IFERROR(INDEX('_怪物基线'!$C$2:$C$501,MATCH(INT($L130),'_怪物基线'!$A$2:$A$501,0)),"")</x:f>
        <x:v>6996</x:v>
      </x:c>
      <x:c r="Q130" s="4" t="n">
        <x:f>IFERROR(INDEX('_怪物基线'!$D$2:$D$501,MATCH(INT($L130),'_怪物基线'!$A$2:$A$501,0)),"")</x:f>
        <x:v>8907</x:v>
      </x:c>
      <x:c r="R130" s="4" t="n">
        <x:f>'参数'!$B$10</x:f>
        <x:v>4</x:v>
      </x:c>
      <x:c r="S130" s="4" t="n">
        <x:f>'参数'!$C$10</x:f>
        <x:v>1.2</x:v>
      </x:c>
      <x:c r="T130" s="4" t="n">
        <x:f>'参数'!$D$10</x:f>
        <x:v>1</x:v>
      </x:c>
      <x:c r="U130" s="4" t="n">
        <x:f t="shared" si="7">IF($O130="","",$O130*$R130)</x:f>
        <x:v>161696</x:v>
      </x:c>
      <x:c r="V130" s="4" t="n">
        <x:f t="shared" si="8">IF($P130="","",$P130*$S130)</x:f>
        <x:v>8395.199999999999</x:v>
      </x:c>
      <x:c r="W130" s="4" t="n">
        <x:f t="shared" si="9">IF($Q130="","",$Q130*$T130)</x:f>
        <x:v>8907</x:v>
      </x:c>
      <x:c r="X130" s="4" t="n">
        <x:f>IFERROR(INDEX('参数'!$B$5:$B$7,MATCH($N130,'参数'!$A$5:$A$7,0)),"")</x:f>
        <x:v>1.5</x:v>
      </x:c>
      <x:c r="Y130" s="4" t="n">
        <x:f>IFERROR(INDEX('参数'!$C$5:$C$7,MATCH($N130,'参数'!$A$5:$A$7,0)),"")</x:f>
        <x:v>1</x:v>
      </x:c>
      <x:c r="Z130" s="4" t="n">
        <x:f>IFERROR(INDEX('参数'!$D$5:$D$7,MATCH($N130,'参数'!$A$5:$A$7,0)),"")</x:f>
        <x:v>1.5</x:v>
      </x:c>
      <x:c r="AA130" s="4" t="n">
        <x:f>IFERROR(INDEX('楼层配置'!$E$5:$E$104,MATCH($K130,'楼层配置'!$B$5:$B$104,0)),1)</x:f>
        <x:v>1.1672411666084812</x:v>
      </x:c>
      <x:c r="AB130" s="4" t="n">
        <x:f>IFERROR(INDEX('楼层配置'!$F$5:$F$104,MATCH($K130,'楼层配置'!$B$5:$B$104,0)),1)</x:f>
        <x:v>0.6894177390413162</x:v>
      </x:c>
      <x:c r="AC130" s="4" t="n">
        <x:f>IFERROR(INDEX('楼层配置'!$G$5:$G$104,MATCH($K130,'楼层配置'!$B$5:$B$104,0)),1)</x:f>
        <x:v>1</x:v>
      </x:c>
      <x:c r="AD130" s="6" t="n">
        <x:f t="shared" si="10">IFERROR($D130/$G130-1,"")</x:f>
        <x:v>-0.12553282182438197</x:v>
      </x:c>
      <x:c r="AE130" s="6" t="n">
        <x:f t="shared" si="11">IFERROR($E130/$H130-1,"")</x:f>
        <x:v>-0.1407363420427553</x:v>
      </x:c>
      <x:c r="AF130" s="6" t="n">
        <x:f t="shared" si="12">IFERROR($F130/$I130-1,"")</x:f>
        <x:v>0.3226093842803406</x:v>
      </x:c>
      <x:c r="AG130" s="4" t="str">
        <x:f t="shared" si="13">IF(AND($A130&gt;=1,$L130&gt;=1,$L130&lt;=500,OR($N130="Tank",$N130="DPS",$N130="Support"),ISNUMBER($D130),ISNUMBER($E130),ISNUMBER($F130)),"有效","异常")</x:f>
        <x:v>有效</x:v>
      </x:c>
      <x:c r="AH130" t="n">
        <x:f>D130/(1-MIN(0.75,F130/(24000+F130)))</x:f>
        <x:v>440715.026125</x:v>
      </x:c>
    </x:row>
    <x:row r="131" ht="14.25" customHeight="1">
      <x:c r="A131" s="4">
        <x:v>127</x:v>
      </x:c>
      <x:c r="B131" s="4">
        <x:v>1014</x:v>
      </x:c>
      <x:c r="C131" s="4">
        <x:v>23</x:v>
      </x:c>
      <x:c r="D131" s="5" t="n">
        <x:f>IFERROR(ROUND($U131*$X131*$AA131*'参数'!$B$13,0),"")</x:f>
        <x:v>188738</x:v>
      </x:c>
      <x:c r="E131" s="5" t="n">
        <x:f>IFERROR(ROUND($V131*$Y131*$AB131*'参数'!$C$13,0),"")</x:f>
        <x:v>6945</x:v>
      </x:c>
      <x:c r="F131" s="5" t="n">
        <x:f>IFERROR(ROUND($W131*$Z131*$AC131*'参数'!$D$13,0),"")</x:f>
        <x:v>8907</x:v>
      </x:c>
      <x:c r="G131" s="4">
        <x:v>215832</x:v>
      </x:c>
      <x:c r="H131" s="4">
        <x:v>8083</x:v>
      </x:c>
      <x:c r="I131" s="4">
        <x:v>6735</x:v>
      </x:c>
      <x:c r="J131" s="4">
        <x:v>26</x:v>
      </x:c>
      <x:c r="K131" s="4">
        <x:v>26</x:v>
      </x:c>
      <x:c r="L131" s="4" t="n">
        <x:f>IFERROR(INDEX('楼层配置'!$D$5:$D$104,MATCH($K131,'楼层配置'!$B$5:$B$104,0)),"")</x:f>
        <x:v>104</x:v>
      </x:c>
      <x:c r="M131" s="4" t="str">
        <x:f>IFERROR(INDEX('_角色基线'!$B$2:$B$100,MATCH($B131,'_角色基线'!$A$2:$A$100,0)),"")</x:f>
        <x:v>克莉丝汀</x:v>
      </x:c>
      <x:c r="N131" s="4" t="str">
        <x:f>IFERROR(INDEX('_角色基线'!$C$2:$C$100,MATCH($B131,'_角色基线'!$A$2:$A$100,0)),"")</x:f>
        <x:v>DPS</x:v>
      </x:c>
      <x:c r="O131" s="4" t="n">
        <x:f>IFERROR(INDEX('_怪物基线'!$B$2:$B$501,MATCH(INT($L131),'_怪物基线'!$A$2:$A$501,0)),"")</x:f>
        <x:v>40424</x:v>
      </x:c>
      <x:c r="P131" s="4" t="n">
        <x:f>IFERROR(INDEX('_怪物基线'!$C$2:$C$501,MATCH(INT($L131),'_怪物基线'!$A$2:$A$501,0)),"")</x:f>
        <x:v>6996</x:v>
      </x:c>
      <x:c r="Q131" s="4" t="n">
        <x:f>IFERROR(INDEX('_怪物基线'!$D$2:$D$501,MATCH(INT($L131),'_怪物基线'!$A$2:$A$501,0)),"")</x:f>
        <x:v>8907</x:v>
      </x:c>
      <x:c r="R131" s="4" t="n">
        <x:f>'参数'!$B$10</x:f>
        <x:v>4</x:v>
      </x:c>
      <x:c r="S131" s="4" t="n">
        <x:f>'参数'!$C$10</x:f>
        <x:v>1.2</x:v>
      </x:c>
      <x:c r="T131" s="4" t="n">
        <x:f>'参数'!$D$10</x:f>
        <x:v>1</x:v>
      </x:c>
      <x:c r="U131" s="4" t="n">
        <x:f t="shared" si="7">IF($O131="","",$O131*$R131)</x:f>
        <x:v>161696</x:v>
      </x:c>
      <x:c r="V131" s="4" t="n">
        <x:f t="shared" si="8">IF($P131="","",$P131*$S131)</x:f>
        <x:v>8395.199999999999</x:v>
      </x:c>
      <x:c r="W131" s="4" t="n">
        <x:f t="shared" si="9">IF($Q131="","",$Q131*$T131)</x:f>
        <x:v>8907</x:v>
      </x:c>
      <x:c r="X131" s="4" t="n">
        <x:f>IFERROR(INDEX('参数'!$B$5:$B$7,MATCH($N131,'参数'!$A$5:$A$7,0)),"")</x:f>
        <x:v>1</x:v>
      </x:c>
      <x:c r="Y131" s="4" t="n">
        <x:f>IFERROR(INDEX('参数'!$C$5:$C$7,MATCH($N131,'参数'!$A$5:$A$7,0)),"")</x:f>
        <x:v>1.2</x:v>
      </x:c>
      <x:c r="Z131" s="4" t="n">
        <x:f>IFERROR(INDEX('参数'!$D$5:$D$7,MATCH($N131,'参数'!$A$5:$A$7,0)),"")</x:f>
        <x:v>1</x:v>
      </x:c>
      <x:c r="AA131" s="4" t="n">
        <x:f>IFERROR(INDEX('楼层配置'!$E$5:$E$104,MATCH($K131,'楼层配置'!$B$5:$B$104,0)),1)</x:f>
        <x:v>1.1672411666084812</x:v>
      </x:c>
      <x:c r="AB131" s="4" t="n">
        <x:f>IFERROR(INDEX('楼层配置'!$F$5:$F$104,MATCH($K131,'楼层配置'!$B$5:$B$104,0)),1)</x:f>
        <x:v>0.6894177390413162</x:v>
      </x:c>
      <x:c r="AC131" s="4" t="n">
        <x:f>IFERROR(INDEX('楼层配置'!$G$5:$G$104,MATCH($K131,'楼层配置'!$B$5:$B$104,0)),1)</x:f>
        <x:v>1</x:v>
      </x:c>
      <x:c r="AD131" s="6" t="n">
        <x:f t="shared" si="10">IFERROR($D131/$G131-1,"")</x:f>
        <x:v>-0.12553282182438197</x:v>
      </x:c>
      <x:c r="AE131" s="6" t="n">
        <x:f t="shared" si="11">IFERROR($E131/$H131-1,"")</x:f>
        <x:v>-0.14078931089941848</x:v>
      </x:c>
      <x:c r="AF131" s="6" t="n">
        <x:f t="shared" si="12">IFERROR($F131/$I131-1,"")</x:f>
        <x:v>0.3224944320712695</x:v>
      </x:c>
      <x:c r="AG131" s="4" t="str">
        <x:f t="shared" si="13">IF(AND($A131&gt;=1,$L131&gt;=1,$L131&lt;=500,OR($N131="Tank",$N131="DPS",$N131="Support"),ISNUMBER($D131),ISNUMBER($E131),ISNUMBER($F131)),"有效","异常")</x:f>
        <x:v>有效</x:v>
      </x:c>
      <x:c r="AH131" t="n">
        <x:f>D131/(1-MIN(0.75,F131/(24000+F131)))</x:f>
        <x:v>258783.39025000003</x:v>
      </x:c>
    </x:row>
    <x:row r="132" ht="14.25" customHeight="1">
      <x:c r="A132" s="4">
        <x:v>128</x:v>
      </x:c>
      <x:c r="B132" s="4">
        <x:v>1021</x:v>
      </x:c>
      <x:c r="C132" s="4">
        <x:v>23</x:v>
      </x:c>
      <x:c r="D132" s="5" t="n">
        <x:f>IFERROR(ROUND($U132*$X132*$AA132*'参数'!$B$13,0),"")</x:f>
        <x:v>188738</x:v>
      </x:c>
      <x:c r="E132" s="5" t="n">
        <x:f>IFERROR(ROUND($V132*$Y132*$AB132*'参数'!$C$13,0),"")</x:f>
        <x:v>6945</x:v>
      </x:c>
      <x:c r="F132" s="5" t="n">
        <x:f>IFERROR(ROUND($W132*$Z132*$AC132*'参数'!$D$13,0),"")</x:f>
        <x:v>8907</x:v>
      </x:c>
      <x:c r="G132" s="4">
        <x:v>215832</x:v>
      </x:c>
      <x:c r="H132" s="4">
        <x:v>8083</x:v>
      </x:c>
      <x:c r="I132" s="4">
        <x:v>6735</x:v>
      </x:c>
      <x:c r="J132" s="4">
        <x:v>26</x:v>
      </x:c>
      <x:c r="K132" s="4">
        <x:v>26</x:v>
      </x:c>
      <x:c r="L132" s="4" t="n">
        <x:f>IFERROR(INDEX('楼层配置'!$D$5:$D$104,MATCH($K132,'楼层配置'!$B$5:$B$104,0)),"")</x:f>
        <x:v>104</x:v>
      </x:c>
      <x:c r="M132" s="4" t="str">
        <x:f>IFERROR(INDEX('_角色基线'!$B$2:$B$100,MATCH($B132,'_角色基线'!$A$2:$A$100,0)),"")</x:f>
        <x:v>梅梅</x:v>
      </x:c>
      <x:c r="N132" s="4" t="str">
        <x:f>IFERROR(INDEX('_角色基线'!$C$2:$C$100,MATCH($B132,'_角色基线'!$A$2:$A$100,0)),"")</x:f>
        <x:v>DPS</x:v>
      </x:c>
      <x:c r="O132" s="4" t="n">
        <x:f>IFERROR(INDEX('_怪物基线'!$B$2:$B$501,MATCH(INT($L132),'_怪物基线'!$A$2:$A$501,0)),"")</x:f>
        <x:v>40424</x:v>
      </x:c>
      <x:c r="P132" s="4" t="n">
        <x:f>IFERROR(INDEX('_怪物基线'!$C$2:$C$501,MATCH(INT($L132),'_怪物基线'!$A$2:$A$501,0)),"")</x:f>
        <x:v>6996</x:v>
      </x:c>
      <x:c r="Q132" s="4" t="n">
        <x:f>IFERROR(INDEX('_怪物基线'!$D$2:$D$501,MATCH(INT($L132),'_怪物基线'!$A$2:$A$501,0)),"")</x:f>
        <x:v>8907</x:v>
      </x:c>
      <x:c r="R132" s="4" t="n">
        <x:f>'参数'!$B$10</x:f>
        <x:v>4</x:v>
      </x:c>
      <x:c r="S132" s="4" t="n">
        <x:f>'参数'!$C$10</x:f>
        <x:v>1.2</x:v>
      </x:c>
      <x:c r="T132" s="4" t="n">
        <x:f>'参数'!$D$10</x:f>
        <x:v>1</x:v>
      </x:c>
      <x:c r="U132" s="4" t="n">
        <x:f t="shared" si="7">IF($O132="","",$O132*$R132)</x:f>
        <x:v>161696</x:v>
      </x:c>
      <x:c r="V132" s="4" t="n">
        <x:f t="shared" si="8">IF($P132="","",$P132*$S132)</x:f>
        <x:v>8395.199999999999</x:v>
      </x:c>
      <x:c r="W132" s="4" t="n">
        <x:f t="shared" si="9">IF($Q132="","",$Q132*$T132)</x:f>
        <x:v>8907</x:v>
      </x:c>
      <x:c r="X132" s="4" t="n">
        <x:f>IFERROR(INDEX('参数'!$B$5:$B$7,MATCH($N132,'参数'!$A$5:$A$7,0)),"")</x:f>
        <x:v>1</x:v>
      </x:c>
      <x:c r="Y132" s="4" t="n">
        <x:f>IFERROR(INDEX('参数'!$C$5:$C$7,MATCH($N132,'参数'!$A$5:$A$7,0)),"")</x:f>
        <x:v>1.2</x:v>
      </x:c>
      <x:c r="Z132" s="4" t="n">
        <x:f>IFERROR(INDEX('参数'!$D$5:$D$7,MATCH($N132,'参数'!$A$5:$A$7,0)),"")</x:f>
        <x:v>1</x:v>
      </x:c>
      <x:c r="AA132" s="4" t="n">
        <x:f>IFERROR(INDEX('楼层配置'!$E$5:$E$104,MATCH($K132,'楼层配置'!$B$5:$B$104,0)),1)</x:f>
        <x:v>1.1672411666084812</x:v>
      </x:c>
      <x:c r="AB132" s="4" t="n">
        <x:f>IFERROR(INDEX('楼层配置'!$F$5:$F$104,MATCH($K132,'楼层配置'!$B$5:$B$104,0)),1)</x:f>
        <x:v>0.6894177390413162</x:v>
      </x:c>
      <x:c r="AC132" s="4" t="n">
        <x:f>IFERROR(INDEX('楼层配置'!$G$5:$G$104,MATCH($K132,'楼层配置'!$B$5:$B$104,0)),1)</x:f>
        <x:v>1</x:v>
      </x:c>
      <x:c r="AD132" s="6" t="n">
        <x:f t="shared" si="10">IFERROR($D132/$G132-1,"")</x:f>
        <x:v>-0.12553282182438197</x:v>
      </x:c>
      <x:c r="AE132" s="6" t="n">
        <x:f t="shared" si="11">IFERROR($E132/$H132-1,"")</x:f>
        <x:v>-0.14078931089941848</x:v>
      </x:c>
      <x:c r="AF132" s="6" t="n">
        <x:f t="shared" si="12">IFERROR($F132/$I132-1,"")</x:f>
        <x:v>0.3224944320712695</x:v>
      </x:c>
      <x:c r="AG132" s="4" t="str">
        <x:f t="shared" si="13">IF(AND($A132&gt;=1,$L132&gt;=1,$L132&lt;=500,OR($N132="Tank",$N132="DPS",$N132="Support"),ISNUMBER($D132),ISNUMBER($E132),ISNUMBER($F132)),"有效","异常")</x:f>
        <x:v>有效</x:v>
      </x:c>
      <x:c r="AH132" t="n">
        <x:f>D132/(1-MIN(0.75,F132/(24000+F132)))</x:f>
        <x:v>258783.39025000003</x:v>
      </x:c>
    </x:row>
    <x:row r="133" ht="14.25" customHeight="1">
      <x:c r="A133" s="4">
        <x:v>129</x:v>
      </x:c>
      <x:c r="B133" s="4">
        <x:v>1026</x:v>
      </x:c>
      <x:c r="C133" s="4">
        <x:v>23</x:v>
      </x:c>
      <x:c r="D133" s="5" t="n">
        <x:f>IFERROR(ROUND($U133*$X133*$AA133*'参数'!$B$13,0),"")</x:f>
        <x:v>188738</x:v>
      </x:c>
      <x:c r="E133" s="5" t="n">
        <x:f>IFERROR(ROUND($V133*$Y133*$AB133*'参数'!$C$13,0),"")</x:f>
        <x:v>6945</x:v>
      </x:c>
      <x:c r="F133" s="5" t="n">
        <x:f>IFERROR(ROUND($W133*$Z133*$AC133*'参数'!$D$13,0),"")</x:f>
        <x:v>8907</x:v>
      </x:c>
      <x:c r="G133" s="4">
        <x:v>215832</x:v>
      </x:c>
      <x:c r="H133" s="4">
        <x:v>8083</x:v>
      </x:c>
      <x:c r="I133" s="4">
        <x:v>6735</x:v>
      </x:c>
      <x:c r="J133" s="4">
        <x:v>26</x:v>
      </x:c>
      <x:c r="K133" s="4">
        <x:v>26</x:v>
      </x:c>
      <x:c r="L133" s="4" t="n">
        <x:f>IFERROR(INDEX('楼层配置'!$D$5:$D$104,MATCH($K133,'楼层配置'!$B$5:$B$104,0)),"")</x:f>
        <x:v>104</x:v>
      </x:c>
      <x:c r="M133" s="4" t="str">
        <x:f>IFERROR(INDEX('_角色基线'!$B$2:$B$100,MATCH($B133,'_角色基线'!$A$2:$A$100,0)),"")</x:f>
        <x:v>乔一</x:v>
      </x:c>
      <x:c r="N133" s="4" t="str">
        <x:f>IFERROR(INDEX('_角色基线'!$C$2:$C$100,MATCH($B133,'_角色基线'!$A$2:$A$100,0)),"")</x:f>
        <x:v>DPS</x:v>
      </x:c>
      <x:c r="O133" s="4" t="n">
        <x:f>IFERROR(INDEX('_怪物基线'!$B$2:$B$501,MATCH(INT($L133),'_怪物基线'!$A$2:$A$501,0)),"")</x:f>
        <x:v>40424</x:v>
      </x:c>
      <x:c r="P133" s="4" t="n">
        <x:f>IFERROR(INDEX('_怪物基线'!$C$2:$C$501,MATCH(INT($L133),'_怪物基线'!$A$2:$A$501,0)),"")</x:f>
        <x:v>6996</x:v>
      </x:c>
      <x:c r="Q133" s="4" t="n">
        <x:f>IFERROR(INDEX('_怪物基线'!$D$2:$D$501,MATCH(INT($L133),'_怪物基线'!$A$2:$A$501,0)),"")</x:f>
        <x:v>8907</x:v>
      </x:c>
      <x:c r="R133" s="4" t="n">
        <x:f>'参数'!$B$10</x:f>
        <x:v>4</x:v>
      </x:c>
      <x:c r="S133" s="4" t="n">
        <x:f>'参数'!$C$10</x:f>
        <x:v>1.2</x:v>
      </x:c>
      <x:c r="T133" s="4" t="n">
        <x:f>'参数'!$D$10</x:f>
        <x:v>1</x:v>
      </x:c>
      <x:c r="U133" s="4" t="n">
        <x:f t="shared" ref="U133:U196" si="14">IF($O133="","",$O133*$R133)</x:f>
        <x:v>161696</x:v>
      </x:c>
      <x:c r="V133" s="4" t="n">
        <x:f t="shared" ref="V133:V196" si="15">IF($P133="","",$P133*$S133)</x:f>
        <x:v>8395.199999999999</x:v>
      </x:c>
      <x:c r="W133" s="4" t="n">
        <x:f t="shared" ref="W133:W196" si="16">IF($Q133="","",$Q133*$T133)</x:f>
        <x:v>8907</x:v>
      </x:c>
      <x:c r="X133" s="4" t="n">
        <x:f>IFERROR(INDEX('参数'!$B$5:$B$7,MATCH($N133,'参数'!$A$5:$A$7,0)),"")</x:f>
        <x:v>1</x:v>
      </x:c>
      <x:c r="Y133" s="4" t="n">
        <x:f>IFERROR(INDEX('参数'!$C$5:$C$7,MATCH($N133,'参数'!$A$5:$A$7,0)),"")</x:f>
        <x:v>1.2</x:v>
      </x:c>
      <x:c r="Z133" s="4" t="n">
        <x:f>IFERROR(INDEX('参数'!$D$5:$D$7,MATCH($N133,'参数'!$A$5:$A$7,0)),"")</x:f>
        <x:v>1</x:v>
      </x:c>
      <x:c r="AA133" s="4" t="n">
        <x:f>IFERROR(INDEX('楼层配置'!$E$5:$E$104,MATCH($K133,'楼层配置'!$B$5:$B$104,0)),1)</x:f>
        <x:v>1.1672411666084812</x:v>
      </x:c>
      <x:c r="AB133" s="4" t="n">
        <x:f>IFERROR(INDEX('楼层配置'!$F$5:$F$104,MATCH($K133,'楼层配置'!$B$5:$B$104,0)),1)</x:f>
        <x:v>0.6894177390413162</x:v>
      </x:c>
      <x:c r="AC133" s="4" t="n">
        <x:f>IFERROR(INDEX('楼层配置'!$G$5:$G$104,MATCH($K133,'楼层配置'!$B$5:$B$104,0)),1)</x:f>
        <x:v>1</x:v>
      </x:c>
      <x:c r="AD133" s="6" t="n">
        <x:f t="shared" ref="AD133:AD196" si="17">IFERROR($D133/$G133-1,"")</x:f>
        <x:v>-0.12553282182438197</x:v>
      </x:c>
      <x:c r="AE133" s="6" t="n">
        <x:f t="shared" ref="AE133:AE196" si="18">IFERROR($E133/$H133-1,"")</x:f>
        <x:v>-0.14078931089941848</x:v>
      </x:c>
      <x:c r="AF133" s="6" t="n">
        <x:f t="shared" ref="AF133:AF196" si="19">IFERROR($F133/$I133-1,"")</x:f>
        <x:v>0.3224944320712695</x:v>
      </x:c>
      <x:c r="AG133" s="4" t="str">
        <x:f t="shared" ref="AG133:AG196" si="20">IF(AND($A133&gt;=1,$L133&gt;=1,$L133&lt;=500,OR($N133="Tank",$N133="DPS",$N133="Support"),ISNUMBER($D133),ISNUMBER($E133),ISNUMBER($F133)),"有效","异常")</x:f>
        <x:v>有效</x:v>
      </x:c>
      <x:c r="AH133" t="n">
        <x:f>D133/(1-MIN(0.75,F133/(24000+F133)))</x:f>
        <x:v>258783.39025000003</x:v>
      </x:c>
    </x:row>
    <x:row r="134" ht="14.25" customHeight="1">
      <x:c r="A134" s="4">
        <x:v>130</x:v>
      </x:c>
      <x:c r="B134" s="4">
        <x:v>1012</x:v>
      </x:c>
      <x:c r="C134" s="4">
        <x:v>23</x:v>
      </x:c>
      <x:c r="D134" s="5" t="n">
        <x:f>IFERROR(ROUND($U134*$X134*$AA134*'参数'!$B$13,0),"")</x:f>
        <x:v>235923</x:v>
      </x:c>
      <x:c r="E134" s="5" t="n">
        <x:f>IFERROR(ROUND($V134*$Y134*$AB134*'参数'!$C$13,0),"")</x:f>
        <x:v>5788</x:v>
      </x:c>
      <x:c r="F134" s="5" t="n">
        <x:f>IFERROR(ROUND($W134*$Z134*$AC134*'参数'!$D$13,0),"")</x:f>
        <x:v>11134</x:v>
      </x:c>
      <x:c r="G134" s="4">
        <x:v>269790</x:v>
      </x:c>
      <x:c r="H134" s="4">
        <x:v>6736</x:v>
      </x:c>
      <x:c r="I134" s="4">
        <x:v>8419</x:v>
      </x:c>
      <x:c r="J134" s="4">
        <x:v>26</x:v>
      </x:c>
      <x:c r="K134" s="4">
        <x:v>26</x:v>
      </x:c>
      <x:c r="L134" s="4" t="n">
        <x:f>IFERROR(INDEX('楼层配置'!$D$5:$D$104,MATCH($K134,'楼层配置'!$B$5:$B$104,0)),"")</x:f>
        <x:v>104</x:v>
      </x:c>
      <x:c r="M134" s="4" t="str">
        <x:f>IFERROR(INDEX('_角色基线'!$B$2:$B$100,MATCH($B134,'_角色基线'!$A$2:$A$100,0)),"")</x:f>
        <x:v>艾德琳</x:v>
      </x:c>
      <x:c r="N134" s="4" t="str">
        <x:f>IFERROR(INDEX('_角色基线'!$C$2:$C$100,MATCH($B134,'_角色基线'!$A$2:$A$100,0)),"")</x:f>
        <x:v>Support</x:v>
      </x:c>
      <x:c r="O134" s="4" t="n">
        <x:f>IFERROR(INDEX('_怪物基线'!$B$2:$B$501,MATCH(INT($L134),'_怪物基线'!$A$2:$A$501,0)),"")</x:f>
        <x:v>40424</x:v>
      </x:c>
      <x:c r="P134" s="4" t="n">
        <x:f>IFERROR(INDEX('_怪物基线'!$C$2:$C$501,MATCH(INT($L134),'_怪物基线'!$A$2:$A$501,0)),"")</x:f>
        <x:v>6996</x:v>
      </x:c>
      <x:c r="Q134" s="4" t="n">
        <x:f>IFERROR(INDEX('_怪物基线'!$D$2:$D$501,MATCH(INT($L134),'_怪物基线'!$A$2:$A$501,0)),"")</x:f>
        <x:v>8907</x:v>
      </x:c>
      <x:c r="R134" s="4" t="n">
        <x:f>'参数'!$B$10</x:f>
        <x:v>4</x:v>
      </x:c>
      <x:c r="S134" s="4" t="n">
        <x:f>'参数'!$C$10</x:f>
        <x:v>1.2</x:v>
      </x:c>
      <x:c r="T134" s="4" t="n">
        <x:f>'参数'!$D$10</x:f>
        <x:v>1</x:v>
      </x:c>
      <x:c r="U134" s="4" t="n">
        <x:f t="shared" si="14">IF($O134="","",$O134*$R134)</x:f>
        <x:v>161696</x:v>
      </x:c>
      <x:c r="V134" s="4" t="n">
        <x:f t="shared" si="15">IF($P134="","",$P134*$S134)</x:f>
        <x:v>8395.199999999999</x:v>
      </x:c>
      <x:c r="W134" s="4" t="n">
        <x:f t="shared" si="16">IF($Q134="","",$Q134*$T134)</x:f>
        <x:v>8907</x:v>
      </x:c>
      <x:c r="X134" s="4" t="n">
        <x:f>IFERROR(INDEX('参数'!$B$5:$B$7,MATCH($N134,'参数'!$A$5:$A$7,0)),"")</x:f>
        <x:v>1.25</x:v>
      </x:c>
      <x:c r="Y134" s="4" t="n">
        <x:f>IFERROR(INDEX('参数'!$C$5:$C$7,MATCH($N134,'参数'!$A$5:$A$7,0)),"")</x:f>
        <x:v>1</x:v>
      </x:c>
      <x:c r="Z134" s="4" t="n">
        <x:f>IFERROR(INDEX('参数'!$D$5:$D$7,MATCH($N134,'参数'!$A$5:$A$7,0)),"")</x:f>
        <x:v>1.25</x:v>
      </x:c>
      <x:c r="AA134" s="4" t="n">
        <x:f>IFERROR(INDEX('楼层配置'!$E$5:$E$104,MATCH($K134,'楼层配置'!$B$5:$B$104,0)),1)</x:f>
        <x:v>1.1672411666084812</x:v>
      </x:c>
      <x:c r="AB134" s="4" t="n">
        <x:f>IFERROR(INDEX('楼层配置'!$F$5:$F$104,MATCH($K134,'楼层配置'!$B$5:$B$104,0)),1)</x:f>
        <x:v>0.6894177390413162</x:v>
      </x:c>
      <x:c r="AC134" s="4" t="n">
        <x:f>IFERROR(INDEX('楼层配置'!$G$5:$G$104,MATCH($K134,'楼层配置'!$B$5:$B$104,0)),1)</x:f>
        <x:v>1</x:v>
      </x:c>
      <x:c r="AD134" s="6" t="n">
        <x:f t="shared" si="17">IFERROR($D134/$G134-1,"")</x:f>
        <x:v>-0.1255309685310797</x:v>
      </x:c>
      <x:c r="AE134" s="6" t="n">
        <x:f t="shared" si="18">IFERROR($E134/$H134-1,"")</x:f>
        <x:v>-0.1407363420427553</x:v>
      </x:c>
      <x:c r="AF134" s="6" t="n">
        <x:f t="shared" si="19">IFERROR($F134/$I134-1,"")</x:f>
        <x:v>0.3224848556835729</x:v>
      </x:c>
      <x:c r="AG134" s="4" t="str">
        <x:f t="shared" si="20">IF(AND($A134&gt;=1,$L134&gt;=1,$L134&lt;=500,OR($N134="Tank",$N134="DPS",$N134="Support"),ISNUMBER($D134),ISNUMBER($E134),ISNUMBER($F134)),"有效","异常")</x:f>
        <x:v>有效</x:v>
      </x:c>
      <x:c r="AH134" t="n">
        <x:f>D134/(1-MIN(0.75,F134/(24000+F134)))</x:f>
        <x:v>345371.61175000004</x:v>
      </x:c>
    </x:row>
    <x:row r="135" ht="14.25" customHeight="1">
      <x:c r="A135" s="4">
        <x:v>131</x:v>
      </x:c>
      <x:c r="B135" s="4">
        <x:v>1038</x:v>
      </x:c>
      <x:c r="C135" s="4">
        <x:v>23</x:v>
      </x:c>
      <x:c r="D135" s="5" t="n">
        <x:f>IFERROR(ROUND($U135*$X135*$AA135*'参数'!$B$13,0),"")</x:f>
        <x:v>303481</x:v>
      </x:c>
      <x:c r="E135" s="5" t="n">
        <x:f>IFERROR(ROUND($V135*$Y135*$AB135*'参数'!$C$13,0),"")</x:f>
        <x:v>6035</x:v>
      </x:c>
      <x:c r="F135" s="5" t="n">
        <x:f>IFERROR(ROUND($W135*$Z135*$AC135*'参数'!$D$13,0),"")</x:f>
        <x:v>13949</x:v>
      </x:c>
      <x:c r="G135" s="4">
        <x:v>345996</x:v>
      </x:c>
      <x:c r="H135" s="4">
        <x:v>7036</x:v>
      </x:c>
      <x:c r="I135" s="4">
        <x:v>10504</x:v>
      </x:c>
      <x:c r="J135" s="4">
        <x:v>27</x:v>
      </x:c>
      <x:c r="K135" s="4">
        <x:v>27</x:v>
      </x:c>
      <x:c r="L135" s="4" t="n">
        <x:f>IFERROR(INDEX('楼层配置'!$D$5:$D$104,MATCH($K135,'楼层配置'!$B$5:$B$104,0)),"")</x:f>
        <x:v>108</x:v>
      </x:c>
      <x:c r="M135" s="4" t="str">
        <x:f>IFERROR(INDEX('_角色基线'!$B$2:$B$100,MATCH($B135,'_角色基线'!$A$2:$A$100,0)),"")</x:f>
        <x:v>商队战斗员</x:v>
      </x:c>
      <x:c r="N135" s="4" t="str">
        <x:f>IFERROR(INDEX('_角色基线'!$C$2:$C$100,MATCH($B135,'_角色基线'!$A$2:$A$100,0)),"")</x:f>
        <x:v>Tank</x:v>
      </x:c>
      <x:c r="O135" s="4" t="n">
        <x:f>IFERROR(INDEX('_怪物基线'!$B$2:$B$501,MATCH(INT($L135),'_怪物基线'!$A$2:$A$501,0)),"")</x:f>
        <x:v>43490</x:v>
      </x:c>
      <x:c r="P135" s="4" t="n">
        <x:f>IFERROR(INDEX('_怪物基线'!$C$2:$C$501,MATCH(INT($L135),'_怪物基线'!$A$2:$A$501,0)),"")</x:f>
        <x:v>7380</x:v>
      </x:c>
      <x:c r="Q135" s="4" t="n">
        <x:f>IFERROR(INDEX('_怪物基线'!$D$2:$D$501,MATCH(INT($L135),'_怪物基线'!$A$2:$A$501,0)),"")</x:f>
        <x:v>9299</x:v>
      </x:c>
      <x:c r="R135" s="4" t="n">
        <x:f>'参数'!$B$10</x:f>
        <x:v>4</x:v>
      </x:c>
      <x:c r="S135" s="4" t="n">
        <x:f>'参数'!$C$10</x:f>
        <x:v>1.2</x:v>
      </x:c>
      <x:c r="T135" s="4" t="n">
        <x:f>'参数'!$D$10</x:f>
        <x:v>1</x:v>
      </x:c>
      <x:c r="U135" s="4" t="n">
        <x:f t="shared" si="14">IF($O135="","",$O135*$R135)</x:f>
        <x:v>173960</x:v>
      </x:c>
      <x:c r="V135" s="4" t="n">
        <x:f t="shared" si="15">IF($P135="","",$P135*$S135)</x:f>
        <x:v>8856</x:v>
      </x:c>
      <x:c r="W135" s="4" t="n">
        <x:f t="shared" si="16">IF($Q135="","",$Q135*$T135)</x:f>
        <x:v>9299</x:v>
      </x:c>
      <x:c r="X135" s="4" t="n">
        <x:f>IFERROR(INDEX('参数'!$B$5:$B$7,MATCH($N135,'参数'!$A$5:$A$7,0)),"")</x:f>
        <x:v>1.5</x:v>
      </x:c>
      <x:c r="Y135" s="4" t="n">
        <x:f>IFERROR(INDEX('参数'!$C$5:$C$7,MATCH($N135,'参数'!$A$5:$A$7,0)),"")</x:f>
        <x:v>1</x:v>
      </x:c>
      <x:c r="Z135" s="4" t="n">
        <x:f>IFERROR(INDEX('参数'!$D$5:$D$7,MATCH($N135,'参数'!$A$5:$A$7,0)),"")</x:f>
        <x:v>1.5</x:v>
      </x:c>
      <x:c r="AA135" s="4" t="n">
        <x:f>IFERROR(INDEX('楼层配置'!$E$5:$E$104,MATCH($K135,'楼层配置'!$B$5:$B$104,0)),1)</x:f>
        <x:v>1.1630314848412462</x:v>
      </x:c>
      <x:c r="AB135" s="4" t="n">
        <x:f>IFERROR(INDEX('楼层配置'!$F$5:$F$104,MATCH($K135,'楼层配置'!$B$5:$B$104,0)),1)</x:f>
        <x:v>0.681464488943416</x:v>
      </x:c>
      <x:c r="AC135" s="4" t="n">
        <x:f>IFERROR(INDEX('楼层配置'!$G$5:$G$104,MATCH($K135,'楼层配置'!$B$5:$B$104,0)),1)</x:f>
        <x:v>1</x:v>
      </x:c>
      <x:c r="AD135" s="6" t="n">
        <x:f t="shared" si="17">IFERROR($D135/$G135-1,"")</x:f>
        <x:v>-0.1228771430883594</x:v>
      </x:c>
      <x:c r="AE135" s="6" t="n">
        <x:f t="shared" si="18">IFERROR($E135/$H135-1,"")</x:f>
        <x:v>-0.1422683342808414</x:v>
      </x:c>
      <x:c r="AF135" s="6" t="n">
        <x:f t="shared" si="19">IFERROR($F135/$I135-1,"")</x:f>
        <x:v>0.32797029702970293</x:v>
      </x:c>
      <x:c r="AG135" s="4" t="str">
        <x:f t="shared" si="20">IF(AND($A135&gt;=1,$L135&gt;=1,$L135&lt;=500,OR($N135="Tank",$N135="DPS",$N135="Support"),ISNUMBER($D135),ISNUMBER($E135),ISNUMBER($F135)),"有效","异常")</x:f>
        <x:v>有效</x:v>
      </x:c>
      <x:c r="AH135" t="n">
        <x:f>D135/(1-MIN(0.75,F135/(24000+F135)))</x:f>
        <x:v>479866.6862083333</x:v>
      </x:c>
    </x:row>
    <x:row r="136" ht="14.25" customHeight="1">
      <x:c r="A136" s="4">
        <x:v>132</x:v>
      </x:c>
      <x:c r="B136" s="4">
        <x:v>1002</x:v>
      </x:c>
      <x:c r="C136" s="4">
        <x:v>23</x:v>
      </x:c>
      <x:c r="D136" s="5" t="n">
        <x:f>IFERROR(ROUND($U136*$X136*$AA136*'参数'!$B$13,0),"")</x:f>
        <x:v>303481</x:v>
      </x:c>
      <x:c r="E136" s="5" t="n">
        <x:f>IFERROR(ROUND($V136*$Y136*$AB136*'参数'!$C$13,0),"")</x:f>
        <x:v>6035</x:v>
      </x:c>
      <x:c r="F136" s="5" t="n">
        <x:f>IFERROR(ROUND($W136*$Z136*$AC136*'参数'!$D$13,0),"")</x:f>
        <x:v>13949</x:v>
      </x:c>
      <x:c r="G136" s="4">
        <x:v>345996</x:v>
      </x:c>
      <x:c r="H136" s="4">
        <x:v>7036</x:v>
      </x:c>
      <x:c r="I136" s="4">
        <x:v>10504</x:v>
      </x:c>
      <x:c r="J136" s="4">
        <x:v>27</x:v>
      </x:c>
      <x:c r="K136" s="4">
        <x:v>27</x:v>
      </x:c>
      <x:c r="L136" s="4" t="n">
        <x:f>IFERROR(INDEX('楼层配置'!$D$5:$D$104,MATCH($K136,'楼层配置'!$B$5:$B$104,0)),"")</x:f>
        <x:v>108</x:v>
      </x:c>
      <x:c r="M136" s="4" t="str">
        <x:f>IFERROR(INDEX('_角色基线'!$B$2:$B$100,MATCH($B136,'_角色基线'!$A$2:$A$100,0)),"")</x:f>
        <x:v>大暑</x:v>
      </x:c>
      <x:c r="N136" s="4" t="str">
        <x:f>IFERROR(INDEX('_角色基线'!$C$2:$C$100,MATCH($B136,'_角色基线'!$A$2:$A$100,0)),"")</x:f>
        <x:v>Tank</x:v>
      </x:c>
      <x:c r="O136" s="4" t="n">
        <x:f>IFERROR(INDEX('_怪物基线'!$B$2:$B$501,MATCH(INT($L136),'_怪物基线'!$A$2:$A$501,0)),"")</x:f>
        <x:v>43490</x:v>
      </x:c>
      <x:c r="P136" s="4" t="n">
        <x:f>IFERROR(INDEX('_怪物基线'!$C$2:$C$501,MATCH(INT($L136),'_怪物基线'!$A$2:$A$501,0)),"")</x:f>
        <x:v>7380</x:v>
      </x:c>
      <x:c r="Q136" s="4" t="n">
        <x:f>IFERROR(INDEX('_怪物基线'!$D$2:$D$501,MATCH(INT($L136),'_怪物基线'!$A$2:$A$501,0)),"")</x:f>
        <x:v>9299</x:v>
      </x:c>
      <x:c r="R136" s="4" t="n">
        <x:f>'参数'!$B$10</x:f>
        <x:v>4</x:v>
      </x:c>
      <x:c r="S136" s="4" t="n">
        <x:f>'参数'!$C$10</x:f>
        <x:v>1.2</x:v>
      </x:c>
      <x:c r="T136" s="4" t="n">
        <x:f>'参数'!$D$10</x:f>
        <x:v>1</x:v>
      </x:c>
      <x:c r="U136" s="4" t="n">
        <x:f t="shared" si="14">IF($O136="","",$O136*$R136)</x:f>
        <x:v>173960</x:v>
      </x:c>
      <x:c r="V136" s="4" t="n">
        <x:f t="shared" si="15">IF($P136="","",$P136*$S136)</x:f>
        <x:v>8856</x:v>
      </x:c>
      <x:c r="W136" s="4" t="n">
        <x:f t="shared" si="16">IF($Q136="","",$Q136*$T136)</x:f>
        <x:v>9299</x:v>
      </x:c>
      <x:c r="X136" s="4" t="n">
        <x:f>IFERROR(INDEX('参数'!$B$5:$B$7,MATCH($N136,'参数'!$A$5:$A$7,0)),"")</x:f>
        <x:v>1.5</x:v>
      </x:c>
      <x:c r="Y136" s="4" t="n">
        <x:f>IFERROR(INDEX('参数'!$C$5:$C$7,MATCH($N136,'参数'!$A$5:$A$7,0)),"")</x:f>
        <x:v>1</x:v>
      </x:c>
      <x:c r="Z136" s="4" t="n">
        <x:f>IFERROR(INDEX('参数'!$D$5:$D$7,MATCH($N136,'参数'!$A$5:$A$7,0)),"")</x:f>
        <x:v>1.5</x:v>
      </x:c>
      <x:c r="AA136" s="4" t="n">
        <x:f>IFERROR(INDEX('楼层配置'!$E$5:$E$104,MATCH($K136,'楼层配置'!$B$5:$B$104,0)),1)</x:f>
        <x:v>1.1630314848412462</x:v>
      </x:c>
      <x:c r="AB136" s="4" t="n">
        <x:f>IFERROR(INDEX('楼层配置'!$F$5:$F$104,MATCH($K136,'楼层配置'!$B$5:$B$104,0)),1)</x:f>
        <x:v>0.681464488943416</x:v>
      </x:c>
      <x:c r="AC136" s="4" t="n">
        <x:f>IFERROR(INDEX('楼层配置'!$G$5:$G$104,MATCH($K136,'楼层配置'!$B$5:$B$104,0)),1)</x:f>
        <x:v>1</x:v>
      </x:c>
      <x:c r="AD136" s="6" t="n">
        <x:f t="shared" si="17">IFERROR($D136/$G136-1,"")</x:f>
        <x:v>-0.1228771430883594</x:v>
      </x:c>
      <x:c r="AE136" s="6" t="n">
        <x:f t="shared" si="18">IFERROR($E136/$H136-1,"")</x:f>
        <x:v>-0.1422683342808414</x:v>
      </x:c>
      <x:c r="AF136" s="6" t="n">
        <x:f t="shared" si="19">IFERROR($F136/$I136-1,"")</x:f>
        <x:v>0.32797029702970293</x:v>
      </x:c>
      <x:c r="AG136" s="4" t="str">
        <x:f t="shared" si="20">IF(AND($A136&gt;=1,$L136&gt;=1,$L136&lt;=500,OR($N136="Tank",$N136="DPS",$N136="Support"),ISNUMBER($D136),ISNUMBER($E136),ISNUMBER($F136)),"有效","异常")</x:f>
        <x:v>有效</x:v>
      </x:c>
      <x:c r="AH136" t="n">
        <x:f>D136/(1-MIN(0.75,F136/(24000+F136)))</x:f>
        <x:v>479866.6862083333</x:v>
      </x:c>
    </x:row>
    <x:row r="137" ht="14.25" customHeight="1">
      <x:c r="A137" s="4">
        <x:v>133</x:v>
      </x:c>
      <x:c r="B137" s="4">
        <x:v>1018</x:v>
      </x:c>
      <x:c r="C137" s="4">
        <x:v>23</x:v>
      </x:c>
      <x:c r="D137" s="5" t="n">
        <x:f>IFERROR(ROUND($U137*$X137*$AA137*'参数'!$B$13,0),"")</x:f>
        <x:v>252901</x:v>
      </x:c>
      <x:c r="E137" s="5" t="n">
        <x:f>IFERROR(ROUND($V137*$Y137*$AB137*'参数'!$C$13,0),"")</x:f>
        <x:v>6035</x:v>
      </x:c>
      <x:c r="F137" s="5" t="n">
        <x:f>IFERROR(ROUND($W137*$Z137*$AC137*'参数'!$D$13,0),"")</x:f>
        <x:v>11624</x:v>
      </x:c>
      <x:c r="G137" s="4">
        <x:v>288330</x:v>
      </x:c>
      <x:c r="H137" s="4">
        <x:v>7036</x:v>
      </x:c>
      <x:c r="I137" s="4">
        <x:v>8754</x:v>
      </x:c>
      <x:c r="J137" s="4">
        <x:v>27</x:v>
      </x:c>
      <x:c r="K137" s="4">
        <x:v>27</x:v>
      </x:c>
      <x:c r="L137" s="4" t="n">
        <x:f>IFERROR(INDEX('楼层配置'!$D$5:$D$104,MATCH($K137,'楼层配置'!$B$5:$B$104,0)),"")</x:f>
        <x:v>108</x:v>
      </x:c>
      <x:c r="M137" s="4" t="str">
        <x:f>IFERROR(INDEX('_角色基线'!$B$2:$B$100,MATCH($B137,'_角色基线'!$A$2:$A$100,0)),"")</x:f>
        <x:v>埃莉诺</x:v>
      </x:c>
      <x:c r="N137" s="4" t="str">
        <x:f>IFERROR(INDEX('_角色基线'!$C$2:$C$100,MATCH($B137,'_角色基线'!$A$2:$A$100,0)),"")</x:f>
        <x:v>Support</x:v>
      </x:c>
      <x:c r="O137" s="4" t="n">
        <x:f>IFERROR(INDEX('_怪物基线'!$B$2:$B$501,MATCH(INT($L137),'_怪物基线'!$A$2:$A$501,0)),"")</x:f>
        <x:v>43490</x:v>
      </x:c>
      <x:c r="P137" s="4" t="n">
        <x:f>IFERROR(INDEX('_怪物基线'!$C$2:$C$501,MATCH(INT($L137),'_怪物基线'!$A$2:$A$501,0)),"")</x:f>
        <x:v>7380</x:v>
      </x:c>
      <x:c r="Q137" s="4" t="n">
        <x:f>IFERROR(INDEX('_怪物基线'!$D$2:$D$501,MATCH(INT($L137),'_怪物基线'!$A$2:$A$501,0)),"")</x:f>
        <x:v>9299</x:v>
      </x:c>
      <x:c r="R137" s="4" t="n">
        <x:f>'参数'!$B$10</x:f>
        <x:v>4</x:v>
      </x:c>
      <x:c r="S137" s="4" t="n">
        <x:f>'参数'!$C$10</x:f>
        <x:v>1.2</x:v>
      </x:c>
      <x:c r="T137" s="4" t="n">
        <x:f>'参数'!$D$10</x:f>
        <x:v>1</x:v>
      </x:c>
      <x:c r="U137" s="4" t="n">
        <x:f t="shared" si="14">IF($O137="","",$O137*$R137)</x:f>
        <x:v>173960</x:v>
      </x:c>
      <x:c r="V137" s="4" t="n">
        <x:f t="shared" si="15">IF($P137="","",$P137*$S137)</x:f>
        <x:v>8856</x:v>
      </x:c>
      <x:c r="W137" s="4" t="n">
        <x:f t="shared" si="16">IF($Q137="","",$Q137*$T137)</x:f>
        <x:v>9299</x:v>
      </x:c>
      <x:c r="X137" s="4" t="n">
        <x:f>IFERROR(INDEX('参数'!$B$5:$B$7,MATCH($N137,'参数'!$A$5:$A$7,0)),"")</x:f>
        <x:v>1.25</x:v>
      </x:c>
      <x:c r="Y137" s="4" t="n">
        <x:f>IFERROR(INDEX('参数'!$C$5:$C$7,MATCH($N137,'参数'!$A$5:$A$7,0)),"")</x:f>
        <x:v>1</x:v>
      </x:c>
      <x:c r="Z137" s="4" t="n">
        <x:f>IFERROR(INDEX('参数'!$D$5:$D$7,MATCH($N137,'参数'!$A$5:$A$7,0)),"")</x:f>
        <x:v>1.25</x:v>
      </x:c>
      <x:c r="AA137" s="4" t="n">
        <x:f>IFERROR(INDEX('楼层配置'!$E$5:$E$104,MATCH($K137,'楼层配置'!$B$5:$B$104,0)),1)</x:f>
        <x:v>1.1630314848412462</x:v>
      </x:c>
      <x:c r="AB137" s="4" t="n">
        <x:f>IFERROR(INDEX('楼层配置'!$F$5:$F$104,MATCH($K137,'楼层配置'!$B$5:$B$104,0)),1)</x:f>
        <x:v>0.681464488943416</x:v>
      </x:c>
      <x:c r="AC137" s="4" t="n">
        <x:f>IFERROR(INDEX('楼层配置'!$G$5:$G$104,MATCH($K137,'楼层配置'!$B$5:$B$104,0)),1)</x:f>
        <x:v>1</x:v>
      </x:c>
      <x:c r="AD137" s="6" t="n">
        <x:f t="shared" si="17">IFERROR($D137/$G137-1,"")</x:f>
        <x:v>-0.12287656504699473</x:v>
      </x:c>
      <x:c r="AE137" s="6" t="n">
        <x:f t="shared" si="18">IFERROR($E137/$H137-1,"")</x:f>
        <x:v>-0.1422683342808414</x:v>
      </x:c>
      <x:c r="AF137" s="6" t="n">
        <x:f t="shared" si="19">IFERROR($F137/$I137-1,"")</x:f>
        <x:v>0.3278501256568427</x:v>
      </x:c>
      <x:c r="AG137" s="4" t="str">
        <x:f t="shared" si="20">IF(AND($A137&gt;=1,$L137&gt;=1,$L137&lt;=500,OR($N137="Tank",$N137="DPS",$N137="Support"),ISNUMBER($D137),ISNUMBER($E137),ISNUMBER($F137)),"有效","异常")</x:f>
        <x:v>有效</x:v>
      </x:c>
      <x:c r="AH137" t="n">
        <x:f>D137/(1-MIN(0.75,F137/(24000+F137)))</x:f>
        <x:v>375389.38433333335</x:v>
      </x:c>
    </x:row>
    <x:row r="138" ht="14.25" customHeight="1">
      <x:c r="A138" s="4">
        <x:v>134</x:v>
      </x:c>
      <x:c r="B138" s="4">
        <x:v>1021</x:v>
      </x:c>
      <x:c r="C138" s="4">
        <x:v>23</x:v>
      </x:c>
      <x:c r="D138" s="5" t="n">
        <x:f>IFERROR(ROUND($U138*$X138*$AA138*'参数'!$B$13,0),"")</x:f>
        <x:v>202321</x:v>
      </x:c>
      <x:c r="E138" s="5" t="n">
        <x:f>IFERROR(ROUND($V138*$Y138*$AB138*'参数'!$C$13,0),"")</x:f>
        <x:v>7242</x:v>
      </x:c>
      <x:c r="F138" s="5" t="n">
        <x:f>IFERROR(ROUND($W138*$Z138*$AC138*'参数'!$D$13,0),"")</x:f>
        <x:v>9299</x:v>
      </x:c>
      <x:c r="G138" s="4">
        <x:v>230664</x:v>
      </x:c>
      <x:c r="H138" s="4">
        <x:v>8443</x:v>
      </x:c>
      <x:c r="I138" s="4">
        <x:v>7003</x:v>
      </x:c>
      <x:c r="J138" s="4">
        <x:v>27</x:v>
      </x:c>
      <x:c r="K138" s="4">
        <x:v>27</x:v>
      </x:c>
      <x:c r="L138" s="4" t="n">
        <x:f>IFERROR(INDEX('楼层配置'!$D$5:$D$104,MATCH($K138,'楼层配置'!$B$5:$B$104,0)),"")</x:f>
        <x:v>108</x:v>
      </x:c>
      <x:c r="M138" s="4" t="str">
        <x:f>IFERROR(INDEX('_角色基线'!$B$2:$B$100,MATCH($B138,'_角色基线'!$A$2:$A$100,0)),"")</x:f>
        <x:v>梅梅</x:v>
      </x:c>
      <x:c r="N138" s="4" t="str">
        <x:f>IFERROR(INDEX('_角色基线'!$C$2:$C$100,MATCH($B138,'_角色基线'!$A$2:$A$100,0)),"")</x:f>
        <x:v>DPS</x:v>
      </x:c>
      <x:c r="O138" s="4" t="n">
        <x:f>IFERROR(INDEX('_怪物基线'!$B$2:$B$501,MATCH(INT($L138),'_怪物基线'!$A$2:$A$501,0)),"")</x:f>
        <x:v>43490</x:v>
      </x:c>
      <x:c r="P138" s="4" t="n">
        <x:f>IFERROR(INDEX('_怪物基线'!$C$2:$C$501,MATCH(INT($L138),'_怪物基线'!$A$2:$A$501,0)),"")</x:f>
        <x:v>7380</x:v>
      </x:c>
      <x:c r="Q138" s="4" t="n">
        <x:f>IFERROR(INDEX('_怪物基线'!$D$2:$D$501,MATCH(INT($L138),'_怪物基线'!$A$2:$A$501,0)),"")</x:f>
        <x:v>9299</x:v>
      </x:c>
      <x:c r="R138" s="4" t="n">
        <x:f>'参数'!$B$10</x:f>
        <x:v>4</x:v>
      </x:c>
      <x:c r="S138" s="4" t="n">
        <x:f>'参数'!$C$10</x:f>
        <x:v>1.2</x:v>
      </x:c>
      <x:c r="T138" s="4" t="n">
        <x:f>'参数'!$D$10</x:f>
        <x:v>1</x:v>
      </x:c>
      <x:c r="U138" s="4" t="n">
        <x:f t="shared" si="14">IF($O138="","",$O138*$R138)</x:f>
        <x:v>173960</x:v>
      </x:c>
      <x:c r="V138" s="4" t="n">
        <x:f t="shared" si="15">IF($P138="","",$P138*$S138)</x:f>
        <x:v>8856</x:v>
      </x:c>
      <x:c r="W138" s="4" t="n">
        <x:f t="shared" si="16">IF($Q138="","",$Q138*$T138)</x:f>
        <x:v>9299</x:v>
      </x:c>
      <x:c r="X138" s="4" t="n">
        <x:f>IFERROR(INDEX('参数'!$B$5:$B$7,MATCH($N138,'参数'!$A$5:$A$7,0)),"")</x:f>
        <x:v>1</x:v>
      </x:c>
      <x:c r="Y138" s="4" t="n">
        <x:f>IFERROR(INDEX('参数'!$C$5:$C$7,MATCH($N138,'参数'!$A$5:$A$7,0)),"")</x:f>
        <x:v>1.2</x:v>
      </x:c>
      <x:c r="Z138" s="4" t="n">
        <x:f>IFERROR(INDEX('参数'!$D$5:$D$7,MATCH($N138,'参数'!$A$5:$A$7,0)),"")</x:f>
        <x:v>1</x:v>
      </x:c>
      <x:c r="AA138" s="4" t="n">
        <x:f>IFERROR(INDEX('楼层配置'!$E$5:$E$104,MATCH($K138,'楼层配置'!$B$5:$B$104,0)),1)</x:f>
        <x:v>1.1630314848412462</x:v>
      </x:c>
      <x:c r="AB138" s="4" t="n">
        <x:f>IFERROR(INDEX('楼层配置'!$F$5:$F$104,MATCH($K138,'楼层配置'!$B$5:$B$104,0)),1)</x:f>
        <x:v>0.681464488943416</x:v>
      </x:c>
      <x:c r="AC138" s="4" t="n">
        <x:f>IFERROR(INDEX('楼层配置'!$G$5:$G$104,MATCH($K138,'楼层配置'!$B$5:$B$104,0)),1)</x:f>
        <x:v>1</x:v>
      </x:c>
      <x:c r="AD138" s="6" t="n">
        <x:f t="shared" si="17">IFERROR($D138/$G138-1,"")</x:f>
        <x:v>-0.1228756979849478</x:v>
      </x:c>
      <x:c r="AE138" s="6" t="n">
        <x:f t="shared" si="18">IFERROR($E138/$H138-1,"")</x:f>
        <x:v>-0.14224801610801852</x:v>
      </x:c>
      <x:c r="AF138" s="6" t="n">
        <x:f t="shared" si="19">IFERROR($F138/$I138-1,"")</x:f>
        <x:v>0.3278594887905184</x:v>
      </x:c>
      <x:c r="AG138" s="4" t="str">
        <x:f t="shared" si="20">IF(AND($A138&gt;=1,$L138&gt;=1,$L138&lt;=500,OR($N138="Tank",$N138="DPS",$N138="Support"),ISNUMBER($D138),ISNUMBER($E138),ISNUMBER($F138)),"有效","异常")</x:f>
        <x:v>有效</x:v>
      </x:c>
      <x:c r="AH138" t="n">
        <x:f>D138/(1-MIN(0.75,F138/(24000+F138)))</x:f>
        <x:v>280711.95745833335</x:v>
      </x:c>
    </x:row>
    <x:row r="139" ht="14.25" customHeight="1">
      <x:c r="A139" s="4">
        <x:v>135</x:v>
      </x:c>
      <x:c r="B139" s="4">
        <x:v>1011</x:v>
      </x:c>
      <x:c r="C139" s="4">
        <x:v>23</x:v>
      </x:c>
      <x:c r="D139" s="5" t="n">
        <x:f>IFERROR(ROUND($U139*$X139*$AA139*'参数'!$B$13,0),"")</x:f>
        <x:v>252901</x:v>
      </x:c>
      <x:c r="E139" s="5" t="n">
        <x:f>IFERROR(ROUND($V139*$Y139*$AB139*'参数'!$C$13,0),"")</x:f>
        <x:v>6035</x:v>
      </x:c>
      <x:c r="F139" s="5" t="n">
        <x:f>IFERROR(ROUND($W139*$Z139*$AC139*'参数'!$D$13,0),"")</x:f>
        <x:v>11624</x:v>
      </x:c>
      <x:c r="G139" s="4">
        <x:v>288330</x:v>
      </x:c>
      <x:c r="H139" s="4">
        <x:v>7036</x:v>
      </x:c>
      <x:c r="I139" s="4">
        <x:v>8754</x:v>
      </x:c>
      <x:c r="J139" s="4">
        <x:v>27</x:v>
      </x:c>
      <x:c r="K139" s="4">
        <x:v>27</x:v>
      </x:c>
      <x:c r="L139" s="4" t="n">
        <x:f>IFERROR(INDEX('楼层配置'!$D$5:$D$104,MATCH($K139,'楼层配置'!$B$5:$B$104,0)),"")</x:f>
        <x:v>108</x:v>
      </x:c>
      <x:c r="M139" s="4" t="str">
        <x:f>IFERROR(INDEX('_角色基线'!$B$2:$B$100,MATCH($B139,'_角色基线'!$A$2:$A$100,0)),"")</x:f>
        <x:v>陈双双</x:v>
      </x:c>
      <x:c r="N139" s="4" t="str">
        <x:f>IFERROR(INDEX('_角色基线'!$C$2:$C$100,MATCH($B139,'_角色基线'!$A$2:$A$100,0)),"")</x:f>
        <x:v>Support</x:v>
      </x:c>
      <x:c r="O139" s="4" t="n">
        <x:f>IFERROR(INDEX('_怪物基线'!$B$2:$B$501,MATCH(INT($L139),'_怪物基线'!$A$2:$A$501,0)),"")</x:f>
        <x:v>43490</x:v>
      </x:c>
      <x:c r="P139" s="4" t="n">
        <x:f>IFERROR(INDEX('_怪物基线'!$C$2:$C$501,MATCH(INT($L139),'_怪物基线'!$A$2:$A$501,0)),"")</x:f>
        <x:v>7380</x:v>
      </x:c>
      <x:c r="Q139" s="4" t="n">
        <x:f>IFERROR(INDEX('_怪物基线'!$D$2:$D$501,MATCH(INT($L139),'_怪物基线'!$A$2:$A$501,0)),"")</x:f>
        <x:v>9299</x:v>
      </x:c>
      <x:c r="R139" s="4" t="n">
        <x:f>'参数'!$B$10</x:f>
        <x:v>4</x:v>
      </x:c>
      <x:c r="S139" s="4" t="n">
        <x:f>'参数'!$C$10</x:f>
        <x:v>1.2</x:v>
      </x:c>
      <x:c r="T139" s="4" t="n">
        <x:f>'参数'!$D$10</x:f>
        <x:v>1</x:v>
      </x:c>
      <x:c r="U139" s="4" t="n">
        <x:f t="shared" si="14">IF($O139="","",$O139*$R139)</x:f>
        <x:v>173960</x:v>
      </x:c>
      <x:c r="V139" s="4" t="n">
        <x:f t="shared" si="15">IF($P139="","",$P139*$S139)</x:f>
        <x:v>8856</x:v>
      </x:c>
      <x:c r="W139" s="4" t="n">
        <x:f t="shared" si="16">IF($Q139="","",$Q139*$T139)</x:f>
        <x:v>9299</x:v>
      </x:c>
      <x:c r="X139" s="4" t="n">
        <x:f>IFERROR(INDEX('参数'!$B$5:$B$7,MATCH($N139,'参数'!$A$5:$A$7,0)),"")</x:f>
        <x:v>1.25</x:v>
      </x:c>
      <x:c r="Y139" s="4" t="n">
        <x:f>IFERROR(INDEX('参数'!$C$5:$C$7,MATCH($N139,'参数'!$A$5:$A$7,0)),"")</x:f>
        <x:v>1</x:v>
      </x:c>
      <x:c r="Z139" s="4" t="n">
        <x:f>IFERROR(INDEX('参数'!$D$5:$D$7,MATCH($N139,'参数'!$A$5:$A$7,0)),"")</x:f>
        <x:v>1.25</x:v>
      </x:c>
      <x:c r="AA139" s="4" t="n">
        <x:f>IFERROR(INDEX('楼层配置'!$E$5:$E$104,MATCH($K139,'楼层配置'!$B$5:$B$104,0)),1)</x:f>
        <x:v>1.1630314848412462</x:v>
      </x:c>
      <x:c r="AB139" s="4" t="n">
        <x:f>IFERROR(INDEX('楼层配置'!$F$5:$F$104,MATCH($K139,'楼层配置'!$B$5:$B$104,0)),1)</x:f>
        <x:v>0.681464488943416</x:v>
      </x:c>
      <x:c r="AC139" s="4" t="n">
        <x:f>IFERROR(INDEX('楼层配置'!$G$5:$G$104,MATCH($K139,'楼层配置'!$B$5:$B$104,0)),1)</x:f>
        <x:v>1</x:v>
      </x:c>
      <x:c r="AD139" s="6" t="n">
        <x:f t="shared" si="17">IFERROR($D139/$G139-1,"")</x:f>
        <x:v>-0.12287656504699473</x:v>
      </x:c>
      <x:c r="AE139" s="6" t="n">
        <x:f t="shared" si="18">IFERROR($E139/$H139-1,"")</x:f>
        <x:v>-0.1422683342808414</x:v>
      </x:c>
      <x:c r="AF139" s="6" t="n">
        <x:f t="shared" si="19">IFERROR($F139/$I139-1,"")</x:f>
        <x:v>0.3278501256568427</x:v>
      </x:c>
      <x:c r="AG139" s="4" t="str">
        <x:f t="shared" si="20">IF(AND($A139&gt;=1,$L139&gt;=1,$L139&lt;=500,OR($N139="Tank",$N139="DPS",$N139="Support"),ISNUMBER($D139),ISNUMBER($E139),ISNUMBER($F139)),"有效","异常")</x:f>
        <x:v>有效</x:v>
      </x:c>
      <x:c r="AH139" t="n">
        <x:f>D139/(1-MIN(0.75,F139/(24000+F139)))</x:f>
        <x:v>375389.38433333335</x:v>
      </x:c>
    </x:row>
    <x:row r="140" ht="14.25" customHeight="1">
      <x:c r="A140" s="4">
        <x:v>136</x:v>
      </x:c>
      <x:c r="B140" s="4">
        <x:v>1038</x:v>
      </x:c>
      <x:c r="C140" s="4">
        <x:v>24</x:v>
      </x:c>
      <x:c r="D140" s="5" t="n">
        <x:f>IFERROR(ROUND($U140*$X140*$AA140*'参数'!$B$13,0),"")</x:f>
        <x:v>326882</x:v>
      </x:c>
      <x:c r="E140" s="5" t="n">
        <x:f>IFERROR(ROUND($V140*$Y140*$AB140*'参数'!$C$13,0),"")</x:f>
        <x:v>6348</x:v>
      </x:c>
      <x:c r="F140" s="5" t="n">
        <x:f>IFERROR(ROUND($W140*$Z140*$AC140*'参数'!$D$13,0),"")</x:f>
        <x:v>14541</x:v>
      </x:c>
      <x:c r="G140" s="4">
        <x:v>369252</x:v>
      </x:c>
      <x:c r="H140" s="4">
        <x:v>7342</x:v>
      </x:c>
      <x:c r="I140" s="4">
        <x:v>10911</x:v>
      </x:c>
      <x:c r="J140" s="4">
        <x:v>28</x:v>
      </x:c>
      <x:c r="K140" s="4">
        <x:v>28</x:v>
      </x:c>
      <x:c r="L140" s="4" t="n">
        <x:f>IFERROR(INDEX('楼层配置'!$D$5:$D$104,MATCH($K140,'楼层配置'!$B$5:$B$104,0)),"")</x:f>
        <x:v>112</x:v>
      </x:c>
      <x:c r="M140" s="4" t="str">
        <x:f>IFERROR(INDEX('_角色基线'!$B$2:$B$100,MATCH($B140,'_角色基线'!$A$2:$A$100,0)),"")</x:f>
        <x:v>商队战斗员</x:v>
      </x:c>
      <x:c r="N140" s="4" t="str">
        <x:f>IFERROR(INDEX('_角色基线'!$C$2:$C$100,MATCH($B140,'_角色基线'!$A$2:$A$100,0)),"")</x:f>
        <x:v>Tank</x:v>
      </x:c>
      <x:c r="O140" s="4" t="n">
        <x:f>IFERROR(INDEX('_怪物基线'!$B$2:$B$501,MATCH(INT($L140),'_怪物基线'!$A$2:$A$501,0)),"")</x:f>
        <x:v>46708</x:v>
      </x:c>
      <x:c r="P140" s="4" t="n">
        <x:f>IFERROR(INDEX('_怪物基线'!$C$2:$C$501,MATCH(INT($L140),'_怪物基线'!$A$2:$A$501,0)),"")</x:f>
        <x:v>7774</x:v>
      </x:c>
      <x:c r="Q140" s="4" t="n">
        <x:f>IFERROR(INDEX('_怪物基线'!$D$2:$D$501,MATCH(INT($L140),'_怪物基线'!$A$2:$A$501,0)),"")</x:f>
        <x:v>9694</x:v>
      </x:c>
      <x:c r="R140" s="4" t="n">
        <x:f>'参数'!$B$10</x:f>
        <x:v>4</x:v>
      </x:c>
      <x:c r="S140" s="4" t="n">
        <x:f>'参数'!$C$10</x:f>
        <x:v>1.2</x:v>
      </x:c>
      <x:c r="T140" s="4" t="n">
        <x:f>'参数'!$D$10</x:f>
        <x:v>1</x:v>
      </x:c>
      <x:c r="U140" s="4" t="n">
        <x:f t="shared" si="14">IF($O140="","",$O140*$R140)</x:f>
        <x:v>186832</x:v>
      </x:c>
      <x:c r="V140" s="4" t="n">
        <x:f t="shared" si="15">IF($P140="","",$P140*$S140)</x:f>
        <x:v>9328.8</x:v>
      </x:c>
      <x:c r="W140" s="4" t="n">
        <x:f t="shared" si="16">IF($Q140="","",$Q140*$T140)</x:f>
        <x:v>9694</x:v>
      </x:c>
      <x:c r="X140" s="4" t="n">
        <x:f>IFERROR(INDEX('参数'!$B$5:$B$7,MATCH($N140,'参数'!$A$5:$A$7,0)),"")</x:f>
        <x:v>1.5</x:v>
      </x:c>
      <x:c r="Y140" s="4" t="n">
        <x:f>IFERROR(INDEX('参数'!$C$5:$C$7,MATCH($N140,'参数'!$A$5:$A$7,0)),"")</x:f>
        <x:v>1</x:v>
      </x:c>
      <x:c r="Z140" s="4" t="n">
        <x:f>IFERROR(INDEX('参数'!$D$5:$D$7,MATCH($N140,'参数'!$A$5:$A$7,0)),"")</x:f>
        <x:v>1.5</x:v>
      </x:c>
      <x:c r="AA140" s="4" t="n">
        <x:f>IFERROR(INDEX('楼层配置'!$E$5:$E$104,MATCH($K140,'楼层配置'!$B$5:$B$104,0)),1)</x:f>
        <x:v>1.1664008569423787</x:v>
      </x:c>
      <x:c r="AB140" s="4" t="n">
        <x:f>IFERROR(INDEX('楼层配置'!$F$5:$F$104,MATCH($K140,'楼层配置'!$B$5:$B$104,0)),1)</x:f>
        <x:v>0.6805018603323929</x:v>
      </x:c>
      <x:c r="AC140" s="4" t="n">
        <x:f>IFERROR(INDEX('楼层配置'!$G$5:$G$104,MATCH($K140,'楼层配置'!$B$5:$B$104,0)),1)</x:f>
        <x:v>1</x:v>
      </x:c>
      <x:c r="AD140" s="6" t="n">
        <x:f t="shared" si="17">IFERROR($D140/$G140-1,"")</x:f>
        <x:v>-0.11474548546791896</x:v>
      </x:c>
      <x:c r="AE140" s="6" t="n">
        <x:f t="shared" si="18">IFERROR($E140/$H140-1,"")</x:f>
        <x:v>-0.13538545355488962</x:v>
      </x:c>
      <x:c r="AF140" s="6" t="n">
        <x:f t="shared" si="19">IFERROR($F140/$I140-1,"")</x:f>
        <x:v>0.3326917789386856</x:v>
      </x:c>
      <x:c r="AG140" s="4" t="str">
        <x:f t="shared" si="20">IF(AND($A140&gt;=1,$L140&gt;=1,$L140&lt;=500,OR($N140="Tank",$N140="DPS",$N140="Support"),ISNUMBER($D140),ISNUMBER($E140),ISNUMBER($F140)),"有效","异常")</x:f>
        <x:v>有效</x:v>
      </x:c>
      <x:c r="AH140" t="n">
        <x:f>D140/(1-MIN(0.75,F140/(24000+F140)))</x:f>
        <x:v>524931.6317500001</x:v>
      </x:c>
    </x:row>
    <x:row r="141" ht="14.25" customHeight="1">
      <x:c r="A141" s="4">
        <x:v>137</x:v>
      </x:c>
      <x:c r="B141" s="4">
        <x:v>1030</x:v>
      </x:c>
      <x:c r="C141" s="4">
        <x:v>24</x:v>
      </x:c>
      <x:c r="D141" s="5" t="n">
        <x:f>IFERROR(ROUND($U141*$X141*$AA141*'参数'!$B$13,0),"")</x:f>
        <x:v>326882</x:v>
      </x:c>
      <x:c r="E141" s="5" t="n">
        <x:f>IFERROR(ROUND($V141*$Y141*$AB141*'参数'!$C$13,0),"")</x:f>
        <x:v>6348</x:v>
      </x:c>
      <x:c r="F141" s="5" t="n">
        <x:f>IFERROR(ROUND($W141*$Z141*$AC141*'参数'!$D$13,0),"")</x:f>
        <x:v>14541</x:v>
      </x:c>
      <x:c r="G141" s="4">
        <x:v>369252</x:v>
      </x:c>
      <x:c r="H141" s="4">
        <x:v>7342</x:v>
      </x:c>
      <x:c r="I141" s="4">
        <x:v>10911</x:v>
      </x:c>
      <x:c r="J141" s="4">
        <x:v>28</x:v>
      </x:c>
      <x:c r="K141" s="4">
        <x:v>28</x:v>
      </x:c>
      <x:c r="L141" s="4" t="n">
        <x:f>IFERROR(INDEX('楼层配置'!$D$5:$D$104,MATCH($K141,'楼层配置'!$B$5:$B$104,0)),"")</x:f>
        <x:v>112</x:v>
      </x:c>
      <x:c r="M141" s="4" t="str">
        <x:f>IFERROR(INDEX('_角色基线'!$B$2:$B$100,MATCH($B141,'_角色基线'!$A$2:$A$100,0)),"")</x:f>
        <x:v>莫莉</x:v>
      </x:c>
      <x:c r="N141" s="4" t="str">
        <x:f>IFERROR(INDEX('_角色基线'!$C$2:$C$100,MATCH($B141,'_角色基线'!$A$2:$A$100,0)),"")</x:f>
        <x:v>Tank</x:v>
      </x:c>
      <x:c r="O141" s="4" t="n">
        <x:f>IFERROR(INDEX('_怪物基线'!$B$2:$B$501,MATCH(INT($L141),'_怪物基线'!$A$2:$A$501,0)),"")</x:f>
        <x:v>46708</x:v>
      </x:c>
      <x:c r="P141" s="4" t="n">
        <x:f>IFERROR(INDEX('_怪物基线'!$C$2:$C$501,MATCH(INT($L141),'_怪物基线'!$A$2:$A$501,0)),"")</x:f>
        <x:v>7774</x:v>
      </x:c>
      <x:c r="Q141" s="4" t="n">
        <x:f>IFERROR(INDEX('_怪物基线'!$D$2:$D$501,MATCH(INT($L141),'_怪物基线'!$A$2:$A$501,0)),"")</x:f>
        <x:v>9694</x:v>
      </x:c>
      <x:c r="R141" s="4" t="n">
        <x:f>'参数'!$B$10</x:f>
        <x:v>4</x:v>
      </x:c>
      <x:c r="S141" s="4" t="n">
        <x:f>'参数'!$C$10</x:f>
        <x:v>1.2</x:v>
      </x:c>
      <x:c r="T141" s="4" t="n">
        <x:f>'参数'!$D$10</x:f>
        <x:v>1</x:v>
      </x:c>
      <x:c r="U141" s="4" t="n">
        <x:f t="shared" si="14">IF($O141="","",$O141*$R141)</x:f>
        <x:v>186832</x:v>
      </x:c>
      <x:c r="V141" s="4" t="n">
        <x:f t="shared" si="15">IF($P141="","",$P141*$S141)</x:f>
        <x:v>9328.8</x:v>
      </x:c>
      <x:c r="W141" s="4" t="n">
        <x:f t="shared" si="16">IF($Q141="","",$Q141*$T141)</x:f>
        <x:v>9694</x:v>
      </x:c>
      <x:c r="X141" s="4" t="n">
        <x:f>IFERROR(INDEX('参数'!$B$5:$B$7,MATCH($N141,'参数'!$A$5:$A$7,0)),"")</x:f>
        <x:v>1.5</x:v>
      </x:c>
      <x:c r="Y141" s="4" t="n">
        <x:f>IFERROR(INDEX('参数'!$C$5:$C$7,MATCH($N141,'参数'!$A$5:$A$7,0)),"")</x:f>
        <x:v>1</x:v>
      </x:c>
      <x:c r="Z141" s="4" t="n">
        <x:f>IFERROR(INDEX('参数'!$D$5:$D$7,MATCH($N141,'参数'!$A$5:$A$7,0)),"")</x:f>
        <x:v>1.5</x:v>
      </x:c>
      <x:c r="AA141" s="4" t="n">
        <x:f>IFERROR(INDEX('楼层配置'!$E$5:$E$104,MATCH($K141,'楼层配置'!$B$5:$B$104,0)),1)</x:f>
        <x:v>1.1664008569423787</x:v>
      </x:c>
      <x:c r="AB141" s="4" t="n">
        <x:f>IFERROR(INDEX('楼层配置'!$F$5:$F$104,MATCH($K141,'楼层配置'!$B$5:$B$104,0)),1)</x:f>
        <x:v>0.6805018603323929</x:v>
      </x:c>
      <x:c r="AC141" s="4" t="n">
        <x:f>IFERROR(INDEX('楼层配置'!$G$5:$G$104,MATCH($K141,'楼层配置'!$B$5:$B$104,0)),1)</x:f>
        <x:v>1</x:v>
      </x:c>
      <x:c r="AD141" s="6" t="n">
        <x:f t="shared" si="17">IFERROR($D141/$G141-1,"")</x:f>
        <x:v>-0.11474548546791896</x:v>
      </x:c>
      <x:c r="AE141" s="6" t="n">
        <x:f t="shared" si="18">IFERROR($E141/$H141-1,"")</x:f>
        <x:v>-0.13538545355488962</x:v>
      </x:c>
      <x:c r="AF141" s="6" t="n">
        <x:f t="shared" si="19">IFERROR($F141/$I141-1,"")</x:f>
        <x:v>0.3326917789386856</x:v>
      </x:c>
      <x:c r="AG141" s="4" t="str">
        <x:f t="shared" si="20">IF(AND($A141&gt;=1,$L141&gt;=1,$L141&lt;=500,OR($N141="Tank",$N141="DPS",$N141="Support"),ISNUMBER($D141),ISNUMBER($E141),ISNUMBER($F141)),"有效","异常")</x:f>
        <x:v>有效</x:v>
      </x:c>
      <x:c r="AH141" t="n">
        <x:f>D141/(1-MIN(0.75,F141/(24000+F141)))</x:f>
        <x:v>524931.6317500001</x:v>
      </x:c>
    </x:row>
    <x:row r="142" ht="14.25" customHeight="1">
      <x:c r="A142" s="4">
        <x:v>138</x:v>
      </x:c>
      <x:c r="B142" s="4">
        <x:v>1002</x:v>
      </x:c>
      <x:c r="C142" s="4">
        <x:v>24</x:v>
      </x:c>
      <x:c r="D142" s="5" t="n">
        <x:f>IFERROR(ROUND($U142*$X142*$AA142*'参数'!$B$13,0),"")</x:f>
        <x:v>326882</x:v>
      </x:c>
      <x:c r="E142" s="5" t="n">
        <x:f>IFERROR(ROUND($V142*$Y142*$AB142*'参数'!$C$13,0),"")</x:f>
        <x:v>6348</x:v>
      </x:c>
      <x:c r="F142" s="5" t="n">
        <x:f>IFERROR(ROUND($W142*$Z142*$AC142*'参数'!$D$13,0),"")</x:f>
        <x:v>14541</x:v>
      </x:c>
      <x:c r="G142" s="4">
        <x:v>369252</x:v>
      </x:c>
      <x:c r="H142" s="4">
        <x:v>7342</x:v>
      </x:c>
      <x:c r="I142" s="4">
        <x:v>10911</x:v>
      </x:c>
      <x:c r="J142" s="4">
        <x:v>28</x:v>
      </x:c>
      <x:c r="K142" s="4">
        <x:v>28</x:v>
      </x:c>
      <x:c r="L142" s="4" t="n">
        <x:f>IFERROR(INDEX('楼层配置'!$D$5:$D$104,MATCH($K142,'楼层配置'!$B$5:$B$104,0)),"")</x:f>
        <x:v>112</x:v>
      </x:c>
      <x:c r="M142" s="4" t="str">
        <x:f>IFERROR(INDEX('_角色基线'!$B$2:$B$100,MATCH($B142,'_角色基线'!$A$2:$A$100,0)),"")</x:f>
        <x:v>大暑</x:v>
      </x:c>
      <x:c r="N142" s="4" t="str">
        <x:f>IFERROR(INDEX('_角色基线'!$C$2:$C$100,MATCH($B142,'_角色基线'!$A$2:$A$100,0)),"")</x:f>
        <x:v>Tank</x:v>
      </x:c>
      <x:c r="O142" s="4" t="n">
        <x:f>IFERROR(INDEX('_怪物基线'!$B$2:$B$501,MATCH(INT($L142),'_怪物基线'!$A$2:$A$501,0)),"")</x:f>
        <x:v>46708</x:v>
      </x:c>
      <x:c r="P142" s="4" t="n">
        <x:f>IFERROR(INDEX('_怪物基线'!$C$2:$C$501,MATCH(INT($L142),'_怪物基线'!$A$2:$A$501,0)),"")</x:f>
        <x:v>7774</x:v>
      </x:c>
      <x:c r="Q142" s="4" t="n">
        <x:f>IFERROR(INDEX('_怪物基线'!$D$2:$D$501,MATCH(INT($L142),'_怪物基线'!$A$2:$A$501,0)),"")</x:f>
        <x:v>9694</x:v>
      </x:c>
      <x:c r="R142" s="4" t="n">
        <x:f>'参数'!$B$10</x:f>
        <x:v>4</x:v>
      </x:c>
      <x:c r="S142" s="4" t="n">
        <x:f>'参数'!$C$10</x:f>
        <x:v>1.2</x:v>
      </x:c>
      <x:c r="T142" s="4" t="n">
        <x:f>'参数'!$D$10</x:f>
        <x:v>1</x:v>
      </x:c>
      <x:c r="U142" s="4" t="n">
        <x:f t="shared" si="14">IF($O142="","",$O142*$R142)</x:f>
        <x:v>186832</x:v>
      </x:c>
      <x:c r="V142" s="4" t="n">
        <x:f t="shared" si="15">IF($P142="","",$P142*$S142)</x:f>
        <x:v>9328.8</x:v>
      </x:c>
      <x:c r="W142" s="4" t="n">
        <x:f t="shared" si="16">IF($Q142="","",$Q142*$T142)</x:f>
        <x:v>9694</x:v>
      </x:c>
      <x:c r="X142" s="4" t="n">
        <x:f>IFERROR(INDEX('参数'!$B$5:$B$7,MATCH($N142,'参数'!$A$5:$A$7,0)),"")</x:f>
        <x:v>1.5</x:v>
      </x:c>
      <x:c r="Y142" s="4" t="n">
        <x:f>IFERROR(INDEX('参数'!$C$5:$C$7,MATCH($N142,'参数'!$A$5:$A$7,0)),"")</x:f>
        <x:v>1</x:v>
      </x:c>
      <x:c r="Z142" s="4" t="n">
        <x:f>IFERROR(INDEX('参数'!$D$5:$D$7,MATCH($N142,'参数'!$A$5:$A$7,0)),"")</x:f>
        <x:v>1.5</x:v>
      </x:c>
      <x:c r="AA142" s="4" t="n">
        <x:f>IFERROR(INDEX('楼层配置'!$E$5:$E$104,MATCH($K142,'楼层配置'!$B$5:$B$104,0)),1)</x:f>
        <x:v>1.1664008569423787</x:v>
      </x:c>
      <x:c r="AB142" s="4" t="n">
        <x:f>IFERROR(INDEX('楼层配置'!$F$5:$F$104,MATCH($K142,'楼层配置'!$B$5:$B$104,0)),1)</x:f>
        <x:v>0.6805018603323929</x:v>
      </x:c>
      <x:c r="AC142" s="4" t="n">
        <x:f>IFERROR(INDEX('楼层配置'!$G$5:$G$104,MATCH($K142,'楼层配置'!$B$5:$B$104,0)),1)</x:f>
        <x:v>1</x:v>
      </x:c>
      <x:c r="AD142" s="6" t="n">
        <x:f t="shared" si="17">IFERROR($D142/$G142-1,"")</x:f>
        <x:v>-0.11474548546791896</x:v>
      </x:c>
      <x:c r="AE142" s="6" t="n">
        <x:f t="shared" si="18">IFERROR($E142/$H142-1,"")</x:f>
        <x:v>-0.13538545355488962</x:v>
      </x:c>
      <x:c r="AF142" s="6" t="n">
        <x:f t="shared" si="19">IFERROR($F142/$I142-1,"")</x:f>
        <x:v>0.3326917789386856</x:v>
      </x:c>
      <x:c r="AG142" s="4" t="str">
        <x:f t="shared" si="20">IF(AND($A142&gt;=1,$L142&gt;=1,$L142&lt;=500,OR($N142="Tank",$N142="DPS",$N142="Support"),ISNUMBER($D142),ISNUMBER($E142),ISNUMBER($F142)),"有效","异常")</x:f>
        <x:v>有效</x:v>
      </x:c>
      <x:c r="AH142" t="n">
        <x:f>D142/(1-MIN(0.75,F142/(24000+F142)))</x:f>
        <x:v>524931.6317500001</x:v>
      </x:c>
    </x:row>
    <x:row r="143" ht="14.25" customHeight="1">
      <x:c r="A143" s="4">
        <x:v>139</x:v>
      </x:c>
      <x:c r="B143" s="4">
        <x:v>1014</x:v>
      </x:c>
      <x:c r="C143" s="4">
        <x:v>24</x:v>
      </x:c>
      <x:c r="D143" s="5" t="n">
        <x:f>IFERROR(ROUND($U143*$X143*$AA143*'参数'!$B$13,0),"")</x:f>
        <x:v>217921</x:v>
      </x:c>
      <x:c r="E143" s="5" t="n">
        <x:f>IFERROR(ROUND($V143*$Y143*$AB143*'参数'!$C$13,0),"")</x:f>
        <x:v>7618</x:v>
      </x:c>
      <x:c r="F143" s="5" t="n">
        <x:f>IFERROR(ROUND($W143*$Z143*$AC143*'参数'!$D$13,0),"")</x:f>
        <x:v>9694</x:v>
      </x:c>
      <x:c r="G143" s="4">
        <x:v>246168</x:v>
      </x:c>
      <x:c r="H143" s="4">
        <x:v>8810</x:v>
      </x:c>
      <x:c r="I143" s="4">
        <x:v>7274</x:v>
      </x:c>
      <x:c r="J143" s="4">
        <x:v>28</x:v>
      </x:c>
      <x:c r="K143" s="4">
        <x:v>28</x:v>
      </x:c>
      <x:c r="L143" s="4" t="n">
        <x:f>IFERROR(INDEX('楼层配置'!$D$5:$D$104,MATCH($K143,'楼层配置'!$B$5:$B$104,0)),"")</x:f>
        <x:v>112</x:v>
      </x:c>
      <x:c r="M143" s="4" t="str">
        <x:f>IFERROR(INDEX('_角色基线'!$B$2:$B$100,MATCH($B143,'_角色基线'!$A$2:$A$100,0)),"")</x:f>
        <x:v>克莉丝汀</x:v>
      </x:c>
      <x:c r="N143" s="4" t="str">
        <x:f>IFERROR(INDEX('_角色基线'!$C$2:$C$100,MATCH($B143,'_角色基线'!$A$2:$A$100,0)),"")</x:f>
        <x:v>DPS</x:v>
      </x:c>
      <x:c r="O143" s="4" t="n">
        <x:f>IFERROR(INDEX('_怪物基线'!$B$2:$B$501,MATCH(INT($L143),'_怪物基线'!$A$2:$A$501,0)),"")</x:f>
        <x:v>46708</x:v>
      </x:c>
      <x:c r="P143" s="4" t="n">
        <x:f>IFERROR(INDEX('_怪物基线'!$C$2:$C$501,MATCH(INT($L143),'_怪物基线'!$A$2:$A$501,0)),"")</x:f>
        <x:v>7774</x:v>
      </x:c>
      <x:c r="Q143" s="4" t="n">
        <x:f>IFERROR(INDEX('_怪物基线'!$D$2:$D$501,MATCH(INT($L143),'_怪物基线'!$A$2:$A$501,0)),"")</x:f>
        <x:v>9694</x:v>
      </x:c>
      <x:c r="R143" s="4" t="n">
        <x:f>'参数'!$B$10</x:f>
        <x:v>4</x:v>
      </x:c>
      <x:c r="S143" s="4" t="n">
        <x:f>'参数'!$C$10</x:f>
        <x:v>1.2</x:v>
      </x:c>
      <x:c r="T143" s="4" t="n">
        <x:f>'参数'!$D$10</x:f>
        <x:v>1</x:v>
      </x:c>
      <x:c r="U143" s="4" t="n">
        <x:f t="shared" si="14">IF($O143="","",$O143*$R143)</x:f>
        <x:v>186832</x:v>
      </x:c>
      <x:c r="V143" s="4" t="n">
        <x:f t="shared" si="15">IF($P143="","",$P143*$S143)</x:f>
        <x:v>9328.8</x:v>
      </x:c>
      <x:c r="W143" s="4" t="n">
        <x:f t="shared" si="16">IF($Q143="","",$Q143*$T143)</x:f>
        <x:v>9694</x:v>
      </x:c>
      <x:c r="X143" s="4" t="n">
        <x:f>IFERROR(INDEX('参数'!$B$5:$B$7,MATCH($N143,'参数'!$A$5:$A$7,0)),"")</x:f>
        <x:v>1</x:v>
      </x:c>
      <x:c r="Y143" s="4" t="n">
        <x:f>IFERROR(INDEX('参数'!$C$5:$C$7,MATCH($N143,'参数'!$A$5:$A$7,0)),"")</x:f>
        <x:v>1.2</x:v>
      </x:c>
      <x:c r="Z143" s="4" t="n">
        <x:f>IFERROR(INDEX('参数'!$D$5:$D$7,MATCH($N143,'参数'!$A$5:$A$7,0)),"")</x:f>
        <x:v>1</x:v>
      </x:c>
      <x:c r="AA143" s="4" t="n">
        <x:f>IFERROR(INDEX('楼层配置'!$E$5:$E$104,MATCH($K143,'楼层配置'!$B$5:$B$104,0)),1)</x:f>
        <x:v>1.1664008569423787</x:v>
      </x:c>
      <x:c r="AB143" s="4" t="n">
        <x:f>IFERROR(INDEX('楼层配置'!$F$5:$F$104,MATCH($K143,'楼层配置'!$B$5:$B$104,0)),1)</x:f>
        <x:v>0.6805018603323929</x:v>
      </x:c>
      <x:c r="AC143" s="4" t="n">
        <x:f>IFERROR(INDEX('楼层配置'!$G$5:$G$104,MATCH($K143,'楼层配置'!$B$5:$B$104,0)),1)</x:f>
        <x:v>1</x:v>
      </x:c>
      <x:c r="AD143" s="6" t="n">
        <x:f t="shared" si="17">IFERROR($D143/$G143-1,"")</x:f>
        <x:v>-0.11474683955672549</x:v>
      </x:c>
      <x:c r="AE143" s="6" t="n">
        <x:f t="shared" si="18">IFERROR($E143/$H143-1,"")</x:f>
        <x:v>-0.1353007945516459</x:v>
      </x:c>
      <x:c r="AF143" s="6" t="n">
        <x:f t="shared" si="19">IFERROR($F143/$I143-1,"")</x:f>
        <x:v>0.3326917789386856</x:v>
      </x:c>
      <x:c r="AG143" s="4" t="str">
        <x:f t="shared" si="20">IF(AND($A143&gt;=1,$L143&gt;=1,$L143&lt;=500,OR($N143="Tank",$N143="DPS",$N143="Support"),ISNUMBER($D143),ISNUMBER($E143),ISNUMBER($F143)),"有效","异常")</x:f>
        <x:v>有效</x:v>
      </x:c>
      <x:c r="AH143" t="n">
        <x:f>D143/(1-MIN(0.75,F143/(24000+F143)))</x:f>
        <x:v>305942.92391666665</x:v>
      </x:c>
    </x:row>
    <x:row r="144" ht="14.25" customHeight="1">
      <x:c r="A144" s="4">
        <x:v>140</x:v>
      </x:c>
      <x:c r="B144" s="4">
        <x:v>1021</x:v>
      </x:c>
      <x:c r="C144" s="4">
        <x:v>24</x:v>
      </x:c>
      <x:c r="D144" s="5" t="n">
        <x:f>IFERROR(ROUND($U144*$X144*$AA144*'参数'!$B$13,0),"")</x:f>
        <x:v>217921</x:v>
      </x:c>
      <x:c r="E144" s="5" t="n">
        <x:f>IFERROR(ROUND($V144*$Y144*$AB144*'参数'!$C$13,0),"")</x:f>
        <x:v>7618</x:v>
      </x:c>
      <x:c r="F144" s="5" t="n">
        <x:f>IFERROR(ROUND($W144*$Z144*$AC144*'参数'!$D$13,0),"")</x:f>
        <x:v>9694</x:v>
      </x:c>
      <x:c r="G144" s="4">
        <x:v>246168</x:v>
      </x:c>
      <x:c r="H144" s="4">
        <x:v>8810</x:v>
      </x:c>
      <x:c r="I144" s="4">
        <x:v>7274</x:v>
      </x:c>
      <x:c r="J144" s="4">
        <x:v>28</x:v>
      </x:c>
      <x:c r="K144" s="4">
        <x:v>28</x:v>
      </x:c>
      <x:c r="L144" s="4" t="n">
        <x:f>IFERROR(INDEX('楼层配置'!$D$5:$D$104,MATCH($K144,'楼层配置'!$B$5:$B$104,0)),"")</x:f>
        <x:v>112</x:v>
      </x:c>
      <x:c r="M144" s="4" t="str">
        <x:f>IFERROR(INDEX('_角色基线'!$B$2:$B$100,MATCH($B144,'_角色基线'!$A$2:$A$100,0)),"")</x:f>
        <x:v>梅梅</x:v>
      </x:c>
      <x:c r="N144" s="4" t="str">
        <x:f>IFERROR(INDEX('_角色基线'!$C$2:$C$100,MATCH($B144,'_角色基线'!$A$2:$A$100,0)),"")</x:f>
        <x:v>DPS</x:v>
      </x:c>
      <x:c r="O144" s="4" t="n">
        <x:f>IFERROR(INDEX('_怪物基线'!$B$2:$B$501,MATCH(INT($L144),'_怪物基线'!$A$2:$A$501,0)),"")</x:f>
        <x:v>46708</x:v>
      </x:c>
      <x:c r="P144" s="4" t="n">
        <x:f>IFERROR(INDEX('_怪物基线'!$C$2:$C$501,MATCH(INT($L144),'_怪物基线'!$A$2:$A$501,0)),"")</x:f>
        <x:v>7774</x:v>
      </x:c>
      <x:c r="Q144" s="4" t="n">
        <x:f>IFERROR(INDEX('_怪物基线'!$D$2:$D$501,MATCH(INT($L144),'_怪物基线'!$A$2:$A$501,0)),"")</x:f>
        <x:v>9694</x:v>
      </x:c>
      <x:c r="R144" s="4" t="n">
        <x:f>'参数'!$B$10</x:f>
        <x:v>4</x:v>
      </x:c>
      <x:c r="S144" s="4" t="n">
        <x:f>'参数'!$C$10</x:f>
        <x:v>1.2</x:v>
      </x:c>
      <x:c r="T144" s="4" t="n">
        <x:f>'参数'!$D$10</x:f>
        <x:v>1</x:v>
      </x:c>
      <x:c r="U144" s="4" t="n">
        <x:f t="shared" si="14">IF($O144="","",$O144*$R144)</x:f>
        <x:v>186832</x:v>
      </x:c>
      <x:c r="V144" s="4" t="n">
        <x:f t="shared" si="15">IF($P144="","",$P144*$S144)</x:f>
        <x:v>9328.8</x:v>
      </x:c>
      <x:c r="W144" s="4" t="n">
        <x:f t="shared" si="16">IF($Q144="","",$Q144*$T144)</x:f>
        <x:v>9694</x:v>
      </x:c>
      <x:c r="X144" s="4" t="n">
        <x:f>IFERROR(INDEX('参数'!$B$5:$B$7,MATCH($N144,'参数'!$A$5:$A$7,0)),"")</x:f>
        <x:v>1</x:v>
      </x:c>
      <x:c r="Y144" s="4" t="n">
        <x:f>IFERROR(INDEX('参数'!$C$5:$C$7,MATCH($N144,'参数'!$A$5:$A$7,0)),"")</x:f>
        <x:v>1.2</x:v>
      </x:c>
      <x:c r="Z144" s="4" t="n">
        <x:f>IFERROR(INDEX('参数'!$D$5:$D$7,MATCH($N144,'参数'!$A$5:$A$7,0)),"")</x:f>
        <x:v>1</x:v>
      </x:c>
      <x:c r="AA144" s="4" t="n">
        <x:f>IFERROR(INDEX('楼层配置'!$E$5:$E$104,MATCH($K144,'楼层配置'!$B$5:$B$104,0)),1)</x:f>
        <x:v>1.1664008569423787</x:v>
      </x:c>
      <x:c r="AB144" s="4" t="n">
        <x:f>IFERROR(INDEX('楼层配置'!$F$5:$F$104,MATCH($K144,'楼层配置'!$B$5:$B$104,0)),1)</x:f>
        <x:v>0.6805018603323929</x:v>
      </x:c>
      <x:c r="AC144" s="4" t="n">
        <x:f>IFERROR(INDEX('楼层配置'!$G$5:$G$104,MATCH($K144,'楼层配置'!$B$5:$B$104,0)),1)</x:f>
        <x:v>1</x:v>
      </x:c>
      <x:c r="AD144" s="6" t="n">
        <x:f t="shared" si="17">IFERROR($D144/$G144-1,"")</x:f>
        <x:v>-0.11474683955672549</x:v>
      </x:c>
      <x:c r="AE144" s="6" t="n">
        <x:f t="shared" si="18">IFERROR($E144/$H144-1,"")</x:f>
        <x:v>-0.1353007945516459</x:v>
      </x:c>
      <x:c r="AF144" s="6" t="n">
        <x:f t="shared" si="19">IFERROR($F144/$I144-1,"")</x:f>
        <x:v>0.3326917789386856</x:v>
      </x:c>
      <x:c r="AG144" s="4" t="str">
        <x:f t="shared" si="20">IF(AND($A144&gt;=1,$L144&gt;=1,$L144&lt;=500,OR($N144="Tank",$N144="DPS",$N144="Support"),ISNUMBER($D144),ISNUMBER($E144),ISNUMBER($F144)),"有效","异常")</x:f>
        <x:v>有效</x:v>
      </x:c>
      <x:c r="AH144" t="n">
        <x:f>D144/(1-MIN(0.75,F144/(24000+F144)))</x:f>
        <x:v>305942.92391666665</x:v>
      </x:c>
    </x:row>
    <x:row r="145" ht="14.25" customHeight="1">
      <x:c r="A145" s="4">
        <x:v>141</x:v>
      </x:c>
      <x:c r="B145" s="4">
        <x:v>1038</x:v>
      </x:c>
      <x:c r="C145" s="4">
        <x:v>24</x:v>
      </x:c>
      <x:c r="D145" s="5" t="n">
        <x:f>IFERROR(ROUND($U145*$X145*$AA145*'参数'!$B$13,0),"")</x:f>
        <x:v>349410</x:v>
      </x:c>
      <x:c r="E145" s="5" t="n">
        <x:f>IFERROR(ROUND($V145*$Y145*$AB145*'参数'!$C$13,0),"")</x:f>
        <x:v>6669</x:v>
      </x:c>
      <x:c r="F145" s="5" t="n">
        <x:f>IFERROR(ROUND($W145*$Z145*$AC145*'参数'!$D$13,0),"")</x:f>
        <x:v>15140</x:v>
      </x:c>
      <x:c r="G145" s="4">
        <x:v>393537</x:v>
      </x:c>
      <x:c r="H145" s="4">
        <x:v>7652</x:v>
      </x:c>
      <x:c r="I145" s="4">
        <x:v>11322</x:v>
      </x:c>
      <x:c r="J145" s="4">
        <x:v>29</x:v>
      </x:c>
      <x:c r="K145" s="4">
        <x:v>29</x:v>
      </x:c>
      <x:c r="L145" s="4" t="n">
        <x:f>IFERROR(INDEX('楼层配置'!$D$5:$D$104,MATCH($K145,'楼层配置'!$B$5:$B$104,0)),"")</x:f>
        <x:v>116</x:v>
      </x:c>
      <x:c r="M145" s="4" t="str">
        <x:f>IFERROR(INDEX('_角色基线'!$B$2:$B$100,MATCH($B145,'_角色基线'!$A$2:$A$100,0)),"")</x:f>
        <x:v>商队战斗员</x:v>
      </x:c>
      <x:c r="N145" s="4" t="str">
        <x:f>IFERROR(INDEX('_角色基线'!$C$2:$C$100,MATCH($B145,'_角色基线'!$A$2:$A$100,0)),"")</x:f>
        <x:v>Tank</x:v>
      </x:c>
      <x:c r="O145" s="4" t="n">
        <x:f>IFERROR(INDEX('_怪物基线'!$B$2:$B$501,MATCH(INT($L145),'_怪物基线'!$A$2:$A$501,0)),"")</x:f>
        <x:v>50080</x:v>
      </x:c>
      <x:c r="P145" s="4" t="n">
        <x:f>IFERROR(INDEX('_怪物基线'!$C$2:$C$501,MATCH(INT($L145),'_怪物基线'!$A$2:$A$501,0)),"")</x:f>
        <x:v>8180</x:v>
      </x:c>
      <x:c r="Q145" s="4" t="n">
        <x:f>IFERROR(INDEX('_怪物基线'!$D$2:$D$501,MATCH(INT($L145),'_怪物基线'!$A$2:$A$501,0)),"")</x:f>
        <x:v>10093</x:v>
      </x:c>
      <x:c r="R145" s="4" t="n">
        <x:f>'参数'!$B$10</x:f>
        <x:v>4</x:v>
      </x:c>
      <x:c r="S145" s="4" t="n">
        <x:f>'参数'!$C$10</x:f>
        <x:v>1.2</x:v>
      </x:c>
      <x:c r="T145" s="4" t="n">
        <x:f>'参数'!$D$10</x:f>
        <x:v>1</x:v>
      </x:c>
      <x:c r="U145" s="4" t="n">
        <x:f t="shared" si="14">IF($O145="","",$O145*$R145)</x:f>
        <x:v>200320</x:v>
      </x:c>
      <x:c r="V145" s="4" t="n">
        <x:f t="shared" si="15">IF($P145="","",$P145*$S145)</x:f>
        <x:v>9816</x:v>
      </x:c>
      <x:c r="W145" s="4" t="n">
        <x:f t="shared" si="16">IF($Q145="","",$Q145*$T145)</x:f>
        <x:v>10093</x:v>
      </x:c>
      <x:c r="X145" s="4" t="n">
        <x:f>IFERROR(INDEX('参数'!$B$5:$B$7,MATCH($N145,'参数'!$A$5:$A$7,0)),"")</x:f>
        <x:v>1.5</x:v>
      </x:c>
      <x:c r="Y145" s="4" t="n">
        <x:f>IFERROR(INDEX('参数'!$C$5:$C$7,MATCH($N145,'参数'!$A$5:$A$7,0)),"")</x:f>
        <x:v>1</x:v>
      </x:c>
      <x:c r="Z145" s="4" t="n">
        <x:f>IFERROR(INDEX('参数'!$D$5:$D$7,MATCH($N145,'参数'!$A$5:$A$7,0)),"")</x:f>
        <x:v>1.5</x:v>
      </x:c>
      <x:c r="AA145" s="4" t="n">
        <x:f>IFERROR(INDEX('楼层配置'!$E$5:$E$104,MATCH($K145,'楼层配置'!$B$5:$B$104,0)),1)</x:f>
        <x:v>1.1628407860417673</x:v>
      </x:c>
      <x:c r="AB145" s="4" t="n">
        <x:f>IFERROR(INDEX('楼层配置'!$F$5:$F$104,MATCH($K145,'楼层配置'!$B$5:$B$104,0)),1)</x:f>
        <x:v>0.6794489184646575</x:v>
      </x:c>
      <x:c r="AC145" s="4" t="n">
        <x:f>IFERROR(INDEX('楼层配置'!$G$5:$G$104,MATCH($K145,'楼层配置'!$B$5:$B$104,0)),1)</x:f>
        <x:v>1</x:v>
      </x:c>
      <x:c r="AD145" s="6" t="n">
        <x:f t="shared" si="17">IFERROR($D145/$G145-1,"")</x:f>
        <x:v>-0.1121292280014331</x:v>
      </x:c>
      <x:c r="AE145" s="6" t="n">
        <x:f t="shared" si="18">IFERROR($E145/$H145-1,"")</x:f>
        <x:v>-0.12846314688970206</x:v>
      </x:c>
      <x:c r="AF145" s="6" t="n">
        <x:f t="shared" si="19">IFERROR($F145/$I145-1,"")</x:f>
        <x:v>0.33721957251369017</x:v>
      </x:c>
      <x:c r="AG145" s="4" t="str">
        <x:f t="shared" si="20">IF(AND($A145&gt;=1,$L145&gt;=1,$L145&lt;=500,OR($N145="Tank",$N145="DPS",$N145="Support"),ISNUMBER($D145),ISNUMBER($E145),ISNUMBER($F145)),"有效","异常")</x:f>
        <x:v>有效</x:v>
      </x:c>
      <x:c r="AH145" t="n">
        <x:f>D145/(1-MIN(0.75,F145/(24000+F145)))</x:f>
        <x:v>569829.475</x:v>
      </x:c>
    </x:row>
    <x:row r="146" ht="14.25" customHeight="1">
      <x:c r="A146" s="4">
        <x:v>142</x:v>
      </x:c>
      <x:c r="B146" s="4">
        <x:v>1038</x:v>
      </x:c>
      <x:c r="C146" s="4">
        <x:v>24</x:v>
      </x:c>
      <x:c r="D146" s="5" t="n">
        <x:f>IFERROR(ROUND($U146*$X146*$AA146*'参数'!$B$13,0),"")</x:f>
        <x:v>349410</x:v>
      </x:c>
      <x:c r="E146" s="5" t="n">
        <x:f>IFERROR(ROUND($V146*$Y146*$AB146*'参数'!$C$13,0),"")</x:f>
        <x:v>6669</x:v>
      </x:c>
      <x:c r="F146" s="5" t="n">
        <x:f>IFERROR(ROUND($W146*$Z146*$AC146*'参数'!$D$13,0),"")</x:f>
        <x:v>15140</x:v>
      </x:c>
      <x:c r="G146" s="4">
        <x:v>393537</x:v>
      </x:c>
      <x:c r="H146" s="4">
        <x:v>7652</x:v>
      </x:c>
      <x:c r="I146" s="4">
        <x:v>11322</x:v>
      </x:c>
      <x:c r="J146" s="4">
        <x:v>29</x:v>
      </x:c>
      <x:c r="K146" s="4">
        <x:v>29</x:v>
      </x:c>
      <x:c r="L146" s="4" t="n">
        <x:f>IFERROR(INDEX('楼层配置'!$D$5:$D$104,MATCH($K146,'楼层配置'!$B$5:$B$104,0)),"")</x:f>
        <x:v>116</x:v>
      </x:c>
      <x:c r="M146" s="4" t="str">
        <x:f>IFERROR(INDEX('_角色基线'!$B$2:$B$100,MATCH($B146,'_角色基线'!$A$2:$A$100,0)),"")</x:f>
        <x:v>商队战斗员</x:v>
      </x:c>
      <x:c r="N146" s="4" t="str">
        <x:f>IFERROR(INDEX('_角色基线'!$C$2:$C$100,MATCH($B146,'_角色基线'!$A$2:$A$100,0)),"")</x:f>
        <x:v>Tank</x:v>
      </x:c>
      <x:c r="O146" s="4" t="n">
        <x:f>IFERROR(INDEX('_怪物基线'!$B$2:$B$501,MATCH(INT($L146),'_怪物基线'!$A$2:$A$501,0)),"")</x:f>
        <x:v>50080</x:v>
      </x:c>
      <x:c r="P146" s="4" t="n">
        <x:f>IFERROR(INDEX('_怪物基线'!$C$2:$C$501,MATCH(INT($L146),'_怪物基线'!$A$2:$A$501,0)),"")</x:f>
        <x:v>8180</x:v>
      </x:c>
      <x:c r="Q146" s="4" t="n">
        <x:f>IFERROR(INDEX('_怪物基线'!$D$2:$D$501,MATCH(INT($L146),'_怪物基线'!$A$2:$A$501,0)),"")</x:f>
        <x:v>10093</x:v>
      </x:c>
      <x:c r="R146" s="4" t="n">
        <x:f>'参数'!$B$10</x:f>
        <x:v>4</x:v>
      </x:c>
      <x:c r="S146" s="4" t="n">
        <x:f>'参数'!$C$10</x:f>
        <x:v>1.2</x:v>
      </x:c>
      <x:c r="T146" s="4" t="n">
        <x:f>'参数'!$D$10</x:f>
        <x:v>1</x:v>
      </x:c>
      <x:c r="U146" s="4" t="n">
        <x:f t="shared" si="14">IF($O146="","",$O146*$R146)</x:f>
        <x:v>200320</x:v>
      </x:c>
      <x:c r="V146" s="4" t="n">
        <x:f t="shared" si="15">IF($P146="","",$P146*$S146)</x:f>
        <x:v>9816</x:v>
      </x:c>
      <x:c r="W146" s="4" t="n">
        <x:f t="shared" si="16">IF($Q146="","",$Q146*$T146)</x:f>
        <x:v>10093</x:v>
      </x:c>
      <x:c r="X146" s="4" t="n">
        <x:f>IFERROR(INDEX('参数'!$B$5:$B$7,MATCH($N146,'参数'!$A$5:$A$7,0)),"")</x:f>
        <x:v>1.5</x:v>
      </x:c>
      <x:c r="Y146" s="4" t="n">
        <x:f>IFERROR(INDEX('参数'!$C$5:$C$7,MATCH($N146,'参数'!$A$5:$A$7,0)),"")</x:f>
        <x:v>1</x:v>
      </x:c>
      <x:c r="Z146" s="4" t="n">
        <x:f>IFERROR(INDEX('参数'!$D$5:$D$7,MATCH($N146,'参数'!$A$5:$A$7,0)),"")</x:f>
        <x:v>1.5</x:v>
      </x:c>
      <x:c r="AA146" s="4" t="n">
        <x:f>IFERROR(INDEX('楼层配置'!$E$5:$E$104,MATCH($K146,'楼层配置'!$B$5:$B$104,0)),1)</x:f>
        <x:v>1.1628407860417673</x:v>
      </x:c>
      <x:c r="AB146" s="4" t="n">
        <x:f>IFERROR(INDEX('楼层配置'!$F$5:$F$104,MATCH($K146,'楼层配置'!$B$5:$B$104,0)),1)</x:f>
        <x:v>0.6794489184646575</x:v>
      </x:c>
      <x:c r="AC146" s="4" t="n">
        <x:f>IFERROR(INDEX('楼层配置'!$G$5:$G$104,MATCH($K146,'楼层配置'!$B$5:$B$104,0)),1)</x:f>
        <x:v>1</x:v>
      </x:c>
      <x:c r="AD146" s="6" t="n">
        <x:f t="shared" si="17">IFERROR($D146/$G146-1,"")</x:f>
        <x:v>-0.1121292280014331</x:v>
      </x:c>
      <x:c r="AE146" s="6" t="n">
        <x:f t="shared" si="18">IFERROR($E146/$H146-1,"")</x:f>
        <x:v>-0.12846314688970206</x:v>
      </x:c>
      <x:c r="AF146" s="6" t="n">
        <x:f t="shared" si="19">IFERROR($F146/$I146-1,"")</x:f>
        <x:v>0.33721957251369017</x:v>
      </x:c>
      <x:c r="AG146" s="4" t="str">
        <x:f t="shared" si="20">IF(AND($A146&gt;=1,$L146&gt;=1,$L146&lt;=500,OR($N146="Tank",$N146="DPS",$N146="Support"),ISNUMBER($D146),ISNUMBER($E146),ISNUMBER($F146)),"有效","异常")</x:f>
        <x:v>有效</x:v>
      </x:c>
      <x:c r="AH146" t="n">
        <x:f>D146/(1-MIN(0.75,F146/(24000+F146)))</x:f>
        <x:v>569829.475</x:v>
      </x:c>
    </x:row>
    <x:row r="147" ht="14.25" customHeight="1">
      <x:c r="A147" s="4">
        <x:v>143</x:v>
      </x:c>
      <x:c r="B147" s="4">
        <x:v>1014</x:v>
      </x:c>
      <x:c r="C147" s="4">
        <x:v>24</x:v>
      </x:c>
      <x:c r="D147" s="5" t="n">
        <x:f>IFERROR(ROUND($U147*$X147*$AA147*'参数'!$B$13,0),"")</x:f>
        <x:v>232940</x:v>
      </x:c>
      <x:c r="E147" s="5" t="n">
        <x:f>IFERROR(ROUND($V147*$Y147*$AB147*'参数'!$C$13,0),"")</x:f>
        <x:v>8003</x:v>
      </x:c>
      <x:c r="F147" s="5" t="n">
        <x:f>IFERROR(ROUND($W147*$Z147*$AC147*'参数'!$D$13,0),"")</x:f>
        <x:v>10093</x:v>
      </x:c>
      <x:c r="G147" s="4">
        <x:v>262358</x:v>
      </x:c>
      <x:c r="H147" s="4">
        <x:v>9182</x:v>
      </x:c>
      <x:c r="I147" s="4">
        <x:v>7548</x:v>
      </x:c>
      <x:c r="J147" s="4">
        <x:v>29</x:v>
      </x:c>
      <x:c r="K147" s="4">
        <x:v>29</x:v>
      </x:c>
      <x:c r="L147" s="4" t="n">
        <x:f>IFERROR(INDEX('楼层配置'!$D$5:$D$104,MATCH($K147,'楼层配置'!$B$5:$B$104,0)),"")</x:f>
        <x:v>116</x:v>
      </x:c>
      <x:c r="M147" s="4" t="str">
        <x:f>IFERROR(INDEX('_角色基线'!$B$2:$B$100,MATCH($B147,'_角色基线'!$A$2:$A$100,0)),"")</x:f>
        <x:v>克莉丝汀</x:v>
      </x:c>
      <x:c r="N147" s="4" t="str">
        <x:f>IFERROR(INDEX('_角色基线'!$C$2:$C$100,MATCH($B147,'_角色基线'!$A$2:$A$100,0)),"")</x:f>
        <x:v>DPS</x:v>
      </x:c>
      <x:c r="O147" s="4" t="n">
        <x:f>IFERROR(INDEX('_怪物基线'!$B$2:$B$501,MATCH(INT($L147),'_怪物基线'!$A$2:$A$501,0)),"")</x:f>
        <x:v>50080</x:v>
      </x:c>
      <x:c r="P147" s="4" t="n">
        <x:f>IFERROR(INDEX('_怪物基线'!$C$2:$C$501,MATCH(INT($L147),'_怪物基线'!$A$2:$A$501,0)),"")</x:f>
        <x:v>8180</x:v>
      </x:c>
      <x:c r="Q147" s="4" t="n">
        <x:f>IFERROR(INDEX('_怪物基线'!$D$2:$D$501,MATCH(INT($L147),'_怪物基线'!$A$2:$A$501,0)),"")</x:f>
        <x:v>10093</x:v>
      </x:c>
      <x:c r="R147" s="4" t="n">
        <x:f>'参数'!$B$10</x:f>
        <x:v>4</x:v>
      </x:c>
      <x:c r="S147" s="4" t="n">
        <x:f>'参数'!$C$10</x:f>
        <x:v>1.2</x:v>
      </x:c>
      <x:c r="T147" s="4" t="n">
        <x:f>'参数'!$D$10</x:f>
        <x:v>1</x:v>
      </x:c>
      <x:c r="U147" s="4" t="n">
        <x:f t="shared" si="14">IF($O147="","",$O147*$R147)</x:f>
        <x:v>200320</x:v>
      </x:c>
      <x:c r="V147" s="4" t="n">
        <x:f t="shared" si="15">IF($P147="","",$P147*$S147)</x:f>
        <x:v>9816</x:v>
      </x:c>
      <x:c r="W147" s="4" t="n">
        <x:f t="shared" si="16">IF($Q147="","",$Q147*$T147)</x:f>
        <x:v>10093</x:v>
      </x:c>
      <x:c r="X147" s="4" t="n">
        <x:f>IFERROR(INDEX('参数'!$B$5:$B$7,MATCH($N147,'参数'!$A$5:$A$7,0)),"")</x:f>
        <x:v>1</x:v>
      </x:c>
      <x:c r="Y147" s="4" t="n">
        <x:f>IFERROR(INDEX('参数'!$C$5:$C$7,MATCH($N147,'参数'!$A$5:$A$7,0)),"")</x:f>
        <x:v>1.2</x:v>
      </x:c>
      <x:c r="Z147" s="4" t="n">
        <x:f>IFERROR(INDEX('参数'!$D$5:$D$7,MATCH($N147,'参数'!$A$5:$A$7,0)),"")</x:f>
        <x:v>1</x:v>
      </x:c>
      <x:c r="AA147" s="4" t="n">
        <x:f>IFERROR(INDEX('楼层配置'!$E$5:$E$104,MATCH($K147,'楼层配置'!$B$5:$B$104,0)),1)</x:f>
        <x:v>1.1628407860417673</x:v>
      </x:c>
      <x:c r="AB147" s="4" t="n">
        <x:f>IFERROR(INDEX('楼层配置'!$F$5:$F$104,MATCH($K147,'楼层配置'!$B$5:$B$104,0)),1)</x:f>
        <x:v>0.6794489184646575</x:v>
      </x:c>
      <x:c r="AC147" s="4" t="n">
        <x:f>IFERROR(INDEX('楼层配置'!$G$5:$G$104,MATCH($K147,'楼层配置'!$B$5:$B$104,0)),1)</x:f>
        <x:v>1</x:v>
      </x:c>
      <x:c r="AD147" s="6" t="n">
        <x:f t="shared" si="17">IFERROR($D147/$G147-1,"")</x:f>
        <x:v>-0.1121292280014331</x:v>
      </x:c>
      <x:c r="AE147" s="6" t="n">
        <x:f t="shared" si="18">IFERROR($E147/$H147-1,"")</x:f>
        <x:v>-0.12840339795251576</x:v>
      </x:c>
      <x:c r="AF147" s="6" t="n">
        <x:f t="shared" si="19">IFERROR($F147/$I147-1,"")</x:f>
        <x:v>0.3371754107048224</x:v>
      </x:c>
      <x:c r="AG147" s="4" t="str">
        <x:f t="shared" si="20">IF(AND($A147&gt;=1,$L147&gt;=1,$L147&lt;=500,OR($N147="Tank",$N147="DPS",$N147="Support"),ISNUMBER($D147),ISNUMBER($E147),ISNUMBER($F147)),"有效","异常")</x:f>
        <x:v>有效</x:v>
      </x:c>
      <x:c r="AH147" t="n">
        <x:f>D147/(1-MIN(0.75,F147/(24000+F147)))</x:f>
        <x:v>330900.97583333333</x:v>
      </x:c>
    </x:row>
    <x:row r="148" ht="14.25" customHeight="1">
      <x:c r="A148" s="4">
        <x:v>144</x:v>
      </x:c>
      <x:c r="B148" s="4">
        <x:v>1021</x:v>
      </x:c>
      <x:c r="C148" s="4">
        <x:v>24</x:v>
      </x:c>
      <x:c r="D148" s="5" t="n">
        <x:f>IFERROR(ROUND($U148*$X148*$AA148*'参数'!$B$13,0),"")</x:f>
        <x:v>232940</x:v>
      </x:c>
      <x:c r="E148" s="5" t="n">
        <x:f>IFERROR(ROUND($V148*$Y148*$AB148*'参数'!$C$13,0),"")</x:f>
        <x:v>8003</x:v>
      </x:c>
      <x:c r="F148" s="5" t="n">
        <x:f>IFERROR(ROUND($W148*$Z148*$AC148*'参数'!$D$13,0),"")</x:f>
        <x:v>10093</x:v>
      </x:c>
      <x:c r="G148" s="4">
        <x:v>262358</x:v>
      </x:c>
      <x:c r="H148" s="4">
        <x:v>9182</x:v>
      </x:c>
      <x:c r="I148" s="4">
        <x:v>7548</x:v>
      </x:c>
      <x:c r="J148" s="4">
        <x:v>29</x:v>
      </x:c>
      <x:c r="K148" s="4">
        <x:v>29</x:v>
      </x:c>
      <x:c r="L148" s="4" t="n">
        <x:f>IFERROR(INDEX('楼层配置'!$D$5:$D$104,MATCH($K148,'楼层配置'!$B$5:$B$104,0)),"")</x:f>
        <x:v>116</x:v>
      </x:c>
      <x:c r="M148" s="4" t="str">
        <x:f>IFERROR(INDEX('_角色基线'!$B$2:$B$100,MATCH($B148,'_角色基线'!$A$2:$A$100,0)),"")</x:f>
        <x:v>梅梅</x:v>
      </x:c>
      <x:c r="N148" s="4" t="str">
        <x:f>IFERROR(INDEX('_角色基线'!$C$2:$C$100,MATCH($B148,'_角色基线'!$A$2:$A$100,0)),"")</x:f>
        <x:v>DPS</x:v>
      </x:c>
      <x:c r="O148" s="4" t="n">
        <x:f>IFERROR(INDEX('_怪物基线'!$B$2:$B$501,MATCH(INT($L148),'_怪物基线'!$A$2:$A$501,0)),"")</x:f>
        <x:v>50080</x:v>
      </x:c>
      <x:c r="P148" s="4" t="n">
        <x:f>IFERROR(INDEX('_怪物基线'!$C$2:$C$501,MATCH(INT($L148),'_怪物基线'!$A$2:$A$501,0)),"")</x:f>
        <x:v>8180</x:v>
      </x:c>
      <x:c r="Q148" s="4" t="n">
        <x:f>IFERROR(INDEX('_怪物基线'!$D$2:$D$501,MATCH(INT($L148),'_怪物基线'!$A$2:$A$501,0)),"")</x:f>
        <x:v>10093</x:v>
      </x:c>
      <x:c r="R148" s="4" t="n">
        <x:f>'参数'!$B$10</x:f>
        <x:v>4</x:v>
      </x:c>
      <x:c r="S148" s="4" t="n">
        <x:f>'参数'!$C$10</x:f>
        <x:v>1.2</x:v>
      </x:c>
      <x:c r="T148" s="4" t="n">
        <x:f>'参数'!$D$10</x:f>
        <x:v>1</x:v>
      </x:c>
      <x:c r="U148" s="4" t="n">
        <x:f t="shared" si="14">IF($O148="","",$O148*$R148)</x:f>
        <x:v>200320</x:v>
      </x:c>
      <x:c r="V148" s="4" t="n">
        <x:f t="shared" si="15">IF($P148="","",$P148*$S148)</x:f>
        <x:v>9816</x:v>
      </x:c>
      <x:c r="W148" s="4" t="n">
        <x:f t="shared" si="16">IF($Q148="","",$Q148*$T148)</x:f>
        <x:v>10093</x:v>
      </x:c>
      <x:c r="X148" s="4" t="n">
        <x:f>IFERROR(INDEX('参数'!$B$5:$B$7,MATCH($N148,'参数'!$A$5:$A$7,0)),"")</x:f>
        <x:v>1</x:v>
      </x:c>
      <x:c r="Y148" s="4" t="n">
        <x:f>IFERROR(INDEX('参数'!$C$5:$C$7,MATCH($N148,'参数'!$A$5:$A$7,0)),"")</x:f>
        <x:v>1.2</x:v>
      </x:c>
      <x:c r="Z148" s="4" t="n">
        <x:f>IFERROR(INDEX('参数'!$D$5:$D$7,MATCH($N148,'参数'!$A$5:$A$7,0)),"")</x:f>
        <x:v>1</x:v>
      </x:c>
      <x:c r="AA148" s="4" t="n">
        <x:f>IFERROR(INDEX('楼层配置'!$E$5:$E$104,MATCH($K148,'楼层配置'!$B$5:$B$104,0)),1)</x:f>
        <x:v>1.1628407860417673</x:v>
      </x:c>
      <x:c r="AB148" s="4" t="n">
        <x:f>IFERROR(INDEX('楼层配置'!$F$5:$F$104,MATCH($K148,'楼层配置'!$B$5:$B$104,0)),1)</x:f>
        <x:v>0.6794489184646575</x:v>
      </x:c>
      <x:c r="AC148" s="4" t="n">
        <x:f>IFERROR(INDEX('楼层配置'!$G$5:$G$104,MATCH($K148,'楼层配置'!$B$5:$B$104,0)),1)</x:f>
        <x:v>1</x:v>
      </x:c>
      <x:c r="AD148" s="6" t="n">
        <x:f t="shared" si="17">IFERROR($D148/$G148-1,"")</x:f>
        <x:v>-0.1121292280014331</x:v>
      </x:c>
      <x:c r="AE148" s="6" t="n">
        <x:f t="shared" si="18">IFERROR($E148/$H148-1,"")</x:f>
        <x:v>-0.12840339795251576</x:v>
      </x:c>
      <x:c r="AF148" s="6" t="n">
        <x:f t="shared" si="19">IFERROR($F148/$I148-1,"")</x:f>
        <x:v>0.3371754107048224</x:v>
      </x:c>
      <x:c r="AG148" s="4" t="str">
        <x:f t="shared" si="20">IF(AND($A148&gt;=1,$L148&gt;=1,$L148&lt;=500,OR($N148="Tank",$N148="DPS",$N148="Support"),ISNUMBER($D148),ISNUMBER($E148),ISNUMBER($F148)),"有效","异常")</x:f>
        <x:v>有效</x:v>
      </x:c>
      <x:c r="AH148" t="n">
        <x:f>D148/(1-MIN(0.75,F148/(24000+F148)))</x:f>
        <x:v>330900.97583333333</x:v>
      </x:c>
    </x:row>
    <x:row r="149" ht="14.25" customHeight="1">
      <x:c r="A149" s="4">
        <x:v>145</x:v>
      </x:c>
      <x:c r="B149" s="4">
        <x:v>1026</x:v>
      </x:c>
      <x:c r="C149" s="4">
        <x:v>24</x:v>
      </x:c>
      <x:c r="D149" s="5" t="n">
        <x:f>IFERROR(ROUND($U149*$X149*$AA149*'参数'!$B$13,0),"")</x:f>
        <x:v>232940</x:v>
      </x:c>
      <x:c r="E149" s="5" t="n">
        <x:f>IFERROR(ROUND($V149*$Y149*$AB149*'参数'!$C$13,0),"")</x:f>
        <x:v>8003</x:v>
      </x:c>
      <x:c r="F149" s="5" t="n">
        <x:f>IFERROR(ROUND($W149*$Z149*$AC149*'参数'!$D$13,0),"")</x:f>
        <x:v>10093</x:v>
      </x:c>
      <x:c r="G149" s="4">
        <x:v>262358</x:v>
      </x:c>
      <x:c r="H149" s="4">
        <x:v>9182</x:v>
      </x:c>
      <x:c r="I149" s="4">
        <x:v>7548</x:v>
      </x:c>
      <x:c r="J149" s="4">
        <x:v>29</x:v>
      </x:c>
      <x:c r="K149" s="4">
        <x:v>29</x:v>
      </x:c>
      <x:c r="L149" s="4" t="n">
        <x:f>IFERROR(INDEX('楼层配置'!$D$5:$D$104,MATCH($K149,'楼层配置'!$B$5:$B$104,0)),"")</x:f>
        <x:v>116</x:v>
      </x:c>
      <x:c r="M149" s="4" t="str">
        <x:f>IFERROR(INDEX('_角色基线'!$B$2:$B$100,MATCH($B149,'_角色基线'!$A$2:$A$100,0)),"")</x:f>
        <x:v>乔一</x:v>
      </x:c>
      <x:c r="N149" s="4" t="str">
        <x:f>IFERROR(INDEX('_角色基线'!$C$2:$C$100,MATCH($B149,'_角色基线'!$A$2:$A$100,0)),"")</x:f>
        <x:v>DPS</x:v>
      </x:c>
      <x:c r="O149" s="4" t="n">
        <x:f>IFERROR(INDEX('_怪物基线'!$B$2:$B$501,MATCH(INT($L149),'_怪物基线'!$A$2:$A$501,0)),"")</x:f>
        <x:v>50080</x:v>
      </x:c>
      <x:c r="P149" s="4" t="n">
        <x:f>IFERROR(INDEX('_怪物基线'!$C$2:$C$501,MATCH(INT($L149),'_怪物基线'!$A$2:$A$501,0)),"")</x:f>
        <x:v>8180</x:v>
      </x:c>
      <x:c r="Q149" s="4" t="n">
        <x:f>IFERROR(INDEX('_怪物基线'!$D$2:$D$501,MATCH(INT($L149),'_怪物基线'!$A$2:$A$501,0)),"")</x:f>
        <x:v>10093</x:v>
      </x:c>
      <x:c r="R149" s="4" t="n">
        <x:f>'参数'!$B$10</x:f>
        <x:v>4</x:v>
      </x:c>
      <x:c r="S149" s="4" t="n">
        <x:f>'参数'!$C$10</x:f>
        <x:v>1.2</x:v>
      </x:c>
      <x:c r="T149" s="4" t="n">
        <x:f>'参数'!$D$10</x:f>
        <x:v>1</x:v>
      </x:c>
      <x:c r="U149" s="4" t="n">
        <x:f t="shared" si="14">IF($O149="","",$O149*$R149)</x:f>
        <x:v>200320</x:v>
      </x:c>
      <x:c r="V149" s="4" t="n">
        <x:f t="shared" si="15">IF($P149="","",$P149*$S149)</x:f>
        <x:v>9816</x:v>
      </x:c>
      <x:c r="W149" s="4" t="n">
        <x:f t="shared" si="16">IF($Q149="","",$Q149*$T149)</x:f>
        <x:v>10093</x:v>
      </x:c>
      <x:c r="X149" s="4" t="n">
        <x:f>IFERROR(INDEX('参数'!$B$5:$B$7,MATCH($N149,'参数'!$A$5:$A$7,0)),"")</x:f>
        <x:v>1</x:v>
      </x:c>
      <x:c r="Y149" s="4" t="n">
        <x:f>IFERROR(INDEX('参数'!$C$5:$C$7,MATCH($N149,'参数'!$A$5:$A$7,0)),"")</x:f>
        <x:v>1.2</x:v>
      </x:c>
      <x:c r="Z149" s="4" t="n">
        <x:f>IFERROR(INDEX('参数'!$D$5:$D$7,MATCH($N149,'参数'!$A$5:$A$7,0)),"")</x:f>
        <x:v>1</x:v>
      </x:c>
      <x:c r="AA149" s="4" t="n">
        <x:f>IFERROR(INDEX('楼层配置'!$E$5:$E$104,MATCH($K149,'楼层配置'!$B$5:$B$104,0)),1)</x:f>
        <x:v>1.1628407860417673</x:v>
      </x:c>
      <x:c r="AB149" s="4" t="n">
        <x:f>IFERROR(INDEX('楼层配置'!$F$5:$F$104,MATCH($K149,'楼层配置'!$B$5:$B$104,0)),1)</x:f>
        <x:v>0.6794489184646575</x:v>
      </x:c>
      <x:c r="AC149" s="4" t="n">
        <x:f>IFERROR(INDEX('楼层配置'!$G$5:$G$104,MATCH($K149,'楼层配置'!$B$5:$B$104,0)),1)</x:f>
        <x:v>1</x:v>
      </x:c>
      <x:c r="AD149" s="6" t="n">
        <x:f t="shared" si="17">IFERROR($D149/$G149-1,"")</x:f>
        <x:v>-0.1121292280014331</x:v>
      </x:c>
      <x:c r="AE149" s="6" t="n">
        <x:f t="shared" si="18">IFERROR($E149/$H149-1,"")</x:f>
        <x:v>-0.12840339795251576</x:v>
      </x:c>
      <x:c r="AF149" s="6" t="n">
        <x:f t="shared" si="19">IFERROR($F149/$I149-1,"")</x:f>
        <x:v>0.3371754107048224</x:v>
      </x:c>
      <x:c r="AG149" s="4" t="str">
        <x:f t="shared" si="20">IF(AND($A149&gt;=1,$L149&gt;=1,$L149&lt;=500,OR($N149="Tank",$N149="DPS",$N149="Support"),ISNUMBER($D149),ISNUMBER($E149),ISNUMBER($F149)),"有效","异常")</x:f>
        <x:v>有效</x:v>
      </x:c>
      <x:c r="AH149" t="n">
        <x:f>D149/(1-MIN(0.75,F149/(24000+F149)))</x:f>
        <x:v>330900.97583333333</x:v>
      </x:c>
    </x:row>
    <x:row r="150" ht="14.25" customHeight="1">
      <x:c r="A150" s="4">
        <x:v>146</x:v>
      </x:c>
      <x:c r="B150" s="4">
        <x:v>1030</x:v>
      </x:c>
      <x:c r="C150" s="4">
        <x:v>25</x:v>
      </x:c>
      <x:c r="D150" s="5" t="n">
        <x:f>IFERROR(ROUND($U150*$X150*$AA150*'参数'!$B$13,0),"")</x:f>
        <x:v>372479</x:v>
      </x:c>
      <x:c r="E150" s="5" t="n">
        <x:f>IFERROR(ROUND($V150*$Y150*$AB150*'参数'!$C$13,0),"")</x:f>
        <x:v>6967</x:v>
      </x:c>
      <x:c r="F150" s="5" t="n">
        <x:f>IFERROR(ROUND($W150*$Z150*$AC150*'参数'!$D$13,0),"")</x:f>
        <x:v>15744</x:v>
      </x:c>
      <x:c r="G150" s="4">
        <x:v>418896</x:v>
      </x:c>
      <x:c r="H150" s="4">
        <x:v>7970</x:v>
      </x:c>
      <x:c r="I150" s="4">
        <x:v>11738</x:v>
      </x:c>
      <x:c r="J150" s="4">
        <x:v>30</x:v>
      </x:c>
      <x:c r="K150" s="4">
        <x:v>30</x:v>
      </x:c>
      <x:c r="L150" s="4" t="n">
        <x:f>IFERROR(INDEX('楼层配置'!$D$5:$D$104,MATCH($K150,'楼层配置'!$B$5:$B$104,0)),"")</x:f>
        <x:v>120</x:v>
      </x:c>
      <x:c r="M150" s="4" t="str">
        <x:f>IFERROR(INDEX('_角色基线'!$B$2:$B$100,MATCH($B150,'_角色基线'!$A$2:$A$100,0)),"")</x:f>
        <x:v>莫莉</x:v>
      </x:c>
      <x:c r="N150" s="4" t="str">
        <x:f>IFERROR(INDEX('_角色基线'!$C$2:$C$100,MATCH($B150,'_角色基线'!$A$2:$A$100,0)),"")</x:f>
        <x:v>Tank</x:v>
      </x:c>
      <x:c r="O150" s="4" t="n">
        <x:f>IFERROR(INDEX('_怪物基线'!$B$2:$B$501,MATCH(INT($L150),'_怪物基线'!$A$2:$A$501,0)),"")</x:f>
        <x:v>53614</x:v>
      </x:c>
      <x:c r="P150" s="4" t="n">
        <x:f>IFERROR(INDEX('_怪物基线'!$C$2:$C$501,MATCH(INT($L150),'_怪物基线'!$A$2:$A$501,0)),"")</x:f>
        <x:v>8595</x:v>
      </x:c>
      <x:c r="Q150" s="4" t="n">
        <x:f>IFERROR(INDEX('_怪物基线'!$D$2:$D$501,MATCH(INT($L150),'_怪物基线'!$A$2:$A$501,0)),"")</x:f>
        <x:v>10496</x:v>
      </x:c>
      <x:c r="R150" s="4" t="n">
        <x:f>'参数'!$B$10</x:f>
        <x:v>4</x:v>
      </x:c>
      <x:c r="S150" s="4" t="n">
        <x:f>'参数'!$C$10</x:f>
        <x:v>1.2</x:v>
      </x:c>
      <x:c r="T150" s="4" t="n">
        <x:f>'参数'!$D$10</x:f>
        <x:v>1</x:v>
      </x:c>
      <x:c r="U150" s="4" t="n">
        <x:f t="shared" si="14">IF($O150="","",$O150*$R150)</x:f>
        <x:v>214456</x:v>
      </x:c>
      <x:c r="V150" s="4" t="n">
        <x:f t="shared" si="15">IF($P150="","",$P150*$S150)</x:f>
        <x:v>10314</x:v>
      </x:c>
      <x:c r="W150" s="4" t="n">
        <x:f t="shared" si="16">IF($Q150="","",$Q150*$T150)</x:f>
        <x:v>10496</x:v>
      </x:c>
      <x:c r="X150" s="4" t="n">
        <x:f>IFERROR(INDEX('参数'!$B$5:$B$7,MATCH($N150,'参数'!$A$5:$A$7,0)),"")</x:f>
        <x:v>1.5</x:v>
      </x:c>
      <x:c r="Y150" s="4" t="n">
        <x:f>IFERROR(INDEX('参数'!$C$5:$C$7,MATCH($N150,'参数'!$A$5:$A$7,0)),"")</x:f>
        <x:v>1</x:v>
      </x:c>
      <x:c r="Z150" s="4" t="n">
        <x:f>IFERROR(INDEX('参数'!$D$5:$D$7,MATCH($N150,'参数'!$A$5:$A$7,0)),"")</x:f>
        <x:v>1.5</x:v>
      </x:c>
      <x:c r="AA150" s="4" t="n">
        <x:f>IFERROR(INDEX('楼层配置'!$E$5:$E$104,MATCH($K150,'楼层配置'!$B$5:$B$104,0)),1)</x:f>
        <x:v>1.1579020437087415</x:v>
      </x:c>
      <x:c r="AB150" s="4" t="n">
        <x:f>IFERROR(INDEX('楼层配置'!$F$5:$F$104,MATCH($K150,'楼层配置'!$B$5:$B$104,0)),1)</x:f>
        <x:v>0.675485081391402</x:v>
      </x:c>
      <x:c r="AC150" s="4" t="n">
        <x:f>IFERROR(INDEX('楼层配置'!$G$5:$G$104,MATCH($K150,'楼层配置'!$B$5:$B$104,0)),1)</x:f>
        <x:v>1</x:v>
      </x:c>
      <x:c r="AD150" s="6" t="n">
        <x:f t="shared" si="17">IFERROR($D150/$G150-1,"")</x:f>
        <x:v>-0.11080793323402471</x:v>
      </x:c>
      <x:c r="AE150" s="6" t="n">
        <x:f t="shared" si="18">IFERROR($E150/$H150-1,"")</x:f>
        <x:v>-0.12584692597239644</x:v>
      </x:c>
      <x:c r="AF150" s="6" t="n">
        <x:f t="shared" si="19">IFERROR($F150/$I150-1,"")</x:f>
        <x:v>0.34128471630601465</x:v>
      </x:c>
      <x:c r="AG150" s="4" t="str">
        <x:f t="shared" si="20">IF(AND($A150&gt;=1,$L150&gt;=1,$L150&lt;=500,OR($N150="Tank",$N150="DPS",$N150="Support"),ISNUMBER($D150),ISNUMBER($E150),ISNUMBER($F150)),"有效","异常")</x:f>
        <x:v>有效</x:v>
      </x:c>
      <x:c r="AH150" t="n">
        <x:f>D150/(1-MIN(0.75,F150/(24000+F150)))</x:f>
        <x:v>616825.2239999999</x:v>
      </x:c>
    </x:row>
    <x:row r="151" ht="14.25" customHeight="1">
      <x:c r="A151" s="4">
        <x:v>147</x:v>
      </x:c>
      <x:c r="B151" s="4">
        <x:v>1001</x:v>
      </x:c>
      <x:c r="C151" s="4">
        <x:v>25</x:v>
      </x:c>
      <x:c r="D151" s="5" t="n">
        <x:f>IFERROR(ROUND($U151*$X151*$AA151*'参数'!$B$13,0),"")</x:f>
        <x:v>248319</x:v>
      </x:c>
      <x:c r="E151" s="5" t="n">
        <x:f>IFERROR(ROUND($V151*$Y151*$AB151*'参数'!$C$13,0),"")</x:f>
        <x:v>8360</x:v>
      </x:c>
      <x:c r="F151" s="5" t="n">
        <x:f>IFERROR(ROUND($W151*$Z151*$AC151*'参数'!$D$13,0),"")</x:f>
        <x:v>10496</x:v>
      </x:c>
      <x:c r="G151" s="4">
        <x:v>279264</x:v>
      </x:c>
      <x:c r="H151" s="4">
        <x:v>9564</x:v>
      </x:c>
      <x:c r="I151" s="4">
        <x:v>7825</x:v>
      </x:c>
      <x:c r="J151" s="4">
        <x:v>30</x:v>
      </x:c>
      <x:c r="K151" s="4">
        <x:v>30</x:v>
      </x:c>
      <x:c r="L151" s="4" t="n">
        <x:f>IFERROR(INDEX('楼层配置'!$D$5:$D$104,MATCH($K151,'楼层配置'!$B$5:$B$104,0)),"")</x:f>
        <x:v>120</x:v>
      </x:c>
      <x:c r="M151" s="4" t="str">
        <x:f>IFERROR(INDEX('_角色基线'!$B$2:$B$100,MATCH($B151,'_角色基线'!$A$2:$A$100,0)),"")</x:f>
        <x:v>星海</x:v>
      </x:c>
      <x:c r="N151" s="4" t="str">
        <x:f>IFERROR(INDEX('_角色基线'!$C$2:$C$100,MATCH($B151,'_角色基线'!$A$2:$A$100,0)),"")</x:f>
        <x:v>DPS</x:v>
      </x:c>
      <x:c r="O151" s="4" t="n">
        <x:f>IFERROR(INDEX('_怪物基线'!$B$2:$B$501,MATCH(INT($L151),'_怪物基线'!$A$2:$A$501,0)),"")</x:f>
        <x:v>53614</x:v>
      </x:c>
      <x:c r="P151" s="4" t="n">
        <x:f>IFERROR(INDEX('_怪物基线'!$C$2:$C$501,MATCH(INT($L151),'_怪物基线'!$A$2:$A$501,0)),"")</x:f>
        <x:v>8595</x:v>
      </x:c>
      <x:c r="Q151" s="4" t="n">
        <x:f>IFERROR(INDEX('_怪物基线'!$D$2:$D$501,MATCH(INT($L151),'_怪物基线'!$A$2:$A$501,0)),"")</x:f>
        <x:v>10496</x:v>
      </x:c>
      <x:c r="R151" s="4" t="n">
        <x:f>'参数'!$B$10</x:f>
        <x:v>4</x:v>
      </x:c>
      <x:c r="S151" s="4" t="n">
        <x:f>'参数'!$C$10</x:f>
        <x:v>1.2</x:v>
      </x:c>
      <x:c r="T151" s="4" t="n">
        <x:f>'参数'!$D$10</x:f>
        <x:v>1</x:v>
      </x:c>
      <x:c r="U151" s="4" t="n">
        <x:f t="shared" si="14">IF($O151="","",$O151*$R151)</x:f>
        <x:v>214456</x:v>
      </x:c>
      <x:c r="V151" s="4" t="n">
        <x:f t="shared" si="15">IF($P151="","",$P151*$S151)</x:f>
        <x:v>10314</x:v>
      </x:c>
      <x:c r="W151" s="4" t="n">
        <x:f t="shared" si="16">IF($Q151="","",$Q151*$T151)</x:f>
        <x:v>10496</x:v>
      </x:c>
      <x:c r="X151" s="4" t="n">
        <x:f>IFERROR(INDEX('参数'!$B$5:$B$7,MATCH($N151,'参数'!$A$5:$A$7,0)),"")</x:f>
        <x:v>1</x:v>
      </x:c>
      <x:c r="Y151" s="4" t="n">
        <x:f>IFERROR(INDEX('参数'!$C$5:$C$7,MATCH($N151,'参数'!$A$5:$A$7,0)),"")</x:f>
        <x:v>1.2</x:v>
      </x:c>
      <x:c r="Z151" s="4" t="n">
        <x:f>IFERROR(INDEX('参数'!$D$5:$D$7,MATCH($N151,'参数'!$A$5:$A$7,0)),"")</x:f>
        <x:v>1</x:v>
      </x:c>
      <x:c r="AA151" s="4" t="n">
        <x:f>IFERROR(INDEX('楼层配置'!$E$5:$E$104,MATCH($K151,'楼层配置'!$B$5:$B$104,0)),1)</x:f>
        <x:v>1.1579020437087415</x:v>
      </x:c>
      <x:c r="AB151" s="4" t="n">
        <x:f>IFERROR(INDEX('楼层配置'!$F$5:$F$104,MATCH($K151,'楼层配置'!$B$5:$B$104,0)),1)</x:f>
        <x:v>0.675485081391402</x:v>
      </x:c>
      <x:c r="AC151" s="4" t="n">
        <x:f>IFERROR(INDEX('楼层配置'!$G$5:$G$104,MATCH($K151,'楼层配置'!$B$5:$B$104,0)),1)</x:f>
        <x:v>1</x:v>
      </x:c>
      <x:c r="AD151" s="6" t="n">
        <x:f t="shared" si="17">IFERROR($D151/$G151-1,"")</x:f>
        <x:v>-0.11080912684771405</x:v>
      </x:c>
      <x:c r="AE151" s="6" t="n">
        <x:f t="shared" si="18">IFERROR($E151/$H151-1,"")</x:f>
        <x:v>-0.12588874947720619</x:v>
      </x:c>
      <x:c r="AF151" s="6" t="n">
        <x:f t="shared" si="19">IFERROR($F151/$I151-1,"")</x:f>
        <x:v>0.34134185303514375</x:v>
      </x:c>
      <x:c r="AG151" s="4" t="str">
        <x:f t="shared" si="20">IF(AND($A151&gt;=1,$L151&gt;=1,$L151&lt;=500,OR($N151="Tank",$N151="DPS",$N151="Support"),ISNUMBER($D151),ISNUMBER($E151),ISNUMBER($F151)),"有效","异常")</x:f>
        <x:v>有效</x:v>
      </x:c>
      <x:c r="AH151" t="n">
        <x:f>D151/(1-MIN(0.75,F151/(24000+F151)))</x:f>
        <x:v>356917.176</x:v>
      </x:c>
    </x:row>
    <x:row r="152" ht="14.25" customHeight="1">
      <x:c r="A152" s="4">
        <x:v>148</x:v>
      </x:c>
      <x:c r="B152" s="4">
        <x:v>1021</x:v>
      </x:c>
      <x:c r="C152" s="4">
        <x:v>25</x:v>
      </x:c>
      <x:c r="D152" s="5" t="n">
        <x:f>IFERROR(ROUND($U152*$X152*$AA152*'参数'!$B$13,0),"")</x:f>
        <x:v>248319</x:v>
      </x:c>
      <x:c r="E152" s="5" t="n">
        <x:f>IFERROR(ROUND($V152*$Y152*$AB152*'参数'!$C$13,0),"")</x:f>
        <x:v>8360</x:v>
      </x:c>
      <x:c r="F152" s="5" t="n">
        <x:f>IFERROR(ROUND($W152*$Z152*$AC152*'参数'!$D$13,0),"")</x:f>
        <x:v>10496</x:v>
      </x:c>
      <x:c r="G152" s="4">
        <x:v>279264</x:v>
      </x:c>
      <x:c r="H152" s="4">
        <x:v>9564</x:v>
      </x:c>
      <x:c r="I152" s="4">
        <x:v>7825</x:v>
      </x:c>
      <x:c r="J152" s="4">
        <x:v>30</x:v>
      </x:c>
      <x:c r="K152" s="4">
        <x:v>30</x:v>
      </x:c>
      <x:c r="L152" s="4" t="n">
        <x:f>IFERROR(INDEX('楼层配置'!$D$5:$D$104,MATCH($K152,'楼层配置'!$B$5:$B$104,0)),"")</x:f>
        <x:v>120</x:v>
      </x:c>
      <x:c r="M152" s="4" t="str">
        <x:f>IFERROR(INDEX('_角色基线'!$B$2:$B$100,MATCH($B152,'_角色基线'!$A$2:$A$100,0)),"")</x:f>
        <x:v>梅梅</x:v>
      </x:c>
      <x:c r="N152" s="4" t="str">
        <x:f>IFERROR(INDEX('_角色基线'!$C$2:$C$100,MATCH($B152,'_角色基线'!$A$2:$A$100,0)),"")</x:f>
        <x:v>DPS</x:v>
      </x:c>
      <x:c r="O152" s="4" t="n">
        <x:f>IFERROR(INDEX('_怪物基线'!$B$2:$B$501,MATCH(INT($L152),'_怪物基线'!$A$2:$A$501,0)),"")</x:f>
        <x:v>53614</x:v>
      </x:c>
      <x:c r="P152" s="4" t="n">
        <x:f>IFERROR(INDEX('_怪物基线'!$C$2:$C$501,MATCH(INT($L152),'_怪物基线'!$A$2:$A$501,0)),"")</x:f>
        <x:v>8595</x:v>
      </x:c>
      <x:c r="Q152" s="4" t="n">
        <x:f>IFERROR(INDEX('_怪物基线'!$D$2:$D$501,MATCH(INT($L152),'_怪物基线'!$A$2:$A$501,0)),"")</x:f>
        <x:v>10496</x:v>
      </x:c>
      <x:c r="R152" s="4" t="n">
        <x:f>'参数'!$B$10</x:f>
        <x:v>4</x:v>
      </x:c>
      <x:c r="S152" s="4" t="n">
        <x:f>'参数'!$C$10</x:f>
        <x:v>1.2</x:v>
      </x:c>
      <x:c r="T152" s="4" t="n">
        <x:f>'参数'!$D$10</x:f>
        <x:v>1</x:v>
      </x:c>
      <x:c r="U152" s="4" t="n">
        <x:f t="shared" si="14">IF($O152="","",$O152*$R152)</x:f>
        <x:v>214456</x:v>
      </x:c>
      <x:c r="V152" s="4" t="n">
        <x:f t="shared" si="15">IF($P152="","",$P152*$S152)</x:f>
        <x:v>10314</x:v>
      </x:c>
      <x:c r="W152" s="4" t="n">
        <x:f t="shared" si="16">IF($Q152="","",$Q152*$T152)</x:f>
        <x:v>10496</x:v>
      </x:c>
      <x:c r="X152" s="4" t="n">
        <x:f>IFERROR(INDEX('参数'!$B$5:$B$7,MATCH($N152,'参数'!$A$5:$A$7,0)),"")</x:f>
        <x:v>1</x:v>
      </x:c>
      <x:c r="Y152" s="4" t="n">
        <x:f>IFERROR(INDEX('参数'!$C$5:$C$7,MATCH($N152,'参数'!$A$5:$A$7,0)),"")</x:f>
        <x:v>1.2</x:v>
      </x:c>
      <x:c r="Z152" s="4" t="n">
        <x:f>IFERROR(INDEX('参数'!$D$5:$D$7,MATCH($N152,'参数'!$A$5:$A$7,0)),"")</x:f>
        <x:v>1</x:v>
      </x:c>
      <x:c r="AA152" s="4" t="n">
        <x:f>IFERROR(INDEX('楼层配置'!$E$5:$E$104,MATCH($K152,'楼层配置'!$B$5:$B$104,0)),1)</x:f>
        <x:v>1.1579020437087415</x:v>
      </x:c>
      <x:c r="AB152" s="4" t="n">
        <x:f>IFERROR(INDEX('楼层配置'!$F$5:$F$104,MATCH($K152,'楼层配置'!$B$5:$B$104,0)),1)</x:f>
        <x:v>0.675485081391402</x:v>
      </x:c>
      <x:c r="AC152" s="4" t="n">
        <x:f>IFERROR(INDEX('楼层配置'!$G$5:$G$104,MATCH($K152,'楼层配置'!$B$5:$B$104,0)),1)</x:f>
        <x:v>1</x:v>
      </x:c>
      <x:c r="AD152" s="6" t="n">
        <x:f t="shared" si="17">IFERROR($D152/$G152-1,"")</x:f>
        <x:v>-0.11080912684771405</x:v>
      </x:c>
      <x:c r="AE152" s="6" t="n">
        <x:f t="shared" si="18">IFERROR($E152/$H152-1,"")</x:f>
        <x:v>-0.12588874947720619</x:v>
      </x:c>
      <x:c r="AF152" s="6" t="n">
        <x:f t="shared" si="19">IFERROR($F152/$I152-1,"")</x:f>
        <x:v>0.34134185303514375</x:v>
      </x:c>
      <x:c r="AG152" s="4" t="str">
        <x:f t="shared" si="20">IF(AND($A152&gt;=1,$L152&gt;=1,$L152&lt;=500,OR($N152="Tank",$N152="DPS",$N152="Support"),ISNUMBER($D152),ISNUMBER($E152),ISNUMBER($F152)),"有效","异常")</x:f>
        <x:v>有效</x:v>
      </x:c>
      <x:c r="AH152" t="n">
        <x:f>D152/(1-MIN(0.75,F152/(24000+F152)))</x:f>
        <x:v>356917.176</x:v>
      </x:c>
    </x:row>
    <x:row r="153" ht="14.25" customHeight="1">
      <x:c r="A153" s="4">
        <x:v>149</x:v>
      </x:c>
      <x:c r="B153" s="4">
        <x:v>1020</x:v>
      </x:c>
      <x:c r="C153" s="4">
        <x:v>25</x:v>
      </x:c>
      <x:c r="D153" s="5" t="n">
        <x:f>IFERROR(ROUND($U153*$X153*$AA153*'参数'!$B$13,0),"")</x:f>
        <x:v>310399</x:v>
      </x:c>
      <x:c r="E153" s="5" t="n">
        <x:f>IFERROR(ROUND($V153*$Y153*$AB153*'参数'!$C$13,0),"")</x:f>
        <x:v>6967</x:v>
      </x:c>
      <x:c r="F153" s="5" t="n">
        <x:f>IFERROR(ROUND($W153*$Z153*$AC153*'参数'!$D$13,0),"")</x:f>
        <x:v>13120</x:v>
      </x:c>
      <x:c r="G153" s="4">
        <x:v>349080</x:v>
      </x:c>
      <x:c r="H153" s="4">
        <x:v>7970</x:v>
      </x:c>
      <x:c r="I153" s="4">
        <x:v>9782</x:v>
      </x:c>
      <x:c r="J153" s="4">
        <x:v>30</x:v>
      </x:c>
      <x:c r="K153" s="4">
        <x:v>30</x:v>
      </x:c>
      <x:c r="L153" s="4" t="n">
        <x:f>IFERROR(INDEX('楼层配置'!$D$5:$D$104,MATCH($K153,'楼层配置'!$B$5:$B$104,0)),"")</x:f>
        <x:v>120</x:v>
      </x:c>
      <x:c r="M153" s="4" t="str">
        <x:f>IFERROR(INDEX('_角色基线'!$B$2:$B$100,MATCH($B153,'_角色基线'!$A$2:$A$100,0)),"")</x:f>
        <x:v>卡斯帕</x:v>
      </x:c>
      <x:c r="N153" s="4" t="str">
        <x:f>IFERROR(INDEX('_角色基线'!$C$2:$C$100,MATCH($B153,'_角色基线'!$A$2:$A$100,0)),"")</x:f>
        <x:v>Support</x:v>
      </x:c>
      <x:c r="O153" s="4" t="n">
        <x:f>IFERROR(INDEX('_怪物基线'!$B$2:$B$501,MATCH(INT($L153),'_怪物基线'!$A$2:$A$501,0)),"")</x:f>
        <x:v>53614</x:v>
      </x:c>
      <x:c r="P153" s="4" t="n">
        <x:f>IFERROR(INDEX('_怪物基线'!$C$2:$C$501,MATCH(INT($L153),'_怪物基线'!$A$2:$A$501,0)),"")</x:f>
        <x:v>8595</x:v>
      </x:c>
      <x:c r="Q153" s="4" t="n">
        <x:f>IFERROR(INDEX('_怪物基线'!$D$2:$D$501,MATCH(INT($L153),'_怪物基线'!$A$2:$A$501,0)),"")</x:f>
        <x:v>10496</x:v>
      </x:c>
      <x:c r="R153" s="4" t="n">
        <x:f>'参数'!$B$10</x:f>
        <x:v>4</x:v>
      </x:c>
      <x:c r="S153" s="4" t="n">
        <x:f>'参数'!$C$10</x:f>
        <x:v>1.2</x:v>
      </x:c>
      <x:c r="T153" s="4" t="n">
        <x:f>'参数'!$D$10</x:f>
        <x:v>1</x:v>
      </x:c>
      <x:c r="U153" s="4" t="n">
        <x:f t="shared" si="14">IF($O153="","",$O153*$R153)</x:f>
        <x:v>214456</x:v>
      </x:c>
      <x:c r="V153" s="4" t="n">
        <x:f t="shared" si="15">IF($P153="","",$P153*$S153)</x:f>
        <x:v>10314</x:v>
      </x:c>
      <x:c r="W153" s="4" t="n">
        <x:f t="shared" si="16">IF($Q153="","",$Q153*$T153)</x:f>
        <x:v>10496</x:v>
      </x:c>
      <x:c r="X153" s="4" t="n">
        <x:f>IFERROR(INDEX('参数'!$B$5:$B$7,MATCH($N153,'参数'!$A$5:$A$7,0)),"")</x:f>
        <x:v>1.25</x:v>
      </x:c>
      <x:c r="Y153" s="4" t="n">
        <x:f>IFERROR(INDEX('参数'!$C$5:$C$7,MATCH($N153,'参数'!$A$5:$A$7,0)),"")</x:f>
        <x:v>1</x:v>
      </x:c>
      <x:c r="Z153" s="4" t="n">
        <x:f>IFERROR(INDEX('参数'!$D$5:$D$7,MATCH($N153,'参数'!$A$5:$A$7,0)),"")</x:f>
        <x:v>1.25</x:v>
      </x:c>
      <x:c r="AA153" s="4" t="n">
        <x:f>IFERROR(INDEX('楼层配置'!$E$5:$E$104,MATCH($K153,'楼层配置'!$B$5:$B$104,0)),1)</x:f>
        <x:v>1.1579020437087415</x:v>
      </x:c>
      <x:c r="AB153" s="4" t="n">
        <x:f>IFERROR(INDEX('楼层配置'!$F$5:$F$104,MATCH($K153,'楼层配置'!$B$5:$B$104,0)),1)</x:f>
        <x:v>0.675485081391402</x:v>
      </x:c>
      <x:c r="AC153" s="4" t="n">
        <x:f>IFERROR(INDEX('楼层配置'!$G$5:$G$104,MATCH($K153,'楼层配置'!$B$5:$B$104,0)),1)</x:f>
        <x:v>1</x:v>
      </x:c>
      <x:c r="AD153" s="6" t="n">
        <x:f t="shared" si="17">IFERROR($D153/$G153-1,"")</x:f>
        <x:v>-0.11080841067950042</x:v>
      </x:c>
      <x:c r="AE153" s="6" t="n">
        <x:f t="shared" si="18">IFERROR($E153/$H153-1,"")</x:f>
        <x:v>-0.12584692597239644</x:v>
      </x:c>
      <x:c r="AF153" s="6" t="n">
        <x:f t="shared" si="19">IFERROR($F153/$I153-1,"")</x:f>
        <x:v>0.3412390104273155</x:v>
      </x:c>
      <x:c r="AG153" s="4" t="str">
        <x:f t="shared" si="20">IF(AND($A153&gt;=1,$L153&gt;=1,$L153&lt;=500,OR($N153="Tank",$N153="DPS",$N153="Support"),ISNUMBER($D153),ISNUMBER($E153),ISNUMBER($F153)),"有效","异常")</x:f>
        <x:v>有效</x:v>
      </x:c>
      <x:c r="AH153" t="n">
        <x:f>D153/(1-MIN(0.75,F153/(24000+F153)))</x:f>
        <x:v>480083.7866666667</x:v>
      </x:c>
    </x:row>
    <x:row r="154" ht="14.25" customHeight="1">
      <x:c r="A154" s="4">
        <x:v>150</x:v>
      </x:c>
      <x:c r="B154" s="4">
        <x:v>1011</x:v>
      </x:c>
      <x:c r="C154" s="4">
        <x:v>25</x:v>
      </x:c>
      <x:c r="D154" s="5" t="n">
        <x:f>IFERROR(ROUND($U154*$X154*$AA154*'参数'!$B$13,0),"")</x:f>
        <x:v>310399</x:v>
      </x:c>
      <x:c r="E154" s="5" t="n">
        <x:f>IFERROR(ROUND($V154*$Y154*$AB154*'参数'!$C$13,0),"")</x:f>
        <x:v>6967</x:v>
      </x:c>
      <x:c r="F154" s="5" t="n">
        <x:f>IFERROR(ROUND($W154*$Z154*$AC154*'参数'!$D$13,0),"")</x:f>
        <x:v>13120</x:v>
      </x:c>
      <x:c r="G154" s="4">
        <x:v>349080</x:v>
      </x:c>
      <x:c r="H154" s="4">
        <x:v>7970</x:v>
      </x:c>
      <x:c r="I154" s="4">
        <x:v>9782</x:v>
      </x:c>
      <x:c r="J154" s="4">
        <x:v>30</x:v>
      </x:c>
      <x:c r="K154" s="4">
        <x:v>30</x:v>
      </x:c>
      <x:c r="L154" s="4" t="n">
        <x:f>IFERROR(INDEX('楼层配置'!$D$5:$D$104,MATCH($K154,'楼层配置'!$B$5:$B$104,0)),"")</x:f>
        <x:v>120</x:v>
      </x:c>
      <x:c r="M154" s="4" t="str">
        <x:f>IFERROR(INDEX('_角色基线'!$B$2:$B$100,MATCH($B154,'_角色基线'!$A$2:$A$100,0)),"")</x:f>
        <x:v>陈双双</x:v>
      </x:c>
      <x:c r="N154" s="4" t="str">
        <x:f>IFERROR(INDEX('_角色基线'!$C$2:$C$100,MATCH($B154,'_角色基线'!$A$2:$A$100,0)),"")</x:f>
        <x:v>Support</x:v>
      </x:c>
      <x:c r="O154" s="4" t="n">
        <x:f>IFERROR(INDEX('_怪物基线'!$B$2:$B$501,MATCH(INT($L154),'_怪物基线'!$A$2:$A$501,0)),"")</x:f>
        <x:v>53614</x:v>
      </x:c>
      <x:c r="P154" s="4" t="n">
        <x:f>IFERROR(INDEX('_怪物基线'!$C$2:$C$501,MATCH(INT($L154),'_怪物基线'!$A$2:$A$501,0)),"")</x:f>
        <x:v>8595</x:v>
      </x:c>
      <x:c r="Q154" s="4" t="n">
        <x:f>IFERROR(INDEX('_怪物基线'!$D$2:$D$501,MATCH(INT($L154),'_怪物基线'!$A$2:$A$501,0)),"")</x:f>
        <x:v>10496</x:v>
      </x:c>
      <x:c r="R154" s="4" t="n">
        <x:f>'参数'!$B$10</x:f>
        <x:v>4</x:v>
      </x:c>
      <x:c r="S154" s="4" t="n">
        <x:f>'参数'!$C$10</x:f>
        <x:v>1.2</x:v>
      </x:c>
      <x:c r="T154" s="4" t="n">
        <x:f>'参数'!$D$10</x:f>
        <x:v>1</x:v>
      </x:c>
      <x:c r="U154" s="4" t="n">
        <x:f t="shared" si="14">IF($O154="","",$O154*$R154)</x:f>
        <x:v>214456</x:v>
      </x:c>
      <x:c r="V154" s="4" t="n">
        <x:f t="shared" si="15">IF($P154="","",$P154*$S154)</x:f>
        <x:v>10314</x:v>
      </x:c>
      <x:c r="W154" s="4" t="n">
        <x:f t="shared" si="16">IF($Q154="","",$Q154*$T154)</x:f>
        <x:v>10496</x:v>
      </x:c>
      <x:c r="X154" s="4" t="n">
        <x:f>IFERROR(INDEX('参数'!$B$5:$B$7,MATCH($N154,'参数'!$A$5:$A$7,0)),"")</x:f>
        <x:v>1.25</x:v>
      </x:c>
      <x:c r="Y154" s="4" t="n">
        <x:f>IFERROR(INDEX('参数'!$C$5:$C$7,MATCH($N154,'参数'!$A$5:$A$7,0)),"")</x:f>
        <x:v>1</x:v>
      </x:c>
      <x:c r="Z154" s="4" t="n">
        <x:f>IFERROR(INDEX('参数'!$D$5:$D$7,MATCH($N154,'参数'!$A$5:$A$7,0)),"")</x:f>
        <x:v>1.25</x:v>
      </x:c>
      <x:c r="AA154" s="4" t="n">
        <x:f>IFERROR(INDEX('楼层配置'!$E$5:$E$104,MATCH($K154,'楼层配置'!$B$5:$B$104,0)),1)</x:f>
        <x:v>1.1579020437087415</x:v>
      </x:c>
      <x:c r="AB154" s="4" t="n">
        <x:f>IFERROR(INDEX('楼层配置'!$F$5:$F$104,MATCH($K154,'楼层配置'!$B$5:$B$104,0)),1)</x:f>
        <x:v>0.675485081391402</x:v>
      </x:c>
      <x:c r="AC154" s="4" t="n">
        <x:f>IFERROR(INDEX('楼层配置'!$G$5:$G$104,MATCH($K154,'楼层配置'!$B$5:$B$104,0)),1)</x:f>
        <x:v>1</x:v>
      </x:c>
      <x:c r="AD154" s="6" t="n">
        <x:f t="shared" si="17">IFERROR($D154/$G154-1,"")</x:f>
        <x:v>-0.11080841067950042</x:v>
      </x:c>
      <x:c r="AE154" s="6" t="n">
        <x:f t="shared" si="18">IFERROR($E154/$H154-1,"")</x:f>
        <x:v>-0.12584692597239644</x:v>
      </x:c>
      <x:c r="AF154" s="6" t="n">
        <x:f t="shared" si="19">IFERROR($F154/$I154-1,"")</x:f>
        <x:v>0.3412390104273155</x:v>
      </x:c>
      <x:c r="AG154" s="4" t="str">
        <x:f t="shared" si="20">IF(AND($A154&gt;=1,$L154&gt;=1,$L154&lt;=500,OR($N154="Tank",$N154="DPS",$N154="Support"),ISNUMBER($D154),ISNUMBER($E154),ISNUMBER($F154)),"有效","异常")</x:f>
        <x:v>有效</x:v>
      </x:c>
      <x:c r="AH154" t="n">
        <x:f>D154/(1-MIN(0.75,F154/(24000+F154)))</x:f>
        <x:v>480083.7866666667</x:v>
      </x:c>
    </x:row>
    <x:row r="155" ht="14.25" customHeight="1">
      <x:c r="A155" s="4">
        <x:v>151</x:v>
      </x:c>
      <x:c r="B155" s="4">
        <x:v>1030</x:v>
      </x:c>
      <x:c r="C155" s="4">
        <x:v>25</x:v>
      </x:c>
      <x:c r="D155" s="5" t="n">
        <x:f>IFERROR(ROUND($U155*$X155*$AA155*'参数'!$B$13,0),"")</x:f>
        <x:v>402226</x:v>
      </x:c>
      <x:c r="E155" s="5" t="n">
        <x:f>IFERROR(ROUND($V155*$Y155*$AB155*'参数'!$C$13,0),"")</x:f>
        <x:v>7322</x:v>
      </x:c>
      <x:c r="F155" s="5" t="n">
        <x:f>IFERROR(ROUND($W155*$Z155*$AC155*'参数'!$D$13,0),"")</x:f>
        <x:v>16353</x:v>
      </x:c>
      <x:c r="G155" s="4">
        <x:v>445348</x:v>
      </x:c>
      <x:c r="H155" s="4">
        <x:v>8296</x:v>
      </x:c>
      <x:c r="I155" s="4">
        <x:v>12157</x:v>
      </x:c>
      <x:c r="J155" s="4">
        <x:v>31</x:v>
      </x:c>
      <x:c r="K155" s="4">
        <x:v>31</x:v>
      </x:c>
      <x:c r="L155" s="4" t="n">
        <x:f>IFERROR(INDEX('楼层配置'!$D$5:$D$104,MATCH($K155,'楼层配置'!$B$5:$B$104,0)),"")</x:f>
        <x:v>124</x:v>
      </x:c>
      <x:c r="M155" s="4" t="str">
        <x:f>IFERROR(INDEX('_角色基线'!$B$2:$B$100,MATCH($B155,'_角色基线'!$A$2:$A$100,0)),"")</x:f>
        <x:v>莫莉</x:v>
      </x:c>
      <x:c r="N155" s="4" t="str">
        <x:f>IFERROR(INDEX('_角色基线'!$C$2:$C$100,MATCH($B155,'_角色基线'!$A$2:$A$100,0)),"")</x:f>
        <x:v>Tank</x:v>
      </x:c>
      <x:c r="O155" s="4" t="n">
        <x:f>IFERROR(INDEX('_怪物基线'!$B$2:$B$501,MATCH(INT($L155),'_怪物基线'!$A$2:$A$501,0)),"")</x:f>
        <x:v>57313</x:v>
      </x:c>
      <x:c r="P155" s="4" t="n">
        <x:f>IFERROR(INDEX('_怪物基线'!$C$2:$C$501,MATCH(INT($L155),'_怪物基线'!$A$2:$A$501,0)),"")</x:f>
        <x:v>9021</x:v>
      </x:c>
      <x:c r="Q155" s="4" t="n">
        <x:f>IFERROR(INDEX('_怪物基线'!$D$2:$D$501,MATCH(INT($L155),'_怪物基线'!$A$2:$A$501,0)),"")</x:f>
        <x:v>10902</x:v>
      </x:c>
      <x:c r="R155" s="4" t="n">
        <x:f>'参数'!$B$10</x:f>
        <x:v>4</x:v>
      </x:c>
      <x:c r="S155" s="4" t="n">
        <x:f>'参数'!$C$10</x:f>
        <x:v>1.2</x:v>
      </x:c>
      <x:c r="T155" s="4" t="n">
        <x:f>'参数'!$D$10</x:f>
        <x:v>1</x:v>
      </x:c>
      <x:c r="U155" s="4" t="n">
        <x:f t="shared" si="14">IF($O155="","",$O155*$R155)</x:f>
        <x:v>229252</x:v>
      </x:c>
      <x:c r="V155" s="4" t="n">
        <x:f t="shared" si="15">IF($P155="","",$P155*$S155)</x:f>
        <x:v>10825.199999999999</x:v>
      </x:c>
      <x:c r="W155" s="4" t="n">
        <x:f t="shared" si="16">IF($Q155="","",$Q155*$T155)</x:f>
        <x:v>10902</x:v>
      </x:c>
      <x:c r="X155" s="4" t="n">
        <x:f>IFERROR(INDEX('参数'!$B$5:$B$7,MATCH($N155,'参数'!$A$5:$A$7,0)),"")</x:f>
        <x:v>1.5</x:v>
      </x:c>
      <x:c r="Y155" s="4" t="n">
        <x:f>IFERROR(INDEX('参数'!$C$5:$C$7,MATCH($N155,'参数'!$A$5:$A$7,0)),"")</x:f>
        <x:v>1</x:v>
      </x:c>
      <x:c r="Z155" s="4" t="n">
        <x:f>IFERROR(INDEX('参数'!$D$5:$D$7,MATCH($N155,'参数'!$A$5:$A$7,0)),"")</x:f>
        <x:v>1.5</x:v>
      </x:c>
      <x:c r="AA155" s="4" t="n">
        <x:f>IFERROR(INDEX('楼层配置'!$E$5:$E$104,MATCH($K155,'楼层配置'!$B$5:$B$104,0)),1)</x:f>
        <x:v>1.1696774143108677</x:v>
      </x:c>
      <x:c r="AB155" s="4" t="n">
        <x:f>IFERROR(INDEX('楼层配置'!$F$5:$F$104,MATCH($K155,'楼层配置'!$B$5:$B$104,0)),1)</x:f>
        <x:v>0.6763701957569285</x:v>
      </x:c>
      <x:c r="AC155" s="4" t="n">
        <x:f>IFERROR(INDEX('楼层配置'!$G$5:$G$104,MATCH($K155,'楼层配置'!$B$5:$B$104,0)),1)</x:f>
        <x:v>1</x:v>
      </x:c>
      <x:c r="AD155" s="6" t="n">
        <x:f t="shared" si="17">IFERROR($D155/$G155-1,"")</x:f>
        <x:v>-0.09682764938879262</x:v>
      </x:c>
      <x:c r="AE155" s="6" t="n">
        <x:f t="shared" si="18">IFERROR($E155/$H155-1,"")</x:f>
        <x:v>-0.11740597878495662</x:v>
      </x:c>
      <x:c r="AF155" s="6" t="n">
        <x:f t="shared" si="19">IFERROR($F155/$I155-1,"")</x:f>
        <x:v>0.3451509418442049</x:v>
      </x:c>
      <x:c r="AG155" s="4" t="str">
        <x:f t="shared" si="20">IF(AND($A155&gt;=1,$L155&gt;=1,$L155&lt;=500,OR($N155="Tank",$N155="DPS",$N155="Support"),ISNUMBER($D155),ISNUMBER($E155),ISNUMBER($F155)),"有效","异常")</x:f>
        <x:v>有效</x:v>
      </x:c>
      <x:c r="AH155" t="n">
        <x:f>D155/(1-MIN(0.75,F155/(24000+F155)))</x:f>
        <x:v>676292.74075</x:v>
      </x:c>
    </x:row>
    <x:row r="156" ht="14.25" customHeight="1">
      <x:c r="A156" s="4">
        <x:v>152</x:v>
      </x:c>
      <x:c r="B156" s="4">
        <x:v>1035</x:v>
      </x:c>
      <x:c r="C156" s="4">
        <x:v>25</x:v>
      </x:c>
      <x:c r="D156" s="5" t="n">
        <x:f>IFERROR(ROUND($U156*$X156*$AA156*'参数'!$B$13,0),"")</x:f>
        <x:v>268151</x:v>
      </x:c>
      <x:c r="E156" s="5" t="n">
        <x:f>IFERROR(ROUND($V156*$Y156*$AB156*'参数'!$C$13,0),"")</x:f>
        <x:v>8786</x:v>
      </x:c>
      <x:c r="F156" s="5" t="n">
        <x:f>IFERROR(ROUND($W156*$Z156*$AC156*'参数'!$D$13,0),"")</x:f>
        <x:v>10902</x:v>
      </x:c>
      <x:c r="G156" s="4">
        <x:v>296899</x:v>
      </x:c>
      <x:c r="H156" s="4">
        <x:v>9955</x:v>
      </x:c>
      <x:c r="I156" s="4">
        <x:v>8104</x:v>
      </x:c>
      <x:c r="J156" s="4">
        <x:v>31</x:v>
      </x:c>
      <x:c r="K156" s="4">
        <x:v>31</x:v>
      </x:c>
      <x:c r="L156" s="4" t="n">
        <x:f>IFERROR(INDEX('楼层配置'!$D$5:$D$104,MATCH($K156,'楼层配置'!$B$5:$B$104,0)),"")</x:f>
        <x:v>124</x:v>
      </x:c>
      <x:c r="M156" s="4" t="str">
        <x:f>IFERROR(INDEX('_角色基线'!$B$2:$B$100,MATCH($B156,'_角色基线'!$A$2:$A$100,0)),"")</x:f>
        <x:v>碎冰者</x:v>
      </x:c>
      <x:c r="N156" s="4" t="str">
        <x:f>IFERROR(INDEX('_角色基线'!$C$2:$C$100,MATCH($B156,'_角色基线'!$A$2:$A$100,0)),"")</x:f>
        <x:v>DPS</x:v>
      </x:c>
      <x:c r="O156" s="4" t="n">
        <x:f>IFERROR(INDEX('_怪物基线'!$B$2:$B$501,MATCH(INT($L156),'_怪物基线'!$A$2:$A$501,0)),"")</x:f>
        <x:v>57313</x:v>
      </x:c>
      <x:c r="P156" s="4" t="n">
        <x:f>IFERROR(INDEX('_怪物基线'!$C$2:$C$501,MATCH(INT($L156),'_怪物基线'!$A$2:$A$501,0)),"")</x:f>
        <x:v>9021</x:v>
      </x:c>
      <x:c r="Q156" s="4" t="n">
        <x:f>IFERROR(INDEX('_怪物基线'!$D$2:$D$501,MATCH(INT($L156),'_怪物基线'!$A$2:$A$501,0)),"")</x:f>
        <x:v>10902</x:v>
      </x:c>
      <x:c r="R156" s="4" t="n">
        <x:f>'参数'!$B$10</x:f>
        <x:v>4</x:v>
      </x:c>
      <x:c r="S156" s="4" t="n">
        <x:f>'参数'!$C$10</x:f>
        <x:v>1.2</x:v>
      </x:c>
      <x:c r="T156" s="4" t="n">
        <x:f>'参数'!$D$10</x:f>
        <x:v>1</x:v>
      </x:c>
      <x:c r="U156" s="4" t="n">
        <x:f t="shared" si="14">IF($O156="","",$O156*$R156)</x:f>
        <x:v>229252</x:v>
      </x:c>
      <x:c r="V156" s="4" t="n">
        <x:f t="shared" si="15">IF($P156="","",$P156*$S156)</x:f>
        <x:v>10825.199999999999</x:v>
      </x:c>
      <x:c r="W156" s="4" t="n">
        <x:f t="shared" si="16">IF($Q156="","",$Q156*$T156)</x:f>
        <x:v>10902</x:v>
      </x:c>
      <x:c r="X156" s="4" t="n">
        <x:f>IFERROR(INDEX('参数'!$B$5:$B$7,MATCH($N156,'参数'!$A$5:$A$7,0)),"")</x:f>
        <x:v>1</x:v>
      </x:c>
      <x:c r="Y156" s="4" t="n">
        <x:f>IFERROR(INDEX('参数'!$C$5:$C$7,MATCH($N156,'参数'!$A$5:$A$7,0)),"")</x:f>
        <x:v>1.2</x:v>
      </x:c>
      <x:c r="Z156" s="4" t="n">
        <x:f>IFERROR(INDEX('参数'!$D$5:$D$7,MATCH($N156,'参数'!$A$5:$A$7,0)),"")</x:f>
        <x:v>1</x:v>
      </x:c>
      <x:c r="AA156" s="4" t="n">
        <x:f>IFERROR(INDEX('楼层配置'!$E$5:$E$104,MATCH($K156,'楼层配置'!$B$5:$B$104,0)),1)</x:f>
        <x:v>1.1696774143108677</x:v>
      </x:c>
      <x:c r="AB156" s="4" t="n">
        <x:f>IFERROR(INDEX('楼层配置'!$F$5:$F$104,MATCH($K156,'楼层配置'!$B$5:$B$104,0)),1)</x:f>
        <x:v>0.6763701957569285</x:v>
      </x:c>
      <x:c r="AC156" s="4" t="n">
        <x:f>IFERROR(INDEX('楼层配置'!$G$5:$G$104,MATCH($K156,'楼层配置'!$B$5:$B$104,0)),1)</x:f>
        <x:v>1</x:v>
      </x:c>
      <x:c r="AD156" s="6" t="n">
        <x:f t="shared" si="17">IFERROR($D156/$G156-1,"")</x:f>
        <x:v>-0.09682754067881671</x:v>
      </x:c>
      <x:c r="AE156" s="6" t="n">
        <x:f t="shared" si="18">IFERROR($E156/$H156-1,"")</x:f>
        <x:v>-0.11742842792566555</x:v>
      </x:c>
      <x:c r="AF156" s="6" t="n">
        <x:f t="shared" si="19">IFERROR($F156/$I156-1,"")</x:f>
        <x:v>0.34526159921026656</x:v>
      </x:c>
      <x:c r="AG156" s="4" t="str">
        <x:f t="shared" si="20">IF(AND($A156&gt;=1,$L156&gt;=1,$L156&lt;=500,OR($N156="Tank",$N156="DPS",$N156="Support"),ISNUMBER($D156),ISNUMBER($E156),ISNUMBER($F156)),"有效","异常")</x:f>
        <x:v>有效</x:v>
      </x:c>
      <x:c r="AH156" t="n">
        <x:f>D156/(1-MIN(0.75,F156/(24000+F156)))</x:f>
        <x:v>389958.59175</x:v>
      </x:c>
    </x:row>
    <x:row r="157" ht="14.25" customHeight="1">
      <x:c r="A157" s="4">
        <x:v>153</x:v>
      </x:c>
      <x:c r="B157" s="4">
        <x:v>1026</x:v>
      </x:c>
      <x:c r="C157" s="4">
        <x:v>25</x:v>
      </x:c>
      <x:c r="D157" s="5" t="n">
        <x:f>IFERROR(ROUND($U157*$X157*$AA157*'参数'!$B$13,0),"")</x:f>
        <x:v>268151</x:v>
      </x:c>
      <x:c r="E157" s="5" t="n">
        <x:f>IFERROR(ROUND($V157*$Y157*$AB157*'参数'!$C$13,0),"")</x:f>
        <x:v>8786</x:v>
      </x:c>
      <x:c r="F157" s="5" t="n">
        <x:f>IFERROR(ROUND($W157*$Z157*$AC157*'参数'!$D$13,0),"")</x:f>
        <x:v>10902</x:v>
      </x:c>
      <x:c r="G157" s="4">
        <x:v>296899</x:v>
      </x:c>
      <x:c r="H157" s="4">
        <x:v>9955</x:v>
      </x:c>
      <x:c r="I157" s="4">
        <x:v>8104</x:v>
      </x:c>
      <x:c r="J157" s="4">
        <x:v>31</x:v>
      </x:c>
      <x:c r="K157" s="4">
        <x:v>31</x:v>
      </x:c>
      <x:c r="L157" s="4" t="n">
        <x:f>IFERROR(INDEX('楼层配置'!$D$5:$D$104,MATCH($K157,'楼层配置'!$B$5:$B$104,0)),"")</x:f>
        <x:v>124</x:v>
      </x:c>
      <x:c r="M157" s="4" t="str">
        <x:f>IFERROR(INDEX('_角色基线'!$B$2:$B$100,MATCH($B157,'_角色基线'!$A$2:$A$100,0)),"")</x:f>
        <x:v>乔一</x:v>
      </x:c>
      <x:c r="N157" s="4" t="str">
        <x:f>IFERROR(INDEX('_角色基线'!$C$2:$C$100,MATCH($B157,'_角色基线'!$A$2:$A$100,0)),"")</x:f>
        <x:v>DPS</x:v>
      </x:c>
      <x:c r="O157" s="4" t="n">
        <x:f>IFERROR(INDEX('_怪物基线'!$B$2:$B$501,MATCH(INT($L157),'_怪物基线'!$A$2:$A$501,0)),"")</x:f>
        <x:v>57313</x:v>
      </x:c>
      <x:c r="P157" s="4" t="n">
        <x:f>IFERROR(INDEX('_怪物基线'!$C$2:$C$501,MATCH(INT($L157),'_怪物基线'!$A$2:$A$501,0)),"")</x:f>
        <x:v>9021</x:v>
      </x:c>
      <x:c r="Q157" s="4" t="n">
        <x:f>IFERROR(INDEX('_怪物基线'!$D$2:$D$501,MATCH(INT($L157),'_怪物基线'!$A$2:$A$501,0)),"")</x:f>
        <x:v>10902</x:v>
      </x:c>
      <x:c r="R157" s="4" t="n">
        <x:f>'参数'!$B$10</x:f>
        <x:v>4</x:v>
      </x:c>
      <x:c r="S157" s="4" t="n">
        <x:f>'参数'!$C$10</x:f>
        <x:v>1.2</x:v>
      </x:c>
      <x:c r="T157" s="4" t="n">
        <x:f>'参数'!$D$10</x:f>
        <x:v>1</x:v>
      </x:c>
      <x:c r="U157" s="4" t="n">
        <x:f t="shared" si="14">IF($O157="","",$O157*$R157)</x:f>
        <x:v>229252</x:v>
      </x:c>
      <x:c r="V157" s="4" t="n">
        <x:f t="shared" si="15">IF($P157="","",$P157*$S157)</x:f>
        <x:v>10825.199999999999</x:v>
      </x:c>
      <x:c r="W157" s="4" t="n">
        <x:f t="shared" si="16">IF($Q157="","",$Q157*$T157)</x:f>
        <x:v>10902</x:v>
      </x:c>
      <x:c r="X157" s="4" t="n">
        <x:f>IFERROR(INDEX('参数'!$B$5:$B$7,MATCH($N157,'参数'!$A$5:$A$7,0)),"")</x:f>
        <x:v>1</x:v>
      </x:c>
      <x:c r="Y157" s="4" t="n">
        <x:f>IFERROR(INDEX('参数'!$C$5:$C$7,MATCH($N157,'参数'!$A$5:$A$7,0)),"")</x:f>
        <x:v>1.2</x:v>
      </x:c>
      <x:c r="Z157" s="4" t="n">
        <x:f>IFERROR(INDEX('参数'!$D$5:$D$7,MATCH($N157,'参数'!$A$5:$A$7,0)),"")</x:f>
        <x:v>1</x:v>
      </x:c>
      <x:c r="AA157" s="4" t="n">
        <x:f>IFERROR(INDEX('楼层配置'!$E$5:$E$104,MATCH($K157,'楼层配置'!$B$5:$B$104,0)),1)</x:f>
        <x:v>1.1696774143108677</x:v>
      </x:c>
      <x:c r="AB157" s="4" t="n">
        <x:f>IFERROR(INDEX('楼层配置'!$F$5:$F$104,MATCH($K157,'楼层配置'!$B$5:$B$104,0)),1)</x:f>
        <x:v>0.6763701957569285</x:v>
      </x:c>
      <x:c r="AC157" s="4" t="n">
        <x:f>IFERROR(INDEX('楼层配置'!$G$5:$G$104,MATCH($K157,'楼层配置'!$B$5:$B$104,0)),1)</x:f>
        <x:v>1</x:v>
      </x:c>
      <x:c r="AD157" s="6" t="n">
        <x:f t="shared" si="17">IFERROR($D157/$G157-1,"")</x:f>
        <x:v>-0.09682754067881671</x:v>
      </x:c>
      <x:c r="AE157" s="6" t="n">
        <x:f t="shared" si="18">IFERROR($E157/$H157-1,"")</x:f>
        <x:v>-0.11742842792566555</x:v>
      </x:c>
      <x:c r="AF157" s="6" t="n">
        <x:f t="shared" si="19">IFERROR($F157/$I157-1,"")</x:f>
        <x:v>0.34526159921026656</x:v>
      </x:c>
      <x:c r="AG157" s="4" t="str">
        <x:f t="shared" si="20">IF(AND($A157&gt;=1,$L157&gt;=1,$L157&lt;=500,OR($N157="Tank",$N157="DPS",$N157="Support"),ISNUMBER($D157),ISNUMBER($E157),ISNUMBER($F157)),"有效","异常")</x:f>
        <x:v>有效</x:v>
      </x:c>
      <x:c r="AH157" t="n">
        <x:f>D157/(1-MIN(0.75,F157/(24000+F157)))</x:f>
        <x:v>389958.59175</x:v>
      </x:c>
    </x:row>
    <x:row r="158" ht="14.25" customHeight="1">
      <x:c r="A158" s="4">
        <x:v>154</x:v>
      </x:c>
      <x:c r="B158" s="4">
        <x:v>1011</x:v>
      </x:c>
      <x:c r="C158" s="4">
        <x:v>25</x:v>
      </x:c>
      <x:c r="D158" s="5" t="n">
        <x:f>IFERROR(ROUND($U158*$X158*$AA158*'参数'!$B$13,0),"")</x:f>
        <x:v>335189</x:v>
      </x:c>
      <x:c r="E158" s="5" t="n">
        <x:f>IFERROR(ROUND($V158*$Y158*$AB158*'参数'!$C$13,0),"")</x:f>
        <x:v>7322</x:v>
      </x:c>
      <x:c r="F158" s="5" t="n">
        <x:f>IFERROR(ROUND($W158*$Z158*$AC158*'参数'!$D$13,0),"")</x:f>
        <x:v>13628</x:v>
      </x:c>
      <x:c r="G158" s="4">
        <x:v>371124</x:v>
      </x:c>
      <x:c r="H158" s="4">
        <x:v>8296</x:v>
      </x:c>
      <x:c r="I158" s="4">
        <x:v>10131</x:v>
      </x:c>
      <x:c r="J158" s="4">
        <x:v>31</x:v>
      </x:c>
      <x:c r="K158" s="4">
        <x:v>31</x:v>
      </x:c>
      <x:c r="L158" s="4" t="n">
        <x:f>IFERROR(INDEX('楼层配置'!$D$5:$D$104,MATCH($K158,'楼层配置'!$B$5:$B$104,0)),"")</x:f>
        <x:v>124</x:v>
      </x:c>
      <x:c r="M158" s="4" t="str">
        <x:f>IFERROR(INDEX('_角色基线'!$B$2:$B$100,MATCH($B158,'_角色基线'!$A$2:$A$100,0)),"")</x:f>
        <x:v>陈双双</x:v>
      </x:c>
      <x:c r="N158" s="4" t="str">
        <x:f>IFERROR(INDEX('_角色基线'!$C$2:$C$100,MATCH($B158,'_角色基线'!$A$2:$A$100,0)),"")</x:f>
        <x:v>Support</x:v>
      </x:c>
      <x:c r="O158" s="4" t="n">
        <x:f>IFERROR(INDEX('_怪物基线'!$B$2:$B$501,MATCH(INT($L158),'_怪物基线'!$A$2:$A$501,0)),"")</x:f>
        <x:v>57313</x:v>
      </x:c>
      <x:c r="P158" s="4" t="n">
        <x:f>IFERROR(INDEX('_怪物基线'!$C$2:$C$501,MATCH(INT($L158),'_怪物基线'!$A$2:$A$501,0)),"")</x:f>
        <x:v>9021</x:v>
      </x:c>
      <x:c r="Q158" s="4" t="n">
        <x:f>IFERROR(INDEX('_怪物基线'!$D$2:$D$501,MATCH(INT($L158),'_怪物基线'!$A$2:$A$501,0)),"")</x:f>
        <x:v>10902</x:v>
      </x:c>
      <x:c r="R158" s="4" t="n">
        <x:f>'参数'!$B$10</x:f>
        <x:v>4</x:v>
      </x:c>
      <x:c r="S158" s="4" t="n">
        <x:f>'参数'!$C$10</x:f>
        <x:v>1.2</x:v>
      </x:c>
      <x:c r="T158" s="4" t="n">
        <x:f>'参数'!$D$10</x:f>
        <x:v>1</x:v>
      </x:c>
      <x:c r="U158" s="4" t="n">
        <x:f t="shared" si="14">IF($O158="","",$O158*$R158)</x:f>
        <x:v>229252</x:v>
      </x:c>
      <x:c r="V158" s="4" t="n">
        <x:f t="shared" si="15">IF($P158="","",$P158*$S158)</x:f>
        <x:v>10825.199999999999</x:v>
      </x:c>
      <x:c r="W158" s="4" t="n">
        <x:f t="shared" si="16">IF($Q158="","",$Q158*$T158)</x:f>
        <x:v>10902</x:v>
      </x:c>
      <x:c r="X158" s="4" t="n">
        <x:f>IFERROR(INDEX('参数'!$B$5:$B$7,MATCH($N158,'参数'!$A$5:$A$7,0)),"")</x:f>
        <x:v>1.25</x:v>
      </x:c>
      <x:c r="Y158" s="4" t="n">
        <x:f>IFERROR(INDEX('参数'!$C$5:$C$7,MATCH($N158,'参数'!$A$5:$A$7,0)),"")</x:f>
        <x:v>1</x:v>
      </x:c>
      <x:c r="Z158" s="4" t="n">
        <x:f>IFERROR(INDEX('参数'!$D$5:$D$7,MATCH($N158,'参数'!$A$5:$A$7,0)),"")</x:f>
        <x:v>1.25</x:v>
      </x:c>
      <x:c r="AA158" s="4" t="n">
        <x:f>IFERROR(INDEX('楼层配置'!$E$5:$E$104,MATCH($K158,'楼层配置'!$B$5:$B$104,0)),1)</x:f>
        <x:v>1.1696774143108677</x:v>
      </x:c>
      <x:c r="AB158" s="4" t="n">
        <x:f>IFERROR(INDEX('楼层配置'!$F$5:$F$104,MATCH($K158,'楼层配置'!$B$5:$B$104,0)),1)</x:f>
        <x:v>0.6763701957569285</x:v>
      </x:c>
      <x:c r="AC158" s="4" t="n">
        <x:f>IFERROR(INDEX('楼层配置'!$G$5:$G$104,MATCH($K158,'楼层配置'!$B$5:$B$104,0)),1)</x:f>
        <x:v>1</x:v>
      </x:c>
      <x:c r="AD158" s="6" t="n">
        <x:f t="shared" si="17">IFERROR($D158/$G158-1,"")</x:f>
        <x:v>-0.09682747545294834</x:v>
      </x:c>
      <x:c r="AE158" s="6" t="n">
        <x:f t="shared" si="18">IFERROR($E158/$H158-1,"")</x:f>
        <x:v>-0.11740597878495662</x:v>
      </x:c>
      <x:c r="AF158" s="6" t="n">
        <x:f t="shared" si="19">IFERROR($F158/$I158-1,"")</x:f>
        <x:v>0.34517816602507145</x:v>
      </x:c>
      <x:c r="AG158" s="4" t="str">
        <x:f t="shared" si="20">IF(AND($A158&gt;=1,$L158&gt;=1,$L158&lt;=500,OR($N158="Tank",$N158="DPS",$N158="Support"),ISNUMBER($D158),ISNUMBER($E158),ISNUMBER($F158)),"有效","异常")</x:f>
        <x:v>有效</x:v>
      </x:c>
      <x:c r="AH158" t="n">
        <x:f>D158/(1-MIN(0.75,F158/(24000+F158)))</x:f>
        <x:v>525520.4871666665</x:v>
      </x:c>
    </x:row>
    <x:row r="159" ht="14.25" customHeight="1">
      <x:c r="A159" s="4">
        <x:v>155</x:v>
      </x:c>
      <x:c r="B159" s="4">
        <x:v>1023</x:v>
      </x:c>
      <x:c r="C159" s="4">
        <x:v>25</x:v>
      </x:c>
      <x:c r="D159" s="5" t="n">
        <x:f>IFERROR(ROUND($U159*$X159*$AA159*'参数'!$B$13,0),"")</x:f>
        <x:v>335189</x:v>
      </x:c>
      <x:c r="E159" s="5" t="n">
        <x:f>IFERROR(ROUND($V159*$Y159*$AB159*'参数'!$C$13,0),"")</x:f>
        <x:v>7322</x:v>
      </x:c>
      <x:c r="F159" s="5" t="n">
        <x:f>IFERROR(ROUND($W159*$Z159*$AC159*'参数'!$D$13,0),"")</x:f>
        <x:v>13628</x:v>
      </x:c>
      <x:c r="G159" s="4">
        <x:v>371124</x:v>
      </x:c>
      <x:c r="H159" s="4">
        <x:v>8296</x:v>
      </x:c>
      <x:c r="I159" s="4">
        <x:v>10131</x:v>
      </x:c>
      <x:c r="J159" s="4">
        <x:v>31</x:v>
      </x:c>
      <x:c r="K159" s="4">
        <x:v>31</x:v>
      </x:c>
      <x:c r="L159" s="4" t="n">
        <x:f>IFERROR(INDEX('楼层配置'!$D$5:$D$104,MATCH($K159,'楼层配置'!$B$5:$B$104,0)),"")</x:f>
        <x:v>124</x:v>
      </x:c>
      <x:c r="M159" s="4" t="str">
        <x:f>IFERROR(INDEX('_角色基线'!$B$2:$B$100,MATCH($B159,'_角色基线'!$A$2:$A$100,0)),"")</x:f>
        <x:v>马克</x:v>
      </x:c>
      <x:c r="N159" s="4" t="str">
        <x:f>IFERROR(INDEX('_角色基线'!$C$2:$C$100,MATCH($B159,'_角色基线'!$A$2:$A$100,0)),"")</x:f>
        <x:v>Support</x:v>
      </x:c>
      <x:c r="O159" s="4" t="n">
        <x:f>IFERROR(INDEX('_怪物基线'!$B$2:$B$501,MATCH(INT($L159),'_怪物基线'!$A$2:$A$501,0)),"")</x:f>
        <x:v>57313</x:v>
      </x:c>
      <x:c r="P159" s="4" t="n">
        <x:f>IFERROR(INDEX('_怪物基线'!$C$2:$C$501,MATCH(INT($L159),'_怪物基线'!$A$2:$A$501,0)),"")</x:f>
        <x:v>9021</x:v>
      </x:c>
      <x:c r="Q159" s="4" t="n">
        <x:f>IFERROR(INDEX('_怪物基线'!$D$2:$D$501,MATCH(INT($L159),'_怪物基线'!$A$2:$A$501,0)),"")</x:f>
        <x:v>10902</x:v>
      </x:c>
      <x:c r="R159" s="4" t="n">
        <x:f>'参数'!$B$10</x:f>
        <x:v>4</x:v>
      </x:c>
      <x:c r="S159" s="4" t="n">
        <x:f>'参数'!$C$10</x:f>
        <x:v>1.2</x:v>
      </x:c>
      <x:c r="T159" s="4" t="n">
        <x:f>'参数'!$D$10</x:f>
        <x:v>1</x:v>
      </x:c>
      <x:c r="U159" s="4" t="n">
        <x:f t="shared" si="14">IF($O159="","",$O159*$R159)</x:f>
        <x:v>229252</x:v>
      </x:c>
      <x:c r="V159" s="4" t="n">
        <x:f t="shared" si="15">IF($P159="","",$P159*$S159)</x:f>
        <x:v>10825.199999999999</x:v>
      </x:c>
      <x:c r="W159" s="4" t="n">
        <x:f t="shared" si="16">IF($Q159="","",$Q159*$T159)</x:f>
        <x:v>10902</x:v>
      </x:c>
      <x:c r="X159" s="4" t="n">
        <x:f>IFERROR(INDEX('参数'!$B$5:$B$7,MATCH($N159,'参数'!$A$5:$A$7,0)),"")</x:f>
        <x:v>1.25</x:v>
      </x:c>
      <x:c r="Y159" s="4" t="n">
        <x:f>IFERROR(INDEX('参数'!$C$5:$C$7,MATCH($N159,'参数'!$A$5:$A$7,0)),"")</x:f>
        <x:v>1</x:v>
      </x:c>
      <x:c r="Z159" s="4" t="n">
        <x:f>IFERROR(INDEX('参数'!$D$5:$D$7,MATCH($N159,'参数'!$A$5:$A$7,0)),"")</x:f>
        <x:v>1.25</x:v>
      </x:c>
      <x:c r="AA159" s="4" t="n">
        <x:f>IFERROR(INDEX('楼层配置'!$E$5:$E$104,MATCH($K159,'楼层配置'!$B$5:$B$104,0)),1)</x:f>
        <x:v>1.1696774143108677</x:v>
      </x:c>
      <x:c r="AB159" s="4" t="n">
        <x:f>IFERROR(INDEX('楼层配置'!$F$5:$F$104,MATCH($K159,'楼层配置'!$B$5:$B$104,0)),1)</x:f>
        <x:v>0.6763701957569285</x:v>
      </x:c>
      <x:c r="AC159" s="4" t="n">
        <x:f>IFERROR(INDEX('楼层配置'!$G$5:$G$104,MATCH($K159,'楼层配置'!$B$5:$B$104,0)),1)</x:f>
        <x:v>1</x:v>
      </x:c>
      <x:c r="AD159" s="6" t="n">
        <x:f t="shared" si="17">IFERROR($D159/$G159-1,"")</x:f>
        <x:v>-0.09682747545294834</x:v>
      </x:c>
      <x:c r="AE159" s="6" t="n">
        <x:f t="shared" si="18">IFERROR($E159/$H159-1,"")</x:f>
        <x:v>-0.11740597878495662</x:v>
      </x:c>
      <x:c r="AF159" s="6" t="n">
        <x:f t="shared" si="19">IFERROR($F159/$I159-1,"")</x:f>
        <x:v>0.34517816602507145</x:v>
      </x:c>
      <x:c r="AG159" s="4" t="str">
        <x:f t="shared" si="20">IF(AND($A159&gt;=1,$L159&gt;=1,$L159&lt;=500,OR($N159="Tank",$N159="DPS",$N159="Support"),ISNUMBER($D159),ISNUMBER($E159),ISNUMBER($F159)),"有效","异常")</x:f>
        <x:v>有效</x:v>
      </x:c>
      <x:c r="AH159" t="n">
        <x:f>D159/(1-MIN(0.75,F159/(24000+F159)))</x:f>
        <x:v>525520.4871666665</x:v>
      </x:c>
    </x:row>
    <x:row r="160" ht="14.25" customHeight="1">
      <x:c r="A160" s="4">
        <x:v>156</x:v>
      </x:c>
      <x:c r="B160" s="4">
        <x:v>1002</x:v>
      </x:c>
      <x:c r="C160" s="4">
        <x:v>26</x:v>
      </x:c>
      <x:c r="D160" s="5" t="n">
        <x:f>IFERROR(ROUND($U160*$X160*$AA160*'参数'!$B$13,0),"")</x:f>
        <x:v>430969</x:v>
      </x:c>
      <x:c r="E160" s="5" t="n">
        <x:f>IFERROR(ROUND($V160*$Y160*$AB160*'参数'!$C$13,0),"")</x:f>
        <x:v>7665</x:v>
      </x:c>
      <x:c r="F160" s="5" t="n">
        <x:f>IFERROR(ROUND($W160*$Z160*$AC160*'参数'!$D$13,0),"")</x:f>
        <x:v>16968</x:v>
      </x:c>
      <x:c r="G160" s="4">
        <x:v>472932</x:v>
      </x:c>
      <x:c r="H160" s="4">
        <x:v>8626</x:v>
      </x:c>
      <x:c r="I160" s="4">
        <x:v>12582</x:v>
      </x:c>
      <x:c r="J160" s="4">
        <x:v>32</x:v>
      </x:c>
      <x:c r="K160" s="4">
        <x:v>32</x:v>
      </x:c>
      <x:c r="L160" s="4" t="n">
        <x:f>IFERROR(INDEX('楼层配置'!$D$5:$D$104,MATCH($K160,'楼层配置'!$B$5:$B$104,0)),"")</x:f>
        <x:v>128</x:v>
      </x:c>
      <x:c r="M160" s="4" t="str">
        <x:f>IFERROR(INDEX('_角色基线'!$B$2:$B$100,MATCH($B160,'_角色基线'!$A$2:$A$100,0)),"")</x:f>
        <x:v>大暑</x:v>
      </x:c>
      <x:c r="N160" s="4" t="str">
        <x:f>IFERROR(INDEX('_角色基线'!$C$2:$C$100,MATCH($B160,'_角色基线'!$A$2:$A$100,0)),"")</x:f>
        <x:v>Tank</x:v>
      </x:c>
      <x:c r="O160" s="4" t="n">
        <x:f>IFERROR(INDEX('_怪物基线'!$B$2:$B$501,MATCH(INT($L160),'_怪物基线'!$A$2:$A$501,0)),"")</x:f>
        <x:v>61184</x:v>
      </x:c>
      <x:c r="P160" s="4" t="n">
        <x:f>IFERROR(INDEX('_怪物基线'!$C$2:$C$501,MATCH(INT($L160),'_怪物基线'!$A$2:$A$501,0)),"")</x:f>
        <x:v>9459</x:v>
      </x:c>
      <x:c r="Q160" s="4" t="n">
        <x:f>IFERROR(INDEX('_怪物基线'!$D$2:$D$501,MATCH(INT($L160),'_怪物基线'!$A$2:$A$501,0)),"")</x:f>
        <x:v>11312</x:v>
      </x:c>
      <x:c r="R160" s="4" t="n">
        <x:f>'参数'!$B$10</x:f>
        <x:v>4</x:v>
      </x:c>
      <x:c r="S160" s="4" t="n">
        <x:f>'参数'!$C$10</x:f>
        <x:v>1.2</x:v>
      </x:c>
      <x:c r="T160" s="4" t="n">
        <x:f>'参数'!$D$10</x:f>
        <x:v>1</x:v>
      </x:c>
      <x:c r="U160" s="4" t="n">
        <x:f t="shared" si="14">IF($O160="","",$O160*$R160)</x:f>
        <x:v>244736</x:v>
      </x:c>
      <x:c r="V160" s="4" t="n">
        <x:f t="shared" si="15">IF($P160="","",$P160*$S160)</x:f>
        <x:v>11350.8</x:v>
      </x:c>
      <x:c r="W160" s="4" t="n">
        <x:f t="shared" si="16">IF($Q160="","",$Q160*$T160)</x:f>
        <x:v>11312</x:v>
      </x:c>
      <x:c r="X160" s="4" t="n">
        <x:f>IFERROR(INDEX('参数'!$B$5:$B$7,MATCH($N160,'参数'!$A$5:$A$7,0)),"")</x:f>
        <x:v>1.5</x:v>
      </x:c>
      <x:c r="Y160" s="4" t="n">
        <x:f>IFERROR(INDEX('参数'!$C$5:$C$7,MATCH($N160,'参数'!$A$5:$A$7,0)),"")</x:f>
        <x:v>1</x:v>
      </x:c>
      <x:c r="Z160" s="4" t="n">
        <x:f>IFERROR(INDEX('参数'!$D$5:$D$7,MATCH($N160,'参数'!$A$5:$A$7,0)),"")</x:f>
        <x:v>1.5</x:v>
      </x:c>
      <x:c r="AA160" s="4" t="n">
        <x:f>IFERROR(INDEX('楼层配置'!$E$5:$E$104,MATCH($K160,'楼层配置'!$B$5:$B$104,0)),1)</x:f>
        <x:v>1.173970974192263</x:v>
      </x:c>
      <x:c r="AB160" s="4" t="n">
        <x:f>IFERROR(INDEX('楼层配置'!$F$5:$F$104,MATCH($K160,'楼层配置'!$B$5:$B$104,0)),1)</x:f>
        <x:v>0.675278998801872</x:v>
      </x:c>
      <x:c r="AC160" s="4" t="n">
        <x:f>IFERROR(INDEX('楼层配置'!$G$5:$G$104,MATCH($K160,'楼层配置'!$B$5:$B$104,0)),1)</x:f>
        <x:v>1</x:v>
      </x:c>
      <x:c r="AD160" s="6" t="n">
        <x:f t="shared" si="17">IFERROR($D160/$G160-1,"")</x:f>
        <x:v>-0.08872945793475595</x:v>
      </x:c>
      <x:c r="AE160" s="6" t="n">
        <x:f t="shared" si="18">IFERROR($E160/$H160-1,"")</x:f>
        <x:v>-0.11140737305819615</x:v>
      </x:c>
      <x:c r="AF160" s="6" t="n">
        <x:f t="shared" si="19">IFERROR($F160/$I160-1,"")</x:f>
        <x:v>0.3485932284215547</x:v>
      </x:c>
      <x:c r="AG160" s="4" t="str">
        <x:f t="shared" si="20">IF(AND($A160&gt;=1,$L160&gt;=1,$L160&lt;=500,OR($N160="Tank",$N160="DPS",$N160="Support"),ISNUMBER($D160),ISNUMBER($E160),ISNUMBER($F160)),"有效","异常")</x:f>
        <x:v>有效</x:v>
      </x:c>
      <x:c r="AH160" t="n">
        <x:f>D160/(1-MIN(0.75,F160/(24000+F160)))</x:f>
        <x:v>735664.083</x:v>
      </x:c>
    </x:row>
    <x:row r="161" ht="14.25" customHeight="1">
      <x:c r="A161" s="4">
        <x:v>157</x:v>
      </x:c>
      <x:c r="B161" s="4">
        <x:v>1023</x:v>
      </x:c>
      <x:c r="C161" s="4">
        <x:v>26</x:v>
      </x:c>
      <x:c r="D161" s="5" t="n">
        <x:f>IFERROR(ROUND($U161*$X161*$AA161*'参数'!$B$13,0),"")</x:f>
        <x:v>359141</x:v>
      </x:c>
      <x:c r="E161" s="5" t="n">
        <x:f>IFERROR(ROUND($V161*$Y161*$AB161*'参数'!$C$13,0),"")</x:f>
        <x:v>7665</x:v>
      </x:c>
      <x:c r="F161" s="5" t="n">
        <x:f>IFERROR(ROUND($W161*$Z161*$AC161*'参数'!$D$13,0),"")</x:f>
        <x:v>14140</x:v>
      </x:c>
      <x:c r="G161" s="4">
        <x:v>394110</x:v>
      </x:c>
      <x:c r="H161" s="4">
        <x:v>8626</x:v>
      </x:c>
      <x:c r="I161" s="4">
        <x:v>10485</x:v>
      </x:c>
      <x:c r="J161" s="4">
        <x:v>32</x:v>
      </x:c>
      <x:c r="K161" s="4">
        <x:v>32</x:v>
      </x:c>
      <x:c r="L161" s="4" t="n">
        <x:f>IFERROR(INDEX('楼层配置'!$D$5:$D$104,MATCH($K161,'楼层配置'!$B$5:$B$104,0)),"")</x:f>
        <x:v>128</x:v>
      </x:c>
      <x:c r="M161" s="4" t="str">
        <x:f>IFERROR(INDEX('_角色基线'!$B$2:$B$100,MATCH($B161,'_角色基线'!$A$2:$A$100,0)),"")</x:f>
        <x:v>马克</x:v>
      </x:c>
      <x:c r="N161" s="4" t="str">
        <x:f>IFERROR(INDEX('_角色基线'!$C$2:$C$100,MATCH($B161,'_角色基线'!$A$2:$A$100,0)),"")</x:f>
        <x:v>Support</x:v>
      </x:c>
      <x:c r="O161" s="4" t="n">
        <x:f>IFERROR(INDEX('_怪物基线'!$B$2:$B$501,MATCH(INT($L161),'_怪物基线'!$A$2:$A$501,0)),"")</x:f>
        <x:v>61184</x:v>
      </x:c>
      <x:c r="P161" s="4" t="n">
        <x:f>IFERROR(INDEX('_怪物基线'!$C$2:$C$501,MATCH(INT($L161),'_怪物基线'!$A$2:$A$501,0)),"")</x:f>
        <x:v>9459</x:v>
      </x:c>
      <x:c r="Q161" s="4" t="n">
        <x:f>IFERROR(INDEX('_怪物基线'!$D$2:$D$501,MATCH(INT($L161),'_怪物基线'!$A$2:$A$501,0)),"")</x:f>
        <x:v>11312</x:v>
      </x:c>
      <x:c r="R161" s="4" t="n">
        <x:f>'参数'!$B$10</x:f>
        <x:v>4</x:v>
      </x:c>
      <x:c r="S161" s="4" t="n">
        <x:f>'参数'!$C$10</x:f>
        <x:v>1.2</x:v>
      </x:c>
      <x:c r="T161" s="4" t="n">
        <x:f>'参数'!$D$10</x:f>
        <x:v>1</x:v>
      </x:c>
      <x:c r="U161" s="4" t="n">
        <x:f t="shared" si="14">IF($O161="","",$O161*$R161)</x:f>
        <x:v>244736</x:v>
      </x:c>
      <x:c r="V161" s="4" t="n">
        <x:f t="shared" si="15">IF($P161="","",$P161*$S161)</x:f>
        <x:v>11350.8</x:v>
      </x:c>
      <x:c r="W161" s="4" t="n">
        <x:f t="shared" si="16">IF($Q161="","",$Q161*$T161)</x:f>
        <x:v>11312</x:v>
      </x:c>
      <x:c r="X161" s="4" t="n">
        <x:f>IFERROR(INDEX('参数'!$B$5:$B$7,MATCH($N161,'参数'!$A$5:$A$7,0)),"")</x:f>
        <x:v>1.25</x:v>
      </x:c>
      <x:c r="Y161" s="4" t="n">
        <x:f>IFERROR(INDEX('参数'!$C$5:$C$7,MATCH($N161,'参数'!$A$5:$A$7,0)),"")</x:f>
        <x:v>1</x:v>
      </x:c>
      <x:c r="Z161" s="4" t="n">
        <x:f>IFERROR(INDEX('参数'!$D$5:$D$7,MATCH($N161,'参数'!$A$5:$A$7,0)),"")</x:f>
        <x:v>1.25</x:v>
      </x:c>
      <x:c r="AA161" s="4" t="n">
        <x:f>IFERROR(INDEX('楼层配置'!$E$5:$E$104,MATCH($K161,'楼层配置'!$B$5:$B$104,0)),1)</x:f>
        <x:v>1.173970974192263</x:v>
      </x:c>
      <x:c r="AB161" s="4" t="n">
        <x:f>IFERROR(INDEX('楼层配置'!$F$5:$F$104,MATCH($K161,'楼层配置'!$B$5:$B$104,0)),1)</x:f>
        <x:v>0.675278998801872</x:v>
      </x:c>
      <x:c r="AC161" s="4" t="n">
        <x:f>IFERROR(INDEX('楼层配置'!$G$5:$G$104,MATCH($K161,'楼层配置'!$B$5:$B$104,0)),1)</x:f>
        <x:v>1</x:v>
      </x:c>
      <x:c r="AD161" s="6" t="n">
        <x:f t="shared" si="17">IFERROR($D161/$G161-1,"")</x:f>
        <x:v>-0.0887290350409784</x:v>
      </x:c>
      <x:c r="AE161" s="6" t="n">
        <x:f t="shared" si="18">IFERROR($E161/$H161-1,"")</x:f>
        <x:v>-0.11140737305819615</x:v>
      </x:c>
      <x:c r="AF161" s="6" t="n">
        <x:f t="shared" si="19">IFERROR($F161/$I161-1,"")</x:f>
        <x:v>0.3485932284215547</x:v>
      </x:c>
      <x:c r="AG161" s="4" t="str">
        <x:f t="shared" si="20">IF(AND($A161&gt;=1,$L161&gt;=1,$L161&lt;=500,OR($N161="Tank",$N161="DPS",$N161="Support"),ISNUMBER($D161),ISNUMBER($E161),ISNUMBER($F161)),"有效","异常")</x:f>
        <x:v>有效</x:v>
      </x:c>
      <x:c r="AH161" t="n">
        <x:f>D161/(1-MIN(0.75,F161/(24000+F161)))</x:f>
        <x:v>570734.9058333333</x:v>
      </x:c>
    </x:row>
    <x:row r="162" ht="14.25" customHeight="1">
      <x:c r="A162" s="4">
        <x:v>158</x:v>
      </x:c>
      <x:c r="B162" s="4">
        <x:v>1001</x:v>
      </x:c>
      <x:c r="C162" s="4">
        <x:v>26</x:v>
      </x:c>
      <x:c r="D162" s="5" t="n">
        <x:f>IFERROR(ROUND($U162*$X162*$AA162*'参数'!$B$13,0),"")</x:f>
        <x:v>287313</x:v>
      </x:c>
      <x:c r="E162" s="5" t="n">
        <x:f>IFERROR(ROUND($V162*$Y162*$AB162*'参数'!$C$13,0),"")</x:f>
        <x:v>9198</x:v>
      </x:c>
      <x:c r="F162" s="5" t="n">
        <x:f>IFERROR(ROUND($W162*$Z162*$AC162*'参数'!$D$13,0),"")</x:f>
        <x:v>11312</x:v>
      </x:c>
      <x:c r="G162" s="4">
        <x:v>315288</x:v>
      </x:c>
      <x:c r="H162" s="4">
        <x:v>10351</x:v>
      </x:c>
      <x:c r="I162" s="4">
        <x:v>8388</x:v>
      </x:c>
      <x:c r="J162" s="4">
        <x:v>32</x:v>
      </x:c>
      <x:c r="K162" s="4">
        <x:v>32</x:v>
      </x:c>
      <x:c r="L162" s="4" t="n">
        <x:f>IFERROR(INDEX('楼层配置'!$D$5:$D$104,MATCH($K162,'楼层配置'!$B$5:$B$104,0)),"")</x:f>
        <x:v>128</x:v>
      </x:c>
      <x:c r="M162" s="4" t="str">
        <x:f>IFERROR(INDEX('_角色基线'!$B$2:$B$100,MATCH($B162,'_角色基线'!$A$2:$A$100,0)),"")</x:f>
        <x:v>星海</x:v>
      </x:c>
      <x:c r="N162" s="4" t="str">
        <x:f>IFERROR(INDEX('_角色基线'!$C$2:$C$100,MATCH($B162,'_角色基线'!$A$2:$A$100,0)),"")</x:f>
        <x:v>DPS</x:v>
      </x:c>
      <x:c r="O162" s="4" t="n">
        <x:f>IFERROR(INDEX('_怪物基线'!$B$2:$B$501,MATCH(INT($L162),'_怪物基线'!$A$2:$A$501,0)),"")</x:f>
        <x:v>61184</x:v>
      </x:c>
      <x:c r="P162" s="4" t="n">
        <x:f>IFERROR(INDEX('_怪物基线'!$C$2:$C$501,MATCH(INT($L162),'_怪物基线'!$A$2:$A$501,0)),"")</x:f>
        <x:v>9459</x:v>
      </x:c>
      <x:c r="Q162" s="4" t="n">
        <x:f>IFERROR(INDEX('_怪物基线'!$D$2:$D$501,MATCH(INT($L162),'_怪物基线'!$A$2:$A$501,0)),"")</x:f>
        <x:v>11312</x:v>
      </x:c>
      <x:c r="R162" s="4" t="n">
        <x:f>'参数'!$B$10</x:f>
        <x:v>4</x:v>
      </x:c>
      <x:c r="S162" s="4" t="n">
        <x:f>'参数'!$C$10</x:f>
        <x:v>1.2</x:v>
      </x:c>
      <x:c r="T162" s="4" t="n">
        <x:f>'参数'!$D$10</x:f>
        <x:v>1</x:v>
      </x:c>
      <x:c r="U162" s="4" t="n">
        <x:f t="shared" si="14">IF($O162="","",$O162*$R162)</x:f>
        <x:v>244736</x:v>
      </x:c>
      <x:c r="V162" s="4" t="n">
        <x:f t="shared" si="15">IF($P162="","",$P162*$S162)</x:f>
        <x:v>11350.8</x:v>
      </x:c>
      <x:c r="W162" s="4" t="n">
        <x:f t="shared" si="16">IF($Q162="","",$Q162*$T162)</x:f>
        <x:v>11312</x:v>
      </x:c>
      <x:c r="X162" s="4" t="n">
        <x:f>IFERROR(INDEX('参数'!$B$5:$B$7,MATCH($N162,'参数'!$A$5:$A$7,0)),"")</x:f>
        <x:v>1</x:v>
      </x:c>
      <x:c r="Y162" s="4" t="n">
        <x:f>IFERROR(INDEX('参数'!$C$5:$C$7,MATCH($N162,'参数'!$A$5:$A$7,0)),"")</x:f>
        <x:v>1.2</x:v>
      </x:c>
      <x:c r="Z162" s="4" t="n">
        <x:f>IFERROR(INDEX('参数'!$D$5:$D$7,MATCH($N162,'参数'!$A$5:$A$7,0)),"")</x:f>
        <x:v>1</x:v>
      </x:c>
      <x:c r="AA162" s="4" t="n">
        <x:f>IFERROR(INDEX('楼层配置'!$E$5:$E$104,MATCH($K162,'楼层配置'!$B$5:$B$104,0)),1)</x:f>
        <x:v>1.173970974192263</x:v>
      </x:c>
      <x:c r="AB162" s="4" t="n">
        <x:f>IFERROR(INDEX('楼层配置'!$F$5:$F$104,MATCH($K162,'楼层配置'!$B$5:$B$104,0)),1)</x:f>
        <x:v>0.675278998801872</x:v>
      </x:c>
      <x:c r="AC162" s="4" t="n">
        <x:f>IFERROR(INDEX('楼层配置'!$G$5:$G$104,MATCH($K162,'楼层配置'!$B$5:$B$104,0)),1)</x:f>
        <x:v>1</x:v>
      </x:c>
      <x:c r="AD162" s="6" t="n">
        <x:f t="shared" si="17">IFERROR($D162/$G162-1,"")</x:f>
        <x:v>-0.08872840070031207</x:v>
      </x:c>
      <x:c r="AE162" s="6" t="n">
        <x:f t="shared" si="18">IFERROR($E162/$H162-1,"")</x:f>
        <x:v>-0.11139020384503917</x:v>
      </x:c>
      <x:c r="AF162" s="6" t="n">
        <x:f t="shared" si="19">IFERROR($F162/$I162-1,"")</x:f>
        <x:v>0.3485932284215547</x:v>
      </x:c>
      <x:c r="AG162" s="4" t="str">
        <x:f t="shared" si="20">IF(AND($A162&gt;=1,$L162&gt;=1,$L162&lt;=500,OR($N162="Tank",$N162="DPS",$N162="Support"),ISNUMBER($D162),ISNUMBER($E162),ISNUMBER($F162)),"有效","异常")</x:f>
        <x:v>有效</x:v>
      </x:c>
      <x:c r="AH162" t="n">
        <x:f>D162/(1-MIN(0.75,F162/(24000+F162)))</x:f>
        <x:v>422733.19399999996</x:v>
      </x:c>
    </x:row>
    <x:row r="163" ht="14.25" customHeight="1">
      <x:c r="A163" s="4">
        <x:v>159</x:v>
      </x:c>
      <x:c r="B163" s="4">
        <x:v>1023</x:v>
      </x:c>
      <x:c r="C163" s="4">
        <x:v>26</x:v>
      </x:c>
      <x:c r="D163" s="5" t="n">
        <x:f>IFERROR(ROUND($U163*$X163*$AA163*'参数'!$B$13,0),"")</x:f>
        <x:v>359141</x:v>
      </x:c>
      <x:c r="E163" s="5" t="n">
        <x:f>IFERROR(ROUND($V163*$Y163*$AB163*'参数'!$C$13,0),"")</x:f>
        <x:v>7665</x:v>
      </x:c>
      <x:c r="F163" s="5" t="n">
        <x:f>IFERROR(ROUND($W163*$Z163*$AC163*'参数'!$D$13,0),"")</x:f>
        <x:v>14140</x:v>
      </x:c>
      <x:c r="G163" s="4">
        <x:v>394110</x:v>
      </x:c>
      <x:c r="H163" s="4">
        <x:v>8626</x:v>
      </x:c>
      <x:c r="I163" s="4">
        <x:v>10485</x:v>
      </x:c>
      <x:c r="J163" s="4">
        <x:v>32</x:v>
      </x:c>
      <x:c r="K163" s="4">
        <x:v>32</x:v>
      </x:c>
      <x:c r="L163" s="4" t="n">
        <x:f>IFERROR(INDEX('楼层配置'!$D$5:$D$104,MATCH($K163,'楼层配置'!$B$5:$B$104,0)),"")</x:f>
        <x:v>128</x:v>
      </x:c>
      <x:c r="M163" s="4" t="str">
        <x:f>IFERROR(INDEX('_角色基线'!$B$2:$B$100,MATCH($B163,'_角色基线'!$A$2:$A$100,0)),"")</x:f>
        <x:v>马克</x:v>
      </x:c>
      <x:c r="N163" s="4" t="str">
        <x:f>IFERROR(INDEX('_角色基线'!$C$2:$C$100,MATCH($B163,'_角色基线'!$A$2:$A$100,0)),"")</x:f>
        <x:v>Support</x:v>
      </x:c>
      <x:c r="O163" s="4" t="n">
        <x:f>IFERROR(INDEX('_怪物基线'!$B$2:$B$501,MATCH(INT($L163),'_怪物基线'!$A$2:$A$501,0)),"")</x:f>
        <x:v>61184</x:v>
      </x:c>
      <x:c r="P163" s="4" t="n">
        <x:f>IFERROR(INDEX('_怪物基线'!$C$2:$C$501,MATCH(INT($L163),'_怪物基线'!$A$2:$A$501,0)),"")</x:f>
        <x:v>9459</x:v>
      </x:c>
      <x:c r="Q163" s="4" t="n">
        <x:f>IFERROR(INDEX('_怪物基线'!$D$2:$D$501,MATCH(INT($L163),'_怪物基线'!$A$2:$A$501,0)),"")</x:f>
        <x:v>11312</x:v>
      </x:c>
      <x:c r="R163" s="4" t="n">
        <x:f>'参数'!$B$10</x:f>
        <x:v>4</x:v>
      </x:c>
      <x:c r="S163" s="4" t="n">
        <x:f>'参数'!$C$10</x:f>
        <x:v>1.2</x:v>
      </x:c>
      <x:c r="T163" s="4" t="n">
        <x:f>'参数'!$D$10</x:f>
        <x:v>1</x:v>
      </x:c>
      <x:c r="U163" s="4" t="n">
        <x:f t="shared" si="14">IF($O163="","",$O163*$R163)</x:f>
        <x:v>244736</x:v>
      </x:c>
      <x:c r="V163" s="4" t="n">
        <x:f t="shared" si="15">IF($P163="","",$P163*$S163)</x:f>
        <x:v>11350.8</x:v>
      </x:c>
      <x:c r="W163" s="4" t="n">
        <x:f t="shared" si="16">IF($Q163="","",$Q163*$T163)</x:f>
        <x:v>11312</x:v>
      </x:c>
      <x:c r="X163" s="4" t="n">
        <x:f>IFERROR(INDEX('参数'!$B$5:$B$7,MATCH($N163,'参数'!$A$5:$A$7,0)),"")</x:f>
        <x:v>1.25</x:v>
      </x:c>
      <x:c r="Y163" s="4" t="n">
        <x:f>IFERROR(INDEX('参数'!$C$5:$C$7,MATCH($N163,'参数'!$A$5:$A$7,0)),"")</x:f>
        <x:v>1</x:v>
      </x:c>
      <x:c r="Z163" s="4" t="n">
        <x:f>IFERROR(INDEX('参数'!$D$5:$D$7,MATCH($N163,'参数'!$A$5:$A$7,0)),"")</x:f>
        <x:v>1.25</x:v>
      </x:c>
      <x:c r="AA163" s="4" t="n">
        <x:f>IFERROR(INDEX('楼层配置'!$E$5:$E$104,MATCH($K163,'楼层配置'!$B$5:$B$104,0)),1)</x:f>
        <x:v>1.173970974192263</x:v>
      </x:c>
      <x:c r="AB163" s="4" t="n">
        <x:f>IFERROR(INDEX('楼层配置'!$F$5:$F$104,MATCH($K163,'楼层配置'!$B$5:$B$104,0)),1)</x:f>
        <x:v>0.675278998801872</x:v>
      </x:c>
      <x:c r="AC163" s="4" t="n">
        <x:f>IFERROR(INDEX('楼层配置'!$G$5:$G$104,MATCH($K163,'楼层配置'!$B$5:$B$104,0)),1)</x:f>
        <x:v>1</x:v>
      </x:c>
      <x:c r="AD163" s="6" t="n">
        <x:f t="shared" si="17">IFERROR($D163/$G163-1,"")</x:f>
        <x:v>-0.0887290350409784</x:v>
      </x:c>
      <x:c r="AE163" s="6" t="n">
        <x:f t="shared" si="18">IFERROR($E163/$H163-1,"")</x:f>
        <x:v>-0.11140737305819615</x:v>
      </x:c>
      <x:c r="AF163" s="6" t="n">
        <x:f t="shared" si="19">IFERROR($F163/$I163-1,"")</x:f>
        <x:v>0.3485932284215547</x:v>
      </x:c>
      <x:c r="AG163" s="4" t="str">
        <x:f t="shared" si="20">IF(AND($A163&gt;=1,$L163&gt;=1,$L163&lt;=500,OR($N163="Tank",$N163="DPS",$N163="Support"),ISNUMBER($D163),ISNUMBER($E163),ISNUMBER($F163)),"有效","异常")</x:f>
        <x:v>有效</x:v>
      </x:c>
      <x:c r="AH163" t="n">
        <x:f>D163/(1-MIN(0.75,F163/(24000+F163)))</x:f>
        <x:v>570734.9058333333</x:v>
      </x:c>
    </x:row>
    <x:row r="164" ht="14.25" customHeight="1">
      <x:c r="A164" s="4">
        <x:v>160</x:v>
      </x:c>
      <x:c r="B164" s="4">
        <x:v>1011</x:v>
      </x:c>
      <x:c r="C164" s="4">
        <x:v>26</x:v>
      </x:c>
      <x:c r="D164" s="5" t="n">
        <x:f>IFERROR(ROUND($U164*$X164*$AA164*'参数'!$B$13,0),"")</x:f>
        <x:v>359141</x:v>
      </x:c>
      <x:c r="E164" s="5" t="n">
        <x:f>IFERROR(ROUND($V164*$Y164*$AB164*'参数'!$C$13,0),"")</x:f>
        <x:v>7665</x:v>
      </x:c>
      <x:c r="F164" s="5" t="n">
        <x:f>IFERROR(ROUND($W164*$Z164*$AC164*'参数'!$D$13,0),"")</x:f>
        <x:v>14140</x:v>
      </x:c>
      <x:c r="G164" s="4">
        <x:v>394110</x:v>
      </x:c>
      <x:c r="H164" s="4">
        <x:v>8626</x:v>
      </x:c>
      <x:c r="I164" s="4">
        <x:v>10485</x:v>
      </x:c>
      <x:c r="J164" s="4">
        <x:v>32</x:v>
      </x:c>
      <x:c r="K164" s="4">
        <x:v>32</x:v>
      </x:c>
      <x:c r="L164" s="4" t="n">
        <x:f>IFERROR(INDEX('楼层配置'!$D$5:$D$104,MATCH($K164,'楼层配置'!$B$5:$B$104,0)),"")</x:f>
        <x:v>128</x:v>
      </x:c>
      <x:c r="M164" s="4" t="str">
        <x:f>IFERROR(INDEX('_角色基线'!$B$2:$B$100,MATCH($B164,'_角色基线'!$A$2:$A$100,0)),"")</x:f>
        <x:v>陈双双</x:v>
      </x:c>
      <x:c r="N164" s="4" t="str">
        <x:f>IFERROR(INDEX('_角色基线'!$C$2:$C$100,MATCH($B164,'_角色基线'!$A$2:$A$100,0)),"")</x:f>
        <x:v>Support</x:v>
      </x:c>
      <x:c r="O164" s="4" t="n">
        <x:f>IFERROR(INDEX('_怪物基线'!$B$2:$B$501,MATCH(INT($L164),'_怪物基线'!$A$2:$A$501,0)),"")</x:f>
        <x:v>61184</x:v>
      </x:c>
      <x:c r="P164" s="4" t="n">
        <x:f>IFERROR(INDEX('_怪物基线'!$C$2:$C$501,MATCH(INT($L164),'_怪物基线'!$A$2:$A$501,0)),"")</x:f>
        <x:v>9459</x:v>
      </x:c>
      <x:c r="Q164" s="4" t="n">
        <x:f>IFERROR(INDEX('_怪物基线'!$D$2:$D$501,MATCH(INT($L164),'_怪物基线'!$A$2:$A$501,0)),"")</x:f>
        <x:v>11312</x:v>
      </x:c>
      <x:c r="R164" s="4" t="n">
        <x:f>'参数'!$B$10</x:f>
        <x:v>4</x:v>
      </x:c>
      <x:c r="S164" s="4" t="n">
        <x:f>'参数'!$C$10</x:f>
        <x:v>1.2</x:v>
      </x:c>
      <x:c r="T164" s="4" t="n">
        <x:f>'参数'!$D$10</x:f>
        <x:v>1</x:v>
      </x:c>
      <x:c r="U164" s="4" t="n">
        <x:f t="shared" si="14">IF($O164="","",$O164*$R164)</x:f>
        <x:v>244736</x:v>
      </x:c>
      <x:c r="V164" s="4" t="n">
        <x:f t="shared" si="15">IF($P164="","",$P164*$S164)</x:f>
        <x:v>11350.8</x:v>
      </x:c>
      <x:c r="W164" s="4" t="n">
        <x:f t="shared" si="16">IF($Q164="","",$Q164*$T164)</x:f>
        <x:v>11312</x:v>
      </x:c>
      <x:c r="X164" s="4" t="n">
        <x:f>IFERROR(INDEX('参数'!$B$5:$B$7,MATCH($N164,'参数'!$A$5:$A$7,0)),"")</x:f>
        <x:v>1.25</x:v>
      </x:c>
      <x:c r="Y164" s="4" t="n">
        <x:f>IFERROR(INDEX('参数'!$C$5:$C$7,MATCH($N164,'参数'!$A$5:$A$7,0)),"")</x:f>
        <x:v>1</x:v>
      </x:c>
      <x:c r="Z164" s="4" t="n">
        <x:f>IFERROR(INDEX('参数'!$D$5:$D$7,MATCH($N164,'参数'!$A$5:$A$7,0)),"")</x:f>
        <x:v>1.25</x:v>
      </x:c>
      <x:c r="AA164" s="4" t="n">
        <x:f>IFERROR(INDEX('楼层配置'!$E$5:$E$104,MATCH($K164,'楼层配置'!$B$5:$B$104,0)),1)</x:f>
        <x:v>1.173970974192263</x:v>
      </x:c>
      <x:c r="AB164" s="4" t="n">
        <x:f>IFERROR(INDEX('楼层配置'!$F$5:$F$104,MATCH($K164,'楼层配置'!$B$5:$B$104,0)),1)</x:f>
        <x:v>0.675278998801872</x:v>
      </x:c>
      <x:c r="AC164" s="4" t="n">
        <x:f>IFERROR(INDEX('楼层配置'!$G$5:$G$104,MATCH($K164,'楼层配置'!$B$5:$B$104,0)),1)</x:f>
        <x:v>1</x:v>
      </x:c>
      <x:c r="AD164" s="6" t="n">
        <x:f t="shared" si="17">IFERROR($D164/$G164-1,"")</x:f>
        <x:v>-0.0887290350409784</x:v>
      </x:c>
      <x:c r="AE164" s="6" t="n">
        <x:f t="shared" si="18">IFERROR($E164/$H164-1,"")</x:f>
        <x:v>-0.11140737305819615</x:v>
      </x:c>
      <x:c r="AF164" s="6" t="n">
        <x:f t="shared" si="19">IFERROR($F164/$I164-1,"")</x:f>
        <x:v>0.3485932284215547</x:v>
      </x:c>
      <x:c r="AG164" s="4" t="str">
        <x:f t="shared" si="20">IF(AND($A164&gt;=1,$L164&gt;=1,$L164&lt;=500,OR($N164="Tank",$N164="DPS",$N164="Support"),ISNUMBER($D164),ISNUMBER($E164),ISNUMBER($F164)),"有效","异常")</x:f>
        <x:v>有效</x:v>
      </x:c>
      <x:c r="AH164" t="n">
        <x:f>D164/(1-MIN(0.75,F164/(24000+F164)))</x:f>
        <x:v>570734.9058333333</x:v>
      </x:c>
    </x:row>
    <x:row r="165" ht="14.25" customHeight="1">
      <x:c r="A165" s="4">
        <x:v>161</x:v>
      </x:c>
      <x:c r="B165" s="4">
        <x:v>1002</x:v>
      </x:c>
      <x:c r="C165" s="4">
        <x:v>26</x:v>
      </x:c>
      <x:c r="D165" s="5" t="n">
        <x:f>IFERROR(ROUND($U165*$X165*$AA165*'参数'!$B$13,0),"")</x:f>
        <x:v>457900</x:v>
      </x:c>
      <x:c r="E165" s="5" t="n">
        <x:f>IFERROR(ROUND($V165*$Y165*$AB165*'参数'!$C$13,0),"")</x:f>
        <x:v>8000</x:v>
      </x:c>
      <x:c r="F165" s="5" t="n">
        <x:f>IFERROR(ROUND($W165*$Z165*$AC165*'参数'!$D$13,0),"")</x:f>
        <x:v>17589</x:v>
      </x:c>
      <x:c r="G165" s="4">
        <x:v>501660</x:v>
      </x:c>
      <x:c r="H165" s="4">
        <x:v>8964</x:v>
      </x:c>
      <x:c r="I165" s="4">
        <x:v>13010</x:v>
      </x:c>
      <x:c r="J165" s="4">
        <x:v>33</x:v>
      </x:c>
      <x:c r="K165" s="4">
        <x:v>33</x:v>
      </x:c>
      <x:c r="L165" s="4" t="n">
        <x:f>IFERROR(INDEX('楼层配置'!$D$5:$D$104,MATCH($K165,'楼层配置'!$B$5:$B$104,0)),"")</x:f>
        <x:v>132</x:v>
      </x:c>
      <x:c r="M165" s="4" t="str">
        <x:f>IFERROR(INDEX('_角色基线'!$B$2:$B$100,MATCH($B165,'_角色基线'!$A$2:$A$100,0)),"")</x:f>
        <x:v>大暑</x:v>
      </x:c>
      <x:c r="N165" s="4" t="str">
        <x:f>IFERROR(INDEX('_角色基线'!$C$2:$C$100,MATCH($B165,'_角色基线'!$A$2:$A$100,0)),"")</x:f>
        <x:v>Tank</x:v>
      </x:c>
      <x:c r="O165" s="4" t="n">
        <x:f>IFERROR(INDEX('_怪物基线'!$B$2:$B$501,MATCH(INT($L165),'_怪物基线'!$A$2:$A$501,0)),"")</x:f>
        <x:v>65231</x:v>
      </x:c>
      <x:c r="P165" s="4" t="n">
        <x:f>IFERROR(INDEX('_怪物基线'!$C$2:$C$501,MATCH(INT($L165),'_怪物基线'!$A$2:$A$501,0)),"")</x:f>
        <x:v>9908</x:v>
      </x:c>
      <x:c r="Q165" s="4" t="n">
        <x:f>IFERROR(INDEX('_怪物基线'!$D$2:$D$501,MATCH(INT($L165),'_怪物基线'!$A$2:$A$501,0)),"")</x:f>
        <x:v>11726</x:v>
      </x:c>
      <x:c r="R165" s="4" t="n">
        <x:f>'参数'!$B$10</x:f>
        <x:v>4</x:v>
      </x:c>
      <x:c r="S165" s="4" t="n">
        <x:f>'参数'!$C$10</x:f>
        <x:v>1.2</x:v>
      </x:c>
      <x:c r="T165" s="4" t="n">
        <x:f>'参数'!$D$10</x:f>
        <x:v>1</x:v>
      </x:c>
      <x:c r="U165" s="4" t="n">
        <x:f t="shared" si="14">IF($O165="","",$O165*$R165)</x:f>
        <x:v>260924</x:v>
      </x:c>
      <x:c r="V165" s="4" t="n">
        <x:f t="shared" si="15">IF($P165="","",$P165*$S165)</x:f>
        <x:v>11889.6</x:v>
      </x:c>
      <x:c r="W165" s="4" t="n">
        <x:f t="shared" si="16">IF($Q165="","",$Q165*$T165)</x:f>
        <x:v>11726</x:v>
      </x:c>
      <x:c r="X165" s="4" t="n">
        <x:f>IFERROR(INDEX('参数'!$B$5:$B$7,MATCH($N165,'参数'!$A$5:$A$7,0)),"")</x:f>
        <x:v>1.5</x:v>
      </x:c>
      <x:c r="Y165" s="4" t="n">
        <x:f>IFERROR(INDEX('参数'!$C$5:$C$7,MATCH($N165,'参数'!$A$5:$A$7,0)),"")</x:f>
        <x:v>1</x:v>
      </x:c>
      <x:c r="Z165" s="4" t="n">
        <x:f>IFERROR(INDEX('参数'!$D$5:$D$7,MATCH($N165,'参数'!$A$5:$A$7,0)),"")</x:f>
        <x:v>1.5</x:v>
      </x:c>
      <x:c r="AA165" s="4" t="n">
        <x:f>IFERROR(INDEX('楼层配置'!$E$5:$E$104,MATCH($K165,'楼层配置'!$B$5:$B$104,0)),1)</x:f>
        <x:v>1.1699448070050362</x:v>
      </x:c>
      <x:c r="AB165" s="4" t="n">
        <x:f>IFERROR(INDEX('楼层配置'!$F$5:$F$104,MATCH($K165,'楼层配置'!$B$5:$B$104,0)),1)</x:f>
        <x:v>0.6728635965052944</x:v>
      </x:c>
      <x:c r="AC165" s="4" t="n">
        <x:f>IFERROR(INDEX('楼层配置'!$G$5:$G$104,MATCH($K165,'楼层配置'!$B$5:$B$104,0)),1)</x:f>
        <x:v>1</x:v>
      </x:c>
      <x:c r="AD165" s="6" t="n">
        <x:f t="shared" si="17">IFERROR($D165/$G165-1,"")</x:f>
        <x:v>-0.08723039508830677</x:v>
      </x:c>
      <x:c r="AE165" s="6" t="n">
        <x:f t="shared" si="18">IFERROR($E165/$H165-1,"")</x:f>
        <x:v>-0.10754127621597498</x:v>
      </x:c>
      <x:c r="AF165" s="6" t="n">
        <x:f t="shared" si="19">IFERROR($F165/$I165-1,"")</x:f>
        <x:v>0.35196003074558035</x:v>
      </x:c>
      <x:c r="AG165" s="4" t="str">
        <x:f t="shared" si="20">IF(AND($A165&gt;=1,$L165&gt;=1,$L165&lt;=500,OR($N165="Tank",$N165="DPS",$N165="Support"),ISNUMBER($D165),ISNUMBER($E165),ISNUMBER($F165)),"有效","异常")</x:f>
        <x:v>有效</x:v>
      </x:c>
      <x:c r="AH165" t="n">
        <x:f>D165/(1-MIN(0.75,F165/(24000+F165)))</x:f>
        <x:v>793483.4625000001</x:v>
      </x:c>
    </x:row>
    <x:row r="166" ht="14.25" customHeight="1">
      <x:c r="A166" s="4">
        <x:v>162</x:v>
      </x:c>
      <x:c r="B166" s="4">
        <x:v>1001</x:v>
      </x:c>
      <x:c r="C166" s="4">
        <x:v>26</x:v>
      </x:c>
      <x:c r="D166" s="5" t="n">
        <x:f>IFERROR(ROUND($U166*$X166*$AA166*'参数'!$B$13,0),"")</x:f>
        <x:v>305267</x:v>
      </x:c>
      <x:c r="E166" s="5" t="n">
        <x:f>IFERROR(ROUND($V166*$Y166*$AB166*'参数'!$C$13,0),"")</x:f>
        <x:v>9600</x:v>
      </x:c>
      <x:c r="F166" s="5" t="n">
        <x:f>IFERROR(ROUND($W166*$Z166*$AC166*'参数'!$D$13,0),"")</x:f>
        <x:v>11726</x:v>
      </x:c>
      <x:c r="G166" s="4">
        <x:v>334440</x:v>
      </x:c>
      <x:c r="H166" s="4">
        <x:v>10756</x:v>
      </x:c>
      <x:c r="I166" s="4">
        <x:v>8673</x:v>
      </x:c>
      <x:c r="J166" s="4">
        <x:v>33</x:v>
      </x:c>
      <x:c r="K166" s="4">
        <x:v>33</x:v>
      </x:c>
      <x:c r="L166" s="4" t="n">
        <x:f>IFERROR(INDEX('楼层配置'!$D$5:$D$104,MATCH($K166,'楼层配置'!$B$5:$B$104,0)),"")</x:f>
        <x:v>132</x:v>
      </x:c>
      <x:c r="M166" s="4" t="str">
        <x:f>IFERROR(INDEX('_角色基线'!$B$2:$B$100,MATCH($B166,'_角色基线'!$A$2:$A$100,0)),"")</x:f>
        <x:v>星海</x:v>
      </x:c>
      <x:c r="N166" s="4" t="str">
        <x:f>IFERROR(INDEX('_角色基线'!$C$2:$C$100,MATCH($B166,'_角色基线'!$A$2:$A$100,0)),"")</x:f>
        <x:v>DPS</x:v>
      </x:c>
      <x:c r="O166" s="4" t="n">
        <x:f>IFERROR(INDEX('_怪物基线'!$B$2:$B$501,MATCH(INT($L166),'_怪物基线'!$A$2:$A$501,0)),"")</x:f>
        <x:v>65231</x:v>
      </x:c>
      <x:c r="P166" s="4" t="n">
        <x:f>IFERROR(INDEX('_怪物基线'!$C$2:$C$501,MATCH(INT($L166),'_怪物基线'!$A$2:$A$501,0)),"")</x:f>
        <x:v>9908</x:v>
      </x:c>
      <x:c r="Q166" s="4" t="n">
        <x:f>IFERROR(INDEX('_怪物基线'!$D$2:$D$501,MATCH(INT($L166),'_怪物基线'!$A$2:$A$501,0)),"")</x:f>
        <x:v>11726</x:v>
      </x:c>
      <x:c r="R166" s="4" t="n">
        <x:f>'参数'!$B$10</x:f>
        <x:v>4</x:v>
      </x:c>
      <x:c r="S166" s="4" t="n">
        <x:f>'参数'!$C$10</x:f>
        <x:v>1.2</x:v>
      </x:c>
      <x:c r="T166" s="4" t="n">
        <x:f>'参数'!$D$10</x:f>
        <x:v>1</x:v>
      </x:c>
      <x:c r="U166" s="4" t="n">
        <x:f t="shared" si="14">IF($O166="","",$O166*$R166)</x:f>
        <x:v>260924</x:v>
      </x:c>
      <x:c r="V166" s="4" t="n">
        <x:f t="shared" si="15">IF($P166="","",$P166*$S166)</x:f>
        <x:v>11889.6</x:v>
      </x:c>
      <x:c r="W166" s="4" t="n">
        <x:f t="shared" si="16">IF($Q166="","",$Q166*$T166)</x:f>
        <x:v>11726</x:v>
      </x:c>
      <x:c r="X166" s="4" t="n">
        <x:f>IFERROR(INDEX('参数'!$B$5:$B$7,MATCH($N166,'参数'!$A$5:$A$7,0)),"")</x:f>
        <x:v>1</x:v>
      </x:c>
      <x:c r="Y166" s="4" t="n">
        <x:f>IFERROR(INDEX('参数'!$C$5:$C$7,MATCH($N166,'参数'!$A$5:$A$7,0)),"")</x:f>
        <x:v>1.2</x:v>
      </x:c>
      <x:c r="Z166" s="4" t="n">
        <x:f>IFERROR(INDEX('参数'!$D$5:$D$7,MATCH($N166,'参数'!$A$5:$A$7,0)),"")</x:f>
        <x:v>1</x:v>
      </x:c>
      <x:c r="AA166" s="4" t="n">
        <x:f>IFERROR(INDEX('楼层配置'!$E$5:$E$104,MATCH($K166,'楼层配置'!$B$5:$B$104,0)),1)</x:f>
        <x:v>1.1699448070050362</x:v>
      </x:c>
      <x:c r="AB166" s="4" t="n">
        <x:f>IFERROR(INDEX('楼层配置'!$F$5:$F$104,MATCH($K166,'楼层配置'!$B$5:$B$104,0)),1)</x:f>
        <x:v>0.6728635965052944</x:v>
      </x:c>
      <x:c r="AC166" s="4" t="n">
        <x:f>IFERROR(INDEX('楼层配置'!$G$5:$G$104,MATCH($K166,'楼层配置'!$B$5:$B$104,0)),1)</x:f>
        <x:v>1</x:v>
      </x:c>
      <x:c r="AD166" s="6" t="n">
        <x:f t="shared" si="17">IFERROR($D166/$G166-1,"")</x:f>
        <x:v>-0.08722939839732091</x:v>
      </x:c>
      <x:c r="AE166" s="6" t="n">
        <x:f t="shared" si="18">IFERROR($E166/$H166-1,"")</x:f>
        <x:v>-0.10747489773149865</x:v>
      </x:c>
      <x:c r="AF166" s="6" t="n">
        <x:f t="shared" si="19">IFERROR($F166/$I166-1,"")</x:f>
        <x:v>0.35201199123717286</x:v>
      </x:c>
      <x:c r="AG166" s="4" t="str">
        <x:f t="shared" si="20">IF(AND($A166&gt;=1,$L166&gt;=1,$L166&lt;=500,OR($N166="Tank",$N166="DPS",$N166="Support"),ISNUMBER($D166),ISNUMBER($E166),ISNUMBER($F166)),"有效","异常")</x:f>
        <x:v>有效</x:v>
      </x:c>
      <x:c r="AH166" t="n">
        <x:f>D166/(1-MIN(0.75,F166/(24000+F166)))</x:f>
        <x:v>454415.3684166667</x:v>
      </x:c>
    </x:row>
    <x:row r="167" ht="14.25" customHeight="1">
      <x:c r="A167" s="4">
        <x:v>163</x:v>
      </x:c>
      <x:c r="B167" s="4">
        <x:v>1035</x:v>
      </x:c>
      <x:c r="C167" s="4">
        <x:v>26</x:v>
      </x:c>
      <x:c r="D167" s="5" t="n">
        <x:f>IFERROR(ROUND($U167*$X167*$AA167*'参数'!$B$13,0),"")</x:f>
        <x:v>305267</x:v>
      </x:c>
      <x:c r="E167" s="5" t="n">
        <x:f>IFERROR(ROUND($V167*$Y167*$AB167*'参数'!$C$13,0),"")</x:f>
        <x:v>9600</x:v>
      </x:c>
      <x:c r="F167" s="5" t="n">
        <x:f>IFERROR(ROUND($W167*$Z167*$AC167*'参数'!$D$13,0),"")</x:f>
        <x:v>11726</x:v>
      </x:c>
      <x:c r="G167" s="4">
        <x:v>334440</x:v>
      </x:c>
      <x:c r="H167" s="4">
        <x:v>10756</x:v>
      </x:c>
      <x:c r="I167" s="4">
        <x:v>8673</x:v>
      </x:c>
      <x:c r="J167" s="4">
        <x:v>33</x:v>
      </x:c>
      <x:c r="K167" s="4">
        <x:v>33</x:v>
      </x:c>
      <x:c r="L167" s="4" t="n">
        <x:f>IFERROR(INDEX('楼层配置'!$D$5:$D$104,MATCH($K167,'楼层配置'!$B$5:$B$104,0)),"")</x:f>
        <x:v>132</x:v>
      </x:c>
      <x:c r="M167" s="4" t="str">
        <x:f>IFERROR(INDEX('_角色基线'!$B$2:$B$100,MATCH($B167,'_角色基线'!$A$2:$A$100,0)),"")</x:f>
        <x:v>碎冰者</x:v>
      </x:c>
      <x:c r="N167" s="4" t="str">
        <x:f>IFERROR(INDEX('_角色基线'!$C$2:$C$100,MATCH($B167,'_角色基线'!$A$2:$A$100,0)),"")</x:f>
        <x:v>DPS</x:v>
      </x:c>
      <x:c r="O167" s="4" t="n">
        <x:f>IFERROR(INDEX('_怪物基线'!$B$2:$B$501,MATCH(INT($L167),'_怪物基线'!$A$2:$A$501,0)),"")</x:f>
        <x:v>65231</x:v>
      </x:c>
      <x:c r="P167" s="4" t="n">
        <x:f>IFERROR(INDEX('_怪物基线'!$C$2:$C$501,MATCH(INT($L167),'_怪物基线'!$A$2:$A$501,0)),"")</x:f>
        <x:v>9908</x:v>
      </x:c>
      <x:c r="Q167" s="4" t="n">
        <x:f>IFERROR(INDEX('_怪物基线'!$D$2:$D$501,MATCH(INT($L167),'_怪物基线'!$A$2:$A$501,0)),"")</x:f>
        <x:v>11726</x:v>
      </x:c>
      <x:c r="R167" s="4" t="n">
        <x:f>'参数'!$B$10</x:f>
        <x:v>4</x:v>
      </x:c>
      <x:c r="S167" s="4" t="n">
        <x:f>'参数'!$C$10</x:f>
        <x:v>1.2</x:v>
      </x:c>
      <x:c r="T167" s="4" t="n">
        <x:f>'参数'!$D$10</x:f>
        <x:v>1</x:v>
      </x:c>
      <x:c r="U167" s="4" t="n">
        <x:f t="shared" si="14">IF($O167="","",$O167*$R167)</x:f>
        <x:v>260924</x:v>
      </x:c>
      <x:c r="V167" s="4" t="n">
        <x:f t="shared" si="15">IF($P167="","",$P167*$S167)</x:f>
        <x:v>11889.6</x:v>
      </x:c>
      <x:c r="W167" s="4" t="n">
        <x:f t="shared" si="16">IF($Q167="","",$Q167*$T167)</x:f>
        <x:v>11726</x:v>
      </x:c>
      <x:c r="X167" s="4" t="n">
        <x:f>IFERROR(INDEX('参数'!$B$5:$B$7,MATCH($N167,'参数'!$A$5:$A$7,0)),"")</x:f>
        <x:v>1</x:v>
      </x:c>
      <x:c r="Y167" s="4" t="n">
        <x:f>IFERROR(INDEX('参数'!$C$5:$C$7,MATCH($N167,'参数'!$A$5:$A$7,0)),"")</x:f>
        <x:v>1.2</x:v>
      </x:c>
      <x:c r="Z167" s="4" t="n">
        <x:f>IFERROR(INDEX('参数'!$D$5:$D$7,MATCH($N167,'参数'!$A$5:$A$7,0)),"")</x:f>
        <x:v>1</x:v>
      </x:c>
      <x:c r="AA167" s="4" t="n">
        <x:f>IFERROR(INDEX('楼层配置'!$E$5:$E$104,MATCH($K167,'楼层配置'!$B$5:$B$104,0)),1)</x:f>
        <x:v>1.1699448070050362</x:v>
      </x:c>
      <x:c r="AB167" s="4" t="n">
        <x:f>IFERROR(INDEX('楼层配置'!$F$5:$F$104,MATCH($K167,'楼层配置'!$B$5:$B$104,0)),1)</x:f>
        <x:v>0.6728635965052944</x:v>
      </x:c>
      <x:c r="AC167" s="4" t="n">
        <x:f>IFERROR(INDEX('楼层配置'!$G$5:$G$104,MATCH($K167,'楼层配置'!$B$5:$B$104,0)),1)</x:f>
        <x:v>1</x:v>
      </x:c>
      <x:c r="AD167" s="6" t="n">
        <x:f t="shared" si="17">IFERROR($D167/$G167-1,"")</x:f>
        <x:v>-0.08722939839732091</x:v>
      </x:c>
      <x:c r="AE167" s="6" t="n">
        <x:f t="shared" si="18">IFERROR($E167/$H167-1,"")</x:f>
        <x:v>-0.10747489773149865</x:v>
      </x:c>
      <x:c r="AF167" s="6" t="n">
        <x:f t="shared" si="19">IFERROR($F167/$I167-1,"")</x:f>
        <x:v>0.35201199123717286</x:v>
      </x:c>
      <x:c r="AG167" s="4" t="str">
        <x:f t="shared" si="20">IF(AND($A167&gt;=1,$L167&gt;=1,$L167&lt;=500,OR($N167="Tank",$N167="DPS",$N167="Support"),ISNUMBER($D167),ISNUMBER($E167),ISNUMBER($F167)),"有效","异常")</x:f>
        <x:v>有效</x:v>
      </x:c>
      <x:c r="AH167" t="n">
        <x:f>D167/(1-MIN(0.75,F167/(24000+F167)))</x:f>
        <x:v>454415.3684166667</x:v>
      </x:c>
    </x:row>
    <x:row r="168" ht="14.25" customHeight="1">
      <x:c r="A168" s="4">
        <x:v>164</x:v>
      </x:c>
      <x:c r="B168" s="4">
        <x:v>1018</x:v>
      </x:c>
      <x:c r="C168" s="4">
        <x:v>26</x:v>
      </x:c>
      <x:c r="D168" s="5" t="n">
        <x:f>IFERROR(ROUND($U168*$X168*$AA168*'参数'!$B$13,0),"")</x:f>
        <x:v>381583</x:v>
      </x:c>
      <x:c r="E168" s="5" t="n">
        <x:f>IFERROR(ROUND($V168*$Y168*$AB168*'参数'!$C$13,0),"")</x:f>
        <x:v>8000</x:v>
      </x:c>
      <x:c r="F168" s="5" t="n">
        <x:f>IFERROR(ROUND($W168*$Z168*$AC168*'参数'!$D$13,0),"")</x:f>
        <x:v>14658</x:v>
      </x:c>
      <x:c r="G168" s="4">
        <x:v>418050</x:v>
      </x:c>
      <x:c r="H168" s="4">
        <x:v>8964</x:v>
      </x:c>
      <x:c r="I168" s="4">
        <x:v>10842</x:v>
      </x:c>
      <x:c r="J168" s="4">
        <x:v>33</x:v>
      </x:c>
      <x:c r="K168" s="4">
        <x:v>33</x:v>
      </x:c>
      <x:c r="L168" s="4" t="n">
        <x:f>IFERROR(INDEX('楼层配置'!$D$5:$D$104,MATCH($K168,'楼层配置'!$B$5:$B$104,0)),"")</x:f>
        <x:v>132</x:v>
      </x:c>
      <x:c r="M168" s="4" t="str">
        <x:f>IFERROR(INDEX('_角色基线'!$B$2:$B$100,MATCH($B168,'_角色基线'!$A$2:$A$100,0)),"")</x:f>
        <x:v>埃莉诺</x:v>
      </x:c>
      <x:c r="N168" s="4" t="str">
        <x:f>IFERROR(INDEX('_角色基线'!$C$2:$C$100,MATCH($B168,'_角色基线'!$A$2:$A$100,0)),"")</x:f>
        <x:v>Support</x:v>
      </x:c>
      <x:c r="O168" s="4" t="n">
        <x:f>IFERROR(INDEX('_怪物基线'!$B$2:$B$501,MATCH(INT($L168),'_怪物基线'!$A$2:$A$501,0)),"")</x:f>
        <x:v>65231</x:v>
      </x:c>
      <x:c r="P168" s="4" t="n">
        <x:f>IFERROR(INDEX('_怪物基线'!$C$2:$C$501,MATCH(INT($L168),'_怪物基线'!$A$2:$A$501,0)),"")</x:f>
        <x:v>9908</x:v>
      </x:c>
      <x:c r="Q168" s="4" t="n">
        <x:f>IFERROR(INDEX('_怪物基线'!$D$2:$D$501,MATCH(INT($L168),'_怪物基线'!$A$2:$A$501,0)),"")</x:f>
        <x:v>11726</x:v>
      </x:c>
      <x:c r="R168" s="4" t="n">
        <x:f>'参数'!$B$10</x:f>
        <x:v>4</x:v>
      </x:c>
      <x:c r="S168" s="4" t="n">
        <x:f>'参数'!$C$10</x:f>
        <x:v>1.2</x:v>
      </x:c>
      <x:c r="T168" s="4" t="n">
        <x:f>'参数'!$D$10</x:f>
        <x:v>1</x:v>
      </x:c>
      <x:c r="U168" s="4" t="n">
        <x:f t="shared" si="14">IF($O168="","",$O168*$R168)</x:f>
        <x:v>260924</x:v>
      </x:c>
      <x:c r="V168" s="4" t="n">
        <x:f t="shared" si="15">IF($P168="","",$P168*$S168)</x:f>
        <x:v>11889.6</x:v>
      </x:c>
      <x:c r="W168" s="4" t="n">
        <x:f t="shared" si="16">IF($Q168="","",$Q168*$T168)</x:f>
        <x:v>11726</x:v>
      </x:c>
      <x:c r="X168" s="4" t="n">
        <x:f>IFERROR(INDEX('参数'!$B$5:$B$7,MATCH($N168,'参数'!$A$5:$A$7,0)),"")</x:f>
        <x:v>1.25</x:v>
      </x:c>
      <x:c r="Y168" s="4" t="n">
        <x:f>IFERROR(INDEX('参数'!$C$5:$C$7,MATCH($N168,'参数'!$A$5:$A$7,0)),"")</x:f>
        <x:v>1</x:v>
      </x:c>
      <x:c r="Z168" s="4" t="n">
        <x:f>IFERROR(INDEX('参数'!$D$5:$D$7,MATCH($N168,'参数'!$A$5:$A$7,0)),"")</x:f>
        <x:v>1.25</x:v>
      </x:c>
      <x:c r="AA168" s="4" t="n">
        <x:f>IFERROR(INDEX('楼层配置'!$E$5:$E$104,MATCH($K168,'楼层配置'!$B$5:$B$104,0)),1)</x:f>
        <x:v>1.1699448070050362</x:v>
      </x:c>
      <x:c r="AB168" s="4" t="n">
        <x:f>IFERROR(INDEX('楼层配置'!$F$5:$F$104,MATCH($K168,'楼层配置'!$B$5:$B$104,0)),1)</x:f>
        <x:v>0.6728635965052944</x:v>
      </x:c>
      <x:c r="AC168" s="4" t="n">
        <x:f>IFERROR(INDEX('楼层配置'!$G$5:$G$104,MATCH($K168,'楼层配置'!$B$5:$B$104,0)),1)</x:f>
        <x:v>1</x:v>
      </x:c>
      <x:c r="AD168" s="6" t="n">
        <x:f t="shared" si="17">IFERROR($D168/$G168-1,"")</x:f>
        <x:v>-0.08723119244109556</x:v>
      </x:c>
      <x:c r="AE168" s="6" t="n">
        <x:f t="shared" si="18">IFERROR($E168/$H168-1,"")</x:f>
        <x:v>-0.10754127621597498</x:v>
      </x:c>
      <x:c r="AF168" s="6" t="n">
        <x:f t="shared" si="19">IFERROR($F168/$I168-1,"")</x:f>
        <x:v>0.3519645821804096</x:v>
      </x:c>
      <x:c r="AG168" s="4" t="str">
        <x:f t="shared" si="20">IF(AND($A168&gt;=1,$L168&gt;=1,$L168&lt;=500,OR($N168="Tank",$N168="DPS",$N168="Support"),ISNUMBER($D168),ISNUMBER($E168),ISNUMBER($F168)),"有效","异常")</x:f>
        <x:v>有效</x:v>
      </x:c>
      <x:c r="AH168" t="n">
        <x:f>D168/(1-MIN(0.75,F168/(24000+F168)))</x:f>
        <x:v>614634.81725</x:v>
      </x:c>
    </x:row>
    <x:row r="169" ht="14.25" customHeight="1">
      <x:c r="A169" s="4">
        <x:v>165</x:v>
      </x:c>
      <x:c r="B169" s="4">
        <x:v>1012</x:v>
      </x:c>
      <x:c r="C169" s="4">
        <x:v>26</x:v>
      </x:c>
      <x:c r="D169" s="5" t="n">
        <x:f>IFERROR(ROUND($U169*$X169*$AA169*'参数'!$B$13,0),"")</x:f>
        <x:v>381583</x:v>
      </x:c>
      <x:c r="E169" s="5" t="n">
        <x:f>IFERROR(ROUND($V169*$Y169*$AB169*'参数'!$C$13,0),"")</x:f>
        <x:v>8000</x:v>
      </x:c>
      <x:c r="F169" s="5" t="n">
        <x:f>IFERROR(ROUND($W169*$Z169*$AC169*'参数'!$D$13,0),"")</x:f>
        <x:v>14658</x:v>
      </x:c>
      <x:c r="G169" s="4">
        <x:v>418050</x:v>
      </x:c>
      <x:c r="H169" s="4">
        <x:v>8964</x:v>
      </x:c>
      <x:c r="I169" s="4">
        <x:v>10842</x:v>
      </x:c>
      <x:c r="J169" s="4">
        <x:v>33</x:v>
      </x:c>
      <x:c r="K169" s="4">
        <x:v>33</x:v>
      </x:c>
      <x:c r="L169" s="4" t="n">
        <x:f>IFERROR(INDEX('楼层配置'!$D$5:$D$104,MATCH($K169,'楼层配置'!$B$5:$B$104,0)),"")</x:f>
        <x:v>132</x:v>
      </x:c>
      <x:c r="M169" s="4" t="str">
        <x:f>IFERROR(INDEX('_角色基线'!$B$2:$B$100,MATCH($B169,'_角色基线'!$A$2:$A$100,0)),"")</x:f>
        <x:v>艾德琳</x:v>
      </x:c>
      <x:c r="N169" s="4" t="str">
        <x:f>IFERROR(INDEX('_角色基线'!$C$2:$C$100,MATCH($B169,'_角色基线'!$A$2:$A$100,0)),"")</x:f>
        <x:v>Support</x:v>
      </x:c>
      <x:c r="O169" s="4" t="n">
        <x:f>IFERROR(INDEX('_怪物基线'!$B$2:$B$501,MATCH(INT($L169),'_怪物基线'!$A$2:$A$501,0)),"")</x:f>
        <x:v>65231</x:v>
      </x:c>
      <x:c r="P169" s="4" t="n">
        <x:f>IFERROR(INDEX('_怪物基线'!$C$2:$C$501,MATCH(INT($L169),'_怪物基线'!$A$2:$A$501,0)),"")</x:f>
        <x:v>9908</x:v>
      </x:c>
      <x:c r="Q169" s="4" t="n">
        <x:f>IFERROR(INDEX('_怪物基线'!$D$2:$D$501,MATCH(INT($L169),'_怪物基线'!$A$2:$A$501,0)),"")</x:f>
        <x:v>11726</x:v>
      </x:c>
      <x:c r="R169" s="4" t="n">
        <x:f>'参数'!$B$10</x:f>
        <x:v>4</x:v>
      </x:c>
      <x:c r="S169" s="4" t="n">
        <x:f>'参数'!$C$10</x:f>
        <x:v>1.2</x:v>
      </x:c>
      <x:c r="T169" s="4" t="n">
        <x:f>'参数'!$D$10</x:f>
        <x:v>1</x:v>
      </x:c>
      <x:c r="U169" s="4" t="n">
        <x:f t="shared" si="14">IF($O169="","",$O169*$R169)</x:f>
        <x:v>260924</x:v>
      </x:c>
      <x:c r="V169" s="4" t="n">
        <x:f t="shared" si="15">IF($P169="","",$P169*$S169)</x:f>
        <x:v>11889.6</x:v>
      </x:c>
      <x:c r="W169" s="4" t="n">
        <x:f t="shared" si="16">IF($Q169="","",$Q169*$T169)</x:f>
        <x:v>11726</x:v>
      </x:c>
      <x:c r="X169" s="4" t="n">
        <x:f>IFERROR(INDEX('参数'!$B$5:$B$7,MATCH($N169,'参数'!$A$5:$A$7,0)),"")</x:f>
        <x:v>1.25</x:v>
      </x:c>
      <x:c r="Y169" s="4" t="n">
        <x:f>IFERROR(INDEX('参数'!$C$5:$C$7,MATCH($N169,'参数'!$A$5:$A$7,0)),"")</x:f>
        <x:v>1</x:v>
      </x:c>
      <x:c r="Z169" s="4" t="n">
        <x:f>IFERROR(INDEX('参数'!$D$5:$D$7,MATCH($N169,'参数'!$A$5:$A$7,0)),"")</x:f>
        <x:v>1.25</x:v>
      </x:c>
      <x:c r="AA169" s="4" t="n">
        <x:f>IFERROR(INDEX('楼层配置'!$E$5:$E$104,MATCH($K169,'楼层配置'!$B$5:$B$104,0)),1)</x:f>
        <x:v>1.1699448070050362</x:v>
      </x:c>
      <x:c r="AB169" s="4" t="n">
        <x:f>IFERROR(INDEX('楼层配置'!$F$5:$F$104,MATCH($K169,'楼层配置'!$B$5:$B$104,0)),1)</x:f>
        <x:v>0.6728635965052944</x:v>
      </x:c>
      <x:c r="AC169" s="4" t="n">
        <x:f>IFERROR(INDEX('楼层配置'!$G$5:$G$104,MATCH($K169,'楼层配置'!$B$5:$B$104,0)),1)</x:f>
        <x:v>1</x:v>
      </x:c>
      <x:c r="AD169" s="6" t="n">
        <x:f t="shared" si="17">IFERROR($D169/$G169-1,"")</x:f>
        <x:v>-0.08723119244109556</x:v>
      </x:c>
      <x:c r="AE169" s="6" t="n">
        <x:f t="shared" si="18">IFERROR($E169/$H169-1,"")</x:f>
        <x:v>-0.10754127621597498</x:v>
      </x:c>
      <x:c r="AF169" s="6" t="n">
        <x:f t="shared" si="19">IFERROR($F169/$I169-1,"")</x:f>
        <x:v>0.3519645821804096</x:v>
      </x:c>
      <x:c r="AG169" s="4" t="str">
        <x:f t="shared" si="20">IF(AND($A169&gt;=1,$L169&gt;=1,$L169&lt;=500,OR($N169="Tank",$N169="DPS",$N169="Support"),ISNUMBER($D169),ISNUMBER($E169),ISNUMBER($F169)),"有效","异常")</x:f>
        <x:v>有效</x:v>
      </x:c>
      <x:c r="AH169" t="n">
        <x:f>D169/(1-MIN(0.75,F169/(24000+F169)))</x:f>
        <x:v>614634.81725</x:v>
      </x:c>
    </x:row>
    <x:row r="170" ht="14.25" customHeight="1">
      <x:c r="A170" s="4">
        <x:v>166</x:v>
      </x:c>
      <x:c r="B170" s="4">
        <x:v>1002</x:v>
      </x:c>
      <x:c r="C170" s="4">
        <x:v>27</x:v>
      </x:c>
      <x:c r="D170" s="5" t="n">
        <x:f>IFERROR(ROUND($U170*$X170*$AA170*'参数'!$B$13,0),"")</x:f>
        <x:v>490200</x:v>
      </x:c>
      <x:c r="E170" s="5" t="n">
        <x:f>IFERROR(ROUND($V170*$Y170*$AB170*'参数'!$C$13,0),"")</x:f>
        <x:v>8385</x:v>
      </x:c>
      <x:c r="F170" s="5" t="n">
        <x:f>IFERROR(ROUND($W170*$Z170*$AC170*'参数'!$D$13,0),"")</x:f>
        <x:v>18215</x:v>
      </x:c>
      <x:c r="G170" s="4">
        <x:v>531583</x:v>
      </x:c>
      <x:c r="H170" s="4">
        <x:v>9308</x:v>
      </x:c>
      <x:c r="I170" s="4">
        <x:v>13442</x:v>
      </x:c>
      <x:c r="J170" s="4">
        <x:v>34</x:v>
      </x:c>
      <x:c r="K170" s="4">
        <x:v>34</x:v>
      </x:c>
      <x:c r="L170" s="4" t="n">
        <x:f>IFERROR(INDEX('楼层配置'!$D$5:$D$104,MATCH($K170,'楼层配置'!$B$5:$B$104,0)),"")</x:f>
        <x:v>136</x:v>
      </x:c>
      <x:c r="M170" s="4" t="str">
        <x:f>IFERROR(INDEX('_角色基线'!$B$2:$B$100,MATCH($B170,'_角色基线'!$A$2:$A$100,0)),"")</x:f>
        <x:v>大暑</x:v>
      </x:c>
      <x:c r="N170" s="4" t="str">
        <x:f>IFERROR(INDEX('_角色基线'!$C$2:$C$100,MATCH($B170,'_角色基线'!$A$2:$A$100,0)),"")</x:f>
        <x:v>Tank</x:v>
      </x:c>
      <x:c r="O170" s="4" t="n">
        <x:f>IFERROR(INDEX('_怪物基线'!$B$2:$B$501,MATCH(INT($L170),'_怪物基线'!$A$2:$A$501,0)),"")</x:f>
        <x:v>69461</x:v>
      </x:c>
      <x:c r="P170" s="4" t="n">
        <x:f>IFERROR(INDEX('_怪物基线'!$C$2:$C$501,MATCH(INT($L170),'_怪物基线'!$A$2:$A$501,0)),"")</x:f>
        <x:v>10368</x:v>
      </x:c>
      <x:c r="Q170" s="4" t="n">
        <x:f>IFERROR(INDEX('_怪物基线'!$D$2:$D$501,MATCH(INT($L170),'_怪物基线'!$A$2:$A$501,0)),"")</x:f>
        <x:v>12143</x:v>
      </x:c>
      <x:c r="R170" s="4" t="n">
        <x:f>'参数'!$B$10</x:f>
        <x:v>4</x:v>
      </x:c>
      <x:c r="S170" s="4" t="n">
        <x:f>'参数'!$C$10</x:f>
        <x:v>1.2</x:v>
      </x:c>
      <x:c r="T170" s="4" t="n">
        <x:f>'参数'!$D$10</x:f>
        <x:v>1</x:v>
      </x:c>
      <x:c r="U170" s="4" t="n">
        <x:f t="shared" si="14">IF($O170="","",$O170*$R170)</x:f>
        <x:v>277844</x:v>
      </x:c>
      <x:c r="V170" s="4" t="n">
        <x:f t="shared" si="15">IF($P170="","",$P170*$S170)</x:f>
        <x:v>12441.6</x:v>
      </x:c>
      <x:c r="W170" s="4" t="n">
        <x:f t="shared" si="16">IF($Q170="","",$Q170*$T170)</x:f>
        <x:v>12143</x:v>
      </x:c>
      <x:c r="X170" s="4" t="n">
        <x:f>IFERROR(INDEX('参数'!$B$5:$B$7,MATCH($N170,'参数'!$A$5:$A$7,0)),"")</x:f>
        <x:v>1.5</x:v>
      </x:c>
      <x:c r="Y170" s="4" t="n">
        <x:f>IFERROR(INDEX('参数'!$C$5:$C$7,MATCH($N170,'参数'!$A$5:$A$7,0)),"")</x:f>
        <x:v>1</x:v>
      </x:c>
      <x:c r="Z170" s="4" t="n">
        <x:f>IFERROR(INDEX('参数'!$D$5:$D$7,MATCH($N170,'参数'!$A$5:$A$7,0)),"")</x:f>
        <x:v>1.5</x:v>
      </x:c>
      <x:c r="AA170" s="4" t="n">
        <x:f>IFERROR(INDEX('楼层配置'!$E$5:$E$104,MATCH($K170,'楼层配置'!$B$5:$B$104,0)),1)</x:f>
        <x:v>1.1761990096555994</x:v>
      </x:c>
      <x:c r="AB170" s="4" t="n">
        <x:f>IFERROR(INDEX('楼层配置'!$F$5:$F$104,MATCH($K170,'楼层配置'!$B$5:$B$104,0)),1)</x:f>
        <x:v>0.6739569990183927</x:v>
      </x:c>
      <x:c r="AC170" s="4" t="n">
        <x:f>IFERROR(INDEX('楼层配置'!$G$5:$G$104,MATCH($K170,'楼层配置'!$B$5:$B$104,0)),1)</x:f>
        <x:v>1</x:v>
      </x:c>
      <x:c r="AD170" s="6" t="n">
        <x:f t="shared" si="17">IFERROR($D170/$G170-1,"")</x:f>
        <x:v>-0.07784861442145441</x:v>
      </x:c>
      <x:c r="AE170" s="6" t="n">
        <x:f t="shared" si="18">IFERROR($E170/$H170-1,"")</x:f>
        <x:v>-0.09916201117318435</x:v>
      </x:c>
      <x:c r="AF170" s="6" t="n">
        <x:f t="shared" si="19">IFERROR($F170/$I170-1,"")</x:f>
        <x:v>0.3550810891236422</x:v>
      </x:c>
      <x:c r="AG170" s="4" t="str">
        <x:f t="shared" si="20">IF(AND($A170&gt;=1,$L170&gt;=1,$L170&lt;=500,OR($N170="Tank",$N170="DPS",$N170="Support"),ISNUMBER($D170),ISNUMBER($E170),ISNUMBER($F170)),"有效","异常")</x:f>
        <x:v>有效</x:v>
      </x:c>
      <x:c r="AH170" t="n">
        <x:f>D170/(1-MIN(0.75,F170/(24000+F170)))</x:f>
        <x:v>862241.3750000001</x:v>
      </x:c>
    </x:row>
    <x:row r="171" ht="14.25" customHeight="1">
      <x:c r="A171" s="4">
        <x:v>167</x:v>
      </x:c>
      <x:c r="B171" s="4">
        <x:v>1021</x:v>
      </x:c>
      <x:c r="C171" s="4">
        <x:v>27</x:v>
      </x:c>
      <x:c r="D171" s="5" t="n">
        <x:f>IFERROR(ROUND($U171*$X171*$AA171*'参数'!$B$13,0),"")</x:f>
        <x:v>326800</x:v>
      </x:c>
      <x:c r="E171" s="5" t="n">
        <x:f>IFERROR(ROUND($V171*$Y171*$AB171*'参数'!$C$13,0),"")</x:f>
        <x:v>10062</x:v>
      </x:c>
      <x:c r="F171" s="5" t="n">
        <x:f>IFERROR(ROUND($W171*$Z171*$AC171*'参数'!$D$13,0),"")</x:f>
        <x:v>12143</x:v>
      </x:c>
      <x:c r="G171" s="4">
        <x:v>354388</x:v>
      </x:c>
      <x:c r="H171" s="4">
        <x:v>11169</x:v>
      </x:c>
      <x:c r="I171" s="4">
        <x:v>8961</x:v>
      </x:c>
      <x:c r="J171" s="4">
        <x:v>34</x:v>
      </x:c>
      <x:c r="K171" s="4">
        <x:v>34</x:v>
      </x:c>
      <x:c r="L171" s="4" t="n">
        <x:f>IFERROR(INDEX('楼层配置'!$D$5:$D$104,MATCH($K171,'楼层配置'!$B$5:$B$104,0)),"")</x:f>
        <x:v>136</x:v>
      </x:c>
      <x:c r="M171" s="4" t="str">
        <x:f>IFERROR(INDEX('_角色基线'!$B$2:$B$100,MATCH($B171,'_角色基线'!$A$2:$A$100,0)),"")</x:f>
        <x:v>梅梅</x:v>
      </x:c>
      <x:c r="N171" s="4" t="str">
        <x:f>IFERROR(INDEX('_角色基线'!$C$2:$C$100,MATCH($B171,'_角色基线'!$A$2:$A$100,0)),"")</x:f>
        <x:v>DPS</x:v>
      </x:c>
      <x:c r="O171" s="4" t="n">
        <x:f>IFERROR(INDEX('_怪物基线'!$B$2:$B$501,MATCH(INT($L171),'_怪物基线'!$A$2:$A$501,0)),"")</x:f>
        <x:v>69461</x:v>
      </x:c>
      <x:c r="P171" s="4" t="n">
        <x:f>IFERROR(INDEX('_怪物基线'!$C$2:$C$501,MATCH(INT($L171),'_怪物基线'!$A$2:$A$501,0)),"")</x:f>
        <x:v>10368</x:v>
      </x:c>
      <x:c r="Q171" s="4" t="n">
        <x:f>IFERROR(INDEX('_怪物基线'!$D$2:$D$501,MATCH(INT($L171),'_怪物基线'!$A$2:$A$501,0)),"")</x:f>
        <x:v>12143</x:v>
      </x:c>
      <x:c r="R171" s="4" t="n">
        <x:f>'参数'!$B$10</x:f>
        <x:v>4</x:v>
      </x:c>
      <x:c r="S171" s="4" t="n">
        <x:f>'参数'!$C$10</x:f>
        <x:v>1.2</x:v>
      </x:c>
      <x:c r="T171" s="4" t="n">
        <x:f>'参数'!$D$10</x:f>
        <x:v>1</x:v>
      </x:c>
      <x:c r="U171" s="4" t="n">
        <x:f t="shared" si="14">IF($O171="","",$O171*$R171)</x:f>
        <x:v>277844</x:v>
      </x:c>
      <x:c r="V171" s="4" t="n">
        <x:f t="shared" si="15">IF($P171="","",$P171*$S171)</x:f>
        <x:v>12441.6</x:v>
      </x:c>
      <x:c r="W171" s="4" t="n">
        <x:f t="shared" si="16">IF($Q171="","",$Q171*$T171)</x:f>
        <x:v>12143</x:v>
      </x:c>
      <x:c r="X171" s="4" t="n">
        <x:f>IFERROR(INDEX('参数'!$B$5:$B$7,MATCH($N171,'参数'!$A$5:$A$7,0)),"")</x:f>
        <x:v>1</x:v>
      </x:c>
      <x:c r="Y171" s="4" t="n">
        <x:f>IFERROR(INDEX('参数'!$C$5:$C$7,MATCH($N171,'参数'!$A$5:$A$7,0)),"")</x:f>
        <x:v>1.2</x:v>
      </x:c>
      <x:c r="Z171" s="4" t="n">
        <x:f>IFERROR(INDEX('参数'!$D$5:$D$7,MATCH($N171,'参数'!$A$5:$A$7,0)),"")</x:f>
        <x:v>1</x:v>
      </x:c>
      <x:c r="AA171" s="4" t="n">
        <x:f>IFERROR(INDEX('楼层配置'!$E$5:$E$104,MATCH($K171,'楼层配置'!$B$5:$B$104,0)),1)</x:f>
        <x:v>1.1761990096555994</x:v>
      </x:c>
      <x:c r="AB171" s="4" t="n">
        <x:f>IFERROR(INDEX('楼层配置'!$F$5:$F$104,MATCH($K171,'楼层配置'!$B$5:$B$104,0)),1)</x:f>
        <x:v>0.6739569990183927</x:v>
      </x:c>
      <x:c r="AC171" s="4" t="n">
        <x:f>IFERROR(INDEX('楼层配置'!$G$5:$G$104,MATCH($K171,'楼层配置'!$B$5:$B$104,0)),1)</x:f>
        <x:v>1</x:v>
      </x:c>
      <x:c r="AD171" s="6" t="n">
        <x:f t="shared" si="17">IFERROR($D171/$G171-1,"")</x:f>
        <x:v>-0.07784687969118598</x:v>
      </x:c>
      <x:c r="AE171" s="6" t="n">
        <x:f t="shared" si="18">IFERROR($E171/$H171-1,"")</x:f>
        <x:v>-0.09911361804995966</x:v>
      </x:c>
      <x:c r="AF171" s="6" t="n">
        <x:f t="shared" si="19">IFERROR($F171/$I171-1,"")</x:f>
        <x:v>0.3550942975114384</x:v>
      </x:c>
      <x:c r="AG171" s="4" t="str">
        <x:f t="shared" si="20">IF(AND($A171&gt;=1,$L171&gt;=1,$L171&lt;=500,OR($N171="Tank",$N171="DPS",$N171="Support"),ISNUMBER($D171),ISNUMBER($E171),ISNUMBER($F171)),"有效","异常")</x:f>
        <x:v>有效</x:v>
      </x:c>
      <x:c r="AH171" t="n">
        <x:f>D171/(1-MIN(0.75,F171/(24000+F171)))</x:f>
        <x:v>492147.18333333335</x:v>
      </x:c>
    </x:row>
    <x:row r="172" ht="14.25" customHeight="1">
      <x:c r="A172" s="4">
        <x:v>168</x:v>
      </x:c>
      <x:c r="B172" s="4">
        <x:v>1020</x:v>
      </x:c>
      <x:c r="C172" s="4">
        <x:v>27</x:v>
      </x:c>
      <x:c r="D172" s="5" t="n">
        <x:f>IFERROR(ROUND($U172*$X172*$AA172*'参数'!$B$13,0),"")</x:f>
        <x:v>408500</x:v>
      </x:c>
      <x:c r="E172" s="5" t="n">
        <x:f>IFERROR(ROUND($V172*$Y172*$AB172*'参数'!$C$13,0),"")</x:f>
        <x:v>8385</x:v>
      </x:c>
      <x:c r="F172" s="5" t="n">
        <x:f>IFERROR(ROUND($W172*$Z172*$AC172*'参数'!$D$13,0),"")</x:f>
        <x:v>15179</x:v>
      </x:c>
      <x:c r="G172" s="4">
        <x:v>442986</x:v>
      </x:c>
      <x:c r="H172" s="4">
        <x:v>9308</x:v>
      </x:c>
      <x:c r="I172" s="4">
        <x:v>11202</x:v>
      </x:c>
      <x:c r="J172" s="4">
        <x:v>34</x:v>
      </x:c>
      <x:c r="K172" s="4">
        <x:v>34</x:v>
      </x:c>
      <x:c r="L172" s="4" t="n">
        <x:f>IFERROR(INDEX('楼层配置'!$D$5:$D$104,MATCH($K172,'楼层配置'!$B$5:$B$104,0)),"")</x:f>
        <x:v>136</x:v>
      </x:c>
      <x:c r="M172" s="4" t="str">
        <x:f>IFERROR(INDEX('_角色基线'!$B$2:$B$100,MATCH($B172,'_角色基线'!$A$2:$A$100,0)),"")</x:f>
        <x:v>卡斯帕</x:v>
      </x:c>
      <x:c r="N172" s="4" t="str">
        <x:f>IFERROR(INDEX('_角色基线'!$C$2:$C$100,MATCH($B172,'_角色基线'!$A$2:$A$100,0)),"")</x:f>
        <x:v>Support</x:v>
      </x:c>
      <x:c r="O172" s="4" t="n">
        <x:f>IFERROR(INDEX('_怪物基线'!$B$2:$B$501,MATCH(INT($L172),'_怪物基线'!$A$2:$A$501,0)),"")</x:f>
        <x:v>69461</x:v>
      </x:c>
      <x:c r="P172" s="4" t="n">
        <x:f>IFERROR(INDEX('_怪物基线'!$C$2:$C$501,MATCH(INT($L172),'_怪物基线'!$A$2:$A$501,0)),"")</x:f>
        <x:v>10368</x:v>
      </x:c>
      <x:c r="Q172" s="4" t="n">
        <x:f>IFERROR(INDEX('_怪物基线'!$D$2:$D$501,MATCH(INT($L172),'_怪物基线'!$A$2:$A$501,0)),"")</x:f>
        <x:v>12143</x:v>
      </x:c>
      <x:c r="R172" s="4" t="n">
        <x:f>'参数'!$B$10</x:f>
        <x:v>4</x:v>
      </x:c>
      <x:c r="S172" s="4" t="n">
        <x:f>'参数'!$C$10</x:f>
        <x:v>1.2</x:v>
      </x:c>
      <x:c r="T172" s="4" t="n">
        <x:f>'参数'!$D$10</x:f>
        <x:v>1</x:v>
      </x:c>
      <x:c r="U172" s="4" t="n">
        <x:f t="shared" si="14">IF($O172="","",$O172*$R172)</x:f>
        <x:v>277844</x:v>
      </x:c>
      <x:c r="V172" s="4" t="n">
        <x:f t="shared" si="15">IF($P172="","",$P172*$S172)</x:f>
        <x:v>12441.6</x:v>
      </x:c>
      <x:c r="W172" s="4" t="n">
        <x:f t="shared" si="16">IF($Q172="","",$Q172*$T172)</x:f>
        <x:v>12143</x:v>
      </x:c>
      <x:c r="X172" s="4" t="n">
        <x:f>IFERROR(INDEX('参数'!$B$5:$B$7,MATCH($N172,'参数'!$A$5:$A$7,0)),"")</x:f>
        <x:v>1.25</x:v>
      </x:c>
      <x:c r="Y172" s="4" t="n">
        <x:f>IFERROR(INDEX('参数'!$C$5:$C$7,MATCH($N172,'参数'!$A$5:$A$7,0)),"")</x:f>
        <x:v>1</x:v>
      </x:c>
      <x:c r="Z172" s="4" t="n">
        <x:f>IFERROR(INDEX('参数'!$D$5:$D$7,MATCH($N172,'参数'!$A$5:$A$7,0)),"")</x:f>
        <x:v>1.25</x:v>
      </x:c>
      <x:c r="AA172" s="4" t="n">
        <x:f>IFERROR(INDEX('楼层配置'!$E$5:$E$104,MATCH($K172,'楼层配置'!$B$5:$B$104,0)),1)</x:f>
        <x:v>1.1761990096555994</x:v>
      </x:c>
      <x:c r="AB172" s="4" t="n">
        <x:f>IFERROR(INDEX('楼层配置'!$F$5:$F$104,MATCH($K172,'楼层配置'!$B$5:$B$104,0)),1)</x:f>
        <x:v>0.6739569990183927</x:v>
      </x:c>
      <x:c r="AC172" s="4" t="n">
        <x:f>IFERROR(INDEX('楼层配置'!$G$5:$G$104,MATCH($K172,'楼层配置'!$B$5:$B$104,0)),1)</x:f>
        <x:v>1</x:v>
      </x:c>
      <x:c r="AD172" s="6" t="n">
        <x:f t="shared" si="17">IFERROR($D172/$G172-1,"")</x:f>
        <x:v>-0.07784896136672492</x:v>
      </x:c>
      <x:c r="AE172" s="6" t="n">
        <x:f t="shared" si="18">IFERROR($E172/$H172-1,"")</x:f>
        <x:v>-0.09916201117318435</x:v>
      </x:c>
      <x:c r="AF172" s="6" t="n">
        <x:f t="shared" si="19">IFERROR($F172/$I172-1,"")</x:f>
        <x:v>0.35502588823424386</x:v>
      </x:c>
      <x:c r="AG172" s="4" t="str">
        <x:f t="shared" si="20">IF(AND($A172&gt;=1,$L172&gt;=1,$L172&lt;=500,OR($N172="Tank",$N172="DPS",$N172="Support"),ISNUMBER($D172),ISNUMBER($E172),ISNUMBER($F172)),"有效","异常")</x:f>
        <x:v>有效</x:v>
      </x:c>
      <x:c r="AH172" t="n">
        <x:f>D172/(1-MIN(0.75,F172/(24000+F172)))</x:f>
        <x:v>666859.2291666666</x:v>
      </x:c>
    </x:row>
    <x:row r="173" ht="14.25" customHeight="1">
      <x:c r="A173" s="4">
        <x:v>169</x:v>
      </x:c>
      <x:c r="B173" s="4">
        <x:v>1015</x:v>
      </x:c>
      <x:c r="C173" s="4">
        <x:v>27</x:v>
      </x:c>
      <x:c r="D173" s="5" t="n">
        <x:f>IFERROR(ROUND($U173*$X173*$AA173*'参数'!$B$13,0),"")</x:f>
        <x:v>408500</x:v>
      </x:c>
      <x:c r="E173" s="5" t="n">
        <x:f>IFERROR(ROUND($V173*$Y173*$AB173*'参数'!$C$13,0),"")</x:f>
        <x:v>8385</x:v>
      </x:c>
      <x:c r="F173" s="5" t="n">
        <x:f>IFERROR(ROUND($W173*$Z173*$AC173*'参数'!$D$13,0),"")</x:f>
        <x:v>15179</x:v>
      </x:c>
      <x:c r="G173" s="4">
        <x:v>442986</x:v>
      </x:c>
      <x:c r="H173" s="4">
        <x:v>9308</x:v>
      </x:c>
      <x:c r="I173" s="4">
        <x:v>11202</x:v>
      </x:c>
      <x:c r="J173" s="4">
        <x:v>34</x:v>
      </x:c>
      <x:c r="K173" s="4">
        <x:v>34</x:v>
      </x:c>
      <x:c r="L173" s="4" t="n">
        <x:f>IFERROR(INDEX('楼层配置'!$D$5:$D$104,MATCH($K173,'楼层配置'!$B$5:$B$104,0)),"")</x:f>
        <x:v>136</x:v>
      </x:c>
      <x:c r="M173" s="4" t="str">
        <x:f>IFERROR(INDEX('_角色基线'!$B$2:$B$100,MATCH($B173,'_角色基线'!$A$2:$A$100,0)),"")</x:f>
        <x:v>阿莱克西娅</x:v>
      </x:c>
      <x:c r="N173" s="4" t="str">
        <x:f>IFERROR(INDEX('_角色基线'!$C$2:$C$100,MATCH($B173,'_角色基线'!$A$2:$A$100,0)),"")</x:f>
        <x:v>Support</x:v>
      </x:c>
      <x:c r="O173" s="4" t="n">
        <x:f>IFERROR(INDEX('_怪物基线'!$B$2:$B$501,MATCH(INT($L173),'_怪物基线'!$A$2:$A$501,0)),"")</x:f>
        <x:v>69461</x:v>
      </x:c>
      <x:c r="P173" s="4" t="n">
        <x:f>IFERROR(INDEX('_怪物基线'!$C$2:$C$501,MATCH(INT($L173),'_怪物基线'!$A$2:$A$501,0)),"")</x:f>
        <x:v>10368</x:v>
      </x:c>
      <x:c r="Q173" s="4" t="n">
        <x:f>IFERROR(INDEX('_怪物基线'!$D$2:$D$501,MATCH(INT($L173),'_怪物基线'!$A$2:$A$501,0)),"")</x:f>
        <x:v>12143</x:v>
      </x:c>
      <x:c r="R173" s="4" t="n">
        <x:f>'参数'!$B$10</x:f>
        <x:v>4</x:v>
      </x:c>
      <x:c r="S173" s="4" t="n">
        <x:f>'参数'!$C$10</x:f>
        <x:v>1.2</x:v>
      </x:c>
      <x:c r="T173" s="4" t="n">
        <x:f>'参数'!$D$10</x:f>
        <x:v>1</x:v>
      </x:c>
      <x:c r="U173" s="4" t="n">
        <x:f t="shared" si="14">IF($O173="","",$O173*$R173)</x:f>
        <x:v>277844</x:v>
      </x:c>
      <x:c r="V173" s="4" t="n">
        <x:f t="shared" si="15">IF($P173="","",$P173*$S173)</x:f>
        <x:v>12441.6</x:v>
      </x:c>
      <x:c r="W173" s="4" t="n">
        <x:f t="shared" si="16">IF($Q173="","",$Q173*$T173)</x:f>
        <x:v>12143</x:v>
      </x:c>
      <x:c r="X173" s="4" t="n">
        <x:f>IFERROR(INDEX('参数'!$B$5:$B$7,MATCH($N173,'参数'!$A$5:$A$7,0)),"")</x:f>
        <x:v>1.25</x:v>
      </x:c>
      <x:c r="Y173" s="4" t="n">
        <x:f>IFERROR(INDEX('参数'!$C$5:$C$7,MATCH($N173,'参数'!$A$5:$A$7,0)),"")</x:f>
        <x:v>1</x:v>
      </x:c>
      <x:c r="Z173" s="4" t="n">
        <x:f>IFERROR(INDEX('参数'!$D$5:$D$7,MATCH($N173,'参数'!$A$5:$A$7,0)),"")</x:f>
        <x:v>1.25</x:v>
      </x:c>
      <x:c r="AA173" s="4" t="n">
        <x:f>IFERROR(INDEX('楼层配置'!$E$5:$E$104,MATCH($K173,'楼层配置'!$B$5:$B$104,0)),1)</x:f>
        <x:v>1.1761990096555994</x:v>
      </x:c>
      <x:c r="AB173" s="4" t="n">
        <x:f>IFERROR(INDEX('楼层配置'!$F$5:$F$104,MATCH($K173,'楼层配置'!$B$5:$B$104,0)),1)</x:f>
        <x:v>0.6739569990183927</x:v>
      </x:c>
      <x:c r="AC173" s="4" t="n">
        <x:f>IFERROR(INDEX('楼层配置'!$G$5:$G$104,MATCH($K173,'楼层配置'!$B$5:$B$104,0)),1)</x:f>
        <x:v>1</x:v>
      </x:c>
      <x:c r="AD173" s="6" t="n">
        <x:f t="shared" si="17">IFERROR($D173/$G173-1,"")</x:f>
        <x:v>-0.07784896136672492</x:v>
      </x:c>
      <x:c r="AE173" s="6" t="n">
        <x:f t="shared" si="18">IFERROR($E173/$H173-1,"")</x:f>
        <x:v>-0.09916201117318435</x:v>
      </x:c>
      <x:c r="AF173" s="6" t="n">
        <x:f t="shared" si="19">IFERROR($F173/$I173-1,"")</x:f>
        <x:v>0.35502588823424386</x:v>
      </x:c>
      <x:c r="AG173" s="4" t="str">
        <x:f t="shared" si="20">IF(AND($A173&gt;=1,$L173&gt;=1,$L173&lt;=500,OR($N173="Tank",$N173="DPS",$N173="Support"),ISNUMBER($D173),ISNUMBER($E173),ISNUMBER($F173)),"有效","异常")</x:f>
        <x:v>有效</x:v>
      </x:c>
      <x:c r="AH173" t="n">
        <x:f>D173/(1-MIN(0.75,F173/(24000+F173)))</x:f>
        <x:v>666859.2291666666</x:v>
      </x:c>
    </x:row>
    <x:row r="174" ht="14.25" customHeight="1">
      <x:c r="A174" s="4">
        <x:v>170</x:v>
      </x:c>
      <x:c r="B174" s="4">
        <x:v>1024</x:v>
      </x:c>
      <x:c r="C174" s="4">
        <x:v>27</x:v>
      </x:c>
      <x:c r="D174" s="5" t="n">
        <x:f>IFERROR(ROUND($U174*$X174*$AA174*'参数'!$B$13,0),"")</x:f>
        <x:v>326800</x:v>
      </x:c>
      <x:c r="E174" s="5" t="n">
        <x:f>IFERROR(ROUND($V174*$Y174*$AB174*'参数'!$C$13,0),"")</x:f>
        <x:v>10062</x:v>
      </x:c>
      <x:c r="F174" s="5" t="n">
        <x:f>IFERROR(ROUND($W174*$Z174*$AC174*'参数'!$D$13,0),"")</x:f>
        <x:v>12143</x:v>
      </x:c>
      <x:c r="G174" s="4">
        <x:v>354388</x:v>
      </x:c>
      <x:c r="H174" s="4">
        <x:v>11169</x:v>
      </x:c>
      <x:c r="I174" s="4">
        <x:v>8961</x:v>
      </x:c>
      <x:c r="J174" s="4">
        <x:v>34</x:v>
      </x:c>
      <x:c r="K174" s="4">
        <x:v>34</x:v>
      </x:c>
      <x:c r="L174" s="4" t="n">
        <x:f>IFERROR(INDEX('楼层配置'!$D$5:$D$104,MATCH($K174,'楼层配置'!$B$5:$B$104,0)),"")</x:f>
        <x:v>136</x:v>
      </x:c>
      <x:c r="M174" s="4" t="str">
        <x:f>IFERROR(INDEX('_角色基线'!$B$2:$B$100,MATCH($B174,'_角色基线'!$A$2:$A$100,0)),"")</x:f>
        <x:v>卡薇</x:v>
      </x:c>
      <x:c r="N174" s="4" t="str">
        <x:f>IFERROR(INDEX('_角色基线'!$C$2:$C$100,MATCH($B174,'_角色基线'!$A$2:$A$100,0)),"")</x:f>
        <x:v>DPS</x:v>
      </x:c>
      <x:c r="O174" s="4" t="n">
        <x:f>IFERROR(INDEX('_怪物基线'!$B$2:$B$501,MATCH(INT($L174),'_怪物基线'!$A$2:$A$501,0)),"")</x:f>
        <x:v>69461</x:v>
      </x:c>
      <x:c r="P174" s="4" t="n">
        <x:f>IFERROR(INDEX('_怪物基线'!$C$2:$C$501,MATCH(INT($L174),'_怪物基线'!$A$2:$A$501,0)),"")</x:f>
        <x:v>10368</x:v>
      </x:c>
      <x:c r="Q174" s="4" t="n">
        <x:f>IFERROR(INDEX('_怪物基线'!$D$2:$D$501,MATCH(INT($L174),'_怪物基线'!$A$2:$A$501,0)),"")</x:f>
        <x:v>12143</x:v>
      </x:c>
      <x:c r="R174" s="4" t="n">
        <x:f>'参数'!$B$10</x:f>
        <x:v>4</x:v>
      </x:c>
      <x:c r="S174" s="4" t="n">
        <x:f>'参数'!$C$10</x:f>
        <x:v>1.2</x:v>
      </x:c>
      <x:c r="T174" s="4" t="n">
        <x:f>'参数'!$D$10</x:f>
        <x:v>1</x:v>
      </x:c>
      <x:c r="U174" s="4" t="n">
        <x:f t="shared" si="14">IF($O174="","",$O174*$R174)</x:f>
        <x:v>277844</x:v>
      </x:c>
      <x:c r="V174" s="4" t="n">
        <x:f t="shared" si="15">IF($P174="","",$P174*$S174)</x:f>
        <x:v>12441.6</x:v>
      </x:c>
      <x:c r="W174" s="4" t="n">
        <x:f t="shared" si="16">IF($Q174="","",$Q174*$T174)</x:f>
        <x:v>12143</x:v>
      </x:c>
      <x:c r="X174" s="4" t="n">
        <x:f>IFERROR(INDEX('参数'!$B$5:$B$7,MATCH($N174,'参数'!$A$5:$A$7,0)),"")</x:f>
        <x:v>1</x:v>
      </x:c>
      <x:c r="Y174" s="4" t="n">
        <x:f>IFERROR(INDEX('参数'!$C$5:$C$7,MATCH($N174,'参数'!$A$5:$A$7,0)),"")</x:f>
        <x:v>1.2</x:v>
      </x:c>
      <x:c r="Z174" s="4" t="n">
        <x:f>IFERROR(INDEX('参数'!$D$5:$D$7,MATCH($N174,'参数'!$A$5:$A$7,0)),"")</x:f>
        <x:v>1</x:v>
      </x:c>
      <x:c r="AA174" s="4" t="n">
        <x:f>IFERROR(INDEX('楼层配置'!$E$5:$E$104,MATCH($K174,'楼层配置'!$B$5:$B$104,0)),1)</x:f>
        <x:v>1.1761990096555994</x:v>
      </x:c>
      <x:c r="AB174" s="4" t="n">
        <x:f>IFERROR(INDEX('楼层配置'!$F$5:$F$104,MATCH($K174,'楼层配置'!$B$5:$B$104,0)),1)</x:f>
        <x:v>0.6739569990183927</x:v>
      </x:c>
      <x:c r="AC174" s="4" t="n">
        <x:f>IFERROR(INDEX('楼层配置'!$G$5:$G$104,MATCH($K174,'楼层配置'!$B$5:$B$104,0)),1)</x:f>
        <x:v>1</x:v>
      </x:c>
      <x:c r="AD174" s="6" t="n">
        <x:f t="shared" si="17">IFERROR($D174/$G174-1,"")</x:f>
        <x:v>-0.07784687969118598</x:v>
      </x:c>
      <x:c r="AE174" s="6" t="n">
        <x:f t="shared" si="18">IFERROR($E174/$H174-1,"")</x:f>
        <x:v>-0.09911361804995966</x:v>
      </x:c>
      <x:c r="AF174" s="6" t="n">
        <x:f t="shared" si="19">IFERROR($F174/$I174-1,"")</x:f>
        <x:v>0.3550942975114384</x:v>
      </x:c>
      <x:c r="AG174" s="4" t="str">
        <x:f t="shared" si="20">IF(AND($A174&gt;=1,$L174&gt;=1,$L174&lt;=500,OR($N174="Tank",$N174="DPS",$N174="Support"),ISNUMBER($D174),ISNUMBER($E174),ISNUMBER($F174)),"有效","异常")</x:f>
        <x:v>有效</x:v>
      </x:c>
      <x:c r="AH174" t="n">
        <x:f>D174/(1-MIN(0.75,F174/(24000+F174)))</x:f>
        <x:v>492147.18333333335</x:v>
      </x:c>
    </x:row>
    <x:row r="175" ht="14.25" customHeight="1">
      <x:c r="A175" s="4">
        <x:v>171</x:v>
      </x:c>
      <x:c r="B175" s="4">
        <x:v>1030</x:v>
      </x:c>
      <x:c r="C175" s="4">
        <x:v>27</x:v>
      </x:c>
      <x:c r="D175" s="5" t="n">
        <x:f>IFERROR(ROUND($U175*$X175*$AA175*'参数'!$B$13,0),"")</x:f>
        <x:v>515540</x:v>
      </x:c>
      <x:c r="E175" s="5" t="n">
        <x:f>IFERROR(ROUND($V175*$Y175*$AB175*'参数'!$C$13,0),"")</x:f>
        <x:v>8690</x:v>
      </x:c>
      <x:c r="F175" s="5" t="n">
        <x:f>IFERROR(ROUND($W175*$Z175*$AC175*'参数'!$D$13,0),"")</x:f>
        <x:v>18846</x:v>
      </x:c>
      <x:c r="G175" s="4">
        <x:v>562716</x:v>
      </x:c>
      <x:c r="H175" s="4">
        <x:v>9659</x:v>
      </x:c>
      <x:c r="I175" s="4">
        <x:v>13880</x:v>
      </x:c>
      <x:c r="J175" s="4">
        <x:v>35</x:v>
      </x:c>
      <x:c r="K175" s="4">
        <x:v>35</x:v>
      </x:c>
      <x:c r="L175" s="4" t="n">
        <x:f>IFERROR(INDEX('楼层配置'!$D$5:$D$104,MATCH($K175,'楼层配置'!$B$5:$B$104,0)),"")</x:f>
        <x:v>140</x:v>
      </x:c>
      <x:c r="M175" s="4" t="str">
        <x:f>IFERROR(INDEX('_角色基线'!$B$2:$B$100,MATCH($B175,'_角色基线'!$A$2:$A$100,0)),"")</x:f>
        <x:v>莫莉</x:v>
      </x:c>
      <x:c r="N175" s="4" t="str">
        <x:f>IFERROR(INDEX('_角色基线'!$C$2:$C$100,MATCH($B175,'_角色基线'!$A$2:$A$100,0)),"")</x:f>
        <x:v>Tank</x:v>
      </x:c>
      <x:c r="O175" s="4" t="n">
        <x:f>IFERROR(INDEX('_怪物基线'!$B$2:$B$501,MATCH(INT($L175),'_怪物基线'!$A$2:$A$501,0)),"")</x:f>
        <x:v>73878</x:v>
      </x:c>
      <x:c r="P175" s="4" t="n">
        <x:f>IFERROR(INDEX('_怪物基线'!$C$2:$C$501,MATCH(INT($L175),'_怪物基线'!$A$2:$A$501,0)),"")</x:f>
        <x:v>10841</x:v>
      </x:c>
      <x:c r="Q175" s="4" t="n">
        <x:f>IFERROR(INDEX('_怪物基线'!$D$2:$D$501,MATCH(INT($L175),'_怪物基线'!$A$2:$A$501,0)),"")</x:f>
        <x:v>12564</x:v>
      </x:c>
      <x:c r="R175" s="4" t="n">
        <x:f>'参数'!$B$10</x:f>
        <x:v>4</x:v>
      </x:c>
      <x:c r="S175" s="4" t="n">
        <x:f>'参数'!$C$10</x:f>
        <x:v>1.2</x:v>
      </x:c>
      <x:c r="T175" s="4" t="n">
        <x:f>'参数'!$D$10</x:f>
        <x:v>1</x:v>
      </x:c>
      <x:c r="U175" s="4" t="n">
        <x:f t="shared" si="14">IF($O175="","",$O175*$R175)</x:f>
        <x:v>295512</x:v>
      </x:c>
      <x:c r="V175" s="4" t="n">
        <x:f t="shared" si="15">IF($P175="","",$P175*$S175)</x:f>
        <x:v>13009.199999999999</x:v>
      </x:c>
      <x:c r="W175" s="4" t="n">
        <x:f t="shared" si="16">IF($Q175="","",$Q175*$T175)</x:f>
        <x:v>12564</x:v>
      </x:c>
      <x:c r="X175" s="4" t="n">
        <x:f>IFERROR(INDEX('参数'!$B$5:$B$7,MATCH($N175,'参数'!$A$5:$A$7,0)),"")</x:f>
        <x:v>1.5</x:v>
      </x:c>
      <x:c r="Y175" s="4" t="n">
        <x:f>IFERROR(INDEX('参数'!$C$5:$C$7,MATCH($N175,'参数'!$A$5:$A$7,0)),"")</x:f>
        <x:v>1</x:v>
      </x:c>
      <x:c r="Z175" s="4" t="n">
        <x:f>IFERROR(INDEX('参数'!$D$5:$D$7,MATCH($N175,'参数'!$A$5:$A$7,0)),"")</x:f>
        <x:v>1.5</x:v>
      </x:c>
      <x:c r="AA175" s="4" t="n">
        <x:f>IFERROR(INDEX('楼层配置'!$E$5:$E$104,MATCH($K175,'楼层配置'!$B$5:$B$104,0)),1)</x:f>
        <x:v>1.1630435007112323</x:v>
      </x:c>
      <x:c r="AB175" s="4" t="n">
        <x:f>IFERROR(INDEX('楼层配置'!$F$5:$F$104,MATCH($K175,'楼层配置'!$B$5:$B$104,0)),1)</x:f>
        <x:v>0.6680109495721342</x:v>
      </x:c>
      <x:c r="AC175" s="4" t="n">
        <x:f>IFERROR(INDEX('楼层配置'!$G$5:$G$104,MATCH($K175,'楼层配置'!$B$5:$B$104,0)),1)</x:f>
        <x:v>1</x:v>
      </x:c>
      <x:c r="AD175" s="6" t="n">
        <x:f t="shared" si="17">IFERROR($D175/$G175-1,"")</x:f>
        <x:v>-0.08383625132393602</x:v>
      </x:c>
      <x:c r="AE175" s="6" t="n">
        <x:f t="shared" si="18">IFERROR($E175/$H175-1,"")</x:f>
        <x:v>-0.1003209441971219</x:v>
      </x:c>
      <x:c r="AF175" s="6" t="n">
        <x:f t="shared" si="19">IFERROR($F175/$I175-1,"")</x:f>
        <x:v>0.35778097982708923</x:v>
      </x:c>
      <x:c r="AG175" s="4" t="str">
        <x:f t="shared" si="20">IF(AND($A175&gt;=1,$L175&gt;=1,$L175&lt;=500,OR($N175="Tank",$N175="DPS",$N175="Support"),ISNUMBER($D175),ISNUMBER($E175),ISNUMBER($F175)),"有效","异常")</x:f>
        <x:v>有效</x:v>
      </x:c>
      <x:c r="AH175" t="n">
        <x:f>D175/(1-MIN(0.75,F175/(24000+F175)))</x:f>
        <x:v>920367.7849999999</x:v>
      </x:c>
    </x:row>
    <x:row r="176" ht="14.25" customHeight="1">
      <x:c r="A176" s="4">
        <x:v>172</x:v>
      </x:c>
      <x:c r="B176" s="4">
        <x:v>1021</x:v>
      </x:c>
      <x:c r="C176" s="4">
        <x:v>27</x:v>
      </x:c>
      <x:c r="D176" s="5" t="n">
        <x:f>IFERROR(ROUND($U176*$X176*$AA176*'参数'!$B$13,0),"")</x:f>
        <x:v>343693</x:v>
      </x:c>
      <x:c r="E176" s="5" t="n">
        <x:f>IFERROR(ROUND($V176*$Y176*$AB176*'参数'!$C$13,0),"")</x:f>
        <x:v>10428</x:v>
      </x:c>
      <x:c r="F176" s="5" t="n">
        <x:f>IFERROR(ROUND($W176*$Z176*$AC176*'参数'!$D$13,0),"")</x:f>
        <x:v>12564</x:v>
      </x:c>
      <x:c r="G176" s="4">
        <x:v>375144</x:v>
      </x:c>
      <x:c r="H176" s="4">
        <x:v>11590</x:v>
      </x:c>
      <x:c r="I176" s="4">
        <x:v>9253</x:v>
      </x:c>
      <x:c r="J176" s="4">
        <x:v>35</x:v>
      </x:c>
      <x:c r="K176" s="4">
        <x:v>35</x:v>
      </x:c>
      <x:c r="L176" s="4" t="n">
        <x:f>IFERROR(INDEX('楼层配置'!$D$5:$D$104,MATCH($K176,'楼层配置'!$B$5:$B$104,0)),"")</x:f>
        <x:v>140</x:v>
      </x:c>
      <x:c r="M176" s="4" t="str">
        <x:f>IFERROR(INDEX('_角色基线'!$B$2:$B$100,MATCH($B176,'_角色基线'!$A$2:$A$100,0)),"")</x:f>
        <x:v>梅梅</x:v>
      </x:c>
      <x:c r="N176" s="4" t="str">
        <x:f>IFERROR(INDEX('_角色基线'!$C$2:$C$100,MATCH($B176,'_角色基线'!$A$2:$A$100,0)),"")</x:f>
        <x:v>DPS</x:v>
      </x:c>
      <x:c r="O176" s="4" t="n">
        <x:f>IFERROR(INDEX('_怪物基线'!$B$2:$B$501,MATCH(INT($L176),'_怪物基线'!$A$2:$A$501,0)),"")</x:f>
        <x:v>73878</x:v>
      </x:c>
      <x:c r="P176" s="4" t="n">
        <x:f>IFERROR(INDEX('_怪物基线'!$C$2:$C$501,MATCH(INT($L176),'_怪物基线'!$A$2:$A$501,0)),"")</x:f>
        <x:v>10841</x:v>
      </x:c>
      <x:c r="Q176" s="4" t="n">
        <x:f>IFERROR(INDEX('_怪物基线'!$D$2:$D$501,MATCH(INT($L176),'_怪物基线'!$A$2:$A$501,0)),"")</x:f>
        <x:v>12564</x:v>
      </x:c>
      <x:c r="R176" s="4" t="n">
        <x:f>'参数'!$B$10</x:f>
        <x:v>4</x:v>
      </x:c>
      <x:c r="S176" s="4" t="n">
        <x:f>'参数'!$C$10</x:f>
        <x:v>1.2</x:v>
      </x:c>
      <x:c r="T176" s="4" t="n">
        <x:f>'参数'!$D$10</x:f>
        <x:v>1</x:v>
      </x:c>
      <x:c r="U176" s="4" t="n">
        <x:f t="shared" si="14">IF($O176="","",$O176*$R176)</x:f>
        <x:v>295512</x:v>
      </x:c>
      <x:c r="V176" s="4" t="n">
        <x:f t="shared" si="15">IF($P176="","",$P176*$S176)</x:f>
        <x:v>13009.199999999999</x:v>
      </x:c>
      <x:c r="W176" s="4" t="n">
        <x:f t="shared" si="16">IF($Q176="","",$Q176*$T176)</x:f>
        <x:v>12564</x:v>
      </x:c>
      <x:c r="X176" s="4" t="n">
        <x:f>IFERROR(INDEX('参数'!$B$5:$B$7,MATCH($N176,'参数'!$A$5:$A$7,0)),"")</x:f>
        <x:v>1</x:v>
      </x:c>
      <x:c r="Y176" s="4" t="n">
        <x:f>IFERROR(INDEX('参数'!$C$5:$C$7,MATCH($N176,'参数'!$A$5:$A$7,0)),"")</x:f>
        <x:v>1.2</x:v>
      </x:c>
      <x:c r="Z176" s="4" t="n">
        <x:f>IFERROR(INDEX('参数'!$D$5:$D$7,MATCH($N176,'参数'!$A$5:$A$7,0)),"")</x:f>
        <x:v>1</x:v>
      </x:c>
      <x:c r="AA176" s="4" t="n">
        <x:f>IFERROR(INDEX('楼层配置'!$E$5:$E$104,MATCH($K176,'楼层配置'!$B$5:$B$104,0)),1)</x:f>
        <x:v>1.1630435007112323</x:v>
      </x:c>
      <x:c r="AB176" s="4" t="n">
        <x:f>IFERROR(INDEX('楼层配置'!$F$5:$F$104,MATCH($K176,'楼层配置'!$B$5:$B$104,0)),1)</x:f>
        <x:v>0.6680109495721342</x:v>
      </x:c>
      <x:c r="AC176" s="4" t="n">
        <x:f>IFERROR(INDEX('楼层配置'!$G$5:$G$104,MATCH($K176,'楼层配置'!$B$5:$B$104,0)),1)</x:f>
        <x:v>1</x:v>
      </x:c>
      <x:c r="AD176" s="6" t="n">
        <x:f t="shared" si="17">IFERROR($D176/$G176-1,"")</x:f>
        <x:v>-0.08383713987162267</x:v>
      </x:c>
      <x:c r="AE176" s="6" t="n">
        <x:f t="shared" si="18">IFERROR($E176/$H176-1,"")</x:f>
        <x:v>-0.10025884383088868</x:v>
      </x:c>
      <x:c r="AF176" s="6" t="n">
        <x:f t="shared" si="19">IFERROR($F176/$I176-1,"")</x:f>
        <x:v>0.3578298930076731</x:v>
      </x:c>
      <x:c r="AG176" s="4" t="str">
        <x:f t="shared" si="20">IF(AND($A176&gt;=1,$L176&gt;=1,$L176&lt;=500,OR($N176="Tank",$N176="DPS",$N176="Support"),ISNUMBER($D176),ISNUMBER($E176),ISNUMBER($F176)),"有效","异常")</x:f>
        <x:v>有效</x:v>
      </x:c>
      <x:c r="AH176" t="n">
        <x:f>D176/(1-MIN(0.75,F176/(24000+F176)))</x:f>
        <x:v>523616.28549999994</x:v>
      </x:c>
    </x:row>
    <x:row r="177" ht="14.25" customHeight="1">
      <x:c r="A177" s="4">
        <x:v>173</x:v>
      </x:c>
      <x:c r="B177" s="4">
        <x:v>1029</x:v>
      </x:c>
      <x:c r="C177" s="4">
        <x:v>27</x:v>
      </x:c>
      <x:c r="D177" s="5" t="n">
        <x:f>IFERROR(ROUND($U177*$X177*$AA177*'参数'!$B$13,0),"")</x:f>
        <x:v>429617</x:v>
      </x:c>
      <x:c r="E177" s="5" t="n">
        <x:f>IFERROR(ROUND($V177*$Y177*$AB177*'参数'!$C$13,0),"")</x:f>
        <x:v>8690</x:v>
      </x:c>
      <x:c r="F177" s="5" t="n">
        <x:f>IFERROR(ROUND($W177*$Z177*$AC177*'参数'!$D$13,0),"")</x:f>
        <x:v>15705</x:v>
      </x:c>
      <x:c r="G177" s="4">
        <x:v>468930</x:v>
      </x:c>
      <x:c r="H177" s="4">
        <x:v>9659</x:v>
      </x:c>
      <x:c r="I177" s="4">
        <x:v>11567</x:v>
      </x:c>
      <x:c r="J177" s="4">
        <x:v>35</x:v>
      </x:c>
      <x:c r="K177" s="4">
        <x:v>35</x:v>
      </x:c>
      <x:c r="L177" s="4" t="n">
        <x:f>IFERROR(INDEX('楼层配置'!$D$5:$D$104,MATCH($K177,'楼层配置'!$B$5:$B$104,0)),"")</x:f>
        <x:v>140</x:v>
      </x:c>
      <x:c r="M177" s="4" t="str">
        <x:f>IFERROR(INDEX('_角色基线'!$B$2:$B$100,MATCH($B177,'_角色基线'!$A$2:$A$100,0)),"")</x:f>
        <x:v>凯兰</x:v>
      </x:c>
      <x:c r="N177" s="4" t="str">
        <x:f>IFERROR(INDEX('_角色基线'!$C$2:$C$100,MATCH($B177,'_角色基线'!$A$2:$A$100,0)),"")</x:f>
        <x:v>Support</x:v>
      </x:c>
      <x:c r="O177" s="4" t="n">
        <x:f>IFERROR(INDEX('_怪物基线'!$B$2:$B$501,MATCH(INT($L177),'_怪物基线'!$A$2:$A$501,0)),"")</x:f>
        <x:v>73878</x:v>
      </x:c>
      <x:c r="P177" s="4" t="n">
        <x:f>IFERROR(INDEX('_怪物基线'!$C$2:$C$501,MATCH(INT($L177),'_怪物基线'!$A$2:$A$501,0)),"")</x:f>
        <x:v>10841</x:v>
      </x:c>
      <x:c r="Q177" s="4" t="n">
        <x:f>IFERROR(INDEX('_怪物基线'!$D$2:$D$501,MATCH(INT($L177),'_怪物基线'!$A$2:$A$501,0)),"")</x:f>
        <x:v>12564</x:v>
      </x:c>
      <x:c r="R177" s="4" t="n">
        <x:f>'参数'!$B$10</x:f>
        <x:v>4</x:v>
      </x:c>
      <x:c r="S177" s="4" t="n">
        <x:f>'参数'!$C$10</x:f>
        <x:v>1.2</x:v>
      </x:c>
      <x:c r="T177" s="4" t="n">
        <x:f>'参数'!$D$10</x:f>
        <x:v>1</x:v>
      </x:c>
      <x:c r="U177" s="4" t="n">
        <x:f t="shared" si="14">IF($O177="","",$O177*$R177)</x:f>
        <x:v>295512</x:v>
      </x:c>
      <x:c r="V177" s="4" t="n">
        <x:f t="shared" si="15">IF($P177="","",$P177*$S177)</x:f>
        <x:v>13009.199999999999</x:v>
      </x:c>
      <x:c r="W177" s="4" t="n">
        <x:f t="shared" si="16">IF($Q177="","",$Q177*$T177)</x:f>
        <x:v>12564</x:v>
      </x:c>
      <x:c r="X177" s="4" t="n">
        <x:f>IFERROR(INDEX('参数'!$B$5:$B$7,MATCH($N177,'参数'!$A$5:$A$7,0)),"")</x:f>
        <x:v>1.25</x:v>
      </x:c>
      <x:c r="Y177" s="4" t="n">
        <x:f>IFERROR(INDEX('参数'!$C$5:$C$7,MATCH($N177,'参数'!$A$5:$A$7,0)),"")</x:f>
        <x:v>1</x:v>
      </x:c>
      <x:c r="Z177" s="4" t="n">
        <x:f>IFERROR(INDEX('参数'!$D$5:$D$7,MATCH($N177,'参数'!$A$5:$A$7,0)),"")</x:f>
        <x:v>1.25</x:v>
      </x:c>
      <x:c r="AA177" s="4" t="n">
        <x:f>IFERROR(INDEX('楼层配置'!$E$5:$E$104,MATCH($K177,'楼层配置'!$B$5:$B$104,0)),1)</x:f>
        <x:v>1.1630435007112323</x:v>
      </x:c>
      <x:c r="AB177" s="4" t="n">
        <x:f>IFERROR(INDEX('楼层配置'!$F$5:$F$104,MATCH($K177,'楼层配置'!$B$5:$B$104,0)),1)</x:f>
        <x:v>0.6680109495721342</x:v>
      </x:c>
      <x:c r="AC177" s="4" t="n">
        <x:f>IFERROR(INDEX('楼层配置'!$G$5:$G$104,MATCH($K177,'楼层配置'!$B$5:$B$104,0)),1)</x:f>
        <x:v>1</x:v>
      </x:c>
      <x:c r="AD177" s="6" t="n">
        <x:f t="shared" si="17">IFERROR($D177/$G177-1,"")</x:f>
        <x:v>-0.08383554048578679</x:v>
      </x:c>
      <x:c r="AE177" s="6" t="n">
        <x:f t="shared" si="18">IFERROR($E177/$H177-1,"")</x:f>
        <x:v>-0.1003209441971219</x:v>
      </x:c>
      <x:c r="AF177" s="6" t="n">
        <x:f t="shared" si="19">IFERROR($F177/$I177-1,"")</x:f>
        <x:v>0.3577418518198323</x:v>
      </x:c>
      <x:c r="AG177" s="4" t="str">
        <x:f t="shared" si="20">IF(AND($A177&gt;=1,$L177&gt;=1,$L177&lt;=500,OR($N177="Tank",$N177="DPS",$N177="Support"),ISNUMBER($D177),ISNUMBER($E177),ISNUMBER($F177)),"有效","异常")</x:f>
        <x:v>有效</x:v>
      </x:c>
      <x:c r="AH177" t="n">
        <x:f>D177/(1-MIN(0.75,F177/(24000+F177)))</x:f>
        <x:v>710747.624375</x:v>
      </x:c>
    </x:row>
    <x:row r="178" ht="14.25" customHeight="1">
      <x:c r="A178" s="4">
        <x:v>174</x:v>
      </x:c>
      <x:c r="B178" s="4">
        <x:v>1020</x:v>
      </x:c>
      <x:c r="C178" s="4">
        <x:v>27</x:v>
      </x:c>
      <x:c r="D178" s="5" t="n">
        <x:f>IFERROR(ROUND($U178*$X178*$AA178*'参数'!$B$13,0),"")</x:f>
        <x:v>429617</x:v>
      </x:c>
      <x:c r="E178" s="5" t="n">
        <x:f>IFERROR(ROUND($V178*$Y178*$AB178*'参数'!$C$13,0),"")</x:f>
        <x:v>8690</x:v>
      </x:c>
      <x:c r="F178" s="5" t="n">
        <x:f>IFERROR(ROUND($W178*$Z178*$AC178*'参数'!$D$13,0),"")</x:f>
        <x:v>15705</x:v>
      </x:c>
      <x:c r="G178" s="4">
        <x:v>468930</x:v>
      </x:c>
      <x:c r="H178" s="4">
        <x:v>9659</x:v>
      </x:c>
      <x:c r="I178" s="4">
        <x:v>11567</x:v>
      </x:c>
      <x:c r="J178" s="4">
        <x:v>35</x:v>
      </x:c>
      <x:c r="K178" s="4">
        <x:v>35</x:v>
      </x:c>
      <x:c r="L178" s="4" t="n">
        <x:f>IFERROR(INDEX('楼层配置'!$D$5:$D$104,MATCH($K178,'楼层配置'!$B$5:$B$104,0)),"")</x:f>
        <x:v>140</x:v>
      </x:c>
      <x:c r="M178" s="4" t="str">
        <x:f>IFERROR(INDEX('_角色基线'!$B$2:$B$100,MATCH($B178,'_角色基线'!$A$2:$A$100,0)),"")</x:f>
        <x:v>卡斯帕</x:v>
      </x:c>
      <x:c r="N178" s="4" t="str">
        <x:f>IFERROR(INDEX('_角色基线'!$C$2:$C$100,MATCH($B178,'_角色基线'!$A$2:$A$100,0)),"")</x:f>
        <x:v>Support</x:v>
      </x:c>
      <x:c r="O178" s="4" t="n">
        <x:f>IFERROR(INDEX('_怪物基线'!$B$2:$B$501,MATCH(INT($L178),'_怪物基线'!$A$2:$A$501,0)),"")</x:f>
        <x:v>73878</x:v>
      </x:c>
      <x:c r="P178" s="4" t="n">
        <x:f>IFERROR(INDEX('_怪物基线'!$C$2:$C$501,MATCH(INT($L178),'_怪物基线'!$A$2:$A$501,0)),"")</x:f>
        <x:v>10841</x:v>
      </x:c>
      <x:c r="Q178" s="4" t="n">
        <x:f>IFERROR(INDEX('_怪物基线'!$D$2:$D$501,MATCH(INT($L178),'_怪物基线'!$A$2:$A$501,0)),"")</x:f>
        <x:v>12564</x:v>
      </x:c>
      <x:c r="R178" s="4" t="n">
        <x:f>'参数'!$B$10</x:f>
        <x:v>4</x:v>
      </x:c>
      <x:c r="S178" s="4" t="n">
        <x:f>'参数'!$C$10</x:f>
        <x:v>1.2</x:v>
      </x:c>
      <x:c r="T178" s="4" t="n">
        <x:f>'参数'!$D$10</x:f>
        <x:v>1</x:v>
      </x:c>
      <x:c r="U178" s="4" t="n">
        <x:f t="shared" si="14">IF($O178="","",$O178*$R178)</x:f>
        <x:v>295512</x:v>
      </x:c>
      <x:c r="V178" s="4" t="n">
        <x:f t="shared" si="15">IF($P178="","",$P178*$S178)</x:f>
        <x:v>13009.199999999999</x:v>
      </x:c>
      <x:c r="W178" s="4" t="n">
        <x:f t="shared" si="16">IF($Q178="","",$Q178*$T178)</x:f>
        <x:v>12564</x:v>
      </x:c>
      <x:c r="X178" s="4" t="n">
        <x:f>IFERROR(INDEX('参数'!$B$5:$B$7,MATCH($N178,'参数'!$A$5:$A$7,0)),"")</x:f>
        <x:v>1.25</x:v>
      </x:c>
      <x:c r="Y178" s="4" t="n">
        <x:f>IFERROR(INDEX('参数'!$C$5:$C$7,MATCH($N178,'参数'!$A$5:$A$7,0)),"")</x:f>
        <x:v>1</x:v>
      </x:c>
      <x:c r="Z178" s="4" t="n">
        <x:f>IFERROR(INDEX('参数'!$D$5:$D$7,MATCH($N178,'参数'!$A$5:$A$7,0)),"")</x:f>
        <x:v>1.25</x:v>
      </x:c>
      <x:c r="AA178" s="4" t="n">
        <x:f>IFERROR(INDEX('楼层配置'!$E$5:$E$104,MATCH($K178,'楼层配置'!$B$5:$B$104,0)),1)</x:f>
        <x:v>1.1630435007112323</x:v>
      </x:c>
      <x:c r="AB178" s="4" t="n">
        <x:f>IFERROR(INDEX('楼层配置'!$F$5:$F$104,MATCH($K178,'楼层配置'!$B$5:$B$104,0)),1)</x:f>
        <x:v>0.6680109495721342</x:v>
      </x:c>
      <x:c r="AC178" s="4" t="n">
        <x:f>IFERROR(INDEX('楼层配置'!$G$5:$G$104,MATCH($K178,'楼层配置'!$B$5:$B$104,0)),1)</x:f>
        <x:v>1</x:v>
      </x:c>
      <x:c r="AD178" s="6" t="n">
        <x:f t="shared" si="17">IFERROR($D178/$G178-1,"")</x:f>
        <x:v>-0.08383554048578679</x:v>
      </x:c>
      <x:c r="AE178" s="6" t="n">
        <x:f t="shared" si="18">IFERROR($E178/$H178-1,"")</x:f>
        <x:v>-0.1003209441971219</x:v>
      </x:c>
      <x:c r="AF178" s="6" t="n">
        <x:f t="shared" si="19">IFERROR($F178/$I178-1,"")</x:f>
        <x:v>0.3577418518198323</x:v>
      </x:c>
      <x:c r="AG178" s="4" t="str">
        <x:f t="shared" si="20">IF(AND($A178&gt;=1,$L178&gt;=1,$L178&lt;=500,OR($N178="Tank",$N178="DPS",$N178="Support"),ISNUMBER($D178),ISNUMBER($E178),ISNUMBER($F178)),"有效","异常")</x:f>
        <x:v>有效</x:v>
      </x:c>
      <x:c r="AH178" t="n">
        <x:f>D178/(1-MIN(0.75,F178/(24000+F178)))</x:f>
        <x:v>710747.624375</x:v>
      </x:c>
    </x:row>
    <x:row r="179" ht="14.25" customHeight="1">
      <x:c r="A179" s="4">
        <x:v>175</x:v>
      </x:c>
      <x:c r="B179" s="4">
        <x:v>1018</x:v>
      </x:c>
      <x:c r="C179" s="4">
        <x:v>27</x:v>
      </x:c>
      <x:c r="D179" s="5" t="n">
        <x:f>IFERROR(ROUND($U179*$X179*$AA179*'参数'!$B$13,0),"")</x:f>
        <x:v>429617</x:v>
      </x:c>
      <x:c r="E179" s="5" t="n">
        <x:f>IFERROR(ROUND($V179*$Y179*$AB179*'参数'!$C$13,0),"")</x:f>
        <x:v>8690</x:v>
      </x:c>
      <x:c r="F179" s="5" t="n">
        <x:f>IFERROR(ROUND($W179*$Z179*$AC179*'参数'!$D$13,0),"")</x:f>
        <x:v>15705</x:v>
      </x:c>
      <x:c r="G179" s="4">
        <x:v>468930</x:v>
      </x:c>
      <x:c r="H179" s="4">
        <x:v>9659</x:v>
      </x:c>
      <x:c r="I179" s="4">
        <x:v>11567</x:v>
      </x:c>
      <x:c r="J179" s="4">
        <x:v>35</x:v>
      </x:c>
      <x:c r="K179" s="4">
        <x:v>35</x:v>
      </x:c>
      <x:c r="L179" s="4" t="n">
        <x:f>IFERROR(INDEX('楼层配置'!$D$5:$D$104,MATCH($K179,'楼层配置'!$B$5:$B$104,0)),"")</x:f>
        <x:v>140</x:v>
      </x:c>
      <x:c r="M179" s="4" t="str">
        <x:f>IFERROR(INDEX('_角色基线'!$B$2:$B$100,MATCH($B179,'_角色基线'!$A$2:$A$100,0)),"")</x:f>
        <x:v>埃莉诺</x:v>
      </x:c>
      <x:c r="N179" s="4" t="str">
        <x:f>IFERROR(INDEX('_角色基线'!$C$2:$C$100,MATCH($B179,'_角色基线'!$A$2:$A$100,0)),"")</x:f>
        <x:v>Support</x:v>
      </x:c>
      <x:c r="O179" s="4" t="n">
        <x:f>IFERROR(INDEX('_怪物基线'!$B$2:$B$501,MATCH(INT($L179),'_怪物基线'!$A$2:$A$501,0)),"")</x:f>
        <x:v>73878</x:v>
      </x:c>
      <x:c r="P179" s="4" t="n">
        <x:f>IFERROR(INDEX('_怪物基线'!$C$2:$C$501,MATCH(INT($L179),'_怪物基线'!$A$2:$A$501,0)),"")</x:f>
        <x:v>10841</x:v>
      </x:c>
      <x:c r="Q179" s="4" t="n">
        <x:f>IFERROR(INDEX('_怪物基线'!$D$2:$D$501,MATCH(INT($L179),'_怪物基线'!$A$2:$A$501,0)),"")</x:f>
        <x:v>12564</x:v>
      </x:c>
      <x:c r="R179" s="4" t="n">
        <x:f>'参数'!$B$10</x:f>
        <x:v>4</x:v>
      </x:c>
      <x:c r="S179" s="4" t="n">
        <x:f>'参数'!$C$10</x:f>
        <x:v>1.2</x:v>
      </x:c>
      <x:c r="T179" s="4" t="n">
        <x:f>'参数'!$D$10</x:f>
        <x:v>1</x:v>
      </x:c>
      <x:c r="U179" s="4" t="n">
        <x:f t="shared" si="14">IF($O179="","",$O179*$R179)</x:f>
        <x:v>295512</x:v>
      </x:c>
      <x:c r="V179" s="4" t="n">
        <x:f t="shared" si="15">IF($P179="","",$P179*$S179)</x:f>
        <x:v>13009.199999999999</x:v>
      </x:c>
      <x:c r="W179" s="4" t="n">
        <x:f t="shared" si="16">IF($Q179="","",$Q179*$T179)</x:f>
        <x:v>12564</x:v>
      </x:c>
      <x:c r="X179" s="4" t="n">
        <x:f>IFERROR(INDEX('参数'!$B$5:$B$7,MATCH($N179,'参数'!$A$5:$A$7,0)),"")</x:f>
        <x:v>1.25</x:v>
      </x:c>
      <x:c r="Y179" s="4" t="n">
        <x:f>IFERROR(INDEX('参数'!$C$5:$C$7,MATCH($N179,'参数'!$A$5:$A$7,0)),"")</x:f>
        <x:v>1</x:v>
      </x:c>
      <x:c r="Z179" s="4" t="n">
        <x:f>IFERROR(INDEX('参数'!$D$5:$D$7,MATCH($N179,'参数'!$A$5:$A$7,0)),"")</x:f>
        <x:v>1.25</x:v>
      </x:c>
      <x:c r="AA179" s="4" t="n">
        <x:f>IFERROR(INDEX('楼层配置'!$E$5:$E$104,MATCH($K179,'楼层配置'!$B$5:$B$104,0)),1)</x:f>
        <x:v>1.1630435007112323</x:v>
      </x:c>
      <x:c r="AB179" s="4" t="n">
        <x:f>IFERROR(INDEX('楼层配置'!$F$5:$F$104,MATCH($K179,'楼层配置'!$B$5:$B$104,0)),1)</x:f>
        <x:v>0.6680109495721342</x:v>
      </x:c>
      <x:c r="AC179" s="4" t="n">
        <x:f>IFERROR(INDEX('楼层配置'!$G$5:$G$104,MATCH($K179,'楼层配置'!$B$5:$B$104,0)),1)</x:f>
        <x:v>1</x:v>
      </x:c>
      <x:c r="AD179" s="6" t="n">
        <x:f t="shared" si="17">IFERROR($D179/$G179-1,"")</x:f>
        <x:v>-0.08383554048578679</x:v>
      </x:c>
      <x:c r="AE179" s="6" t="n">
        <x:f t="shared" si="18">IFERROR($E179/$H179-1,"")</x:f>
        <x:v>-0.1003209441971219</x:v>
      </x:c>
      <x:c r="AF179" s="6" t="n">
        <x:f t="shared" si="19">IFERROR($F179/$I179-1,"")</x:f>
        <x:v>0.3577418518198323</x:v>
      </x:c>
      <x:c r="AG179" s="4" t="str">
        <x:f t="shared" si="20">IF(AND($A179&gt;=1,$L179&gt;=1,$L179&lt;=500,OR($N179="Tank",$N179="DPS",$N179="Support"),ISNUMBER($D179),ISNUMBER($E179),ISNUMBER($F179)),"有效","异常")</x:f>
        <x:v>有效</x:v>
      </x:c>
      <x:c r="AH179" t="n">
        <x:f>D179/(1-MIN(0.75,F179/(24000+F179)))</x:f>
        <x:v>710747.624375</x:v>
      </x:c>
    </x:row>
    <x:row r="180" ht="14.25" customHeight="1">
      <x:c r="A180" s="4">
        <x:v>176</x:v>
      </x:c>
      <x:c r="B180" s="4">
        <x:v>1030</x:v>
      </x:c>
      <x:c r="C180" s="4">
        <x:v>28</x:v>
      </x:c>
      <x:c r="D180" s="5" t="n">
        <x:f>IFERROR(ROUND($U180*$X180*$AA180*'参数'!$B$13,0),"")</x:f>
        <x:v>553548</x:v>
      </x:c>
      <x:c r="E180" s="5" t="n">
        <x:f>IFERROR(ROUND($V180*$Y180*$AB180*'参数'!$C$13,0),"")</x:f>
        <x:v>9124</x:v>
      </x:c>
      <x:c r="F180" s="5" t="n">
        <x:f>IFERROR(ROUND($W180*$Z180*$AC180*'参数'!$D$13,0),"")</x:f>
        <x:v>19482</x:v>
      </x:c>
      <x:c r="G180" s="4">
        <x:v>595094</x:v>
      </x:c>
      <x:c r="H180" s="4">
        <x:v>10018</x:v>
      </x:c>
      <x:c r="I180" s="4">
        <x:v>14322</x:v>
      </x:c>
      <x:c r="J180" s="4">
        <x:v>36</x:v>
      </x:c>
      <x:c r="K180" s="4">
        <x:v>36</x:v>
      </x:c>
      <x:c r="L180" s="4" t="n">
        <x:f>IFERROR(INDEX('楼层配置'!$D$5:$D$104,MATCH($K180,'楼层配置'!$B$5:$B$104,0)),"")</x:f>
        <x:v>144</x:v>
      </x:c>
      <x:c r="M180" s="4" t="str">
        <x:f>IFERROR(INDEX('_角色基线'!$B$2:$B$100,MATCH($B180,'_角色基线'!$A$2:$A$100,0)),"")</x:f>
        <x:v>莫莉</x:v>
      </x:c>
      <x:c r="N180" s="4" t="str">
        <x:f>IFERROR(INDEX('_角色基线'!$C$2:$C$100,MATCH($B180,'_角色基线'!$A$2:$A$100,0)),"")</x:f>
        <x:v>Tank</x:v>
      </x:c>
      <x:c r="O180" s="4" t="n">
        <x:f>IFERROR(INDEX('_怪物基线'!$B$2:$B$501,MATCH(INT($L180),'_怪物基线'!$A$2:$A$501,0)),"")</x:f>
        <x:v>78489</x:v>
      </x:c>
      <x:c r="P180" s="4" t="n">
        <x:f>IFERROR(INDEX('_怪物基线'!$C$2:$C$501,MATCH(INT($L180),'_怪物基线'!$A$2:$A$501,0)),"")</x:f>
        <x:v>11325</x:v>
      </x:c>
      <x:c r="Q180" s="4" t="n">
        <x:f>IFERROR(INDEX('_怪物基线'!$D$2:$D$501,MATCH(INT($L180),'_怪物基线'!$A$2:$A$501,0)),"")</x:f>
        <x:v>12988</x:v>
      </x:c>
      <x:c r="R180" s="4" t="n">
        <x:f>'参数'!$B$10</x:f>
        <x:v>4</x:v>
      </x:c>
      <x:c r="S180" s="4" t="n">
        <x:f>'参数'!$C$10</x:f>
        <x:v>1.2</x:v>
      </x:c>
      <x:c r="T180" s="4" t="n">
        <x:f>'参数'!$D$10</x:f>
        <x:v>1</x:v>
      </x:c>
      <x:c r="U180" s="4" t="n">
        <x:f t="shared" si="14">IF($O180="","",$O180*$R180)</x:f>
        <x:v>313956</x:v>
      </x:c>
      <x:c r="V180" s="4" t="n">
        <x:f t="shared" si="15">IF($P180="","",$P180*$S180)</x:f>
        <x:v>13590</x:v>
      </x:c>
      <x:c r="W180" s="4" t="n">
        <x:f t="shared" si="16">IF($Q180="","",$Q180*$T180)</x:f>
        <x:v>12988</x:v>
      </x:c>
      <x:c r="X180" s="4" t="n">
        <x:f>IFERROR(INDEX('参数'!$B$5:$B$7,MATCH($N180,'参数'!$A$5:$A$7,0)),"")</x:f>
        <x:v>1.5</x:v>
      </x:c>
      <x:c r="Y180" s="4" t="n">
        <x:f>IFERROR(INDEX('参数'!$C$5:$C$7,MATCH($N180,'参数'!$A$5:$A$7,0)),"")</x:f>
        <x:v>1</x:v>
      </x:c>
      <x:c r="Z180" s="4" t="n">
        <x:f>IFERROR(INDEX('参数'!$D$5:$D$7,MATCH($N180,'参数'!$A$5:$A$7,0)),"")</x:f>
        <x:v>1.5</x:v>
      </x:c>
      <x:c r="AA180" s="4" t="n">
        <x:f>IFERROR(INDEX('楼层配置'!$E$5:$E$104,MATCH($K180,'楼层配置'!$B$5:$B$104,0)),1)</x:f>
        <x:v>1.1754256062401702</x:v>
      </x:c>
      <x:c r="AB180" s="4" t="n">
        <x:f>IFERROR(INDEX('楼层配置'!$F$5:$F$104,MATCH($K180,'楼层配置'!$B$5:$B$104,0)),1)</x:f>
        <x:v>0.6713595863498772</x:v>
      </x:c>
      <x:c r="AC180" s="4" t="n">
        <x:f>IFERROR(INDEX('楼层配置'!$G$5:$G$104,MATCH($K180,'楼层配置'!$B$5:$B$104,0)),1)</x:f>
        <x:v>1</x:v>
      </x:c>
      <x:c r="AD180" s="6" t="n">
        <x:f t="shared" si="17">IFERROR($D180/$G180-1,"")</x:f>
        <x:v>-0.06981418061684375</x:v>
      </x:c>
      <x:c r="AE180" s="6" t="n">
        <x:f t="shared" si="18">IFERROR($E180/$H180-1,"")</x:f>
        <x:v>-0.08923936913555597</x:v>
      </x:c>
      <x:c r="AF180" s="6" t="n">
        <x:f t="shared" si="19">IFERROR($F180/$I180-1,"")</x:f>
        <x:v>0.3602848764139086</x:v>
      </x:c>
      <x:c r="AG180" s="4" t="str">
        <x:f t="shared" si="20">IF(AND($A180&gt;=1,$L180&gt;=1,$L180&lt;=500,OR($N180="Tank",$N180="DPS",$N180="Support"),ISNUMBER($D180),ISNUMBER($E180),ISNUMBER($F180)),"有效","异常")</x:f>
        <x:v>有效</x:v>
      </x:c>
      <x:c r="AH180" t="n">
        <x:f>D180/(1-MIN(0.75,F180/(24000+F180)))</x:f>
        <x:v>1002890.589</x:v>
      </x:c>
    </x:row>
    <x:row r="181" ht="14.25" customHeight="1">
      <x:c r="A181" s="4">
        <x:v>177</x:v>
      </x:c>
      <x:c r="B181" s="4">
        <x:v>1024</x:v>
      </x:c>
      <x:c r="C181" s="4">
        <x:v>28</x:v>
      </x:c>
      <x:c r="D181" s="5" t="n">
        <x:f>IFERROR(ROUND($U181*$X181*$AA181*'参数'!$B$13,0),"")</x:f>
        <x:v>369032</x:v>
      </x:c>
      <x:c r="E181" s="5" t="n">
        <x:f>IFERROR(ROUND($V181*$Y181*$AB181*'参数'!$C$13,0),"")</x:f>
        <x:v>10949</x:v>
      </x:c>
      <x:c r="F181" s="5" t="n">
        <x:f>IFERROR(ROUND($W181*$Z181*$AC181*'参数'!$D$13,0),"")</x:f>
        <x:v>12988</x:v>
      </x:c>
      <x:c r="G181" s="4">
        <x:v>396729</x:v>
      </x:c>
      <x:c r="H181" s="4">
        <x:v>12021</x:v>
      </x:c>
      <x:c r="I181" s="4">
        <x:v>9548</x:v>
      </x:c>
      <x:c r="J181" s="4">
        <x:v>36</x:v>
      </x:c>
      <x:c r="K181" s="4">
        <x:v>36</x:v>
      </x:c>
      <x:c r="L181" s="4" t="n">
        <x:f>IFERROR(INDEX('楼层配置'!$D$5:$D$104,MATCH($K181,'楼层配置'!$B$5:$B$104,0)),"")</x:f>
        <x:v>144</x:v>
      </x:c>
      <x:c r="M181" s="4" t="str">
        <x:f>IFERROR(INDEX('_角色基线'!$B$2:$B$100,MATCH($B181,'_角色基线'!$A$2:$A$100,0)),"")</x:f>
        <x:v>卡薇</x:v>
      </x:c>
      <x:c r="N181" s="4" t="str">
        <x:f>IFERROR(INDEX('_角色基线'!$C$2:$C$100,MATCH($B181,'_角色基线'!$A$2:$A$100,0)),"")</x:f>
        <x:v>DPS</x:v>
      </x:c>
      <x:c r="O181" s="4" t="n">
        <x:f>IFERROR(INDEX('_怪物基线'!$B$2:$B$501,MATCH(INT($L181),'_怪物基线'!$A$2:$A$501,0)),"")</x:f>
        <x:v>78489</x:v>
      </x:c>
      <x:c r="P181" s="4" t="n">
        <x:f>IFERROR(INDEX('_怪物基线'!$C$2:$C$501,MATCH(INT($L181),'_怪物基线'!$A$2:$A$501,0)),"")</x:f>
        <x:v>11325</x:v>
      </x:c>
      <x:c r="Q181" s="4" t="n">
        <x:f>IFERROR(INDEX('_怪物基线'!$D$2:$D$501,MATCH(INT($L181),'_怪物基线'!$A$2:$A$501,0)),"")</x:f>
        <x:v>12988</x:v>
      </x:c>
      <x:c r="R181" s="4" t="n">
        <x:f>'参数'!$B$10</x:f>
        <x:v>4</x:v>
      </x:c>
      <x:c r="S181" s="4" t="n">
        <x:f>'参数'!$C$10</x:f>
        <x:v>1.2</x:v>
      </x:c>
      <x:c r="T181" s="4" t="n">
        <x:f>'参数'!$D$10</x:f>
        <x:v>1</x:v>
      </x:c>
      <x:c r="U181" s="4" t="n">
        <x:f t="shared" si="14">IF($O181="","",$O181*$R181)</x:f>
        <x:v>313956</x:v>
      </x:c>
      <x:c r="V181" s="4" t="n">
        <x:f t="shared" si="15">IF($P181="","",$P181*$S181)</x:f>
        <x:v>13590</x:v>
      </x:c>
      <x:c r="W181" s="4" t="n">
        <x:f t="shared" si="16">IF($Q181="","",$Q181*$T181)</x:f>
        <x:v>12988</x:v>
      </x:c>
      <x:c r="X181" s="4" t="n">
        <x:f>IFERROR(INDEX('参数'!$B$5:$B$7,MATCH($N181,'参数'!$A$5:$A$7,0)),"")</x:f>
        <x:v>1</x:v>
      </x:c>
      <x:c r="Y181" s="4" t="n">
        <x:f>IFERROR(INDEX('参数'!$C$5:$C$7,MATCH($N181,'参数'!$A$5:$A$7,0)),"")</x:f>
        <x:v>1.2</x:v>
      </x:c>
      <x:c r="Z181" s="4" t="n">
        <x:f>IFERROR(INDEX('参数'!$D$5:$D$7,MATCH($N181,'参数'!$A$5:$A$7,0)),"")</x:f>
        <x:v>1</x:v>
      </x:c>
      <x:c r="AA181" s="4" t="n">
        <x:f>IFERROR(INDEX('楼层配置'!$E$5:$E$104,MATCH($K181,'楼层配置'!$B$5:$B$104,0)),1)</x:f>
        <x:v>1.1754256062401702</x:v>
      </x:c>
      <x:c r="AB181" s="4" t="n">
        <x:f>IFERROR(INDEX('楼层配置'!$F$5:$F$104,MATCH($K181,'楼层配置'!$B$5:$B$104,0)),1)</x:f>
        <x:v>0.6713595863498772</x:v>
      </x:c>
      <x:c r="AC181" s="4" t="n">
        <x:f>IFERROR(INDEX('楼层配置'!$G$5:$G$104,MATCH($K181,'楼层配置'!$B$5:$B$104,0)),1)</x:f>
        <x:v>1</x:v>
      </x:c>
      <x:c r="AD181" s="6" t="n">
        <x:f t="shared" si="17">IFERROR($D181/$G181-1,"")</x:f>
        <x:v>-0.06981339907090234</x:v>
      </x:c>
      <x:c r="AE181" s="6" t="n">
        <x:f t="shared" si="18">IFERROR($E181/$H181-1,"")</x:f>
        <x:v>-0.08917727310539891</x:v>
      </x:c>
      <x:c r="AF181" s="6" t="n">
        <x:f t="shared" si="19">IFERROR($F181/$I181-1,"")</x:f>
        <x:v>0.3602848764139086</x:v>
      </x:c>
      <x:c r="AG181" s="4" t="str">
        <x:f t="shared" si="20">IF(AND($A181&gt;=1,$L181&gt;=1,$L181&lt;=500,OR($N181="Tank",$N181="DPS",$N181="Support"),ISNUMBER($D181),ISNUMBER($E181),ISNUMBER($F181)),"有效","异常")</x:f>
        <x:v>有效</x:v>
      </x:c>
      <x:c r="AH181" t="n">
        <x:f>D181/(1-MIN(0.75,F181/(24000+F181)))</x:f>
        <x:v>568739.8173333333</x:v>
      </x:c>
    </x:row>
    <x:row r="182" ht="14.25" customHeight="1">
      <x:c r="A182" s="4">
        <x:v>178</x:v>
      </x:c>
      <x:c r="B182" s="4">
        <x:v>1018</x:v>
      </x:c>
      <x:c r="C182" s="4">
        <x:v>28</x:v>
      </x:c>
      <x:c r="D182" s="5" t="n">
        <x:f>IFERROR(ROUND($U182*$X182*$AA182*'参数'!$B$13,0),"")</x:f>
        <x:v>461290</x:v>
      </x:c>
      <x:c r="E182" s="5" t="n">
        <x:f>IFERROR(ROUND($V182*$Y182*$AB182*'参数'!$C$13,0),"")</x:f>
        <x:v>9124</x:v>
      </x:c>
      <x:c r="F182" s="5" t="n">
        <x:f>IFERROR(ROUND($W182*$Z182*$AC182*'参数'!$D$13,0),"")</x:f>
        <x:v>16235</x:v>
      </x:c>
      <x:c r="G182" s="4">
        <x:v>495912</x:v>
      </x:c>
      <x:c r="H182" s="4">
        <x:v>10018</x:v>
      </x:c>
      <x:c r="I182" s="4">
        <x:v>11935</x:v>
      </x:c>
      <x:c r="J182" s="4">
        <x:v>36</x:v>
      </x:c>
      <x:c r="K182" s="4">
        <x:v>36</x:v>
      </x:c>
      <x:c r="L182" s="4" t="n">
        <x:f>IFERROR(INDEX('楼层配置'!$D$5:$D$104,MATCH($K182,'楼层配置'!$B$5:$B$104,0)),"")</x:f>
        <x:v>144</x:v>
      </x:c>
      <x:c r="M182" s="4" t="str">
        <x:f>IFERROR(INDEX('_角色基线'!$B$2:$B$100,MATCH($B182,'_角色基线'!$A$2:$A$100,0)),"")</x:f>
        <x:v>埃莉诺</x:v>
      </x:c>
      <x:c r="N182" s="4" t="str">
        <x:f>IFERROR(INDEX('_角色基线'!$C$2:$C$100,MATCH($B182,'_角色基线'!$A$2:$A$100,0)),"")</x:f>
        <x:v>Support</x:v>
      </x:c>
      <x:c r="O182" s="4" t="n">
        <x:f>IFERROR(INDEX('_怪物基线'!$B$2:$B$501,MATCH(INT($L182),'_怪物基线'!$A$2:$A$501,0)),"")</x:f>
        <x:v>78489</x:v>
      </x:c>
      <x:c r="P182" s="4" t="n">
        <x:f>IFERROR(INDEX('_怪物基线'!$C$2:$C$501,MATCH(INT($L182),'_怪物基线'!$A$2:$A$501,0)),"")</x:f>
        <x:v>11325</x:v>
      </x:c>
      <x:c r="Q182" s="4" t="n">
        <x:f>IFERROR(INDEX('_怪物基线'!$D$2:$D$501,MATCH(INT($L182),'_怪物基线'!$A$2:$A$501,0)),"")</x:f>
        <x:v>12988</x:v>
      </x:c>
      <x:c r="R182" s="4" t="n">
        <x:f>'参数'!$B$10</x:f>
        <x:v>4</x:v>
      </x:c>
      <x:c r="S182" s="4" t="n">
        <x:f>'参数'!$C$10</x:f>
        <x:v>1.2</x:v>
      </x:c>
      <x:c r="T182" s="4" t="n">
        <x:f>'参数'!$D$10</x:f>
        <x:v>1</x:v>
      </x:c>
      <x:c r="U182" s="4" t="n">
        <x:f t="shared" si="14">IF($O182="","",$O182*$R182)</x:f>
        <x:v>313956</x:v>
      </x:c>
      <x:c r="V182" s="4" t="n">
        <x:f t="shared" si="15">IF($P182="","",$P182*$S182)</x:f>
        <x:v>13590</x:v>
      </x:c>
      <x:c r="W182" s="4" t="n">
        <x:f t="shared" si="16">IF($Q182="","",$Q182*$T182)</x:f>
        <x:v>12988</x:v>
      </x:c>
      <x:c r="X182" s="4" t="n">
        <x:f>IFERROR(INDEX('参数'!$B$5:$B$7,MATCH($N182,'参数'!$A$5:$A$7,0)),"")</x:f>
        <x:v>1.25</x:v>
      </x:c>
      <x:c r="Y182" s="4" t="n">
        <x:f>IFERROR(INDEX('参数'!$C$5:$C$7,MATCH($N182,'参数'!$A$5:$A$7,0)),"")</x:f>
        <x:v>1</x:v>
      </x:c>
      <x:c r="Z182" s="4" t="n">
        <x:f>IFERROR(INDEX('参数'!$D$5:$D$7,MATCH($N182,'参数'!$A$5:$A$7,0)),"")</x:f>
        <x:v>1.25</x:v>
      </x:c>
      <x:c r="AA182" s="4" t="n">
        <x:f>IFERROR(INDEX('楼层配置'!$E$5:$E$104,MATCH($K182,'楼层配置'!$B$5:$B$104,0)),1)</x:f>
        <x:v>1.1754256062401702</x:v>
      </x:c>
      <x:c r="AB182" s="4" t="n">
        <x:f>IFERROR(INDEX('楼层配置'!$F$5:$F$104,MATCH($K182,'楼层配置'!$B$5:$B$104,0)),1)</x:f>
        <x:v>0.6713595863498772</x:v>
      </x:c>
      <x:c r="AC182" s="4" t="n">
        <x:f>IFERROR(INDEX('楼层配置'!$G$5:$G$104,MATCH($K182,'楼层配置'!$B$5:$B$104,0)),1)</x:f>
        <x:v>1</x:v>
      </x:c>
      <x:c r="AD182" s="6" t="n">
        <x:f t="shared" si="17">IFERROR($D182/$G182-1,"")</x:f>
        <x:v>-0.06981480585265132</x:v>
      </x:c>
      <x:c r="AE182" s="6" t="n">
        <x:f t="shared" si="18">IFERROR($E182/$H182-1,"")</x:f>
        <x:v>-0.08923936913555597</x:v>
      </x:c>
      <x:c r="AF182" s="6" t="n">
        <x:f t="shared" si="19">IFERROR($F182/$I182-1,"")</x:f>
        <x:v>0.3602848764139086</x:v>
      </x:c>
      <x:c r="AG182" s="4" t="str">
        <x:f t="shared" si="20">IF(AND($A182&gt;=1,$L182&gt;=1,$L182&lt;=500,OR($N182="Tank",$N182="DPS",$N182="Support"),ISNUMBER($D182),ISNUMBER($E182),ISNUMBER($F182)),"有效","异常")</x:f>
        <x:v>有效</x:v>
      </x:c>
      <x:c r="AH182" t="n">
        <x:f>D182/(1-MIN(0.75,F182/(24000+F182)))</x:f>
        <x:v>773333.4645833332</x:v>
      </x:c>
    </x:row>
    <x:row r="183" ht="14.25" customHeight="1">
      <x:c r="A183" s="4">
        <x:v>179</x:v>
      </x:c>
      <x:c r="B183" s="4">
        <x:v>1011</x:v>
      </x:c>
      <x:c r="C183" s="4">
        <x:v>28</x:v>
      </x:c>
      <x:c r="D183" s="5" t="n">
        <x:f>IFERROR(ROUND($U183*$X183*$AA183*'参数'!$B$13,0),"")</x:f>
        <x:v>461290</x:v>
      </x:c>
      <x:c r="E183" s="5" t="n">
        <x:f>IFERROR(ROUND($V183*$Y183*$AB183*'参数'!$C$13,0),"")</x:f>
        <x:v>9124</x:v>
      </x:c>
      <x:c r="F183" s="5" t="n">
        <x:f>IFERROR(ROUND($W183*$Z183*$AC183*'参数'!$D$13,0),"")</x:f>
        <x:v>16235</x:v>
      </x:c>
      <x:c r="G183" s="4">
        <x:v>495912</x:v>
      </x:c>
      <x:c r="H183" s="4">
        <x:v>10018</x:v>
      </x:c>
      <x:c r="I183" s="4">
        <x:v>11935</x:v>
      </x:c>
      <x:c r="J183" s="4">
        <x:v>36</x:v>
      </x:c>
      <x:c r="K183" s="4">
        <x:v>36</x:v>
      </x:c>
      <x:c r="L183" s="4" t="n">
        <x:f>IFERROR(INDEX('楼层配置'!$D$5:$D$104,MATCH($K183,'楼层配置'!$B$5:$B$104,0)),"")</x:f>
        <x:v>144</x:v>
      </x:c>
      <x:c r="M183" s="4" t="str">
        <x:f>IFERROR(INDEX('_角色基线'!$B$2:$B$100,MATCH($B183,'_角色基线'!$A$2:$A$100,0)),"")</x:f>
        <x:v>陈双双</x:v>
      </x:c>
      <x:c r="N183" s="4" t="str">
        <x:f>IFERROR(INDEX('_角色基线'!$C$2:$C$100,MATCH($B183,'_角色基线'!$A$2:$A$100,0)),"")</x:f>
        <x:v>Support</x:v>
      </x:c>
      <x:c r="O183" s="4" t="n">
        <x:f>IFERROR(INDEX('_怪物基线'!$B$2:$B$501,MATCH(INT($L183),'_怪物基线'!$A$2:$A$501,0)),"")</x:f>
        <x:v>78489</x:v>
      </x:c>
      <x:c r="P183" s="4" t="n">
        <x:f>IFERROR(INDEX('_怪物基线'!$C$2:$C$501,MATCH(INT($L183),'_怪物基线'!$A$2:$A$501,0)),"")</x:f>
        <x:v>11325</x:v>
      </x:c>
      <x:c r="Q183" s="4" t="n">
        <x:f>IFERROR(INDEX('_怪物基线'!$D$2:$D$501,MATCH(INT($L183),'_怪物基线'!$A$2:$A$501,0)),"")</x:f>
        <x:v>12988</x:v>
      </x:c>
      <x:c r="R183" s="4" t="n">
        <x:f>'参数'!$B$10</x:f>
        <x:v>4</x:v>
      </x:c>
      <x:c r="S183" s="4" t="n">
        <x:f>'参数'!$C$10</x:f>
        <x:v>1.2</x:v>
      </x:c>
      <x:c r="T183" s="4" t="n">
        <x:f>'参数'!$D$10</x:f>
        <x:v>1</x:v>
      </x:c>
      <x:c r="U183" s="4" t="n">
        <x:f t="shared" si="14">IF($O183="","",$O183*$R183)</x:f>
        <x:v>313956</x:v>
      </x:c>
      <x:c r="V183" s="4" t="n">
        <x:f t="shared" si="15">IF($P183="","",$P183*$S183)</x:f>
        <x:v>13590</x:v>
      </x:c>
      <x:c r="W183" s="4" t="n">
        <x:f t="shared" si="16">IF($Q183="","",$Q183*$T183)</x:f>
        <x:v>12988</x:v>
      </x:c>
      <x:c r="X183" s="4" t="n">
        <x:f>IFERROR(INDEX('参数'!$B$5:$B$7,MATCH($N183,'参数'!$A$5:$A$7,0)),"")</x:f>
        <x:v>1.25</x:v>
      </x:c>
      <x:c r="Y183" s="4" t="n">
        <x:f>IFERROR(INDEX('参数'!$C$5:$C$7,MATCH($N183,'参数'!$A$5:$A$7,0)),"")</x:f>
        <x:v>1</x:v>
      </x:c>
      <x:c r="Z183" s="4" t="n">
        <x:f>IFERROR(INDEX('参数'!$D$5:$D$7,MATCH($N183,'参数'!$A$5:$A$7,0)),"")</x:f>
        <x:v>1.25</x:v>
      </x:c>
      <x:c r="AA183" s="4" t="n">
        <x:f>IFERROR(INDEX('楼层配置'!$E$5:$E$104,MATCH($K183,'楼层配置'!$B$5:$B$104,0)),1)</x:f>
        <x:v>1.1754256062401702</x:v>
      </x:c>
      <x:c r="AB183" s="4" t="n">
        <x:f>IFERROR(INDEX('楼层配置'!$F$5:$F$104,MATCH($K183,'楼层配置'!$B$5:$B$104,0)),1)</x:f>
        <x:v>0.6713595863498772</x:v>
      </x:c>
      <x:c r="AC183" s="4" t="n">
        <x:f>IFERROR(INDEX('楼层配置'!$G$5:$G$104,MATCH($K183,'楼层配置'!$B$5:$B$104,0)),1)</x:f>
        <x:v>1</x:v>
      </x:c>
      <x:c r="AD183" s="6" t="n">
        <x:f t="shared" si="17">IFERROR($D183/$G183-1,"")</x:f>
        <x:v>-0.06981480585265132</x:v>
      </x:c>
      <x:c r="AE183" s="6" t="n">
        <x:f t="shared" si="18">IFERROR($E183/$H183-1,"")</x:f>
        <x:v>-0.08923936913555597</x:v>
      </x:c>
      <x:c r="AF183" s="6" t="n">
        <x:f t="shared" si="19">IFERROR($F183/$I183-1,"")</x:f>
        <x:v>0.3602848764139086</x:v>
      </x:c>
      <x:c r="AG183" s="4" t="str">
        <x:f t="shared" si="20">IF(AND($A183&gt;=1,$L183&gt;=1,$L183&lt;=500,OR($N183="Tank",$N183="DPS",$N183="Support"),ISNUMBER($D183),ISNUMBER($E183),ISNUMBER($F183)),"有效","异常")</x:f>
        <x:v>有效</x:v>
      </x:c>
      <x:c r="AH183" t="n">
        <x:f>D183/(1-MIN(0.75,F183/(24000+F183)))</x:f>
        <x:v>773333.4645833332</x:v>
      </x:c>
    </x:row>
    <x:row r="184" ht="14.25" customHeight="1">
      <x:c r="A184" s="4">
        <x:v>180</x:v>
      </x:c>
      <x:c r="B184" s="4">
        <x:v>1021</x:v>
      </x:c>
      <x:c r="C184" s="4">
        <x:v>28</x:v>
      </x:c>
      <x:c r="D184" s="5" t="n">
        <x:f>IFERROR(ROUND($U184*$X184*$AA184*'参数'!$B$13,0),"")</x:f>
        <x:v>369032</x:v>
      </x:c>
      <x:c r="E184" s="5" t="n">
        <x:f>IFERROR(ROUND($V184*$Y184*$AB184*'参数'!$C$13,0),"")</x:f>
        <x:v>10949</x:v>
      </x:c>
      <x:c r="F184" s="5" t="n">
        <x:f>IFERROR(ROUND($W184*$Z184*$AC184*'参数'!$D$13,0),"")</x:f>
        <x:v>12988</x:v>
      </x:c>
      <x:c r="G184" s="4">
        <x:v>396729</x:v>
      </x:c>
      <x:c r="H184" s="4">
        <x:v>12021</x:v>
      </x:c>
      <x:c r="I184" s="4">
        <x:v>9548</x:v>
      </x:c>
      <x:c r="J184" s="4">
        <x:v>36</x:v>
      </x:c>
      <x:c r="K184" s="4">
        <x:v>36</x:v>
      </x:c>
      <x:c r="L184" s="4" t="n">
        <x:f>IFERROR(INDEX('楼层配置'!$D$5:$D$104,MATCH($K184,'楼层配置'!$B$5:$B$104,0)),"")</x:f>
        <x:v>144</x:v>
      </x:c>
      <x:c r="M184" s="4" t="str">
        <x:f>IFERROR(INDEX('_角色基线'!$B$2:$B$100,MATCH($B184,'_角色基线'!$A$2:$A$100,0)),"")</x:f>
        <x:v>梅梅</x:v>
      </x:c>
      <x:c r="N184" s="4" t="str">
        <x:f>IFERROR(INDEX('_角色基线'!$C$2:$C$100,MATCH($B184,'_角色基线'!$A$2:$A$100,0)),"")</x:f>
        <x:v>DPS</x:v>
      </x:c>
      <x:c r="O184" s="4" t="n">
        <x:f>IFERROR(INDEX('_怪物基线'!$B$2:$B$501,MATCH(INT($L184),'_怪物基线'!$A$2:$A$501,0)),"")</x:f>
        <x:v>78489</x:v>
      </x:c>
      <x:c r="P184" s="4" t="n">
        <x:f>IFERROR(INDEX('_怪物基线'!$C$2:$C$501,MATCH(INT($L184),'_怪物基线'!$A$2:$A$501,0)),"")</x:f>
        <x:v>11325</x:v>
      </x:c>
      <x:c r="Q184" s="4" t="n">
        <x:f>IFERROR(INDEX('_怪物基线'!$D$2:$D$501,MATCH(INT($L184),'_怪物基线'!$A$2:$A$501,0)),"")</x:f>
        <x:v>12988</x:v>
      </x:c>
      <x:c r="R184" s="4" t="n">
        <x:f>'参数'!$B$10</x:f>
        <x:v>4</x:v>
      </x:c>
      <x:c r="S184" s="4" t="n">
        <x:f>'参数'!$C$10</x:f>
        <x:v>1.2</x:v>
      </x:c>
      <x:c r="T184" s="4" t="n">
        <x:f>'参数'!$D$10</x:f>
        <x:v>1</x:v>
      </x:c>
      <x:c r="U184" s="4" t="n">
        <x:f t="shared" si="14">IF($O184="","",$O184*$R184)</x:f>
        <x:v>313956</x:v>
      </x:c>
      <x:c r="V184" s="4" t="n">
        <x:f t="shared" si="15">IF($P184="","",$P184*$S184)</x:f>
        <x:v>13590</x:v>
      </x:c>
      <x:c r="W184" s="4" t="n">
        <x:f t="shared" si="16">IF($Q184="","",$Q184*$T184)</x:f>
        <x:v>12988</x:v>
      </x:c>
      <x:c r="X184" s="4" t="n">
        <x:f>IFERROR(INDEX('参数'!$B$5:$B$7,MATCH($N184,'参数'!$A$5:$A$7,0)),"")</x:f>
        <x:v>1</x:v>
      </x:c>
      <x:c r="Y184" s="4" t="n">
        <x:f>IFERROR(INDEX('参数'!$C$5:$C$7,MATCH($N184,'参数'!$A$5:$A$7,0)),"")</x:f>
        <x:v>1.2</x:v>
      </x:c>
      <x:c r="Z184" s="4" t="n">
        <x:f>IFERROR(INDEX('参数'!$D$5:$D$7,MATCH($N184,'参数'!$A$5:$A$7,0)),"")</x:f>
        <x:v>1</x:v>
      </x:c>
      <x:c r="AA184" s="4" t="n">
        <x:f>IFERROR(INDEX('楼层配置'!$E$5:$E$104,MATCH($K184,'楼层配置'!$B$5:$B$104,0)),1)</x:f>
        <x:v>1.1754256062401702</x:v>
      </x:c>
      <x:c r="AB184" s="4" t="n">
        <x:f>IFERROR(INDEX('楼层配置'!$F$5:$F$104,MATCH($K184,'楼层配置'!$B$5:$B$104,0)),1)</x:f>
        <x:v>0.6713595863498772</x:v>
      </x:c>
      <x:c r="AC184" s="4" t="n">
        <x:f>IFERROR(INDEX('楼层配置'!$G$5:$G$104,MATCH($K184,'楼层配置'!$B$5:$B$104,0)),1)</x:f>
        <x:v>1</x:v>
      </x:c>
      <x:c r="AD184" s="6" t="n">
        <x:f t="shared" si="17">IFERROR($D184/$G184-1,"")</x:f>
        <x:v>-0.06981339907090234</x:v>
      </x:c>
      <x:c r="AE184" s="6" t="n">
        <x:f t="shared" si="18">IFERROR($E184/$H184-1,"")</x:f>
        <x:v>-0.08917727310539891</x:v>
      </x:c>
      <x:c r="AF184" s="6" t="n">
        <x:f t="shared" si="19">IFERROR($F184/$I184-1,"")</x:f>
        <x:v>0.3602848764139086</x:v>
      </x:c>
      <x:c r="AG184" s="4" t="str">
        <x:f t="shared" si="20">IF(AND($A184&gt;=1,$L184&gt;=1,$L184&lt;=500,OR($N184="Tank",$N184="DPS",$N184="Support"),ISNUMBER($D184),ISNUMBER($E184),ISNUMBER($F184)),"有效","异常")</x:f>
        <x:v>有效</x:v>
      </x:c>
      <x:c r="AH184" t="n">
        <x:f>D184/(1-MIN(0.75,F184/(24000+F184)))</x:f>
        <x:v>568739.8173333333</x:v>
      </x:c>
    </x:row>
    <x:row r="185" ht="14.25" customHeight="1">
      <x:c r="A185" s="4">
        <x:v>181</x:v>
      </x:c>
      <x:c r="B185" s="4">
        <x:v>1002</x:v>
      </x:c>
      <x:c r="C185" s="4">
        <x:v>28</x:v>
      </x:c>
      <x:c r="D185" s="5" t="n">
        <x:f>IFERROR(ROUND($U185*$X185*$AA185*'参数'!$B$13,0),"")</x:f>
        <x:v>585948</x:v>
      </x:c>
      <x:c r="E185" s="5" t="n">
        <x:f>IFERROR(ROUND($V185*$Y185*$AB185*'参数'!$C$13,0),"")</x:f>
        <x:v>9475</x:v>
      </x:c>
      <x:c r="F185" s="5" t="n">
        <x:f>IFERROR(ROUND($W185*$Z185*$AC185*'参数'!$D$13,0),"")</x:f>
        <x:v>20126</x:v>
      </x:c>
      <x:c r="G185" s="4">
        <x:v>628754</x:v>
      </x:c>
      <x:c r="H185" s="4">
        <x:v>10384</x:v>
      </x:c>
      <x:c r="I185" s="4">
        <x:v>14767</x:v>
      </x:c>
      <x:c r="J185" s="4">
        <x:v>37</x:v>
      </x:c>
      <x:c r="K185" s="4">
        <x:v>37</x:v>
      </x:c>
      <x:c r="L185" s="4" t="n">
        <x:f>IFERROR(INDEX('楼层配置'!$D$5:$D$104,MATCH($K185,'楼层配置'!$B$5:$B$104,0)),"")</x:f>
        <x:v>148</x:v>
      </x:c>
      <x:c r="M185" s="4" t="str">
        <x:f>IFERROR(INDEX('_角色基线'!$B$2:$B$100,MATCH($B185,'_角色基线'!$A$2:$A$100,0)),"")</x:f>
        <x:v>大暑</x:v>
      </x:c>
      <x:c r="N185" s="4" t="str">
        <x:f>IFERROR(INDEX('_角色基线'!$C$2:$C$100,MATCH($B185,'_角色基线'!$A$2:$A$100,0)),"")</x:f>
        <x:v>Tank</x:v>
      </x:c>
      <x:c r="O185" s="4" t="n">
        <x:f>IFERROR(INDEX('_怪物基线'!$B$2:$B$501,MATCH(INT($L185),'_怪物基线'!$A$2:$A$501,0)),"")</x:f>
        <x:v>83299</x:v>
      </x:c>
      <x:c r="P185" s="4" t="n">
        <x:f>IFERROR(INDEX('_怪物基线'!$C$2:$C$501,MATCH(INT($L185),'_怪物基线'!$A$2:$A$501,0)),"")</x:f>
        <x:v>11821</x:v>
      </x:c>
      <x:c r="Q185" s="4" t="n">
        <x:f>IFERROR(INDEX('_怪物基线'!$D$2:$D$501,MATCH(INT($L185),'_怪物基线'!$A$2:$A$501,0)),"")</x:f>
        <x:v>13417</x:v>
      </x:c>
      <x:c r="R185" s="4" t="n">
        <x:f>'参数'!$B$10</x:f>
        <x:v>4</x:v>
      </x:c>
      <x:c r="S185" s="4" t="n">
        <x:f>'参数'!$C$10</x:f>
        <x:v>1.2</x:v>
      </x:c>
      <x:c r="T185" s="4" t="n">
        <x:f>'参数'!$D$10</x:f>
        <x:v>1</x:v>
      </x:c>
      <x:c r="U185" s="4" t="n">
        <x:f t="shared" si="14">IF($O185="","",$O185*$R185)</x:f>
        <x:v>333196</x:v>
      </x:c>
      <x:c r="V185" s="4" t="n">
        <x:f t="shared" si="15">IF($P185="","",$P185*$S185)</x:f>
        <x:v>14185.199999999999</x:v>
      </x:c>
      <x:c r="W185" s="4" t="n">
        <x:f t="shared" si="16">IF($Q185="","",$Q185*$T185)</x:f>
        <x:v>13417</x:v>
      </x:c>
      <x:c r="X185" s="4" t="n">
        <x:f>IFERROR(INDEX('参数'!$B$5:$B$7,MATCH($N185,'参数'!$A$5:$A$7,0)),"")</x:f>
        <x:v>1.5</x:v>
      </x:c>
      <x:c r="Y185" s="4" t="n">
        <x:f>IFERROR(INDEX('参数'!$C$5:$C$7,MATCH($N185,'参数'!$A$5:$A$7,0)),"")</x:f>
        <x:v>1</x:v>
      </x:c>
      <x:c r="Z185" s="4" t="n">
        <x:f>IFERROR(INDEX('参数'!$D$5:$D$7,MATCH($N185,'参数'!$A$5:$A$7,0)),"")</x:f>
        <x:v>1.5</x:v>
      </x:c>
      <x:c r="AA185" s="4" t="n">
        <x:f>IFERROR(INDEX('楼层配置'!$E$5:$E$104,MATCH($K185,'楼层配置'!$B$5:$B$104,0)),1)</x:f>
        <x:v>1.1723788917056412</x:v>
      </x:c>
      <x:c r="AB185" s="4" t="n">
        <x:f>IFERROR(INDEX('楼层配置'!$F$5:$F$104,MATCH($K185,'楼层配置'!$B$5:$B$104,0)),1)</x:f>
        <x:v>0.6679317563154188</x:v>
      </x:c>
      <x:c r="AC185" s="4" t="n">
        <x:f>IFERROR(INDEX('楼层配置'!$G$5:$G$104,MATCH($K185,'楼层配置'!$B$5:$B$104,0)),1)</x:f>
        <x:v>1</x:v>
      </x:c>
      <x:c r="AD185" s="6" t="n">
        <x:f t="shared" si="17">IFERROR($D185/$G185-1,"")</x:f>
        <x:v>-0.06808068020243208</x:v>
      </x:c>
      <x:c r="AE185" s="6" t="n">
        <x:f t="shared" si="18">IFERROR($E185/$H185-1,"")</x:f>
        <x:v>-0.0875385208012327</x:v>
      </x:c>
      <x:c r="AF185" s="6" t="n">
        <x:f t="shared" si="19">IFERROR($F185/$I185-1,"")</x:f>
        <x:v>0.36290377192388434</x:v>
      </x:c>
      <x:c r="AG185" s="4" t="str">
        <x:f t="shared" si="20">IF(AND($A185&gt;=1,$L185&gt;=1,$L185&lt;=500,OR($N185="Tank",$N185="DPS",$N185="Support"),ISNUMBER($D185),ISNUMBER($E185),ISNUMBER($F185)),"有效","异常")</x:f>
        <x:v>有效</x:v>
      </x:c>
      <x:c r="AH185" t="n">
        <x:f>D185/(1-MIN(0.75,F185/(24000+F185)))</x:f>
        <x:v>1077314.227</x:v>
      </x:c>
    </x:row>
    <x:row r="186" ht="14.25" customHeight="1">
      <x:c r="A186" s="4">
        <x:v>182</x:v>
      </x:c>
      <x:c r="B186" s="4">
        <x:v>1030</x:v>
      </x:c>
      <x:c r="C186" s="4">
        <x:v>28</x:v>
      </x:c>
      <x:c r="D186" s="5" t="n">
        <x:f>IFERROR(ROUND($U186*$X186*$AA186*'参数'!$B$13,0),"")</x:f>
        <x:v>585948</x:v>
      </x:c>
      <x:c r="E186" s="5" t="n">
        <x:f>IFERROR(ROUND($V186*$Y186*$AB186*'参数'!$C$13,0),"")</x:f>
        <x:v>9475</x:v>
      </x:c>
      <x:c r="F186" s="5" t="n">
        <x:f>IFERROR(ROUND($W186*$Z186*$AC186*'参数'!$D$13,0),"")</x:f>
        <x:v>20126</x:v>
      </x:c>
      <x:c r="G186" s="4">
        <x:v>628754</x:v>
      </x:c>
      <x:c r="H186" s="4">
        <x:v>10384</x:v>
      </x:c>
      <x:c r="I186" s="4">
        <x:v>14767</x:v>
      </x:c>
      <x:c r="J186" s="4">
        <x:v>37</x:v>
      </x:c>
      <x:c r="K186" s="4">
        <x:v>37</x:v>
      </x:c>
      <x:c r="L186" s="4" t="n">
        <x:f>IFERROR(INDEX('楼层配置'!$D$5:$D$104,MATCH($K186,'楼层配置'!$B$5:$B$104,0)),"")</x:f>
        <x:v>148</x:v>
      </x:c>
      <x:c r="M186" s="4" t="str">
        <x:f>IFERROR(INDEX('_角色基线'!$B$2:$B$100,MATCH($B186,'_角色基线'!$A$2:$A$100,0)),"")</x:f>
        <x:v>莫莉</x:v>
      </x:c>
      <x:c r="N186" s="4" t="str">
        <x:f>IFERROR(INDEX('_角色基线'!$C$2:$C$100,MATCH($B186,'_角色基线'!$A$2:$A$100,0)),"")</x:f>
        <x:v>Tank</x:v>
      </x:c>
      <x:c r="O186" s="4" t="n">
        <x:f>IFERROR(INDEX('_怪物基线'!$B$2:$B$501,MATCH(INT($L186),'_怪物基线'!$A$2:$A$501,0)),"")</x:f>
        <x:v>83299</x:v>
      </x:c>
      <x:c r="P186" s="4" t="n">
        <x:f>IFERROR(INDEX('_怪物基线'!$C$2:$C$501,MATCH(INT($L186),'_怪物基线'!$A$2:$A$501,0)),"")</x:f>
        <x:v>11821</x:v>
      </x:c>
      <x:c r="Q186" s="4" t="n">
        <x:f>IFERROR(INDEX('_怪物基线'!$D$2:$D$501,MATCH(INT($L186),'_怪物基线'!$A$2:$A$501,0)),"")</x:f>
        <x:v>13417</x:v>
      </x:c>
      <x:c r="R186" s="4" t="n">
        <x:f>'参数'!$B$10</x:f>
        <x:v>4</x:v>
      </x:c>
      <x:c r="S186" s="4" t="n">
        <x:f>'参数'!$C$10</x:f>
        <x:v>1.2</x:v>
      </x:c>
      <x:c r="T186" s="4" t="n">
        <x:f>'参数'!$D$10</x:f>
        <x:v>1</x:v>
      </x:c>
      <x:c r="U186" s="4" t="n">
        <x:f t="shared" si="14">IF($O186="","",$O186*$R186)</x:f>
        <x:v>333196</x:v>
      </x:c>
      <x:c r="V186" s="4" t="n">
        <x:f t="shared" si="15">IF($P186="","",$P186*$S186)</x:f>
        <x:v>14185.199999999999</x:v>
      </x:c>
      <x:c r="W186" s="4" t="n">
        <x:f t="shared" si="16">IF($Q186="","",$Q186*$T186)</x:f>
        <x:v>13417</x:v>
      </x:c>
      <x:c r="X186" s="4" t="n">
        <x:f>IFERROR(INDEX('参数'!$B$5:$B$7,MATCH($N186,'参数'!$A$5:$A$7,0)),"")</x:f>
        <x:v>1.5</x:v>
      </x:c>
      <x:c r="Y186" s="4" t="n">
        <x:f>IFERROR(INDEX('参数'!$C$5:$C$7,MATCH($N186,'参数'!$A$5:$A$7,0)),"")</x:f>
        <x:v>1</x:v>
      </x:c>
      <x:c r="Z186" s="4" t="n">
        <x:f>IFERROR(INDEX('参数'!$D$5:$D$7,MATCH($N186,'参数'!$A$5:$A$7,0)),"")</x:f>
        <x:v>1.5</x:v>
      </x:c>
      <x:c r="AA186" s="4" t="n">
        <x:f>IFERROR(INDEX('楼层配置'!$E$5:$E$104,MATCH($K186,'楼层配置'!$B$5:$B$104,0)),1)</x:f>
        <x:v>1.1723788917056412</x:v>
      </x:c>
      <x:c r="AB186" s="4" t="n">
        <x:f>IFERROR(INDEX('楼层配置'!$F$5:$F$104,MATCH($K186,'楼层配置'!$B$5:$B$104,0)),1)</x:f>
        <x:v>0.6679317563154188</x:v>
      </x:c>
      <x:c r="AC186" s="4" t="n">
        <x:f>IFERROR(INDEX('楼层配置'!$G$5:$G$104,MATCH($K186,'楼层配置'!$B$5:$B$104,0)),1)</x:f>
        <x:v>1</x:v>
      </x:c>
      <x:c r="AD186" s="6" t="n">
        <x:f t="shared" si="17">IFERROR($D186/$G186-1,"")</x:f>
        <x:v>-0.06808068020243208</x:v>
      </x:c>
      <x:c r="AE186" s="6" t="n">
        <x:f t="shared" si="18">IFERROR($E186/$H186-1,"")</x:f>
        <x:v>-0.0875385208012327</x:v>
      </x:c>
      <x:c r="AF186" s="6" t="n">
        <x:f t="shared" si="19">IFERROR($F186/$I186-1,"")</x:f>
        <x:v>0.36290377192388434</x:v>
      </x:c>
      <x:c r="AG186" s="4" t="str">
        <x:f t="shared" si="20">IF(AND($A186&gt;=1,$L186&gt;=1,$L186&lt;=500,OR($N186="Tank",$N186="DPS",$N186="Support"),ISNUMBER($D186),ISNUMBER($E186),ISNUMBER($F186)),"有效","异常")</x:f>
        <x:v>有效</x:v>
      </x:c>
      <x:c r="AH186" t="n">
        <x:f>D186/(1-MIN(0.75,F186/(24000+F186)))</x:f>
        <x:v>1077314.227</x:v>
      </x:c>
    </x:row>
    <x:row r="187" ht="14.25" customHeight="1">
      <x:c r="A187" s="4">
        <x:v>183</x:v>
      </x:c>
      <x:c r="B187" s="4">
        <x:v>1021</x:v>
      </x:c>
      <x:c r="C187" s="4">
        <x:v>28</x:v>
      </x:c>
      <x:c r="D187" s="5" t="n">
        <x:f>IFERROR(ROUND($U187*$X187*$AA187*'参数'!$B$13,0),"")</x:f>
        <x:v>390632</x:v>
      </x:c>
      <x:c r="E187" s="5" t="n">
        <x:f>IFERROR(ROUND($V187*$Y187*$AB187*'参数'!$C$13,0),"")</x:f>
        <x:v>11370</x:v>
      </x:c>
      <x:c r="F187" s="5" t="n">
        <x:f>IFERROR(ROUND($W187*$Z187*$AC187*'参数'!$D$13,0),"")</x:f>
        <x:v>13417</x:v>
      </x:c>
      <x:c r="G187" s="4">
        <x:v>419169</x:v>
      </x:c>
      <x:c r="H187" s="4">
        <x:v>12460</x:v>
      </x:c>
      <x:c r="I187" s="4">
        <x:v>9844</x:v>
      </x:c>
      <x:c r="J187" s="4">
        <x:v>37</x:v>
      </x:c>
      <x:c r="K187" s="4">
        <x:v>37</x:v>
      </x:c>
      <x:c r="L187" s="4" t="n">
        <x:f>IFERROR(INDEX('楼层配置'!$D$5:$D$104,MATCH($K187,'楼层配置'!$B$5:$B$104,0)),"")</x:f>
        <x:v>148</x:v>
      </x:c>
      <x:c r="M187" s="4" t="str">
        <x:f>IFERROR(INDEX('_角色基线'!$B$2:$B$100,MATCH($B187,'_角色基线'!$A$2:$A$100,0)),"")</x:f>
        <x:v>梅梅</x:v>
      </x:c>
      <x:c r="N187" s="4" t="str">
        <x:f>IFERROR(INDEX('_角色基线'!$C$2:$C$100,MATCH($B187,'_角色基线'!$A$2:$A$100,0)),"")</x:f>
        <x:v>DPS</x:v>
      </x:c>
      <x:c r="O187" s="4" t="n">
        <x:f>IFERROR(INDEX('_怪物基线'!$B$2:$B$501,MATCH(INT($L187),'_怪物基线'!$A$2:$A$501,0)),"")</x:f>
        <x:v>83299</x:v>
      </x:c>
      <x:c r="P187" s="4" t="n">
        <x:f>IFERROR(INDEX('_怪物基线'!$C$2:$C$501,MATCH(INT($L187),'_怪物基线'!$A$2:$A$501,0)),"")</x:f>
        <x:v>11821</x:v>
      </x:c>
      <x:c r="Q187" s="4" t="n">
        <x:f>IFERROR(INDEX('_怪物基线'!$D$2:$D$501,MATCH(INT($L187),'_怪物基线'!$A$2:$A$501,0)),"")</x:f>
        <x:v>13417</x:v>
      </x:c>
      <x:c r="R187" s="4" t="n">
        <x:f>'参数'!$B$10</x:f>
        <x:v>4</x:v>
      </x:c>
      <x:c r="S187" s="4" t="n">
        <x:f>'参数'!$C$10</x:f>
        <x:v>1.2</x:v>
      </x:c>
      <x:c r="T187" s="4" t="n">
        <x:f>'参数'!$D$10</x:f>
        <x:v>1</x:v>
      </x:c>
      <x:c r="U187" s="4" t="n">
        <x:f t="shared" si="14">IF($O187="","",$O187*$R187)</x:f>
        <x:v>333196</x:v>
      </x:c>
      <x:c r="V187" s="4" t="n">
        <x:f t="shared" si="15">IF($P187="","",$P187*$S187)</x:f>
        <x:v>14185.199999999999</x:v>
      </x:c>
      <x:c r="W187" s="4" t="n">
        <x:f t="shared" si="16">IF($Q187="","",$Q187*$T187)</x:f>
        <x:v>13417</x:v>
      </x:c>
      <x:c r="X187" s="4" t="n">
        <x:f>IFERROR(INDEX('参数'!$B$5:$B$7,MATCH($N187,'参数'!$A$5:$A$7,0)),"")</x:f>
        <x:v>1</x:v>
      </x:c>
      <x:c r="Y187" s="4" t="n">
        <x:f>IFERROR(INDEX('参数'!$C$5:$C$7,MATCH($N187,'参数'!$A$5:$A$7,0)),"")</x:f>
        <x:v>1.2</x:v>
      </x:c>
      <x:c r="Z187" s="4" t="n">
        <x:f>IFERROR(INDEX('参数'!$D$5:$D$7,MATCH($N187,'参数'!$A$5:$A$7,0)),"")</x:f>
        <x:v>1</x:v>
      </x:c>
      <x:c r="AA187" s="4" t="n">
        <x:f>IFERROR(INDEX('楼层配置'!$E$5:$E$104,MATCH($K187,'楼层配置'!$B$5:$B$104,0)),1)</x:f>
        <x:v>1.1723788917056412</x:v>
      </x:c>
      <x:c r="AB187" s="4" t="n">
        <x:f>IFERROR(INDEX('楼层配置'!$F$5:$F$104,MATCH($K187,'楼层配置'!$B$5:$B$104,0)),1)</x:f>
        <x:v>0.6679317563154188</x:v>
      </x:c>
      <x:c r="AC187" s="4" t="n">
        <x:f>IFERROR(INDEX('楼层配置'!$G$5:$G$104,MATCH($K187,'楼层配置'!$B$5:$B$104,0)),1)</x:f>
        <x:v>1</x:v>
      </x:c>
      <x:c r="AD187" s="6" t="n">
        <x:f t="shared" si="17">IFERROR($D187/$G187-1,"")</x:f>
        <x:v>-0.0680799391176351</x:v>
      </x:c>
      <x:c r="AE187" s="6" t="n">
        <x:f t="shared" si="18">IFERROR($E187/$H187-1,"")</x:f>
        <x:v>-0.0874799357945425</x:v>
      </x:c>
      <x:c r="AF187" s="6" t="n">
        <x:f t="shared" si="19">IFERROR($F187/$I187-1,"")</x:f>
        <x:v>0.36296221048354327</x:v>
      </x:c>
      <x:c r="AG187" s="4" t="str">
        <x:f t="shared" si="20">IF(AND($A187&gt;=1,$L187&gt;=1,$L187&lt;=500,OR($N187="Tank",$N187="DPS",$N187="Support"),ISNUMBER($D187),ISNUMBER($E187),ISNUMBER($F187)),"有效","异常")</x:f>
        <x:v>有效</x:v>
      </x:c>
      <x:c r="AH187" t="n">
        <x:f>D187/(1-MIN(0.75,F187/(24000+F187)))</x:f>
        <x:v>609011.5643333333</x:v>
      </x:c>
    </x:row>
    <x:row r="188" ht="14.25" customHeight="1">
      <x:c r="A188" s="4">
        <x:v>184</x:v>
      </x:c>
      <x:c r="B188" s="4">
        <x:v>1020</x:v>
      </x:c>
      <x:c r="C188" s="4">
        <x:v>28</x:v>
      </x:c>
      <x:c r="D188" s="5" t="n">
        <x:f>IFERROR(ROUND($U188*$X188*$AA188*'参数'!$B$13,0),"")</x:f>
        <x:v>488290</x:v>
      </x:c>
      <x:c r="E188" s="5" t="n">
        <x:f>IFERROR(ROUND($V188*$Y188*$AB188*'参数'!$C$13,0),"")</x:f>
        <x:v>9475</x:v>
      </x:c>
      <x:c r="F188" s="5" t="n">
        <x:f>IFERROR(ROUND($W188*$Z188*$AC188*'参数'!$D$13,0),"")</x:f>
        <x:v>16771</x:v>
      </x:c>
      <x:c r="G188" s="4">
        <x:v>523962</x:v>
      </x:c>
      <x:c r="H188" s="4">
        <x:v>10384</x:v>
      </x:c>
      <x:c r="I188" s="4">
        <x:v>12306</x:v>
      </x:c>
      <x:c r="J188" s="4">
        <x:v>37</x:v>
      </x:c>
      <x:c r="K188" s="4">
        <x:v>37</x:v>
      </x:c>
      <x:c r="L188" s="4" t="n">
        <x:f>IFERROR(INDEX('楼层配置'!$D$5:$D$104,MATCH($K188,'楼层配置'!$B$5:$B$104,0)),"")</x:f>
        <x:v>148</x:v>
      </x:c>
      <x:c r="M188" s="4" t="str">
        <x:f>IFERROR(INDEX('_角色基线'!$B$2:$B$100,MATCH($B188,'_角色基线'!$A$2:$A$100,0)),"")</x:f>
        <x:v>卡斯帕</x:v>
      </x:c>
      <x:c r="N188" s="4" t="str">
        <x:f>IFERROR(INDEX('_角色基线'!$C$2:$C$100,MATCH($B188,'_角色基线'!$A$2:$A$100,0)),"")</x:f>
        <x:v>Support</x:v>
      </x:c>
      <x:c r="O188" s="4" t="n">
        <x:f>IFERROR(INDEX('_怪物基线'!$B$2:$B$501,MATCH(INT($L188),'_怪物基线'!$A$2:$A$501,0)),"")</x:f>
        <x:v>83299</x:v>
      </x:c>
      <x:c r="P188" s="4" t="n">
        <x:f>IFERROR(INDEX('_怪物基线'!$C$2:$C$501,MATCH(INT($L188),'_怪物基线'!$A$2:$A$501,0)),"")</x:f>
        <x:v>11821</x:v>
      </x:c>
      <x:c r="Q188" s="4" t="n">
        <x:f>IFERROR(INDEX('_怪物基线'!$D$2:$D$501,MATCH(INT($L188),'_怪物基线'!$A$2:$A$501,0)),"")</x:f>
        <x:v>13417</x:v>
      </x:c>
      <x:c r="R188" s="4" t="n">
        <x:f>'参数'!$B$10</x:f>
        <x:v>4</x:v>
      </x:c>
      <x:c r="S188" s="4" t="n">
        <x:f>'参数'!$C$10</x:f>
        <x:v>1.2</x:v>
      </x:c>
      <x:c r="T188" s="4" t="n">
        <x:f>'参数'!$D$10</x:f>
        <x:v>1</x:v>
      </x:c>
      <x:c r="U188" s="4" t="n">
        <x:f t="shared" si="14">IF($O188="","",$O188*$R188)</x:f>
        <x:v>333196</x:v>
      </x:c>
      <x:c r="V188" s="4" t="n">
        <x:f t="shared" si="15">IF($P188="","",$P188*$S188)</x:f>
        <x:v>14185.199999999999</x:v>
      </x:c>
      <x:c r="W188" s="4" t="n">
        <x:f t="shared" si="16">IF($Q188="","",$Q188*$T188)</x:f>
        <x:v>13417</x:v>
      </x:c>
      <x:c r="X188" s="4" t="n">
        <x:f>IFERROR(INDEX('参数'!$B$5:$B$7,MATCH($N188,'参数'!$A$5:$A$7,0)),"")</x:f>
        <x:v>1.25</x:v>
      </x:c>
      <x:c r="Y188" s="4" t="n">
        <x:f>IFERROR(INDEX('参数'!$C$5:$C$7,MATCH($N188,'参数'!$A$5:$A$7,0)),"")</x:f>
        <x:v>1</x:v>
      </x:c>
      <x:c r="Z188" s="4" t="n">
        <x:f>IFERROR(INDEX('参数'!$D$5:$D$7,MATCH($N188,'参数'!$A$5:$A$7,0)),"")</x:f>
        <x:v>1.25</x:v>
      </x:c>
      <x:c r="AA188" s="4" t="n">
        <x:f>IFERROR(INDEX('楼层配置'!$E$5:$E$104,MATCH($K188,'楼层配置'!$B$5:$B$104,0)),1)</x:f>
        <x:v>1.1723788917056412</x:v>
      </x:c>
      <x:c r="AB188" s="4" t="n">
        <x:f>IFERROR(INDEX('楼层配置'!$F$5:$F$104,MATCH($K188,'楼层配置'!$B$5:$B$104,0)),1)</x:f>
        <x:v>0.6679317563154188</x:v>
      </x:c>
      <x:c r="AC188" s="4" t="n">
        <x:f>IFERROR(INDEX('楼层配置'!$G$5:$G$104,MATCH($K188,'楼层配置'!$B$5:$B$104,0)),1)</x:f>
        <x:v>1</x:v>
      </x:c>
      <x:c r="AD188" s="6" t="n">
        <x:f t="shared" si="17">IFERROR($D188/$G188-1,"")</x:f>
        <x:v>-0.06808127306942102</x:v>
      </x:c>
      <x:c r="AE188" s="6" t="n">
        <x:f t="shared" si="18">IFERROR($E188/$H188-1,"")</x:f>
        <x:v>-0.0875385208012327</x:v>
      </x:c>
      <x:c r="AF188" s="6" t="n">
        <x:f t="shared" si="19">IFERROR($F188/$I188-1,"")</x:f>
        <x:v>0.3628311392816512</x:v>
      </x:c>
      <x:c r="AG188" s="4" t="str">
        <x:f t="shared" si="20">IF(AND($A188&gt;=1,$L188&gt;=1,$L188&lt;=500,OR($N188="Tank",$N188="DPS",$N188="Support"),ISNUMBER($D188),ISNUMBER($E188),ISNUMBER($F188)),"有效","异常")</x:f>
        <x:v>有效</x:v>
      </x:c>
      <x:c r="AH188" t="n">
        <x:f>D188/(1-MIN(0.75,F188/(24000+F188)))</x:f>
        <x:v>829502.9829166667</x:v>
      </x:c>
    </x:row>
    <x:row r="189" ht="14.25" customHeight="1">
      <x:c r="A189" s="4">
        <x:v>185</x:v>
      </x:c>
      <x:c r="B189" s="4">
        <x:v>1020</x:v>
      </x:c>
      <x:c r="C189" s="4">
        <x:v>28</x:v>
      </x:c>
      <x:c r="D189" s="5" t="n">
        <x:f>IFERROR(ROUND($U189*$X189*$AA189*'参数'!$B$13,0),"")</x:f>
        <x:v>488290</x:v>
      </x:c>
      <x:c r="E189" s="5" t="n">
        <x:f>IFERROR(ROUND($V189*$Y189*$AB189*'参数'!$C$13,0),"")</x:f>
        <x:v>9475</x:v>
      </x:c>
      <x:c r="F189" s="5" t="n">
        <x:f>IFERROR(ROUND($W189*$Z189*$AC189*'参数'!$D$13,0),"")</x:f>
        <x:v>16771</x:v>
      </x:c>
      <x:c r="G189" s="4">
        <x:v>523962</x:v>
      </x:c>
      <x:c r="H189" s="4">
        <x:v>10384</x:v>
      </x:c>
      <x:c r="I189" s="4">
        <x:v>12306</x:v>
      </x:c>
      <x:c r="J189" s="4">
        <x:v>37</x:v>
      </x:c>
      <x:c r="K189" s="4">
        <x:v>37</x:v>
      </x:c>
      <x:c r="L189" s="4" t="n">
        <x:f>IFERROR(INDEX('楼层配置'!$D$5:$D$104,MATCH($K189,'楼层配置'!$B$5:$B$104,0)),"")</x:f>
        <x:v>148</x:v>
      </x:c>
      <x:c r="M189" s="4" t="str">
        <x:f>IFERROR(INDEX('_角色基线'!$B$2:$B$100,MATCH($B189,'_角色基线'!$A$2:$A$100,0)),"")</x:f>
        <x:v>卡斯帕</x:v>
      </x:c>
      <x:c r="N189" s="4" t="str">
        <x:f>IFERROR(INDEX('_角色基线'!$C$2:$C$100,MATCH($B189,'_角色基线'!$A$2:$A$100,0)),"")</x:f>
        <x:v>Support</x:v>
      </x:c>
      <x:c r="O189" s="4" t="n">
        <x:f>IFERROR(INDEX('_怪物基线'!$B$2:$B$501,MATCH(INT($L189),'_怪物基线'!$A$2:$A$501,0)),"")</x:f>
        <x:v>83299</x:v>
      </x:c>
      <x:c r="P189" s="4" t="n">
        <x:f>IFERROR(INDEX('_怪物基线'!$C$2:$C$501,MATCH(INT($L189),'_怪物基线'!$A$2:$A$501,0)),"")</x:f>
        <x:v>11821</x:v>
      </x:c>
      <x:c r="Q189" s="4" t="n">
        <x:f>IFERROR(INDEX('_怪物基线'!$D$2:$D$501,MATCH(INT($L189),'_怪物基线'!$A$2:$A$501,0)),"")</x:f>
        <x:v>13417</x:v>
      </x:c>
      <x:c r="R189" s="4" t="n">
        <x:f>'参数'!$B$10</x:f>
        <x:v>4</x:v>
      </x:c>
      <x:c r="S189" s="4" t="n">
        <x:f>'参数'!$C$10</x:f>
        <x:v>1.2</x:v>
      </x:c>
      <x:c r="T189" s="4" t="n">
        <x:f>'参数'!$D$10</x:f>
        <x:v>1</x:v>
      </x:c>
      <x:c r="U189" s="4" t="n">
        <x:f t="shared" si="14">IF($O189="","",$O189*$R189)</x:f>
        <x:v>333196</x:v>
      </x:c>
      <x:c r="V189" s="4" t="n">
        <x:f t="shared" si="15">IF($P189="","",$P189*$S189)</x:f>
        <x:v>14185.199999999999</x:v>
      </x:c>
      <x:c r="W189" s="4" t="n">
        <x:f t="shared" si="16">IF($Q189="","",$Q189*$T189)</x:f>
        <x:v>13417</x:v>
      </x:c>
      <x:c r="X189" s="4" t="n">
        <x:f>IFERROR(INDEX('参数'!$B$5:$B$7,MATCH($N189,'参数'!$A$5:$A$7,0)),"")</x:f>
        <x:v>1.25</x:v>
      </x:c>
      <x:c r="Y189" s="4" t="n">
        <x:f>IFERROR(INDEX('参数'!$C$5:$C$7,MATCH($N189,'参数'!$A$5:$A$7,0)),"")</x:f>
        <x:v>1</x:v>
      </x:c>
      <x:c r="Z189" s="4" t="n">
        <x:f>IFERROR(INDEX('参数'!$D$5:$D$7,MATCH($N189,'参数'!$A$5:$A$7,0)),"")</x:f>
        <x:v>1.25</x:v>
      </x:c>
      <x:c r="AA189" s="4" t="n">
        <x:f>IFERROR(INDEX('楼层配置'!$E$5:$E$104,MATCH($K189,'楼层配置'!$B$5:$B$104,0)),1)</x:f>
        <x:v>1.1723788917056412</x:v>
      </x:c>
      <x:c r="AB189" s="4" t="n">
        <x:f>IFERROR(INDEX('楼层配置'!$F$5:$F$104,MATCH($K189,'楼层配置'!$B$5:$B$104,0)),1)</x:f>
        <x:v>0.6679317563154188</x:v>
      </x:c>
      <x:c r="AC189" s="4" t="n">
        <x:f>IFERROR(INDEX('楼层配置'!$G$5:$G$104,MATCH($K189,'楼层配置'!$B$5:$B$104,0)),1)</x:f>
        <x:v>1</x:v>
      </x:c>
      <x:c r="AD189" s="6" t="n">
        <x:f t="shared" si="17">IFERROR($D189/$G189-1,"")</x:f>
        <x:v>-0.06808127306942102</x:v>
      </x:c>
      <x:c r="AE189" s="6" t="n">
        <x:f t="shared" si="18">IFERROR($E189/$H189-1,"")</x:f>
        <x:v>-0.0875385208012327</x:v>
      </x:c>
      <x:c r="AF189" s="6" t="n">
        <x:f t="shared" si="19">IFERROR($F189/$I189-1,"")</x:f>
        <x:v>0.3628311392816512</x:v>
      </x:c>
      <x:c r="AG189" s="4" t="str">
        <x:f t="shared" si="20">IF(AND($A189&gt;=1,$L189&gt;=1,$L189&lt;=500,OR($N189="Tank",$N189="DPS",$N189="Support"),ISNUMBER($D189),ISNUMBER($E189),ISNUMBER($F189)),"有效","异常")</x:f>
        <x:v>有效</x:v>
      </x:c>
      <x:c r="AH189" t="n">
        <x:f>D189/(1-MIN(0.75,F189/(24000+F189)))</x:f>
        <x:v>829502.9829166667</x:v>
      </x:c>
    </x:row>
    <x:row r="190" ht="14.25" customHeight="1">
      <x:c r="A190" s="4">
        <x:v>186</x:v>
      </x:c>
      <x:c r="B190" s="4">
        <x:v>1002</x:v>
      </x:c>
      <x:c r="C190" s="4">
        <x:v>29</x:v>
      </x:c>
      <x:c r="D190" s="5" t="n">
        <x:f>IFERROR(ROUND($U190*$X190*$AA190*'参数'!$B$13,0),"")</x:f>
        <x:v>618932</x:v>
      </x:c>
      <x:c r="E190" s="5" t="n">
        <x:f>IFERROR(ROUND($V190*$Y190*$AB190*'参数'!$C$13,0),"")</x:f>
        <x:v>9899</x:v>
      </x:c>
      <x:c r="F190" s="5" t="n">
        <x:f>IFERROR(ROUND($W190*$Z190*$AC190*'参数'!$D$13,0),"")</x:f>
        <x:v>20772</x:v>
      </x:c>
      <x:c r="G190" s="4">
        <x:v>663724</x:v>
      </x:c>
      <x:c r="H190" s="4">
        <x:v>10757</x:v>
      </x:c>
      <x:c r="I190" s="4">
        <x:v>15217</x:v>
      </x:c>
      <x:c r="J190" s="4">
        <x:v>38</x:v>
      </x:c>
      <x:c r="K190" s="4">
        <x:v>38</x:v>
      </x:c>
      <x:c r="L190" s="4" t="n">
        <x:f>IFERROR(INDEX('楼层配置'!$D$5:$D$104,MATCH($K190,'楼层配置'!$B$5:$B$104,0)),"")</x:f>
        <x:v>152</x:v>
      </x:c>
      <x:c r="M190" s="4" t="str">
        <x:f>IFERROR(INDEX('_角色基线'!$B$2:$B$100,MATCH($B190,'_角色基线'!$A$2:$A$100,0)),"")</x:f>
        <x:v>大暑</x:v>
      </x:c>
      <x:c r="N190" s="4" t="str">
        <x:f>IFERROR(INDEX('_角色基线'!$C$2:$C$100,MATCH($B190,'_角色基线'!$A$2:$A$100,0)),"")</x:f>
        <x:v>Tank</x:v>
      </x:c>
      <x:c r="O190" s="4" t="n">
        <x:f>IFERROR(INDEX('_怪物基线'!$B$2:$B$501,MATCH(INT($L190),'_怪物基线'!$A$2:$A$501,0)),"")</x:f>
        <x:v>88314</x:v>
      </x:c>
      <x:c r="P190" s="4" t="n">
        <x:f>IFERROR(INDEX('_怪物基线'!$C$2:$C$501,MATCH(INT($L190),'_怪物基线'!$A$2:$A$501,0)),"")</x:f>
        <x:v>12330</x:v>
      </x:c>
      <x:c r="Q190" s="4" t="n">
        <x:f>IFERROR(INDEX('_怪物基线'!$D$2:$D$501,MATCH(INT($L190),'_怪物基线'!$A$2:$A$501,0)),"")</x:f>
        <x:v>13848</x:v>
      </x:c>
      <x:c r="R190" s="4" t="n">
        <x:f>'参数'!$B$10</x:f>
        <x:v>4</x:v>
      </x:c>
      <x:c r="S190" s="4" t="n">
        <x:f>'参数'!$C$10</x:f>
        <x:v>1.2</x:v>
      </x:c>
      <x:c r="T190" s="4" t="n">
        <x:f>'参数'!$D$10</x:f>
        <x:v>1</x:v>
      </x:c>
      <x:c r="U190" s="4" t="n">
        <x:f t="shared" si="14">IF($O190="","",$O190*$R190)</x:f>
        <x:v>353256</x:v>
      </x:c>
      <x:c r="V190" s="4" t="n">
        <x:f t="shared" si="15">IF($P190="","",$P190*$S190)</x:f>
        <x:v>14796</x:v>
      </x:c>
      <x:c r="W190" s="4" t="n">
        <x:f t="shared" si="16">IF($Q190="","",$Q190*$T190)</x:f>
        <x:v>13848</x:v>
      </x:c>
      <x:c r="X190" s="4" t="n">
        <x:f>IFERROR(INDEX('参数'!$B$5:$B$7,MATCH($N190,'参数'!$A$5:$A$7,0)),"")</x:f>
        <x:v>1.5</x:v>
      </x:c>
      <x:c r="Y190" s="4" t="n">
        <x:f>IFERROR(INDEX('参数'!$C$5:$C$7,MATCH($N190,'参数'!$A$5:$A$7,0)),"")</x:f>
        <x:v>1</x:v>
      </x:c>
      <x:c r="Z190" s="4" t="n">
        <x:f>IFERROR(INDEX('参数'!$D$5:$D$7,MATCH($N190,'参数'!$A$5:$A$7,0)),"")</x:f>
        <x:v>1.5</x:v>
      </x:c>
      <x:c r="AA190" s="4" t="n">
        <x:f>IFERROR(INDEX('楼层配置'!$E$5:$E$104,MATCH($K190,'楼层配置'!$B$5:$B$104,0)),1)</x:f>
        <x:v>1.1680522780708513</x:v>
      </x:c>
      <x:c r="AB190" s="4" t="n">
        <x:f>IFERROR(INDEX('楼层配置'!$F$5:$F$104,MATCH($K190,'楼层配置'!$B$5:$B$104,0)),1)</x:f>
        <x:v>0.6690628451441158</x:v>
      </x:c>
      <x:c r="AC190" s="4" t="n">
        <x:f>IFERROR(INDEX('楼层配置'!$G$5:$G$104,MATCH($K190,'楼层配置'!$B$5:$B$104,0)),1)</x:f>
        <x:v>1</x:v>
      </x:c>
      <x:c r="AD190" s="6" t="n">
        <x:f t="shared" si="17">IFERROR($D190/$G190-1,"")</x:f>
        <x:v>-0.06748588268617683</x:v>
      </x:c>
      <x:c r="AE190" s="6" t="n">
        <x:f t="shared" si="18">IFERROR($E190/$H190-1,"")</x:f>
        <x:v>-0.07976201543181183</x:v>
      </x:c>
      <x:c r="AF190" s="6" t="n">
        <x:f t="shared" si="19">IFERROR($F190/$I190-1,"")</x:f>
        <x:v>0.36505224420056526</x:v>
      </x:c>
      <x:c r="AG190" s="4" t="str">
        <x:f t="shared" si="20">IF(AND($A190&gt;=1,$L190&gt;=1,$L190&lt;=500,OR($N190="Tank",$N190="DPS",$N190="Support"),ISNUMBER($D190),ISNUMBER($E190),ISNUMBER($F190)),"有效","异常")</x:f>
        <x:v>有效</x:v>
      </x:c>
      <x:c r="AH190" t="n">
        <x:f>D190/(1-MIN(0.75,F190/(24000+F190)))</x:f>
        <x:v>1154617.646</x:v>
      </x:c>
    </x:row>
    <x:row r="191" ht="14.25" customHeight="1">
      <x:c r="A191" s="4">
        <x:v>187</x:v>
      </x:c>
      <x:c r="B191" s="4">
        <x:v>1001</x:v>
      </x:c>
      <x:c r="C191" s="4">
        <x:v>29</x:v>
      </x:c>
      <x:c r="D191" s="5" t="n">
        <x:f>IFERROR(ROUND($U191*$X191*$AA191*'参数'!$B$13,0),"")</x:f>
        <x:v>412621</x:v>
      </x:c>
      <x:c r="E191" s="5" t="n">
        <x:f>IFERROR(ROUND($V191*$Y191*$AB191*'参数'!$C$13,0),"")</x:f>
        <x:v>11879</x:v>
      </x:c>
      <x:c r="F191" s="5" t="n">
        <x:f>IFERROR(ROUND($W191*$Z191*$AC191*'参数'!$D$13,0),"")</x:f>
        <x:v>13848</x:v>
      </x:c>
      <x:c r="G191" s="4">
        <x:v>442483</x:v>
      </x:c>
      <x:c r="H191" s="4">
        <x:v>12908</x:v>
      </x:c>
      <x:c r="I191" s="4">
        <x:v>10144</x:v>
      </x:c>
      <x:c r="J191" s="4">
        <x:v>38</x:v>
      </x:c>
      <x:c r="K191" s="4">
        <x:v>38</x:v>
      </x:c>
      <x:c r="L191" s="4" t="n">
        <x:f>IFERROR(INDEX('楼层配置'!$D$5:$D$104,MATCH($K191,'楼层配置'!$B$5:$B$104,0)),"")</x:f>
        <x:v>152</x:v>
      </x:c>
      <x:c r="M191" s="4" t="str">
        <x:f>IFERROR(INDEX('_角色基线'!$B$2:$B$100,MATCH($B191,'_角色基线'!$A$2:$A$100,0)),"")</x:f>
        <x:v>星海</x:v>
      </x:c>
      <x:c r="N191" s="4" t="str">
        <x:f>IFERROR(INDEX('_角色基线'!$C$2:$C$100,MATCH($B191,'_角色基线'!$A$2:$A$100,0)),"")</x:f>
        <x:v>DPS</x:v>
      </x:c>
      <x:c r="O191" s="4" t="n">
        <x:f>IFERROR(INDEX('_怪物基线'!$B$2:$B$501,MATCH(INT($L191),'_怪物基线'!$A$2:$A$501,0)),"")</x:f>
        <x:v>88314</x:v>
      </x:c>
      <x:c r="P191" s="4" t="n">
        <x:f>IFERROR(INDEX('_怪物基线'!$C$2:$C$501,MATCH(INT($L191),'_怪物基线'!$A$2:$A$501,0)),"")</x:f>
        <x:v>12330</x:v>
      </x:c>
      <x:c r="Q191" s="4" t="n">
        <x:f>IFERROR(INDEX('_怪物基线'!$D$2:$D$501,MATCH(INT($L191),'_怪物基线'!$A$2:$A$501,0)),"")</x:f>
        <x:v>13848</x:v>
      </x:c>
      <x:c r="R191" s="4" t="n">
        <x:f>'参数'!$B$10</x:f>
        <x:v>4</x:v>
      </x:c>
      <x:c r="S191" s="4" t="n">
        <x:f>'参数'!$C$10</x:f>
        <x:v>1.2</x:v>
      </x:c>
      <x:c r="T191" s="4" t="n">
        <x:f>'参数'!$D$10</x:f>
        <x:v>1</x:v>
      </x:c>
      <x:c r="U191" s="4" t="n">
        <x:f t="shared" si="14">IF($O191="","",$O191*$R191)</x:f>
        <x:v>353256</x:v>
      </x:c>
      <x:c r="V191" s="4" t="n">
        <x:f t="shared" si="15">IF($P191="","",$P191*$S191)</x:f>
        <x:v>14796</x:v>
      </x:c>
      <x:c r="W191" s="4" t="n">
        <x:f t="shared" si="16">IF($Q191="","",$Q191*$T191)</x:f>
        <x:v>13848</x:v>
      </x:c>
      <x:c r="X191" s="4" t="n">
        <x:f>IFERROR(INDEX('参数'!$B$5:$B$7,MATCH($N191,'参数'!$A$5:$A$7,0)),"")</x:f>
        <x:v>1</x:v>
      </x:c>
      <x:c r="Y191" s="4" t="n">
        <x:f>IFERROR(INDEX('参数'!$C$5:$C$7,MATCH($N191,'参数'!$A$5:$A$7,0)),"")</x:f>
        <x:v>1.2</x:v>
      </x:c>
      <x:c r="Z191" s="4" t="n">
        <x:f>IFERROR(INDEX('参数'!$D$5:$D$7,MATCH($N191,'参数'!$A$5:$A$7,0)),"")</x:f>
        <x:v>1</x:v>
      </x:c>
      <x:c r="AA191" s="4" t="n">
        <x:f>IFERROR(INDEX('楼层配置'!$E$5:$E$104,MATCH($K191,'楼层配置'!$B$5:$B$104,0)),1)</x:f>
        <x:v>1.1680522780708513</x:v>
      </x:c>
      <x:c r="AB191" s="4" t="n">
        <x:f>IFERROR(INDEX('楼层配置'!$F$5:$F$104,MATCH($K191,'楼层配置'!$B$5:$B$104,0)),1)</x:f>
        <x:v>0.6690628451441158</x:v>
      </x:c>
      <x:c r="AC191" s="4" t="n">
        <x:f>IFERROR(INDEX('楼层配置'!$G$5:$G$104,MATCH($K191,'楼层配置'!$B$5:$B$104,0)),1)</x:f>
        <x:v>1</x:v>
      </x:c>
      <x:c r="AD191" s="6" t="n">
        <x:f t="shared" si="17">IFERROR($D191/$G191-1,"")</x:f>
        <x:v>-0.06748733849662025</x:v>
      </x:c>
      <x:c r="AE191" s="6" t="n">
        <x:f t="shared" si="18">IFERROR($E191/$H191-1,"")</x:f>
        <x:v>-0.07971800433839482</x:v>
      </x:c>
      <x:c r="AF191" s="6" t="n">
        <x:f t="shared" si="19">IFERROR($F191/$I191-1,"")</x:f>
        <x:v>0.3651419558359621</x:v>
      </x:c>
      <x:c r="AG191" s="4" t="str">
        <x:f t="shared" si="20">IF(AND($A191&gt;=1,$L191&gt;=1,$L191&lt;=500,OR($N191="Tank",$N191="DPS",$N191="Support"),ISNUMBER($D191),ISNUMBER($E191),ISNUMBER($F191)),"有效","异常")</x:f>
        <x:v>有效</x:v>
      </x:c>
      <x:c r="AH191" t="n">
        <x:f>D191/(1-MIN(0.75,F191/(24000+F191)))</x:f>
        <x:v>650703.317</x:v>
      </x:c>
    </x:row>
    <x:row r="192" ht="14.25" customHeight="1">
      <x:c r="A192" s="4">
        <x:v>188</x:v>
      </x:c>
      <x:c r="B192" s="4">
        <x:v>1001</x:v>
      </x:c>
      <x:c r="C192" s="4">
        <x:v>29</x:v>
      </x:c>
      <x:c r="D192" s="5" t="n">
        <x:f>IFERROR(ROUND($U192*$X192*$AA192*'参数'!$B$13,0),"")</x:f>
        <x:v>412621</x:v>
      </x:c>
      <x:c r="E192" s="5" t="n">
        <x:f>IFERROR(ROUND($V192*$Y192*$AB192*'参数'!$C$13,0),"")</x:f>
        <x:v>11879</x:v>
      </x:c>
      <x:c r="F192" s="5" t="n">
        <x:f>IFERROR(ROUND($W192*$Z192*$AC192*'参数'!$D$13,0),"")</x:f>
        <x:v>13848</x:v>
      </x:c>
      <x:c r="G192" s="4">
        <x:v>442483</x:v>
      </x:c>
      <x:c r="H192" s="4">
        <x:v>12908</x:v>
      </x:c>
      <x:c r="I192" s="4">
        <x:v>10144</x:v>
      </x:c>
      <x:c r="J192" s="4">
        <x:v>38</x:v>
      </x:c>
      <x:c r="K192" s="4">
        <x:v>38</x:v>
      </x:c>
      <x:c r="L192" s="4" t="n">
        <x:f>IFERROR(INDEX('楼层配置'!$D$5:$D$104,MATCH($K192,'楼层配置'!$B$5:$B$104,0)),"")</x:f>
        <x:v>152</x:v>
      </x:c>
      <x:c r="M192" s="4" t="str">
        <x:f>IFERROR(INDEX('_角色基线'!$B$2:$B$100,MATCH($B192,'_角色基线'!$A$2:$A$100,0)),"")</x:f>
        <x:v>星海</x:v>
      </x:c>
      <x:c r="N192" s="4" t="str">
        <x:f>IFERROR(INDEX('_角色基线'!$C$2:$C$100,MATCH($B192,'_角色基线'!$A$2:$A$100,0)),"")</x:f>
        <x:v>DPS</x:v>
      </x:c>
      <x:c r="O192" s="4" t="n">
        <x:f>IFERROR(INDEX('_怪物基线'!$B$2:$B$501,MATCH(INT($L192),'_怪物基线'!$A$2:$A$501,0)),"")</x:f>
        <x:v>88314</x:v>
      </x:c>
      <x:c r="P192" s="4" t="n">
        <x:f>IFERROR(INDEX('_怪物基线'!$C$2:$C$501,MATCH(INT($L192),'_怪物基线'!$A$2:$A$501,0)),"")</x:f>
        <x:v>12330</x:v>
      </x:c>
      <x:c r="Q192" s="4" t="n">
        <x:f>IFERROR(INDEX('_怪物基线'!$D$2:$D$501,MATCH(INT($L192),'_怪物基线'!$A$2:$A$501,0)),"")</x:f>
        <x:v>13848</x:v>
      </x:c>
      <x:c r="R192" s="4" t="n">
        <x:f>'参数'!$B$10</x:f>
        <x:v>4</x:v>
      </x:c>
      <x:c r="S192" s="4" t="n">
        <x:f>'参数'!$C$10</x:f>
        <x:v>1.2</x:v>
      </x:c>
      <x:c r="T192" s="4" t="n">
        <x:f>'参数'!$D$10</x:f>
        <x:v>1</x:v>
      </x:c>
      <x:c r="U192" s="4" t="n">
        <x:f t="shared" si="14">IF($O192="","",$O192*$R192)</x:f>
        <x:v>353256</x:v>
      </x:c>
      <x:c r="V192" s="4" t="n">
        <x:f t="shared" si="15">IF($P192="","",$P192*$S192)</x:f>
        <x:v>14796</x:v>
      </x:c>
      <x:c r="W192" s="4" t="n">
        <x:f t="shared" si="16">IF($Q192="","",$Q192*$T192)</x:f>
        <x:v>13848</x:v>
      </x:c>
      <x:c r="X192" s="4" t="n">
        <x:f>IFERROR(INDEX('参数'!$B$5:$B$7,MATCH($N192,'参数'!$A$5:$A$7,0)),"")</x:f>
        <x:v>1</x:v>
      </x:c>
      <x:c r="Y192" s="4" t="n">
        <x:f>IFERROR(INDEX('参数'!$C$5:$C$7,MATCH($N192,'参数'!$A$5:$A$7,0)),"")</x:f>
        <x:v>1.2</x:v>
      </x:c>
      <x:c r="Z192" s="4" t="n">
        <x:f>IFERROR(INDEX('参数'!$D$5:$D$7,MATCH($N192,'参数'!$A$5:$A$7,0)),"")</x:f>
        <x:v>1</x:v>
      </x:c>
      <x:c r="AA192" s="4" t="n">
        <x:f>IFERROR(INDEX('楼层配置'!$E$5:$E$104,MATCH($K192,'楼层配置'!$B$5:$B$104,0)),1)</x:f>
        <x:v>1.1680522780708513</x:v>
      </x:c>
      <x:c r="AB192" s="4" t="n">
        <x:f>IFERROR(INDEX('楼层配置'!$F$5:$F$104,MATCH($K192,'楼层配置'!$B$5:$B$104,0)),1)</x:f>
        <x:v>0.6690628451441158</x:v>
      </x:c>
      <x:c r="AC192" s="4" t="n">
        <x:f>IFERROR(INDEX('楼层配置'!$G$5:$G$104,MATCH($K192,'楼层配置'!$B$5:$B$104,0)),1)</x:f>
        <x:v>1</x:v>
      </x:c>
      <x:c r="AD192" s="6" t="n">
        <x:f t="shared" si="17">IFERROR($D192/$G192-1,"")</x:f>
        <x:v>-0.06748733849662025</x:v>
      </x:c>
      <x:c r="AE192" s="6" t="n">
        <x:f t="shared" si="18">IFERROR($E192/$H192-1,"")</x:f>
        <x:v>-0.07971800433839482</x:v>
      </x:c>
      <x:c r="AF192" s="6" t="n">
        <x:f t="shared" si="19">IFERROR($F192/$I192-1,"")</x:f>
        <x:v>0.3651419558359621</x:v>
      </x:c>
      <x:c r="AG192" s="4" t="str">
        <x:f t="shared" si="20">IF(AND($A192&gt;=1,$L192&gt;=1,$L192&lt;=500,OR($N192="Tank",$N192="DPS",$N192="Support"),ISNUMBER($D192),ISNUMBER($E192),ISNUMBER($F192)),"有效","异常")</x:f>
        <x:v>有效</x:v>
      </x:c>
      <x:c r="AH192" t="n">
        <x:f>D192/(1-MIN(0.75,F192/(24000+F192)))</x:f>
        <x:v>650703.317</x:v>
      </x:c>
    </x:row>
    <x:row r="193" ht="14.25" customHeight="1">
      <x:c r="A193" s="4">
        <x:v>189</x:v>
      </x:c>
      <x:c r="B193" s="4">
        <x:v>1021</x:v>
      </x:c>
      <x:c r="C193" s="4">
        <x:v>29</x:v>
      </x:c>
      <x:c r="D193" s="5" t="n">
        <x:f>IFERROR(ROUND($U193*$X193*$AA193*'参数'!$B$13,0),"")</x:f>
        <x:v>412621</x:v>
      </x:c>
      <x:c r="E193" s="5" t="n">
        <x:f>IFERROR(ROUND($V193*$Y193*$AB193*'参数'!$C$13,0),"")</x:f>
        <x:v>11879</x:v>
      </x:c>
      <x:c r="F193" s="5" t="n">
        <x:f>IFERROR(ROUND($W193*$Z193*$AC193*'参数'!$D$13,0),"")</x:f>
        <x:v>13848</x:v>
      </x:c>
      <x:c r="G193" s="4">
        <x:v>442483</x:v>
      </x:c>
      <x:c r="H193" s="4">
        <x:v>12908</x:v>
      </x:c>
      <x:c r="I193" s="4">
        <x:v>10144</x:v>
      </x:c>
      <x:c r="J193" s="4">
        <x:v>38</x:v>
      </x:c>
      <x:c r="K193" s="4">
        <x:v>38</x:v>
      </x:c>
      <x:c r="L193" s="4" t="n">
        <x:f>IFERROR(INDEX('楼层配置'!$D$5:$D$104,MATCH($K193,'楼层配置'!$B$5:$B$104,0)),"")</x:f>
        <x:v>152</x:v>
      </x:c>
      <x:c r="M193" s="4" t="str">
        <x:f>IFERROR(INDEX('_角色基线'!$B$2:$B$100,MATCH($B193,'_角色基线'!$A$2:$A$100,0)),"")</x:f>
        <x:v>梅梅</x:v>
      </x:c>
      <x:c r="N193" s="4" t="str">
        <x:f>IFERROR(INDEX('_角色基线'!$C$2:$C$100,MATCH($B193,'_角色基线'!$A$2:$A$100,0)),"")</x:f>
        <x:v>DPS</x:v>
      </x:c>
      <x:c r="O193" s="4" t="n">
        <x:f>IFERROR(INDEX('_怪物基线'!$B$2:$B$501,MATCH(INT($L193),'_怪物基线'!$A$2:$A$501,0)),"")</x:f>
        <x:v>88314</x:v>
      </x:c>
      <x:c r="P193" s="4" t="n">
        <x:f>IFERROR(INDEX('_怪物基线'!$C$2:$C$501,MATCH(INT($L193),'_怪物基线'!$A$2:$A$501,0)),"")</x:f>
        <x:v>12330</x:v>
      </x:c>
      <x:c r="Q193" s="4" t="n">
        <x:f>IFERROR(INDEX('_怪物基线'!$D$2:$D$501,MATCH(INT($L193),'_怪物基线'!$A$2:$A$501,0)),"")</x:f>
        <x:v>13848</x:v>
      </x:c>
      <x:c r="R193" s="4" t="n">
        <x:f>'参数'!$B$10</x:f>
        <x:v>4</x:v>
      </x:c>
      <x:c r="S193" s="4" t="n">
        <x:f>'参数'!$C$10</x:f>
        <x:v>1.2</x:v>
      </x:c>
      <x:c r="T193" s="4" t="n">
        <x:f>'参数'!$D$10</x:f>
        <x:v>1</x:v>
      </x:c>
      <x:c r="U193" s="4" t="n">
        <x:f t="shared" si="14">IF($O193="","",$O193*$R193)</x:f>
        <x:v>353256</x:v>
      </x:c>
      <x:c r="V193" s="4" t="n">
        <x:f t="shared" si="15">IF($P193="","",$P193*$S193)</x:f>
        <x:v>14796</x:v>
      </x:c>
      <x:c r="W193" s="4" t="n">
        <x:f t="shared" si="16">IF($Q193="","",$Q193*$T193)</x:f>
        <x:v>13848</x:v>
      </x:c>
      <x:c r="X193" s="4" t="n">
        <x:f>IFERROR(INDEX('参数'!$B$5:$B$7,MATCH($N193,'参数'!$A$5:$A$7,0)),"")</x:f>
        <x:v>1</x:v>
      </x:c>
      <x:c r="Y193" s="4" t="n">
        <x:f>IFERROR(INDEX('参数'!$C$5:$C$7,MATCH($N193,'参数'!$A$5:$A$7,0)),"")</x:f>
        <x:v>1.2</x:v>
      </x:c>
      <x:c r="Z193" s="4" t="n">
        <x:f>IFERROR(INDEX('参数'!$D$5:$D$7,MATCH($N193,'参数'!$A$5:$A$7,0)),"")</x:f>
        <x:v>1</x:v>
      </x:c>
      <x:c r="AA193" s="4" t="n">
        <x:f>IFERROR(INDEX('楼层配置'!$E$5:$E$104,MATCH($K193,'楼层配置'!$B$5:$B$104,0)),1)</x:f>
        <x:v>1.1680522780708513</x:v>
      </x:c>
      <x:c r="AB193" s="4" t="n">
        <x:f>IFERROR(INDEX('楼层配置'!$F$5:$F$104,MATCH($K193,'楼层配置'!$B$5:$B$104,0)),1)</x:f>
        <x:v>0.6690628451441158</x:v>
      </x:c>
      <x:c r="AC193" s="4" t="n">
        <x:f>IFERROR(INDEX('楼层配置'!$G$5:$G$104,MATCH($K193,'楼层配置'!$B$5:$B$104,0)),1)</x:f>
        <x:v>1</x:v>
      </x:c>
      <x:c r="AD193" s="6" t="n">
        <x:f t="shared" si="17">IFERROR($D193/$G193-1,"")</x:f>
        <x:v>-0.06748733849662025</x:v>
      </x:c>
      <x:c r="AE193" s="6" t="n">
        <x:f t="shared" si="18">IFERROR($E193/$H193-1,"")</x:f>
        <x:v>-0.07971800433839482</x:v>
      </x:c>
      <x:c r="AF193" s="6" t="n">
        <x:f t="shared" si="19">IFERROR($F193/$I193-1,"")</x:f>
        <x:v>0.3651419558359621</x:v>
      </x:c>
      <x:c r="AG193" s="4" t="str">
        <x:f t="shared" si="20">IF(AND($A193&gt;=1,$L193&gt;=1,$L193&lt;=500,OR($N193="Tank",$N193="DPS",$N193="Support"),ISNUMBER($D193),ISNUMBER($E193),ISNUMBER($F193)),"有效","异常")</x:f>
        <x:v>有效</x:v>
      </x:c>
      <x:c r="AH193" t="n">
        <x:f>D193/(1-MIN(0.75,F193/(24000+F193)))</x:f>
        <x:v>650703.317</x:v>
      </x:c>
    </x:row>
    <x:row r="194" ht="14.25" customHeight="1">
      <x:c r="A194" s="4">
        <x:v>190</x:v>
      </x:c>
      <x:c r="B194" s="4">
        <x:v>1012</x:v>
      </x:c>
      <x:c r="C194" s="4">
        <x:v>29</x:v>
      </x:c>
      <x:c r="D194" s="5" t="n">
        <x:f>IFERROR(ROUND($U194*$X194*$AA194*'参数'!$B$13,0),"")</x:f>
        <x:v>515777</x:v>
      </x:c>
      <x:c r="E194" s="5" t="n">
        <x:f>IFERROR(ROUND($V194*$Y194*$AB194*'参数'!$C$13,0),"")</x:f>
        <x:v>9899</x:v>
      </x:c>
      <x:c r="F194" s="5" t="n">
        <x:f>IFERROR(ROUND($W194*$Z194*$AC194*'参数'!$D$13,0),"")</x:f>
        <x:v>17310</x:v>
      </x:c>
      <x:c r="G194" s="4">
        <x:v>553104</x:v>
      </x:c>
      <x:c r="H194" s="4">
        <x:v>10757</x:v>
      </x:c>
      <x:c r="I194" s="4">
        <x:v>12681</x:v>
      </x:c>
      <x:c r="J194" s="4">
        <x:v>38</x:v>
      </x:c>
      <x:c r="K194" s="4">
        <x:v>38</x:v>
      </x:c>
      <x:c r="L194" s="4" t="n">
        <x:f>IFERROR(INDEX('楼层配置'!$D$5:$D$104,MATCH($K194,'楼层配置'!$B$5:$B$104,0)),"")</x:f>
        <x:v>152</x:v>
      </x:c>
      <x:c r="M194" s="4" t="str">
        <x:f>IFERROR(INDEX('_角色基线'!$B$2:$B$100,MATCH($B194,'_角色基线'!$A$2:$A$100,0)),"")</x:f>
        <x:v>艾德琳</x:v>
      </x:c>
      <x:c r="N194" s="4" t="str">
        <x:f>IFERROR(INDEX('_角色基线'!$C$2:$C$100,MATCH($B194,'_角色基线'!$A$2:$A$100,0)),"")</x:f>
        <x:v>Support</x:v>
      </x:c>
      <x:c r="O194" s="4" t="n">
        <x:f>IFERROR(INDEX('_怪物基线'!$B$2:$B$501,MATCH(INT($L194),'_怪物基线'!$A$2:$A$501,0)),"")</x:f>
        <x:v>88314</x:v>
      </x:c>
      <x:c r="P194" s="4" t="n">
        <x:f>IFERROR(INDEX('_怪物基线'!$C$2:$C$501,MATCH(INT($L194),'_怪物基线'!$A$2:$A$501,0)),"")</x:f>
        <x:v>12330</x:v>
      </x:c>
      <x:c r="Q194" s="4" t="n">
        <x:f>IFERROR(INDEX('_怪物基线'!$D$2:$D$501,MATCH(INT($L194),'_怪物基线'!$A$2:$A$501,0)),"")</x:f>
        <x:v>13848</x:v>
      </x:c>
      <x:c r="R194" s="4" t="n">
        <x:f>'参数'!$B$10</x:f>
        <x:v>4</x:v>
      </x:c>
      <x:c r="S194" s="4" t="n">
        <x:f>'参数'!$C$10</x:f>
        <x:v>1.2</x:v>
      </x:c>
      <x:c r="T194" s="4" t="n">
        <x:f>'参数'!$D$10</x:f>
        <x:v>1</x:v>
      </x:c>
      <x:c r="U194" s="4" t="n">
        <x:f t="shared" si="14">IF($O194="","",$O194*$R194)</x:f>
        <x:v>353256</x:v>
      </x:c>
      <x:c r="V194" s="4" t="n">
        <x:f t="shared" si="15">IF($P194="","",$P194*$S194)</x:f>
        <x:v>14796</x:v>
      </x:c>
      <x:c r="W194" s="4" t="n">
        <x:f t="shared" si="16">IF($Q194="","",$Q194*$T194)</x:f>
        <x:v>13848</x:v>
      </x:c>
      <x:c r="X194" s="4" t="n">
        <x:f>IFERROR(INDEX('参数'!$B$5:$B$7,MATCH($N194,'参数'!$A$5:$A$7,0)),"")</x:f>
        <x:v>1.25</x:v>
      </x:c>
      <x:c r="Y194" s="4" t="n">
        <x:f>IFERROR(INDEX('参数'!$C$5:$C$7,MATCH($N194,'参数'!$A$5:$A$7,0)),"")</x:f>
        <x:v>1</x:v>
      </x:c>
      <x:c r="Z194" s="4" t="n">
        <x:f>IFERROR(INDEX('参数'!$D$5:$D$7,MATCH($N194,'参数'!$A$5:$A$7,0)),"")</x:f>
        <x:v>1.25</x:v>
      </x:c>
      <x:c r="AA194" s="4" t="n">
        <x:f>IFERROR(INDEX('楼层配置'!$E$5:$E$104,MATCH($K194,'楼层配置'!$B$5:$B$104,0)),1)</x:f>
        <x:v>1.1680522780708513</x:v>
      </x:c>
      <x:c r="AB194" s="4" t="n">
        <x:f>IFERROR(INDEX('楼层配置'!$F$5:$F$104,MATCH($K194,'楼层配置'!$B$5:$B$104,0)),1)</x:f>
        <x:v>0.6690628451441158</x:v>
      </x:c>
      <x:c r="AC194" s="4" t="n">
        <x:f>IFERROR(INDEX('楼层配置'!$G$5:$G$104,MATCH($K194,'楼层配置'!$B$5:$B$104,0)),1)</x:f>
        <x:v>1</x:v>
      </x:c>
      <x:c r="AD194" s="6" t="n">
        <x:f t="shared" si="17">IFERROR($D194/$G194-1,"")</x:f>
        <x:v>-0.06748640400358707</x:v>
      </x:c>
      <x:c r="AE194" s="6" t="n">
        <x:f t="shared" si="18">IFERROR($E194/$H194-1,"")</x:f>
        <x:v>-0.07976201543181183</x:v>
      </x:c>
      <x:c r="AF194" s="6" t="n">
        <x:f t="shared" si="19">IFERROR($F194/$I194-1,"")</x:f>
        <x:v>0.36503430328838427</x:v>
      </x:c>
      <x:c r="AG194" s="4" t="str">
        <x:f t="shared" si="20">IF(AND($A194&gt;=1,$L194&gt;=1,$L194&lt;=500,OR($N194="Tank",$N194="DPS",$N194="Support"),ISNUMBER($D194),ISNUMBER($E194),ISNUMBER($F194)),"有效","异常")</x:f>
        <x:v>有效</x:v>
      </x:c>
      <x:c r="AH194" t="n">
        <x:f>D194/(1-MIN(0.75,F194/(24000+F194)))</x:f>
        <x:v>887781.16125</x:v>
      </x:c>
    </x:row>
    <x:row r="195" ht="14.25" customHeight="1">
      <x:c r="A195" s="4">
        <x:v>191</x:v>
      </x:c>
      <x:c r="B195" s="4">
        <x:v>1002</x:v>
      </x:c>
      <x:c r="C195" s="4">
        <x:v>29</x:v>
      </x:c>
      <x:c r="D195" s="5" t="n">
        <x:f>IFERROR(ROUND($U195*$X195*$AA195*'参数'!$B$13,0),"")</x:f>
        <x:v>659945</x:v>
      </x:c>
      <x:c r="E195" s="5" t="n">
        <x:f>IFERROR(ROUND($V195*$Y195*$AB195*'参数'!$C$13,0),"")</x:f>
        <x:v>10349</x:v>
      </x:c>
      <x:c r="F195" s="5" t="n">
        <x:f>IFERROR(ROUND($W195*$Z195*$AC195*'参数'!$D$13,0),"")</x:f>
        <x:v>21426</x:v>
      </x:c>
      <x:c r="G195" s="4">
        <x:v>700034</x:v>
      </x:c>
      <x:c r="H195" s="4">
        <x:v>11137</x:v>
      </x:c>
      <x:c r="I195" s="4">
        <x:v>15672</x:v>
      </x:c>
      <x:c r="J195" s="4">
        <x:v>39</x:v>
      </x:c>
      <x:c r="K195" s="4">
        <x:v>39</x:v>
      </x:c>
      <x:c r="L195" s="4" t="n">
        <x:f>IFERROR(INDEX('楼层配置'!$D$5:$D$104,MATCH($K195,'楼层配置'!$B$5:$B$104,0)),"")</x:f>
        <x:v>156</x:v>
      </x:c>
      <x:c r="M195" s="4" t="str">
        <x:f>IFERROR(INDEX('_角色基线'!$B$2:$B$100,MATCH($B195,'_角色基线'!$A$2:$A$100,0)),"")</x:f>
        <x:v>大暑</x:v>
      </x:c>
      <x:c r="N195" s="4" t="str">
        <x:f>IFERROR(INDEX('_角色基线'!$C$2:$C$100,MATCH($B195,'_角色基线'!$A$2:$A$100,0)),"")</x:f>
        <x:v>Tank</x:v>
      </x:c>
      <x:c r="O195" s="4" t="n">
        <x:f>IFERROR(INDEX('_怪物基线'!$B$2:$B$501,MATCH(INT($L195),'_怪物基线'!$A$2:$A$501,0)),"")</x:f>
        <x:v>93540</x:v>
      </x:c>
      <x:c r="P195" s="4" t="n">
        <x:f>IFERROR(INDEX('_怪物基线'!$C$2:$C$501,MATCH(INT($L195),'_怪物基线'!$A$2:$A$501,0)),"")</x:f>
        <x:v>12852</x:v>
      </x:c>
      <x:c r="Q195" s="4" t="n">
        <x:f>IFERROR(INDEX('_怪物基线'!$D$2:$D$501,MATCH(INT($L195),'_怪物基线'!$A$2:$A$501,0)),"")</x:f>
        <x:v>14284</x:v>
      </x:c>
      <x:c r="R195" s="4" t="n">
        <x:f>'参数'!$B$10</x:f>
        <x:v>4</x:v>
      </x:c>
      <x:c r="S195" s="4" t="n">
        <x:f>'参数'!$C$10</x:f>
        <x:v>1.2</x:v>
      </x:c>
      <x:c r="T195" s="4" t="n">
        <x:f>'参数'!$D$10</x:f>
        <x:v>1</x:v>
      </x:c>
      <x:c r="U195" s="4" t="n">
        <x:f t="shared" si="14">IF($O195="","",$O195*$R195)</x:f>
        <x:v>374160</x:v>
      </x:c>
      <x:c r="V195" s="4" t="n">
        <x:f t="shared" si="15">IF($P195="","",$P195*$S195)</x:f>
        <x:v>15422.4</x:v>
      </x:c>
      <x:c r="W195" s="4" t="n">
        <x:f t="shared" si="16">IF($Q195="","",$Q195*$T195)</x:f>
        <x:v>14284</x:v>
      </x:c>
      <x:c r="X195" s="4" t="n">
        <x:f>IFERROR(INDEX('参数'!$B$5:$B$7,MATCH($N195,'参数'!$A$5:$A$7,0)),"")</x:f>
        <x:v>1.5</x:v>
      </x:c>
      <x:c r="Y195" s="4" t="n">
        <x:f>IFERROR(INDEX('参数'!$C$5:$C$7,MATCH($N195,'参数'!$A$5:$A$7,0)),"")</x:f>
        <x:v>1</x:v>
      </x:c>
      <x:c r="Z195" s="4" t="n">
        <x:f>IFERROR(INDEX('参数'!$D$5:$D$7,MATCH($N195,'参数'!$A$5:$A$7,0)),"")</x:f>
        <x:v>1.5</x:v>
      </x:c>
      <x:c r="AA195" s="4" t="n">
        <x:f>IFERROR(INDEX('楼层配置'!$E$5:$E$104,MATCH($K195,'楼层配置'!$B$5:$B$104,0)),1)</x:f>
        <x:v>1.1758697393105606</x:v>
      </x:c>
      <x:c r="AB195" s="4" t="n">
        <x:f>IFERROR(INDEX('楼层配置'!$F$5:$F$104,MATCH($K195,'楼层配置'!$B$5:$B$104,0)),1)</x:f>
        <x:v>0.6710143005578638</x:v>
      </x:c>
      <x:c r="AC195" s="4" t="n">
        <x:f>IFERROR(INDEX('楼层配置'!$G$5:$G$104,MATCH($K195,'楼层配置'!$B$5:$B$104,0)),1)</x:f>
        <x:v>1</x:v>
      </x:c>
      <x:c r="AD195" s="6" t="n">
        <x:f t="shared" si="17">IFERROR($D195/$G195-1,"")</x:f>
        <x:v>-0.057267218449389645</x:v>
      </x:c>
      <x:c r="AE195" s="6" t="n">
        <x:f t="shared" si="18">IFERROR($E195/$H195-1,"")</x:f>
        <x:v>-0.07075514052258236</x:v>
      </x:c>
      <x:c r="AF195" s="6" t="n">
        <x:f t="shared" si="19">IFERROR($F195/$I195-1,"")</x:f>
        <x:v>0.36715160796324664</x:v>
      </x:c>
      <x:c r="AG195" s="4" t="str">
        <x:f t="shared" si="20">IF(AND($A195&gt;=1,$L195&gt;=1,$L195&lt;=500,OR($N195="Tank",$N195="DPS",$N195="Support"),ISNUMBER($D195),ISNUMBER($E195),ISNUMBER($F195)),"有效","异常")</x:f>
        <x:v>有效</x:v>
      </x:c>
      <x:c r="AH195" t="n">
        <x:f>D195/(1-MIN(0.75,F195/(24000+F195)))</x:f>
        <x:v>1249110.8987499997</x:v>
      </x:c>
    </x:row>
    <x:row r="196" ht="14.25" customHeight="1">
      <x:c r="A196" s="4">
        <x:v>192</x:v>
      </x:c>
      <x:c r="B196" s="4">
        <x:v>1002</x:v>
      </x:c>
      <x:c r="C196" s="4">
        <x:v>29</x:v>
      </x:c>
      <x:c r="D196" s="5" t="n">
        <x:f>IFERROR(ROUND($U196*$X196*$AA196*'参数'!$B$13,0),"")</x:f>
        <x:v>659945</x:v>
      </x:c>
      <x:c r="E196" s="5" t="n">
        <x:f>IFERROR(ROUND($V196*$Y196*$AB196*'参数'!$C$13,0),"")</x:f>
        <x:v>10349</x:v>
      </x:c>
      <x:c r="F196" s="5" t="n">
        <x:f>IFERROR(ROUND($W196*$Z196*$AC196*'参数'!$D$13,0),"")</x:f>
        <x:v>21426</x:v>
      </x:c>
      <x:c r="G196" s="4">
        <x:v>700034</x:v>
      </x:c>
      <x:c r="H196" s="4">
        <x:v>11137</x:v>
      </x:c>
      <x:c r="I196" s="4">
        <x:v>15672</x:v>
      </x:c>
      <x:c r="J196" s="4">
        <x:v>39</x:v>
      </x:c>
      <x:c r="K196" s="4">
        <x:v>39</x:v>
      </x:c>
      <x:c r="L196" s="4" t="n">
        <x:f>IFERROR(INDEX('楼层配置'!$D$5:$D$104,MATCH($K196,'楼层配置'!$B$5:$B$104,0)),"")</x:f>
        <x:v>156</x:v>
      </x:c>
      <x:c r="M196" s="4" t="str">
        <x:f>IFERROR(INDEX('_角色基线'!$B$2:$B$100,MATCH($B196,'_角色基线'!$A$2:$A$100,0)),"")</x:f>
        <x:v>大暑</x:v>
      </x:c>
      <x:c r="N196" s="4" t="str">
        <x:f>IFERROR(INDEX('_角色基线'!$C$2:$C$100,MATCH($B196,'_角色基线'!$A$2:$A$100,0)),"")</x:f>
        <x:v>Tank</x:v>
      </x:c>
      <x:c r="O196" s="4" t="n">
        <x:f>IFERROR(INDEX('_怪物基线'!$B$2:$B$501,MATCH(INT($L196),'_怪物基线'!$A$2:$A$501,0)),"")</x:f>
        <x:v>93540</x:v>
      </x:c>
      <x:c r="P196" s="4" t="n">
        <x:f>IFERROR(INDEX('_怪物基线'!$C$2:$C$501,MATCH(INT($L196),'_怪物基线'!$A$2:$A$501,0)),"")</x:f>
        <x:v>12852</x:v>
      </x:c>
      <x:c r="Q196" s="4" t="n">
        <x:f>IFERROR(INDEX('_怪物基线'!$D$2:$D$501,MATCH(INT($L196),'_怪物基线'!$A$2:$A$501,0)),"")</x:f>
        <x:v>14284</x:v>
      </x:c>
      <x:c r="R196" s="4" t="n">
        <x:f>'参数'!$B$10</x:f>
        <x:v>4</x:v>
      </x:c>
      <x:c r="S196" s="4" t="n">
        <x:f>'参数'!$C$10</x:f>
        <x:v>1.2</x:v>
      </x:c>
      <x:c r="T196" s="4" t="n">
        <x:f>'参数'!$D$10</x:f>
        <x:v>1</x:v>
      </x:c>
      <x:c r="U196" s="4" t="n">
        <x:f t="shared" si="14">IF($O196="","",$O196*$R196)</x:f>
        <x:v>374160</x:v>
      </x:c>
      <x:c r="V196" s="4" t="n">
        <x:f t="shared" si="15">IF($P196="","",$P196*$S196)</x:f>
        <x:v>15422.4</x:v>
      </x:c>
      <x:c r="W196" s="4" t="n">
        <x:f t="shared" si="16">IF($Q196="","",$Q196*$T196)</x:f>
        <x:v>14284</x:v>
      </x:c>
      <x:c r="X196" s="4" t="n">
        <x:f>IFERROR(INDEX('参数'!$B$5:$B$7,MATCH($N196,'参数'!$A$5:$A$7,0)),"")</x:f>
        <x:v>1.5</x:v>
      </x:c>
      <x:c r="Y196" s="4" t="n">
        <x:f>IFERROR(INDEX('参数'!$C$5:$C$7,MATCH($N196,'参数'!$A$5:$A$7,0)),"")</x:f>
        <x:v>1</x:v>
      </x:c>
      <x:c r="Z196" s="4" t="n">
        <x:f>IFERROR(INDEX('参数'!$D$5:$D$7,MATCH($N196,'参数'!$A$5:$A$7,0)),"")</x:f>
        <x:v>1.5</x:v>
      </x:c>
      <x:c r="AA196" s="4" t="n">
        <x:f>IFERROR(INDEX('楼层配置'!$E$5:$E$104,MATCH($K196,'楼层配置'!$B$5:$B$104,0)),1)</x:f>
        <x:v>1.1758697393105606</x:v>
      </x:c>
      <x:c r="AB196" s="4" t="n">
        <x:f>IFERROR(INDEX('楼层配置'!$F$5:$F$104,MATCH($K196,'楼层配置'!$B$5:$B$104,0)),1)</x:f>
        <x:v>0.6710143005578638</x:v>
      </x:c>
      <x:c r="AC196" s="4" t="n">
        <x:f>IFERROR(INDEX('楼层配置'!$G$5:$G$104,MATCH($K196,'楼层配置'!$B$5:$B$104,0)),1)</x:f>
        <x:v>1</x:v>
      </x:c>
      <x:c r="AD196" s="6" t="n">
        <x:f t="shared" si="17">IFERROR($D196/$G196-1,"")</x:f>
        <x:v>-0.057267218449389645</x:v>
      </x:c>
      <x:c r="AE196" s="6" t="n">
        <x:f t="shared" si="18">IFERROR($E196/$H196-1,"")</x:f>
        <x:v>-0.07075514052258236</x:v>
      </x:c>
      <x:c r="AF196" s="6" t="n">
        <x:f t="shared" si="19">IFERROR($F196/$I196-1,"")</x:f>
        <x:v>0.36715160796324664</x:v>
      </x:c>
      <x:c r="AG196" s="4" t="str">
        <x:f t="shared" si="20">IF(AND($A196&gt;=1,$L196&gt;=1,$L196&lt;=500,OR($N196="Tank",$N196="DPS",$N196="Support"),ISNUMBER($D196),ISNUMBER($E196),ISNUMBER($F196)),"有效","异常")</x:f>
        <x:v>有效</x:v>
      </x:c>
      <x:c r="AH196" t="n">
        <x:f>D196/(1-MIN(0.75,F196/(24000+F196)))</x:f>
        <x:v>1249110.8987499997</x:v>
      </x:c>
    </x:row>
    <x:row r="197" ht="14.25" customHeight="1">
      <x:c r="A197" s="4">
        <x:v>193</x:v>
      </x:c>
      <x:c r="B197" s="4">
        <x:v>1024</x:v>
      </x:c>
      <x:c r="C197" s="4">
        <x:v>29</x:v>
      </x:c>
      <x:c r="D197" s="5" t="n">
        <x:f>IFERROR(ROUND($U197*$X197*$AA197*'参数'!$B$13,0),"")</x:f>
        <x:v>439963</x:v>
      </x:c>
      <x:c r="E197" s="5" t="n">
        <x:f>IFERROR(ROUND($V197*$Y197*$AB197*'参数'!$C$13,0),"")</x:f>
        <x:v>12418</x:v>
      </x:c>
      <x:c r="F197" s="5" t="n">
        <x:f>IFERROR(ROUND($W197*$Z197*$AC197*'参数'!$D$13,0),"")</x:f>
        <x:v>14284</x:v>
      </x:c>
      <x:c r="G197" s="4">
        <x:v>466689</x:v>
      </x:c>
      <x:c r="H197" s="4">
        <x:v>13364</x:v>
      </x:c>
      <x:c r="I197" s="4">
        <x:v>10448</x:v>
      </x:c>
      <x:c r="J197" s="4">
        <x:v>39</x:v>
      </x:c>
      <x:c r="K197" s="4">
        <x:v>39</x:v>
      </x:c>
      <x:c r="L197" s="4" t="n">
        <x:f>IFERROR(INDEX('楼层配置'!$D$5:$D$104,MATCH($K197,'楼层配置'!$B$5:$B$104,0)),"")</x:f>
        <x:v>156</x:v>
      </x:c>
      <x:c r="M197" s="4" t="str">
        <x:f>IFERROR(INDEX('_角色基线'!$B$2:$B$100,MATCH($B197,'_角色基线'!$A$2:$A$100,0)),"")</x:f>
        <x:v>卡薇</x:v>
      </x:c>
      <x:c r="N197" s="4" t="str">
        <x:f>IFERROR(INDEX('_角色基线'!$C$2:$C$100,MATCH($B197,'_角色基线'!$A$2:$A$100,0)),"")</x:f>
        <x:v>DPS</x:v>
      </x:c>
      <x:c r="O197" s="4" t="n">
        <x:f>IFERROR(INDEX('_怪物基线'!$B$2:$B$501,MATCH(INT($L197),'_怪物基线'!$A$2:$A$501,0)),"")</x:f>
        <x:v>93540</x:v>
      </x:c>
      <x:c r="P197" s="4" t="n">
        <x:f>IFERROR(INDEX('_怪物基线'!$C$2:$C$501,MATCH(INT($L197),'_怪物基线'!$A$2:$A$501,0)),"")</x:f>
        <x:v>12852</x:v>
      </x:c>
      <x:c r="Q197" s="4" t="n">
        <x:f>IFERROR(INDEX('_怪物基线'!$D$2:$D$501,MATCH(INT($L197),'_怪物基线'!$A$2:$A$501,0)),"")</x:f>
        <x:v>14284</x:v>
      </x:c>
      <x:c r="R197" s="4" t="n">
        <x:f>'参数'!$B$10</x:f>
        <x:v>4</x:v>
      </x:c>
      <x:c r="S197" s="4" t="n">
        <x:f>'参数'!$C$10</x:f>
        <x:v>1.2</x:v>
      </x:c>
      <x:c r="T197" s="4" t="n">
        <x:f>'参数'!$D$10</x:f>
        <x:v>1</x:v>
      </x:c>
      <x:c r="U197" s="4" t="n">
        <x:f t="shared" ref="U197:U260" si="21">IF($O197="","",$O197*$R197)</x:f>
        <x:v>374160</x:v>
      </x:c>
      <x:c r="V197" s="4" t="n">
        <x:f t="shared" ref="V197:V260" si="22">IF($P197="","",$P197*$S197)</x:f>
        <x:v>15422.4</x:v>
      </x:c>
      <x:c r="W197" s="4" t="n">
        <x:f t="shared" ref="W197:W260" si="23">IF($Q197="","",$Q197*$T197)</x:f>
        <x:v>14284</x:v>
      </x:c>
      <x:c r="X197" s="4" t="n">
        <x:f>IFERROR(INDEX('参数'!$B$5:$B$7,MATCH($N197,'参数'!$A$5:$A$7,0)),"")</x:f>
        <x:v>1</x:v>
      </x:c>
      <x:c r="Y197" s="4" t="n">
        <x:f>IFERROR(INDEX('参数'!$C$5:$C$7,MATCH($N197,'参数'!$A$5:$A$7,0)),"")</x:f>
        <x:v>1.2</x:v>
      </x:c>
      <x:c r="Z197" s="4" t="n">
        <x:f>IFERROR(INDEX('参数'!$D$5:$D$7,MATCH($N197,'参数'!$A$5:$A$7,0)),"")</x:f>
        <x:v>1</x:v>
      </x:c>
      <x:c r="AA197" s="4" t="n">
        <x:f>IFERROR(INDEX('楼层配置'!$E$5:$E$104,MATCH($K197,'楼层配置'!$B$5:$B$104,0)),1)</x:f>
        <x:v>1.1758697393105606</x:v>
      </x:c>
      <x:c r="AB197" s="4" t="n">
        <x:f>IFERROR(INDEX('楼层配置'!$F$5:$F$104,MATCH($K197,'楼层配置'!$B$5:$B$104,0)),1)</x:f>
        <x:v>0.6710143005578638</x:v>
      </x:c>
      <x:c r="AC197" s="4" t="n">
        <x:f>IFERROR(INDEX('楼层配置'!$G$5:$G$104,MATCH($K197,'楼层配置'!$B$5:$B$104,0)),1)</x:f>
        <x:v>1</x:v>
      </x:c>
      <x:c r="AD197" s="6" t="n">
        <x:f t="shared" ref="AD197:AD260" si="24">IFERROR($D197/$G197-1,"")</x:f>
        <x:v>-0.05726725935258814</x:v>
      </x:c>
      <x:c r="AE197" s="6" t="n">
        <x:f t="shared" ref="AE197:AE260" si="25">IFERROR($E197/$H197-1,"")</x:f>
        <x:v>-0.07078718946423224</x:v>
      </x:c>
      <x:c r="AF197" s="6" t="n">
        <x:f t="shared" ref="AF197:AF260" si="26">IFERROR($F197/$I197-1,"")</x:f>
        <x:v>0.36715160796324664</x:v>
      </x:c>
      <x:c r="AG197" s="4" t="str">
        <x:f t="shared" ref="AG197:AG260" si="27">IF(AND($A197&gt;=1,$L197&gt;=1,$L197&lt;=500,OR($N197="Tank",$N197="DPS",$N197="Support"),ISNUMBER($D197),ISNUMBER($E197),ISNUMBER($F197)),"有效","异常")</x:f>
        <x:v>有效</x:v>
      </x:c>
      <x:c r="AH197" t="n">
        <x:f>D197/(1-MIN(0.75,F197/(24000+F197)))</x:f>
        <x:v>701814.3121666667</x:v>
      </x:c>
    </x:row>
    <x:row r="198" ht="14.25" customHeight="1">
      <x:c r="A198" s="4">
        <x:v>194</x:v>
      </x:c>
      <x:c r="B198" s="4">
        <x:v>1021</x:v>
      </x:c>
      <x:c r="C198" s="4">
        <x:v>29</x:v>
      </x:c>
      <x:c r="D198" s="5" t="n">
        <x:f>IFERROR(ROUND($U198*$X198*$AA198*'参数'!$B$13,0),"")</x:f>
        <x:v>439963</x:v>
      </x:c>
      <x:c r="E198" s="5" t="n">
        <x:f>IFERROR(ROUND($V198*$Y198*$AB198*'参数'!$C$13,0),"")</x:f>
        <x:v>12418</x:v>
      </x:c>
      <x:c r="F198" s="5" t="n">
        <x:f>IFERROR(ROUND($W198*$Z198*$AC198*'参数'!$D$13,0),"")</x:f>
        <x:v>14284</x:v>
      </x:c>
      <x:c r="G198" s="4">
        <x:v>466689</x:v>
      </x:c>
      <x:c r="H198" s="4">
        <x:v>13364</x:v>
      </x:c>
      <x:c r="I198" s="4">
        <x:v>10448</x:v>
      </x:c>
      <x:c r="J198" s="4">
        <x:v>39</x:v>
      </x:c>
      <x:c r="K198" s="4">
        <x:v>39</x:v>
      </x:c>
      <x:c r="L198" s="4" t="n">
        <x:f>IFERROR(INDEX('楼层配置'!$D$5:$D$104,MATCH($K198,'楼层配置'!$B$5:$B$104,0)),"")</x:f>
        <x:v>156</x:v>
      </x:c>
      <x:c r="M198" s="4" t="str">
        <x:f>IFERROR(INDEX('_角色基线'!$B$2:$B$100,MATCH($B198,'_角色基线'!$A$2:$A$100,0)),"")</x:f>
        <x:v>梅梅</x:v>
      </x:c>
      <x:c r="N198" s="4" t="str">
        <x:f>IFERROR(INDEX('_角色基线'!$C$2:$C$100,MATCH($B198,'_角色基线'!$A$2:$A$100,0)),"")</x:f>
        <x:v>DPS</x:v>
      </x:c>
      <x:c r="O198" s="4" t="n">
        <x:f>IFERROR(INDEX('_怪物基线'!$B$2:$B$501,MATCH(INT($L198),'_怪物基线'!$A$2:$A$501,0)),"")</x:f>
        <x:v>93540</x:v>
      </x:c>
      <x:c r="P198" s="4" t="n">
        <x:f>IFERROR(INDEX('_怪物基线'!$C$2:$C$501,MATCH(INT($L198),'_怪物基线'!$A$2:$A$501,0)),"")</x:f>
        <x:v>12852</x:v>
      </x:c>
      <x:c r="Q198" s="4" t="n">
        <x:f>IFERROR(INDEX('_怪物基线'!$D$2:$D$501,MATCH(INT($L198),'_怪物基线'!$A$2:$A$501,0)),"")</x:f>
        <x:v>14284</x:v>
      </x:c>
      <x:c r="R198" s="4" t="n">
        <x:f>'参数'!$B$10</x:f>
        <x:v>4</x:v>
      </x:c>
      <x:c r="S198" s="4" t="n">
        <x:f>'参数'!$C$10</x:f>
        <x:v>1.2</x:v>
      </x:c>
      <x:c r="T198" s="4" t="n">
        <x:f>'参数'!$D$10</x:f>
        <x:v>1</x:v>
      </x:c>
      <x:c r="U198" s="4" t="n">
        <x:f t="shared" si="21">IF($O198="","",$O198*$R198)</x:f>
        <x:v>374160</x:v>
      </x:c>
      <x:c r="V198" s="4" t="n">
        <x:f t="shared" si="22">IF($P198="","",$P198*$S198)</x:f>
        <x:v>15422.4</x:v>
      </x:c>
      <x:c r="W198" s="4" t="n">
        <x:f t="shared" si="23">IF($Q198="","",$Q198*$T198)</x:f>
        <x:v>14284</x:v>
      </x:c>
      <x:c r="X198" s="4" t="n">
        <x:f>IFERROR(INDEX('参数'!$B$5:$B$7,MATCH($N198,'参数'!$A$5:$A$7,0)),"")</x:f>
        <x:v>1</x:v>
      </x:c>
      <x:c r="Y198" s="4" t="n">
        <x:f>IFERROR(INDEX('参数'!$C$5:$C$7,MATCH($N198,'参数'!$A$5:$A$7,0)),"")</x:f>
        <x:v>1.2</x:v>
      </x:c>
      <x:c r="Z198" s="4" t="n">
        <x:f>IFERROR(INDEX('参数'!$D$5:$D$7,MATCH($N198,'参数'!$A$5:$A$7,0)),"")</x:f>
        <x:v>1</x:v>
      </x:c>
      <x:c r="AA198" s="4" t="n">
        <x:f>IFERROR(INDEX('楼层配置'!$E$5:$E$104,MATCH($K198,'楼层配置'!$B$5:$B$104,0)),1)</x:f>
        <x:v>1.1758697393105606</x:v>
      </x:c>
      <x:c r="AB198" s="4" t="n">
        <x:f>IFERROR(INDEX('楼层配置'!$F$5:$F$104,MATCH($K198,'楼层配置'!$B$5:$B$104,0)),1)</x:f>
        <x:v>0.6710143005578638</x:v>
      </x:c>
      <x:c r="AC198" s="4" t="n">
        <x:f>IFERROR(INDEX('楼层配置'!$G$5:$G$104,MATCH($K198,'楼层配置'!$B$5:$B$104,0)),1)</x:f>
        <x:v>1</x:v>
      </x:c>
      <x:c r="AD198" s="6" t="n">
        <x:f t="shared" si="24">IFERROR($D198/$G198-1,"")</x:f>
        <x:v>-0.05726725935258814</x:v>
      </x:c>
      <x:c r="AE198" s="6" t="n">
        <x:f t="shared" si="25">IFERROR($E198/$H198-1,"")</x:f>
        <x:v>-0.07078718946423224</x:v>
      </x:c>
      <x:c r="AF198" s="6" t="n">
        <x:f t="shared" si="26">IFERROR($F198/$I198-1,"")</x:f>
        <x:v>0.36715160796324664</x:v>
      </x:c>
      <x:c r="AG198" s="4" t="str">
        <x:f t="shared" si="27">IF(AND($A198&gt;=1,$L198&gt;=1,$L198&lt;=500,OR($N198="Tank",$N198="DPS",$N198="Support"),ISNUMBER($D198),ISNUMBER($E198),ISNUMBER($F198)),"有效","异常")</x:f>
        <x:v>有效</x:v>
      </x:c>
      <x:c r="AH198" t="n">
        <x:f>D198/(1-MIN(0.75,F198/(24000+F198)))</x:f>
        <x:v>701814.3121666667</x:v>
      </x:c>
    </x:row>
    <x:row r="199" ht="14.25" customHeight="1">
      <x:c r="A199" s="4">
        <x:v>195</x:v>
      </x:c>
      <x:c r="B199" s="4">
        <x:v>1026</x:v>
      </x:c>
      <x:c r="C199" s="4">
        <x:v>29</x:v>
      </x:c>
      <x:c r="D199" s="5" t="n">
        <x:f>IFERROR(ROUND($U199*$X199*$AA199*'参数'!$B$13,0),"")</x:f>
        <x:v>439963</x:v>
      </x:c>
      <x:c r="E199" s="5" t="n">
        <x:f>IFERROR(ROUND($V199*$Y199*$AB199*'参数'!$C$13,0),"")</x:f>
        <x:v>12418</x:v>
      </x:c>
      <x:c r="F199" s="5" t="n">
        <x:f>IFERROR(ROUND($W199*$Z199*$AC199*'参数'!$D$13,0),"")</x:f>
        <x:v>14284</x:v>
      </x:c>
      <x:c r="G199" s="4">
        <x:v>466689</x:v>
      </x:c>
      <x:c r="H199" s="4">
        <x:v>13364</x:v>
      </x:c>
      <x:c r="I199" s="4">
        <x:v>10448</x:v>
      </x:c>
      <x:c r="J199" s="4">
        <x:v>39</x:v>
      </x:c>
      <x:c r="K199" s="4">
        <x:v>39</x:v>
      </x:c>
      <x:c r="L199" s="4" t="n">
        <x:f>IFERROR(INDEX('楼层配置'!$D$5:$D$104,MATCH($K199,'楼层配置'!$B$5:$B$104,0)),"")</x:f>
        <x:v>156</x:v>
      </x:c>
      <x:c r="M199" s="4" t="str">
        <x:f>IFERROR(INDEX('_角色基线'!$B$2:$B$100,MATCH($B199,'_角色基线'!$A$2:$A$100,0)),"")</x:f>
        <x:v>乔一</x:v>
      </x:c>
      <x:c r="N199" s="4" t="str">
        <x:f>IFERROR(INDEX('_角色基线'!$C$2:$C$100,MATCH($B199,'_角色基线'!$A$2:$A$100,0)),"")</x:f>
        <x:v>DPS</x:v>
      </x:c>
      <x:c r="O199" s="4" t="n">
        <x:f>IFERROR(INDEX('_怪物基线'!$B$2:$B$501,MATCH(INT($L199),'_怪物基线'!$A$2:$A$501,0)),"")</x:f>
        <x:v>93540</x:v>
      </x:c>
      <x:c r="P199" s="4" t="n">
        <x:f>IFERROR(INDEX('_怪物基线'!$C$2:$C$501,MATCH(INT($L199),'_怪物基线'!$A$2:$A$501,0)),"")</x:f>
        <x:v>12852</x:v>
      </x:c>
      <x:c r="Q199" s="4" t="n">
        <x:f>IFERROR(INDEX('_怪物基线'!$D$2:$D$501,MATCH(INT($L199),'_怪物基线'!$A$2:$A$501,0)),"")</x:f>
        <x:v>14284</x:v>
      </x:c>
      <x:c r="R199" s="4" t="n">
        <x:f>'参数'!$B$10</x:f>
        <x:v>4</x:v>
      </x:c>
      <x:c r="S199" s="4" t="n">
        <x:f>'参数'!$C$10</x:f>
        <x:v>1.2</x:v>
      </x:c>
      <x:c r="T199" s="4" t="n">
        <x:f>'参数'!$D$10</x:f>
        <x:v>1</x:v>
      </x:c>
      <x:c r="U199" s="4" t="n">
        <x:f t="shared" si="21">IF($O199="","",$O199*$R199)</x:f>
        <x:v>374160</x:v>
      </x:c>
      <x:c r="V199" s="4" t="n">
        <x:f t="shared" si="22">IF($P199="","",$P199*$S199)</x:f>
        <x:v>15422.4</x:v>
      </x:c>
      <x:c r="W199" s="4" t="n">
        <x:f t="shared" si="23">IF($Q199="","",$Q199*$T199)</x:f>
        <x:v>14284</x:v>
      </x:c>
      <x:c r="X199" s="4" t="n">
        <x:f>IFERROR(INDEX('参数'!$B$5:$B$7,MATCH($N199,'参数'!$A$5:$A$7,0)),"")</x:f>
        <x:v>1</x:v>
      </x:c>
      <x:c r="Y199" s="4" t="n">
        <x:f>IFERROR(INDEX('参数'!$C$5:$C$7,MATCH($N199,'参数'!$A$5:$A$7,0)),"")</x:f>
        <x:v>1.2</x:v>
      </x:c>
      <x:c r="Z199" s="4" t="n">
        <x:f>IFERROR(INDEX('参数'!$D$5:$D$7,MATCH($N199,'参数'!$A$5:$A$7,0)),"")</x:f>
        <x:v>1</x:v>
      </x:c>
      <x:c r="AA199" s="4" t="n">
        <x:f>IFERROR(INDEX('楼层配置'!$E$5:$E$104,MATCH($K199,'楼层配置'!$B$5:$B$104,0)),1)</x:f>
        <x:v>1.1758697393105606</x:v>
      </x:c>
      <x:c r="AB199" s="4" t="n">
        <x:f>IFERROR(INDEX('楼层配置'!$F$5:$F$104,MATCH($K199,'楼层配置'!$B$5:$B$104,0)),1)</x:f>
        <x:v>0.6710143005578638</x:v>
      </x:c>
      <x:c r="AC199" s="4" t="n">
        <x:f>IFERROR(INDEX('楼层配置'!$G$5:$G$104,MATCH($K199,'楼层配置'!$B$5:$B$104,0)),1)</x:f>
        <x:v>1</x:v>
      </x:c>
      <x:c r="AD199" s="6" t="n">
        <x:f t="shared" si="24">IFERROR($D199/$G199-1,"")</x:f>
        <x:v>-0.05726725935258814</x:v>
      </x:c>
      <x:c r="AE199" s="6" t="n">
        <x:f t="shared" si="25">IFERROR($E199/$H199-1,"")</x:f>
        <x:v>-0.07078718946423224</x:v>
      </x:c>
      <x:c r="AF199" s="6" t="n">
        <x:f t="shared" si="26">IFERROR($F199/$I199-1,"")</x:f>
        <x:v>0.36715160796324664</x:v>
      </x:c>
      <x:c r="AG199" s="4" t="str">
        <x:f t="shared" si="27">IF(AND($A199&gt;=1,$L199&gt;=1,$L199&lt;=500,OR($N199="Tank",$N199="DPS",$N199="Support"),ISNUMBER($D199),ISNUMBER($E199),ISNUMBER($F199)),"有效","异常")</x:f>
        <x:v>有效</x:v>
      </x:c>
      <x:c r="AH199" t="n">
        <x:f>D199/(1-MIN(0.75,F199/(24000+F199)))</x:f>
        <x:v>701814.3121666667</x:v>
      </x:c>
    </x:row>
    <x:row r="200" ht="14.25" customHeight="1">
      <x:c r="A200" s="4">
        <x:v>196</x:v>
      </x:c>
      <x:c r="B200" s="4">
        <x:v>1002</x:v>
      </x:c>
      <x:c r="C200" s="4">
        <x:v>30</x:v>
      </x:c>
      <x:c r="D200" s="5" t="n">
        <x:f>IFERROR(ROUND($U200*$X200*$AA200*'参数'!$B$13,0),"")</x:f>
        <x:v>690988</x:v>
      </x:c>
      <x:c r="E200" s="5" t="n">
        <x:f>IFERROR(ROUND($V200*$Y200*$AB200*'参数'!$C$13,0),"")</x:f>
        <x:v>10710</x:v>
      </x:c>
      <x:c r="F200" s="5" t="n">
        <x:f>IFERROR(ROUND($W200*$Z200*$AC200*'参数'!$D$13,0),"")</x:f>
        <x:v>22085</x:v>
      </x:c>
      <x:c r="G200" s="4">
        <x:v>737719</x:v>
      </x:c>
      <x:c r="H200" s="4">
        <x:v>11526</x:v>
      </x:c>
      <x:c r="I200" s="4">
        <x:v>16131</x:v>
      </x:c>
      <x:c r="J200" s="4">
        <x:v>40</x:v>
      </x:c>
      <x:c r="K200" s="4">
        <x:v>40</x:v>
      </x:c>
      <x:c r="L200" s="4" t="n">
        <x:f>IFERROR(INDEX('楼层配置'!$D$5:$D$104,MATCH($K200,'楼层配置'!$B$5:$B$104,0)),"")</x:f>
        <x:v>160</x:v>
      </x:c>
      <x:c r="M200" s="4" t="str">
        <x:f>IFERROR(INDEX('_角色基线'!$B$2:$B$100,MATCH($B200,'_角色基线'!$A$2:$A$100,0)),"")</x:f>
        <x:v>大暑</x:v>
      </x:c>
      <x:c r="N200" s="4" t="str">
        <x:f>IFERROR(INDEX('_角色基线'!$C$2:$C$100,MATCH($B200,'_角色基线'!$A$2:$A$100,0)),"")</x:f>
        <x:v>Tank</x:v>
      </x:c>
      <x:c r="O200" s="4" t="n">
        <x:f>IFERROR(INDEX('_怪物基线'!$B$2:$B$501,MATCH(INT($L200),'_怪物基线'!$A$2:$A$501,0)),"")</x:f>
        <x:v>98983</x:v>
      </x:c>
      <x:c r="P200" s="4" t="n">
        <x:f>IFERROR(INDEX('_怪物基线'!$C$2:$C$501,MATCH(INT($L200),'_怪物基线'!$A$2:$A$501,0)),"")</x:f>
        <x:v>13387</x:v>
      </x:c>
      <x:c r="Q200" s="4" t="n">
        <x:f>IFERROR(INDEX('_怪物基线'!$D$2:$D$501,MATCH(INT($L200),'_怪物基线'!$A$2:$A$501,0)),"")</x:f>
        <x:v>14723</x:v>
      </x:c>
      <x:c r="R200" s="4" t="n">
        <x:f>'参数'!$B$10</x:f>
        <x:v>4</x:v>
      </x:c>
      <x:c r="S200" s="4" t="n">
        <x:f>'参数'!$C$10</x:f>
        <x:v>1.2</x:v>
      </x:c>
      <x:c r="T200" s="4" t="n">
        <x:f>'参数'!$D$10</x:f>
        <x:v>1</x:v>
      </x:c>
      <x:c r="U200" s="4" t="n">
        <x:f t="shared" si="21">IF($O200="","",$O200*$R200)</x:f>
        <x:v>395932</x:v>
      </x:c>
      <x:c r="V200" s="4" t="n">
        <x:f t="shared" si="22">IF($P200="","",$P200*$S200)</x:f>
        <x:v>16064.4</x:v>
      </x:c>
      <x:c r="W200" s="4" t="n">
        <x:f t="shared" si="23">IF($Q200="","",$Q200*$T200)</x:f>
        <x:v>14723</x:v>
      </x:c>
      <x:c r="X200" s="4" t="n">
        <x:f>IFERROR(INDEX('参数'!$B$5:$B$7,MATCH($N200,'参数'!$A$5:$A$7,0)),"")</x:f>
        <x:v>1.5</x:v>
      </x:c>
      <x:c r="Y200" s="4" t="n">
        <x:f>IFERROR(INDEX('参数'!$C$5:$C$7,MATCH($N200,'参数'!$A$5:$A$7,0)),"")</x:f>
        <x:v>1</x:v>
      </x:c>
      <x:c r="Z200" s="4" t="n">
        <x:f>IFERROR(INDEX('参数'!$D$5:$D$7,MATCH($N200,'参数'!$A$5:$A$7,0)),"")</x:f>
        <x:v>1.5</x:v>
      </x:c>
      <x:c r="AA200" s="4" t="n">
        <x:f>IFERROR(INDEX('楼层配置'!$E$5:$E$104,MATCH($K200,'楼层配置'!$B$5:$B$104,0)),1)</x:f>
        <x:v>1.1634784502806828</x:v>
      </x:c>
      <x:c r="AB200" s="4" t="n">
        <x:f>IFERROR(INDEX('楼层配置'!$F$5:$F$104,MATCH($K200,'楼层配置'!$B$5:$B$104,0)),1)</x:f>
        <x:v>0.6667078540032192</x:v>
      </x:c>
      <x:c r="AC200" s="4" t="n">
        <x:f>IFERROR(INDEX('楼层配置'!$G$5:$G$104,MATCH($K200,'楼层配置'!$B$5:$B$104,0)),1)</x:f>
        <x:v>1</x:v>
      </x:c>
      <x:c r="AD200" s="6" t="n">
        <x:f t="shared" si="24">IFERROR($D200/$G200-1,"")</x:f>
        <x:v>-0.0633452574760851</x:v>
      </x:c>
      <x:c r="AE200" s="6" t="n">
        <x:f t="shared" si="25">IFERROR($E200/$H200-1,"")</x:f>
        <x:v>-0.07079646017699115</x:v>
      </x:c>
      <x:c r="AF200" s="6" t="n">
        <x:f t="shared" si="26">IFERROR($F200/$I200-1,"")</x:f>
        <x:v>0.3691029694377286</x:v>
      </x:c>
      <x:c r="AG200" s="4" t="str">
        <x:f t="shared" si="27">IF(AND($A200&gt;=1,$L200&gt;=1,$L200&lt;=500,OR($N200="Tank",$N200="DPS",$N200="Support"),ISNUMBER($D200),ISNUMBER($E200),ISNUMBER($F200)),"有效","异常")</x:f>
        <x:v>有效</x:v>
      </x:c>
      <x:c r="AH200" t="n">
        <x:f>D200/(1-MIN(0.75,F200/(24000+F200)))</x:f>
        <x:v>1326840.9158333333</x:v>
      </x:c>
    </x:row>
    <x:row r="201" ht="14.25" customHeight="1">
      <x:c r="A201" s="4">
        <x:v>197</x:v>
      </x:c>
      <x:c r="B201" s="4">
        <x:v>1026</x:v>
      </x:c>
      <x:c r="C201" s="4">
        <x:v>30</x:v>
      </x:c>
      <x:c r="D201" s="5" t="n">
        <x:f>IFERROR(ROUND($U201*$X201*$AA201*'参数'!$B$13,0),"")</x:f>
        <x:v>460658</x:v>
      </x:c>
      <x:c r="E201" s="5" t="n">
        <x:f>IFERROR(ROUND($V201*$Y201*$AB201*'参数'!$C$13,0),"")</x:f>
        <x:v>12852</x:v>
      </x:c>
      <x:c r="F201" s="5" t="n">
        <x:f>IFERROR(ROUND($W201*$Z201*$AC201*'参数'!$D$13,0),"")</x:f>
        <x:v>14723</x:v>
      </x:c>
      <x:c r="G201" s="4">
        <x:v>491812</x:v>
      </x:c>
      <x:c r="H201" s="4">
        <x:v>13831</x:v>
      </x:c>
      <x:c r="I201" s="4">
        <x:v>10754</x:v>
      </x:c>
      <x:c r="J201" s="4">
        <x:v>40</x:v>
      </x:c>
      <x:c r="K201" s="4">
        <x:v>40</x:v>
      </x:c>
      <x:c r="L201" s="4" t="n">
        <x:f>IFERROR(INDEX('楼层配置'!$D$5:$D$104,MATCH($K201,'楼层配置'!$B$5:$B$104,0)),"")</x:f>
        <x:v>160</x:v>
      </x:c>
      <x:c r="M201" s="4" t="str">
        <x:f>IFERROR(INDEX('_角色基线'!$B$2:$B$100,MATCH($B201,'_角色基线'!$A$2:$A$100,0)),"")</x:f>
        <x:v>乔一</x:v>
      </x:c>
      <x:c r="N201" s="4" t="str">
        <x:f>IFERROR(INDEX('_角色基线'!$C$2:$C$100,MATCH($B201,'_角色基线'!$A$2:$A$100,0)),"")</x:f>
        <x:v>DPS</x:v>
      </x:c>
      <x:c r="O201" s="4" t="n">
        <x:f>IFERROR(INDEX('_怪物基线'!$B$2:$B$501,MATCH(INT($L201),'_怪物基线'!$A$2:$A$501,0)),"")</x:f>
        <x:v>98983</x:v>
      </x:c>
      <x:c r="P201" s="4" t="n">
        <x:f>IFERROR(INDEX('_怪物基线'!$C$2:$C$501,MATCH(INT($L201),'_怪物基线'!$A$2:$A$501,0)),"")</x:f>
        <x:v>13387</x:v>
      </x:c>
      <x:c r="Q201" s="4" t="n">
        <x:f>IFERROR(INDEX('_怪物基线'!$D$2:$D$501,MATCH(INT($L201),'_怪物基线'!$A$2:$A$501,0)),"")</x:f>
        <x:v>14723</x:v>
      </x:c>
      <x:c r="R201" s="4" t="n">
        <x:f>'参数'!$B$10</x:f>
        <x:v>4</x:v>
      </x:c>
      <x:c r="S201" s="4" t="n">
        <x:f>'参数'!$C$10</x:f>
        <x:v>1.2</x:v>
      </x:c>
      <x:c r="T201" s="4" t="n">
        <x:f>'参数'!$D$10</x:f>
        <x:v>1</x:v>
      </x:c>
      <x:c r="U201" s="4" t="n">
        <x:f t="shared" si="21">IF($O201="","",$O201*$R201)</x:f>
        <x:v>395932</x:v>
      </x:c>
      <x:c r="V201" s="4" t="n">
        <x:f t="shared" si="22">IF($P201="","",$P201*$S201)</x:f>
        <x:v>16064.4</x:v>
      </x:c>
      <x:c r="W201" s="4" t="n">
        <x:f t="shared" si="23">IF($Q201="","",$Q201*$T201)</x:f>
        <x:v>14723</x:v>
      </x:c>
      <x:c r="X201" s="4" t="n">
        <x:f>IFERROR(INDEX('参数'!$B$5:$B$7,MATCH($N201,'参数'!$A$5:$A$7,0)),"")</x:f>
        <x:v>1</x:v>
      </x:c>
      <x:c r="Y201" s="4" t="n">
        <x:f>IFERROR(INDEX('参数'!$C$5:$C$7,MATCH($N201,'参数'!$A$5:$A$7,0)),"")</x:f>
        <x:v>1.2</x:v>
      </x:c>
      <x:c r="Z201" s="4" t="n">
        <x:f>IFERROR(INDEX('参数'!$D$5:$D$7,MATCH($N201,'参数'!$A$5:$A$7,0)),"")</x:f>
        <x:v>1</x:v>
      </x:c>
      <x:c r="AA201" s="4" t="n">
        <x:f>IFERROR(INDEX('楼层配置'!$E$5:$E$104,MATCH($K201,'楼层配置'!$B$5:$B$104,0)),1)</x:f>
        <x:v>1.1634784502806828</x:v>
      </x:c>
      <x:c r="AB201" s="4" t="n">
        <x:f>IFERROR(INDEX('楼层配置'!$F$5:$F$104,MATCH($K201,'楼层配置'!$B$5:$B$104,0)),1)</x:f>
        <x:v>0.6667078540032192</x:v>
      </x:c>
      <x:c r="AC201" s="4" t="n">
        <x:f>IFERROR(INDEX('楼层配置'!$G$5:$G$104,MATCH($K201,'楼层配置'!$B$5:$B$104,0)),1)</x:f>
        <x:v>1</x:v>
      </x:c>
      <x:c r="AD201" s="6" t="n">
        <x:f t="shared" si="24">IFERROR($D201/$G201-1,"")</x:f>
        <x:v>-0.06334534334257802</x:v>
      </x:c>
      <x:c r="AE201" s="6" t="n">
        <x:f t="shared" si="25">IFERROR($E201/$H201-1,"")</x:f>
        <x:v>-0.07078302364254208</x:v>
      </x:c>
      <x:c r="AF201" s="6" t="n">
        <x:f t="shared" si="26">IFERROR($F201/$I201-1,"")</x:f>
        <x:v>0.3690719732192673</x:v>
      </x:c>
      <x:c r="AG201" s="4" t="str">
        <x:f t="shared" si="27">IF(AND($A201&gt;=1,$L201&gt;=1,$L201&lt;=500,OR($N201="Tank",$N201="DPS",$N201="Support"),ISNUMBER($D201),ISNUMBER($E201),ISNUMBER($F201)),"有效","异常")</x:f>
        <x:v>有效</x:v>
      </x:c>
      <x:c r="AH201" t="n">
        <x:f>D201/(1-MIN(0.75,F201/(24000+F201)))</x:f>
        <x:v>743252.4889166666</x:v>
      </x:c>
    </x:row>
    <x:row r="202" ht="14.25" customHeight="1">
      <x:c r="A202" s="4">
        <x:v>198</x:v>
      </x:c>
      <x:c r="B202" s="4">
        <x:v>1029</x:v>
      </x:c>
      <x:c r="C202" s="4">
        <x:v>30</x:v>
      </x:c>
      <x:c r="D202" s="5" t="n">
        <x:f>IFERROR(ROUND($U202*$X202*$AA202*'参数'!$B$13,0),"")</x:f>
        <x:v>575823</x:v>
      </x:c>
      <x:c r="E202" s="5" t="n">
        <x:f>IFERROR(ROUND($V202*$Y202*$AB202*'参数'!$C$13,0),"")</x:f>
        <x:v>10710</x:v>
      </x:c>
      <x:c r="F202" s="5" t="n">
        <x:f>IFERROR(ROUND($W202*$Z202*$AC202*'参数'!$D$13,0),"")</x:f>
        <x:v>18404</x:v>
      </x:c>
      <x:c r="G202" s="4">
        <x:v>614766</x:v>
      </x:c>
      <x:c r="H202" s="4">
        <x:v>11526</x:v>
      </x:c>
      <x:c r="I202" s="4">
        <x:v>13443</x:v>
      </x:c>
      <x:c r="J202" s="4">
        <x:v>40</x:v>
      </x:c>
      <x:c r="K202" s="4">
        <x:v>40</x:v>
      </x:c>
      <x:c r="L202" s="4" t="n">
        <x:f>IFERROR(INDEX('楼层配置'!$D$5:$D$104,MATCH($K202,'楼层配置'!$B$5:$B$104,0)),"")</x:f>
        <x:v>160</x:v>
      </x:c>
      <x:c r="M202" s="4" t="str">
        <x:f>IFERROR(INDEX('_角色基线'!$B$2:$B$100,MATCH($B202,'_角色基线'!$A$2:$A$100,0)),"")</x:f>
        <x:v>凯兰</x:v>
      </x:c>
      <x:c r="N202" s="4" t="str">
        <x:f>IFERROR(INDEX('_角色基线'!$C$2:$C$100,MATCH($B202,'_角色基线'!$A$2:$A$100,0)),"")</x:f>
        <x:v>Support</x:v>
      </x:c>
      <x:c r="O202" s="4" t="n">
        <x:f>IFERROR(INDEX('_怪物基线'!$B$2:$B$501,MATCH(INT($L202),'_怪物基线'!$A$2:$A$501,0)),"")</x:f>
        <x:v>98983</x:v>
      </x:c>
      <x:c r="P202" s="4" t="n">
        <x:f>IFERROR(INDEX('_怪物基线'!$C$2:$C$501,MATCH(INT($L202),'_怪物基线'!$A$2:$A$501,0)),"")</x:f>
        <x:v>13387</x:v>
      </x:c>
      <x:c r="Q202" s="4" t="n">
        <x:f>IFERROR(INDEX('_怪物基线'!$D$2:$D$501,MATCH(INT($L202),'_怪物基线'!$A$2:$A$501,0)),"")</x:f>
        <x:v>14723</x:v>
      </x:c>
      <x:c r="R202" s="4" t="n">
        <x:f>'参数'!$B$10</x:f>
        <x:v>4</x:v>
      </x:c>
      <x:c r="S202" s="4" t="n">
        <x:f>'参数'!$C$10</x:f>
        <x:v>1.2</x:v>
      </x:c>
      <x:c r="T202" s="4" t="n">
        <x:f>'参数'!$D$10</x:f>
        <x:v>1</x:v>
      </x:c>
      <x:c r="U202" s="4" t="n">
        <x:f t="shared" si="21">IF($O202="","",$O202*$R202)</x:f>
        <x:v>395932</x:v>
      </x:c>
      <x:c r="V202" s="4" t="n">
        <x:f t="shared" si="22">IF($P202="","",$P202*$S202)</x:f>
        <x:v>16064.4</x:v>
      </x:c>
      <x:c r="W202" s="4" t="n">
        <x:f t="shared" si="23">IF($Q202="","",$Q202*$T202)</x:f>
        <x:v>14723</x:v>
      </x:c>
      <x:c r="X202" s="4" t="n">
        <x:f>IFERROR(INDEX('参数'!$B$5:$B$7,MATCH($N202,'参数'!$A$5:$A$7,0)),"")</x:f>
        <x:v>1.25</x:v>
      </x:c>
      <x:c r="Y202" s="4" t="n">
        <x:f>IFERROR(INDEX('参数'!$C$5:$C$7,MATCH($N202,'参数'!$A$5:$A$7,0)),"")</x:f>
        <x:v>1</x:v>
      </x:c>
      <x:c r="Z202" s="4" t="n">
        <x:f>IFERROR(INDEX('参数'!$D$5:$D$7,MATCH($N202,'参数'!$A$5:$A$7,0)),"")</x:f>
        <x:v>1.25</x:v>
      </x:c>
      <x:c r="AA202" s="4" t="n">
        <x:f>IFERROR(INDEX('楼层配置'!$E$5:$E$104,MATCH($K202,'楼层配置'!$B$5:$B$104,0)),1)</x:f>
        <x:v>1.1634784502806828</x:v>
      </x:c>
      <x:c r="AB202" s="4" t="n">
        <x:f>IFERROR(INDEX('楼层配置'!$F$5:$F$104,MATCH($K202,'楼层配置'!$B$5:$B$104,0)),1)</x:f>
        <x:v>0.6667078540032192</x:v>
      </x:c>
      <x:c r="AC202" s="4" t="n">
        <x:f>IFERROR(INDEX('楼层配置'!$G$5:$G$104,MATCH($K202,'楼层配置'!$B$5:$B$104,0)),1)</x:f>
        <x:v>1</x:v>
      </x:c>
      <x:c r="AD202" s="6" t="n">
        <x:f t="shared" si="24">IFERROR($D202/$G202-1,"")</x:f>
        <x:v>-0.06334605362040191</x:v>
      </x:c>
      <x:c r="AE202" s="6" t="n">
        <x:f t="shared" si="25">IFERROR($E202/$H202-1,"")</x:f>
        <x:v>-0.07079646017699115</x:v>
      </x:c>
      <x:c r="AF202" s="6" t="n">
        <x:f t="shared" si="26">IFERROR($F202/$I202-1,"")</x:f>
        <x:v>0.3690396488878971</x:v>
      </x:c>
      <x:c r="AG202" s="4" t="str">
        <x:f t="shared" si="27">IF(AND($A202&gt;=1,$L202&gt;=1,$L202&lt;=500,OR($N202="Tank",$N202="DPS",$N202="Support"),ISNUMBER($D202),ISNUMBER($E202),ISNUMBER($F202)),"有效","异常")</x:f>
        <x:v>有效</x:v>
      </x:c>
      <x:c r="AH202" t="n">
        <x:f>D202/(1-MIN(0.75,F202/(24000+F202)))</x:f>
        <x:v>1017383.2705</x:v>
      </x:c>
    </x:row>
    <x:row r="203" ht="14.25" customHeight="1">
      <x:c r="A203" s="4">
        <x:v>199</x:v>
      </x:c>
      <x:c r="B203" s="4">
        <x:v>1018</x:v>
      </x:c>
      <x:c r="C203" s="4">
        <x:v>30</x:v>
      </x:c>
      <x:c r="D203" s="5" t="n">
        <x:f>IFERROR(ROUND($U203*$X203*$AA203*'参数'!$B$13,0),"")</x:f>
        <x:v>575823</x:v>
      </x:c>
      <x:c r="E203" s="5" t="n">
        <x:f>IFERROR(ROUND($V203*$Y203*$AB203*'参数'!$C$13,0),"")</x:f>
        <x:v>10710</x:v>
      </x:c>
      <x:c r="F203" s="5" t="n">
        <x:f>IFERROR(ROUND($W203*$Z203*$AC203*'参数'!$D$13,0),"")</x:f>
        <x:v>18404</x:v>
      </x:c>
      <x:c r="G203" s="4">
        <x:v>614766</x:v>
      </x:c>
      <x:c r="H203" s="4">
        <x:v>11526</x:v>
      </x:c>
      <x:c r="I203" s="4">
        <x:v>13443</x:v>
      </x:c>
      <x:c r="J203" s="4">
        <x:v>40</x:v>
      </x:c>
      <x:c r="K203" s="4">
        <x:v>40</x:v>
      </x:c>
      <x:c r="L203" s="4" t="n">
        <x:f>IFERROR(INDEX('楼层配置'!$D$5:$D$104,MATCH($K203,'楼层配置'!$B$5:$B$104,0)),"")</x:f>
        <x:v>160</x:v>
      </x:c>
      <x:c r="M203" s="4" t="str">
        <x:f>IFERROR(INDEX('_角色基线'!$B$2:$B$100,MATCH($B203,'_角色基线'!$A$2:$A$100,0)),"")</x:f>
        <x:v>埃莉诺</x:v>
      </x:c>
      <x:c r="N203" s="4" t="str">
        <x:f>IFERROR(INDEX('_角色基线'!$C$2:$C$100,MATCH($B203,'_角色基线'!$A$2:$A$100,0)),"")</x:f>
        <x:v>Support</x:v>
      </x:c>
      <x:c r="O203" s="4" t="n">
        <x:f>IFERROR(INDEX('_怪物基线'!$B$2:$B$501,MATCH(INT($L203),'_怪物基线'!$A$2:$A$501,0)),"")</x:f>
        <x:v>98983</x:v>
      </x:c>
      <x:c r="P203" s="4" t="n">
        <x:f>IFERROR(INDEX('_怪物基线'!$C$2:$C$501,MATCH(INT($L203),'_怪物基线'!$A$2:$A$501,0)),"")</x:f>
        <x:v>13387</x:v>
      </x:c>
      <x:c r="Q203" s="4" t="n">
        <x:f>IFERROR(INDEX('_怪物基线'!$D$2:$D$501,MATCH(INT($L203),'_怪物基线'!$A$2:$A$501,0)),"")</x:f>
        <x:v>14723</x:v>
      </x:c>
      <x:c r="R203" s="4" t="n">
        <x:f>'参数'!$B$10</x:f>
        <x:v>4</x:v>
      </x:c>
      <x:c r="S203" s="4" t="n">
        <x:f>'参数'!$C$10</x:f>
        <x:v>1.2</x:v>
      </x:c>
      <x:c r="T203" s="4" t="n">
        <x:f>'参数'!$D$10</x:f>
        <x:v>1</x:v>
      </x:c>
      <x:c r="U203" s="4" t="n">
        <x:f t="shared" si="21">IF($O203="","",$O203*$R203)</x:f>
        <x:v>395932</x:v>
      </x:c>
      <x:c r="V203" s="4" t="n">
        <x:f t="shared" si="22">IF($P203="","",$P203*$S203)</x:f>
        <x:v>16064.4</x:v>
      </x:c>
      <x:c r="W203" s="4" t="n">
        <x:f t="shared" si="23">IF($Q203="","",$Q203*$T203)</x:f>
        <x:v>14723</x:v>
      </x:c>
      <x:c r="X203" s="4" t="n">
        <x:f>IFERROR(INDEX('参数'!$B$5:$B$7,MATCH($N203,'参数'!$A$5:$A$7,0)),"")</x:f>
        <x:v>1.25</x:v>
      </x:c>
      <x:c r="Y203" s="4" t="n">
        <x:f>IFERROR(INDEX('参数'!$C$5:$C$7,MATCH($N203,'参数'!$A$5:$A$7,0)),"")</x:f>
        <x:v>1</x:v>
      </x:c>
      <x:c r="Z203" s="4" t="n">
        <x:f>IFERROR(INDEX('参数'!$D$5:$D$7,MATCH($N203,'参数'!$A$5:$A$7,0)),"")</x:f>
        <x:v>1.25</x:v>
      </x:c>
      <x:c r="AA203" s="4" t="n">
        <x:f>IFERROR(INDEX('楼层配置'!$E$5:$E$104,MATCH($K203,'楼层配置'!$B$5:$B$104,0)),1)</x:f>
        <x:v>1.1634784502806828</x:v>
      </x:c>
      <x:c r="AB203" s="4" t="n">
        <x:f>IFERROR(INDEX('楼层配置'!$F$5:$F$104,MATCH($K203,'楼层配置'!$B$5:$B$104,0)),1)</x:f>
        <x:v>0.6667078540032192</x:v>
      </x:c>
      <x:c r="AC203" s="4" t="n">
        <x:f>IFERROR(INDEX('楼层配置'!$G$5:$G$104,MATCH($K203,'楼层配置'!$B$5:$B$104,0)),1)</x:f>
        <x:v>1</x:v>
      </x:c>
      <x:c r="AD203" s="6" t="n">
        <x:f t="shared" si="24">IFERROR($D203/$G203-1,"")</x:f>
        <x:v>-0.06334605362040191</x:v>
      </x:c>
      <x:c r="AE203" s="6" t="n">
        <x:f t="shared" si="25">IFERROR($E203/$H203-1,"")</x:f>
        <x:v>-0.07079646017699115</x:v>
      </x:c>
      <x:c r="AF203" s="6" t="n">
        <x:f t="shared" si="26">IFERROR($F203/$I203-1,"")</x:f>
        <x:v>0.3690396488878971</x:v>
      </x:c>
      <x:c r="AG203" s="4" t="str">
        <x:f t="shared" si="27">IF(AND($A203&gt;=1,$L203&gt;=1,$L203&lt;=500,OR($N203="Tank",$N203="DPS",$N203="Support"),ISNUMBER($D203),ISNUMBER($E203),ISNUMBER($F203)),"有效","异常")</x:f>
        <x:v>有效</x:v>
      </x:c>
      <x:c r="AH203" t="n">
        <x:f>D203/(1-MIN(0.75,F203/(24000+F203)))</x:f>
        <x:v>1017383.2705</x:v>
      </x:c>
    </x:row>
    <x:row r="204" ht="14.25" customHeight="1">
      <x:c r="A204" s="4">
        <x:v>200</x:v>
      </x:c>
      <x:c r="B204" s="4">
        <x:v>1012</x:v>
      </x:c>
      <x:c r="C204" s="4">
        <x:v>30</x:v>
      </x:c>
      <x:c r="D204" s="5" t="n">
        <x:f>IFERROR(ROUND($U204*$X204*$AA204*'参数'!$B$13,0),"")</x:f>
        <x:v>575823</x:v>
      </x:c>
      <x:c r="E204" s="5" t="n">
        <x:f>IFERROR(ROUND($V204*$Y204*$AB204*'参数'!$C$13,0),"")</x:f>
        <x:v>10710</x:v>
      </x:c>
      <x:c r="F204" s="5" t="n">
        <x:f>IFERROR(ROUND($W204*$Z204*$AC204*'参数'!$D$13,0),"")</x:f>
        <x:v>18404</x:v>
      </x:c>
      <x:c r="G204" s="4">
        <x:v>614766</x:v>
      </x:c>
      <x:c r="H204" s="4">
        <x:v>11526</x:v>
      </x:c>
      <x:c r="I204" s="4">
        <x:v>13443</x:v>
      </x:c>
      <x:c r="J204" s="4">
        <x:v>40</x:v>
      </x:c>
      <x:c r="K204" s="4">
        <x:v>40</x:v>
      </x:c>
      <x:c r="L204" s="4" t="n">
        <x:f>IFERROR(INDEX('楼层配置'!$D$5:$D$104,MATCH($K204,'楼层配置'!$B$5:$B$104,0)),"")</x:f>
        <x:v>160</x:v>
      </x:c>
      <x:c r="M204" s="4" t="str">
        <x:f>IFERROR(INDEX('_角色基线'!$B$2:$B$100,MATCH($B204,'_角色基线'!$A$2:$A$100,0)),"")</x:f>
        <x:v>艾德琳</x:v>
      </x:c>
      <x:c r="N204" s="4" t="str">
        <x:f>IFERROR(INDEX('_角色基线'!$C$2:$C$100,MATCH($B204,'_角色基线'!$A$2:$A$100,0)),"")</x:f>
        <x:v>Support</x:v>
      </x:c>
      <x:c r="O204" s="4" t="n">
        <x:f>IFERROR(INDEX('_怪物基线'!$B$2:$B$501,MATCH(INT($L204),'_怪物基线'!$A$2:$A$501,0)),"")</x:f>
        <x:v>98983</x:v>
      </x:c>
      <x:c r="P204" s="4" t="n">
        <x:f>IFERROR(INDEX('_怪物基线'!$C$2:$C$501,MATCH(INT($L204),'_怪物基线'!$A$2:$A$501,0)),"")</x:f>
        <x:v>13387</x:v>
      </x:c>
      <x:c r="Q204" s="4" t="n">
        <x:f>IFERROR(INDEX('_怪物基线'!$D$2:$D$501,MATCH(INT($L204),'_怪物基线'!$A$2:$A$501,0)),"")</x:f>
        <x:v>14723</x:v>
      </x:c>
      <x:c r="R204" s="4" t="n">
        <x:f>'参数'!$B$10</x:f>
        <x:v>4</x:v>
      </x:c>
      <x:c r="S204" s="4" t="n">
        <x:f>'参数'!$C$10</x:f>
        <x:v>1.2</x:v>
      </x:c>
      <x:c r="T204" s="4" t="n">
        <x:f>'参数'!$D$10</x:f>
        <x:v>1</x:v>
      </x:c>
      <x:c r="U204" s="4" t="n">
        <x:f t="shared" si="21">IF($O204="","",$O204*$R204)</x:f>
        <x:v>395932</x:v>
      </x:c>
      <x:c r="V204" s="4" t="n">
        <x:f t="shared" si="22">IF($P204="","",$P204*$S204)</x:f>
        <x:v>16064.4</x:v>
      </x:c>
      <x:c r="W204" s="4" t="n">
        <x:f t="shared" si="23">IF($Q204="","",$Q204*$T204)</x:f>
        <x:v>14723</x:v>
      </x:c>
      <x:c r="X204" s="4" t="n">
        <x:f>IFERROR(INDEX('参数'!$B$5:$B$7,MATCH($N204,'参数'!$A$5:$A$7,0)),"")</x:f>
        <x:v>1.25</x:v>
      </x:c>
      <x:c r="Y204" s="4" t="n">
        <x:f>IFERROR(INDEX('参数'!$C$5:$C$7,MATCH($N204,'参数'!$A$5:$A$7,0)),"")</x:f>
        <x:v>1</x:v>
      </x:c>
      <x:c r="Z204" s="4" t="n">
        <x:f>IFERROR(INDEX('参数'!$D$5:$D$7,MATCH($N204,'参数'!$A$5:$A$7,0)),"")</x:f>
        <x:v>1.25</x:v>
      </x:c>
      <x:c r="AA204" s="4" t="n">
        <x:f>IFERROR(INDEX('楼层配置'!$E$5:$E$104,MATCH($K204,'楼层配置'!$B$5:$B$104,0)),1)</x:f>
        <x:v>1.1634784502806828</x:v>
      </x:c>
      <x:c r="AB204" s="4" t="n">
        <x:f>IFERROR(INDEX('楼层配置'!$F$5:$F$104,MATCH($K204,'楼层配置'!$B$5:$B$104,0)),1)</x:f>
        <x:v>0.6667078540032192</x:v>
      </x:c>
      <x:c r="AC204" s="4" t="n">
        <x:f>IFERROR(INDEX('楼层配置'!$G$5:$G$104,MATCH($K204,'楼层配置'!$B$5:$B$104,0)),1)</x:f>
        <x:v>1</x:v>
      </x:c>
      <x:c r="AD204" s="6" t="n">
        <x:f t="shared" si="24">IFERROR($D204/$G204-1,"")</x:f>
        <x:v>-0.06334605362040191</x:v>
      </x:c>
      <x:c r="AE204" s="6" t="n">
        <x:f t="shared" si="25">IFERROR($E204/$H204-1,"")</x:f>
        <x:v>-0.07079646017699115</x:v>
      </x:c>
      <x:c r="AF204" s="6" t="n">
        <x:f t="shared" si="26">IFERROR($F204/$I204-1,"")</x:f>
        <x:v>0.3690396488878971</x:v>
      </x:c>
      <x:c r="AG204" s="4" t="str">
        <x:f t="shared" si="27">IF(AND($A204&gt;=1,$L204&gt;=1,$L204&lt;=500,OR($N204="Tank",$N204="DPS",$N204="Support"),ISNUMBER($D204),ISNUMBER($E204),ISNUMBER($F204)),"有效","异常")</x:f>
        <x:v>有效</x:v>
      </x:c>
      <x:c r="AH204" t="n">
        <x:f>D204/(1-MIN(0.75,F204/(24000+F204)))</x:f>
        <x:v>1017383.2705</x:v>
      </x:c>
    </x:row>
    <x:row r="205" ht="14.25" customHeight="1">
      <x:c r="A205" s="4">
        <x:v>201</x:v>
      </x:c>
      <x:c r="B205" s="4">
        <x:v>1030</x:v>
      </x:c>
      <x:c r="C205" s="4">
        <x:v>30</x:v>
      </x:c>
      <x:c r="D205" s="5" t="n">
        <x:f>IFERROR(ROUND($U205*$X205*$AA205*'参数'!$B$13,0),"")</x:f>
        <x:v>732638</x:v>
      </x:c>
      <x:c r="E205" s="5" t="n">
        <x:f>IFERROR(ROUND($V205*$Y205*$AB205*'参数'!$C$13,0),"")</x:f>
        <x:v>11180</x:v>
      </x:c>
      <x:c r="F205" s="5" t="n">
        <x:f>IFERROR(ROUND($W205*$Z205*$AC205*'参数'!$D$13,0),"")</x:f>
        <x:v>22748</x:v>
      </x:c>
      <x:c r="G205" s="4">
        <x:v>776800</x:v>
      </x:c>
      <x:c r="H205" s="4">
        <x:v>11923</x:v>
      </x:c>
      <x:c r="I205" s="4">
        <x:v>16594</x:v>
      </x:c>
      <x:c r="J205" s="4">
        <x:v>41</x:v>
      </x:c>
      <x:c r="K205" s="4">
        <x:v>41</x:v>
      </x:c>
      <x:c r="L205" s="4" t="n">
        <x:f>IFERROR(INDEX('楼层配置'!$D$5:$D$104,MATCH($K205,'楼层配置'!$B$5:$B$104,0)),"")</x:f>
        <x:v>164</x:v>
      </x:c>
      <x:c r="M205" s="4" t="str">
        <x:f>IFERROR(INDEX('_角色基线'!$B$2:$B$100,MATCH($B205,'_角色基线'!$A$2:$A$100,0)),"")</x:f>
        <x:v>莫莉</x:v>
      </x:c>
      <x:c r="N205" s="4" t="str">
        <x:f>IFERROR(INDEX('_角色基线'!$C$2:$C$100,MATCH($B205,'_角色基线'!$A$2:$A$100,0)),"")</x:f>
        <x:v>Tank</x:v>
      </x:c>
      <x:c r="O205" s="4" t="n">
        <x:f>IFERROR(INDEX('_怪物基线'!$B$2:$B$501,MATCH(INT($L205),'_怪物基线'!$A$2:$A$501,0)),"")</x:f>
        <x:v>104649</x:v>
      </x:c>
      <x:c r="P205" s="4" t="n">
        <x:f>IFERROR(INDEX('_怪物基线'!$C$2:$C$501,MATCH(INT($L205),'_怪物基线'!$A$2:$A$501,0)),"")</x:f>
        <x:v>13934</x:v>
      </x:c>
      <x:c r="Q205" s="4" t="n">
        <x:f>IFERROR(INDEX('_怪物基线'!$D$2:$D$501,MATCH(INT($L205),'_怪物基线'!$A$2:$A$501,0)),"")</x:f>
        <x:v>15165</x:v>
      </x:c>
      <x:c r="R205" s="4" t="n">
        <x:f>'参数'!$B$10</x:f>
        <x:v>4</x:v>
      </x:c>
      <x:c r="S205" s="4" t="n">
        <x:f>'参数'!$C$10</x:f>
        <x:v>1.2</x:v>
      </x:c>
      <x:c r="T205" s="4" t="n">
        <x:f>'参数'!$D$10</x:f>
        <x:v>1</x:v>
      </x:c>
      <x:c r="U205" s="4" t="n">
        <x:f t="shared" si="21">IF($O205="","",$O205*$R205)</x:f>
        <x:v>418596</x:v>
      </x:c>
      <x:c r="V205" s="4" t="n">
        <x:f t="shared" si="22">IF($P205="","",$P205*$S205)</x:f>
        <x:v>16720.8</x:v>
      </x:c>
      <x:c r="W205" s="4" t="n">
        <x:f t="shared" si="23">IF($Q205="","",$Q205*$T205)</x:f>
        <x:v>15165</x:v>
      </x:c>
      <x:c r="X205" s="4" t="n">
        <x:f>IFERROR(INDEX('参数'!$B$5:$B$7,MATCH($N205,'参数'!$A$5:$A$7,0)),"")</x:f>
        <x:v>1.5</x:v>
      </x:c>
      <x:c r="Y205" s="4" t="n">
        <x:f>IFERROR(INDEX('参数'!$C$5:$C$7,MATCH($N205,'参数'!$A$5:$A$7,0)),"")</x:f>
        <x:v>1</x:v>
      </x:c>
      <x:c r="Z205" s="4" t="n">
        <x:f>IFERROR(INDEX('参数'!$D$5:$D$7,MATCH($N205,'参数'!$A$5:$A$7,0)),"")</x:f>
        <x:v>1.5</x:v>
      </x:c>
      <x:c r="AA205" s="4" t="n">
        <x:f>IFERROR(INDEX('楼层配置'!$E$5:$E$104,MATCH($K205,'楼层配置'!$B$5:$B$104,0)),1)</x:f>
        <x:v>1.1668186396598967</x:v>
      </x:c>
      <x:c r="AB205" s="4" t="n">
        <x:f>IFERROR(INDEX('楼层配置'!$F$5:$F$104,MATCH($K205,'楼层配置'!$B$5:$B$104,0)),1)</x:f>
        <x:v>0.6686101593688724</x:v>
      </x:c>
      <x:c r="AC205" s="4" t="n">
        <x:f>IFERROR(INDEX('楼层配置'!$G$5:$G$104,MATCH($K205,'楼层配置'!$B$5:$B$104,0)),1)</x:f>
        <x:v>1</x:v>
      </x:c>
      <x:c r="AD205" s="6" t="n">
        <x:f t="shared" si="24">IFERROR($D205/$G205-1,"")</x:f>
        <x:v>-0.05685118434603498</x:v>
      </x:c>
      <x:c r="AE205" s="6" t="n">
        <x:f t="shared" si="25">IFERROR($E205/$H205-1,"")</x:f>
        <x:v>-0.062316531074394055</x:v>
      </x:c>
      <x:c r="AF205" s="6" t="n">
        <x:f t="shared" si="26">IFERROR($F205/$I205-1,"")</x:f>
        <x:v>0.3708569362420151</x:v>
      </x:c>
      <x:c r="AG205" s="4" t="str">
        <x:f t="shared" si="27">IF(AND($A205&gt;=1,$L205&gt;=1,$L205&lt;=500,OR($N205="Tank",$N205="DPS",$N205="Support"),ISNUMBER($D205),ISNUMBER($E205),ISNUMBER($F205)),"有效","异常")</x:f>
        <x:v>有效</x:v>
      </x:c>
      <x:c r="AH205" t="n">
        <x:f>D205/(1-MIN(0.75,F205/(24000+F205)))</x:f>
        <x:v>1427056.7176666665</x:v>
      </x:c>
    </x:row>
    <x:row r="206" ht="14.25" customHeight="1">
      <x:c r="A206" s="4">
        <x:v>202</x:v>
      </x:c>
      <x:c r="B206" s="4">
        <x:v>1002</x:v>
      </x:c>
      <x:c r="C206" s="4">
        <x:v>30</x:v>
      </x:c>
      <x:c r="D206" s="5" t="n">
        <x:f>IFERROR(ROUND($U206*$X206*$AA206*'参数'!$B$13,0),"")</x:f>
        <x:v>732638</x:v>
      </x:c>
      <x:c r="E206" s="5" t="n">
        <x:f>IFERROR(ROUND($V206*$Y206*$AB206*'参数'!$C$13,0),"")</x:f>
        <x:v>11180</x:v>
      </x:c>
      <x:c r="F206" s="5" t="n">
        <x:f>IFERROR(ROUND($W206*$Z206*$AC206*'参数'!$D$13,0),"")</x:f>
        <x:v>22748</x:v>
      </x:c>
      <x:c r="G206" s="4">
        <x:v>776800</x:v>
      </x:c>
      <x:c r="H206" s="4">
        <x:v>11923</x:v>
      </x:c>
      <x:c r="I206" s="4">
        <x:v>16594</x:v>
      </x:c>
      <x:c r="J206" s="4">
        <x:v>41</x:v>
      </x:c>
      <x:c r="K206" s="4">
        <x:v>41</x:v>
      </x:c>
      <x:c r="L206" s="4" t="n">
        <x:f>IFERROR(INDEX('楼层配置'!$D$5:$D$104,MATCH($K206,'楼层配置'!$B$5:$B$104,0)),"")</x:f>
        <x:v>164</x:v>
      </x:c>
      <x:c r="M206" s="4" t="str">
        <x:f>IFERROR(INDEX('_角色基线'!$B$2:$B$100,MATCH($B206,'_角色基线'!$A$2:$A$100,0)),"")</x:f>
        <x:v>大暑</x:v>
      </x:c>
      <x:c r="N206" s="4" t="str">
        <x:f>IFERROR(INDEX('_角色基线'!$C$2:$C$100,MATCH($B206,'_角色基线'!$A$2:$A$100,0)),"")</x:f>
        <x:v>Tank</x:v>
      </x:c>
      <x:c r="O206" s="4" t="n">
        <x:f>IFERROR(INDEX('_怪物基线'!$B$2:$B$501,MATCH(INT($L206),'_怪物基线'!$A$2:$A$501,0)),"")</x:f>
        <x:v>104649</x:v>
      </x:c>
      <x:c r="P206" s="4" t="n">
        <x:f>IFERROR(INDEX('_怪物基线'!$C$2:$C$501,MATCH(INT($L206),'_怪物基线'!$A$2:$A$501,0)),"")</x:f>
        <x:v>13934</x:v>
      </x:c>
      <x:c r="Q206" s="4" t="n">
        <x:f>IFERROR(INDEX('_怪物基线'!$D$2:$D$501,MATCH(INT($L206),'_怪物基线'!$A$2:$A$501,0)),"")</x:f>
        <x:v>15165</x:v>
      </x:c>
      <x:c r="R206" s="4" t="n">
        <x:f>'参数'!$B$10</x:f>
        <x:v>4</x:v>
      </x:c>
      <x:c r="S206" s="4" t="n">
        <x:f>'参数'!$C$10</x:f>
        <x:v>1.2</x:v>
      </x:c>
      <x:c r="T206" s="4" t="n">
        <x:f>'参数'!$D$10</x:f>
        <x:v>1</x:v>
      </x:c>
      <x:c r="U206" s="4" t="n">
        <x:f t="shared" si="21">IF($O206="","",$O206*$R206)</x:f>
        <x:v>418596</x:v>
      </x:c>
      <x:c r="V206" s="4" t="n">
        <x:f t="shared" si="22">IF($P206="","",$P206*$S206)</x:f>
        <x:v>16720.8</x:v>
      </x:c>
      <x:c r="W206" s="4" t="n">
        <x:f t="shared" si="23">IF($Q206="","",$Q206*$T206)</x:f>
        <x:v>15165</x:v>
      </x:c>
      <x:c r="X206" s="4" t="n">
        <x:f>IFERROR(INDEX('参数'!$B$5:$B$7,MATCH($N206,'参数'!$A$5:$A$7,0)),"")</x:f>
        <x:v>1.5</x:v>
      </x:c>
      <x:c r="Y206" s="4" t="n">
        <x:f>IFERROR(INDEX('参数'!$C$5:$C$7,MATCH($N206,'参数'!$A$5:$A$7,0)),"")</x:f>
        <x:v>1</x:v>
      </x:c>
      <x:c r="Z206" s="4" t="n">
        <x:f>IFERROR(INDEX('参数'!$D$5:$D$7,MATCH($N206,'参数'!$A$5:$A$7,0)),"")</x:f>
        <x:v>1.5</x:v>
      </x:c>
      <x:c r="AA206" s="4" t="n">
        <x:f>IFERROR(INDEX('楼层配置'!$E$5:$E$104,MATCH($K206,'楼层配置'!$B$5:$B$104,0)),1)</x:f>
        <x:v>1.1668186396598967</x:v>
      </x:c>
      <x:c r="AB206" s="4" t="n">
        <x:f>IFERROR(INDEX('楼层配置'!$F$5:$F$104,MATCH($K206,'楼层配置'!$B$5:$B$104,0)),1)</x:f>
        <x:v>0.6686101593688724</x:v>
      </x:c>
      <x:c r="AC206" s="4" t="n">
        <x:f>IFERROR(INDEX('楼层配置'!$G$5:$G$104,MATCH($K206,'楼层配置'!$B$5:$B$104,0)),1)</x:f>
        <x:v>1</x:v>
      </x:c>
      <x:c r="AD206" s="6" t="n">
        <x:f t="shared" si="24">IFERROR($D206/$G206-1,"")</x:f>
        <x:v>-0.05685118434603498</x:v>
      </x:c>
      <x:c r="AE206" s="6" t="n">
        <x:f t="shared" si="25">IFERROR($E206/$H206-1,"")</x:f>
        <x:v>-0.062316531074394055</x:v>
      </x:c>
      <x:c r="AF206" s="6" t="n">
        <x:f t="shared" si="26">IFERROR($F206/$I206-1,"")</x:f>
        <x:v>0.3708569362420151</x:v>
      </x:c>
      <x:c r="AG206" s="4" t="str">
        <x:f t="shared" si="27">IF(AND($A206&gt;=1,$L206&gt;=1,$L206&lt;=500,OR($N206="Tank",$N206="DPS",$N206="Support"),ISNUMBER($D206),ISNUMBER($E206),ISNUMBER($F206)),"有效","异常")</x:f>
        <x:v>有效</x:v>
      </x:c>
      <x:c r="AH206" t="n">
        <x:f>D206/(1-MIN(0.75,F206/(24000+F206)))</x:f>
        <x:v>1427056.7176666665</x:v>
      </x:c>
    </x:row>
    <x:row r="207" ht="14.25" customHeight="1">
      <x:c r="A207" s="4">
        <x:v>203</x:v>
      </x:c>
      <x:c r="B207" s="4">
        <x:v>1011</x:v>
      </x:c>
      <x:c r="C207" s="4">
        <x:v>30</x:v>
      </x:c>
      <x:c r="D207" s="5" t="n">
        <x:f>IFERROR(ROUND($U207*$X207*$AA207*'参数'!$B$13,0),"")</x:f>
        <x:v>610532</x:v>
      </x:c>
      <x:c r="E207" s="5" t="n">
        <x:f>IFERROR(ROUND($V207*$Y207*$AB207*'参数'!$C$13,0),"")</x:f>
        <x:v>11180</x:v>
      </x:c>
      <x:c r="F207" s="5" t="n">
        <x:f>IFERROR(ROUND($W207*$Z207*$AC207*'参数'!$D$13,0),"")</x:f>
        <x:v>18956</x:v>
      </x:c>
      <x:c r="G207" s="4">
        <x:v>647334</x:v>
      </x:c>
      <x:c r="H207" s="4">
        <x:v>11923</x:v>
      </x:c>
      <x:c r="I207" s="4">
        <x:v>13829</x:v>
      </x:c>
      <x:c r="J207" s="4">
        <x:v>41</x:v>
      </x:c>
      <x:c r="K207" s="4">
        <x:v>41</x:v>
      </x:c>
      <x:c r="L207" s="4" t="n">
        <x:f>IFERROR(INDEX('楼层配置'!$D$5:$D$104,MATCH($K207,'楼层配置'!$B$5:$B$104,0)),"")</x:f>
        <x:v>164</x:v>
      </x:c>
      <x:c r="M207" s="4" t="str">
        <x:f>IFERROR(INDEX('_角色基线'!$B$2:$B$100,MATCH($B207,'_角色基线'!$A$2:$A$100,0)),"")</x:f>
        <x:v>陈双双</x:v>
      </x:c>
      <x:c r="N207" s="4" t="str">
        <x:f>IFERROR(INDEX('_角色基线'!$C$2:$C$100,MATCH($B207,'_角色基线'!$A$2:$A$100,0)),"")</x:f>
        <x:v>Support</x:v>
      </x:c>
      <x:c r="O207" s="4" t="n">
        <x:f>IFERROR(INDEX('_怪物基线'!$B$2:$B$501,MATCH(INT($L207),'_怪物基线'!$A$2:$A$501,0)),"")</x:f>
        <x:v>104649</x:v>
      </x:c>
      <x:c r="P207" s="4" t="n">
        <x:f>IFERROR(INDEX('_怪物基线'!$C$2:$C$501,MATCH(INT($L207),'_怪物基线'!$A$2:$A$501,0)),"")</x:f>
        <x:v>13934</x:v>
      </x:c>
      <x:c r="Q207" s="4" t="n">
        <x:f>IFERROR(INDEX('_怪物基线'!$D$2:$D$501,MATCH(INT($L207),'_怪物基线'!$A$2:$A$501,0)),"")</x:f>
        <x:v>15165</x:v>
      </x:c>
      <x:c r="R207" s="4" t="n">
        <x:f>'参数'!$B$10</x:f>
        <x:v>4</x:v>
      </x:c>
      <x:c r="S207" s="4" t="n">
        <x:f>'参数'!$C$10</x:f>
        <x:v>1.2</x:v>
      </x:c>
      <x:c r="T207" s="4" t="n">
        <x:f>'参数'!$D$10</x:f>
        <x:v>1</x:v>
      </x:c>
      <x:c r="U207" s="4" t="n">
        <x:f t="shared" si="21">IF($O207="","",$O207*$R207)</x:f>
        <x:v>418596</x:v>
      </x:c>
      <x:c r="V207" s="4" t="n">
        <x:f t="shared" si="22">IF($P207="","",$P207*$S207)</x:f>
        <x:v>16720.8</x:v>
      </x:c>
      <x:c r="W207" s="4" t="n">
        <x:f t="shared" si="23">IF($Q207="","",$Q207*$T207)</x:f>
        <x:v>15165</x:v>
      </x:c>
      <x:c r="X207" s="4" t="n">
        <x:f>IFERROR(INDEX('参数'!$B$5:$B$7,MATCH($N207,'参数'!$A$5:$A$7,0)),"")</x:f>
        <x:v>1.25</x:v>
      </x:c>
      <x:c r="Y207" s="4" t="n">
        <x:f>IFERROR(INDEX('参数'!$C$5:$C$7,MATCH($N207,'参数'!$A$5:$A$7,0)),"")</x:f>
        <x:v>1</x:v>
      </x:c>
      <x:c r="Z207" s="4" t="n">
        <x:f>IFERROR(INDEX('参数'!$D$5:$D$7,MATCH($N207,'参数'!$A$5:$A$7,0)),"")</x:f>
        <x:v>1.25</x:v>
      </x:c>
      <x:c r="AA207" s="4" t="n">
        <x:f>IFERROR(INDEX('楼层配置'!$E$5:$E$104,MATCH($K207,'楼层配置'!$B$5:$B$104,0)),1)</x:f>
        <x:v>1.1668186396598967</x:v>
      </x:c>
      <x:c r="AB207" s="4" t="n">
        <x:f>IFERROR(INDEX('楼层配置'!$F$5:$F$104,MATCH($K207,'楼层配置'!$B$5:$B$104,0)),1)</x:f>
        <x:v>0.6686101593688724</x:v>
      </x:c>
      <x:c r="AC207" s="4" t="n">
        <x:f>IFERROR(INDEX('楼层配置'!$G$5:$G$104,MATCH($K207,'楼层配置'!$B$5:$B$104,0)),1)</x:f>
        <x:v>1</x:v>
      </x:c>
      <x:c r="AD207" s="6" t="n">
        <x:f t="shared" si="24">IFERROR($D207/$G207-1,"")</x:f>
        <x:v>-0.05685164072951521</x:v>
      </x:c>
      <x:c r="AE207" s="6" t="n">
        <x:f t="shared" si="25">IFERROR($E207/$H207-1,"")</x:f>
        <x:v>-0.062316531074394055</x:v>
      </x:c>
      <x:c r="AF207" s="6" t="n">
        <x:f t="shared" si="26">IFERROR($F207/$I207-1,"")</x:f>
        <x:v>0.3707426422734832</x:v>
      </x:c>
      <x:c r="AG207" s="4" t="str">
        <x:f t="shared" si="27">IF(AND($A207&gt;=1,$L207&gt;=1,$L207&lt;=500,OR($N207="Tank",$N207="DPS",$N207="Support"),ISNUMBER($D207),ISNUMBER($E207),ISNUMBER($F207)),"有效","异常")</x:f>
        <x:v>有效</x:v>
      </x:c>
      <x:c r="AH207" t="n">
        <x:f>D207/(1-MIN(0.75,F207/(24000+F207)))</x:f>
        <x:v>1092750.5246666668</x:v>
      </x:c>
    </x:row>
    <x:row r="208" ht="14.25" customHeight="1">
      <x:c r="A208" s="4">
        <x:v>204</x:v>
      </x:c>
      <x:c r="B208" s="4">
        <x:v>1021</x:v>
      </x:c>
      <x:c r="C208" s="4">
        <x:v>30</x:v>
      </x:c>
      <x:c r="D208" s="5" t="n">
        <x:f>IFERROR(ROUND($U208*$X208*$AA208*'参数'!$B$13,0),"")</x:f>
        <x:v>488426</x:v>
      </x:c>
      <x:c r="E208" s="5" t="n">
        <x:f>IFERROR(ROUND($V208*$Y208*$AB208*'参数'!$C$13,0),"")</x:f>
        <x:v>13416</x:v>
      </x:c>
      <x:c r="F208" s="5" t="n">
        <x:f>IFERROR(ROUND($W208*$Z208*$AC208*'参数'!$D$13,0),"")</x:f>
        <x:v>15165</x:v>
      </x:c>
      <x:c r="G208" s="4">
        <x:v>517867</x:v>
      </x:c>
      <x:c r="H208" s="4">
        <x:v>14307</x:v>
      </x:c>
      <x:c r="I208" s="4">
        <x:v>11063</x:v>
      </x:c>
      <x:c r="J208" s="4">
        <x:v>41</x:v>
      </x:c>
      <x:c r="K208" s="4">
        <x:v>41</x:v>
      </x:c>
      <x:c r="L208" s="4" t="n">
        <x:f>IFERROR(INDEX('楼层配置'!$D$5:$D$104,MATCH($K208,'楼层配置'!$B$5:$B$104,0)),"")</x:f>
        <x:v>164</x:v>
      </x:c>
      <x:c r="M208" s="4" t="str">
        <x:f>IFERROR(INDEX('_角色基线'!$B$2:$B$100,MATCH($B208,'_角色基线'!$A$2:$A$100,0)),"")</x:f>
        <x:v>梅梅</x:v>
      </x:c>
      <x:c r="N208" s="4" t="str">
        <x:f>IFERROR(INDEX('_角色基线'!$C$2:$C$100,MATCH($B208,'_角色基线'!$A$2:$A$100,0)),"")</x:f>
        <x:v>DPS</x:v>
      </x:c>
      <x:c r="O208" s="4" t="n">
        <x:f>IFERROR(INDEX('_怪物基线'!$B$2:$B$501,MATCH(INT($L208),'_怪物基线'!$A$2:$A$501,0)),"")</x:f>
        <x:v>104649</x:v>
      </x:c>
      <x:c r="P208" s="4" t="n">
        <x:f>IFERROR(INDEX('_怪物基线'!$C$2:$C$501,MATCH(INT($L208),'_怪物基线'!$A$2:$A$501,0)),"")</x:f>
        <x:v>13934</x:v>
      </x:c>
      <x:c r="Q208" s="4" t="n">
        <x:f>IFERROR(INDEX('_怪物基线'!$D$2:$D$501,MATCH(INT($L208),'_怪物基线'!$A$2:$A$501,0)),"")</x:f>
        <x:v>15165</x:v>
      </x:c>
      <x:c r="R208" s="4" t="n">
        <x:f>'参数'!$B$10</x:f>
        <x:v>4</x:v>
      </x:c>
      <x:c r="S208" s="4" t="n">
        <x:f>'参数'!$C$10</x:f>
        <x:v>1.2</x:v>
      </x:c>
      <x:c r="T208" s="4" t="n">
        <x:f>'参数'!$D$10</x:f>
        <x:v>1</x:v>
      </x:c>
      <x:c r="U208" s="4" t="n">
        <x:f t="shared" si="21">IF($O208="","",$O208*$R208)</x:f>
        <x:v>418596</x:v>
      </x:c>
      <x:c r="V208" s="4" t="n">
        <x:f t="shared" si="22">IF($P208="","",$P208*$S208)</x:f>
        <x:v>16720.8</x:v>
      </x:c>
      <x:c r="W208" s="4" t="n">
        <x:f t="shared" si="23">IF($Q208="","",$Q208*$T208)</x:f>
        <x:v>15165</x:v>
      </x:c>
      <x:c r="X208" s="4" t="n">
        <x:f>IFERROR(INDEX('参数'!$B$5:$B$7,MATCH($N208,'参数'!$A$5:$A$7,0)),"")</x:f>
        <x:v>1</x:v>
      </x:c>
      <x:c r="Y208" s="4" t="n">
        <x:f>IFERROR(INDEX('参数'!$C$5:$C$7,MATCH($N208,'参数'!$A$5:$A$7,0)),"")</x:f>
        <x:v>1.2</x:v>
      </x:c>
      <x:c r="Z208" s="4" t="n">
        <x:f>IFERROR(INDEX('参数'!$D$5:$D$7,MATCH($N208,'参数'!$A$5:$A$7,0)),"")</x:f>
        <x:v>1</x:v>
      </x:c>
      <x:c r="AA208" s="4" t="n">
        <x:f>IFERROR(INDEX('楼层配置'!$E$5:$E$104,MATCH($K208,'楼层配置'!$B$5:$B$104,0)),1)</x:f>
        <x:v>1.1668186396598967</x:v>
      </x:c>
      <x:c r="AB208" s="4" t="n">
        <x:f>IFERROR(INDEX('楼层配置'!$F$5:$F$104,MATCH($K208,'楼层配置'!$B$5:$B$104,0)),1)</x:f>
        <x:v>0.6686101593688724</x:v>
      </x:c>
      <x:c r="AC208" s="4" t="n">
        <x:f>IFERROR(INDEX('楼层配置'!$G$5:$G$104,MATCH($K208,'楼层配置'!$B$5:$B$104,0)),1)</x:f>
        <x:v>1</x:v>
      </x:c>
      <x:c r="AD208" s="6" t="n">
        <x:f t="shared" si="24">IFERROR($D208/$G208-1,"")</x:f>
        <x:v>-0.05685050408695669</x:v>
      </x:c>
      <x:c r="AE208" s="6" t="n">
        <x:f t="shared" si="25">IFERROR($E208/$H208-1,"")</x:f>
        <x:v>-0.062277206961627196</x:v>
      </x:c>
      <x:c r="AF208" s="6" t="n">
        <x:f t="shared" si="26">IFERROR($F208/$I208-1,"")</x:f>
        <x:v>0.37078550122028386</x:v>
      </x:c>
      <x:c r="AG208" s="4" t="str">
        <x:f t="shared" si="27">IF(AND($A208&gt;=1,$L208&gt;=1,$L208&lt;=500,OR($N208="Tank",$N208="DPS",$N208="Support"),ISNUMBER($D208),ISNUMBER($E208),ISNUMBER($F208)),"有效","异常")</x:f>
        <x:v>有效</x:v>
      </x:c>
      <x:c r="AH208" t="n">
        <x:f>D208/(1-MIN(0.75,F208/(24000+F208)))</x:f>
        <x:v>797050.1787500001</x:v>
      </x:c>
    </x:row>
    <x:row r="209" ht="14.25" customHeight="1">
      <x:c r="A209" s="4">
        <x:v>205</x:v>
      </x:c>
      <x:c r="B209" s="4">
        <x:v>1015</x:v>
      </x:c>
      <x:c r="C209" s="4">
        <x:v>30</x:v>
      </x:c>
      <x:c r="D209" s="5" t="n">
        <x:f>IFERROR(ROUND($U209*$X209*$AA209*'参数'!$B$13,0),"")</x:f>
        <x:v>610532</x:v>
      </x:c>
      <x:c r="E209" s="5" t="n">
        <x:f>IFERROR(ROUND($V209*$Y209*$AB209*'参数'!$C$13,0),"")</x:f>
        <x:v>11180</x:v>
      </x:c>
      <x:c r="F209" s="5" t="n">
        <x:f>IFERROR(ROUND($W209*$Z209*$AC209*'参数'!$D$13,0),"")</x:f>
        <x:v>18956</x:v>
      </x:c>
      <x:c r="G209" s="4">
        <x:v>647334</x:v>
      </x:c>
      <x:c r="H209" s="4">
        <x:v>11923</x:v>
      </x:c>
      <x:c r="I209" s="4">
        <x:v>13829</x:v>
      </x:c>
      <x:c r="J209" s="4">
        <x:v>41</x:v>
      </x:c>
      <x:c r="K209" s="4">
        <x:v>41</x:v>
      </x:c>
      <x:c r="L209" s="4" t="n">
        <x:f>IFERROR(INDEX('楼层配置'!$D$5:$D$104,MATCH($K209,'楼层配置'!$B$5:$B$104,0)),"")</x:f>
        <x:v>164</x:v>
      </x:c>
      <x:c r="M209" s="4" t="str">
        <x:f>IFERROR(INDEX('_角色基线'!$B$2:$B$100,MATCH($B209,'_角色基线'!$A$2:$A$100,0)),"")</x:f>
        <x:v>阿莱克西娅</x:v>
      </x:c>
      <x:c r="N209" s="4" t="str">
        <x:f>IFERROR(INDEX('_角色基线'!$C$2:$C$100,MATCH($B209,'_角色基线'!$A$2:$A$100,0)),"")</x:f>
        <x:v>Support</x:v>
      </x:c>
      <x:c r="O209" s="4" t="n">
        <x:f>IFERROR(INDEX('_怪物基线'!$B$2:$B$501,MATCH(INT($L209),'_怪物基线'!$A$2:$A$501,0)),"")</x:f>
        <x:v>104649</x:v>
      </x:c>
      <x:c r="P209" s="4" t="n">
        <x:f>IFERROR(INDEX('_怪物基线'!$C$2:$C$501,MATCH(INT($L209),'_怪物基线'!$A$2:$A$501,0)),"")</x:f>
        <x:v>13934</x:v>
      </x:c>
      <x:c r="Q209" s="4" t="n">
        <x:f>IFERROR(INDEX('_怪物基线'!$D$2:$D$501,MATCH(INT($L209),'_怪物基线'!$A$2:$A$501,0)),"")</x:f>
        <x:v>15165</x:v>
      </x:c>
      <x:c r="R209" s="4" t="n">
        <x:f>'参数'!$B$10</x:f>
        <x:v>4</x:v>
      </x:c>
      <x:c r="S209" s="4" t="n">
        <x:f>'参数'!$C$10</x:f>
        <x:v>1.2</x:v>
      </x:c>
      <x:c r="T209" s="4" t="n">
        <x:f>'参数'!$D$10</x:f>
        <x:v>1</x:v>
      </x:c>
      <x:c r="U209" s="4" t="n">
        <x:f t="shared" si="21">IF($O209="","",$O209*$R209)</x:f>
        <x:v>418596</x:v>
      </x:c>
      <x:c r="V209" s="4" t="n">
        <x:f t="shared" si="22">IF($P209="","",$P209*$S209)</x:f>
        <x:v>16720.8</x:v>
      </x:c>
      <x:c r="W209" s="4" t="n">
        <x:f t="shared" si="23">IF($Q209="","",$Q209*$T209)</x:f>
        <x:v>15165</x:v>
      </x:c>
      <x:c r="X209" s="4" t="n">
        <x:f>IFERROR(INDEX('参数'!$B$5:$B$7,MATCH($N209,'参数'!$A$5:$A$7,0)),"")</x:f>
        <x:v>1.25</x:v>
      </x:c>
      <x:c r="Y209" s="4" t="n">
        <x:f>IFERROR(INDEX('参数'!$C$5:$C$7,MATCH($N209,'参数'!$A$5:$A$7,0)),"")</x:f>
        <x:v>1</x:v>
      </x:c>
      <x:c r="Z209" s="4" t="n">
        <x:f>IFERROR(INDEX('参数'!$D$5:$D$7,MATCH($N209,'参数'!$A$5:$A$7,0)),"")</x:f>
        <x:v>1.25</x:v>
      </x:c>
      <x:c r="AA209" s="4" t="n">
        <x:f>IFERROR(INDEX('楼层配置'!$E$5:$E$104,MATCH($K209,'楼层配置'!$B$5:$B$104,0)),1)</x:f>
        <x:v>1.1668186396598967</x:v>
      </x:c>
      <x:c r="AB209" s="4" t="n">
        <x:f>IFERROR(INDEX('楼层配置'!$F$5:$F$104,MATCH($K209,'楼层配置'!$B$5:$B$104,0)),1)</x:f>
        <x:v>0.6686101593688724</x:v>
      </x:c>
      <x:c r="AC209" s="4" t="n">
        <x:f>IFERROR(INDEX('楼层配置'!$G$5:$G$104,MATCH($K209,'楼层配置'!$B$5:$B$104,0)),1)</x:f>
        <x:v>1</x:v>
      </x:c>
      <x:c r="AD209" s="6" t="n">
        <x:f t="shared" si="24">IFERROR($D209/$G209-1,"")</x:f>
        <x:v>-0.05685164072951521</x:v>
      </x:c>
      <x:c r="AE209" s="6" t="n">
        <x:f t="shared" si="25">IFERROR($E209/$H209-1,"")</x:f>
        <x:v>-0.062316531074394055</x:v>
      </x:c>
      <x:c r="AF209" s="6" t="n">
        <x:f t="shared" si="26">IFERROR($F209/$I209-1,"")</x:f>
        <x:v>0.3707426422734832</x:v>
      </x:c>
      <x:c r="AG209" s="4" t="str">
        <x:f t="shared" si="27">IF(AND($A209&gt;=1,$L209&gt;=1,$L209&lt;=500,OR($N209="Tank",$N209="DPS",$N209="Support"),ISNUMBER($D209),ISNUMBER($E209),ISNUMBER($F209)),"有效","异常")</x:f>
        <x:v>有效</x:v>
      </x:c>
      <x:c r="AH209" t="n">
        <x:f>D209/(1-MIN(0.75,F209/(24000+F209)))</x:f>
        <x:v>1092750.5246666668</x:v>
      </x:c>
    </x:row>
    <x:row r="210" ht="14.25" customHeight="1">
      <x:c r="A210" s="4">
        <x:v>206</x:v>
      </x:c>
      <x:c r="B210" s="4">
        <x:v>1002</x:v>
      </x:c>
      <x:c r="C210" s="4">
        <x:v>31</x:v>
      </x:c>
      <x:c r="D210" s="5" t="n">
        <x:f>IFERROR(ROUND($U210*$X210*$AA210*'参数'!$B$13,0),"")</x:f>
        <x:v>760695</x:v>
      </x:c>
      <x:c r="E210" s="5" t="n">
        <x:f>IFERROR(ROUND($V210*$Y210*$AB210*'参数'!$C$13,0),"")</x:f>
        <x:v>11515</x:v>
      </x:c>
      <x:c r="F210" s="5" t="n">
        <x:f>IFERROR(ROUND($W210*$Z210*$AC210*'参数'!$D$13,0),"")</x:f>
        <x:v>23250</x:v>
      </x:c>
      <x:c r="G210" s="4">
        <x:v>817329</x:v>
      </x:c>
      <x:c r="H210" s="4">
        <x:v>12328</x:v>
      </x:c>
      <x:c r="I210" s="4">
        <x:v>17062</x:v>
      </x:c>
      <x:c r="J210" s="4">
        <x:v>42</x:v>
      </x:c>
      <x:c r="K210" s="4">
        <x:v>42</x:v>
      </x:c>
      <x:c r="L210" s="4" t="n">
        <x:f>IFERROR(INDEX('楼层配置'!$D$5:$D$104,MATCH($K210,'楼层配置'!$B$5:$B$104,0)),"")</x:f>
        <x:v>167</x:v>
      </x:c>
      <x:c r="M210" s="4" t="str">
        <x:f>IFERROR(INDEX('_角色基线'!$B$2:$B$100,MATCH($B210,'_角色基线'!$A$2:$A$100,0)),"")</x:f>
        <x:v>大暑</x:v>
      </x:c>
      <x:c r="N210" s="4" t="str">
        <x:f>IFERROR(INDEX('_角色基线'!$C$2:$C$100,MATCH($B210,'_角色基线'!$A$2:$A$100,0)),"")</x:f>
        <x:v>Tank</x:v>
      </x:c>
      <x:c r="O210" s="4" t="n">
        <x:f>IFERROR(INDEX('_怪物基线'!$B$2:$B$501,MATCH(INT($L210),'_怪物基线'!$A$2:$A$501,0)),"")</x:f>
        <x:v>109048</x:v>
      </x:c>
      <x:c r="P210" s="4" t="n">
        <x:f>IFERROR(INDEX('_怪物基线'!$C$2:$C$501,MATCH(INT($L210),'_怪物基线'!$A$2:$A$501,0)),"")</x:f>
        <x:v>14354</x:v>
      </x:c>
      <x:c r="Q210" s="4" t="n">
        <x:f>IFERROR(INDEX('_怪物基线'!$D$2:$D$501,MATCH(INT($L210),'_怪物基线'!$A$2:$A$501,0)),"")</x:f>
        <x:v>15500</x:v>
      </x:c>
      <x:c r="R210" s="4" t="n">
        <x:f>'参数'!$B$10</x:f>
        <x:v>4</x:v>
      </x:c>
      <x:c r="S210" s="4" t="n">
        <x:f>'参数'!$C$10</x:f>
        <x:v>1.2</x:v>
      </x:c>
      <x:c r="T210" s="4" t="n">
        <x:f>'参数'!$D$10</x:f>
        <x:v>1</x:v>
      </x:c>
      <x:c r="U210" s="4" t="n">
        <x:f t="shared" si="21">IF($O210="","",$O210*$R210)</x:f>
        <x:v>436192</x:v>
      </x:c>
      <x:c r="V210" s="4" t="n">
        <x:f t="shared" si="22">IF($P210="","",$P210*$S210)</x:f>
        <x:v>17224.8</x:v>
      </x:c>
      <x:c r="W210" s="4" t="n">
        <x:f t="shared" si="23">IF($Q210="","",$Q210*$T210)</x:f>
        <x:v>15500</x:v>
      </x:c>
      <x:c r="X210" s="4" t="n">
        <x:f>IFERROR(INDEX('参数'!$B$5:$B$7,MATCH($N210,'参数'!$A$5:$A$7,0)),"")</x:f>
        <x:v>1.5</x:v>
      </x:c>
      <x:c r="Y210" s="4" t="n">
        <x:f>IFERROR(INDEX('参数'!$C$5:$C$7,MATCH($N210,'参数'!$A$5:$A$7,0)),"")</x:f>
        <x:v>1</x:v>
      </x:c>
      <x:c r="Z210" s="4" t="n">
        <x:f>IFERROR(INDEX('参数'!$D$5:$D$7,MATCH($N210,'参数'!$A$5:$A$7,0)),"")</x:f>
        <x:v>1.5</x:v>
      </x:c>
      <x:c r="AA210" s="4" t="n">
        <x:f>IFERROR(INDEX('楼层配置'!$E$5:$E$104,MATCH($K210,'楼层配置'!$B$5:$B$104,0)),1)</x:f>
        <x:v>1.1626296034588008</x:v>
      </x:c>
      <x:c r="AB210" s="4" t="n">
        <x:f>IFERROR(INDEX('楼层配置'!$F$5:$F$104,MATCH($K210,'楼层配置'!$B$5:$B$104,0)),1)</x:f>
        <x:v>0.6684852131883328</x:v>
      </x:c>
      <x:c r="AC210" s="4" t="n">
        <x:f>IFERROR(INDEX('楼层配置'!$G$5:$G$104,MATCH($K210,'楼层配置'!$B$5:$B$104,0)),1)</x:f>
        <x:v>1</x:v>
      </x:c>
      <x:c r="AD210" s="6" t="n">
        <x:f t="shared" si="24">IFERROR($D210/$G210-1,"")</x:f>
        <x:v>-0.06929155823419941</x:v>
      </x:c>
      <x:c r="AE210" s="6" t="n">
        <x:f t="shared" si="25">IFERROR($E210/$H210-1,"")</x:f>
        <x:v>-0.06594743672939651</x:v>
      </x:c>
      <x:c r="AF210" s="6" t="n">
        <x:f t="shared" si="26">IFERROR($F210/$I210-1,"")</x:f>
        <x:v>0.3626772945727348</x:v>
      </x:c>
      <x:c r="AG210" s="4" t="str">
        <x:f t="shared" si="27">IF(AND($A210&gt;=1,$L210&gt;=1,$L210&lt;=500,OR($N210="Tank",$N210="DPS",$N210="Support"),ISNUMBER($D210),ISNUMBER($E210),ISNUMBER($F210)),"有效","异常")</x:f>
        <x:v>有效</x:v>
      </x:c>
      <x:c r="AH210" t="n">
        <x:f>D210/(1-MIN(0.75,F210/(24000+F210)))</x:f>
        <x:v>1497618.28125</x:v>
      </x:c>
    </x:row>
    <x:row r="211" ht="14.25" customHeight="1">
      <x:c r="A211" s="4">
        <x:v>207</x:v>
      </x:c>
      <x:c r="B211" s="4">
        <x:v>1011</x:v>
      </x:c>
      <x:c r="C211" s="4">
        <x:v>31</x:v>
      </x:c>
      <x:c r="D211" s="5" t="n">
        <x:f>IFERROR(ROUND($U211*$X211*$AA211*'参数'!$B$13,0),"")</x:f>
        <x:v>633912</x:v>
      </x:c>
      <x:c r="E211" s="5" t="n">
        <x:f>IFERROR(ROUND($V211*$Y211*$AB211*'参数'!$C$13,0),"")</x:f>
        <x:v>11515</x:v>
      </x:c>
      <x:c r="F211" s="5" t="n">
        <x:f>IFERROR(ROUND($W211*$Z211*$AC211*'参数'!$D$13,0),"")</x:f>
        <x:v>19375</x:v>
      </x:c>
      <x:c r="G211" s="4">
        <x:v>681108</x:v>
      </x:c>
      <x:c r="H211" s="4">
        <x:v>12328</x:v>
      </x:c>
      <x:c r="I211" s="4">
        <x:v>14219</x:v>
      </x:c>
      <x:c r="J211" s="4">
        <x:v>42</x:v>
      </x:c>
      <x:c r="K211" s="4">
        <x:v>42</x:v>
      </x:c>
      <x:c r="L211" s="4" t="n">
        <x:f>IFERROR(INDEX('楼层配置'!$D$5:$D$104,MATCH($K211,'楼层配置'!$B$5:$B$104,0)),"")</x:f>
        <x:v>167</x:v>
      </x:c>
      <x:c r="M211" s="4" t="str">
        <x:f>IFERROR(INDEX('_角色基线'!$B$2:$B$100,MATCH($B211,'_角色基线'!$A$2:$A$100,0)),"")</x:f>
        <x:v>陈双双</x:v>
      </x:c>
      <x:c r="N211" s="4" t="str">
        <x:f>IFERROR(INDEX('_角色基线'!$C$2:$C$100,MATCH($B211,'_角色基线'!$A$2:$A$100,0)),"")</x:f>
        <x:v>Support</x:v>
      </x:c>
      <x:c r="O211" s="4" t="n">
        <x:f>IFERROR(INDEX('_怪物基线'!$B$2:$B$501,MATCH(INT($L211),'_怪物基线'!$A$2:$A$501,0)),"")</x:f>
        <x:v>109048</x:v>
      </x:c>
      <x:c r="P211" s="4" t="n">
        <x:f>IFERROR(INDEX('_怪物基线'!$C$2:$C$501,MATCH(INT($L211),'_怪物基线'!$A$2:$A$501,0)),"")</x:f>
        <x:v>14354</x:v>
      </x:c>
      <x:c r="Q211" s="4" t="n">
        <x:f>IFERROR(INDEX('_怪物基线'!$D$2:$D$501,MATCH(INT($L211),'_怪物基线'!$A$2:$A$501,0)),"")</x:f>
        <x:v>15500</x:v>
      </x:c>
      <x:c r="R211" s="4" t="n">
        <x:f>'参数'!$B$10</x:f>
        <x:v>4</x:v>
      </x:c>
      <x:c r="S211" s="4" t="n">
        <x:f>'参数'!$C$10</x:f>
        <x:v>1.2</x:v>
      </x:c>
      <x:c r="T211" s="4" t="n">
        <x:f>'参数'!$D$10</x:f>
        <x:v>1</x:v>
      </x:c>
      <x:c r="U211" s="4" t="n">
        <x:f t="shared" si="21">IF($O211="","",$O211*$R211)</x:f>
        <x:v>436192</x:v>
      </x:c>
      <x:c r="V211" s="4" t="n">
        <x:f t="shared" si="22">IF($P211="","",$P211*$S211)</x:f>
        <x:v>17224.8</x:v>
      </x:c>
      <x:c r="W211" s="4" t="n">
        <x:f t="shared" si="23">IF($Q211="","",$Q211*$T211)</x:f>
        <x:v>15500</x:v>
      </x:c>
      <x:c r="X211" s="4" t="n">
        <x:f>IFERROR(INDEX('参数'!$B$5:$B$7,MATCH($N211,'参数'!$A$5:$A$7,0)),"")</x:f>
        <x:v>1.25</x:v>
      </x:c>
      <x:c r="Y211" s="4" t="n">
        <x:f>IFERROR(INDEX('参数'!$C$5:$C$7,MATCH($N211,'参数'!$A$5:$A$7,0)),"")</x:f>
        <x:v>1</x:v>
      </x:c>
      <x:c r="Z211" s="4" t="n">
        <x:f>IFERROR(INDEX('参数'!$D$5:$D$7,MATCH($N211,'参数'!$A$5:$A$7,0)),"")</x:f>
        <x:v>1.25</x:v>
      </x:c>
      <x:c r="AA211" s="4" t="n">
        <x:f>IFERROR(INDEX('楼层配置'!$E$5:$E$104,MATCH($K211,'楼层配置'!$B$5:$B$104,0)),1)</x:f>
        <x:v>1.1626296034588008</x:v>
      </x:c>
      <x:c r="AB211" s="4" t="n">
        <x:f>IFERROR(INDEX('楼层配置'!$F$5:$F$104,MATCH($K211,'楼层配置'!$B$5:$B$104,0)),1)</x:f>
        <x:v>0.6684852131883328</x:v>
      </x:c>
      <x:c r="AC211" s="4" t="n">
        <x:f>IFERROR(INDEX('楼层配置'!$G$5:$G$104,MATCH($K211,'楼层配置'!$B$5:$B$104,0)),1)</x:f>
        <x:v>1</x:v>
      </x:c>
      <x:c r="AD211" s="6" t="n">
        <x:f t="shared" si="24">IFERROR($D211/$G211-1,"")</x:f>
        <x:v>-0.06929297556334679</x:v>
      </x:c>
      <x:c r="AE211" s="6" t="n">
        <x:f t="shared" si="25">IFERROR($E211/$H211-1,"")</x:f>
        <x:v>-0.06594743672939651</x:v>
      </x:c>
      <x:c r="AF211" s="6" t="n">
        <x:f t="shared" si="26">IFERROR($F211/$I211-1,"")</x:f>
        <x:v>0.36261340459947955</x:v>
      </x:c>
      <x:c r="AG211" s="4" t="str">
        <x:f t="shared" si="27">IF(AND($A211&gt;=1,$L211&gt;=1,$L211&lt;=500,OR($N211="Tank",$N211="DPS",$N211="Support"),ISNUMBER($D211),ISNUMBER($E211),ISNUMBER($F211)),"有效","异常")</x:f>
        <x:v>有效</x:v>
      </x:c>
      <x:c r="AH211" t="n">
        <x:f>D211/(1-MIN(0.75,F211/(24000+F211)))</x:f>
        <x:v>1145663.8750000002</x:v>
      </x:c>
    </x:row>
    <x:row r="212" ht="14.25" customHeight="1">
      <x:c r="A212" s="4">
        <x:v>208</x:v>
      </x:c>
      <x:c r="B212" s="4">
        <x:v>1021</x:v>
      </x:c>
      <x:c r="C212" s="4">
        <x:v>31</x:v>
      </x:c>
      <x:c r="D212" s="5" t="n">
        <x:f>IFERROR(ROUND($U212*$X212*$AA212*'参数'!$B$13,0),"")</x:f>
        <x:v>507130</x:v>
      </x:c>
      <x:c r="E212" s="5" t="n">
        <x:f>IFERROR(ROUND($V212*$Y212*$AB212*'参数'!$C$13,0),"")</x:f>
        <x:v>13817</x:v>
      </x:c>
      <x:c r="F212" s="5" t="n">
        <x:f>IFERROR(ROUND($W212*$Z212*$AC212*'参数'!$D$13,0),"")</x:f>
        <x:v>15500</x:v>
      </x:c>
      <x:c r="G212" s="4">
        <x:v>544886</x:v>
      </x:c>
      <x:c r="H212" s="4">
        <x:v>14793</x:v>
      </x:c>
      <x:c r="I212" s="4">
        <x:v>11375</x:v>
      </x:c>
      <x:c r="J212" s="4">
        <x:v>42</x:v>
      </x:c>
      <x:c r="K212" s="4">
        <x:v>42</x:v>
      </x:c>
      <x:c r="L212" s="4" t="n">
        <x:f>IFERROR(INDEX('楼层配置'!$D$5:$D$104,MATCH($K212,'楼层配置'!$B$5:$B$104,0)),"")</x:f>
        <x:v>167</x:v>
      </x:c>
      <x:c r="M212" s="4" t="str">
        <x:f>IFERROR(INDEX('_角色基线'!$B$2:$B$100,MATCH($B212,'_角色基线'!$A$2:$A$100,0)),"")</x:f>
        <x:v>梅梅</x:v>
      </x:c>
      <x:c r="N212" s="4" t="str">
        <x:f>IFERROR(INDEX('_角色基线'!$C$2:$C$100,MATCH($B212,'_角色基线'!$A$2:$A$100,0)),"")</x:f>
        <x:v>DPS</x:v>
      </x:c>
      <x:c r="O212" s="4" t="n">
        <x:f>IFERROR(INDEX('_怪物基线'!$B$2:$B$501,MATCH(INT($L212),'_怪物基线'!$A$2:$A$501,0)),"")</x:f>
        <x:v>109048</x:v>
      </x:c>
      <x:c r="P212" s="4" t="n">
        <x:f>IFERROR(INDEX('_怪物基线'!$C$2:$C$501,MATCH(INT($L212),'_怪物基线'!$A$2:$A$501,0)),"")</x:f>
        <x:v>14354</x:v>
      </x:c>
      <x:c r="Q212" s="4" t="n">
        <x:f>IFERROR(INDEX('_怪物基线'!$D$2:$D$501,MATCH(INT($L212),'_怪物基线'!$A$2:$A$501,0)),"")</x:f>
        <x:v>15500</x:v>
      </x:c>
      <x:c r="R212" s="4" t="n">
        <x:f>'参数'!$B$10</x:f>
        <x:v>4</x:v>
      </x:c>
      <x:c r="S212" s="4" t="n">
        <x:f>'参数'!$C$10</x:f>
        <x:v>1.2</x:v>
      </x:c>
      <x:c r="T212" s="4" t="n">
        <x:f>'参数'!$D$10</x:f>
        <x:v>1</x:v>
      </x:c>
      <x:c r="U212" s="4" t="n">
        <x:f t="shared" si="21">IF($O212="","",$O212*$R212)</x:f>
        <x:v>436192</x:v>
      </x:c>
      <x:c r="V212" s="4" t="n">
        <x:f t="shared" si="22">IF($P212="","",$P212*$S212)</x:f>
        <x:v>17224.8</x:v>
      </x:c>
      <x:c r="W212" s="4" t="n">
        <x:f t="shared" si="23">IF($Q212="","",$Q212*$T212)</x:f>
        <x:v>15500</x:v>
      </x:c>
      <x:c r="X212" s="4" t="n">
        <x:f>IFERROR(INDEX('参数'!$B$5:$B$7,MATCH($N212,'参数'!$A$5:$A$7,0)),"")</x:f>
        <x:v>1</x:v>
      </x:c>
      <x:c r="Y212" s="4" t="n">
        <x:f>IFERROR(INDEX('参数'!$C$5:$C$7,MATCH($N212,'参数'!$A$5:$A$7,0)),"")</x:f>
        <x:v>1.2</x:v>
      </x:c>
      <x:c r="Z212" s="4" t="n">
        <x:f>IFERROR(INDEX('参数'!$D$5:$D$7,MATCH($N212,'参数'!$A$5:$A$7,0)),"")</x:f>
        <x:v>1</x:v>
      </x:c>
      <x:c r="AA212" s="4" t="n">
        <x:f>IFERROR(INDEX('楼层配置'!$E$5:$E$104,MATCH($K212,'楼层配置'!$B$5:$B$104,0)),1)</x:f>
        <x:v>1.1626296034588008</x:v>
      </x:c>
      <x:c r="AB212" s="4" t="n">
        <x:f>IFERROR(INDEX('楼层配置'!$F$5:$F$104,MATCH($K212,'楼层配置'!$B$5:$B$104,0)),1)</x:f>
        <x:v>0.6684852131883328</x:v>
      </x:c>
      <x:c r="AC212" s="4" t="n">
        <x:f>IFERROR(INDEX('楼层配置'!$G$5:$G$104,MATCH($K212,'楼层配置'!$B$5:$B$104,0)),1)</x:f>
        <x:v>1</x:v>
      </x:c>
      <x:c r="AD212" s="6" t="n">
        <x:f t="shared" si="24">IFERROR($D212/$G212-1,"")</x:f>
        <x:v>-0.06929155823419941</x:v>
      </x:c>
      <x:c r="AE212" s="6" t="n">
        <x:f t="shared" si="25">IFERROR($E212/$H212-1,"")</x:f>
        <x:v>-0.06597715135537074</x:v>
      </x:c>
      <x:c r="AF212" s="6" t="n">
        <x:f t="shared" si="26">IFERROR($F212/$I212-1,"")</x:f>
        <x:v>0.3626373626373627</x:v>
      </x:c>
      <x:c r="AG212" s="4" t="str">
        <x:f t="shared" si="27">IF(AND($A212&gt;=1,$L212&gt;=1,$L212&lt;=500,OR($N212="Tank",$N212="DPS",$N212="Support"),ISNUMBER($D212),ISNUMBER($E212),ISNUMBER($F212)),"有效","异常")</x:f>
        <x:v>有效</x:v>
      </x:c>
      <x:c r="AH212" t="n">
        <x:f>D212/(1-MIN(0.75,F212/(24000+F212)))</x:f>
        <x:v>834651.4583333333</x:v>
      </x:c>
    </x:row>
    <x:row r="213" ht="14.25" customHeight="1">
      <x:c r="A213" s="4">
        <x:v>209</x:v>
      </x:c>
      <x:c r="B213" s="4">
        <x:v>1040</x:v>
      </x:c>
      <x:c r="C213" s="4">
        <x:v>31</x:v>
      </x:c>
      <x:c r="D213" s="5" t="n">
        <x:f>IFERROR(ROUND($U213*$X213*$AA213*'参数'!$B$13,0),"")</x:f>
        <x:v>633912</x:v>
      </x:c>
      <x:c r="E213" s="5" t="n">
        <x:f>IFERROR(ROUND($V213*$Y213*$AB213*'参数'!$C$13,0),"")</x:f>
        <x:v>11515</x:v>
      </x:c>
      <x:c r="F213" s="5" t="n">
        <x:f>IFERROR(ROUND($W213*$Z213*$AC213*'参数'!$D$13,0),"")</x:f>
        <x:v>19375</x:v>
      </x:c>
      <x:c r="G213" s="4">
        <x:v>681108</x:v>
      </x:c>
      <x:c r="H213" s="4">
        <x:v>12328</x:v>
      </x:c>
      <x:c r="I213" s="4">
        <x:v>14219</x:v>
      </x:c>
      <x:c r="J213" s="4">
        <x:v>42</x:v>
      </x:c>
      <x:c r="K213" s="4">
        <x:v>42</x:v>
      </x:c>
      <x:c r="L213" s="4" t="n">
        <x:f>IFERROR(INDEX('楼层配置'!$D$5:$D$104,MATCH($K213,'楼层配置'!$B$5:$B$104,0)),"")</x:f>
        <x:v>167</x:v>
      </x:c>
      <x:c r="M213" s="4" t="str">
        <x:f>IFERROR(INDEX('_角色基线'!$B$2:$B$100,MATCH($B213,'_角色基线'!$A$2:$A$100,0)),"")</x:f>
        <x:v>小寒</x:v>
      </x:c>
      <x:c r="N213" s="4" t="str">
        <x:f>IFERROR(INDEX('_角色基线'!$C$2:$C$100,MATCH($B213,'_角色基线'!$A$2:$A$100,0)),"")</x:f>
        <x:v>Support</x:v>
      </x:c>
      <x:c r="O213" s="4" t="n">
        <x:f>IFERROR(INDEX('_怪物基线'!$B$2:$B$501,MATCH(INT($L213),'_怪物基线'!$A$2:$A$501,0)),"")</x:f>
        <x:v>109048</x:v>
      </x:c>
      <x:c r="P213" s="4" t="n">
        <x:f>IFERROR(INDEX('_怪物基线'!$C$2:$C$501,MATCH(INT($L213),'_怪物基线'!$A$2:$A$501,0)),"")</x:f>
        <x:v>14354</x:v>
      </x:c>
      <x:c r="Q213" s="4" t="n">
        <x:f>IFERROR(INDEX('_怪物基线'!$D$2:$D$501,MATCH(INT($L213),'_怪物基线'!$A$2:$A$501,0)),"")</x:f>
        <x:v>15500</x:v>
      </x:c>
      <x:c r="R213" s="4" t="n">
        <x:f>'参数'!$B$10</x:f>
        <x:v>4</x:v>
      </x:c>
      <x:c r="S213" s="4" t="n">
        <x:f>'参数'!$C$10</x:f>
        <x:v>1.2</x:v>
      </x:c>
      <x:c r="T213" s="4" t="n">
        <x:f>'参数'!$D$10</x:f>
        <x:v>1</x:v>
      </x:c>
      <x:c r="U213" s="4" t="n">
        <x:f t="shared" si="21">IF($O213="","",$O213*$R213)</x:f>
        <x:v>436192</x:v>
      </x:c>
      <x:c r="V213" s="4" t="n">
        <x:f t="shared" si="22">IF($P213="","",$P213*$S213)</x:f>
        <x:v>17224.8</x:v>
      </x:c>
      <x:c r="W213" s="4" t="n">
        <x:f t="shared" si="23">IF($Q213="","",$Q213*$T213)</x:f>
        <x:v>15500</x:v>
      </x:c>
      <x:c r="X213" s="4" t="n">
        <x:f>IFERROR(INDEX('参数'!$B$5:$B$7,MATCH($N213,'参数'!$A$5:$A$7,0)),"")</x:f>
        <x:v>1.25</x:v>
      </x:c>
      <x:c r="Y213" s="4" t="n">
        <x:f>IFERROR(INDEX('参数'!$C$5:$C$7,MATCH($N213,'参数'!$A$5:$A$7,0)),"")</x:f>
        <x:v>1</x:v>
      </x:c>
      <x:c r="Z213" s="4" t="n">
        <x:f>IFERROR(INDEX('参数'!$D$5:$D$7,MATCH($N213,'参数'!$A$5:$A$7,0)),"")</x:f>
        <x:v>1.25</x:v>
      </x:c>
      <x:c r="AA213" s="4" t="n">
        <x:f>IFERROR(INDEX('楼层配置'!$E$5:$E$104,MATCH($K213,'楼层配置'!$B$5:$B$104,0)),1)</x:f>
        <x:v>1.1626296034588008</x:v>
      </x:c>
      <x:c r="AB213" s="4" t="n">
        <x:f>IFERROR(INDEX('楼层配置'!$F$5:$F$104,MATCH($K213,'楼层配置'!$B$5:$B$104,0)),1)</x:f>
        <x:v>0.6684852131883328</x:v>
      </x:c>
      <x:c r="AC213" s="4" t="n">
        <x:f>IFERROR(INDEX('楼层配置'!$G$5:$G$104,MATCH($K213,'楼层配置'!$B$5:$B$104,0)),1)</x:f>
        <x:v>1</x:v>
      </x:c>
      <x:c r="AD213" s="6" t="n">
        <x:f t="shared" si="24">IFERROR($D213/$G213-1,"")</x:f>
        <x:v>-0.06929297556334679</x:v>
      </x:c>
      <x:c r="AE213" s="6" t="n">
        <x:f t="shared" si="25">IFERROR($E213/$H213-1,"")</x:f>
        <x:v>-0.06594743672939651</x:v>
      </x:c>
      <x:c r="AF213" s="6" t="n">
        <x:f t="shared" si="26">IFERROR($F213/$I213-1,"")</x:f>
        <x:v>0.36261340459947955</x:v>
      </x:c>
      <x:c r="AG213" s="4" t="str">
        <x:f t="shared" si="27">IF(AND($A213&gt;=1,$L213&gt;=1,$L213&lt;=500,OR($N213="Tank",$N213="DPS",$N213="Support"),ISNUMBER($D213),ISNUMBER($E213),ISNUMBER($F213)),"有效","异常")</x:f>
        <x:v>有效</x:v>
      </x:c>
      <x:c r="AH213" t="n">
        <x:f>D213/(1-MIN(0.75,F213/(24000+F213)))</x:f>
        <x:v>1145663.8750000002</x:v>
      </x:c>
    </x:row>
    <x:row r="214" ht="14.25" customHeight="1">
      <x:c r="A214" s="4">
        <x:v>210</x:v>
      </x:c>
      <x:c r="B214" s="4">
        <x:v>1012</x:v>
      </x:c>
      <x:c r="C214" s="4">
        <x:v>31</x:v>
      </x:c>
      <x:c r="D214" s="5" t="n">
        <x:f>IFERROR(ROUND($U214*$X214*$AA214*'参数'!$B$13,0),"")</x:f>
        <x:v>633912</x:v>
      </x:c>
      <x:c r="E214" s="5" t="n">
        <x:f>IFERROR(ROUND($V214*$Y214*$AB214*'参数'!$C$13,0),"")</x:f>
        <x:v>11515</x:v>
      </x:c>
      <x:c r="F214" s="5" t="n">
        <x:f>IFERROR(ROUND($W214*$Z214*$AC214*'参数'!$D$13,0),"")</x:f>
        <x:v>19375</x:v>
      </x:c>
      <x:c r="G214" s="4">
        <x:v>681108</x:v>
      </x:c>
      <x:c r="H214" s="4">
        <x:v>12328</x:v>
      </x:c>
      <x:c r="I214" s="4">
        <x:v>14219</x:v>
      </x:c>
      <x:c r="J214" s="4">
        <x:v>42</x:v>
      </x:c>
      <x:c r="K214" s="4">
        <x:v>42</x:v>
      </x:c>
      <x:c r="L214" s="4" t="n">
        <x:f>IFERROR(INDEX('楼层配置'!$D$5:$D$104,MATCH($K214,'楼层配置'!$B$5:$B$104,0)),"")</x:f>
        <x:v>167</x:v>
      </x:c>
      <x:c r="M214" s="4" t="str">
        <x:f>IFERROR(INDEX('_角色基线'!$B$2:$B$100,MATCH($B214,'_角色基线'!$A$2:$A$100,0)),"")</x:f>
        <x:v>艾德琳</x:v>
      </x:c>
      <x:c r="N214" s="4" t="str">
        <x:f>IFERROR(INDEX('_角色基线'!$C$2:$C$100,MATCH($B214,'_角色基线'!$A$2:$A$100,0)),"")</x:f>
        <x:v>Support</x:v>
      </x:c>
      <x:c r="O214" s="4" t="n">
        <x:f>IFERROR(INDEX('_怪物基线'!$B$2:$B$501,MATCH(INT($L214),'_怪物基线'!$A$2:$A$501,0)),"")</x:f>
        <x:v>109048</x:v>
      </x:c>
      <x:c r="P214" s="4" t="n">
        <x:f>IFERROR(INDEX('_怪物基线'!$C$2:$C$501,MATCH(INT($L214),'_怪物基线'!$A$2:$A$501,0)),"")</x:f>
        <x:v>14354</x:v>
      </x:c>
      <x:c r="Q214" s="4" t="n">
        <x:f>IFERROR(INDEX('_怪物基线'!$D$2:$D$501,MATCH(INT($L214),'_怪物基线'!$A$2:$A$501,0)),"")</x:f>
        <x:v>15500</x:v>
      </x:c>
      <x:c r="R214" s="4" t="n">
        <x:f>'参数'!$B$10</x:f>
        <x:v>4</x:v>
      </x:c>
      <x:c r="S214" s="4" t="n">
        <x:f>'参数'!$C$10</x:f>
        <x:v>1.2</x:v>
      </x:c>
      <x:c r="T214" s="4" t="n">
        <x:f>'参数'!$D$10</x:f>
        <x:v>1</x:v>
      </x:c>
      <x:c r="U214" s="4" t="n">
        <x:f t="shared" si="21">IF($O214="","",$O214*$R214)</x:f>
        <x:v>436192</x:v>
      </x:c>
      <x:c r="V214" s="4" t="n">
        <x:f t="shared" si="22">IF($P214="","",$P214*$S214)</x:f>
        <x:v>17224.8</x:v>
      </x:c>
      <x:c r="W214" s="4" t="n">
        <x:f t="shared" si="23">IF($Q214="","",$Q214*$T214)</x:f>
        <x:v>15500</x:v>
      </x:c>
      <x:c r="X214" s="4" t="n">
        <x:f>IFERROR(INDEX('参数'!$B$5:$B$7,MATCH($N214,'参数'!$A$5:$A$7,0)),"")</x:f>
        <x:v>1.25</x:v>
      </x:c>
      <x:c r="Y214" s="4" t="n">
        <x:f>IFERROR(INDEX('参数'!$C$5:$C$7,MATCH($N214,'参数'!$A$5:$A$7,0)),"")</x:f>
        <x:v>1</x:v>
      </x:c>
      <x:c r="Z214" s="4" t="n">
        <x:f>IFERROR(INDEX('参数'!$D$5:$D$7,MATCH($N214,'参数'!$A$5:$A$7,0)),"")</x:f>
        <x:v>1.25</x:v>
      </x:c>
      <x:c r="AA214" s="4" t="n">
        <x:f>IFERROR(INDEX('楼层配置'!$E$5:$E$104,MATCH($K214,'楼层配置'!$B$5:$B$104,0)),1)</x:f>
        <x:v>1.1626296034588008</x:v>
      </x:c>
      <x:c r="AB214" s="4" t="n">
        <x:f>IFERROR(INDEX('楼层配置'!$F$5:$F$104,MATCH($K214,'楼层配置'!$B$5:$B$104,0)),1)</x:f>
        <x:v>0.6684852131883328</x:v>
      </x:c>
      <x:c r="AC214" s="4" t="n">
        <x:f>IFERROR(INDEX('楼层配置'!$G$5:$G$104,MATCH($K214,'楼层配置'!$B$5:$B$104,0)),1)</x:f>
        <x:v>1</x:v>
      </x:c>
      <x:c r="AD214" s="6" t="n">
        <x:f t="shared" si="24">IFERROR($D214/$G214-1,"")</x:f>
        <x:v>-0.06929297556334679</x:v>
      </x:c>
      <x:c r="AE214" s="6" t="n">
        <x:f t="shared" si="25">IFERROR($E214/$H214-1,"")</x:f>
        <x:v>-0.06594743672939651</x:v>
      </x:c>
      <x:c r="AF214" s="6" t="n">
        <x:f t="shared" si="26">IFERROR($F214/$I214-1,"")</x:f>
        <x:v>0.36261340459947955</x:v>
      </x:c>
      <x:c r="AG214" s="4" t="str">
        <x:f t="shared" si="27">IF(AND($A214&gt;=1,$L214&gt;=1,$L214&lt;=500,OR($N214="Tank",$N214="DPS",$N214="Support"),ISNUMBER($D214),ISNUMBER($E214),ISNUMBER($F214)),"有效","异常")</x:f>
        <x:v>有效</x:v>
      </x:c>
      <x:c r="AH214" t="n">
        <x:f>D214/(1-MIN(0.75,F214/(24000+F214)))</x:f>
        <x:v>1145663.8750000002</x:v>
      </x:c>
    </x:row>
    <x:row r="215" ht="14.25" customHeight="1">
      <x:c r="A215" s="4">
        <x:v>211</x:v>
      </x:c>
      <x:c r="B215" s="4">
        <x:v>1002</x:v>
      </x:c>
      <x:c r="C215" s="4">
        <x:v>31</x:v>
      </x:c>
      <x:c r="D215" s="5" t="n">
        <x:f>IFERROR(ROUND($U215*$X215*$AA215*'参数'!$B$13,0),"")</x:f>
        <x:v>799177</x:v>
      </x:c>
      <x:c r="E215" s="5" t="n">
        <x:f>IFERROR(ROUND($V215*$Y215*$AB215*'参数'!$C$13,0),"")</x:f>
        <x:v>11930</x:v>
      </x:c>
      <x:c r="F215" s="5" t="n">
        <x:f>IFERROR(ROUND($W215*$Z215*$AC215*'参数'!$D$13,0),"")</x:f>
        <x:v>23924</x:v>
      </x:c>
      <x:c r="G215" s="4">
        <x:v>859320</x:v>
      </x:c>
      <x:c r="H215" s="4">
        <x:v>12740</x:v>
      </x:c>
      <x:c r="I215" s="4">
        <x:v>17534</x:v>
      </x:c>
      <x:c r="J215" s="4">
        <x:v>43</x:v>
      </x:c>
      <x:c r="K215" s="4">
        <x:v>43</x:v>
      </x:c>
      <x:c r="L215" s="4" t="n">
        <x:f>IFERROR(INDEX('楼层配置'!$D$5:$D$104,MATCH($K215,'楼层配置'!$B$5:$B$104,0)),"")</x:f>
        <x:v>171</x:v>
      </x:c>
      <x:c r="M215" s="4" t="str">
        <x:f>IFERROR(INDEX('_角色基线'!$B$2:$B$100,MATCH($B215,'_角色基线'!$A$2:$A$100,0)),"")</x:f>
        <x:v>大暑</x:v>
      </x:c>
      <x:c r="N215" s="4" t="str">
        <x:f>IFERROR(INDEX('_角色基线'!$C$2:$C$100,MATCH($B215,'_角色基线'!$A$2:$A$100,0)),"")</x:f>
        <x:v>Tank</x:v>
      </x:c>
      <x:c r="O215" s="4" t="n">
        <x:f>IFERROR(INDEX('_怪物基线'!$B$2:$B$501,MATCH(INT($L215),'_怪物基线'!$A$2:$A$501,0)),"")</x:f>
        <x:v>115120</x:v>
      </x:c>
      <x:c r="P215" s="4" t="n">
        <x:f>IFERROR(INDEX('_怪物基线'!$C$2:$C$501,MATCH(INT($L215),'_怪物基线'!$A$2:$A$501,0)),"")</x:f>
        <x:v>14926</x:v>
      </x:c>
      <x:c r="Q215" s="4" t="n">
        <x:f>IFERROR(INDEX('_怪物基线'!$D$2:$D$501,MATCH(INT($L215),'_怪物基线'!$A$2:$A$501,0)),"")</x:f>
        <x:v>15949</x:v>
      </x:c>
      <x:c r="R215" s="4" t="n">
        <x:f>'参数'!$B$10</x:f>
        <x:v>4</x:v>
      </x:c>
      <x:c r="S215" s="4" t="n">
        <x:f>'参数'!$C$10</x:f>
        <x:v>1.2</x:v>
      </x:c>
      <x:c r="T215" s="4" t="n">
        <x:f>'参数'!$D$10</x:f>
        <x:v>1</x:v>
      </x:c>
      <x:c r="U215" s="4" t="n">
        <x:f t="shared" si="21">IF($O215="","",$O215*$R215)</x:f>
        <x:v>460480</x:v>
      </x:c>
      <x:c r="V215" s="4" t="n">
        <x:f t="shared" si="22">IF($P215="","",$P215*$S215)</x:f>
        <x:v>17911.2</x:v>
      </x:c>
      <x:c r="W215" s="4" t="n">
        <x:f t="shared" si="23">IF($Q215="","",$Q215*$T215)</x:f>
        <x:v>15949</x:v>
      </x:c>
      <x:c r="X215" s="4" t="n">
        <x:f>IFERROR(INDEX('参数'!$B$5:$B$7,MATCH($N215,'参数'!$A$5:$A$7,0)),"")</x:f>
        <x:v>1.5</x:v>
      </x:c>
      <x:c r="Y215" s="4" t="n">
        <x:f>IFERROR(INDEX('参数'!$C$5:$C$7,MATCH($N215,'参数'!$A$5:$A$7,0)),"")</x:f>
        <x:v>1</x:v>
      </x:c>
      <x:c r="Z215" s="4" t="n">
        <x:f>IFERROR(INDEX('参数'!$D$5:$D$7,MATCH($N215,'参数'!$A$5:$A$7,0)),"")</x:f>
        <x:v>1.5</x:v>
      </x:c>
      <x:c r="AA215" s="4" t="n">
        <x:f>IFERROR(INDEX('楼层配置'!$E$5:$E$104,MATCH($K215,'楼层配置'!$B$5:$B$104,0)),1)</x:f>
        <x:v>1.1570198537625256</x:v>
      </x:c>
      <x:c r="AB215" s="4" t="n">
        <x:f>IFERROR(INDEX('楼层配置'!$F$5:$F$104,MATCH($K215,'楼层配置'!$B$5:$B$104,0)),1)</x:f>
        <x:v>0.6660771662658811</x:v>
      </x:c>
      <x:c r="AC215" s="4" t="n">
        <x:f>IFERROR(INDEX('楼层配置'!$G$5:$G$104,MATCH($K215,'楼层配置'!$B$5:$B$104,0)),1)</x:f>
        <x:v>1</x:v>
      </x:c>
      <x:c r="AD215" s="6" t="n">
        <x:f t="shared" si="24">IFERROR($D215/$G215-1,"")</x:f>
        <x:v>-0.06998906111809333</x:v>
      </x:c>
      <x:c r="AE215" s="6" t="n">
        <x:f t="shared" si="25">IFERROR($E215/$H215-1,"")</x:f>
        <x:v>-0.06357927786499218</x:v>
      </x:c>
      <x:c r="AF215" s="6" t="n">
        <x:f t="shared" si="26">IFERROR($F215/$I215-1,"")</x:f>
        <x:v>0.3644348123645489</x:v>
      </x:c>
      <x:c r="AG215" s="4" t="str">
        <x:f t="shared" si="27">IF(AND($A215&gt;=1,$L215&gt;=1,$L215&lt;=500,OR($N215="Tank",$N215="DPS",$N215="Support"),ISNUMBER($D215),ISNUMBER($E215),ISNUMBER($F215)),"有效","异常")</x:f>
        <x:v>有效</x:v>
      </x:c>
      <x:c r="AH215" t="n">
        <x:f>D215/(1-MIN(0.75,F215/(24000+F215)))</x:f>
        <x:v>1595823.2728333331</x:v>
      </x:c>
    </x:row>
    <x:row r="216" ht="14.25" customHeight="1">
      <x:c r="A216" s="4">
        <x:v>212</x:v>
      </x:c>
      <x:c r="B216" s="4">
        <x:v>1030</x:v>
      </x:c>
      <x:c r="C216" s="4">
        <x:v>31</x:v>
      </x:c>
      <x:c r="D216" s="5" t="n">
        <x:f>IFERROR(ROUND($U216*$X216*$AA216*'参数'!$B$13,0),"")</x:f>
        <x:v>799177</x:v>
      </x:c>
      <x:c r="E216" s="5" t="n">
        <x:f>IFERROR(ROUND($V216*$Y216*$AB216*'参数'!$C$13,0),"")</x:f>
        <x:v>11930</x:v>
      </x:c>
      <x:c r="F216" s="5" t="n">
        <x:f>IFERROR(ROUND($W216*$Z216*$AC216*'参数'!$D$13,0),"")</x:f>
        <x:v>23924</x:v>
      </x:c>
      <x:c r="G216" s="4">
        <x:v>859320</x:v>
      </x:c>
      <x:c r="H216" s="4">
        <x:v>12740</x:v>
      </x:c>
      <x:c r="I216" s="4">
        <x:v>17534</x:v>
      </x:c>
      <x:c r="J216" s="4">
        <x:v>43</x:v>
      </x:c>
      <x:c r="K216" s="4">
        <x:v>43</x:v>
      </x:c>
      <x:c r="L216" s="4" t="n">
        <x:f>IFERROR(INDEX('楼层配置'!$D$5:$D$104,MATCH($K216,'楼层配置'!$B$5:$B$104,0)),"")</x:f>
        <x:v>171</x:v>
      </x:c>
      <x:c r="M216" s="4" t="str">
        <x:f>IFERROR(INDEX('_角色基线'!$B$2:$B$100,MATCH($B216,'_角色基线'!$A$2:$A$100,0)),"")</x:f>
        <x:v>莫莉</x:v>
      </x:c>
      <x:c r="N216" s="4" t="str">
        <x:f>IFERROR(INDEX('_角色基线'!$C$2:$C$100,MATCH($B216,'_角色基线'!$A$2:$A$100,0)),"")</x:f>
        <x:v>Tank</x:v>
      </x:c>
      <x:c r="O216" s="4" t="n">
        <x:f>IFERROR(INDEX('_怪物基线'!$B$2:$B$501,MATCH(INT($L216),'_怪物基线'!$A$2:$A$501,0)),"")</x:f>
        <x:v>115120</x:v>
      </x:c>
      <x:c r="P216" s="4" t="n">
        <x:f>IFERROR(INDEX('_怪物基线'!$C$2:$C$501,MATCH(INT($L216),'_怪物基线'!$A$2:$A$501,0)),"")</x:f>
        <x:v>14926</x:v>
      </x:c>
      <x:c r="Q216" s="4" t="n">
        <x:f>IFERROR(INDEX('_怪物基线'!$D$2:$D$501,MATCH(INT($L216),'_怪物基线'!$A$2:$A$501,0)),"")</x:f>
        <x:v>15949</x:v>
      </x:c>
      <x:c r="R216" s="4" t="n">
        <x:f>'参数'!$B$10</x:f>
        <x:v>4</x:v>
      </x:c>
      <x:c r="S216" s="4" t="n">
        <x:f>'参数'!$C$10</x:f>
        <x:v>1.2</x:v>
      </x:c>
      <x:c r="T216" s="4" t="n">
        <x:f>'参数'!$D$10</x:f>
        <x:v>1</x:v>
      </x:c>
      <x:c r="U216" s="4" t="n">
        <x:f t="shared" si="21">IF($O216="","",$O216*$R216)</x:f>
        <x:v>460480</x:v>
      </x:c>
      <x:c r="V216" s="4" t="n">
        <x:f t="shared" si="22">IF($P216="","",$P216*$S216)</x:f>
        <x:v>17911.2</x:v>
      </x:c>
      <x:c r="W216" s="4" t="n">
        <x:f t="shared" si="23">IF($Q216="","",$Q216*$T216)</x:f>
        <x:v>15949</x:v>
      </x:c>
      <x:c r="X216" s="4" t="n">
        <x:f>IFERROR(INDEX('参数'!$B$5:$B$7,MATCH($N216,'参数'!$A$5:$A$7,0)),"")</x:f>
        <x:v>1.5</x:v>
      </x:c>
      <x:c r="Y216" s="4" t="n">
        <x:f>IFERROR(INDEX('参数'!$C$5:$C$7,MATCH($N216,'参数'!$A$5:$A$7,0)),"")</x:f>
        <x:v>1</x:v>
      </x:c>
      <x:c r="Z216" s="4" t="n">
        <x:f>IFERROR(INDEX('参数'!$D$5:$D$7,MATCH($N216,'参数'!$A$5:$A$7,0)),"")</x:f>
        <x:v>1.5</x:v>
      </x:c>
      <x:c r="AA216" s="4" t="n">
        <x:f>IFERROR(INDEX('楼层配置'!$E$5:$E$104,MATCH($K216,'楼层配置'!$B$5:$B$104,0)),1)</x:f>
        <x:v>1.1570198537625256</x:v>
      </x:c>
      <x:c r="AB216" s="4" t="n">
        <x:f>IFERROR(INDEX('楼层配置'!$F$5:$F$104,MATCH($K216,'楼层配置'!$B$5:$B$104,0)),1)</x:f>
        <x:v>0.6660771662658811</x:v>
      </x:c>
      <x:c r="AC216" s="4" t="n">
        <x:f>IFERROR(INDEX('楼层配置'!$G$5:$G$104,MATCH($K216,'楼层配置'!$B$5:$B$104,0)),1)</x:f>
        <x:v>1</x:v>
      </x:c>
      <x:c r="AD216" s="6" t="n">
        <x:f t="shared" si="24">IFERROR($D216/$G216-1,"")</x:f>
        <x:v>-0.06998906111809333</x:v>
      </x:c>
      <x:c r="AE216" s="6" t="n">
        <x:f t="shared" si="25">IFERROR($E216/$H216-1,"")</x:f>
        <x:v>-0.06357927786499218</x:v>
      </x:c>
      <x:c r="AF216" s="6" t="n">
        <x:f t="shared" si="26">IFERROR($F216/$I216-1,"")</x:f>
        <x:v>0.3644348123645489</x:v>
      </x:c>
      <x:c r="AG216" s="4" t="str">
        <x:f t="shared" si="27">IF(AND($A216&gt;=1,$L216&gt;=1,$L216&lt;=500,OR($N216="Tank",$N216="DPS",$N216="Support"),ISNUMBER($D216),ISNUMBER($E216),ISNUMBER($F216)),"有效","异常")</x:f>
        <x:v>有效</x:v>
      </x:c>
      <x:c r="AH216" t="n">
        <x:f>D216/(1-MIN(0.75,F216/(24000+F216)))</x:f>
        <x:v>1595823.2728333331</x:v>
      </x:c>
    </x:row>
    <x:row r="217" ht="14.25" customHeight="1">
      <x:c r="A217" s="4">
        <x:v>213</x:v>
      </x:c>
      <x:c r="B217" s="4">
        <x:v>1015</x:v>
      </x:c>
      <x:c r="C217" s="4">
        <x:v>31</x:v>
      </x:c>
      <x:c r="D217" s="5" t="n">
        <x:f>IFERROR(ROUND($U217*$X217*$AA217*'参数'!$B$13,0),"")</x:f>
        <x:v>665981</x:v>
      </x:c>
      <x:c r="E217" s="5" t="n">
        <x:f>IFERROR(ROUND($V217*$Y217*$AB217*'参数'!$C$13,0),"")</x:f>
        <x:v>11930</x:v>
      </x:c>
      <x:c r="F217" s="5" t="n">
        <x:f>IFERROR(ROUND($W217*$Z217*$AC217*'参数'!$D$13,0),"")</x:f>
        <x:v>19936</x:v>
      </x:c>
      <x:c r="G217" s="4">
        <x:v>716100</x:v>
      </x:c>
      <x:c r="H217" s="4">
        <x:v>12740</x:v>
      </x:c>
      <x:c r="I217" s="4">
        <x:v>14612</x:v>
      </x:c>
      <x:c r="J217" s="4">
        <x:v>43</x:v>
      </x:c>
      <x:c r="K217" s="4">
        <x:v>43</x:v>
      </x:c>
      <x:c r="L217" s="4" t="n">
        <x:f>IFERROR(INDEX('楼层配置'!$D$5:$D$104,MATCH($K217,'楼层配置'!$B$5:$B$104,0)),"")</x:f>
        <x:v>171</x:v>
      </x:c>
      <x:c r="M217" s="4" t="str">
        <x:f>IFERROR(INDEX('_角色基线'!$B$2:$B$100,MATCH($B217,'_角色基线'!$A$2:$A$100,0)),"")</x:f>
        <x:v>阿莱克西娅</x:v>
      </x:c>
      <x:c r="N217" s="4" t="str">
        <x:f>IFERROR(INDEX('_角色基线'!$C$2:$C$100,MATCH($B217,'_角色基线'!$A$2:$A$100,0)),"")</x:f>
        <x:v>Support</x:v>
      </x:c>
      <x:c r="O217" s="4" t="n">
        <x:f>IFERROR(INDEX('_怪物基线'!$B$2:$B$501,MATCH(INT($L217),'_怪物基线'!$A$2:$A$501,0)),"")</x:f>
        <x:v>115120</x:v>
      </x:c>
      <x:c r="P217" s="4" t="n">
        <x:f>IFERROR(INDEX('_怪物基线'!$C$2:$C$501,MATCH(INT($L217),'_怪物基线'!$A$2:$A$501,0)),"")</x:f>
        <x:v>14926</x:v>
      </x:c>
      <x:c r="Q217" s="4" t="n">
        <x:f>IFERROR(INDEX('_怪物基线'!$D$2:$D$501,MATCH(INT($L217),'_怪物基线'!$A$2:$A$501,0)),"")</x:f>
        <x:v>15949</x:v>
      </x:c>
      <x:c r="R217" s="4" t="n">
        <x:f>'参数'!$B$10</x:f>
        <x:v>4</x:v>
      </x:c>
      <x:c r="S217" s="4" t="n">
        <x:f>'参数'!$C$10</x:f>
        <x:v>1.2</x:v>
      </x:c>
      <x:c r="T217" s="4" t="n">
        <x:f>'参数'!$D$10</x:f>
        <x:v>1</x:v>
      </x:c>
      <x:c r="U217" s="4" t="n">
        <x:f t="shared" si="21">IF($O217="","",$O217*$R217)</x:f>
        <x:v>460480</x:v>
      </x:c>
      <x:c r="V217" s="4" t="n">
        <x:f t="shared" si="22">IF($P217="","",$P217*$S217)</x:f>
        <x:v>17911.2</x:v>
      </x:c>
      <x:c r="W217" s="4" t="n">
        <x:f t="shared" si="23">IF($Q217="","",$Q217*$T217)</x:f>
        <x:v>15949</x:v>
      </x:c>
      <x:c r="X217" s="4" t="n">
        <x:f>IFERROR(INDEX('参数'!$B$5:$B$7,MATCH($N217,'参数'!$A$5:$A$7,0)),"")</x:f>
        <x:v>1.25</x:v>
      </x:c>
      <x:c r="Y217" s="4" t="n">
        <x:f>IFERROR(INDEX('参数'!$C$5:$C$7,MATCH($N217,'参数'!$A$5:$A$7,0)),"")</x:f>
        <x:v>1</x:v>
      </x:c>
      <x:c r="Z217" s="4" t="n">
        <x:f>IFERROR(INDEX('参数'!$D$5:$D$7,MATCH($N217,'参数'!$A$5:$A$7,0)),"")</x:f>
        <x:v>1.25</x:v>
      </x:c>
      <x:c r="AA217" s="4" t="n">
        <x:f>IFERROR(INDEX('楼层配置'!$E$5:$E$104,MATCH($K217,'楼层配置'!$B$5:$B$104,0)),1)</x:f>
        <x:v>1.1570198537625256</x:v>
      </x:c>
      <x:c r="AB217" s="4" t="n">
        <x:f>IFERROR(INDEX('楼层配置'!$F$5:$F$104,MATCH($K217,'楼层配置'!$B$5:$B$104,0)),1)</x:f>
        <x:v>0.6660771662658811</x:v>
      </x:c>
      <x:c r="AC217" s="4" t="n">
        <x:f>IFERROR(INDEX('楼层配置'!$G$5:$G$104,MATCH($K217,'楼层配置'!$B$5:$B$104,0)),1)</x:f>
        <x:v>1</x:v>
      </x:c>
      <x:c r="AD217" s="6" t="n">
        <x:f t="shared" si="24">IFERROR($D217/$G217-1,"")</x:f>
        <x:v>-0.06998882837592513</x:v>
      </x:c>
      <x:c r="AE217" s="6" t="n">
        <x:f t="shared" si="25">IFERROR($E217/$H217-1,"")</x:f>
        <x:v>-0.06357927786499218</x:v>
      </x:c>
      <x:c r="AF217" s="6" t="n">
        <x:f t="shared" si="26">IFERROR($F217/$I217-1,"")</x:f>
        <x:v>0.3643580618669586</x:v>
      </x:c>
      <x:c r="AG217" s="4" t="str">
        <x:f t="shared" si="27">IF(AND($A217&gt;=1,$L217&gt;=1,$L217&lt;=500,OR($N217="Tank",$N217="DPS",$N217="Support"),ISNUMBER($D217),ISNUMBER($E217),ISNUMBER($F217)),"有效","异常")</x:f>
        <x:v>有效</x:v>
      </x:c>
      <x:c r="AH217" t="n">
        <x:f>D217/(1-MIN(0.75,F217/(24000+F217)))</x:f>
        <x:v>1219189.2173333336</x:v>
      </x:c>
    </x:row>
    <x:row r="218" ht="14.25" customHeight="1">
      <x:c r="A218" s="4">
        <x:v>214</x:v>
      </x:c>
      <x:c r="B218" s="4">
        <x:v>1026</x:v>
      </x:c>
      <x:c r="C218" s="4">
        <x:v>31</x:v>
      </x:c>
      <x:c r="D218" s="5" t="n">
        <x:f>IFERROR(ROUND($U218*$X218*$AA218*'参数'!$B$13,0),"")</x:f>
        <x:v>532785</x:v>
      </x:c>
      <x:c r="E218" s="5" t="n">
        <x:f>IFERROR(ROUND($V218*$Y218*$AB218*'参数'!$C$13,0),"")</x:f>
        <x:v>14316</x:v>
      </x:c>
      <x:c r="F218" s="5" t="n">
        <x:f>IFERROR(ROUND($W218*$Z218*$AC218*'参数'!$D$13,0),"")</x:f>
        <x:v>15949</x:v>
      </x:c>
      <x:c r="G218" s="4">
        <x:v>572880</x:v>
      </x:c>
      <x:c r="H218" s="4">
        <x:v>15288</x:v>
      </x:c>
      <x:c r="I218" s="4">
        <x:v>11689</x:v>
      </x:c>
      <x:c r="J218" s="4">
        <x:v>43</x:v>
      </x:c>
      <x:c r="K218" s="4">
        <x:v>43</x:v>
      </x:c>
      <x:c r="L218" s="4" t="n">
        <x:f>IFERROR(INDEX('楼层配置'!$D$5:$D$104,MATCH($K218,'楼层配置'!$B$5:$B$104,0)),"")</x:f>
        <x:v>171</x:v>
      </x:c>
      <x:c r="M218" s="4" t="str">
        <x:f>IFERROR(INDEX('_角色基线'!$B$2:$B$100,MATCH($B218,'_角色基线'!$A$2:$A$100,0)),"")</x:f>
        <x:v>乔一</x:v>
      </x:c>
      <x:c r="N218" s="4" t="str">
        <x:f>IFERROR(INDEX('_角色基线'!$C$2:$C$100,MATCH($B218,'_角色基线'!$A$2:$A$100,0)),"")</x:f>
        <x:v>DPS</x:v>
      </x:c>
      <x:c r="O218" s="4" t="n">
        <x:f>IFERROR(INDEX('_怪物基线'!$B$2:$B$501,MATCH(INT($L218),'_怪物基线'!$A$2:$A$501,0)),"")</x:f>
        <x:v>115120</x:v>
      </x:c>
      <x:c r="P218" s="4" t="n">
        <x:f>IFERROR(INDEX('_怪物基线'!$C$2:$C$501,MATCH(INT($L218),'_怪物基线'!$A$2:$A$501,0)),"")</x:f>
        <x:v>14926</x:v>
      </x:c>
      <x:c r="Q218" s="4" t="n">
        <x:f>IFERROR(INDEX('_怪物基线'!$D$2:$D$501,MATCH(INT($L218),'_怪物基线'!$A$2:$A$501,0)),"")</x:f>
        <x:v>15949</x:v>
      </x:c>
      <x:c r="R218" s="4" t="n">
        <x:f>'参数'!$B$10</x:f>
        <x:v>4</x:v>
      </x:c>
      <x:c r="S218" s="4" t="n">
        <x:f>'参数'!$C$10</x:f>
        <x:v>1.2</x:v>
      </x:c>
      <x:c r="T218" s="4" t="n">
        <x:f>'参数'!$D$10</x:f>
        <x:v>1</x:v>
      </x:c>
      <x:c r="U218" s="4" t="n">
        <x:f t="shared" si="21">IF($O218="","",$O218*$R218)</x:f>
        <x:v>460480</x:v>
      </x:c>
      <x:c r="V218" s="4" t="n">
        <x:f t="shared" si="22">IF($P218="","",$P218*$S218)</x:f>
        <x:v>17911.2</x:v>
      </x:c>
      <x:c r="W218" s="4" t="n">
        <x:f t="shared" si="23">IF($Q218="","",$Q218*$T218)</x:f>
        <x:v>15949</x:v>
      </x:c>
      <x:c r="X218" s="4" t="n">
        <x:f>IFERROR(INDEX('参数'!$B$5:$B$7,MATCH($N218,'参数'!$A$5:$A$7,0)),"")</x:f>
        <x:v>1</x:v>
      </x:c>
      <x:c r="Y218" s="4" t="n">
        <x:f>IFERROR(INDEX('参数'!$C$5:$C$7,MATCH($N218,'参数'!$A$5:$A$7,0)),"")</x:f>
        <x:v>1.2</x:v>
      </x:c>
      <x:c r="Z218" s="4" t="n">
        <x:f>IFERROR(INDEX('参数'!$D$5:$D$7,MATCH($N218,'参数'!$A$5:$A$7,0)),"")</x:f>
        <x:v>1</x:v>
      </x:c>
      <x:c r="AA218" s="4" t="n">
        <x:f>IFERROR(INDEX('楼层配置'!$E$5:$E$104,MATCH($K218,'楼层配置'!$B$5:$B$104,0)),1)</x:f>
        <x:v>1.1570198537625256</x:v>
      </x:c>
      <x:c r="AB218" s="4" t="n">
        <x:f>IFERROR(INDEX('楼层配置'!$F$5:$F$104,MATCH($K218,'楼层配置'!$B$5:$B$104,0)),1)</x:f>
        <x:v>0.6660771662658811</x:v>
      </x:c>
      <x:c r="AC218" s="4" t="n">
        <x:f>IFERROR(INDEX('楼层配置'!$G$5:$G$104,MATCH($K218,'楼层配置'!$B$5:$B$104,0)),1)</x:f>
        <x:v>1</x:v>
      </x:c>
      <x:c r="AD218" s="6" t="n">
        <x:f t="shared" si="24">IFERROR($D218/$G218-1,"")</x:f>
        <x:v>-0.06998847926267282</x:v>
      </x:c>
      <x:c r="AE218" s="6" t="n">
        <x:f t="shared" si="25">IFERROR($E218/$H218-1,"")</x:f>
        <x:v>-0.06357927786499218</x:v>
      </x:c>
      <x:c r="AF218" s="6" t="n">
        <x:f t="shared" si="26">IFERROR($F218/$I218-1,"")</x:f>
        <x:v>0.36444520489348964</x:v>
      </x:c>
      <x:c r="AG218" s="4" t="str">
        <x:f t="shared" si="27">IF(AND($A218&gt;=1,$L218&gt;=1,$L218&lt;=500,OR($N218="Tank",$N218="DPS",$N218="Support"),ISNUMBER($D218),ISNUMBER($E218),ISNUMBER($F218)),"有效","异常")</x:f>
        <x:v>有效</x:v>
      </x:c>
      <x:c r="AH218" t="n">
        <x:f>D218/(1-MIN(0.75,F218/(24000+F218)))</x:f>
        <x:v>886842.831875</x:v>
      </x:c>
    </x:row>
    <x:row r="219" ht="14.25" customHeight="1">
      <x:c r="A219" s="4">
        <x:v>215</x:v>
      </x:c>
      <x:c r="B219" s="4">
        <x:v>1020</x:v>
      </x:c>
      <x:c r="C219" s="4">
        <x:v>31</x:v>
      </x:c>
      <x:c r="D219" s="5" t="n">
        <x:f>IFERROR(ROUND($U219*$X219*$AA219*'参数'!$B$13,0),"")</x:f>
        <x:v>665981</x:v>
      </x:c>
      <x:c r="E219" s="5" t="n">
        <x:f>IFERROR(ROUND($V219*$Y219*$AB219*'参数'!$C$13,0),"")</x:f>
        <x:v>11930</x:v>
      </x:c>
      <x:c r="F219" s="5" t="n">
        <x:f>IFERROR(ROUND($W219*$Z219*$AC219*'参数'!$D$13,0),"")</x:f>
        <x:v>19936</x:v>
      </x:c>
      <x:c r="G219" s="4">
        <x:v>716100</x:v>
      </x:c>
      <x:c r="H219" s="4">
        <x:v>12740</x:v>
      </x:c>
      <x:c r="I219" s="4">
        <x:v>14612</x:v>
      </x:c>
      <x:c r="J219" s="4">
        <x:v>43</x:v>
      </x:c>
      <x:c r="K219" s="4">
        <x:v>43</x:v>
      </x:c>
      <x:c r="L219" s="4" t="n">
        <x:f>IFERROR(INDEX('楼层配置'!$D$5:$D$104,MATCH($K219,'楼层配置'!$B$5:$B$104,0)),"")</x:f>
        <x:v>171</x:v>
      </x:c>
      <x:c r="M219" s="4" t="str">
        <x:f>IFERROR(INDEX('_角色基线'!$B$2:$B$100,MATCH($B219,'_角色基线'!$A$2:$A$100,0)),"")</x:f>
        <x:v>卡斯帕</x:v>
      </x:c>
      <x:c r="N219" s="4" t="str">
        <x:f>IFERROR(INDEX('_角色基线'!$C$2:$C$100,MATCH($B219,'_角色基线'!$A$2:$A$100,0)),"")</x:f>
        <x:v>Support</x:v>
      </x:c>
      <x:c r="O219" s="4" t="n">
        <x:f>IFERROR(INDEX('_怪物基线'!$B$2:$B$501,MATCH(INT($L219),'_怪物基线'!$A$2:$A$501,0)),"")</x:f>
        <x:v>115120</x:v>
      </x:c>
      <x:c r="P219" s="4" t="n">
        <x:f>IFERROR(INDEX('_怪物基线'!$C$2:$C$501,MATCH(INT($L219),'_怪物基线'!$A$2:$A$501,0)),"")</x:f>
        <x:v>14926</x:v>
      </x:c>
      <x:c r="Q219" s="4" t="n">
        <x:f>IFERROR(INDEX('_怪物基线'!$D$2:$D$501,MATCH(INT($L219),'_怪物基线'!$A$2:$A$501,0)),"")</x:f>
        <x:v>15949</x:v>
      </x:c>
      <x:c r="R219" s="4" t="n">
        <x:f>'参数'!$B$10</x:f>
        <x:v>4</x:v>
      </x:c>
      <x:c r="S219" s="4" t="n">
        <x:f>'参数'!$C$10</x:f>
        <x:v>1.2</x:v>
      </x:c>
      <x:c r="T219" s="4" t="n">
        <x:f>'参数'!$D$10</x:f>
        <x:v>1</x:v>
      </x:c>
      <x:c r="U219" s="4" t="n">
        <x:f t="shared" si="21">IF($O219="","",$O219*$R219)</x:f>
        <x:v>460480</x:v>
      </x:c>
      <x:c r="V219" s="4" t="n">
        <x:f t="shared" si="22">IF($P219="","",$P219*$S219)</x:f>
        <x:v>17911.2</x:v>
      </x:c>
      <x:c r="W219" s="4" t="n">
        <x:f t="shared" si="23">IF($Q219="","",$Q219*$T219)</x:f>
        <x:v>15949</x:v>
      </x:c>
      <x:c r="X219" s="4" t="n">
        <x:f>IFERROR(INDEX('参数'!$B$5:$B$7,MATCH($N219,'参数'!$A$5:$A$7,0)),"")</x:f>
        <x:v>1.25</x:v>
      </x:c>
      <x:c r="Y219" s="4" t="n">
        <x:f>IFERROR(INDEX('参数'!$C$5:$C$7,MATCH($N219,'参数'!$A$5:$A$7,0)),"")</x:f>
        <x:v>1</x:v>
      </x:c>
      <x:c r="Z219" s="4" t="n">
        <x:f>IFERROR(INDEX('参数'!$D$5:$D$7,MATCH($N219,'参数'!$A$5:$A$7,0)),"")</x:f>
        <x:v>1.25</x:v>
      </x:c>
      <x:c r="AA219" s="4" t="n">
        <x:f>IFERROR(INDEX('楼层配置'!$E$5:$E$104,MATCH($K219,'楼层配置'!$B$5:$B$104,0)),1)</x:f>
        <x:v>1.1570198537625256</x:v>
      </x:c>
      <x:c r="AB219" s="4" t="n">
        <x:f>IFERROR(INDEX('楼层配置'!$F$5:$F$104,MATCH($K219,'楼层配置'!$B$5:$B$104,0)),1)</x:f>
        <x:v>0.6660771662658811</x:v>
      </x:c>
      <x:c r="AC219" s="4" t="n">
        <x:f>IFERROR(INDEX('楼层配置'!$G$5:$G$104,MATCH($K219,'楼层配置'!$B$5:$B$104,0)),1)</x:f>
        <x:v>1</x:v>
      </x:c>
      <x:c r="AD219" s="6" t="n">
        <x:f t="shared" si="24">IFERROR($D219/$G219-1,"")</x:f>
        <x:v>-0.06998882837592513</x:v>
      </x:c>
      <x:c r="AE219" s="6" t="n">
        <x:f t="shared" si="25">IFERROR($E219/$H219-1,"")</x:f>
        <x:v>-0.06357927786499218</x:v>
      </x:c>
      <x:c r="AF219" s="6" t="n">
        <x:f t="shared" si="26">IFERROR($F219/$I219-1,"")</x:f>
        <x:v>0.3643580618669586</x:v>
      </x:c>
      <x:c r="AG219" s="4" t="str">
        <x:f t="shared" si="27">IF(AND($A219&gt;=1,$L219&gt;=1,$L219&lt;=500,OR($N219="Tank",$N219="DPS",$N219="Support"),ISNUMBER($D219),ISNUMBER($E219),ISNUMBER($F219)),"有效","异常")</x:f>
        <x:v>有效</x:v>
      </x:c>
      <x:c r="AH219" t="n">
        <x:f>D219/(1-MIN(0.75,F219/(24000+F219)))</x:f>
        <x:v>1219189.2173333336</x:v>
      </x:c>
    </x:row>
    <x:row r="220" ht="14.25" customHeight="1">
      <x:c r="A220" s="4">
        <x:v>216</x:v>
      </x:c>
      <x:c r="B220" s="4">
        <x:v>1030</x:v>
      </x:c>
      <x:c r="C220" s="4">
        <x:v>32</x:v>
      </x:c>
      <x:c r="D220" s="5" t="n">
        <x:f>IFERROR(ROUND($U220*$X220*$AA220*'参数'!$B$13,0),"")</x:f>
        <x:v>838962</x:v>
      </x:c>
      <x:c r="E220" s="5" t="n">
        <x:f>IFERROR(ROUND($V220*$Y220*$AB220*'参数'!$C$13,0),"")</x:f>
        <x:v>12360</x:v>
      </x:c>
      <x:c r="F220" s="5" t="n">
        <x:f>IFERROR(ROUND($W220*$Z220*$AC220*'参数'!$D$13,0),"")</x:f>
        <x:v>24432</x:v>
      </x:c>
      <x:c r="G220" s="4">
        <x:v>902822</x:v>
      </x:c>
      <x:c r="H220" s="4">
        <x:v>13163</x:v>
      </x:c>
      <x:c r="I220" s="4">
        <x:v>18010</x:v>
      </x:c>
      <x:c r="J220" s="4">
        <x:v>44</x:v>
      </x:c>
      <x:c r="K220" s="4">
        <x:v>44</x:v>
      </x:c>
      <x:c r="L220" s="4" t="n">
        <x:f>IFERROR(INDEX('楼层配置'!$D$5:$D$104,MATCH($K220,'楼层配置'!$B$5:$B$104,0)),"")</x:f>
        <x:v>174</x:v>
      </x:c>
      <x:c r="M220" s="4" t="str">
        <x:f>IFERROR(INDEX('_角色基线'!$B$2:$B$100,MATCH($B220,'_角色基线'!$A$2:$A$100,0)),"")</x:f>
        <x:v>莫莉</x:v>
      </x:c>
      <x:c r="N220" s="4" t="str">
        <x:f>IFERROR(INDEX('_角色基线'!$C$2:$C$100,MATCH($B220,'_角色基线'!$A$2:$A$100,0)),"")</x:f>
        <x:v>Tank</x:v>
      </x:c>
      <x:c r="O220" s="4" t="n">
        <x:f>IFERROR(INDEX('_怪物基线'!$B$2:$B$501,MATCH(INT($L220),'_怪物基线'!$A$2:$A$501,0)),"")</x:f>
        <x:v>119830</x:v>
      </x:c>
      <x:c r="P220" s="4" t="n">
        <x:f>IFERROR(INDEX('_怪物基线'!$C$2:$C$501,MATCH(INT($L220),'_怪物基线'!$A$2:$A$501,0)),"")</x:f>
        <x:v>15364</x:v>
      </x:c>
      <x:c r="Q220" s="4" t="n">
        <x:f>IFERROR(INDEX('_怪物基线'!$D$2:$D$501,MATCH(INT($L220),'_怪物基线'!$A$2:$A$501,0)),"")</x:f>
        <x:v>16288</x:v>
      </x:c>
      <x:c r="R220" s="4" t="n">
        <x:f>'参数'!$B$10</x:f>
        <x:v>4</x:v>
      </x:c>
      <x:c r="S220" s="4" t="n">
        <x:f>'参数'!$C$10</x:f>
        <x:v>1.2</x:v>
      </x:c>
      <x:c r="T220" s="4" t="n">
        <x:f>'参数'!$D$10</x:f>
        <x:v>1</x:v>
      </x:c>
      <x:c r="U220" s="4" t="n">
        <x:f t="shared" si="21">IF($O220="","",$O220*$R220)</x:f>
        <x:v>479320</x:v>
      </x:c>
      <x:c r="V220" s="4" t="n">
        <x:f t="shared" si="22">IF($P220="","",$P220*$S220)</x:f>
        <x:v>18436.8</x:v>
      </x:c>
      <x:c r="W220" s="4" t="n">
        <x:f t="shared" si="23">IF($Q220="","",$Q220*$T220)</x:f>
        <x:v>16288</x:v>
      </x:c>
      <x:c r="X220" s="4" t="n">
        <x:f>IFERROR(INDEX('参数'!$B$5:$B$7,MATCH($N220,'参数'!$A$5:$A$7,0)),"")</x:f>
        <x:v>1.5</x:v>
      </x:c>
      <x:c r="Y220" s="4" t="n">
        <x:f>IFERROR(INDEX('参数'!$C$5:$C$7,MATCH($N220,'参数'!$A$5:$A$7,0)),"")</x:f>
        <x:v>1</x:v>
      </x:c>
      <x:c r="Z220" s="4" t="n">
        <x:f>IFERROR(INDEX('参数'!$D$5:$D$7,MATCH($N220,'参数'!$A$5:$A$7,0)),"")</x:f>
        <x:v>1.5</x:v>
      </x:c>
      <x:c r="AA220" s="4" t="n">
        <x:f>IFERROR(INDEX('楼层配置'!$E$5:$E$104,MATCH($K220,'楼层配置'!$B$5:$B$104,0)),1)</x:f>
        <x:v>1.166878719746507</x:v>
      </x:c>
      <x:c r="AB220" s="4" t="n">
        <x:f>IFERROR(INDEX('楼层配置'!$F$5:$F$104,MATCH($K220,'楼层配置'!$B$5:$B$104,0)),1)</x:f>
        <x:v>0.6703817080579703</x:v>
      </x:c>
      <x:c r="AC220" s="4" t="n">
        <x:f>IFERROR(INDEX('楼层配置'!$G$5:$G$104,MATCH($K220,'楼层配置'!$B$5:$B$104,0)),1)</x:f>
        <x:v>1</x:v>
      </x:c>
      <x:c r="AD220" s="6" t="n">
        <x:f t="shared" si="24">IFERROR($D220/$G220-1,"")</x:f>
        <x:v>-0.07073376590291336</x:v>
      </x:c>
      <x:c r="AE220" s="6" t="n">
        <x:f t="shared" si="25">IFERROR($E220/$H220-1,"")</x:f>
        <x:v>-0.061004330319835876</x:v>
      </x:c>
      <x:c r="AF220" s="6" t="n">
        <x:f t="shared" si="26">IFERROR($F220/$I220-1,"")</x:f>
        <x:v>0.35657967795669077</x:v>
      </x:c>
      <x:c r="AG220" s="4" t="str">
        <x:f t="shared" si="27">IF(AND($A220&gt;=1,$L220&gt;=1,$L220&lt;=500,OR($N220="Tank",$N220="DPS",$N220="Support"),ISNUMBER($D220),ISNUMBER($E220),ISNUMBER($F220)),"有效","异常")</x:f>
        <x:v>有效</x:v>
      </x:c>
      <x:c r="AH220" t="n">
        <x:f>D220/(1-MIN(0.75,F220/(24000+F220)))</x:f>
        <x:v>1693025.316</x:v>
      </x:c>
    </x:row>
    <x:row r="221" ht="14.25" customHeight="1">
      <x:c r="A221" s="4">
        <x:v>217</x:v>
      </x:c>
      <x:c r="B221" s="4">
        <x:v>1030</x:v>
      </x:c>
      <x:c r="C221" s="4">
        <x:v>32</x:v>
      </x:c>
      <x:c r="D221" s="5" t="n">
        <x:f>IFERROR(ROUND($U221*$X221*$AA221*'参数'!$B$13,0),"")</x:f>
        <x:v>838962</x:v>
      </x:c>
      <x:c r="E221" s="5" t="n">
        <x:f>IFERROR(ROUND($V221*$Y221*$AB221*'参数'!$C$13,0),"")</x:f>
        <x:v>12360</x:v>
      </x:c>
      <x:c r="F221" s="5" t="n">
        <x:f>IFERROR(ROUND($W221*$Z221*$AC221*'参数'!$D$13,0),"")</x:f>
        <x:v>24432</x:v>
      </x:c>
      <x:c r="G221" s="4">
        <x:v>902822</x:v>
      </x:c>
      <x:c r="H221" s="4">
        <x:v>13163</x:v>
      </x:c>
      <x:c r="I221" s="4">
        <x:v>18010</x:v>
      </x:c>
      <x:c r="J221" s="4">
        <x:v>44</x:v>
      </x:c>
      <x:c r="K221" s="4">
        <x:v>44</x:v>
      </x:c>
      <x:c r="L221" s="4" t="n">
        <x:f>IFERROR(INDEX('楼层配置'!$D$5:$D$104,MATCH($K221,'楼层配置'!$B$5:$B$104,0)),"")</x:f>
        <x:v>174</x:v>
      </x:c>
      <x:c r="M221" s="4" t="str">
        <x:f>IFERROR(INDEX('_角色基线'!$B$2:$B$100,MATCH($B221,'_角色基线'!$A$2:$A$100,0)),"")</x:f>
        <x:v>莫莉</x:v>
      </x:c>
      <x:c r="N221" s="4" t="str">
        <x:f>IFERROR(INDEX('_角色基线'!$C$2:$C$100,MATCH($B221,'_角色基线'!$A$2:$A$100,0)),"")</x:f>
        <x:v>Tank</x:v>
      </x:c>
      <x:c r="O221" s="4" t="n">
        <x:f>IFERROR(INDEX('_怪物基线'!$B$2:$B$501,MATCH(INT($L221),'_怪物基线'!$A$2:$A$501,0)),"")</x:f>
        <x:v>119830</x:v>
      </x:c>
      <x:c r="P221" s="4" t="n">
        <x:f>IFERROR(INDEX('_怪物基线'!$C$2:$C$501,MATCH(INT($L221),'_怪物基线'!$A$2:$A$501,0)),"")</x:f>
        <x:v>15364</x:v>
      </x:c>
      <x:c r="Q221" s="4" t="n">
        <x:f>IFERROR(INDEX('_怪物基线'!$D$2:$D$501,MATCH(INT($L221),'_怪物基线'!$A$2:$A$501,0)),"")</x:f>
        <x:v>16288</x:v>
      </x:c>
      <x:c r="R221" s="4" t="n">
        <x:f>'参数'!$B$10</x:f>
        <x:v>4</x:v>
      </x:c>
      <x:c r="S221" s="4" t="n">
        <x:f>'参数'!$C$10</x:f>
        <x:v>1.2</x:v>
      </x:c>
      <x:c r="T221" s="4" t="n">
        <x:f>'参数'!$D$10</x:f>
        <x:v>1</x:v>
      </x:c>
      <x:c r="U221" s="4" t="n">
        <x:f t="shared" si="21">IF($O221="","",$O221*$R221)</x:f>
        <x:v>479320</x:v>
      </x:c>
      <x:c r="V221" s="4" t="n">
        <x:f t="shared" si="22">IF($P221="","",$P221*$S221)</x:f>
        <x:v>18436.8</x:v>
      </x:c>
      <x:c r="W221" s="4" t="n">
        <x:f t="shared" si="23">IF($Q221="","",$Q221*$T221)</x:f>
        <x:v>16288</x:v>
      </x:c>
      <x:c r="X221" s="4" t="n">
        <x:f>IFERROR(INDEX('参数'!$B$5:$B$7,MATCH($N221,'参数'!$A$5:$A$7,0)),"")</x:f>
        <x:v>1.5</x:v>
      </x:c>
      <x:c r="Y221" s="4" t="n">
        <x:f>IFERROR(INDEX('参数'!$C$5:$C$7,MATCH($N221,'参数'!$A$5:$A$7,0)),"")</x:f>
        <x:v>1</x:v>
      </x:c>
      <x:c r="Z221" s="4" t="n">
        <x:f>IFERROR(INDEX('参数'!$D$5:$D$7,MATCH($N221,'参数'!$A$5:$A$7,0)),"")</x:f>
        <x:v>1.5</x:v>
      </x:c>
      <x:c r="AA221" s="4" t="n">
        <x:f>IFERROR(INDEX('楼层配置'!$E$5:$E$104,MATCH($K221,'楼层配置'!$B$5:$B$104,0)),1)</x:f>
        <x:v>1.166878719746507</x:v>
      </x:c>
      <x:c r="AB221" s="4" t="n">
        <x:f>IFERROR(INDEX('楼层配置'!$F$5:$F$104,MATCH($K221,'楼层配置'!$B$5:$B$104,0)),1)</x:f>
        <x:v>0.6703817080579703</x:v>
      </x:c>
      <x:c r="AC221" s="4" t="n">
        <x:f>IFERROR(INDEX('楼层配置'!$G$5:$G$104,MATCH($K221,'楼层配置'!$B$5:$B$104,0)),1)</x:f>
        <x:v>1</x:v>
      </x:c>
      <x:c r="AD221" s="6" t="n">
        <x:f t="shared" si="24">IFERROR($D221/$G221-1,"")</x:f>
        <x:v>-0.07073376590291336</x:v>
      </x:c>
      <x:c r="AE221" s="6" t="n">
        <x:f t="shared" si="25">IFERROR($E221/$H221-1,"")</x:f>
        <x:v>-0.061004330319835876</x:v>
      </x:c>
      <x:c r="AF221" s="6" t="n">
        <x:f t="shared" si="26">IFERROR($F221/$I221-1,"")</x:f>
        <x:v>0.35657967795669077</x:v>
      </x:c>
      <x:c r="AG221" s="4" t="str">
        <x:f t="shared" si="27">IF(AND($A221&gt;=1,$L221&gt;=1,$L221&lt;=500,OR($N221="Tank",$N221="DPS",$N221="Support"),ISNUMBER($D221),ISNUMBER($E221),ISNUMBER($F221)),"有效","异常")</x:f>
        <x:v>有效</x:v>
      </x:c>
      <x:c r="AH221" t="n">
        <x:f>D221/(1-MIN(0.75,F221/(24000+F221)))</x:f>
        <x:v>1693025.316</x:v>
      </x:c>
    </x:row>
    <x:row r="222" ht="14.25" customHeight="1">
      <x:c r="A222" s="4">
        <x:v>218</x:v>
      </x:c>
      <x:c r="B222" s="4">
        <x:v>1024</x:v>
      </x:c>
      <x:c r="C222" s="4">
        <x:v>32</x:v>
      </x:c>
      <x:c r="D222" s="5" t="n">
        <x:f>IFERROR(ROUND($U222*$X222*$AA222*'参数'!$B$13,0),"")</x:f>
        <x:v>559308</x:v>
      </x:c>
      <x:c r="E222" s="5" t="n">
        <x:f>IFERROR(ROUND($V222*$Y222*$AB222*'参数'!$C$13,0),"")</x:f>
        <x:v>14832</x:v>
      </x:c>
      <x:c r="F222" s="5" t="n">
        <x:f>IFERROR(ROUND($W222*$Z222*$AC222*'参数'!$D$13,0),"")</x:f>
        <x:v>16288</x:v>
      </x:c>
      <x:c r="G222" s="4">
        <x:v>601881</x:v>
      </x:c>
      <x:c r="H222" s="4">
        <x:v>15795</x:v>
      </x:c>
      <x:c r="I222" s="4">
        <x:v>12007</x:v>
      </x:c>
      <x:c r="J222" s="4">
        <x:v>44</x:v>
      </x:c>
      <x:c r="K222" s="4">
        <x:v>44</x:v>
      </x:c>
      <x:c r="L222" s="4" t="n">
        <x:f>IFERROR(INDEX('楼层配置'!$D$5:$D$104,MATCH($K222,'楼层配置'!$B$5:$B$104,0)),"")</x:f>
        <x:v>174</x:v>
      </x:c>
      <x:c r="M222" s="4" t="str">
        <x:f>IFERROR(INDEX('_角色基线'!$B$2:$B$100,MATCH($B222,'_角色基线'!$A$2:$A$100,0)),"")</x:f>
        <x:v>卡薇</x:v>
      </x:c>
      <x:c r="N222" s="4" t="str">
        <x:f>IFERROR(INDEX('_角色基线'!$C$2:$C$100,MATCH($B222,'_角色基线'!$A$2:$A$100,0)),"")</x:f>
        <x:v>DPS</x:v>
      </x:c>
      <x:c r="O222" s="4" t="n">
        <x:f>IFERROR(INDEX('_怪物基线'!$B$2:$B$501,MATCH(INT($L222),'_怪物基线'!$A$2:$A$501,0)),"")</x:f>
        <x:v>119830</x:v>
      </x:c>
      <x:c r="P222" s="4" t="n">
        <x:f>IFERROR(INDEX('_怪物基线'!$C$2:$C$501,MATCH(INT($L222),'_怪物基线'!$A$2:$A$501,0)),"")</x:f>
        <x:v>15364</x:v>
      </x:c>
      <x:c r="Q222" s="4" t="n">
        <x:f>IFERROR(INDEX('_怪物基线'!$D$2:$D$501,MATCH(INT($L222),'_怪物基线'!$A$2:$A$501,0)),"")</x:f>
        <x:v>16288</x:v>
      </x:c>
      <x:c r="R222" s="4" t="n">
        <x:f>'参数'!$B$10</x:f>
        <x:v>4</x:v>
      </x:c>
      <x:c r="S222" s="4" t="n">
        <x:f>'参数'!$C$10</x:f>
        <x:v>1.2</x:v>
      </x:c>
      <x:c r="T222" s="4" t="n">
        <x:f>'参数'!$D$10</x:f>
        <x:v>1</x:v>
      </x:c>
      <x:c r="U222" s="4" t="n">
        <x:f t="shared" si="21">IF($O222="","",$O222*$R222)</x:f>
        <x:v>479320</x:v>
      </x:c>
      <x:c r="V222" s="4" t="n">
        <x:f t="shared" si="22">IF($P222="","",$P222*$S222)</x:f>
        <x:v>18436.8</x:v>
      </x:c>
      <x:c r="W222" s="4" t="n">
        <x:f t="shared" si="23">IF($Q222="","",$Q222*$T222)</x:f>
        <x:v>16288</x:v>
      </x:c>
      <x:c r="X222" s="4" t="n">
        <x:f>IFERROR(INDEX('参数'!$B$5:$B$7,MATCH($N222,'参数'!$A$5:$A$7,0)),"")</x:f>
        <x:v>1</x:v>
      </x:c>
      <x:c r="Y222" s="4" t="n">
        <x:f>IFERROR(INDEX('参数'!$C$5:$C$7,MATCH($N222,'参数'!$A$5:$A$7,0)),"")</x:f>
        <x:v>1.2</x:v>
      </x:c>
      <x:c r="Z222" s="4" t="n">
        <x:f>IFERROR(INDEX('参数'!$D$5:$D$7,MATCH($N222,'参数'!$A$5:$A$7,0)),"")</x:f>
        <x:v>1</x:v>
      </x:c>
      <x:c r="AA222" s="4" t="n">
        <x:f>IFERROR(INDEX('楼层配置'!$E$5:$E$104,MATCH($K222,'楼层配置'!$B$5:$B$104,0)),1)</x:f>
        <x:v>1.166878719746507</x:v>
      </x:c>
      <x:c r="AB222" s="4" t="n">
        <x:f>IFERROR(INDEX('楼层配置'!$F$5:$F$104,MATCH($K222,'楼层配置'!$B$5:$B$104,0)),1)</x:f>
        <x:v>0.6703817080579703</x:v>
      </x:c>
      <x:c r="AC222" s="4" t="n">
        <x:f>IFERROR(INDEX('楼层配置'!$G$5:$G$104,MATCH($K222,'楼层配置'!$B$5:$B$104,0)),1)</x:f>
        <x:v>1</x:v>
      </x:c>
      <x:c r="AD222" s="6" t="n">
        <x:f t="shared" si="24">IFERROR($D222/$G222-1,"")</x:f>
        <x:v>-0.07073325125730834</x:v>
      </x:c>
      <x:c r="AE222" s="6" t="n">
        <x:f t="shared" si="25">IFERROR($E222/$H222-1,"")</x:f>
        <x:v>-0.06096866096866094</x:v>
      </x:c>
      <x:c r="AF222" s="6" t="n">
        <x:f t="shared" si="26">IFERROR($F222/$I222-1,"")</x:f>
        <x:v>0.3565420171566587</x:v>
      </x:c>
      <x:c r="AG222" s="4" t="str">
        <x:f t="shared" si="27">IF(AND($A222&gt;=1,$L222&gt;=1,$L222&lt;=500,OR($N222="Tank",$N222="DPS",$N222="Support"),ISNUMBER($D222),ISNUMBER($E222),ISNUMBER($F222)),"有效","异常")</x:f>
        <x:v>有效</x:v>
      </x:c>
      <x:c r="AH222" t="n">
        <x:f>D222/(1-MIN(0.75,F222/(24000+F222)))</x:f>
        <x:v>938891.696</x:v>
      </x:c>
    </x:row>
    <x:row r="223" ht="14.25" customHeight="1">
      <x:c r="A223" s="4">
        <x:v>219</x:v>
      </x:c>
      <x:c r="B223" s="4">
        <x:v>1020</x:v>
      </x:c>
      <x:c r="C223" s="4">
        <x:v>32</x:v>
      </x:c>
      <x:c r="D223" s="5" t="n">
        <x:f>IFERROR(ROUND($U223*$X223*$AA223*'参数'!$B$13,0),"")</x:f>
        <x:v>699135</x:v>
      </x:c>
      <x:c r="E223" s="5" t="n">
        <x:f>IFERROR(ROUND($V223*$Y223*$AB223*'参数'!$C$13,0),"")</x:f>
        <x:v>12360</x:v>
      </x:c>
      <x:c r="F223" s="5" t="n">
        <x:f>IFERROR(ROUND($W223*$Z223*$AC223*'参数'!$D$13,0),"")</x:f>
        <x:v>20360</x:v>
      </x:c>
      <x:c r="G223" s="4">
        <x:v>752352</x:v>
      </x:c>
      <x:c r="H223" s="4">
        <x:v>13163</x:v>
      </x:c>
      <x:c r="I223" s="4">
        <x:v>15009</x:v>
      </x:c>
      <x:c r="J223" s="4">
        <x:v>44</x:v>
      </x:c>
      <x:c r="K223" s="4">
        <x:v>44</x:v>
      </x:c>
      <x:c r="L223" s="4" t="n">
        <x:f>IFERROR(INDEX('楼层配置'!$D$5:$D$104,MATCH($K223,'楼层配置'!$B$5:$B$104,0)),"")</x:f>
        <x:v>174</x:v>
      </x:c>
      <x:c r="M223" s="4" t="str">
        <x:f>IFERROR(INDEX('_角色基线'!$B$2:$B$100,MATCH($B223,'_角色基线'!$A$2:$A$100,0)),"")</x:f>
        <x:v>卡斯帕</x:v>
      </x:c>
      <x:c r="N223" s="4" t="str">
        <x:f>IFERROR(INDEX('_角色基线'!$C$2:$C$100,MATCH($B223,'_角色基线'!$A$2:$A$100,0)),"")</x:f>
        <x:v>Support</x:v>
      </x:c>
      <x:c r="O223" s="4" t="n">
        <x:f>IFERROR(INDEX('_怪物基线'!$B$2:$B$501,MATCH(INT($L223),'_怪物基线'!$A$2:$A$501,0)),"")</x:f>
        <x:v>119830</x:v>
      </x:c>
      <x:c r="P223" s="4" t="n">
        <x:f>IFERROR(INDEX('_怪物基线'!$C$2:$C$501,MATCH(INT($L223),'_怪物基线'!$A$2:$A$501,0)),"")</x:f>
        <x:v>15364</x:v>
      </x:c>
      <x:c r="Q223" s="4" t="n">
        <x:f>IFERROR(INDEX('_怪物基线'!$D$2:$D$501,MATCH(INT($L223),'_怪物基线'!$A$2:$A$501,0)),"")</x:f>
        <x:v>16288</x:v>
      </x:c>
      <x:c r="R223" s="4" t="n">
        <x:f>'参数'!$B$10</x:f>
        <x:v>4</x:v>
      </x:c>
      <x:c r="S223" s="4" t="n">
        <x:f>'参数'!$C$10</x:f>
        <x:v>1.2</x:v>
      </x:c>
      <x:c r="T223" s="4" t="n">
        <x:f>'参数'!$D$10</x:f>
        <x:v>1</x:v>
      </x:c>
      <x:c r="U223" s="4" t="n">
        <x:f t="shared" si="21">IF($O223="","",$O223*$R223)</x:f>
        <x:v>479320</x:v>
      </x:c>
      <x:c r="V223" s="4" t="n">
        <x:f t="shared" si="22">IF($P223="","",$P223*$S223)</x:f>
        <x:v>18436.8</x:v>
      </x:c>
      <x:c r="W223" s="4" t="n">
        <x:f t="shared" si="23">IF($Q223="","",$Q223*$T223)</x:f>
        <x:v>16288</x:v>
      </x:c>
      <x:c r="X223" s="4" t="n">
        <x:f>IFERROR(INDEX('参数'!$B$5:$B$7,MATCH($N223,'参数'!$A$5:$A$7,0)),"")</x:f>
        <x:v>1.25</x:v>
      </x:c>
      <x:c r="Y223" s="4" t="n">
        <x:f>IFERROR(INDEX('参数'!$C$5:$C$7,MATCH($N223,'参数'!$A$5:$A$7,0)),"")</x:f>
        <x:v>1</x:v>
      </x:c>
      <x:c r="Z223" s="4" t="n">
        <x:f>IFERROR(INDEX('参数'!$D$5:$D$7,MATCH($N223,'参数'!$A$5:$A$7,0)),"")</x:f>
        <x:v>1.25</x:v>
      </x:c>
      <x:c r="AA223" s="4" t="n">
        <x:f>IFERROR(INDEX('楼层配置'!$E$5:$E$104,MATCH($K223,'楼层配置'!$B$5:$B$104,0)),1)</x:f>
        <x:v>1.166878719746507</x:v>
      </x:c>
      <x:c r="AB223" s="4" t="n">
        <x:f>IFERROR(INDEX('楼层配置'!$F$5:$F$104,MATCH($K223,'楼层配置'!$B$5:$B$104,0)),1)</x:f>
        <x:v>0.6703817080579703</x:v>
      </x:c>
      <x:c r="AC223" s="4" t="n">
        <x:f>IFERROR(INDEX('楼层配置'!$G$5:$G$104,MATCH($K223,'楼层配置'!$B$5:$B$104,0)),1)</x:f>
        <x:v>1</x:v>
      </x:c>
      <x:c r="AD223" s="6" t="n">
        <x:f t="shared" si="24">IFERROR($D223/$G223-1,"")</x:f>
        <x:v>-0.07073417761898682</x:v>
      </x:c>
      <x:c r="AE223" s="6" t="n">
        <x:f t="shared" si="25">IFERROR($E223/$H223-1,"")</x:f>
        <x:v>-0.061004330319835876</x:v>
      </x:c>
      <x:c r="AF223" s="6" t="n">
        <x:f t="shared" si="26">IFERROR($F223/$I223-1,"")</x:f>
        <x:v>0.35651942168032513</x:v>
      </x:c>
      <x:c r="AG223" s="4" t="str">
        <x:f t="shared" si="27">IF(AND($A223&gt;=1,$L223&gt;=1,$L223&lt;=500,OR($N223="Tank",$N223="DPS",$N223="Support"),ISNUMBER($D223),ISNUMBER($E223),ISNUMBER($F223)),"有效","异常")</x:f>
        <x:v>有效</x:v>
      </x:c>
      <x:c r="AH223" t="n">
        <x:f>D223/(1-MIN(0.75,F223/(24000+F223)))</x:f>
        <x:v>1292234.525</x:v>
      </x:c>
    </x:row>
    <x:row r="224" ht="14.25" customHeight="1">
      <x:c r="A224" s="4">
        <x:v>220</x:v>
      </x:c>
      <x:c r="B224" s="4">
        <x:v>1011</x:v>
      </x:c>
      <x:c r="C224" s="4">
        <x:v>32</x:v>
      </x:c>
      <x:c r="D224" s="5" t="n">
        <x:f>IFERROR(ROUND($U224*$X224*$AA224*'参数'!$B$13,0),"")</x:f>
        <x:v>699135</x:v>
      </x:c>
      <x:c r="E224" s="5" t="n">
        <x:f>IFERROR(ROUND($V224*$Y224*$AB224*'参数'!$C$13,0),"")</x:f>
        <x:v>12360</x:v>
      </x:c>
      <x:c r="F224" s="5" t="n">
        <x:f>IFERROR(ROUND($W224*$Z224*$AC224*'参数'!$D$13,0),"")</x:f>
        <x:v>20360</x:v>
      </x:c>
      <x:c r="G224" s="4">
        <x:v>752352</x:v>
      </x:c>
      <x:c r="H224" s="4">
        <x:v>13163</x:v>
      </x:c>
      <x:c r="I224" s="4">
        <x:v>15009</x:v>
      </x:c>
      <x:c r="J224" s="4">
        <x:v>44</x:v>
      </x:c>
      <x:c r="K224" s="4">
        <x:v>44</x:v>
      </x:c>
      <x:c r="L224" s="4" t="n">
        <x:f>IFERROR(INDEX('楼层配置'!$D$5:$D$104,MATCH($K224,'楼层配置'!$B$5:$B$104,0)),"")</x:f>
        <x:v>174</x:v>
      </x:c>
      <x:c r="M224" s="4" t="str">
        <x:f>IFERROR(INDEX('_角色基线'!$B$2:$B$100,MATCH($B224,'_角色基线'!$A$2:$A$100,0)),"")</x:f>
        <x:v>陈双双</x:v>
      </x:c>
      <x:c r="N224" s="4" t="str">
        <x:f>IFERROR(INDEX('_角色基线'!$C$2:$C$100,MATCH($B224,'_角色基线'!$A$2:$A$100,0)),"")</x:f>
        <x:v>Support</x:v>
      </x:c>
      <x:c r="O224" s="4" t="n">
        <x:f>IFERROR(INDEX('_怪物基线'!$B$2:$B$501,MATCH(INT($L224),'_怪物基线'!$A$2:$A$501,0)),"")</x:f>
        <x:v>119830</x:v>
      </x:c>
      <x:c r="P224" s="4" t="n">
        <x:f>IFERROR(INDEX('_怪物基线'!$C$2:$C$501,MATCH(INT($L224),'_怪物基线'!$A$2:$A$501,0)),"")</x:f>
        <x:v>15364</x:v>
      </x:c>
      <x:c r="Q224" s="4" t="n">
        <x:f>IFERROR(INDEX('_怪物基线'!$D$2:$D$501,MATCH(INT($L224),'_怪物基线'!$A$2:$A$501,0)),"")</x:f>
        <x:v>16288</x:v>
      </x:c>
      <x:c r="R224" s="4" t="n">
        <x:f>'参数'!$B$10</x:f>
        <x:v>4</x:v>
      </x:c>
      <x:c r="S224" s="4" t="n">
        <x:f>'参数'!$C$10</x:f>
        <x:v>1.2</x:v>
      </x:c>
      <x:c r="T224" s="4" t="n">
        <x:f>'参数'!$D$10</x:f>
        <x:v>1</x:v>
      </x:c>
      <x:c r="U224" s="4" t="n">
        <x:f t="shared" si="21">IF($O224="","",$O224*$R224)</x:f>
        <x:v>479320</x:v>
      </x:c>
      <x:c r="V224" s="4" t="n">
        <x:f t="shared" si="22">IF($P224="","",$P224*$S224)</x:f>
        <x:v>18436.8</x:v>
      </x:c>
      <x:c r="W224" s="4" t="n">
        <x:f t="shared" si="23">IF($Q224="","",$Q224*$T224)</x:f>
        <x:v>16288</x:v>
      </x:c>
      <x:c r="X224" s="4" t="n">
        <x:f>IFERROR(INDEX('参数'!$B$5:$B$7,MATCH($N224,'参数'!$A$5:$A$7,0)),"")</x:f>
        <x:v>1.25</x:v>
      </x:c>
      <x:c r="Y224" s="4" t="n">
        <x:f>IFERROR(INDEX('参数'!$C$5:$C$7,MATCH($N224,'参数'!$A$5:$A$7,0)),"")</x:f>
        <x:v>1</x:v>
      </x:c>
      <x:c r="Z224" s="4" t="n">
        <x:f>IFERROR(INDEX('参数'!$D$5:$D$7,MATCH($N224,'参数'!$A$5:$A$7,0)),"")</x:f>
        <x:v>1.25</x:v>
      </x:c>
      <x:c r="AA224" s="4" t="n">
        <x:f>IFERROR(INDEX('楼层配置'!$E$5:$E$104,MATCH($K224,'楼层配置'!$B$5:$B$104,0)),1)</x:f>
        <x:v>1.166878719746507</x:v>
      </x:c>
      <x:c r="AB224" s="4" t="n">
        <x:f>IFERROR(INDEX('楼层配置'!$F$5:$F$104,MATCH($K224,'楼层配置'!$B$5:$B$104,0)),1)</x:f>
        <x:v>0.6703817080579703</x:v>
      </x:c>
      <x:c r="AC224" s="4" t="n">
        <x:f>IFERROR(INDEX('楼层配置'!$G$5:$G$104,MATCH($K224,'楼层配置'!$B$5:$B$104,0)),1)</x:f>
        <x:v>1</x:v>
      </x:c>
      <x:c r="AD224" s="6" t="n">
        <x:f t="shared" si="24">IFERROR($D224/$G224-1,"")</x:f>
        <x:v>-0.07073417761898682</x:v>
      </x:c>
      <x:c r="AE224" s="6" t="n">
        <x:f t="shared" si="25">IFERROR($E224/$H224-1,"")</x:f>
        <x:v>-0.061004330319835876</x:v>
      </x:c>
      <x:c r="AF224" s="6" t="n">
        <x:f t="shared" si="26">IFERROR($F224/$I224-1,"")</x:f>
        <x:v>0.35651942168032513</x:v>
      </x:c>
      <x:c r="AG224" s="4" t="str">
        <x:f t="shared" si="27">IF(AND($A224&gt;=1,$L224&gt;=1,$L224&lt;=500,OR($N224="Tank",$N224="DPS",$N224="Support"),ISNUMBER($D224),ISNUMBER($E224),ISNUMBER($F224)),"有效","异常")</x:f>
        <x:v>有效</x:v>
      </x:c>
      <x:c r="AH224" t="n">
        <x:f>D224/(1-MIN(0.75,F224/(24000+F224)))</x:f>
        <x:v>1292234.525</x:v>
      </x:c>
    </x:row>
    <x:row r="225" ht="14.25" customHeight="1">
      <x:c r="A225" s="4">
        <x:v>221</x:v>
      </x:c>
      <x:c r="B225" s="4">
        <x:v>1030</x:v>
      </x:c>
      <x:c r="C225" s="4">
        <x:v>32</x:v>
      </x:c>
      <x:c r="D225" s="5" t="n">
        <x:f>IFERROR(ROUND($U225*$X225*$AA225*'参数'!$B$13,0),"")</x:f>
        <x:v>877226</x:v>
      </x:c>
      <x:c r="E225" s="5" t="n">
        <x:f>IFERROR(ROUND($V225*$Y225*$AB225*'参数'!$C$13,0),"")</x:f>
        <x:v>12826</x:v>
      </x:c>
      <x:c r="F225" s="5" t="n">
        <x:f>IFERROR(ROUND($W225*$Z225*$AC225*'参数'!$D$13,0),"")</x:f>
        <x:v>25115</x:v>
      </x:c>
      <x:c r="G225" s="4">
        <x:v>947858</x:v>
      </x:c>
      <x:c r="H225" s="4">
        <x:v>13592</x:v>
      </x:c>
      <x:c r="I225" s="4">
        <x:v>18492</x:v>
      </x:c>
      <x:c r="J225" s="4">
        <x:v>45</x:v>
      </x:c>
      <x:c r="K225" s="4">
        <x:v>45</x:v>
      </x:c>
      <x:c r="L225" s="4" t="n">
        <x:f>IFERROR(INDEX('楼层配置'!$D$5:$D$104,MATCH($K225,'楼层配置'!$B$5:$B$104,0)),"")</x:f>
        <x:v>178</x:v>
      </x:c>
      <x:c r="M225" s="4" t="str">
        <x:f>IFERROR(INDEX('_角色基线'!$B$2:$B$100,MATCH($B225,'_角色基线'!$A$2:$A$100,0)),"")</x:f>
        <x:v>莫莉</x:v>
      </x:c>
      <x:c r="N225" s="4" t="str">
        <x:f>IFERROR(INDEX('_角色基线'!$C$2:$C$100,MATCH($B225,'_角色基线'!$A$2:$A$100,0)),"")</x:f>
        <x:v>Tank</x:v>
      </x:c>
      <x:c r="O225" s="4" t="n">
        <x:f>IFERROR(INDEX('_怪物基线'!$B$2:$B$501,MATCH(INT($L225),'_怪物基线'!$A$2:$A$501,0)),"")</x:f>
        <x:v>126326</x:v>
      </x:c>
      <x:c r="P225" s="4" t="n">
        <x:f>IFERROR(INDEX('_怪物基线'!$C$2:$C$501,MATCH(INT($L225),'_怪物基线'!$A$2:$A$501,0)),"")</x:f>
        <x:v>15960</x:v>
      </x:c>
      <x:c r="Q225" s="4" t="n">
        <x:f>IFERROR(INDEX('_怪物基线'!$D$2:$D$501,MATCH(INT($L225),'_怪物基线'!$A$2:$A$501,0)),"")</x:f>
        <x:v>16743</x:v>
      </x:c>
      <x:c r="R225" s="4" t="n">
        <x:f>'参数'!$B$10</x:f>
        <x:v>4</x:v>
      </x:c>
      <x:c r="S225" s="4" t="n">
        <x:f>'参数'!$C$10</x:f>
        <x:v>1.2</x:v>
      </x:c>
      <x:c r="T225" s="4" t="n">
        <x:f>'参数'!$D$10</x:f>
        <x:v>1</x:v>
      </x:c>
      <x:c r="U225" s="4" t="n">
        <x:f t="shared" si="21">IF($O225="","",$O225*$R225)</x:f>
        <x:v>505304</x:v>
      </x:c>
      <x:c r="V225" s="4" t="n">
        <x:f t="shared" si="22">IF($P225="","",$P225*$S225)</x:f>
        <x:v>19152</x:v>
      </x:c>
      <x:c r="W225" s="4" t="n">
        <x:f t="shared" si="23">IF($Q225="","",$Q225*$T225)</x:f>
        <x:v>16743</x:v>
      </x:c>
      <x:c r="X225" s="4" t="n">
        <x:f>IFERROR(INDEX('参数'!$B$5:$B$7,MATCH($N225,'参数'!$A$5:$A$7,0)),"")</x:f>
        <x:v>1.5</x:v>
      </x:c>
      <x:c r="Y225" s="4" t="n">
        <x:f>IFERROR(INDEX('参数'!$C$5:$C$7,MATCH($N225,'参数'!$A$5:$A$7,0)),"")</x:f>
        <x:v>1</x:v>
      </x:c>
      <x:c r="Z225" s="4" t="n">
        <x:f>IFERROR(INDEX('参数'!$D$5:$D$7,MATCH($N225,'参数'!$A$5:$A$7,0)),"")</x:f>
        <x:v>1.5</x:v>
      </x:c>
      <x:c r="AA225" s="4" t="n">
        <x:f>IFERROR(INDEX('楼层配置'!$E$5:$E$104,MATCH($K225,'楼层配置'!$B$5:$B$104,0)),1)</x:f>
        <x:v>1.1573573979559322</x:v>
      </x:c>
      <x:c r="AB225" s="4" t="n">
        <x:f>IFERROR(INDEX('楼层配置'!$F$5:$F$104,MATCH($K225,'楼层配置'!$B$5:$B$104,0)),1)</x:f>
        <x:v>0.6696883090963671</x:v>
      </x:c>
      <x:c r="AC225" s="4" t="n">
        <x:f>IFERROR(INDEX('楼层配置'!$G$5:$G$104,MATCH($K225,'楼层配置'!$B$5:$B$104,0)),1)</x:f>
        <x:v>1</x:v>
      </x:c>
      <x:c r="AD225" s="6" t="n">
        <x:f t="shared" si="24">IFERROR($D225/$G225-1,"")</x:f>
        <x:v>-0.07451749101658689</x:v>
      </x:c>
      <x:c r="AE225" s="6" t="n">
        <x:f t="shared" si="25">IFERROR($E225/$H225-1,"")</x:f>
        <x:v>-0.05635668040023545</x:v>
      </x:c>
      <x:c r="AF225" s="6" t="n">
        <x:f t="shared" si="26">IFERROR($F225/$I225-1,"")</x:f>
        <x:v>0.3581548777849881</x:v>
      </x:c>
      <x:c r="AG225" s="4" t="str">
        <x:f t="shared" si="27">IF(AND($A225&gt;=1,$L225&gt;=1,$L225&lt;=500,OR($N225="Tank",$N225="DPS",$N225="Support"),ISNUMBER($D225),ISNUMBER($E225),ISNUMBER($F225)),"有效","异常")</x:f>
        <x:v>有效</x:v>
      </x:c>
      <x:c r="AH225" t="n">
        <x:f>D225/(1-MIN(0.75,F225/(24000+F225)))</x:f>
        <x:v>1795206.4579166668</x:v>
      </x:c>
    </x:row>
    <x:row r="226" ht="14.25" customHeight="1">
      <x:c r="A226" s="4">
        <x:v>222</x:v>
      </x:c>
      <x:c r="B226" s="4">
        <x:v>1001</x:v>
      </x:c>
      <x:c r="C226" s="4">
        <x:v>32</x:v>
      </x:c>
      <x:c r="D226" s="5" t="n">
        <x:f>IFERROR(ROUND($U226*$X226*$AA226*'参数'!$B$13,0),"")</x:f>
        <x:v>584817</x:v>
      </x:c>
      <x:c r="E226" s="5" t="n">
        <x:f>IFERROR(ROUND($V226*$Y226*$AB226*'参数'!$C$13,0),"")</x:f>
        <x:v>15391</x:v>
      </x:c>
      <x:c r="F226" s="5" t="n">
        <x:f>IFERROR(ROUND($W226*$Z226*$AC226*'参数'!$D$13,0),"")</x:f>
        <x:v>16743</x:v>
      </x:c>
      <x:c r="G226" s="4">
        <x:v>631905</x:v>
      </x:c>
      <x:c r="H226" s="4">
        <x:v>16310</x:v>
      </x:c>
      <x:c r="I226" s="4">
        <x:v>12328</x:v>
      </x:c>
      <x:c r="J226" s="4">
        <x:v>45</x:v>
      </x:c>
      <x:c r="K226" s="4">
        <x:v>45</x:v>
      </x:c>
      <x:c r="L226" s="4" t="n">
        <x:f>IFERROR(INDEX('楼层配置'!$D$5:$D$104,MATCH($K226,'楼层配置'!$B$5:$B$104,0)),"")</x:f>
        <x:v>178</x:v>
      </x:c>
      <x:c r="M226" s="4" t="str">
        <x:f>IFERROR(INDEX('_角色基线'!$B$2:$B$100,MATCH($B226,'_角色基线'!$A$2:$A$100,0)),"")</x:f>
        <x:v>星海</x:v>
      </x:c>
      <x:c r="N226" s="4" t="str">
        <x:f>IFERROR(INDEX('_角色基线'!$C$2:$C$100,MATCH($B226,'_角色基线'!$A$2:$A$100,0)),"")</x:f>
        <x:v>DPS</x:v>
      </x:c>
      <x:c r="O226" s="4" t="n">
        <x:f>IFERROR(INDEX('_怪物基线'!$B$2:$B$501,MATCH(INT($L226),'_怪物基线'!$A$2:$A$501,0)),"")</x:f>
        <x:v>126326</x:v>
      </x:c>
      <x:c r="P226" s="4" t="n">
        <x:f>IFERROR(INDEX('_怪物基线'!$C$2:$C$501,MATCH(INT($L226),'_怪物基线'!$A$2:$A$501,0)),"")</x:f>
        <x:v>15960</x:v>
      </x:c>
      <x:c r="Q226" s="4" t="n">
        <x:f>IFERROR(INDEX('_怪物基线'!$D$2:$D$501,MATCH(INT($L226),'_怪物基线'!$A$2:$A$501,0)),"")</x:f>
        <x:v>16743</x:v>
      </x:c>
      <x:c r="R226" s="4" t="n">
        <x:f>'参数'!$B$10</x:f>
        <x:v>4</x:v>
      </x:c>
      <x:c r="S226" s="4" t="n">
        <x:f>'参数'!$C$10</x:f>
        <x:v>1.2</x:v>
      </x:c>
      <x:c r="T226" s="4" t="n">
        <x:f>'参数'!$D$10</x:f>
        <x:v>1</x:v>
      </x:c>
      <x:c r="U226" s="4" t="n">
        <x:f t="shared" si="21">IF($O226="","",$O226*$R226)</x:f>
        <x:v>505304</x:v>
      </x:c>
      <x:c r="V226" s="4" t="n">
        <x:f t="shared" si="22">IF($P226="","",$P226*$S226)</x:f>
        <x:v>19152</x:v>
      </x:c>
      <x:c r="W226" s="4" t="n">
        <x:f t="shared" si="23">IF($Q226="","",$Q226*$T226)</x:f>
        <x:v>16743</x:v>
      </x:c>
      <x:c r="X226" s="4" t="n">
        <x:f>IFERROR(INDEX('参数'!$B$5:$B$7,MATCH($N226,'参数'!$A$5:$A$7,0)),"")</x:f>
        <x:v>1</x:v>
      </x:c>
      <x:c r="Y226" s="4" t="n">
        <x:f>IFERROR(INDEX('参数'!$C$5:$C$7,MATCH($N226,'参数'!$A$5:$A$7,0)),"")</x:f>
        <x:v>1.2</x:v>
      </x:c>
      <x:c r="Z226" s="4" t="n">
        <x:f>IFERROR(INDEX('参数'!$D$5:$D$7,MATCH($N226,'参数'!$A$5:$A$7,0)),"")</x:f>
        <x:v>1</x:v>
      </x:c>
      <x:c r="AA226" s="4" t="n">
        <x:f>IFERROR(INDEX('楼层配置'!$E$5:$E$104,MATCH($K226,'楼层配置'!$B$5:$B$104,0)),1)</x:f>
        <x:v>1.1573573979559322</x:v>
      </x:c>
      <x:c r="AB226" s="4" t="n">
        <x:f>IFERROR(INDEX('楼层配置'!$F$5:$F$104,MATCH($K226,'楼层配置'!$B$5:$B$104,0)),1)</x:f>
        <x:v>0.6696883090963671</x:v>
      </x:c>
      <x:c r="AC226" s="4" t="n">
        <x:f>IFERROR(INDEX('楼层配置'!$G$5:$G$104,MATCH($K226,'楼层配置'!$B$5:$B$104,0)),1)</x:f>
        <x:v>1</x:v>
      </x:c>
      <x:c r="AD226" s="6" t="n">
        <x:f t="shared" si="24">IFERROR($D226/$G226-1,"")</x:f>
        <x:v>-0.07451753032496977</x:v>
      </x:c>
      <x:c r="AE226" s="6" t="n">
        <x:f t="shared" si="25">IFERROR($E226/$H226-1,"")</x:f>
        <x:v>-0.056345800122624135</x:v>
      </x:c>
      <x:c r="AF226" s="6" t="n">
        <x:f t="shared" si="26">IFERROR($F226/$I226-1,"")</x:f>
        <x:v>0.3581278390655418</x:v>
      </x:c>
      <x:c r="AG226" s="4" t="str">
        <x:f t="shared" si="27">IF(AND($A226&gt;=1,$L226&gt;=1,$L226&lt;=500,OR($N226="Tank",$N226="DPS",$N226="Support"),ISNUMBER($D226),ISNUMBER($E226),ISNUMBER($F226)),"有效","异常")</x:f>
        <x:v>有效</x:v>
      </x:c>
      <x:c r="AH226" t="n">
        <x:f>D226/(1-MIN(0.75,F226/(24000+F226)))</x:f>
        <x:v>992799.959625</x:v>
      </x:c>
    </x:row>
    <x:row r="227" ht="14.25" customHeight="1">
      <x:c r="A227" s="4">
        <x:v>223</x:v>
      </x:c>
      <x:c r="B227" s="4">
        <x:v>1021</x:v>
      </x:c>
      <x:c r="C227" s="4">
        <x:v>32</x:v>
      </x:c>
      <x:c r="D227" s="5" t="n">
        <x:f>IFERROR(ROUND($U227*$X227*$AA227*'参数'!$B$13,0),"")</x:f>
        <x:v>584817</x:v>
      </x:c>
      <x:c r="E227" s="5" t="n">
        <x:f>IFERROR(ROUND($V227*$Y227*$AB227*'参数'!$C$13,0),"")</x:f>
        <x:v>15391</x:v>
      </x:c>
      <x:c r="F227" s="5" t="n">
        <x:f>IFERROR(ROUND($W227*$Z227*$AC227*'参数'!$D$13,0),"")</x:f>
        <x:v>16743</x:v>
      </x:c>
      <x:c r="G227" s="4">
        <x:v>631905</x:v>
      </x:c>
      <x:c r="H227" s="4">
        <x:v>16310</x:v>
      </x:c>
      <x:c r="I227" s="4">
        <x:v>12328</x:v>
      </x:c>
      <x:c r="J227" s="4">
        <x:v>45</x:v>
      </x:c>
      <x:c r="K227" s="4">
        <x:v>45</x:v>
      </x:c>
      <x:c r="L227" s="4" t="n">
        <x:f>IFERROR(INDEX('楼层配置'!$D$5:$D$104,MATCH($K227,'楼层配置'!$B$5:$B$104,0)),"")</x:f>
        <x:v>178</x:v>
      </x:c>
      <x:c r="M227" s="4" t="str">
        <x:f>IFERROR(INDEX('_角色基线'!$B$2:$B$100,MATCH($B227,'_角色基线'!$A$2:$A$100,0)),"")</x:f>
        <x:v>梅梅</x:v>
      </x:c>
      <x:c r="N227" s="4" t="str">
        <x:f>IFERROR(INDEX('_角色基线'!$C$2:$C$100,MATCH($B227,'_角色基线'!$A$2:$A$100,0)),"")</x:f>
        <x:v>DPS</x:v>
      </x:c>
      <x:c r="O227" s="4" t="n">
        <x:f>IFERROR(INDEX('_怪物基线'!$B$2:$B$501,MATCH(INT($L227),'_怪物基线'!$A$2:$A$501,0)),"")</x:f>
        <x:v>126326</x:v>
      </x:c>
      <x:c r="P227" s="4" t="n">
        <x:f>IFERROR(INDEX('_怪物基线'!$C$2:$C$501,MATCH(INT($L227),'_怪物基线'!$A$2:$A$501,0)),"")</x:f>
        <x:v>15960</x:v>
      </x:c>
      <x:c r="Q227" s="4" t="n">
        <x:f>IFERROR(INDEX('_怪物基线'!$D$2:$D$501,MATCH(INT($L227),'_怪物基线'!$A$2:$A$501,0)),"")</x:f>
        <x:v>16743</x:v>
      </x:c>
      <x:c r="R227" s="4" t="n">
        <x:f>'参数'!$B$10</x:f>
        <x:v>4</x:v>
      </x:c>
      <x:c r="S227" s="4" t="n">
        <x:f>'参数'!$C$10</x:f>
        <x:v>1.2</x:v>
      </x:c>
      <x:c r="T227" s="4" t="n">
        <x:f>'参数'!$D$10</x:f>
        <x:v>1</x:v>
      </x:c>
      <x:c r="U227" s="4" t="n">
        <x:f t="shared" si="21">IF($O227="","",$O227*$R227)</x:f>
        <x:v>505304</x:v>
      </x:c>
      <x:c r="V227" s="4" t="n">
        <x:f t="shared" si="22">IF($P227="","",$P227*$S227)</x:f>
        <x:v>19152</x:v>
      </x:c>
      <x:c r="W227" s="4" t="n">
        <x:f t="shared" si="23">IF($Q227="","",$Q227*$T227)</x:f>
        <x:v>16743</x:v>
      </x:c>
      <x:c r="X227" s="4" t="n">
        <x:f>IFERROR(INDEX('参数'!$B$5:$B$7,MATCH($N227,'参数'!$A$5:$A$7,0)),"")</x:f>
        <x:v>1</x:v>
      </x:c>
      <x:c r="Y227" s="4" t="n">
        <x:f>IFERROR(INDEX('参数'!$C$5:$C$7,MATCH($N227,'参数'!$A$5:$A$7,0)),"")</x:f>
        <x:v>1.2</x:v>
      </x:c>
      <x:c r="Z227" s="4" t="n">
        <x:f>IFERROR(INDEX('参数'!$D$5:$D$7,MATCH($N227,'参数'!$A$5:$A$7,0)),"")</x:f>
        <x:v>1</x:v>
      </x:c>
      <x:c r="AA227" s="4" t="n">
        <x:f>IFERROR(INDEX('楼层配置'!$E$5:$E$104,MATCH($K227,'楼层配置'!$B$5:$B$104,0)),1)</x:f>
        <x:v>1.1573573979559322</x:v>
      </x:c>
      <x:c r="AB227" s="4" t="n">
        <x:f>IFERROR(INDEX('楼层配置'!$F$5:$F$104,MATCH($K227,'楼层配置'!$B$5:$B$104,0)),1)</x:f>
        <x:v>0.6696883090963671</x:v>
      </x:c>
      <x:c r="AC227" s="4" t="n">
        <x:f>IFERROR(INDEX('楼层配置'!$G$5:$G$104,MATCH($K227,'楼层配置'!$B$5:$B$104,0)),1)</x:f>
        <x:v>1</x:v>
      </x:c>
      <x:c r="AD227" s="6" t="n">
        <x:f t="shared" si="24">IFERROR($D227/$G227-1,"")</x:f>
        <x:v>-0.07451753032496977</x:v>
      </x:c>
      <x:c r="AE227" s="6" t="n">
        <x:f t="shared" si="25">IFERROR($E227/$H227-1,"")</x:f>
        <x:v>-0.056345800122624135</x:v>
      </x:c>
      <x:c r="AF227" s="6" t="n">
        <x:f t="shared" si="26">IFERROR($F227/$I227-1,"")</x:f>
        <x:v>0.3581278390655418</x:v>
      </x:c>
      <x:c r="AG227" s="4" t="str">
        <x:f t="shared" si="27">IF(AND($A227&gt;=1,$L227&gt;=1,$L227&lt;=500,OR($N227="Tank",$N227="DPS",$N227="Support"),ISNUMBER($D227),ISNUMBER($E227),ISNUMBER($F227)),"有效","异常")</x:f>
        <x:v>有效</x:v>
      </x:c>
      <x:c r="AH227" t="n">
        <x:f>D227/(1-MIN(0.75,F227/(24000+F227)))</x:f>
        <x:v>992799.959625</x:v>
      </x:c>
    </x:row>
    <x:row r="228" ht="14.25" customHeight="1">
      <x:c r="A228" s="4">
        <x:v>224</x:v>
      </x:c>
      <x:c r="B228" s="4">
        <x:v>1020</x:v>
      </x:c>
      <x:c r="C228" s="4">
        <x:v>32</x:v>
      </x:c>
      <x:c r="D228" s="5" t="n">
        <x:f>IFERROR(ROUND($U228*$X228*$AA228*'参数'!$B$13,0),"")</x:f>
        <x:v>731022</x:v>
      </x:c>
      <x:c r="E228" s="5" t="n">
        <x:f>IFERROR(ROUND($V228*$Y228*$AB228*'参数'!$C$13,0),"")</x:f>
        <x:v>12826</x:v>
      </x:c>
      <x:c r="F228" s="5" t="n">
        <x:f>IFERROR(ROUND($W228*$Z228*$AC228*'参数'!$D$13,0),"")</x:f>
        <x:v>20929</x:v>
      </x:c>
      <x:c r="G228" s="4">
        <x:v>789882</x:v>
      </x:c>
      <x:c r="H228" s="4">
        <x:v>13592</x:v>
      </x:c>
      <x:c r="I228" s="4">
        <x:v>15410</x:v>
      </x:c>
      <x:c r="J228" s="4">
        <x:v>45</x:v>
      </x:c>
      <x:c r="K228" s="4">
        <x:v>45</x:v>
      </x:c>
      <x:c r="L228" s="4" t="n">
        <x:f>IFERROR(INDEX('楼层配置'!$D$5:$D$104,MATCH($K228,'楼层配置'!$B$5:$B$104,0)),"")</x:f>
        <x:v>178</x:v>
      </x:c>
      <x:c r="M228" s="4" t="str">
        <x:f>IFERROR(INDEX('_角色基线'!$B$2:$B$100,MATCH($B228,'_角色基线'!$A$2:$A$100,0)),"")</x:f>
        <x:v>卡斯帕</x:v>
      </x:c>
      <x:c r="N228" s="4" t="str">
        <x:f>IFERROR(INDEX('_角色基线'!$C$2:$C$100,MATCH($B228,'_角色基线'!$A$2:$A$100,0)),"")</x:f>
        <x:v>Support</x:v>
      </x:c>
      <x:c r="O228" s="4" t="n">
        <x:f>IFERROR(INDEX('_怪物基线'!$B$2:$B$501,MATCH(INT($L228),'_怪物基线'!$A$2:$A$501,0)),"")</x:f>
        <x:v>126326</x:v>
      </x:c>
      <x:c r="P228" s="4" t="n">
        <x:f>IFERROR(INDEX('_怪物基线'!$C$2:$C$501,MATCH(INT($L228),'_怪物基线'!$A$2:$A$501,0)),"")</x:f>
        <x:v>15960</x:v>
      </x:c>
      <x:c r="Q228" s="4" t="n">
        <x:f>IFERROR(INDEX('_怪物基线'!$D$2:$D$501,MATCH(INT($L228),'_怪物基线'!$A$2:$A$501,0)),"")</x:f>
        <x:v>16743</x:v>
      </x:c>
      <x:c r="R228" s="4" t="n">
        <x:f>'参数'!$B$10</x:f>
        <x:v>4</x:v>
      </x:c>
      <x:c r="S228" s="4" t="n">
        <x:f>'参数'!$C$10</x:f>
        <x:v>1.2</x:v>
      </x:c>
      <x:c r="T228" s="4" t="n">
        <x:f>'参数'!$D$10</x:f>
        <x:v>1</x:v>
      </x:c>
      <x:c r="U228" s="4" t="n">
        <x:f t="shared" si="21">IF($O228="","",$O228*$R228)</x:f>
        <x:v>505304</x:v>
      </x:c>
      <x:c r="V228" s="4" t="n">
        <x:f t="shared" si="22">IF($P228="","",$P228*$S228)</x:f>
        <x:v>19152</x:v>
      </x:c>
      <x:c r="W228" s="4" t="n">
        <x:f t="shared" si="23">IF($Q228="","",$Q228*$T228)</x:f>
        <x:v>16743</x:v>
      </x:c>
      <x:c r="X228" s="4" t="n">
        <x:f>IFERROR(INDEX('参数'!$B$5:$B$7,MATCH($N228,'参数'!$A$5:$A$7,0)),"")</x:f>
        <x:v>1.25</x:v>
      </x:c>
      <x:c r="Y228" s="4" t="n">
        <x:f>IFERROR(INDEX('参数'!$C$5:$C$7,MATCH($N228,'参数'!$A$5:$A$7,0)),"")</x:f>
        <x:v>1</x:v>
      </x:c>
      <x:c r="Z228" s="4" t="n">
        <x:f>IFERROR(INDEX('参数'!$D$5:$D$7,MATCH($N228,'参数'!$A$5:$A$7,0)),"")</x:f>
        <x:v>1.25</x:v>
      </x:c>
      <x:c r="AA228" s="4" t="n">
        <x:f>IFERROR(INDEX('楼层配置'!$E$5:$E$104,MATCH($K228,'楼层配置'!$B$5:$B$104,0)),1)</x:f>
        <x:v>1.1573573979559322</x:v>
      </x:c>
      <x:c r="AB228" s="4" t="n">
        <x:f>IFERROR(INDEX('楼层配置'!$F$5:$F$104,MATCH($K228,'楼层配置'!$B$5:$B$104,0)),1)</x:f>
        <x:v>0.6696883090963671</x:v>
      </x:c>
      <x:c r="AC228" s="4" t="n">
        <x:f>IFERROR(INDEX('楼层配置'!$G$5:$G$104,MATCH($K228,'楼层配置'!$B$5:$B$104,0)),1)</x:f>
        <x:v>1</x:v>
      </x:c>
      <x:c r="AD228" s="6" t="n">
        <x:f t="shared" si="24">IFERROR($D228/$G228-1,"")</x:f>
        <x:v>-0.0745174595699104</x:v>
      </x:c>
      <x:c r="AE228" s="6" t="n">
        <x:f t="shared" si="25">IFERROR($E228/$H228-1,"")</x:f>
        <x:v>-0.05635668040023545</x:v>
      </x:c>
      <x:c r="AF228" s="6" t="n">
        <x:f t="shared" si="26">IFERROR($F228/$I228-1,"")</x:f>
        <x:v>0.35814406229720963</x:v>
      </x:c>
      <x:c r="AG228" s="4" t="str">
        <x:f t="shared" si="27">IF(AND($A228&gt;=1,$L228&gt;=1,$L228&lt;=500,OR($N228="Tank",$N228="DPS",$N228="Support"),ISNUMBER($D228),ISNUMBER($E228),ISNUMBER($F228)),"有效","异常")</x:f>
        <x:v>有效</x:v>
      </x:c>
      <x:c r="AH228" t="n">
        <x:f>D228/(1-MIN(0.75,F228/(24000+F228)))</x:f>
        <x:v>1368503.64325</x:v>
      </x:c>
    </x:row>
    <x:row r="229" ht="14.25" customHeight="1">
      <x:c r="A229" s="4">
        <x:v>225</x:v>
      </x:c>
      <x:c r="B229" s="4">
        <x:v>1011</x:v>
      </x:c>
      <x:c r="C229" s="4">
        <x:v>32</x:v>
      </x:c>
      <x:c r="D229" s="5" t="n">
        <x:f>IFERROR(ROUND($U229*$X229*$AA229*'参数'!$B$13,0),"")</x:f>
        <x:v>731022</x:v>
      </x:c>
      <x:c r="E229" s="5" t="n">
        <x:f>IFERROR(ROUND($V229*$Y229*$AB229*'参数'!$C$13,0),"")</x:f>
        <x:v>12826</x:v>
      </x:c>
      <x:c r="F229" s="5" t="n">
        <x:f>IFERROR(ROUND($W229*$Z229*$AC229*'参数'!$D$13,0),"")</x:f>
        <x:v>20929</x:v>
      </x:c>
      <x:c r="G229" s="4">
        <x:v>789882</x:v>
      </x:c>
      <x:c r="H229" s="4">
        <x:v>13592</x:v>
      </x:c>
      <x:c r="I229" s="4">
        <x:v>15410</x:v>
      </x:c>
      <x:c r="J229" s="4">
        <x:v>45</x:v>
      </x:c>
      <x:c r="K229" s="4">
        <x:v>45</x:v>
      </x:c>
      <x:c r="L229" s="4" t="n">
        <x:f>IFERROR(INDEX('楼层配置'!$D$5:$D$104,MATCH($K229,'楼层配置'!$B$5:$B$104,0)),"")</x:f>
        <x:v>178</x:v>
      </x:c>
      <x:c r="M229" s="4" t="str">
        <x:f>IFERROR(INDEX('_角色基线'!$B$2:$B$100,MATCH($B229,'_角色基线'!$A$2:$A$100,0)),"")</x:f>
        <x:v>陈双双</x:v>
      </x:c>
      <x:c r="N229" s="4" t="str">
        <x:f>IFERROR(INDEX('_角色基线'!$C$2:$C$100,MATCH($B229,'_角色基线'!$A$2:$A$100,0)),"")</x:f>
        <x:v>Support</x:v>
      </x:c>
      <x:c r="O229" s="4" t="n">
        <x:f>IFERROR(INDEX('_怪物基线'!$B$2:$B$501,MATCH(INT($L229),'_怪物基线'!$A$2:$A$501,0)),"")</x:f>
        <x:v>126326</x:v>
      </x:c>
      <x:c r="P229" s="4" t="n">
        <x:f>IFERROR(INDEX('_怪物基线'!$C$2:$C$501,MATCH(INT($L229),'_怪物基线'!$A$2:$A$501,0)),"")</x:f>
        <x:v>15960</x:v>
      </x:c>
      <x:c r="Q229" s="4" t="n">
        <x:f>IFERROR(INDEX('_怪物基线'!$D$2:$D$501,MATCH(INT($L229),'_怪物基线'!$A$2:$A$501,0)),"")</x:f>
        <x:v>16743</x:v>
      </x:c>
      <x:c r="R229" s="4" t="n">
        <x:f>'参数'!$B$10</x:f>
        <x:v>4</x:v>
      </x:c>
      <x:c r="S229" s="4" t="n">
        <x:f>'参数'!$C$10</x:f>
        <x:v>1.2</x:v>
      </x:c>
      <x:c r="T229" s="4" t="n">
        <x:f>'参数'!$D$10</x:f>
        <x:v>1</x:v>
      </x:c>
      <x:c r="U229" s="4" t="n">
        <x:f t="shared" si="21">IF($O229="","",$O229*$R229)</x:f>
        <x:v>505304</x:v>
      </x:c>
      <x:c r="V229" s="4" t="n">
        <x:f t="shared" si="22">IF($P229="","",$P229*$S229)</x:f>
        <x:v>19152</x:v>
      </x:c>
      <x:c r="W229" s="4" t="n">
        <x:f t="shared" si="23">IF($Q229="","",$Q229*$T229)</x:f>
        <x:v>16743</x:v>
      </x:c>
      <x:c r="X229" s="4" t="n">
        <x:f>IFERROR(INDEX('参数'!$B$5:$B$7,MATCH($N229,'参数'!$A$5:$A$7,0)),"")</x:f>
        <x:v>1.25</x:v>
      </x:c>
      <x:c r="Y229" s="4" t="n">
        <x:f>IFERROR(INDEX('参数'!$C$5:$C$7,MATCH($N229,'参数'!$A$5:$A$7,0)),"")</x:f>
        <x:v>1</x:v>
      </x:c>
      <x:c r="Z229" s="4" t="n">
        <x:f>IFERROR(INDEX('参数'!$D$5:$D$7,MATCH($N229,'参数'!$A$5:$A$7,0)),"")</x:f>
        <x:v>1.25</x:v>
      </x:c>
      <x:c r="AA229" s="4" t="n">
        <x:f>IFERROR(INDEX('楼层配置'!$E$5:$E$104,MATCH($K229,'楼层配置'!$B$5:$B$104,0)),1)</x:f>
        <x:v>1.1573573979559322</x:v>
      </x:c>
      <x:c r="AB229" s="4" t="n">
        <x:f>IFERROR(INDEX('楼层配置'!$F$5:$F$104,MATCH($K229,'楼层配置'!$B$5:$B$104,0)),1)</x:f>
        <x:v>0.6696883090963671</x:v>
      </x:c>
      <x:c r="AC229" s="4" t="n">
        <x:f>IFERROR(INDEX('楼层配置'!$G$5:$G$104,MATCH($K229,'楼层配置'!$B$5:$B$104,0)),1)</x:f>
        <x:v>1</x:v>
      </x:c>
      <x:c r="AD229" s="6" t="n">
        <x:f t="shared" si="24">IFERROR($D229/$G229-1,"")</x:f>
        <x:v>-0.0745174595699104</x:v>
      </x:c>
      <x:c r="AE229" s="6" t="n">
        <x:f t="shared" si="25">IFERROR($E229/$H229-1,"")</x:f>
        <x:v>-0.05635668040023545</x:v>
      </x:c>
      <x:c r="AF229" s="6" t="n">
        <x:f t="shared" si="26">IFERROR($F229/$I229-1,"")</x:f>
        <x:v>0.35814406229720963</x:v>
      </x:c>
      <x:c r="AG229" s="4" t="str">
        <x:f t="shared" si="27">IF(AND($A229&gt;=1,$L229&gt;=1,$L229&lt;=500,OR($N229="Tank",$N229="DPS",$N229="Support"),ISNUMBER($D229),ISNUMBER($E229),ISNUMBER($F229)),"有效","异常")</x:f>
        <x:v>有效</x:v>
      </x:c>
      <x:c r="AH229" t="n">
        <x:f>D229/(1-MIN(0.75,F229/(24000+F229)))</x:f>
        <x:v>1368503.64325</x:v>
      </x:c>
    </x:row>
    <x:row r="230" ht="14.25" customHeight="1">
      <x:c r="A230" s="4">
        <x:v>226</x:v>
      </x:c>
      <x:c r="B230" s="4">
        <x:v>1030</x:v>
      </x:c>
      <x:c r="C230" s="4">
        <x:v>33</x:v>
      </x:c>
      <x:c r="D230" s="5" t="n">
        <x:f>IFERROR(ROUND($U230*$X230*$AA230*'参数'!$B$13,0),"")</x:f>
        <x:v>925415</x:v>
      </x:c>
      <x:c r="E230" s="5" t="n">
        <x:f>IFERROR(ROUND($V230*$Y230*$AB230*'参数'!$C$13,0),"")</x:f>
        <x:v>13332</x:v>
      </x:c>
      <x:c r="F230" s="5" t="n">
        <x:f>IFERROR(ROUND($W230*$Z230*$AC230*'参数'!$D$13,0),"")</x:f>
        <x:v>25805</x:v>
      </x:c>
      <x:c r="G230" s="4">
        <x:v>994471</x:v>
      </x:c>
      <x:c r="H230" s="4">
        <x:v>14033</x:v>
      </x:c>
      <x:c r="I230" s="4">
        <x:v>18976</x:v>
      </x:c>
      <x:c r="J230" s="4">
        <x:v>46</x:v>
      </x:c>
      <x:c r="K230" s="4">
        <x:v>46</x:v>
      </x:c>
      <x:c r="L230" s="4" t="n">
        <x:f>IFERROR(INDEX('楼层配置'!$D$5:$D$104,MATCH($K230,'楼层配置'!$B$5:$B$104,0)),"")</x:f>
        <x:v>182</x:v>
      </x:c>
      <x:c r="M230" s="4" t="str">
        <x:f>IFERROR(INDEX('_角色基线'!$B$2:$B$100,MATCH($B230,'_角色基线'!$A$2:$A$100,0)),"")</x:f>
        <x:v>莫莉</x:v>
      </x:c>
      <x:c r="N230" s="4" t="str">
        <x:f>IFERROR(INDEX('_角色基线'!$C$2:$C$100,MATCH($B230,'_角色基线'!$A$2:$A$100,0)),"")</x:f>
        <x:v>Tank</x:v>
      </x:c>
      <x:c r="O230" s="4" t="n">
        <x:f>IFERROR(INDEX('_怪物基线'!$B$2:$B$501,MATCH(INT($L230),'_怪物基线'!$A$2:$A$501,0)),"")</x:f>
        <x:v>133074</x:v>
      </x:c>
      <x:c r="P230" s="4" t="n">
        <x:f>IFERROR(INDEX('_怪物基线'!$C$2:$C$501,MATCH(INT($L230),'_怪物基线'!$A$2:$A$501,0)),"")</x:f>
        <x:v>16571</x:v>
      </x:c>
      <x:c r="Q230" s="4" t="n">
        <x:f>IFERROR(INDEX('_怪物基线'!$D$2:$D$501,MATCH(INT($L230),'_怪物基线'!$A$2:$A$501,0)),"")</x:f>
        <x:v>17203</x:v>
      </x:c>
      <x:c r="R230" s="4" t="n">
        <x:f>'参数'!$B$10</x:f>
        <x:v>4</x:v>
      </x:c>
      <x:c r="S230" s="4" t="n">
        <x:f>'参数'!$C$10</x:f>
        <x:v>1.2</x:v>
      </x:c>
      <x:c r="T230" s="4" t="n">
        <x:f>'参数'!$D$10</x:f>
        <x:v>1</x:v>
      </x:c>
      <x:c r="U230" s="4" t="n">
        <x:f t="shared" si="21">IF($O230="","",$O230*$R230)</x:f>
        <x:v>532296</x:v>
      </x:c>
      <x:c r="V230" s="4" t="n">
        <x:f t="shared" si="22">IF($P230="","",$P230*$S230)</x:f>
        <x:v>19885.2</x:v>
      </x:c>
      <x:c r="W230" s="4" t="n">
        <x:f t="shared" si="23">IF($Q230="","",$Q230*$T230)</x:f>
        <x:v>17203</x:v>
      </x:c>
      <x:c r="X230" s="4" t="n">
        <x:f>IFERROR(INDEX('参数'!$B$5:$B$7,MATCH($N230,'参数'!$A$5:$A$7,0)),"")</x:f>
        <x:v>1.5</x:v>
      </x:c>
      <x:c r="Y230" s="4" t="n">
        <x:f>IFERROR(INDEX('参数'!$C$5:$C$7,MATCH($N230,'参数'!$A$5:$A$7,0)),"")</x:f>
        <x:v>1</x:v>
      </x:c>
      <x:c r="Z230" s="4" t="n">
        <x:f>IFERROR(INDEX('参数'!$D$5:$D$7,MATCH($N230,'参数'!$A$5:$A$7,0)),"")</x:f>
        <x:v>1.5</x:v>
      </x:c>
      <x:c r="AA230" s="4" t="n">
        <x:f>IFERROR(INDEX('楼层配置'!$E$5:$E$104,MATCH($K230,'楼层配置'!$B$5:$B$104,0)),1)</x:f>
        <x:v>1.1590226153403804</x:v>
      </x:c>
      <x:c r="AB230" s="4" t="n">
        <x:f>IFERROR(INDEX('楼层配置'!$F$5:$F$104,MATCH($K230,'楼层配置'!$B$5:$B$104,0)),1)</x:f>
        <x:v>0.6704286624625658</x:v>
      </x:c>
      <x:c r="AC230" s="4" t="n">
        <x:f>IFERROR(INDEX('楼层配置'!$G$5:$G$104,MATCH($K230,'楼层配置'!$B$5:$B$104,0)),1)</x:f>
        <x:v>1</x:v>
      </x:c>
      <x:c r="AD230" s="6" t="n">
        <x:f t="shared" si="24">IFERROR($D230/$G230-1,"")</x:f>
        <x:v>-0.06943993339172283</x:v>
      </x:c>
      <x:c r="AE230" s="6" t="n">
        <x:f t="shared" si="25">IFERROR($E230/$H230-1,"")</x:f>
        <x:v>-0.049953680609990725</x:v>
      </x:c>
      <x:c r="AF230" s="6" t="n">
        <x:f t="shared" si="26">IFERROR($F230/$I230-1,"")</x:f>
        <x:v>0.35987563237774034</x:v>
      </x:c>
      <x:c r="AG230" s="4" t="str">
        <x:f t="shared" si="27">IF(AND($A230&gt;=1,$L230&gt;=1,$L230&lt;=500,OR($N230="Tank",$N230="DPS",$N230="Support"),ISNUMBER($D230),ISNUMBER($E230),ISNUMBER($F230)),"有效","异常")</x:f>
        <x:v>有效</x:v>
      </x:c>
      <x:c r="AH230" t="n">
        <x:f>D230/(1-MIN(0.75,F230/(24000+F230)))</x:f>
        <x:v>1920428.9197916666</x:v>
      </x:c>
    </x:row>
    <x:row r="231" ht="14.25" customHeight="1">
      <x:c r="A231" s="4">
        <x:v>227</x:v>
      </x:c>
      <x:c r="B231" s="4">
        <x:v>1012</x:v>
      </x:c>
      <x:c r="C231" s="4">
        <x:v>33</x:v>
      </x:c>
      <x:c r="D231" s="5" t="n">
        <x:f>IFERROR(ROUND($U231*$X231*$AA231*'参数'!$B$13,0),"")</x:f>
        <x:v>771179</x:v>
      </x:c>
      <x:c r="E231" s="5" t="n">
        <x:f>IFERROR(ROUND($V231*$Y231*$AB231*'参数'!$C$13,0),"")</x:f>
        <x:v>13332</x:v>
      </x:c>
      <x:c r="F231" s="5" t="n">
        <x:f>IFERROR(ROUND($W231*$Z231*$AC231*'参数'!$D$13,0),"")</x:f>
        <x:v>21504</x:v>
      </x:c>
      <x:c r="G231" s="4">
        <x:v>828726</x:v>
      </x:c>
      <x:c r="H231" s="4">
        <x:v>14033</x:v>
      </x:c>
      <x:c r="I231" s="4">
        <x:v>15814</x:v>
      </x:c>
      <x:c r="J231" s="4">
        <x:v>46</x:v>
      </x:c>
      <x:c r="K231" s="4">
        <x:v>46</x:v>
      </x:c>
      <x:c r="L231" s="4" t="n">
        <x:f>IFERROR(INDEX('楼层配置'!$D$5:$D$104,MATCH($K231,'楼层配置'!$B$5:$B$104,0)),"")</x:f>
        <x:v>182</x:v>
      </x:c>
      <x:c r="M231" s="4" t="str">
        <x:f>IFERROR(INDEX('_角色基线'!$B$2:$B$100,MATCH($B231,'_角色基线'!$A$2:$A$100,0)),"")</x:f>
        <x:v>艾德琳</x:v>
      </x:c>
      <x:c r="N231" s="4" t="str">
        <x:f>IFERROR(INDEX('_角色基线'!$C$2:$C$100,MATCH($B231,'_角色基线'!$A$2:$A$100,0)),"")</x:f>
        <x:v>Support</x:v>
      </x:c>
      <x:c r="O231" s="4" t="n">
        <x:f>IFERROR(INDEX('_怪物基线'!$B$2:$B$501,MATCH(INT($L231),'_怪物基线'!$A$2:$A$501,0)),"")</x:f>
        <x:v>133074</x:v>
      </x:c>
      <x:c r="P231" s="4" t="n">
        <x:f>IFERROR(INDEX('_怪物基线'!$C$2:$C$501,MATCH(INT($L231),'_怪物基线'!$A$2:$A$501,0)),"")</x:f>
        <x:v>16571</x:v>
      </x:c>
      <x:c r="Q231" s="4" t="n">
        <x:f>IFERROR(INDEX('_怪物基线'!$D$2:$D$501,MATCH(INT($L231),'_怪物基线'!$A$2:$A$501,0)),"")</x:f>
        <x:v>17203</x:v>
      </x:c>
      <x:c r="R231" s="4" t="n">
        <x:f>'参数'!$B$10</x:f>
        <x:v>4</x:v>
      </x:c>
      <x:c r="S231" s="4" t="n">
        <x:f>'参数'!$C$10</x:f>
        <x:v>1.2</x:v>
      </x:c>
      <x:c r="T231" s="4" t="n">
        <x:f>'参数'!$D$10</x:f>
        <x:v>1</x:v>
      </x:c>
      <x:c r="U231" s="4" t="n">
        <x:f t="shared" si="21">IF($O231="","",$O231*$R231)</x:f>
        <x:v>532296</x:v>
      </x:c>
      <x:c r="V231" s="4" t="n">
        <x:f t="shared" si="22">IF($P231="","",$P231*$S231)</x:f>
        <x:v>19885.2</x:v>
      </x:c>
      <x:c r="W231" s="4" t="n">
        <x:f t="shared" si="23">IF($Q231="","",$Q231*$T231)</x:f>
        <x:v>17203</x:v>
      </x:c>
      <x:c r="X231" s="4" t="n">
        <x:f>IFERROR(INDEX('参数'!$B$5:$B$7,MATCH($N231,'参数'!$A$5:$A$7,0)),"")</x:f>
        <x:v>1.25</x:v>
      </x:c>
      <x:c r="Y231" s="4" t="n">
        <x:f>IFERROR(INDEX('参数'!$C$5:$C$7,MATCH($N231,'参数'!$A$5:$A$7,0)),"")</x:f>
        <x:v>1</x:v>
      </x:c>
      <x:c r="Z231" s="4" t="n">
        <x:f>IFERROR(INDEX('参数'!$D$5:$D$7,MATCH($N231,'参数'!$A$5:$A$7,0)),"")</x:f>
        <x:v>1.25</x:v>
      </x:c>
      <x:c r="AA231" s="4" t="n">
        <x:f>IFERROR(INDEX('楼层配置'!$E$5:$E$104,MATCH($K231,'楼层配置'!$B$5:$B$104,0)),1)</x:f>
        <x:v>1.1590226153403804</x:v>
      </x:c>
      <x:c r="AB231" s="4" t="n">
        <x:f>IFERROR(INDEX('楼层配置'!$F$5:$F$104,MATCH($K231,'楼层配置'!$B$5:$B$104,0)),1)</x:f>
        <x:v>0.6704286624625658</x:v>
      </x:c>
      <x:c r="AC231" s="4" t="n">
        <x:f>IFERROR(INDEX('楼层配置'!$G$5:$G$104,MATCH($K231,'楼层配置'!$B$5:$B$104,0)),1)</x:f>
        <x:v>1</x:v>
      </x:c>
      <x:c r="AD231" s="6" t="n">
        <x:f t="shared" si="24">IFERROR($D231/$G231-1,"")</x:f>
        <x:v>-0.06944032165034042</x:v>
      </x:c>
      <x:c r="AE231" s="6" t="n">
        <x:f t="shared" si="25">IFERROR($E231/$H231-1,"")</x:f>
        <x:v>-0.049953680609990725</x:v>
      </x:c>
      <x:c r="AF231" s="6" t="n">
        <x:f t="shared" si="26">IFERROR($F231/$I231-1,"")</x:f>
        <x:v>0.35980776527127856</x:v>
      </x:c>
      <x:c r="AG231" s="4" t="str">
        <x:f t="shared" si="27">IF(AND($A231&gt;=1,$L231&gt;=1,$L231&lt;=500,OR($N231="Tank",$N231="DPS",$N231="Support"),ISNUMBER($D231),ISNUMBER($E231),ISNUMBER($F231)),"有效","异常")</x:f>
        <x:v>有效</x:v>
      </x:c>
      <x:c r="AH231" t="n">
        <x:f>D231/(1-MIN(0.75,F231/(24000+F231)))</x:f>
        <x:v>1462155.384</x:v>
      </x:c>
    </x:row>
    <x:row r="232" ht="14.25" customHeight="1">
      <x:c r="A232" s="4">
        <x:v>228</x:v>
      </x:c>
      <x:c r="B232" s="4">
        <x:v>1011</x:v>
      </x:c>
      <x:c r="C232" s="4">
        <x:v>33</x:v>
      </x:c>
      <x:c r="D232" s="5" t="n">
        <x:f>IFERROR(ROUND($U232*$X232*$AA232*'参数'!$B$13,0),"")</x:f>
        <x:v>771179</x:v>
      </x:c>
      <x:c r="E232" s="5" t="n">
        <x:f>IFERROR(ROUND($V232*$Y232*$AB232*'参数'!$C$13,0),"")</x:f>
        <x:v>13332</x:v>
      </x:c>
      <x:c r="F232" s="5" t="n">
        <x:f>IFERROR(ROUND($W232*$Z232*$AC232*'参数'!$D$13,0),"")</x:f>
        <x:v>21504</x:v>
      </x:c>
      <x:c r="G232" s="4">
        <x:v>828726</x:v>
      </x:c>
      <x:c r="H232" s="4">
        <x:v>14033</x:v>
      </x:c>
      <x:c r="I232" s="4">
        <x:v>15814</x:v>
      </x:c>
      <x:c r="J232" s="4">
        <x:v>46</x:v>
      </x:c>
      <x:c r="K232" s="4">
        <x:v>46</x:v>
      </x:c>
      <x:c r="L232" s="4" t="n">
        <x:f>IFERROR(INDEX('楼层配置'!$D$5:$D$104,MATCH($K232,'楼层配置'!$B$5:$B$104,0)),"")</x:f>
        <x:v>182</x:v>
      </x:c>
      <x:c r="M232" s="4" t="str">
        <x:f>IFERROR(INDEX('_角色基线'!$B$2:$B$100,MATCH($B232,'_角色基线'!$A$2:$A$100,0)),"")</x:f>
        <x:v>陈双双</x:v>
      </x:c>
      <x:c r="N232" s="4" t="str">
        <x:f>IFERROR(INDEX('_角色基线'!$C$2:$C$100,MATCH($B232,'_角色基线'!$A$2:$A$100,0)),"")</x:f>
        <x:v>Support</x:v>
      </x:c>
      <x:c r="O232" s="4" t="n">
        <x:f>IFERROR(INDEX('_怪物基线'!$B$2:$B$501,MATCH(INT($L232),'_怪物基线'!$A$2:$A$501,0)),"")</x:f>
        <x:v>133074</x:v>
      </x:c>
      <x:c r="P232" s="4" t="n">
        <x:f>IFERROR(INDEX('_怪物基线'!$C$2:$C$501,MATCH(INT($L232),'_怪物基线'!$A$2:$A$501,0)),"")</x:f>
        <x:v>16571</x:v>
      </x:c>
      <x:c r="Q232" s="4" t="n">
        <x:f>IFERROR(INDEX('_怪物基线'!$D$2:$D$501,MATCH(INT($L232),'_怪物基线'!$A$2:$A$501,0)),"")</x:f>
        <x:v>17203</x:v>
      </x:c>
      <x:c r="R232" s="4" t="n">
        <x:f>'参数'!$B$10</x:f>
        <x:v>4</x:v>
      </x:c>
      <x:c r="S232" s="4" t="n">
        <x:f>'参数'!$C$10</x:f>
        <x:v>1.2</x:v>
      </x:c>
      <x:c r="T232" s="4" t="n">
        <x:f>'参数'!$D$10</x:f>
        <x:v>1</x:v>
      </x:c>
      <x:c r="U232" s="4" t="n">
        <x:f t="shared" si="21">IF($O232="","",$O232*$R232)</x:f>
        <x:v>532296</x:v>
      </x:c>
      <x:c r="V232" s="4" t="n">
        <x:f t="shared" si="22">IF($P232="","",$P232*$S232)</x:f>
        <x:v>19885.2</x:v>
      </x:c>
      <x:c r="W232" s="4" t="n">
        <x:f t="shared" si="23">IF($Q232="","",$Q232*$T232)</x:f>
        <x:v>17203</x:v>
      </x:c>
      <x:c r="X232" s="4" t="n">
        <x:f>IFERROR(INDEX('参数'!$B$5:$B$7,MATCH($N232,'参数'!$A$5:$A$7,0)),"")</x:f>
        <x:v>1.25</x:v>
      </x:c>
      <x:c r="Y232" s="4" t="n">
        <x:f>IFERROR(INDEX('参数'!$C$5:$C$7,MATCH($N232,'参数'!$A$5:$A$7,0)),"")</x:f>
        <x:v>1</x:v>
      </x:c>
      <x:c r="Z232" s="4" t="n">
        <x:f>IFERROR(INDEX('参数'!$D$5:$D$7,MATCH($N232,'参数'!$A$5:$A$7,0)),"")</x:f>
        <x:v>1.25</x:v>
      </x:c>
      <x:c r="AA232" s="4" t="n">
        <x:f>IFERROR(INDEX('楼层配置'!$E$5:$E$104,MATCH($K232,'楼层配置'!$B$5:$B$104,0)),1)</x:f>
        <x:v>1.1590226153403804</x:v>
      </x:c>
      <x:c r="AB232" s="4" t="n">
        <x:f>IFERROR(INDEX('楼层配置'!$F$5:$F$104,MATCH($K232,'楼层配置'!$B$5:$B$104,0)),1)</x:f>
        <x:v>0.6704286624625658</x:v>
      </x:c>
      <x:c r="AC232" s="4" t="n">
        <x:f>IFERROR(INDEX('楼层配置'!$G$5:$G$104,MATCH($K232,'楼层配置'!$B$5:$B$104,0)),1)</x:f>
        <x:v>1</x:v>
      </x:c>
      <x:c r="AD232" s="6" t="n">
        <x:f t="shared" si="24">IFERROR($D232/$G232-1,"")</x:f>
        <x:v>-0.06944032165034042</x:v>
      </x:c>
      <x:c r="AE232" s="6" t="n">
        <x:f t="shared" si="25">IFERROR($E232/$H232-1,"")</x:f>
        <x:v>-0.049953680609990725</x:v>
      </x:c>
      <x:c r="AF232" s="6" t="n">
        <x:f t="shared" si="26">IFERROR($F232/$I232-1,"")</x:f>
        <x:v>0.35980776527127856</x:v>
      </x:c>
      <x:c r="AG232" s="4" t="str">
        <x:f t="shared" si="27">IF(AND($A232&gt;=1,$L232&gt;=1,$L232&lt;=500,OR($N232="Tank",$N232="DPS",$N232="Support"),ISNUMBER($D232),ISNUMBER($E232),ISNUMBER($F232)),"有效","异常")</x:f>
        <x:v>有效</x:v>
      </x:c>
      <x:c r="AH232" t="n">
        <x:f>D232/(1-MIN(0.75,F232/(24000+F232)))</x:f>
        <x:v>1462155.384</x:v>
      </x:c>
    </x:row>
    <x:row r="233" ht="14.25" customHeight="1">
      <x:c r="A233" s="4">
        <x:v>229</x:v>
      </x:c>
      <x:c r="B233" s="4">
        <x:v>1018</x:v>
      </x:c>
      <x:c r="C233" s="4">
        <x:v>33</x:v>
      </x:c>
      <x:c r="D233" s="5" t="n">
        <x:f>IFERROR(ROUND($U233*$X233*$AA233*'参数'!$B$13,0),"")</x:f>
        <x:v>771179</x:v>
      </x:c>
      <x:c r="E233" s="5" t="n">
        <x:f>IFERROR(ROUND($V233*$Y233*$AB233*'参数'!$C$13,0),"")</x:f>
        <x:v>13332</x:v>
      </x:c>
      <x:c r="F233" s="5" t="n">
        <x:f>IFERROR(ROUND($W233*$Z233*$AC233*'参数'!$D$13,0),"")</x:f>
        <x:v>21504</x:v>
      </x:c>
      <x:c r="G233" s="4">
        <x:v>828726</x:v>
      </x:c>
      <x:c r="H233" s="4">
        <x:v>14033</x:v>
      </x:c>
      <x:c r="I233" s="4">
        <x:v>15814</x:v>
      </x:c>
      <x:c r="J233" s="4">
        <x:v>46</x:v>
      </x:c>
      <x:c r="K233" s="4">
        <x:v>46</x:v>
      </x:c>
      <x:c r="L233" s="4" t="n">
        <x:f>IFERROR(INDEX('楼层配置'!$D$5:$D$104,MATCH($K233,'楼层配置'!$B$5:$B$104,0)),"")</x:f>
        <x:v>182</x:v>
      </x:c>
      <x:c r="M233" s="4" t="str">
        <x:f>IFERROR(INDEX('_角色基线'!$B$2:$B$100,MATCH($B233,'_角色基线'!$A$2:$A$100,0)),"")</x:f>
        <x:v>埃莉诺</x:v>
      </x:c>
      <x:c r="N233" s="4" t="str">
        <x:f>IFERROR(INDEX('_角色基线'!$C$2:$C$100,MATCH($B233,'_角色基线'!$A$2:$A$100,0)),"")</x:f>
        <x:v>Support</x:v>
      </x:c>
      <x:c r="O233" s="4" t="n">
        <x:f>IFERROR(INDEX('_怪物基线'!$B$2:$B$501,MATCH(INT($L233),'_怪物基线'!$A$2:$A$501,0)),"")</x:f>
        <x:v>133074</x:v>
      </x:c>
      <x:c r="P233" s="4" t="n">
        <x:f>IFERROR(INDEX('_怪物基线'!$C$2:$C$501,MATCH(INT($L233),'_怪物基线'!$A$2:$A$501,0)),"")</x:f>
        <x:v>16571</x:v>
      </x:c>
      <x:c r="Q233" s="4" t="n">
        <x:f>IFERROR(INDEX('_怪物基线'!$D$2:$D$501,MATCH(INT($L233),'_怪物基线'!$A$2:$A$501,0)),"")</x:f>
        <x:v>17203</x:v>
      </x:c>
      <x:c r="R233" s="4" t="n">
        <x:f>'参数'!$B$10</x:f>
        <x:v>4</x:v>
      </x:c>
      <x:c r="S233" s="4" t="n">
        <x:f>'参数'!$C$10</x:f>
        <x:v>1.2</x:v>
      </x:c>
      <x:c r="T233" s="4" t="n">
        <x:f>'参数'!$D$10</x:f>
        <x:v>1</x:v>
      </x:c>
      <x:c r="U233" s="4" t="n">
        <x:f t="shared" si="21">IF($O233="","",$O233*$R233)</x:f>
        <x:v>532296</x:v>
      </x:c>
      <x:c r="V233" s="4" t="n">
        <x:f t="shared" si="22">IF($P233="","",$P233*$S233)</x:f>
        <x:v>19885.2</x:v>
      </x:c>
      <x:c r="W233" s="4" t="n">
        <x:f t="shared" si="23">IF($Q233="","",$Q233*$T233)</x:f>
        <x:v>17203</x:v>
      </x:c>
      <x:c r="X233" s="4" t="n">
        <x:f>IFERROR(INDEX('参数'!$B$5:$B$7,MATCH($N233,'参数'!$A$5:$A$7,0)),"")</x:f>
        <x:v>1.25</x:v>
      </x:c>
      <x:c r="Y233" s="4" t="n">
        <x:f>IFERROR(INDEX('参数'!$C$5:$C$7,MATCH($N233,'参数'!$A$5:$A$7,0)),"")</x:f>
        <x:v>1</x:v>
      </x:c>
      <x:c r="Z233" s="4" t="n">
        <x:f>IFERROR(INDEX('参数'!$D$5:$D$7,MATCH($N233,'参数'!$A$5:$A$7,0)),"")</x:f>
        <x:v>1.25</x:v>
      </x:c>
      <x:c r="AA233" s="4" t="n">
        <x:f>IFERROR(INDEX('楼层配置'!$E$5:$E$104,MATCH($K233,'楼层配置'!$B$5:$B$104,0)),1)</x:f>
        <x:v>1.1590226153403804</x:v>
      </x:c>
      <x:c r="AB233" s="4" t="n">
        <x:f>IFERROR(INDEX('楼层配置'!$F$5:$F$104,MATCH($K233,'楼层配置'!$B$5:$B$104,0)),1)</x:f>
        <x:v>0.6704286624625658</x:v>
      </x:c>
      <x:c r="AC233" s="4" t="n">
        <x:f>IFERROR(INDEX('楼层配置'!$G$5:$G$104,MATCH($K233,'楼层配置'!$B$5:$B$104,0)),1)</x:f>
        <x:v>1</x:v>
      </x:c>
      <x:c r="AD233" s="6" t="n">
        <x:f t="shared" si="24">IFERROR($D233/$G233-1,"")</x:f>
        <x:v>-0.06944032165034042</x:v>
      </x:c>
      <x:c r="AE233" s="6" t="n">
        <x:f t="shared" si="25">IFERROR($E233/$H233-1,"")</x:f>
        <x:v>-0.049953680609990725</x:v>
      </x:c>
      <x:c r="AF233" s="6" t="n">
        <x:f t="shared" si="26">IFERROR($F233/$I233-1,"")</x:f>
        <x:v>0.35980776527127856</x:v>
      </x:c>
      <x:c r="AG233" s="4" t="str">
        <x:f t="shared" si="27">IF(AND($A233&gt;=1,$L233&gt;=1,$L233&lt;=500,OR($N233="Tank",$N233="DPS",$N233="Support"),ISNUMBER($D233),ISNUMBER($E233),ISNUMBER($F233)),"有效","异常")</x:f>
        <x:v>有效</x:v>
      </x:c>
      <x:c r="AH233" t="n">
        <x:f>D233/(1-MIN(0.75,F233/(24000+F233)))</x:f>
        <x:v>1462155.384</x:v>
      </x:c>
    </x:row>
    <x:row r="234" ht="14.25" customHeight="1">
      <x:c r="A234" s="4">
        <x:v>230</x:v>
      </x:c>
      <x:c r="B234" s="4">
        <x:v>1018</x:v>
      </x:c>
      <x:c r="C234" s="4">
        <x:v>33</x:v>
      </x:c>
      <x:c r="D234" s="5" t="n">
        <x:f>IFERROR(ROUND($U234*$X234*$AA234*'参数'!$B$13,0),"")</x:f>
        <x:v>771179</x:v>
      </x:c>
      <x:c r="E234" s="5" t="n">
        <x:f>IFERROR(ROUND($V234*$Y234*$AB234*'参数'!$C$13,0),"")</x:f>
        <x:v>13332</x:v>
      </x:c>
      <x:c r="F234" s="5" t="n">
        <x:f>IFERROR(ROUND($W234*$Z234*$AC234*'参数'!$D$13,0),"")</x:f>
        <x:v>21504</x:v>
      </x:c>
      <x:c r="G234" s="4">
        <x:v>828726</x:v>
      </x:c>
      <x:c r="H234" s="4">
        <x:v>14033</x:v>
      </x:c>
      <x:c r="I234" s="4">
        <x:v>15814</x:v>
      </x:c>
      <x:c r="J234" s="4">
        <x:v>46</x:v>
      </x:c>
      <x:c r="K234" s="4">
        <x:v>46</x:v>
      </x:c>
      <x:c r="L234" s="4" t="n">
        <x:f>IFERROR(INDEX('楼层配置'!$D$5:$D$104,MATCH($K234,'楼层配置'!$B$5:$B$104,0)),"")</x:f>
        <x:v>182</x:v>
      </x:c>
      <x:c r="M234" s="4" t="str">
        <x:f>IFERROR(INDEX('_角色基线'!$B$2:$B$100,MATCH($B234,'_角色基线'!$A$2:$A$100,0)),"")</x:f>
        <x:v>埃莉诺</x:v>
      </x:c>
      <x:c r="N234" s="4" t="str">
        <x:f>IFERROR(INDEX('_角色基线'!$C$2:$C$100,MATCH($B234,'_角色基线'!$A$2:$A$100,0)),"")</x:f>
        <x:v>Support</x:v>
      </x:c>
      <x:c r="O234" s="4" t="n">
        <x:f>IFERROR(INDEX('_怪物基线'!$B$2:$B$501,MATCH(INT($L234),'_怪物基线'!$A$2:$A$501,0)),"")</x:f>
        <x:v>133074</x:v>
      </x:c>
      <x:c r="P234" s="4" t="n">
        <x:f>IFERROR(INDEX('_怪物基线'!$C$2:$C$501,MATCH(INT($L234),'_怪物基线'!$A$2:$A$501,0)),"")</x:f>
        <x:v>16571</x:v>
      </x:c>
      <x:c r="Q234" s="4" t="n">
        <x:f>IFERROR(INDEX('_怪物基线'!$D$2:$D$501,MATCH(INT($L234),'_怪物基线'!$A$2:$A$501,0)),"")</x:f>
        <x:v>17203</x:v>
      </x:c>
      <x:c r="R234" s="4" t="n">
        <x:f>'参数'!$B$10</x:f>
        <x:v>4</x:v>
      </x:c>
      <x:c r="S234" s="4" t="n">
        <x:f>'参数'!$C$10</x:f>
        <x:v>1.2</x:v>
      </x:c>
      <x:c r="T234" s="4" t="n">
        <x:f>'参数'!$D$10</x:f>
        <x:v>1</x:v>
      </x:c>
      <x:c r="U234" s="4" t="n">
        <x:f t="shared" si="21">IF($O234="","",$O234*$R234)</x:f>
        <x:v>532296</x:v>
      </x:c>
      <x:c r="V234" s="4" t="n">
        <x:f t="shared" si="22">IF($P234="","",$P234*$S234)</x:f>
        <x:v>19885.2</x:v>
      </x:c>
      <x:c r="W234" s="4" t="n">
        <x:f t="shared" si="23">IF($Q234="","",$Q234*$T234)</x:f>
        <x:v>17203</x:v>
      </x:c>
      <x:c r="X234" s="4" t="n">
        <x:f>IFERROR(INDEX('参数'!$B$5:$B$7,MATCH($N234,'参数'!$A$5:$A$7,0)),"")</x:f>
        <x:v>1.25</x:v>
      </x:c>
      <x:c r="Y234" s="4" t="n">
        <x:f>IFERROR(INDEX('参数'!$C$5:$C$7,MATCH($N234,'参数'!$A$5:$A$7,0)),"")</x:f>
        <x:v>1</x:v>
      </x:c>
      <x:c r="Z234" s="4" t="n">
        <x:f>IFERROR(INDEX('参数'!$D$5:$D$7,MATCH($N234,'参数'!$A$5:$A$7,0)),"")</x:f>
        <x:v>1.25</x:v>
      </x:c>
      <x:c r="AA234" s="4" t="n">
        <x:f>IFERROR(INDEX('楼层配置'!$E$5:$E$104,MATCH($K234,'楼层配置'!$B$5:$B$104,0)),1)</x:f>
        <x:v>1.1590226153403804</x:v>
      </x:c>
      <x:c r="AB234" s="4" t="n">
        <x:f>IFERROR(INDEX('楼层配置'!$F$5:$F$104,MATCH($K234,'楼层配置'!$B$5:$B$104,0)),1)</x:f>
        <x:v>0.6704286624625658</x:v>
      </x:c>
      <x:c r="AC234" s="4" t="n">
        <x:f>IFERROR(INDEX('楼层配置'!$G$5:$G$104,MATCH($K234,'楼层配置'!$B$5:$B$104,0)),1)</x:f>
        <x:v>1</x:v>
      </x:c>
      <x:c r="AD234" s="6" t="n">
        <x:f t="shared" si="24">IFERROR($D234/$G234-1,"")</x:f>
        <x:v>-0.06944032165034042</x:v>
      </x:c>
      <x:c r="AE234" s="6" t="n">
        <x:f t="shared" si="25">IFERROR($E234/$H234-1,"")</x:f>
        <x:v>-0.049953680609990725</x:v>
      </x:c>
      <x:c r="AF234" s="6" t="n">
        <x:f t="shared" si="26">IFERROR($F234/$I234-1,"")</x:f>
        <x:v>0.35980776527127856</x:v>
      </x:c>
      <x:c r="AG234" s="4" t="str">
        <x:f t="shared" si="27">IF(AND($A234&gt;=1,$L234&gt;=1,$L234&lt;=500,OR($N234="Tank",$N234="DPS",$N234="Support"),ISNUMBER($D234),ISNUMBER($E234),ISNUMBER($F234)),"有效","异常")</x:f>
        <x:v>有效</x:v>
      </x:c>
      <x:c r="AH234" t="n">
        <x:f>D234/(1-MIN(0.75,F234/(24000+F234)))</x:f>
        <x:v>1462155.384</x:v>
      </x:c>
    </x:row>
    <x:row r="235" ht="14.25" customHeight="1">
      <x:c r="A235" s="4">
        <x:v>231</x:v>
      </x:c>
      <x:c r="B235" s="4">
        <x:v>1030</x:v>
      </x:c>
      <x:c r="C235" s="4">
        <x:v>33</x:v>
      </x:c>
      <x:c r="D235" s="5" t="n">
        <x:f>IFERROR(ROUND($U235*$X235*$AA235*'参数'!$B$13,0),"")</x:f>
        <x:v>960300</x:v>
      </x:c>
      <x:c r="E235" s="5" t="n">
        <x:f>IFERROR(ROUND($V235*$Y235*$AB235*'参数'!$C$13,0),"")</x:f>
        <x:v>13757</x:v>
      </x:c>
      <x:c r="F235" s="5" t="n">
        <x:f>IFERROR(ROUND($W235*$Z235*$AC235*'参数'!$D$13,0),"")</x:f>
        <x:v>26324</x:v>
      </x:c>
      <x:c r="G235" s="4">
        <x:v>1042682</x:v>
      </x:c>
      <x:c r="H235" s="4">
        <x:v>14482</x:v>
      </x:c>
      <x:c r="I235" s="4">
        <x:v>19466</x:v>
      </x:c>
      <x:c r="J235" s="4">
        <x:v>47</x:v>
      </x:c>
      <x:c r="K235" s="4">
        <x:v>47</x:v>
      </x:c>
      <x:c r="L235" s="4" t="n">
        <x:f>IFERROR(INDEX('楼层配置'!$D$5:$D$104,MATCH($K235,'楼层配置'!$B$5:$B$104,0)),"")</x:f>
        <x:v>185</x:v>
      </x:c>
      <x:c r="M235" s="4" t="str">
        <x:f>IFERROR(INDEX('_角色基线'!$B$2:$B$100,MATCH($B235,'_角色基线'!$A$2:$A$100,0)),"")</x:f>
        <x:v>莫莉</x:v>
      </x:c>
      <x:c r="N235" s="4" t="str">
        <x:f>IFERROR(INDEX('_角色基线'!$C$2:$C$100,MATCH($B235,'_角色基线'!$A$2:$A$100,0)),"")</x:f>
        <x:v>Tank</x:v>
      </x:c>
      <x:c r="O235" s="4" t="n">
        <x:f>IFERROR(INDEX('_怪物基线'!$B$2:$B$501,MATCH(INT($L235),'_怪物基线'!$A$2:$A$501,0)),"")</x:f>
        <x:v>138304</x:v>
      </x:c>
      <x:c r="P235" s="4" t="n">
        <x:f>IFERROR(INDEX('_怪物基线'!$C$2:$C$501,MATCH(INT($L235),'_怪物基线'!$A$2:$A$501,0)),"")</x:f>
        <x:v>17039</x:v>
      </x:c>
      <x:c r="Q235" s="4" t="n">
        <x:f>IFERROR(INDEX('_怪物基线'!$D$2:$D$501,MATCH(INT($L235),'_怪物基线'!$A$2:$A$501,0)),"")</x:f>
        <x:v>17549</x:v>
      </x:c>
      <x:c r="R235" s="4" t="n">
        <x:f>'参数'!$B$10</x:f>
        <x:v>4</x:v>
      </x:c>
      <x:c r="S235" s="4" t="n">
        <x:f>'参数'!$C$10</x:f>
        <x:v>1.2</x:v>
      </x:c>
      <x:c r="T235" s="4" t="n">
        <x:f>'参数'!$D$10</x:f>
        <x:v>1</x:v>
      </x:c>
      <x:c r="U235" s="4" t="n">
        <x:f t="shared" si="21">IF($O235="","",$O235*$R235)</x:f>
        <x:v>553216</x:v>
      </x:c>
      <x:c r="V235" s="4" t="n">
        <x:f t="shared" si="22">IF($P235="","",$P235*$S235)</x:f>
        <x:v>20446.8</x:v>
      </x:c>
      <x:c r="W235" s="4" t="n">
        <x:f t="shared" si="23">IF($Q235="","",$Q235*$T235)</x:f>
        <x:v>17549</x:v>
      </x:c>
      <x:c r="X235" s="4" t="n">
        <x:f>IFERROR(INDEX('参数'!$B$5:$B$7,MATCH($N235,'参数'!$A$5:$A$7,0)),"")</x:f>
        <x:v>1.5</x:v>
      </x:c>
      <x:c r="Y235" s="4" t="n">
        <x:f>IFERROR(INDEX('参数'!$C$5:$C$7,MATCH($N235,'参数'!$A$5:$A$7,0)),"")</x:f>
        <x:v>1</x:v>
      </x:c>
      <x:c r="Z235" s="4" t="n">
        <x:f>IFERROR(INDEX('参数'!$D$5:$D$7,MATCH($N235,'参数'!$A$5:$A$7,0)),"")</x:f>
        <x:v>1.5</x:v>
      </x:c>
      <x:c r="AA235" s="4" t="n">
        <x:f>IFERROR(INDEX('楼层配置'!$E$5:$E$104,MATCH($K235,'楼层配置'!$B$5:$B$104,0)),1)</x:f>
        <x:v>1.1572330311023793</x:v>
      </x:c>
      <x:c r="AB235" s="4" t="n">
        <x:f>IFERROR(INDEX('楼层配置'!$F$5:$F$104,MATCH($K235,'楼层配置'!$B$5:$B$104,0)),1)</x:f>
        <x:v>0.6728114779452344</x:v>
      </x:c>
      <x:c r="AC235" s="4" t="n">
        <x:f>IFERROR(INDEX('楼层配置'!$G$5:$G$104,MATCH($K235,'楼层配置'!$B$5:$B$104,0)),1)</x:f>
        <x:v>1</x:v>
      </x:c>
      <x:c r="AD235" s="6" t="n">
        <x:f t="shared" si="24">IFERROR($D235/$G235-1,"")</x:f>
        <x:v>-0.07900970765775184</x:v>
      </x:c>
      <x:c r="AE235" s="6" t="n">
        <x:f t="shared" si="25">IFERROR($E235/$H235-1,"")</x:f>
        <x:v>-0.05006214611241544</x:v>
      </x:c>
      <x:c r="AF235" s="6" t="n">
        <x:f t="shared" si="26">IFERROR($F235/$I235-1,"")</x:f>
        <x:v>0.35230658584198093</x:v>
      </x:c>
      <x:c r="AG235" s="4" t="str">
        <x:f t="shared" si="27">IF(AND($A235&gt;=1,$L235&gt;=1,$L235&lt;=500,OR($N235="Tank",$N235="DPS",$N235="Support"),ISNUMBER($D235),ISNUMBER($E235),ISNUMBER($F235)),"有效","异常")</x:f>
        <x:v>有效</x:v>
      </x:c>
      <x:c r="AH235" t="n">
        <x:f>D235/(1-MIN(0.75,F235/(24000+F235)))</x:f>
        <x:v>2013589.05</x:v>
      </x:c>
    </x:row>
    <x:row r="236" ht="14.25" customHeight="1">
      <x:c r="A236" s="4">
        <x:v>232</x:v>
      </x:c>
      <x:c r="B236" s="4">
        <x:v>1012</x:v>
      </x:c>
      <x:c r="C236" s="4">
        <x:v>33</x:v>
      </x:c>
      <x:c r="D236" s="5" t="n">
        <x:f>IFERROR(ROUND($U236*$X236*$AA236*'参数'!$B$13,0),"")</x:f>
        <x:v>800250</x:v>
      </x:c>
      <x:c r="E236" s="5" t="n">
        <x:f>IFERROR(ROUND($V236*$Y236*$AB236*'参数'!$C$13,0),"")</x:f>
        <x:v>13757</x:v>
      </x:c>
      <x:c r="F236" s="5" t="n">
        <x:f>IFERROR(ROUND($W236*$Z236*$AC236*'参数'!$D$13,0),"")</x:f>
        <x:v>21936</x:v>
      </x:c>
      <x:c r="G236" s="4">
        <x:v>868902</x:v>
      </x:c>
      <x:c r="H236" s="4">
        <x:v>14482</x:v>
      </x:c>
      <x:c r="I236" s="4">
        <x:v>16222</x:v>
      </x:c>
      <x:c r="J236" s="4">
        <x:v>47</x:v>
      </x:c>
      <x:c r="K236" s="4">
        <x:v>47</x:v>
      </x:c>
      <x:c r="L236" s="4" t="n">
        <x:f>IFERROR(INDEX('楼层配置'!$D$5:$D$104,MATCH($K236,'楼层配置'!$B$5:$B$104,0)),"")</x:f>
        <x:v>185</x:v>
      </x:c>
      <x:c r="M236" s="4" t="str">
        <x:f>IFERROR(INDEX('_角色基线'!$B$2:$B$100,MATCH($B236,'_角色基线'!$A$2:$A$100,0)),"")</x:f>
        <x:v>艾德琳</x:v>
      </x:c>
      <x:c r="N236" s="4" t="str">
        <x:f>IFERROR(INDEX('_角色基线'!$C$2:$C$100,MATCH($B236,'_角色基线'!$A$2:$A$100,0)),"")</x:f>
        <x:v>Support</x:v>
      </x:c>
      <x:c r="O236" s="4" t="n">
        <x:f>IFERROR(INDEX('_怪物基线'!$B$2:$B$501,MATCH(INT($L236),'_怪物基线'!$A$2:$A$501,0)),"")</x:f>
        <x:v>138304</x:v>
      </x:c>
      <x:c r="P236" s="4" t="n">
        <x:f>IFERROR(INDEX('_怪物基线'!$C$2:$C$501,MATCH(INT($L236),'_怪物基线'!$A$2:$A$501,0)),"")</x:f>
        <x:v>17039</x:v>
      </x:c>
      <x:c r="Q236" s="4" t="n">
        <x:f>IFERROR(INDEX('_怪物基线'!$D$2:$D$501,MATCH(INT($L236),'_怪物基线'!$A$2:$A$501,0)),"")</x:f>
        <x:v>17549</x:v>
      </x:c>
      <x:c r="R236" s="4" t="n">
        <x:f>'参数'!$B$10</x:f>
        <x:v>4</x:v>
      </x:c>
      <x:c r="S236" s="4" t="n">
        <x:f>'参数'!$C$10</x:f>
        <x:v>1.2</x:v>
      </x:c>
      <x:c r="T236" s="4" t="n">
        <x:f>'参数'!$D$10</x:f>
        <x:v>1</x:v>
      </x:c>
      <x:c r="U236" s="4" t="n">
        <x:f t="shared" si="21">IF($O236="","",$O236*$R236)</x:f>
        <x:v>553216</x:v>
      </x:c>
      <x:c r="V236" s="4" t="n">
        <x:f t="shared" si="22">IF($P236="","",$P236*$S236)</x:f>
        <x:v>20446.8</x:v>
      </x:c>
      <x:c r="W236" s="4" t="n">
        <x:f t="shared" si="23">IF($Q236="","",$Q236*$T236)</x:f>
        <x:v>17549</x:v>
      </x:c>
      <x:c r="X236" s="4" t="n">
        <x:f>IFERROR(INDEX('参数'!$B$5:$B$7,MATCH($N236,'参数'!$A$5:$A$7,0)),"")</x:f>
        <x:v>1.25</x:v>
      </x:c>
      <x:c r="Y236" s="4" t="n">
        <x:f>IFERROR(INDEX('参数'!$C$5:$C$7,MATCH($N236,'参数'!$A$5:$A$7,0)),"")</x:f>
        <x:v>1</x:v>
      </x:c>
      <x:c r="Z236" s="4" t="n">
        <x:f>IFERROR(INDEX('参数'!$D$5:$D$7,MATCH($N236,'参数'!$A$5:$A$7,0)),"")</x:f>
        <x:v>1.25</x:v>
      </x:c>
      <x:c r="AA236" s="4" t="n">
        <x:f>IFERROR(INDEX('楼层配置'!$E$5:$E$104,MATCH($K236,'楼层配置'!$B$5:$B$104,0)),1)</x:f>
        <x:v>1.1572330311023793</x:v>
      </x:c>
      <x:c r="AB236" s="4" t="n">
        <x:f>IFERROR(INDEX('楼层配置'!$F$5:$F$104,MATCH($K236,'楼层配置'!$B$5:$B$104,0)),1)</x:f>
        <x:v>0.6728114779452344</x:v>
      </x:c>
      <x:c r="AC236" s="4" t="n">
        <x:f>IFERROR(INDEX('楼层配置'!$G$5:$G$104,MATCH($K236,'楼层配置'!$B$5:$B$104,0)),1)</x:f>
        <x:v>1</x:v>
      </x:c>
      <x:c r="AD236" s="6" t="n">
        <x:f t="shared" si="24">IFERROR($D236/$G236-1,"")</x:f>
        <x:v>-0.07901006097350449</x:v>
      </x:c>
      <x:c r="AE236" s="6" t="n">
        <x:f t="shared" si="25">IFERROR($E236/$H236-1,"")</x:f>
        <x:v>-0.05006214611241544</x:v>
      </x:c>
      <x:c r="AF236" s="6" t="n">
        <x:f t="shared" si="26">IFERROR($F236/$I236-1,"")</x:f>
        <x:v>0.3522377018863272</x:v>
      </x:c>
      <x:c r="AG236" s="4" t="str">
        <x:f t="shared" si="27">IF(AND($A236&gt;=1,$L236&gt;=1,$L236&lt;=500,OR($N236="Tank",$N236="DPS",$N236="Support"),ISNUMBER($D236),ISNUMBER($E236),ISNUMBER($F236)),"有效","异常")</x:f>
        <x:v>有效</x:v>
      </x:c>
      <x:c r="AH236" t="n">
        <x:f>D236/(1-MIN(0.75,F236/(24000+F236)))</x:f>
        <x:v>1531678.5</x:v>
      </x:c>
    </x:row>
    <x:row r="237" ht="14.25" customHeight="1">
      <x:c r="A237" s="4">
        <x:v>233</x:v>
      </x:c>
      <x:c r="B237" s="4">
        <x:v>1012</x:v>
      </x:c>
      <x:c r="C237" s="4">
        <x:v>33</x:v>
      </x:c>
      <x:c r="D237" s="5" t="n">
        <x:f>IFERROR(ROUND($U237*$X237*$AA237*'参数'!$B$13,0),"")</x:f>
        <x:v>800250</x:v>
      </x:c>
      <x:c r="E237" s="5" t="n">
        <x:f>IFERROR(ROUND($V237*$Y237*$AB237*'参数'!$C$13,0),"")</x:f>
        <x:v>13757</x:v>
      </x:c>
      <x:c r="F237" s="5" t="n">
        <x:f>IFERROR(ROUND($W237*$Z237*$AC237*'参数'!$D$13,0),"")</x:f>
        <x:v>21936</x:v>
      </x:c>
      <x:c r="G237" s="4">
        <x:v>868902</x:v>
      </x:c>
      <x:c r="H237" s="4">
        <x:v>14482</x:v>
      </x:c>
      <x:c r="I237" s="4">
        <x:v>16222</x:v>
      </x:c>
      <x:c r="J237" s="4">
        <x:v>47</x:v>
      </x:c>
      <x:c r="K237" s="4">
        <x:v>47</x:v>
      </x:c>
      <x:c r="L237" s="4" t="n">
        <x:f>IFERROR(INDEX('楼层配置'!$D$5:$D$104,MATCH($K237,'楼层配置'!$B$5:$B$104,0)),"")</x:f>
        <x:v>185</x:v>
      </x:c>
      <x:c r="M237" s="4" t="str">
        <x:f>IFERROR(INDEX('_角色基线'!$B$2:$B$100,MATCH($B237,'_角色基线'!$A$2:$A$100,0)),"")</x:f>
        <x:v>艾德琳</x:v>
      </x:c>
      <x:c r="N237" s="4" t="str">
        <x:f>IFERROR(INDEX('_角色基线'!$C$2:$C$100,MATCH($B237,'_角色基线'!$A$2:$A$100,0)),"")</x:f>
        <x:v>Support</x:v>
      </x:c>
      <x:c r="O237" s="4" t="n">
        <x:f>IFERROR(INDEX('_怪物基线'!$B$2:$B$501,MATCH(INT($L237),'_怪物基线'!$A$2:$A$501,0)),"")</x:f>
        <x:v>138304</x:v>
      </x:c>
      <x:c r="P237" s="4" t="n">
        <x:f>IFERROR(INDEX('_怪物基线'!$C$2:$C$501,MATCH(INT($L237),'_怪物基线'!$A$2:$A$501,0)),"")</x:f>
        <x:v>17039</x:v>
      </x:c>
      <x:c r="Q237" s="4" t="n">
        <x:f>IFERROR(INDEX('_怪物基线'!$D$2:$D$501,MATCH(INT($L237),'_怪物基线'!$A$2:$A$501,0)),"")</x:f>
        <x:v>17549</x:v>
      </x:c>
      <x:c r="R237" s="4" t="n">
        <x:f>'参数'!$B$10</x:f>
        <x:v>4</x:v>
      </x:c>
      <x:c r="S237" s="4" t="n">
        <x:f>'参数'!$C$10</x:f>
        <x:v>1.2</x:v>
      </x:c>
      <x:c r="T237" s="4" t="n">
        <x:f>'参数'!$D$10</x:f>
        <x:v>1</x:v>
      </x:c>
      <x:c r="U237" s="4" t="n">
        <x:f t="shared" si="21">IF($O237="","",$O237*$R237)</x:f>
        <x:v>553216</x:v>
      </x:c>
      <x:c r="V237" s="4" t="n">
        <x:f t="shared" si="22">IF($P237="","",$P237*$S237)</x:f>
        <x:v>20446.8</x:v>
      </x:c>
      <x:c r="W237" s="4" t="n">
        <x:f t="shared" si="23">IF($Q237="","",$Q237*$T237)</x:f>
        <x:v>17549</x:v>
      </x:c>
      <x:c r="X237" s="4" t="n">
        <x:f>IFERROR(INDEX('参数'!$B$5:$B$7,MATCH($N237,'参数'!$A$5:$A$7,0)),"")</x:f>
        <x:v>1.25</x:v>
      </x:c>
      <x:c r="Y237" s="4" t="n">
        <x:f>IFERROR(INDEX('参数'!$C$5:$C$7,MATCH($N237,'参数'!$A$5:$A$7,0)),"")</x:f>
        <x:v>1</x:v>
      </x:c>
      <x:c r="Z237" s="4" t="n">
        <x:f>IFERROR(INDEX('参数'!$D$5:$D$7,MATCH($N237,'参数'!$A$5:$A$7,0)),"")</x:f>
        <x:v>1.25</x:v>
      </x:c>
      <x:c r="AA237" s="4" t="n">
        <x:f>IFERROR(INDEX('楼层配置'!$E$5:$E$104,MATCH($K237,'楼层配置'!$B$5:$B$104,0)),1)</x:f>
        <x:v>1.1572330311023793</x:v>
      </x:c>
      <x:c r="AB237" s="4" t="n">
        <x:f>IFERROR(INDEX('楼层配置'!$F$5:$F$104,MATCH($K237,'楼层配置'!$B$5:$B$104,0)),1)</x:f>
        <x:v>0.6728114779452344</x:v>
      </x:c>
      <x:c r="AC237" s="4" t="n">
        <x:f>IFERROR(INDEX('楼层配置'!$G$5:$G$104,MATCH($K237,'楼层配置'!$B$5:$B$104,0)),1)</x:f>
        <x:v>1</x:v>
      </x:c>
      <x:c r="AD237" s="6" t="n">
        <x:f t="shared" si="24">IFERROR($D237/$G237-1,"")</x:f>
        <x:v>-0.07901006097350449</x:v>
      </x:c>
      <x:c r="AE237" s="6" t="n">
        <x:f t="shared" si="25">IFERROR($E237/$H237-1,"")</x:f>
        <x:v>-0.05006214611241544</x:v>
      </x:c>
      <x:c r="AF237" s="6" t="n">
        <x:f t="shared" si="26">IFERROR($F237/$I237-1,"")</x:f>
        <x:v>0.3522377018863272</x:v>
      </x:c>
      <x:c r="AG237" s="4" t="str">
        <x:f t="shared" si="27">IF(AND($A237&gt;=1,$L237&gt;=1,$L237&lt;=500,OR($N237="Tank",$N237="DPS",$N237="Support"),ISNUMBER($D237),ISNUMBER($E237),ISNUMBER($F237)),"有效","异常")</x:f>
        <x:v>有效</x:v>
      </x:c>
      <x:c r="AH237" t="n">
        <x:f>D237/(1-MIN(0.75,F237/(24000+F237)))</x:f>
        <x:v>1531678.5</x:v>
      </x:c>
    </x:row>
    <x:row r="238" ht="14.25" customHeight="1">
      <x:c r="A238" s="4">
        <x:v>234</x:v>
      </x:c>
      <x:c r="B238" s="4">
        <x:v>1026</x:v>
      </x:c>
      <x:c r="C238" s="4">
        <x:v>33</x:v>
      </x:c>
      <x:c r="D238" s="5" t="n">
        <x:f>IFERROR(ROUND($U238*$X238*$AA238*'参数'!$B$13,0),"")</x:f>
        <x:v>640200</x:v>
      </x:c>
      <x:c r="E238" s="5" t="n">
        <x:f>IFERROR(ROUND($V238*$Y238*$AB238*'参数'!$C$13,0),"")</x:f>
        <x:v>16508</x:v>
      </x:c>
      <x:c r="F238" s="5" t="n">
        <x:f>IFERROR(ROUND($W238*$Z238*$AC238*'参数'!$D$13,0),"")</x:f>
        <x:v>17549</x:v>
      </x:c>
      <x:c r="G238" s="4">
        <x:v>695121</x:v>
      </x:c>
      <x:c r="H238" s="4">
        <x:v>17378</x:v>
      </x:c>
      <x:c r="I238" s="4">
        <x:v>12977</x:v>
      </x:c>
      <x:c r="J238" s="4">
        <x:v>47</x:v>
      </x:c>
      <x:c r="K238" s="4">
        <x:v>47</x:v>
      </x:c>
      <x:c r="L238" s="4" t="n">
        <x:f>IFERROR(INDEX('楼层配置'!$D$5:$D$104,MATCH($K238,'楼层配置'!$B$5:$B$104,0)),"")</x:f>
        <x:v>185</x:v>
      </x:c>
      <x:c r="M238" s="4" t="str">
        <x:f>IFERROR(INDEX('_角色基线'!$B$2:$B$100,MATCH($B238,'_角色基线'!$A$2:$A$100,0)),"")</x:f>
        <x:v>乔一</x:v>
      </x:c>
      <x:c r="N238" s="4" t="str">
        <x:f>IFERROR(INDEX('_角色基线'!$C$2:$C$100,MATCH($B238,'_角色基线'!$A$2:$A$100,0)),"")</x:f>
        <x:v>DPS</x:v>
      </x:c>
      <x:c r="O238" s="4" t="n">
        <x:f>IFERROR(INDEX('_怪物基线'!$B$2:$B$501,MATCH(INT($L238),'_怪物基线'!$A$2:$A$501,0)),"")</x:f>
        <x:v>138304</x:v>
      </x:c>
      <x:c r="P238" s="4" t="n">
        <x:f>IFERROR(INDEX('_怪物基线'!$C$2:$C$501,MATCH(INT($L238),'_怪物基线'!$A$2:$A$501,0)),"")</x:f>
        <x:v>17039</x:v>
      </x:c>
      <x:c r="Q238" s="4" t="n">
        <x:f>IFERROR(INDEX('_怪物基线'!$D$2:$D$501,MATCH(INT($L238),'_怪物基线'!$A$2:$A$501,0)),"")</x:f>
        <x:v>17549</x:v>
      </x:c>
      <x:c r="R238" s="4" t="n">
        <x:f>'参数'!$B$10</x:f>
        <x:v>4</x:v>
      </x:c>
      <x:c r="S238" s="4" t="n">
        <x:f>'参数'!$C$10</x:f>
        <x:v>1.2</x:v>
      </x:c>
      <x:c r="T238" s="4" t="n">
        <x:f>'参数'!$D$10</x:f>
        <x:v>1</x:v>
      </x:c>
      <x:c r="U238" s="4" t="n">
        <x:f t="shared" si="21">IF($O238="","",$O238*$R238)</x:f>
        <x:v>553216</x:v>
      </x:c>
      <x:c r="V238" s="4" t="n">
        <x:f t="shared" si="22">IF($P238="","",$P238*$S238)</x:f>
        <x:v>20446.8</x:v>
      </x:c>
      <x:c r="W238" s="4" t="n">
        <x:f t="shared" si="23">IF($Q238="","",$Q238*$T238)</x:f>
        <x:v>17549</x:v>
      </x:c>
      <x:c r="X238" s="4" t="n">
        <x:f>IFERROR(INDEX('参数'!$B$5:$B$7,MATCH($N238,'参数'!$A$5:$A$7,0)),"")</x:f>
        <x:v>1</x:v>
      </x:c>
      <x:c r="Y238" s="4" t="n">
        <x:f>IFERROR(INDEX('参数'!$C$5:$C$7,MATCH($N238,'参数'!$A$5:$A$7,0)),"")</x:f>
        <x:v>1.2</x:v>
      </x:c>
      <x:c r="Z238" s="4" t="n">
        <x:f>IFERROR(INDEX('参数'!$D$5:$D$7,MATCH($N238,'参数'!$A$5:$A$7,0)),"")</x:f>
        <x:v>1</x:v>
      </x:c>
      <x:c r="AA238" s="4" t="n">
        <x:f>IFERROR(INDEX('楼层配置'!$E$5:$E$104,MATCH($K238,'楼层配置'!$B$5:$B$104,0)),1)</x:f>
        <x:v>1.1572330311023793</x:v>
      </x:c>
      <x:c r="AB238" s="4" t="n">
        <x:f>IFERROR(INDEX('楼层配置'!$F$5:$F$104,MATCH($K238,'楼层配置'!$B$5:$B$104,0)),1)</x:f>
        <x:v>0.6728114779452344</x:v>
      </x:c>
      <x:c r="AC238" s="4" t="n">
        <x:f>IFERROR(INDEX('楼层配置'!$G$5:$G$104,MATCH($K238,'楼层配置'!$B$5:$B$104,0)),1)</x:f>
        <x:v>1</x:v>
      </x:c>
      <x:c r="AD238" s="6" t="n">
        <x:f t="shared" si="24">IFERROR($D238/$G238-1,"")</x:f>
        <x:v>-0.07900926601267977</x:v>
      </x:c>
      <x:c r="AE238" s="6" t="n">
        <x:f t="shared" si="25">IFERROR($E238/$H238-1,"")</x:f>
        <x:v>-0.05006329842329382</x:v>
      </x:c>
      <x:c r="AF238" s="6" t="n">
        <x:f t="shared" si="26">IFERROR($F238/$I238-1,"")</x:f>
        <x:v>0.35231563535485866</x:v>
      </x:c>
      <x:c r="AG238" s="4" t="str">
        <x:f t="shared" si="27">IF(AND($A238&gt;=1,$L238&gt;=1,$L238&lt;=500,OR($N238="Tank",$N238="DPS",$N238="Support"),ISNUMBER($D238),ISNUMBER($E238),ISNUMBER($F238)),"有效","异常")</x:f>
        <x:v>有效</x:v>
      </x:c>
      <x:c r="AH238" t="n">
        <x:f>D238/(1-MIN(0.75,F238/(24000+F238)))</x:f>
        <x:v>1108319.575</x:v>
      </x:c>
    </x:row>
    <x:row r="239" ht="14.25" customHeight="1">
      <x:c r="A239" s="4">
        <x:v>235</x:v>
      </x:c>
      <x:c r="B239" s="4">
        <x:v>1021</x:v>
      </x:c>
      <x:c r="C239" s="4">
        <x:v>33</x:v>
      </x:c>
      <x:c r="D239" s="5" t="n">
        <x:f>IFERROR(ROUND($U239*$X239*$AA239*'参数'!$B$13,0),"")</x:f>
        <x:v>640200</x:v>
      </x:c>
      <x:c r="E239" s="5" t="n">
        <x:f>IFERROR(ROUND($V239*$Y239*$AB239*'参数'!$C$13,0),"")</x:f>
        <x:v>16508</x:v>
      </x:c>
      <x:c r="F239" s="5" t="n">
        <x:f>IFERROR(ROUND($W239*$Z239*$AC239*'参数'!$D$13,0),"")</x:f>
        <x:v>17549</x:v>
      </x:c>
      <x:c r="G239" s="4">
        <x:v>695121</x:v>
      </x:c>
      <x:c r="H239" s="4">
        <x:v>17378</x:v>
      </x:c>
      <x:c r="I239" s="4">
        <x:v>12977</x:v>
      </x:c>
      <x:c r="J239" s="4">
        <x:v>47</x:v>
      </x:c>
      <x:c r="K239" s="4">
        <x:v>47</x:v>
      </x:c>
      <x:c r="L239" s="4" t="n">
        <x:f>IFERROR(INDEX('楼层配置'!$D$5:$D$104,MATCH($K239,'楼层配置'!$B$5:$B$104,0)),"")</x:f>
        <x:v>185</x:v>
      </x:c>
      <x:c r="M239" s="4" t="str">
        <x:f>IFERROR(INDEX('_角色基线'!$B$2:$B$100,MATCH($B239,'_角色基线'!$A$2:$A$100,0)),"")</x:f>
        <x:v>梅梅</x:v>
      </x:c>
      <x:c r="N239" s="4" t="str">
        <x:f>IFERROR(INDEX('_角色基线'!$C$2:$C$100,MATCH($B239,'_角色基线'!$A$2:$A$100,0)),"")</x:f>
        <x:v>DPS</x:v>
      </x:c>
      <x:c r="O239" s="4" t="n">
        <x:f>IFERROR(INDEX('_怪物基线'!$B$2:$B$501,MATCH(INT($L239),'_怪物基线'!$A$2:$A$501,0)),"")</x:f>
        <x:v>138304</x:v>
      </x:c>
      <x:c r="P239" s="4" t="n">
        <x:f>IFERROR(INDEX('_怪物基线'!$C$2:$C$501,MATCH(INT($L239),'_怪物基线'!$A$2:$A$501,0)),"")</x:f>
        <x:v>17039</x:v>
      </x:c>
      <x:c r="Q239" s="4" t="n">
        <x:f>IFERROR(INDEX('_怪物基线'!$D$2:$D$501,MATCH(INT($L239),'_怪物基线'!$A$2:$A$501,0)),"")</x:f>
        <x:v>17549</x:v>
      </x:c>
      <x:c r="R239" s="4" t="n">
        <x:f>'参数'!$B$10</x:f>
        <x:v>4</x:v>
      </x:c>
      <x:c r="S239" s="4" t="n">
        <x:f>'参数'!$C$10</x:f>
        <x:v>1.2</x:v>
      </x:c>
      <x:c r="T239" s="4" t="n">
        <x:f>'参数'!$D$10</x:f>
        <x:v>1</x:v>
      </x:c>
      <x:c r="U239" s="4" t="n">
        <x:f t="shared" si="21">IF($O239="","",$O239*$R239)</x:f>
        <x:v>553216</x:v>
      </x:c>
      <x:c r="V239" s="4" t="n">
        <x:f t="shared" si="22">IF($P239="","",$P239*$S239)</x:f>
        <x:v>20446.8</x:v>
      </x:c>
      <x:c r="W239" s="4" t="n">
        <x:f t="shared" si="23">IF($Q239="","",$Q239*$T239)</x:f>
        <x:v>17549</x:v>
      </x:c>
      <x:c r="X239" s="4" t="n">
        <x:f>IFERROR(INDEX('参数'!$B$5:$B$7,MATCH($N239,'参数'!$A$5:$A$7,0)),"")</x:f>
        <x:v>1</x:v>
      </x:c>
      <x:c r="Y239" s="4" t="n">
        <x:f>IFERROR(INDEX('参数'!$C$5:$C$7,MATCH($N239,'参数'!$A$5:$A$7,0)),"")</x:f>
        <x:v>1.2</x:v>
      </x:c>
      <x:c r="Z239" s="4" t="n">
        <x:f>IFERROR(INDEX('参数'!$D$5:$D$7,MATCH($N239,'参数'!$A$5:$A$7,0)),"")</x:f>
        <x:v>1</x:v>
      </x:c>
      <x:c r="AA239" s="4" t="n">
        <x:f>IFERROR(INDEX('楼层配置'!$E$5:$E$104,MATCH($K239,'楼层配置'!$B$5:$B$104,0)),1)</x:f>
        <x:v>1.1572330311023793</x:v>
      </x:c>
      <x:c r="AB239" s="4" t="n">
        <x:f>IFERROR(INDEX('楼层配置'!$F$5:$F$104,MATCH($K239,'楼层配置'!$B$5:$B$104,0)),1)</x:f>
        <x:v>0.6728114779452344</x:v>
      </x:c>
      <x:c r="AC239" s="4" t="n">
        <x:f>IFERROR(INDEX('楼层配置'!$G$5:$G$104,MATCH($K239,'楼层配置'!$B$5:$B$104,0)),1)</x:f>
        <x:v>1</x:v>
      </x:c>
      <x:c r="AD239" s="6" t="n">
        <x:f t="shared" si="24">IFERROR($D239/$G239-1,"")</x:f>
        <x:v>-0.07900926601267977</x:v>
      </x:c>
      <x:c r="AE239" s="6" t="n">
        <x:f t="shared" si="25">IFERROR($E239/$H239-1,"")</x:f>
        <x:v>-0.05006329842329382</x:v>
      </x:c>
      <x:c r="AF239" s="6" t="n">
        <x:f t="shared" si="26">IFERROR($F239/$I239-1,"")</x:f>
        <x:v>0.35231563535485866</x:v>
      </x:c>
      <x:c r="AG239" s="4" t="str">
        <x:f t="shared" si="27">IF(AND($A239&gt;=1,$L239&gt;=1,$L239&lt;=500,OR($N239="Tank",$N239="DPS",$N239="Support"),ISNUMBER($D239),ISNUMBER($E239),ISNUMBER($F239)),"有效","异常")</x:f>
        <x:v>有效</x:v>
      </x:c>
      <x:c r="AH239" t="n">
        <x:f>D239/(1-MIN(0.75,F239/(24000+F239)))</x:f>
        <x:v>1108319.575</x:v>
      </x:c>
    </x:row>
    <x:row r="240" ht="14.25" customHeight="1">
      <x:c r="A240" s="4">
        <x:v>236</x:v>
      </x:c>
      <x:c r="B240" s="4">
        <x:v>1002</x:v>
      </x:c>
      <x:c r="C240" s="4">
        <x:v>34</x:v>
      </x:c>
      <x:c r="D240" s="5" t="n">
        <x:f>IFERROR(ROUND($U240*$X240*$AA240*'参数'!$B$13,0),"")</x:f>
        <x:v>1009493</x:v>
      </x:c>
      <x:c r="E240" s="5" t="n">
        <x:f>IFERROR(ROUND($V240*$Y240*$AB240*'参数'!$C$13,0),"")</x:f>
        <x:v>14265</x:v>
      </x:c>
      <x:c r="F240" s="5" t="n">
        <x:f>IFERROR(ROUND($W240*$Z240*$AC240*'参数'!$D$13,0),"")</x:f>
        <x:v>27023</x:v>
      </x:c>
      <x:c r="G240" s="4">
        <x:v>1092542</x:v>
      </x:c>
      <x:c r="H240" s="4">
        <x:v>14939</x:v>
      </x:c>
      <x:c r="I240" s="4">
        <x:v>19960</x:v>
      </x:c>
      <x:c r="J240" s="4">
        <x:v>48</x:v>
      </x:c>
      <x:c r="K240" s="4">
        <x:v>48</x:v>
      </x:c>
      <x:c r="L240" s="4" t="n">
        <x:f>IFERROR(INDEX('楼层配置'!$D$5:$D$104,MATCH($K240,'楼层配置'!$B$5:$B$104,0)),"")</x:f>
        <x:v>189</x:v>
      </x:c>
      <x:c r="M240" s="4" t="str">
        <x:f>IFERROR(INDEX('_角色基线'!$B$2:$B$100,MATCH($B240,'_角色基线'!$A$2:$A$100,0)),"")</x:f>
        <x:v>大暑</x:v>
      </x:c>
      <x:c r="N240" s="4" t="str">
        <x:f>IFERROR(INDEX('_角色基线'!$C$2:$C$100,MATCH($B240,'_角色基线'!$A$2:$A$100,0)),"")</x:f>
        <x:v>Tank</x:v>
      </x:c>
      <x:c r="O240" s="4" t="n">
        <x:f>IFERROR(INDEX('_怪物基线'!$B$2:$B$501,MATCH(INT($L240),'_怪物基线'!$A$2:$A$501,0)),"")</x:f>
        <x:v>145508</x:v>
      </x:c>
      <x:c r="P240" s="4" t="n">
        <x:f>IFERROR(INDEX('_怪物基线'!$C$2:$C$501,MATCH(INT($L240),'_怪物基线'!$A$2:$A$501,0)),"")</x:f>
        <x:v>17677</x:v>
      </x:c>
      <x:c r="Q240" s="4" t="n">
        <x:f>IFERROR(INDEX('_怪物基线'!$D$2:$D$501,MATCH(INT($L240),'_怪物基线'!$A$2:$A$501,0)),"")</x:f>
        <x:v>18015</x:v>
      </x:c>
      <x:c r="R240" s="4" t="n">
        <x:f>'参数'!$B$10</x:f>
        <x:v>4</x:v>
      </x:c>
      <x:c r="S240" s="4" t="n">
        <x:f>'参数'!$C$10</x:f>
        <x:v>1.2</x:v>
      </x:c>
      <x:c r="T240" s="4" t="n">
        <x:f>'参数'!$D$10</x:f>
        <x:v>1</x:v>
      </x:c>
      <x:c r="U240" s="4" t="n">
        <x:f t="shared" si="21">IF($O240="","",$O240*$R240)</x:f>
        <x:v>582032</x:v>
      </x:c>
      <x:c r="V240" s="4" t="n">
        <x:f t="shared" si="22">IF($P240="","",$P240*$S240)</x:f>
        <x:v>21212.399999999998</x:v>
      </x:c>
      <x:c r="W240" s="4" t="n">
        <x:f t="shared" si="23">IF($Q240="","",$Q240*$T240)</x:f>
        <x:v>18015</x:v>
      </x:c>
      <x:c r="X240" s="4" t="n">
        <x:f>IFERROR(INDEX('参数'!$B$5:$B$7,MATCH($N240,'参数'!$A$5:$A$7,0)),"")</x:f>
        <x:v>1.5</x:v>
      </x:c>
      <x:c r="Y240" s="4" t="n">
        <x:f>IFERROR(INDEX('参数'!$C$5:$C$7,MATCH($N240,'参数'!$A$5:$A$7,0)),"")</x:f>
        <x:v>1</x:v>
      </x:c>
      <x:c r="Z240" s="4" t="n">
        <x:f>IFERROR(INDEX('参数'!$D$5:$D$7,MATCH($N240,'参数'!$A$5:$A$7,0)),"")</x:f>
        <x:v>1.5</x:v>
      </x:c>
      <x:c r="AA240" s="4" t="n">
        <x:f>IFERROR(INDEX('楼层配置'!$E$5:$E$104,MATCH($K240,'楼层配置'!$B$5:$B$104,0)),1)</x:f>
        <x:v>1.156285997301977</x:v>
      </x:c>
      <x:c r="AB240" s="4" t="n">
        <x:f>IFERROR(INDEX('楼层配置'!$F$5:$F$104,MATCH($K240,'楼层配置'!$B$5:$B$104,0)),1)</x:f>
        <x:v>0.6724870822213138</x:v>
      </x:c>
      <x:c r="AC240" s="4" t="n">
        <x:f>IFERROR(INDEX('楼层配置'!$G$5:$G$104,MATCH($K240,'楼层配置'!$B$5:$B$104,0)),1)</x:f>
        <x:v>1</x:v>
      </x:c>
      <x:c r="AD240" s="6" t="n">
        <x:f t="shared" si="24">IFERROR($D240/$G240-1,"")</x:f>
        <x:v>-0.07601446900897169</x:v>
      </x:c>
      <x:c r="AE240" s="6" t="n">
        <x:f t="shared" si="25">IFERROR($E240/$H240-1,"")</x:f>
        <x:v>-0.045116808353972804</x:v>
      </x:c>
      <x:c r="AF240" s="6" t="n">
        <x:f t="shared" si="26">IFERROR($F240/$I240-1,"")</x:f>
        <x:v>0.35385771543086175</x:v>
      </x:c>
      <x:c r="AG240" s="4" t="str">
        <x:f t="shared" si="27">IF(AND($A240&gt;=1,$L240&gt;=1,$L240&lt;=500,OR($N240="Tank",$N240="DPS",$N240="Support"),ISNUMBER($D240),ISNUMBER($E240),ISNUMBER($F240)),"有效","异常")</x:f>
        <x:v>有效</x:v>
      </x:c>
      <x:c r="AH240" t="n">
        <x:f>D240/(1-MIN(0.75,F240/(24000+F240)))</x:f>
        <x:v>2146140.0557916667</x:v>
      </x:c>
    </x:row>
    <x:row r="241" ht="14.25" customHeight="1">
      <x:c r="A241" s="4">
        <x:v>237</x:v>
      </x:c>
      <x:c r="B241" s="4">
        <x:v>1015</x:v>
      </x:c>
      <x:c r="C241" s="4">
        <x:v>34</x:v>
      </x:c>
      <x:c r="D241" s="5" t="n">
        <x:f>IFERROR(ROUND($U241*$X241*$AA241*'参数'!$B$13,0),"")</x:f>
        <x:v>841244</x:v>
      </x:c>
      <x:c r="E241" s="5" t="n">
        <x:f>IFERROR(ROUND($V241*$Y241*$AB241*'参数'!$C$13,0),"")</x:f>
        <x:v>14265</x:v>
      </x:c>
      <x:c r="F241" s="5" t="n">
        <x:f>IFERROR(ROUND($W241*$Z241*$AC241*'参数'!$D$13,0),"")</x:f>
        <x:v>22519</x:v>
      </x:c>
      <x:c r="G241" s="4">
        <x:v>910452</x:v>
      </x:c>
      <x:c r="H241" s="4">
        <x:v>14939</x:v>
      </x:c>
      <x:c r="I241" s="4">
        <x:v>16634</x:v>
      </x:c>
      <x:c r="J241" s="4">
        <x:v>48</x:v>
      </x:c>
      <x:c r="K241" s="4">
        <x:v>48</x:v>
      </x:c>
      <x:c r="L241" s="4" t="n">
        <x:f>IFERROR(INDEX('楼层配置'!$D$5:$D$104,MATCH($K241,'楼层配置'!$B$5:$B$104,0)),"")</x:f>
        <x:v>189</x:v>
      </x:c>
      <x:c r="M241" s="4" t="str">
        <x:f>IFERROR(INDEX('_角色基线'!$B$2:$B$100,MATCH($B241,'_角色基线'!$A$2:$A$100,0)),"")</x:f>
        <x:v>阿莱克西娅</x:v>
      </x:c>
      <x:c r="N241" s="4" t="str">
        <x:f>IFERROR(INDEX('_角色基线'!$C$2:$C$100,MATCH($B241,'_角色基线'!$A$2:$A$100,0)),"")</x:f>
        <x:v>Support</x:v>
      </x:c>
      <x:c r="O241" s="4" t="n">
        <x:f>IFERROR(INDEX('_怪物基线'!$B$2:$B$501,MATCH(INT($L241),'_怪物基线'!$A$2:$A$501,0)),"")</x:f>
        <x:v>145508</x:v>
      </x:c>
      <x:c r="P241" s="4" t="n">
        <x:f>IFERROR(INDEX('_怪物基线'!$C$2:$C$501,MATCH(INT($L241),'_怪物基线'!$A$2:$A$501,0)),"")</x:f>
        <x:v>17677</x:v>
      </x:c>
      <x:c r="Q241" s="4" t="n">
        <x:f>IFERROR(INDEX('_怪物基线'!$D$2:$D$501,MATCH(INT($L241),'_怪物基线'!$A$2:$A$501,0)),"")</x:f>
        <x:v>18015</x:v>
      </x:c>
      <x:c r="R241" s="4" t="n">
        <x:f>'参数'!$B$10</x:f>
        <x:v>4</x:v>
      </x:c>
      <x:c r="S241" s="4" t="n">
        <x:f>'参数'!$C$10</x:f>
        <x:v>1.2</x:v>
      </x:c>
      <x:c r="T241" s="4" t="n">
        <x:f>'参数'!$D$10</x:f>
        <x:v>1</x:v>
      </x:c>
      <x:c r="U241" s="4" t="n">
        <x:f t="shared" si="21">IF($O241="","",$O241*$R241)</x:f>
        <x:v>582032</x:v>
      </x:c>
      <x:c r="V241" s="4" t="n">
        <x:f t="shared" si="22">IF($P241="","",$P241*$S241)</x:f>
        <x:v>21212.399999999998</x:v>
      </x:c>
      <x:c r="W241" s="4" t="n">
        <x:f t="shared" si="23">IF($Q241="","",$Q241*$T241)</x:f>
        <x:v>18015</x:v>
      </x:c>
      <x:c r="X241" s="4" t="n">
        <x:f>IFERROR(INDEX('参数'!$B$5:$B$7,MATCH($N241,'参数'!$A$5:$A$7,0)),"")</x:f>
        <x:v>1.25</x:v>
      </x:c>
      <x:c r="Y241" s="4" t="n">
        <x:f>IFERROR(INDEX('参数'!$C$5:$C$7,MATCH($N241,'参数'!$A$5:$A$7,0)),"")</x:f>
        <x:v>1</x:v>
      </x:c>
      <x:c r="Z241" s="4" t="n">
        <x:f>IFERROR(INDEX('参数'!$D$5:$D$7,MATCH($N241,'参数'!$A$5:$A$7,0)),"")</x:f>
        <x:v>1.25</x:v>
      </x:c>
      <x:c r="AA241" s="4" t="n">
        <x:f>IFERROR(INDEX('楼层配置'!$E$5:$E$104,MATCH($K241,'楼层配置'!$B$5:$B$104,0)),1)</x:f>
        <x:v>1.156285997301977</x:v>
      </x:c>
      <x:c r="AB241" s="4" t="n">
        <x:f>IFERROR(INDEX('楼层配置'!$F$5:$F$104,MATCH($K241,'楼层配置'!$B$5:$B$104,0)),1)</x:f>
        <x:v>0.6724870822213138</x:v>
      </x:c>
      <x:c r="AC241" s="4" t="n">
        <x:f>IFERROR(INDEX('楼层配置'!$G$5:$G$104,MATCH($K241,'楼层配置'!$B$5:$B$104,0)),1)</x:f>
        <x:v>1</x:v>
      </x:c>
      <x:c r="AD241" s="6" t="n">
        <x:f t="shared" si="24">IFERROR($D241/$G241-1,"")</x:f>
        <x:v>-0.07601499035643833</x:v>
      </x:c>
      <x:c r="AE241" s="6" t="n">
        <x:f t="shared" si="25">IFERROR($E241/$H241-1,"")</x:f>
        <x:v>-0.045116808353972804</x:v>
      </x:c>
      <x:c r="AF241" s="6" t="n">
        <x:f t="shared" si="26">IFERROR($F241/$I241-1,"")</x:f>
        <x:v>0.35379343513286043</x:v>
      </x:c>
      <x:c r="AG241" s="4" t="str">
        <x:f t="shared" si="27">IF(AND($A241&gt;=1,$L241&gt;=1,$L241&lt;=500,OR($N241="Tank",$N241="DPS",$N241="Support"),ISNUMBER($D241),ISNUMBER($E241),ISNUMBER($F241)),"有效","异常")</x:f>
        <x:v>有效</x:v>
      </x:c>
      <x:c r="AH241" t="n">
        <x:f>D241/(1-MIN(0.75,F241/(24000+F241)))</x:f>
        <x:v>1630576.2348333332</x:v>
      </x:c>
    </x:row>
    <x:row r="242" ht="14.25" customHeight="1">
      <x:c r="A242" s="4">
        <x:v>238</x:v>
      </x:c>
      <x:c r="B242" s="4">
        <x:v>1020</x:v>
      </x:c>
      <x:c r="C242" s="4">
        <x:v>34</x:v>
      </x:c>
      <x:c r="D242" s="5" t="n">
        <x:f>IFERROR(ROUND($U242*$X242*$AA242*'参数'!$B$13,0),"")</x:f>
        <x:v>841244</x:v>
      </x:c>
      <x:c r="E242" s="5" t="n">
        <x:f>IFERROR(ROUND($V242*$Y242*$AB242*'参数'!$C$13,0),"")</x:f>
        <x:v>14265</x:v>
      </x:c>
      <x:c r="F242" s="5" t="n">
        <x:f>IFERROR(ROUND($W242*$Z242*$AC242*'参数'!$D$13,0),"")</x:f>
        <x:v>22519</x:v>
      </x:c>
      <x:c r="G242" s="4">
        <x:v>910452</x:v>
      </x:c>
      <x:c r="H242" s="4">
        <x:v>14939</x:v>
      </x:c>
      <x:c r="I242" s="4">
        <x:v>16634</x:v>
      </x:c>
      <x:c r="J242" s="4">
        <x:v>48</x:v>
      </x:c>
      <x:c r="K242" s="4">
        <x:v>48</x:v>
      </x:c>
      <x:c r="L242" s="4" t="n">
        <x:f>IFERROR(INDEX('楼层配置'!$D$5:$D$104,MATCH($K242,'楼层配置'!$B$5:$B$104,0)),"")</x:f>
        <x:v>189</x:v>
      </x:c>
      <x:c r="M242" s="4" t="str">
        <x:f>IFERROR(INDEX('_角色基线'!$B$2:$B$100,MATCH($B242,'_角色基线'!$A$2:$A$100,0)),"")</x:f>
        <x:v>卡斯帕</x:v>
      </x:c>
      <x:c r="N242" s="4" t="str">
        <x:f>IFERROR(INDEX('_角色基线'!$C$2:$C$100,MATCH($B242,'_角色基线'!$A$2:$A$100,0)),"")</x:f>
        <x:v>Support</x:v>
      </x:c>
      <x:c r="O242" s="4" t="n">
        <x:f>IFERROR(INDEX('_怪物基线'!$B$2:$B$501,MATCH(INT($L242),'_怪物基线'!$A$2:$A$501,0)),"")</x:f>
        <x:v>145508</x:v>
      </x:c>
      <x:c r="P242" s="4" t="n">
        <x:f>IFERROR(INDEX('_怪物基线'!$C$2:$C$501,MATCH(INT($L242),'_怪物基线'!$A$2:$A$501,0)),"")</x:f>
        <x:v>17677</x:v>
      </x:c>
      <x:c r="Q242" s="4" t="n">
        <x:f>IFERROR(INDEX('_怪物基线'!$D$2:$D$501,MATCH(INT($L242),'_怪物基线'!$A$2:$A$501,0)),"")</x:f>
        <x:v>18015</x:v>
      </x:c>
      <x:c r="R242" s="4" t="n">
        <x:f>'参数'!$B$10</x:f>
        <x:v>4</x:v>
      </x:c>
      <x:c r="S242" s="4" t="n">
        <x:f>'参数'!$C$10</x:f>
        <x:v>1.2</x:v>
      </x:c>
      <x:c r="T242" s="4" t="n">
        <x:f>'参数'!$D$10</x:f>
        <x:v>1</x:v>
      </x:c>
      <x:c r="U242" s="4" t="n">
        <x:f t="shared" si="21">IF($O242="","",$O242*$R242)</x:f>
        <x:v>582032</x:v>
      </x:c>
      <x:c r="V242" s="4" t="n">
        <x:f t="shared" si="22">IF($P242="","",$P242*$S242)</x:f>
        <x:v>21212.399999999998</x:v>
      </x:c>
      <x:c r="W242" s="4" t="n">
        <x:f t="shared" si="23">IF($Q242="","",$Q242*$T242)</x:f>
        <x:v>18015</x:v>
      </x:c>
      <x:c r="X242" s="4" t="n">
        <x:f>IFERROR(INDEX('参数'!$B$5:$B$7,MATCH($N242,'参数'!$A$5:$A$7,0)),"")</x:f>
        <x:v>1.25</x:v>
      </x:c>
      <x:c r="Y242" s="4" t="n">
        <x:f>IFERROR(INDEX('参数'!$C$5:$C$7,MATCH($N242,'参数'!$A$5:$A$7,0)),"")</x:f>
        <x:v>1</x:v>
      </x:c>
      <x:c r="Z242" s="4" t="n">
        <x:f>IFERROR(INDEX('参数'!$D$5:$D$7,MATCH($N242,'参数'!$A$5:$A$7,0)),"")</x:f>
        <x:v>1.25</x:v>
      </x:c>
      <x:c r="AA242" s="4" t="n">
        <x:f>IFERROR(INDEX('楼层配置'!$E$5:$E$104,MATCH($K242,'楼层配置'!$B$5:$B$104,0)),1)</x:f>
        <x:v>1.156285997301977</x:v>
      </x:c>
      <x:c r="AB242" s="4" t="n">
        <x:f>IFERROR(INDEX('楼层配置'!$F$5:$F$104,MATCH($K242,'楼层配置'!$B$5:$B$104,0)),1)</x:f>
        <x:v>0.6724870822213138</x:v>
      </x:c>
      <x:c r="AC242" s="4" t="n">
        <x:f>IFERROR(INDEX('楼层配置'!$G$5:$G$104,MATCH($K242,'楼层配置'!$B$5:$B$104,0)),1)</x:f>
        <x:v>1</x:v>
      </x:c>
      <x:c r="AD242" s="6" t="n">
        <x:f t="shared" si="24">IFERROR($D242/$G242-1,"")</x:f>
        <x:v>-0.07601499035643833</x:v>
      </x:c>
      <x:c r="AE242" s="6" t="n">
        <x:f t="shared" si="25">IFERROR($E242/$H242-1,"")</x:f>
        <x:v>-0.045116808353972804</x:v>
      </x:c>
      <x:c r="AF242" s="6" t="n">
        <x:f t="shared" si="26">IFERROR($F242/$I242-1,"")</x:f>
        <x:v>0.35379343513286043</x:v>
      </x:c>
      <x:c r="AG242" s="4" t="str">
        <x:f t="shared" si="27">IF(AND($A242&gt;=1,$L242&gt;=1,$L242&lt;=500,OR($N242="Tank",$N242="DPS",$N242="Support"),ISNUMBER($D242),ISNUMBER($E242),ISNUMBER($F242)),"有效","异常")</x:f>
        <x:v>有效</x:v>
      </x:c>
      <x:c r="AH242" t="n">
        <x:f>D242/(1-MIN(0.75,F242/(24000+F242)))</x:f>
        <x:v>1630576.2348333332</x:v>
      </x:c>
    </x:row>
    <x:row r="243" ht="14.25" customHeight="1">
      <x:c r="A243" s="4">
        <x:v>239</x:v>
      </x:c>
      <x:c r="B243" s="4">
        <x:v>1021</x:v>
      </x:c>
      <x:c r="C243" s="4">
        <x:v>34</x:v>
      </x:c>
      <x:c r="D243" s="5" t="n">
        <x:f>IFERROR(ROUND($U243*$X243*$AA243*'参数'!$B$13,0),"")</x:f>
        <x:v>672995</x:v>
      </x:c>
      <x:c r="E243" s="5" t="n">
        <x:f>IFERROR(ROUND($V243*$Y243*$AB243*'参数'!$C$13,0),"")</x:f>
        <x:v>17118</x:v>
      </x:c>
      <x:c r="F243" s="5" t="n">
        <x:f>IFERROR(ROUND($W243*$Z243*$AC243*'参数'!$D$13,0),"")</x:f>
        <x:v>18015</x:v>
      </x:c>
      <x:c r="G243" s="4">
        <x:v>728361</x:v>
      </x:c>
      <x:c r="H243" s="4">
        <x:v>17926</x:v>
      </x:c>
      <x:c r="I243" s="4">
        <x:v>13307</x:v>
      </x:c>
      <x:c r="J243" s="4">
        <x:v>48</x:v>
      </x:c>
      <x:c r="K243" s="4">
        <x:v>48</x:v>
      </x:c>
      <x:c r="L243" s="4" t="n">
        <x:f>IFERROR(INDEX('楼层配置'!$D$5:$D$104,MATCH($K243,'楼层配置'!$B$5:$B$104,0)),"")</x:f>
        <x:v>189</x:v>
      </x:c>
      <x:c r="M243" s="4" t="str">
        <x:f>IFERROR(INDEX('_角色基线'!$B$2:$B$100,MATCH($B243,'_角色基线'!$A$2:$A$100,0)),"")</x:f>
        <x:v>梅梅</x:v>
      </x:c>
      <x:c r="N243" s="4" t="str">
        <x:f>IFERROR(INDEX('_角色基线'!$C$2:$C$100,MATCH($B243,'_角色基线'!$A$2:$A$100,0)),"")</x:f>
        <x:v>DPS</x:v>
      </x:c>
      <x:c r="O243" s="4" t="n">
        <x:f>IFERROR(INDEX('_怪物基线'!$B$2:$B$501,MATCH(INT($L243),'_怪物基线'!$A$2:$A$501,0)),"")</x:f>
        <x:v>145508</x:v>
      </x:c>
      <x:c r="P243" s="4" t="n">
        <x:f>IFERROR(INDEX('_怪物基线'!$C$2:$C$501,MATCH(INT($L243),'_怪物基线'!$A$2:$A$501,0)),"")</x:f>
        <x:v>17677</x:v>
      </x:c>
      <x:c r="Q243" s="4" t="n">
        <x:f>IFERROR(INDEX('_怪物基线'!$D$2:$D$501,MATCH(INT($L243),'_怪物基线'!$A$2:$A$501,0)),"")</x:f>
        <x:v>18015</x:v>
      </x:c>
      <x:c r="R243" s="4" t="n">
        <x:f>'参数'!$B$10</x:f>
        <x:v>4</x:v>
      </x:c>
      <x:c r="S243" s="4" t="n">
        <x:f>'参数'!$C$10</x:f>
        <x:v>1.2</x:v>
      </x:c>
      <x:c r="T243" s="4" t="n">
        <x:f>'参数'!$D$10</x:f>
        <x:v>1</x:v>
      </x:c>
      <x:c r="U243" s="4" t="n">
        <x:f t="shared" si="21">IF($O243="","",$O243*$R243)</x:f>
        <x:v>582032</x:v>
      </x:c>
      <x:c r="V243" s="4" t="n">
        <x:f t="shared" si="22">IF($P243="","",$P243*$S243)</x:f>
        <x:v>21212.399999999998</x:v>
      </x:c>
      <x:c r="W243" s="4" t="n">
        <x:f t="shared" si="23">IF($Q243="","",$Q243*$T243)</x:f>
        <x:v>18015</x:v>
      </x:c>
      <x:c r="X243" s="4" t="n">
        <x:f>IFERROR(INDEX('参数'!$B$5:$B$7,MATCH($N243,'参数'!$A$5:$A$7,0)),"")</x:f>
        <x:v>1</x:v>
      </x:c>
      <x:c r="Y243" s="4" t="n">
        <x:f>IFERROR(INDEX('参数'!$C$5:$C$7,MATCH($N243,'参数'!$A$5:$A$7,0)),"")</x:f>
        <x:v>1.2</x:v>
      </x:c>
      <x:c r="Z243" s="4" t="n">
        <x:f>IFERROR(INDEX('参数'!$D$5:$D$7,MATCH($N243,'参数'!$A$5:$A$7,0)),"")</x:f>
        <x:v>1</x:v>
      </x:c>
      <x:c r="AA243" s="4" t="n">
        <x:f>IFERROR(INDEX('楼层配置'!$E$5:$E$104,MATCH($K243,'楼层配置'!$B$5:$B$104,0)),1)</x:f>
        <x:v>1.156285997301977</x:v>
      </x:c>
      <x:c r="AB243" s="4" t="n">
        <x:f>IFERROR(INDEX('楼层配置'!$F$5:$F$104,MATCH($K243,'楼层配置'!$B$5:$B$104,0)),1)</x:f>
        <x:v>0.6724870822213138</x:v>
      </x:c>
      <x:c r="AC243" s="4" t="n">
        <x:f>IFERROR(INDEX('楼层配置'!$G$5:$G$104,MATCH($K243,'楼层配置'!$B$5:$B$104,0)),1)</x:f>
        <x:v>1</x:v>
      </x:c>
      <x:c r="AD243" s="6" t="n">
        <x:f t="shared" si="24">IFERROR($D243/$G243-1,"")</x:f>
        <x:v>-0.0760145037968809</x:v>
      </x:c>
      <x:c r="AE243" s="6" t="n">
        <x:f t="shared" si="25">IFERROR($E243/$H243-1,"")</x:f>
        <x:v>-0.045074193908289595</x:v>
      </x:c>
      <x:c r="AF243" s="6" t="n">
        <x:f t="shared" si="26">IFERROR($F243/$I243-1,"")</x:f>
        <x:v>0.35379875253625914</x:v>
      </x:c>
      <x:c r="AG243" s="4" t="str">
        <x:f t="shared" si="27">IF(AND($A243&gt;=1,$L243&gt;=1,$L243&lt;=500,OR($N243="Tank",$N243="DPS",$N243="Support"),ISNUMBER($D243),ISNUMBER($E243),ISNUMBER($F243)),"有效","异常")</x:f>
        <x:v>有效</x:v>
      </x:c>
      <x:c r="AH243" t="n">
        <x:f>D243/(1-MIN(0.75,F243/(24000+F243)))</x:f>
        <x:v>1178161.871875</x:v>
      </x:c>
    </x:row>
    <x:row r="244" ht="14.25" customHeight="1">
      <x:c r="A244" s="4">
        <x:v>240</x:v>
      </x:c>
      <x:c r="B244" s="4">
        <x:v>1040</x:v>
      </x:c>
      <x:c r="C244" s="4">
        <x:v>34</x:v>
      </x:c>
      <x:c r="D244" s="5" t="n">
        <x:f>IFERROR(ROUND($U244*$X244*$AA244*'参数'!$B$13,0),"")</x:f>
        <x:v>841244</x:v>
      </x:c>
      <x:c r="E244" s="5" t="n">
        <x:f>IFERROR(ROUND($V244*$Y244*$AB244*'参数'!$C$13,0),"")</x:f>
        <x:v>14265</x:v>
      </x:c>
      <x:c r="F244" s="5" t="n">
        <x:f>IFERROR(ROUND($W244*$Z244*$AC244*'参数'!$D$13,0),"")</x:f>
        <x:v>22519</x:v>
      </x:c>
      <x:c r="G244" s="4">
        <x:v>910452</x:v>
      </x:c>
      <x:c r="H244" s="4">
        <x:v>14939</x:v>
      </x:c>
      <x:c r="I244" s="4">
        <x:v>16634</x:v>
      </x:c>
      <x:c r="J244" s="4">
        <x:v>48</x:v>
      </x:c>
      <x:c r="K244" s="4">
        <x:v>48</x:v>
      </x:c>
      <x:c r="L244" s="4" t="n">
        <x:f>IFERROR(INDEX('楼层配置'!$D$5:$D$104,MATCH($K244,'楼层配置'!$B$5:$B$104,0)),"")</x:f>
        <x:v>189</x:v>
      </x:c>
      <x:c r="M244" s="4" t="str">
        <x:f>IFERROR(INDEX('_角色基线'!$B$2:$B$100,MATCH($B244,'_角色基线'!$A$2:$A$100,0)),"")</x:f>
        <x:v>小寒</x:v>
      </x:c>
      <x:c r="N244" s="4" t="str">
        <x:f>IFERROR(INDEX('_角色基线'!$C$2:$C$100,MATCH($B244,'_角色基线'!$A$2:$A$100,0)),"")</x:f>
        <x:v>Support</x:v>
      </x:c>
      <x:c r="O244" s="4" t="n">
        <x:f>IFERROR(INDEX('_怪物基线'!$B$2:$B$501,MATCH(INT($L244),'_怪物基线'!$A$2:$A$501,0)),"")</x:f>
        <x:v>145508</x:v>
      </x:c>
      <x:c r="P244" s="4" t="n">
        <x:f>IFERROR(INDEX('_怪物基线'!$C$2:$C$501,MATCH(INT($L244),'_怪物基线'!$A$2:$A$501,0)),"")</x:f>
        <x:v>17677</x:v>
      </x:c>
      <x:c r="Q244" s="4" t="n">
        <x:f>IFERROR(INDEX('_怪物基线'!$D$2:$D$501,MATCH(INT($L244),'_怪物基线'!$A$2:$A$501,0)),"")</x:f>
        <x:v>18015</x:v>
      </x:c>
      <x:c r="R244" s="4" t="n">
        <x:f>'参数'!$B$10</x:f>
        <x:v>4</x:v>
      </x:c>
      <x:c r="S244" s="4" t="n">
        <x:f>'参数'!$C$10</x:f>
        <x:v>1.2</x:v>
      </x:c>
      <x:c r="T244" s="4" t="n">
        <x:f>'参数'!$D$10</x:f>
        <x:v>1</x:v>
      </x:c>
      <x:c r="U244" s="4" t="n">
        <x:f t="shared" si="21">IF($O244="","",$O244*$R244)</x:f>
        <x:v>582032</x:v>
      </x:c>
      <x:c r="V244" s="4" t="n">
        <x:f t="shared" si="22">IF($P244="","",$P244*$S244)</x:f>
        <x:v>21212.399999999998</x:v>
      </x:c>
      <x:c r="W244" s="4" t="n">
        <x:f t="shared" si="23">IF($Q244="","",$Q244*$T244)</x:f>
        <x:v>18015</x:v>
      </x:c>
      <x:c r="X244" s="4" t="n">
        <x:f>IFERROR(INDEX('参数'!$B$5:$B$7,MATCH($N244,'参数'!$A$5:$A$7,0)),"")</x:f>
        <x:v>1.25</x:v>
      </x:c>
      <x:c r="Y244" s="4" t="n">
        <x:f>IFERROR(INDEX('参数'!$C$5:$C$7,MATCH($N244,'参数'!$A$5:$A$7,0)),"")</x:f>
        <x:v>1</x:v>
      </x:c>
      <x:c r="Z244" s="4" t="n">
        <x:f>IFERROR(INDEX('参数'!$D$5:$D$7,MATCH($N244,'参数'!$A$5:$A$7,0)),"")</x:f>
        <x:v>1.25</x:v>
      </x:c>
      <x:c r="AA244" s="4" t="n">
        <x:f>IFERROR(INDEX('楼层配置'!$E$5:$E$104,MATCH($K244,'楼层配置'!$B$5:$B$104,0)),1)</x:f>
        <x:v>1.156285997301977</x:v>
      </x:c>
      <x:c r="AB244" s="4" t="n">
        <x:f>IFERROR(INDEX('楼层配置'!$F$5:$F$104,MATCH($K244,'楼层配置'!$B$5:$B$104,0)),1)</x:f>
        <x:v>0.6724870822213138</x:v>
      </x:c>
      <x:c r="AC244" s="4" t="n">
        <x:f>IFERROR(INDEX('楼层配置'!$G$5:$G$104,MATCH($K244,'楼层配置'!$B$5:$B$104,0)),1)</x:f>
        <x:v>1</x:v>
      </x:c>
      <x:c r="AD244" s="6" t="n">
        <x:f t="shared" si="24">IFERROR($D244/$G244-1,"")</x:f>
        <x:v>-0.07601499035643833</x:v>
      </x:c>
      <x:c r="AE244" s="6" t="n">
        <x:f t="shared" si="25">IFERROR($E244/$H244-1,"")</x:f>
        <x:v>-0.045116808353972804</x:v>
      </x:c>
      <x:c r="AF244" s="6" t="n">
        <x:f t="shared" si="26">IFERROR($F244/$I244-1,"")</x:f>
        <x:v>0.35379343513286043</x:v>
      </x:c>
      <x:c r="AG244" s="4" t="str">
        <x:f t="shared" si="27">IF(AND($A244&gt;=1,$L244&gt;=1,$L244&lt;=500,OR($N244="Tank",$N244="DPS",$N244="Support"),ISNUMBER($D244),ISNUMBER($E244),ISNUMBER($F244)),"有效","异常")</x:f>
        <x:v>有效</x:v>
      </x:c>
      <x:c r="AH244" t="n">
        <x:f>D244/(1-MIN(0.75,F244/(24000+F244)))</x:f>
        <x:v>1630576.2348333332</x:v>
      </x:c>
    </x:row>
    <x:row r="245" ht="14.25" customHeight="1">
      <x:c r="A245" s="4">
        <x:v>241</x:v>
      </x:c>
      <x:c r="B245" s="4">
        <x:v>1030</x:v>
      </x:c>
      <x:c r="C245" s="4">
        <x:v>34</x:v>
      </x:c>
      <x:c r="D245" s="5" t="n">
        <x:f>IFERROR(ROUND($U245*$X245*$AA245*'参数'!$B$13,0),"")</x:f>
        <x:v>1047790</x:v>
      </x:c>
      <x:c r="E245" s="5" t="n">
        <x:f>IFERROR(ROUND($V245*$Y245*$AB245*'参数'!$C$13,0),"")</x:f>
        <x:v>14643</x:v>
      </x:c>
      <x:c r="F245" s="5" t="n">
        <x:f>IFERROR(ROUND($W245*$Z245*$AC245*'参数'!$D$13,0),"")</x:f>
        <x:v>27549</x:v>
      </x:c>
      <x:c r="G245" s="4">
        <x:v>1144072</x:v>
      </x:c>
      <x:c r="H245" s="4">
        <x:v>15407</x:v>
      </x:c>
      <x:c r="I245" s="4">
        <x:v>20458</x:v>
      </x:c>
      <x:c r="J245" s="4">
        <x:v>49</x:v>
      </x:c>
      <x:c r="K245" s="4">
        <x:v>49</x:v>
      </x:c>
      <x:c r="L245" s="4" t="n">
        <x:f>IFERROR(INDEX('楼层配置'!$D$5:$D$104,MATCH($K245,'楼层配置'!$B$5:$B$104,0)),"")</x:f>
        <x:v>192</x:v>
      </x:c>
      <x:c r="M245" s="4" t="str">
        <x:f>IFERROR(INDEX('_角色基线'!$B$2:$B$100,MATCH($B245,'_角色基线'!$A$2:$A$100,0)),"")</x:f>
        <x:v>莫莉</x:v>
      </x:c>
      <x:c r="N245" s="4" t="str">
        <x:f>IFERROR(INDEX('_角色基线'!$C$2:$C$100,MATCH($B245,'_角色基线'!$A$2:$A$100,0)),"")</x:f>
        <x:v>Tank</x:v>
      </x:c>
      <x:c r="O245" s="4" t="n">
        <x:f>IFERROR(INDEX('_怪物基线'!$B$2:$B$501,MATCH(INT($L245),'_怪物基线'!$A$2:$A$501,0)),"")</x:f>
        <x:v>151088</x:v>
      </x:c>
      <x:c r="P245" s="4" t="n">
        <x:f>IFERROR(INDEX('_怪物基线'!$C$2:$C$501,MATCH(INT($L245),'_怪物基线'!$A$2:$A$501,0)),"")</x:f>
        <x:v>18164</x:v>
      </x:c>
      <x:c r="Q245" s="4" t="n">
        <x:f>IFERROR(INDEX('_怪物基线'!$D$2:$D$501,MATCH(INT($L245),'_怪物基线'!$A$2:$A$501,0)),"")</x:f>
        <x:v>18366</x:v>
      </x:c>
      <x:c r="R245" s="4" t="n">
        <x:f>'参数'!$B$10</x:f>
        <x:v>4</x:v>
      </x:c>
      <x:c r="S245" s="4" t="n">
        <x:f>'参数'!$C$10</x:f>
        <x:v>1.2</x:v>
      </x:c>
      <x:c r="T245" s="4" t="n">
        <x:f>'参数'!$D$10</x:f>
        <x:v>1</x:v>
      </x:c>
      <x:c r="U245" s="4" t="n">
        <x:f t="shared" si="21">IF($O245="","",$O245*$R245)</x:f>
        <x:v>604352</x:v>
      </x:c>
      <x:c r="V245" s="4" t="n">
        <x:f t="shared" si="22">IF($P245="","",$P245*$S245)</x:f>
        <x:v>21796.8</x:v>
      </x:c>
      <x:c r="W245" s="4" t="n">
        <x:f t="shared" si="23">IF($Q245="","",$Q245*$T245)</x:f>
        <x:v>18366</x:v>
      </x:c>
      <x:c r="X245" s="4" t="n">
        <x:f>IFERROR(INDEX('参数'!$B$5:$B$7,MATCH($N245,'参数'!$A$5:$A$7,0)),"")</x:f>
        <x:v>1.5</x:v>
      </x:c>
      <x:c r="Y245" s="4" t="n">
        <x:f>IFERROR(INDEX('参数'!$C$5:$C$7,MATCH($N245,'参数'!$A$5:$A$7,0)),"")</x:f>
        <x:v>1</x:v>
      </x:c>
      <x:c r="Z245" s="4" t="n">
        <x:f>IFERROR(INDEX('参数'!$D$5:$D$7,MATCH($N245,'参数'!$A$5:$A$7,0)),"")</x:f>
        <x:v>1.5</x:v>
      </x:c>
      <x:c r="AA245" s="4" t="n">
        <x:f>IFERROR(INDEX('楼层配置'!$E$5:$E$104,MATCH($K245,'楼层配置'!$B$5:$B$104,0)),1)</x:f>
        <x:v>1.1558279872175978</x:v>
      </x:c>
      <x:c r="AB245" s="4" t="n">
        <x:f>IFERROR(INDEX('楼层配置'!$F$5:$F$104,MATCH($K245,'楼层配置'!$B$5:$B$104,0)),1)</x:f>
        <x:v>0.6718054689422955</x:v>
      </x:c>
      <x:c r="AC245" s="4" t="n">
        <x:f>IFERROR(INDEX('楼层配置'!$G$5:$G$104,MATCH($K245,'楼层配置'!$B$5:$B$104,0)),1)</x:f>
        <x:v>1</x:v>
      </x:c>
      <x:c r="AD245" s="6" t="n">
        <x:f t="shared" si="24">IFERROR($D245/$G245-1,"")</x:f>
        <x:v>-0.08415729079987977</x:v>
      </x:c>
      <x:c r="AE245" s="6" t="n">
        <x:f t="shared" si="25">IFERROR($E245/$H245-1,"")</x:f>
        <x:v>-0.04958784967871743</x:v>
      </x:c>
      <x:c r="AF245" s="6" t="n">
        <x:f t="shared" si="26">IFERROR($F245/$I245-1,"")</x:f>
        <x:v>0.34661257209893437</x:v>
      </x:c>
      <x:c r="AG245" s="4" t="str">
        <x:f t="shared" si="27">IF(AND($A245&gt;=1,$L245&gt;=1,$L245&lt;=500,OR($N245="Tank",$N245="DPS",$N245="Support"),ISNUMBER($D245),ISNUMBER($E245),ISNUMBER($F245)),"有效","异常")</x:f>
        <x:v>有效</x:v>
      </x:c>
      <x:c r="AH245" t="n">
        <x:f>D245/(1-MIN(0.75,F245/(24000+F245)))</x:f>
        <x:v>2250521.94625</x:v>
      </x:c>
    </x:row>
    <x:row r="246" ht="14.25" customHeight="1">
      <x:c r="A246" s="4">
        <x:v>242</x:v>
      </x:c>
      <x:c r="B246" s="4">
        <x:v>1002</x:v>
      </x:c>
      <x:c r="C246" s="4">
        <x:v>34</x:v>
      </x:c>
      <x:c r="D246" s="5" t="n">
        <x:f>IFERROR(ROUND($U246*$X246*$AA246*'参数'!$B$13,0),"")</x:f>
        <x:v>1047790</x:v>
      </x:c>
      <x:c r="E246" s="5" t="n">
        <x:f>IFERROR(ROUND($V246*$Y246*$AB246*'参数'!$C$13,0),"")</x:f>
        <x:v>14643</x:v>
      </x:c>
      <x:c r="F246" s="5" t="n">
        <x:f>IFERROR(ROUND($W246*$Z246*$AC246*'参数'!$D$13,0),"")</x:f>
        <x:v>27549</x:v>
      </x:c>
      <x:c r="G246" s="4">
        <x:v>1144072</x:v>
      </x:c>
      <x:c r="H246" s="4">
        <x:v>15407</x:v>
      </x:c>
      <x:c r="I246" s="4">
        <x:v>20458</x:v>
      </x:c>
      <x:c r="J246" s="4">
        <x:v>49</x:v>
      </x:c>
      <x:c r="K246" s="4">
        <x:v>49</x:v>
      </x:c>
      <x:c r="L246" s="4" t="n">
        <x:f>IFERROR(INDEX('楼层配置'!$D$5:$D$104,MATCH($K246,'楼层配置'!$B$5:$B$104,0)),"")</x:f>
        <x:v>192</x:v>
      </x:c>
      <x:c r="M246" s="4" t="str">
        <x:f>IFERROR(INDEX('_角色基线'!$B$2:$B$100,MATCH($B246,'_角色基线'!$A$2:$A$100,0)),"")</x:f>
        <x:v>大暑</x:v>
      </x:c>
      <x:c r="N246" s="4" t="str">
        <x:f>IFERROR(INDEX('_角色基线'!$C$2:$C$100,MATCH($B246,'_角色基线'!$A$2:$A$100,0)),"")</x:f>
        <x:v>Tank</x:v>
      </x:c>
      <x:c r="O246" s="4" t="n">
        <x:f>IFERROR(INDEX('_怪物基线'!$B$2:$B$501,MATCH(INT($L246),'_怪物基线'!$A$2:$A$501,0)),"")</x:f>
        <x:v>151088</x:v>
      </x:c>
      <x:c r="P246" s="4" t="n">
        <x:f>IFERROR(INDEX('_怪物基线'!$C$2:$C$501,MATCH(INT($L246),'_怪物基线'!$A$2:$A$501,0)),"")</x:f>
        <x:v>18164</x:v>
      </x:c>
      <x:c r="Q246" s="4" t="n">
        <x:f>IFERROR(INDEX('_怪物基线'!$D$2:$D$501,MATCH(INT($L246),'_怪物基线'!$A$2:$A$501,0)),"")</x:f>
        <x:v>18366</x:v>
      </x:c>
      <x:c r="R246" s="4" t="n">
        <x:f>'参数'!$B$10</x:f>
        <x:v>4</x:v>
      </x:c>
      <x:c r="S246" s="4" t="n">
        <x:f>'参数'!$C$10</x:f>
        <x:v>1.2</x:v>
      </x:c>
      <x:c r="T246" s="4" t="n">
        <x:f>'参数'!$D$10</x:f>
        <x:v>1</x:v>
      </x:c>
      <x:c r="U246" s="4" t="n">
        <x:f t="shared" si="21">IF($O246="","",$O246*$R246)</x:f>
        <x:v>604352</x:v>
      </x:c>
      <x:c r="V246" s="4" t="n">
        <x:f t="shared" si="22">IF($P246="","",$P246*$S246)</x:f>
        <x:v>21796.8</x:v>
      </x:c>
      <x:c r="W246" s="4" t="n">
        <x:f t="shared" si="23">IF($Q246="","",$Q246*$T246)</x:f>
        <x:v>18366</x:v>
      </x:c>
      <x:c r="X246" s="4" t="n">
        <x:f>IFERROR(INDEX('参数'!$B$5:$B$7,MATCH($N246,'参数'!$A$5:$A$7,0)),"")</x:f>
        <x:v>1.5</x:v>
      </x:c>
      <x:c r="Y246" s="4" t="n">
        <x:f>IFERROR(INDEX('参数'!$C$5:$C$7,MATCH($N246,'参数'!$A$5:$A$7,0)),"")</x:f>
        <x:v>1</x:v>
      </x:c>
      <x:c r="Z246" s="4" t="n">
        <x:f>IFERROR(INDEX('参数'!$D$5:$D$7,MATCH($N246,'参数'!$A$5:$A$7,0)),"")</x:f>
        <x:v>1.5</x:v>
      </x:c>
      <x:c r="AA246" s="4" t="n">
        <x:f>IFERROR(INDEX('楼层配置'!$E$5:$E$104,MATCH($K246,'楼层配置'!$B$5:$B$104,0)),1)</x:f>
        <x:v>1.1558279872175978</x:v>
      </x:c>
      <x:c r="AB246" s="4" t="n">
        <x:f>IFERROR(INDEX('楼层配置'!$F$5:$F$104,MATCH($K246,'楼层配置'!$B$5:$B$104,0)),1)</x:f>
        <x:v>0.6718054689422955</x:v>
      </x:c>
      <x:c r="AC246" s="4" t="n">
        <x:f>IFERROR(INDEX('楼层配置'!$G$5:$G$104,MATCH($K246,'楼层配置'!$B$5:$B$104,0)),1)</x:f>
        <x:v>1</x:v>
      </x:c>
      <x:c r="AD246" s="6" t="n">
        <x:f t="shared" si="24">IFERROR($D246/$G246-1,"")</x:f>
        <x:v>-0.08415729079987977</x:v>
      </x:c>
      <x:c r="AE246" s="6" t="n">
        <x:f t="shared" si="25">IFERROR($E246/$H246-1,"")</x:f>
        <x:v>-0.04958784967871743</x:v>
      </x:c>
      <x:c r="AF246" s="6" t="n">
        <x:f t="shared" si="26">IFERROR($F246/$I246-1,"")</x:f>
        <x:v>0.34661257209893437</x:v>
      </x:c>
      <x:c r="AG246" s="4" t="str">
        <x:f t="shared" si="27">IF(AND($A246&gt;=1,$L246&gt;=1,$L246&lt;=500,OR($N246="Tank",$N246="DPS",$N246="Support"),ISNUMBER($D246),ISNUMBER($E246),ISNUMBER($F246)),"有效","异常")</x:f>
        <x:v>有效</x:v>
      </x:c>
      <x:c r="AH246" t="n">
        <x:f>D246/(1-MIN(0.75,F246/(24000+F246)))</x:f>
        <x:v>2250521.94625</x:v>
      </x:c>
    </x:row>
    <x:row r="247" ht="14.25" customHeight="1">
      <x:c r="A247" s="4">
        <x:v>243</x:v>
      </x:c>
      <x:c r="B247" s="4">
        <x:v>1030</x:v>
      </x:c>
      <x:c r="C247" s="4">
        <x:v>34</x:v>
      </x:c>
      <x:c r="D247" s="5" t="n">
        <x:f>IFERROR(ROUND($U247*$X247*$AA247*'参数'!$B$13,0),"")</x:f>
        <x:v>1047790</x:v>
      </x:c>
      <x:c r="E247" s="5" t="n">
        <x:f>IFERROR(ROUND($V247*$Y247*$AB247*'参数'!$C$13,0),"")</x:f>
        <x:v>14643</x:v>
      </x:c>
      <x:c r="F247" s="5" t="n">
        <x:f>IFERROR(ROUND($W247*$Z247*$AC247*'参数'!$D$13,0),"")</x:f>
        <x:v>27549</x:v>
      </x:c>
      <x:c r="G247" s="4">
        <x:v>1144072</x:v>
      </x:c>
      <x:c r="H247" s="4">
        <x:v>15407</x:v>
      </x:c>
      <x:c r="I247" s="4">
        <x:v>20458</x:v>
      </x:c>
      <x:c r="J247" s="4">
        <x:v>49</x:v>
      </x:c>
      <x:c r="K247" s="4">
        <x:v>49</x:v>
      </x:c>
      <x:c r="L247" s="4" t="n">
        <x:f>IFERROR(INDEX('楼层配置'!$D$5:$D$104,MATCH($K247,'楼层配置'!$B$5:$B$104,0)),"")</x:f>
        <x:v>192</x:v>
      </x:c>
      <x:c r="M247" s="4" t="str">
        <x:f>IFERROR(INDEX('_角色基线'!$B$2:$B$100,MATCH($B247,'_角色基线'!$A$2:$A$100,0)),"")</x:f>
        <x:v>莫莉</x:v>
      </x:c>
      <x:c r="N247" s="4" t="str">
        <x:f>IFERROR(INDEX('_角色基线'!$C$2:$C$100,MATCH($B247,'_角色基线'!$A$2:$A$100,0)),"")</x:f>
        <x:v>Tank</x:v>
      </x:c>
      <x:c r="O247" s="4" t="n">
        <x:f>IFERROR(INDEX('_怪物基线'!$B$2:$B$501,MATCH(INT($L247),'_怪物基线'!$A$2:$A$501,0)),"")</x:f>
        <x:v>151088</x:v>
      </x:c>
      <x:c r="P247" s="4" t="n">
        <x:f>IFERROR(INDEX('_怪物基线'!$C$2:$C$501,MATCH(INT($L247),'_怪物基线'!$A$2:$A$501,0)),"")</x:f>
        <x:v>18164</x:v>
      </x:c>
      <x:c r="Q247" s="4" t="n">
        <x:f>IFERROR(INDEX('_怪物基线'!$D$2:$D$501,MATCH(INT($L247),'_怪物基线'!$A$2:$A$501,0)),"")</x:f>
        <x:v>18366</x:v>
      </x:c>
      <x:c r="R247" s="4" t="n">
        <x:f>'参数'!$B$10</x:f>
        <x:v>4</x:v>
      </x:c>
      <x:c r="S247" s="4" t="n">
        <x:f>'参数'!$C$10</x:f>
        <x:v>1.2</x:v>
      </x:c>
      <x:c r="T247" s="4" t="n">
        <x:f>'参数'!$D$10</x:f>
        <x:v>1</x:v>
      </x:c>
      <x:c r="U247" s="4" t="n">
        <x:f t="shared" si="21">IF($O247="","",$O247*$R247)</x:f>
        <x:v>604352</x:v>
      </x:c>
      <x:c r="V247" s="4" t="n">
        <x:f t="shared" si="22">IF($P247="","",$P247*$S247)</x:f>
        <x:v>21796.8</x:v>
      </x:c>
      <x:c r="W247" s="4" t="n">
        <x:f t="shared" si="23">IF($Q247="","",$Q247*$T247)</x:f>
        <x:v>18366</x:v>
      </x:c>
      <x:c r="X247" s="4" t="n">
        <x:f>IFERROR(INDEX('参数'!$B$5:$B$7,MATCH($N247,'参数'!$A$5:$A$7,0)),"")</x:f>
        <x:v>1.5</x:v>
      </x:c>
      <x:c r="Y247" s="4" t="n">
        <x:f>IFERROR(INDEX('参数'!$C$5:$C$7,MATCH($N247,'参数'!$A$5:$A$7,0)),"")</x:f>
        <x:v>1</x:v>
      </x:c>
      <x:c r="Z247" s="4" t="n">
        <x:f>IFERROR(INDEX('参数'!$D$5:$D$7,MATCH($N247,'参数'!$A$5:$A$7,0)),"")</x:f>
        <x:v>1.5</x:v>
      </x:c>
      <x:c r="AA247" s="4" t="n">
        <x:f>IFERROR(INDEX('楼层配置'!$E$5:$E$104,MATCH($K247,'楼层配置'!$B$5:$B$104,0)),1)</x:f>
        <x:v>1.1558279872175978</x:v>
      </x:c>
      <x:c r="AB247" s="4" t="n">
        <x:f>IFERROR(INDEX('楼层配置'!$F$5:$F$104,MATCH($K247,'楼层配置'!$B$5:$B$104,0)),1)</x:f>
        <x:v>0.6718054689422955</x:v>
      </x:c>
      <x:c r="AC247" s="4" t="n">
        <x:f>IFERROR(INDEX('楼层配置'!$G$5:$G$104,MATCH($K247,'楼层配置'!$B$5:$B$104,0)),1)</x:f>
        <x:v>1</x:v>
      </x:c>
      <x:c r="AD247" s="6" t="n">
        <x:f t="shared" si="24">IFERROR($D247/$G247-1,"")</x:f>
        <x:v>-0.08415729079987977</x:v>
      </x:c>
      <x:c r="AE247" s="6" t="n">
        <x:f t="shared" si="25">IFERROR($E247/$H247-1,"")</x:f>
        <x:v>-0.04958784967871743</x:v>
      </x:c>
      <x:c r="AF247" s="6" t="n">
        <x:f t="shared" si="26">IFERROR($F247/$I247-1,"")</x:f>
        <x:v>0.34661257209893437</x:v>
      </x:c>
      <x:c r="AG247" s="4" t="str">
        <x:f t="shared" si="27">IF(AND($A247&gt;=1,$L247&gt;=1,$L247&lt;=500,OR($N247="Tank",$N247="DPS",$N247="Support"),ISNUMBER($D247),ISNUMBER($E247),ISNUMBER($F247)),"有效","异常")</x:f>
        <x:v>有效</x:v>
      </x:c>
      <x:c r="AH247" t="n">
        <x:f>D247/(1-MIN(0.75,F247/(24000+F247)))</x:f>
        <x:v>2250521.94625</x:v>
      </x:c>
    </x:row>
    <x:row r="248" ht="14.25" customHeight="1">
      <x:c r="A248" s="4">
        <x:v>244</x:v>
      </x:c>
      <x:c r="B248" s="4">
        <x:v>1018</x:v>
      </x:c>
      <x:c r="C248" s="4">
        <x:v>34</x:v>
      </x:c>
      <x:c r="D248" s="5" t="n">
        <x:f>IFERROR(ROUND($U248*$X248*$AA248*'参数'!$B$13,0),"")</x:f>
        <x:v>873159</x:v>
      </x:c>
      <x:c r="E248" s="5" t="n">
        <x:f>IFERROR(ROUND($V248*$Y248*$AB248*'参数'!$C$13,0),"")</x:f>
        <x:v>14643</x:v>
      </x:c>
      <x:c r="F248" s="5" t="n">
        <x:f>IFERROR(ROUND($W248*$Z248*$AC248*'参数'!$D$13,0),"")</x:f>
        <x:v>22958</x:v>
      </x:c>
      <x:c r="G248" s="4">
        <x:v>953394</x:v>
      </x:c>
      <x:c r="H248" s="4">
        <x:v>15407</x:v>
      </x:c>
      <x:c r="I248" s="4">
        <x:v>17049</x:v>
      </x:c>
      <x:c r="J248" s="4">
        <x:v>49</x:v>
      </x:c>
      <x:c r="K248" s="4">
        <x:v>49</x:v>
      </x:c>
      <x:c r="L248" s="4" t="n">
        <x:f>IFERROR(INDEX('楼层配置'!$D$5:$D$104,MATCH($K248,'楼层配置'!$B$5:$B$104,0)),"")</x:f>
        <x:v>192</x:v>
      </x:c>
      <x:c r="M248" s="4" t="str">
        <x:f>IFERROR(INDEX('_角色基线'!$B$2:$B$100,MATCH($B248,'_角色基线'!$A$2:$A$100,0)),"")</x:f>
        <x:v>埃莉诺</x:v>
      </x:c>
      <x:c r="N248" s="4" t="str">
        <x:f>IFERROR(INDEX('_角色基线'!$C$2:$C$100,MATCH($B248,'_角色基线'!$A$2:$A$100,0)),"")</x:f>
        <x:v>Support</x:v>
      </x:c>
      <x:c r="O248" s="4" t="n">
        <x:f>IFERROR(INDEX('_怪物基线'!$B$2:$B$501,MATCH(INT($L248),'_怪物基线'!$A$2:$A$501,0)),"")</x:f>
        <x:v>151088</x:v>
      </x:c>
      <x:c r="P248" s="4" t="n">
        <x:f>IFERROR(INDEX('_怪物基线'!$C$2:$C$501,MATCH(INT($L248),'_怪物基线'!$A$2:$A$501,0)),"")</x:f>
        <x:v>18164</x:v>
      </x:c>
      <x:c r="Q248" s="4" t="n">
        <x:f>IFERROR(INDEX('_怪物基线'!$D$2:$D$501,MATCH(INT($L248),'_怪物基线'!$A$2:$A$501,0)),"")</x:f>
        <x:v>18366</x:v>
      </x:c>
      <x:c r="R248" s="4" t="n">
        <x:f>'参数'!$B$10</x:f>
        <x:v>4</x:v>
      </x:c>
      <x:c r="S248" s="4" t="n">
        <x:f>'参数'!$C$10</x:f>
        <x:v>1.2</x:v>
      </x:c>
      <x:c r="T248" s="4" t="n">
        <x:f>'参数'!$D$10</x:f>
        <x:v>1</x:v>
      </x:c>
      <x:c r="U248" s="4" t="n">
        <x:f t="shared" si="21">IF($O248="","",$O248*$R248)</x:f>
        <x:v>604352</x:v>
      </x:c>
      <x:c r="V248" s="4" t="n">
        <x:f t="shared" si="22">IF($P248="","",$P248*$S248)</x:f>
        <x:v>21796.8</x:v>
      </x:c>
      <x:c r="W248" s="4" t="n">
        <x:f t="shared" si="23">IF($Q248="","",$Q248*$T248)</x:f>
        <x:v>18366</x:v>
      </x:c>
      <x:c r="X248" s="4" t="n">
        <x:f>IFERROR(INDEX('参数'!$B$5:$B$7,MATCH($N248,'参数'!$A$5:$A$7,0)),"")</x:f>
        <x:v>1.25</x:v>
      </x:c>
      <x:c r="Y248" s="4" t="n">
        <x:f>IFERROR(INDEX('参数'!$C$5:$C$7,MATCH($N248,'参数'!$A$5:$A$7,0)),"")</x:f>
        <x:v>1</x:v>
      </x:c>
      <x:c r="Z248" s="4" t="n">
        <x:f>IFERROR(INDEX('参数'!$D$5:$D$7,MATCH($N248,'参数'!$A$5:$A$7,0)),"")</x:f>
        <x:v>1.25</x:v>
      </x:c>
      <x:c r="AA248" s="4" t="n">
        <x:f>IFERROR(INDEX('楼层配置'!$E$5:$E$104,MATCH($K248,'楼层配置'!$B$5:$B$104,0)),1)</x:f>
        <x:v>1.1558279872175978</x:v>
      </x:c>
      <x:c r="AB248" s="4" t="n">
        <x:f>IFERROR(INDEX('楼层配置'!$F$5:$F$104,MATCH($K248,'楼层配置'!$B$5:$B$104,0)),1)</x:f>
        <x:v>0.6718054689422955</x:v>
      </x:c>
      <x:c r="AC248" s="4" t="n">
        <x:f>IFERROR(INDEX('楼层配置'!$G$5:$G$104,MATCH($K248,'楼层配置'!$B$5:$B$104,0)),1)</x:f>
        <x:v>1</x:v>
      </x:c>
      <x:c r="AD248" s="6" t="n">
        <x:f t="shared" si="24">IFERROR($D248/$G248-1,"")</x:f>
        <x:v>-0.08415723195237224</x:v>
      </x:c>
      <x:c r="AE248" s="6" t="n">
        <x:f t="shared" si="25">IFERROR($E248/$H248-1,"")</x:f>
        <x:v>-0.04958784967871743</x:v>
      </x:c>
      <x:c r="AF248" s="6" t="n">
        <x:f t="shared" si="26">IFERROR($F248/$I248-1,"")</x:f>
        <x:v>0.346589242770837</x:v>
      </x:c>
      <x:c r="AG248" s="4" t="str">
        <x:f t="shared" si="27">IF(AND($A248&gt;=1,$L248&gt;=1,$L248&lt;=500,OR($N248="Tank",$N248="DPS",$N248="Support"),ISNUMBER($D248),ISNUMBER($E248),ISNUMBER($F248)),"有效","异常")</x:f>
        <x:v>有效</x:v>
      </x:c>
      <x:c r="AH248" t="n">
        <x:f>D248/(1-MIN(0.75,F248/(24000+F248)))</x:f>
        <x:v>1708408.3467499998</x:v>
      </x:c>
    </x:row>
    <x:row r="249" ht="14.25" customHeight="1">
      <x:c r="A249" s="4">
        <x:v>245</x:v>
      </x:c>
      <x:c r="B249" s="4">
        <x:v>1021</x:v>
      </x:c>
      <x:c r="C249" s="4">
        <x:v>34</x:v>
      </x:c>
      <x:c r="D249" s="5" t="n">
        <x:f>IFERROR(ROUND($U249*$X249*$AA249*'参数'!$B$13,0),"")</x:f>
        <x:v>698527</x:v>
      </x:c>
      <x:c r="E249" s="5" t="n">
        <x:f>IFERROR(ROUND($V249*$Y249*$AB249*'参数'!$C$13,0),"")</x:f>
        <x:v>17572</x:v>
      </x:c>
      <x:c r="F249" s="5" t="n">
        <x:f>IFERROR(ROUND($W249*$Z249*$AC249*'参数'!$D$13,0),"")</x:f>
        <x:v>18366</x:v>
      </x:c>
      <x:c r="G249" s="4">
        <x:v>762715</x:v>
      </x:c>
      <x:c r="H249" s="4">
        <x:v>18488</x:v>
      </x:c>
      <x:c r="I249" s="4">
        <x:v>13639</x:v>
      </x:c>
      <x:c r="J249" s="4">
        <x:v>49</x:v>
      </x:c>
      <x:c r="K249" s="4">
        <x:v>49</x:v>
      </x:c>
      <x:c r="L249" s="4" t="n">
        <x:f>IFERROR(INDEX('楼层配置'!$D$5:$D$104,MATCH($K249,'楼层配置'!$B$5:$B$104,0)),"")</x:f>
        <x:v>192</x:v>
      </x:c>
      <x:c r="M249" s="4" t="str">
        <x:f>IFERROR(INDEX('_角色基线'!$B$2:$B$100,MATCH($B249,'_角色基线'!$A$2:$A$100,0)),"")</x:f>
        <x:v>梅梅</x:v>
      </x:c>
      <x:c r="N249" s="4" t="str">
        <x:f>IFERROR(INDEX('_角色基线'!$C$2:$C$100,MATCH($B249,'_角色基线'!$A$2:$A$100,0)),"")</x:f>
        <x:v>DPS</x:v>
      </x:c>
      <x:c r="O249" s="4" t="n">
        <x:f>IFERROR(INDEX('_怪物基线'!$B$2:$B$501,MATCH(INT($L249),'_怪物基线'!$A$2:$A$501,0)),"")</x:f>
        <x:v>151088</x:v>
      </x:c>
      <x:c r="P249" s="4" t="n">
        <x:f>IFERROR(INDEX('_怪物基线'!$C$2:$C$501,MATCH(INT($L249),'_怪物基线'!$A$2:$A$501,0)),"")</x:f>
        <x:v>18164</x:v>
      </x:c>
      <x:c r="Q249" s="4" t="n">
        <x:f>IFERROR(INDEX('_怪物基线'!$D$2:$D$501,MATCH(INT($L249),'_怪物基线'!$A$2:$A$501,0)),"")</x:f>
        <x:v>18366</x:v>
      </x:c>
      <x:c r="R249" s="4" t="n">
        <x:f>'参数'!$B$10</x:f>
        <x:v>4</x:v>
      </x:c>
      <x:c r="S249" s="4" t="n">
        <x:f>'参数'!$C$10</x:f>
        <x:v>1.2</x:v>
      </x:c>
      <x:c r="T249" s="4" t="n">
        <x:f>'参数'!$D$10</x:f>
        <x:v>1</x:v>
      </x:c>
      <x:c r="U249" s="4" t="n">
        <x:f t="shared" si="21">IF($O249="","",$O249*$R249)</x:f>
        <x:v>604352</x:v>
      </x:c>
      <x:c r="V249" s="4" t="n">
        <x:f t="shared" si="22">IF($P249="","",$P249*$S249)</x:f>
        <x:v>21796.8</x:v>
      </x:c>
      <x:c r="W249" s="4" t="n">
        <x:f t="shared" si="23">IF($Q249="","",$Q249*$T249)</x:f>
        <x:v>18366</x:v>
      </x:c>
      <x:c r="X249" s="4" t="n">
        <x:f>IFERROR(INDEX('参数'!$B$5:$B$7,MATCH($N249,'参数'!$A$5:$A$7,0)),"")</x:f>
        <x:v>1</x:v>
      </x:c>
      <x:c r="Y249" s="4" t="n">
        <x:f>IFERROR(INDEX('参数'!$C$5:$C$7,MATCH($N249,'参数'!$A$5:$A$7,0)),"")</x:f>
        <x:v>1.2</x:v>
      </x:c>
      <x:c r="Z249" s="4" t="n">
        <x:f>IFERROR(INDEX('参数'!$D$5:$D$7,MATCH($N249,'参数'!$A$5:$A$7,0)),"")</x:f>
        <x:v>1</x:v>
      </x:c>
      <x:c r="AA249" s="4" t="n">
        <x:f>IFERROR(INDEX('楼层配置'!$E$5:$E$104,MATCH($K249,'楼层配置'!$B$5:$B$104,0)),1)</x:f>
        <x:v>1.1558279872175978</x:v>
      </x:c>
      <x:c r="AB249" s="4" t="n">
        <x:f>IFERROR(INDEX('楼层配置'!$F$5:$F$104,MATCH($K249,'楼层配置'!$B$5:$B$104,0)),1)</x:f>
        <x:v>0.6718054689422955</x:v>
      </x:c>
      <x:c r="AC249" s="4" t="n">
        <x:f>IFERROR(INDEX('楼层配置'!$G$5:$G$104,MATCH($K249,'楼层配置'!$B$5:$B$104,0)),1)</x:f>
        <x:v>1</x:v>
      </x:c>
      <x:c r="AD249" s="6" t="n">
        <x:f t="shared" si="24">IFERROR($D249/$G249-1,"")</x:f>
        <x:v>-0.08415725402017793</x:v>
      </x:c>
      <x:c r="AE249" s="6" t="n">
        <x:f t="shared" si="25">IFERROR($E249/$H249-1,"")</x:f>
        <x:v>-0.0495456512332324</x:v>
      </x:c>
      <x:c r="AF249" s="6" t="n">
        <x:f t="shared" si="26">IFERROR($F249/$I249-1,"")</x:f>
        <x:v>0.3465796612654888</x:v>
      </x:c>
      <x:c r="AG249" s="4" t="str">
        <x:f t="shared" si="27">IF(AND($A249&gt;=1,$L249&gt;=1,$L249&lt;=500,OR($N249="Tank",$N249="DPS",$N249="Support"),ISNUMBER($D249),ISNUMBER($E249),ISNUMBER($F249)),"有效","异常")</x:f>
        <x:v>有效</x:v>
      </x:c>
      <x:c r="AH249" t="n">
        <x:f>D249/(1-MIN(0.75,F249/(24000+F249)))</x:f>
        <x:v>1233074.78675</x:v>
      </x:c>
    </x:row>
    <x:row r="250" ht="14.25" customHeight="1">
      <x:c r="A250" s="4">
        <x:v>246</x:v>
      </x:c>
      <x:c r="B250" s="4">
        <x:v>1030</x:v>
      </x:c>
      <x:c r="C250" s="4">
        <x:v>35</x:v>
      </x:c>
      <x:c r="D250" s="5" t="n">
        <x:f>IFERROR(ROUND($U250*$X250*$AA250*'参数'!$B$13,0),"")</x:f>
        <x:v>1109663</x:v>
      </x:c>
      <x:c r="E250" s="5" t="n">
        <x:f>IFERROR(ROUND($V250*$Y250*$AB250*'参数'!$C$13,0),"")</x:f>
        <x:v>15315</x:v>
      </x:c>
      <x:c r="F250" s="5" t="n">
        <x:f>IFERROR(ROUND($W250*$Z250*$AC250*'参数'!$D$13,0),"")</x:f>
        <x:v>28257</x:v>
      </x:c>
      <x:c r="G250" s="4">
        <x:v>1197316</x:v>
      </x:c>
      <x:c r="H250" s="4">
        <x:v>15884</x:v>
      </x:c>
      <x:c r="I250" s="4">
        <x:v>20961</x:v>
      </x:c>
      <x:c r="J250" s="4">
        <x:v>50</x:v>
      </x:c>
      <x:c r="K250" s="4">
        <x:v>50</x:v>
      </x:c>
      <x:c r="L250" s="4" t="n">
        <x:f>IFERROR(INDEX('楼层配置'!$D$5:$D$104,MATCH($K250,'楼层配置'!$B$5:$B$104,0)),"")</x:f>
        <x:v>196</x:v>
      </x:c>
      <x:c r="M250" s="4" t="str">
        <x:f>IFERROR(INDEX('_角色基线'!$B$2:$B$100,MATCH($B250,'_角色基线'!$A$2:$A$100,0)),"")</x:f>
        <x:v>莫莉</x:v>
      </x:c>
      <x:c r="N250" s="4" t="str">
        <x:f>IFERROR(INDEX('_角色基线'!$C$2:$C$100,MATCH($B250,'_角色基线'!$A$2:$A$100,0)),"")</x:f>
        <x:v>Tank</x:v>
      </x:c>
      <x:c r="O250" s="4" t="n">
        <x:f>IFERROR(INDEX('_怪物基线'!$B$2:$B$501,MATCH(INT($L250),'_怪物基线'!$A$2:$A$501,0)),"")</x:f>
        <x:v>158769</x:v>
      </x:c>
      <x:c r="P250" s="4" t="n">
        <x:f>IFERROR(INDEX('_怪物基线'!$C$2:$C$501,MATCH(INT($L250),'_怪物基线'!$A$2:$A$501,0)),"")</x:f>
        <x:v>18828</x:v>
      </x:c>
      <x:c r="Q250" s="4" t="n">
        <x:f>IFERROR(INDEX('_怪物基线'!$D$2:$D$501,MATCH(INT($L250),'_怪物基线'!$A$2:$A$501,0)),"")</x:f>
        <x:v>18838</x:v>
      </x:c>
      <x:c r="R250" s="4" t="n">
        <x:f>'参数'!$B$10</x:f>
        <x:v>4</x:v>
      </x:c>
      <x:c r="S250" s="4" t="n">
        <x:f>'参数'!$C$10</x:f>
        <x:v>1.2</x:v>
      </x:c>
      <x:c r="T250" s="4" t="n">
        <x:f>'参数'!$D$10</x:f>
        <x:v>1</x:v>
      </x:c>
      <x:c r="U250" s="4" t="n">
        <x:f t="shared" si="21">IF($O250="","",$O250*$R250)</x:f>
        <x:v>635076</x:v>
      </x:c>
      <x:c r="V250" s="4" t="n">
        <x:f t="shared" si="22">IF($P250="","",$P250*$S250)</x:f>
        <x:v>22593.6</x:v>
      </x:c>
      <x:c r="W250" s="4" t="n">
        <x:f t="shared" si="23">IF($Q250="","",$Q250*$T250)</x:f>
        <x:v>18838</x:v>
      </x:c>
      <x:c r="X250" s="4" t="n">
        <x:f>IFERROR(INDEX('参数'!$B$5:$B$7,MATCH($N250,'参数'!$A$5:$A$7,0)),"")</x:f>
        <x:v>1.5</x:v>
      </x:c>
      <x:c r="Y250" s="4" t="n">
        <x:f>IFERROR(INDEX('参数'!$C$5:$C$7,MATCH($N250,'参数'!$A$5:$A$7,0)),"")</x:f>
        <x:v>1</x:v>
      </x:c>
      <x:c r="Z250" s="4" t="n">
        <x:f>IFERROR(INDEX('参数'!$D$5:$D$7,MATCH($N250,'参数'!$A$5:$A$7,0)),"")</x:f>
        <x:v>1.5</x:v>
      </x:c>
      <x:c r="AA250" s="4" t="n">
        <x:f>IFERROR(INDEX('楼层配置'!$E$5:$E$104,MATCH($K250,'楼层配置'!$B$5:$B$104,0)),1)</x:f>
        <x:v>1.1648605910570602</x:v>
      </x:c>
      <x:c r="AB250" s="4" t="n">
        <x:f>IFERROR(INDEX('楼层配置'!$F$5:$F$104,MATCH($K250,'楼层配置'!$B$5:$B$104,0)),1)</x:f>
        <x:v>0.6778620425560711</x:v>
      </x:c>
      <x:c r="AC250" s="4" t="n">
        <x:f>IFERROR(INDEX('楼层配置'!$G$5:$G$104,MATCH($K250,'楼层配置'!$B$5:$B$104,0)),1)</x:f>
        <x:v>1</x:v>
      </x:c>
      <x:c r="AD250" s="6" t="n">
        <x:f t="shared" si="24">IFERROR($D250/$G250-1,"")</x:f>
        <x:v>-0.07320790835502078</x:v>
      </x:c>
      <x:c r="AE250" s="6" t="n">
        <x:f t="shared" si="25">IFERROR($E250/$H250-1,"")</x:f>
        <x:v>-0.0358222110299673</x:v>
      </x:c>
      <x:c r="AF250" s="6" t="n">
        <x:f t="shared" si="26">IFERROR($F250/$I250-1,"")</x:f>
        <x:v>0.3480749964219265</x:v>
      </x:c>
      <x:c r="AG250" s="4" t="str">
        <x:f t="shared" si="27">IF(AND($A250&gt;=1,$L250&gt;=1,$L250&lt;=500,OR($N250="Tank",$N250="DPS",$N250="Support"),ISNUMBER($D250),ISNUMBER($E250),ISNUMBER($F250)),"有效","异常")</x:f>
        <x:v>有效</x:v>
      </x:c>
      <x:c r="AH250" t="n">
        <x:f>D250/(1-MIN(0.75,F250/(24000+F250)))</x:f>
        <x:v>2416152.474625</x:v>
      </x:c>
    </x:row>
    <x:row r="251" ht="14.25" customHeight="1">
      <x:c r="A251" s="4">
        <x:v>247</x:v>
      </x:c>
      <x:c r="B251" s="4">
        <x:v>1021</x:v>
      </x:c>
      <x:c r="C251" s="4">
        <x:v>35</x:v>
      </x:c>
      <x:c r="D251" s="5" t="n">
        <x:f>IFERROR(ROUND($U251*$X251*$AA251*'参数'!$B$13,0),"")</x:f>
        <x:v>739775</x:v>
      </x:c>
      <x:c r="E251" s="5" t="n">
        <x:f>IFERROR(ROUND($V251*$Y251*$AB251*'参数'!$C$13,0),"")</x:f>
        <x:v>18378</x:v>
      </x:c>
      <x:c r="F251" s="5" t="n">
        <x:f>IFERROR(ROUND($W251*$Z251*$AC251*'参数'!$D$13,0),"")</x:f>
        <x:v>18838</x:v>
      </x:c>
      <x:c r="G251" s="4">
        <x:v>798211</x:v>
      </x:c>
      <x:c r="H251" s="4">
        <x:v>19060</x:v>
      </x:c>
      <x:c r="I251" s="4">
        <x:v>13974</x:v>
      </x:c>
      <x:c r="J251" s="4">
        <x:v>50</x:v>
      </x:c>
      <x:c r="K251" s="4">
        <x:v>50</x:v>
      </x:c>
      <x:c r="L251" s="4" t="n">
        <x:f>IFERROR(INDEX('楼层配置'!$D$5:$D$104,MATCH($K251,'楼层配置'!$B$5:$B$104,0)),"")</x:f>
        <x:v>196</x:v>
      </x:c>
      <x:c r="M251" s="4" t="str">
        <x:f>IFERROR(INDEX('_角色基线'!$B$2:$B$100,MATCH($B251,'_角色基线'!$A$2:$A$100,0)),"")</x:f>
        <x:v>梅梅</x:v>
      </x:c>
      <x:c r="N251" s="4" t="str">
        <x:f>IFERROR(INDEX('_角色基线'!$C$2:$C$100,MATCH($B251,'_角色基线'!$A$2:$A$100,0)),"")</x:f>
        <x:v>DPS</x:v>
      </x:c>
      <x:c r="O251" s="4" t="n">
        <x:f>IFERROR(INDEX('_怪物基线'!$B$2:$B$501,MATCH(INT($L251),'_怪物基线'!$A$2:$A$501,0)),"")</x:f>
        <x:v>158769</x:v>
      </x:c>
      <x:c r="P251" s="4" t="n">
        <x:f>IFERROR(INDEX('_怪物基线'!$C$2:$C$501,MATCH(INT($L251),'_怪物基线'!$A$2:$A$501,0)),"")</x:f>
        <x:v>18828</x:v>
      </x:c>
      <x:c r="Q251" s="4" t="n">
        <x:f>IFERROR(INDEX('_怪物基线'!$D$2:$D$501,MATCH(INT($L251),'_怪物基线'!$A$2:$A$501,0)),"")</x:f>
        <x:v>18838</x:v>
      </x:c>
      <x:c r="R251" s="4" t="n">
        <x:f>'参数'!$B$10</x:f>
        <x:v>4</x:v>
      </x:c>
      <x:c r="S251" s="4" t="n">
        <x:f>'参数'!$C$10</x:f>
        <x:v>1.2</x:v>
      </x:c>
      <x:c r="T251" s="4" t="n">
        <x:f>'参数'!$D$10</x:f>
        <x:v>1</x:v>
      </x:c>
      <x:c r="U251" s="4" t="n">
        <x:f t="shared" si="21">IF($O251="","",$O251*$R251)</x:f>
        <x:v>635076</x:v>
      </x:c>
      <x:c r="V251" s="4" t="n">
        <x:f t="shared" si="22">IF($P251="","",$P251*$S251)</x:f>
        <x:v>22593.6</x:v>
      </x:c>
      <x:c r="W251" s="4" t="n">
        <x:f t="shared" si="23">IF($Q251="","",$Q251*$T251)</x:f>
        <x:v>18838</x:v>
      </x:c>
      <x:c r="X251" s="4" t="n">
        <x:f>IFERROR(INDEX('参数'!$B$5:$B$7,MATCH($N251,'参数'!$A$5:$A$7,0)),"")</x:f>
        <x:v>1</x:v>
      </x:c>
      <x:c r="Y251" s="4" t="n">
        <x:f>IFERROR(INDEX('参数'!$C$5:$C$7,MATCH($N251,'参数'!$A$5:$A$7,0)),"")</x:f>
        <x:v>1.2</x:v>
      </x:c>
      <x:c r="Z251" s="4" t="n">
        <x:f>IFERROR(INDEX('参数'!$D$5:$D$7,MATCH($N251,'参数'!$A$5:$A$7,0)),"")</x:f>
        <x:v>1</x:v>
      </x:c>
      <x:c r="AA251" s="4" t="n">
        <x:f>IFERROR(INDEX('楼层配置'!$E$5:$E$104,MATCH($K251,'楼层配置'!$B$5:$B$104,0)),1)</x:f>
        <x:v>1.1648605910570602</x:v>
      </x:c>
      <x:c r="AB251" s="4" t="n">
        <x:f>IFERROR(INDEX('楼层配置'!$F$5:$F$104,MATCH($K251,'楼层配置'!$B$5:$B$104,0)),1)</x:f>
        <x:v>0.6778620425560711</x:v>
      </x:c>
      <x:c r="AC251" s="4" t="n">
        <x:f>IFERROR(INDEX('楼层配置'!$G$5:$G$104,MATCH($K251,'楼层配置'!$B$5:$B$104,0)),1)</x:f>
        <x:v>1</x:v>
      </x:c>
      <x:c r="AD251" s="6" t="n">
        <x:f t="shared" si="24">IFERROR($D251/$G251-1,"")</x:f>
        <x:v>-0.07320871298441134</x:v>
      </x:c>
      <x:c r="AE251" s="6" t="n">
        <x:f t="shared" si="25">IFERROR($E251/$H251-1,"")</x:f>
        <x:v>-0.03578174186778593</x:v>
      </x:c>
      <x:c r="AF251" s="6" t="n">
        <x:f t="shared" si="26">IFERROR($F251/$I251-1,"")</x:f>
        <x:v>0.3480749964219265</x:v>
      </x:c>
      <x:c r="AG251" s="4" t="str">
        <x:f t="shared" si="27">IF(AND($A251&gt;=1,$L251&gt;=1,$L251&lt;=500,OR($N251="Tank",$N251="DPS",$N251="Support"),ISNUMBER($D251),ISNUMBER($E251),ISNUMBER($F251)),"有效","异常")</x:f>
        <x:v>有效</x:v>
      </x:c>
      <x:c r="AH251" t="n">
        <x:f>D251/(1-MIN(0.75,F251/(24000+F251)))</x:f>
        <x:v>1320436.7270833335</x:v>
      </x:c>
    </x:row>
    <x:row r="252" ht="14.25" customHeight="1">
      <x:c r="A252" s="4">
        <x:v>248</x:v>
      </x:c>
      <x:c r="B252" s="4">
        <x:v>1029</x:v>
      </x:c>
      <x:c r="C252" s="4">
        <x:v>35</x:v>
      </x:c>
      <x:c r="D252" s="5" t="n">
        <x:f>IFERROR(ROUND($U252*$X252*$AA252*'参数'!$B$13,0),"")</x:f>
        <x:v>924719</x:v>
      </x:c>
      <x:c r="E252" s="5" t="n">
        <x:f>IFERROR(ROUND($V252*$Y252*$AB252*'参数'!$C$13,0),"")</x:f>
        <x:v>15315</x:v>
      </x:c>
      <x:c r="F252" s="5" t="n">
        <x:f>IFERROR(ROUND($W252*$Z252*$AC252*'参数'!$D$13,0),"")</x:f>
        <x:v>23548</x:v>
      </x:c>
      <x:c r="G252" s="4">
        <x:v>997764</x:v>
      </x:c>
      <x:c r="H252" s="4">
        <x:v>15884</x:v>
      </x:c>
      <x:c r="I252" s="4">
        <x:v>17468</x:v>
      </x:c>
      <x:c r="J252" s="4">
        <x:v>50</x:v>
      </x:c>
      <x:c r="K252" s="4">
        <x:v>50</x:v>
      </x:c>
      <x:c r="L252" s="4" t="n">
        <x:f>IFERROR(INDEX('楼层配置'!$D$5:$D$104,MATCH($K252,'楼层配置'!$B$5:$B$104,0)),"")</x:f>
        <x:v>196</x:v>
      </x:c>
      <x:c r="M252" s="4" t="str">
        <x:f>IFERROR(INDEX('_角色基线'!$B$2:$B$100,MATCH($B252,'_角色基线'!$A$2:$A$100,0)),"")</x:f>
        <x:v>凯兰</x:v>
      </x:c>
      <x:c r="N252" s="4" t="str">
        <x:f>IFERROR(INDEX('_角色基线'!$C$2:$C$100,MATCH($B252,'_角色基线'!$A$2:$A$100,0)),"")</x:f>
        <x:v>Support</x:v>
      </x:c>
      <x:c r="O252" s="4" t="n">
        <x:f>IFERROR(INDEX('_怪物基线'!$B$2:$B$501,MATCH(INT($L252),'_怪物基线'!$A$2:$A$501,0)),"")</x:f>
        <x:v>158769</x:v>
      </x:c>
      <x:c r="P252" s="4" t="n">
        <x:f>IFERROR(INDEX('_怪物基线'!$C$2:$C$501,MATCH(INT($L252),'_怪物基线'!$A$2:$A$501,0)),"")</x:f>
        <x:v>18828</x:v>
      </x:c>
      <x:c r="Q252" s="4" t="n">
        <x:f>IFERROR(INDEX('_怪物基线'!$D$2:$D$501,MATCH(INT($L252),'_怪物基线'!$A$2:$A$501,0)),"")</x:f>
        <x:v>18838</x:v>
      </x:c>
      <x:c r="R252" s="4" t="n">
        <x:f>'参数'!$B$10</x:f>
        <x:v>4</x:v>
      </x:c>
      <x:c r="S252" s="4" t="n">
        <x:f>'参数'!$C$10</x:f>
        <x:v>1.2</x:v>
      </x:c>
      <x:c r="T252" s="4" t="n">
        <x:f>'参数'!$D$10</x:f>
        <x:v>1</x:v>
      </x:c>
      <x:c r="U252" s="4" t="n">
        <x:f t="shared" si="21">IF($O252="","",$O252*$R252)</x:f>
        <x:v>635076</x:v>
      </x:c>
      <x:c r="V252" s="4" t="n">
        <x:f t="shared" si="22">IF($P252="","",$P252*$S252)</x:f>
        <x:v>22593.6</x:v>
      </x:c>
      <x:c r="W252" s="4" t="n">
        <x:f t="shared" si="23">IF($Q252="","",$Q252*$T252)</x:f>
        <x:v>18838</x:v>
      </x:c>
      <x:c r="X252" s="4" t="n">
        <x:f>IFERROR(INDEX('参数'!$B$5:$B$7,MATCH($N252,'参数'!$A$5:$A$7,0)),"")</x:f>
        <x:v>1.25</x:v>
      </x:c>
      <x:c r="Y252" s="4" t="n">
        <x:f>IFERROR(INDEX('参数'!$C$5:$C$7,MATCH($N252,'参数'!$A$5:$A$7,0)),"")</x:f>
        <x:v>1</x:v>
      </x:c>
      <x:c r="Z252" s="4" t="n">
        <x:f>IFERROR(INDEX('参数'!$D$5:$D$7,MATCH($N252,'参数'!$A$5:$A$7,0)),"")</x:f>
        <x:v>1.25</x:v>
      </x:c>
      <x:c r="AA252" s="4" t="n">
        <x:f>IFERROR(INDEX('楼层配置'!$E$5:$E$104,MATCH($K252,'楼层配置'!$B$5:$B$104,0)),1)</x:f>
        <x:v>1.1648605910570602</x:v>
      </x:c>
      <x:c r="AB252" s="4" t="n">
        <x:f>IFERROR(INDEX('楼层配置'!$F$5:$F$104,MATCH($K252,'楼层配置'!$B$5:$B$104,0)),1)</x:f>
        <x:v>0.6778620425560711</x:v>
      </x:c>
      <x:c r="AC252" s="4" t="n">
        <x:f>IFERROR(INDEX('楼层配置'!$G$5:$G$104,MATCH($K252,'楼层配置'!$B$5:$B$104,0)),1)</x:f>
        <x:v>1</x:v>
      </x:c>
      <x:c r="AD252" s="6" t="n">
        <x:f t="shared" si="24">IFERROR($D252/$G252-1,"")</x:f>
        <x:v>-0.07320869464121771</x:v>
      </x:c>
      <x:c r="AE252" s="6" t="n">
        <x:f t="shared" si="25">IFERROR($E252/$H252-1,"")</x:f>
        <x:v>-0.0358222110299673</x:v>
      </x:c>
      <x:c r="AF252" s="6" t="n">
        <x:f t="shared" si="26">IFERROR($F252/$I252-1,"")</x:f>
        <x:v>0.3480650332035722</x:v>
      </x:c>
      <x:c r="AG252" s="4" t="str">
        <x:f t="shared" si="27">IF(AND($A252&gt;=1,$L252&gt;=1,$L252&lt;=500,OR($N252="Tank",$N252="DPS",$N252="Support"),ISNUMBER($D252),ISNUMBER($E252),ISNUMBER($F252)),"有效","异常")</x:f>
        <x:v>有效</x:v>
      </x:c>
      <x:c r="AH252" t="n">
        <x:f>D252/(1-MIN(0.75,F252/(24000+F252)))</x:f>
        <x:v>1832022.4588333333</x:v>
      </x:c>
    </x:row>
    <x:row r="253" ht="14.25" customHeight="1">
      <x:c r="A253" s="4">
        <x:v>249</x:v>
      </x:c>
      <x:c r="B253" s="4">
        <x:v>1020</x:v>
      </x:c>
      <x:c r="C253" s="4">
        <x:v>35</x:v>
      </x:c>
      <x:c r="D253" s="5" t="n">
        <x:f>IFERROR(ROUND($U253*$X253*$AA253*'参数'!$B$13,0),"")</x:f>
        <x:v>924719</x:v>
      </x:c>
      <x:c r="E253" s="5" t="n">
        <x:f>IFERROR(ROUND($V253*$Y253*$AB253*'参数'!$C$13,0),"")</x:f>
        <x:v>15315</x:v>
      </x:c>
      <x:c r="F253" s="5" t="n">
        <x:f>IFERROR(ROUND($W253*$Z253*$AC253*'参数'!$D$13,0),"")</x:f>
        <x:v>23548</x:v>
      </x:c>
      <x:c r="G253" s="4">
        <x:v>997764</x:v>
      </x:c>
      <x:c r="H253" s="4">
        <x:v>15884</x:v>
      </x:c>
      <x:c r="I253" s="4">
        <x:v>17468</x:v>
      </x:c>
      <x:c r="J253" s="4">
        <x:v>50</x:v>
      </x:c>
      <x:c r="K253" s="4">
        <x:v>50</x:v>
      </x:c>
      <x:c r="L253" s="4" t="n">
        <x:f>IFERROR(INDEX('楼层配置'!$D$5:$D$104,MATCH($K253,'楼层配置'!$B$5:$B$104,0)),"")</x:f>
        <x:v>196</x:v>
      </x:c>
      <x:c r="M253" s="4" t="str">
        <x:f>IFERROR(INDEX('_角色基线'!$B$2:$B$100,MATCH($B253,'_角色基线'!$A$2:$A$100,0)),"")</x:f>
        <x:v>卡斯帕</x:v>
      </x:c>
      <x:c r="N253" s="4" t="str">
        <x:f>IFERROR(INDEX('_角色基线'!$C$2:$C$100,MATCH($B253,'_角色基线'!$A$2:$A$100,0)),"")</x:f>
        <x:v>Support</x:v>
      </x:c>
      <x:c r="O253" s="4" t="n">
        <x:f>IFERROR(INDEX('_怪物基线'!$B$2:$B$501,MATCH(INT($L253),'_怪物基线'!$A$2:$A$501,0)),"")</x:f>
        <x:v>158769</x:v>
      </x:c>
      <x:c r="P253" s="4" t="n">
        <x:f>IFERROR(INDEX('_怪物基线'!$C$2:$C$501,MATCH(INT($L253),'_怪物基线'!$A$2:$A$501,0)),"")</x:f>
        <x:v>18828</x:v>
      </x:c>
      <x:c r="Q253" s="4" t="n">
        <x:f>IFERROR(INDEX('_怪物基线'!$D$2:$D$501,MATCH(INT($L253),'_怪物基线'!$A$2:$A$501,0)),"")</x:f>
        <x:v>18838</x:v>
      </x:c>
      <x:c r="R253" s="4" t="n">
        <x:f>'参数'!$B$10</x:f>
        <x:v>4</x:v>
      </x:c>
      <x:c r="S253" s="4" t="n">
        <x:f>'参数'!$C$10</x:f>
        <x:v>1.2</x:v>
      </x:c>
      <x:c r="T253" s="4" t="n">
        <x:f>'参数'!$D$10</x:f>
        <x:v>1</x:v>
      </x:c>
      <x:c r="U253" s="4" t="n">
        <x:f t="shared" si="21">IF($O253="","",$O253*$R253)</x:f>
        <x:v>635076</x:v>
      </x:c>
      <x:c r="V253" s="4" t="n">
        <x:f t="shared" si="22">IF($P253="","",$P253*$S253)</x:f>
        <x:v>22593.6</x:v>
      </x:c>
      <x:c r="W253" s="4" t="n">
        <x:f t="shared" si="23">IF($Q253="","",$Q253*$T253)</x:f>
        <x:v>18838</x:v>
      </x:c>
      <x:c r="X253" s="4" t="n">
        <x:f>IFERROR(INDEX('参数'!$B$5:$B$7,MATCH($N253,'参数'!$A$5:$A$7,0)),"")</x:f>
        <x:v>1.25</x:v>
      </x:c>
      <x:c r="Y253" s="4" t="n">
        <x:f>IFERROR(INDEX('参数'!$C$5:$C$7,MATCH($N253,'参数'!$A$5:$A$7,0)),"")</x:f>
        <x:v>1</x:v>
      </x:c>
      <x:c r="Z253" s="4" t="n">
        <x:f>IFERROR(INDEX('参数'!$D$5:$D$7,MATCH($N253,'参数'!$A$5:$A$7,0)),"")</x:f>
        <x:v>1.25</x:v>
      </x:c>
      <x:c r="AA253" s="4" t="n">
        <x:f>IFERROR(INDEX('楼层配置'!$E$5:$E$104,MATCH($K253,'楼层配置'!$B$5:$B$104,0)),1)</x:f>
        <x:v>1.1648605910570602</x:v>
      </x:c>
      <x:c r="AB253" s="4" t="n">
        <x:f>IFERROR(INDEX('楼层配置'!$F$5:$F$104,MATCH($K253,'楼层配置'!$B$5:$B$104,0)),1)</x:f>
        <x:v>0.6778620425560711</x:v>
      </x:c>
      <x:c r="AC253" s="4" t="n">
        <x:f>IFERROR(INDEX('楼层配置'!$G$5:$G$104,MATCH($K253,'楼层配置'!$B$5:$B$104,0)),1)</x:f>
        <x:v>1</x:v>
      </x:c>
      <x:c r="AD253" s="6" t="n">
        <x:f t="shared" si="24">IFERROR($D253/$G253-1,"")</x:f>
        <x:v>-0.07320869464121771</x:v>
      </x:c>
      <x:c r="AE253" s="6" t="n">
        <x:f t="shared" si="25">IFERROR($E253/$H253-1,"")</x:f>
        <x:v>-0.0358222110299673</x:v>
      </x:c>
      <x:c r="AF253" s="6" t="n">
        <x:f t="shared" si="26">IFERROR($F253/$I253-1,"")</x:f>
        <x:v>0.3480650332035722</x:v>
      </x:c>
      <x:c r="AG253" s="4" t="str">
        <x:f t="shared" si="27">IF(AND($A253&gt;=1,$L253&gt;=1,$L253&lt;=500,OR($N253="Tank",$N253="DPS",$N253="Support"),ISNUMBER($D253),ISNUMBER($E253),ISNUMBER($F253)),"有效","异常")</x:f>
        <x:v>有效</x:v>
      </x:c>
      <x:c r="AH253" t="n">
        <x:f>D253/(1-MIN(0.75,F253/(24000+F253)))</x:f>
        <x:v>1832022.4588333333</x:v>
      </x:c>
    </x:row>
    <x:row r="254" ht="14.25" customHeight="1">
      <x:c r="A254" s="4">
        <x:v>250</x:v>
      </x:c>
      <x:c r="B254" s="4">
        <x:v>1018</x:v>
      </x:c>
      <x:c r="C254" s="4">
        <x:v>35</x:v>
      </x:c>
      <x:c r="D254" s="5" t="n">
        <x:f>IFERROR(ROUND($U254*$X254*$AA254*'参数'!$B$13,0),"")</x:f>
        <x:v>924719</x:v>
      </x:c>
      <x:c r="E254" s="5" t="n">
        <x:f>IFERROR(ROUND($V254*$Y254*$AB254*'参数'!$C$13,0),"")</x:f>
        <x:v>15315</x:v>
      </x:c>
      <x:c r="F254" s="5" t="n">
        <x:f>IFERROR(ROUND($W254*$Z254*$AC254*'参数'!$D$13,0),"")</x:f>
        <x:v>23548</x:v>
      </x:c>
      <x:c r="G254" s="4">
        <x:v>997764</x:v>
      </x:c>
      <x:c r="H254" s="4">
        <x:v>15884</x:v>
      </x:c>
      <x:c r="I254" s="4">
        <x:v>17468</x:v>
      </x:c>
      <x:c r="J254" s="4">
        <x:v>50</x:v>
      </x:c>
      <x:c r="K254" s="4">
        <x:v>50</x:v>
      </x:c>
      <x:c r="L254" s="4" t="n">
        <x:f>IFERROR(INDEX('楼层配置'!$D$5:$D$104,MATCH($K254,'楼层配置'!$B$5:$B$104,0)),"")</x:f>
        <x:v>196</x:v>
      </x:c>
      <x:c r="M254" s="4" t="str">
        <x:f>IFERROR(INDEX('_角色基线'!$B$2:$B$100,MATCH($B254,'_角色基线'!$A$2:$A$100,0)),"")</x:f>
        <x:v>埃莉诺</x:v>
      </x:c>
      <x:c r="N254" s="4" t="str">
        <x:f>IFERROR(INDEX('_角色基线'!$C$2:$C$100,MATCH($B254,'_角色基线'!$A$2:$A$100,0)),"")</x:f>
        <x:v>Support</x:v>
      </x:c>
      <x:c r="O254" s="4" t="n">
        <x:f>IFERROR(INDEX('_怪物基线'!$B$2:$B$501,MATCH(INT($L254),'_怪物基线'!$A$2:$A$501,0)),"")</x:f>
        <x:v>158769</x:v>
      </x:c>
      <x:c r="P254" s="4" t="n">
        <x:f>IFERROR(INDEX('_怪物基线'!$C$2:$C$501,MATCH(INT($L254),'_怪物基线'!$A$2:$A$501,0)),"")</x:f>
        <x:v>18828</x:v>
      </x:c>
      <x:c r="Q254" s="4" t="n">
        <x:f>IFERROR(INDEX('_怪物基线'!$D$2:$D$501,MATCH(INT($L254),'_怪物基线'!$A$2:$A$501,0)),"")</x:f>
        <x:v>18838</x:v>
      </x:c>
      <x:c r="R254" s="4" t="n">
        <x:f>'参数'!$B$10</x:f>
        <x:v>4</x:v>
      </x:c>
      <x:c r="S254" s="4" t="n">
        <x:f>'参数'!$C$10</x:f>
        <x:v>1.2</x:v>
      </x:c>
      <x:c r="T254" s="4" t="n">
        <x:f>'参数'!$D$10</x:f>
        <x:v>1</x:v>
      </x:c>
      <x:c r="U254" s="4" t="n">
        <x:f t="shared" si="21">IF($O254="","",$O254*$R254)</x:f>
        <x:v>635076</x:v>
      </x:c>
      <x:c r="V254" s="4" t="n">
        <x:f t="shared" si="22">IF($P254="","",$P254*$S254)</x:f>
        <x:v>22593.6</x:v>
      </x:c>
      <x:c r="W254" s="4" t="n">
        <x:f t="shared" si="23">IF($Q254="","",$Q254*$T254)</x:f>
        <x:v>18838</x:v>
      </x:c>
      <x:c r="X254" s="4" t="n">
        <x:f>IFERROR(INDEX('参数'!$B$5:$B$7,MATCH($N254,'参数'!$A$5:$A$7,0)),"")</x:f>
        <x:v>1.25</x:v>
      </x:c>
      <x:c r="Y254" s="4" t="n">
        <x:f>IFERROR(INDEX('参数'!$C$5:$C$7,MATCH($N254,'参数'!$A$5:$A$7,0)),"")</x:f>
        <x:v>1</x:v>
      </x:c>
      <x:c r="Z254" s="4" t="n">
        <x:f>IFERROR(INDEX('参数'!$D$5:$D$7,MATCH($N254,'参数'!$A$5:$A$7,0)),"")</x:f>
        <x:v>1.25</x:v>
      </x:c>
      <x:c r="AA254" s="4" t="n">
        <x:f>IFERROR(INDEX('楼层配置'!$E$5:$E$104,MATCH($K254,'楼层配置'!$B$5:$B$104,0)),1)</x:f>
        <x:v>1.1648605910570602</x:v>
      </x:c>
      <x:c r="AB254" s="4" t="n">
        <x:f>IFERROR(INDEX('楼层配置'!$F$5:$F$104,MATCH($K254,'楼层配置'!$B$5:$B$104,0)),1)</x:f>
        <x:v>0.6778620425560711</x:v>
      </x:c>
      <x:c r="AC254" s="4" t="n">
        <x:f>IFERROR(INDEX('楼层配置'!$G$5:$G$104,MATCH($K254,'楼层配置'!$B$5:$B$104,0)),1)</x:f>
        <x:v>1</x:v>
      </x:c>
      <x:c r="AD254" s="6" t="n">
        <x:f t="shared" si="24">IFERROR($D254/$G254-1,"")</x:f>
        <x:v>-0.07320869464121771</x:v>
      </x:c>
      <x:c r="AE254" s="6" t="n">
        <x:f t="shared" si="25">IFERROR($E254/$H254-1,"")</x:f>
        <x:v>-0.0358222110299673</x:v>
      </x:c>
      <x:c r="AF254" s="6" t="n">
        <x:f t="shared" si="26">IFERROR($F254/$I254-1,"")</x:f>
        <x:v>0.3480650332035722</x:v>
      </x:c>
      <x:c r="AG254" s="4" t="str">
        <x:f t="shared" si="27">IF(AND($A254&gt;=1,$L254&gt;=1,$L254&lt;=500,OR($N254="Tank",$N254="DPS",$N254="Support"),ISNUMBER($D254),ISNUMBER($E254),ISNUMBER($F254)),"有效","异常")</x:f>
        <x:v>有效</x:v>
      </x:c>
      <x:c r="AH254" t="n">
        <x:f>D254/(1-MIN(0.75,F254/(24000+F254)))</x:f>
        <x:v>1832022.4588333333</x:v>
      </x:c>
    </x:row>
    <x:row r="255" ht="14.25" customHeight="1">
      <x:c r="A255" s="4">
        <x:v>251</x:v>
      </x:c>
      <x:c r="B255" s="4">
        <x:v>1030</x:v>
      </x:c>
      <x:c r="C255" s="4">
        <x:v>35</x:v>
      </x:c>
      <x:c r="D255" s="5" t="n">
        <x:f>IFERROR(ROUND($U255*$X255*$AA255*'参数'!$B$13,0),"")</x:f>
        <x:v>1134668</x:v>
      </x:c>
      <x:c r="E255" s="5" t="n">
        <x:f>IFERROR(ROUND($V255*$Y255*$AB255*'参数'!$C$13,0),"")</x:f>
        <x:v>15626</x:v>
      </x:c>
      <x:c r="F255" s="5" t="n">
        <x:f>IFERROR(ROUND($W255*$Z255*$AC255*'参数'!$D$13,0),"")</x:f>
        <x:v>28613</x:v>
      </x:c>
      <x:c r="G255" s="4">
        <x:v>1266336</x:v>
      </x:c>
      <x:c r="H255" s="4">
        <x:v>16495</x:v>
      </x:c>
      <x:c r="I255" s="4">
        <x:v>21596</x:v>
      </x:c>
      <x:c r="J255" s="4">
        <x:v>51</x:v>
      </x:c>
      <x:c r="K255" s="4">
        <x:v>51</x:v>
      </x:c>
      <x:c r="L255" s="4" t="n">
        <x:f>IFERROR(INDEX('楼层配置'!$D$5:$D$104,MATCH($K255,'楼层配置'!$B$5:$B$104,0)),"")</x:f>
        <x:v>198</x:v>
      </x:c>
      <x:c r="M255" s="4" t="str">
        <x:f>IFERROR(INDEX('_角色基线'!$B$2:$B$100,MATCH($B255,'_角色基线'!$A$2:$A$100,0)),"")</x:f>
        <x:v>莫莉</x:v>
      </x:c>
      <x:c r="N255" s="4" t="str">
        <x:f>IFERROR(INDEX('_角色基线'!$C$2:$C$100,MATCH($B255,'_角色基线'!$A$2:$A$100,0)),"")</x:f>
        <x:v>Tank</x:v>
      </x:c>
      <x:c r="O255" s="4" t="n">
        <x:f>IFERROR(INDEX('_怪物基线'!$B$2:$B$501,MATCH(INT($L255),'_怪物基线'!$A$2:$A$501,0)),"")</x:f>
        <x:v>162716</x:v>
      </x:c>
      <x:c r="P255" s="4" t="n">
        <x:f>IFERROR(INDEX('_怪物基线'!$C$2:$C$501,MATCH(INT($L255),'_怪物基线'!$A$2:$A$501,0)),"")</x:f>
        <x:v>19166</x:v>
      </x:c>
      <x:c r="Q255" s="4" t="n">
        <x:f>IFERROR(INDEX('_怪物基线'!$D$2:$D$501,MATCH(INT($L255),'_怪物基线'!$A$2:$A$501,0)),"")</x:f>
        <x:v>19075</x:v>
      </x:c>
      <x:c r="R255" s="4" t="n">
        <x:f>'参数'!$B$10</x:f>
        <x:v>4</x:v>
      </x:c>
      <x:c r="S255" s="4" t="n">
        <x:f>'参数'!$C$10</x:f>
        <x:v>1.2</x:v>
      </x:c>
      <x:c r="T255" s="4" t="n">
        <x:f>'参数'!$D$10</x:f>
        <x:v>1</x:v>
      </x:c>
      <x:c r="U255" s="4" t="n">
        <x:f t="shared" si="21">IF($O255="","",$O255*$R255)</x:f>
        <x:v>650864</x:v>
      </x:c>
      <x:c r="V255" s="4" t="n">
        <x:f t="shared" si="22">IF($P255="","",$P255*$S255)</x:f>
        <x:v>22999.2</x:v>
      </x:c>
      <x:c r="W255" s="4" t="n">
        <x:f t="shared" si="23">IF($Q255="","",$Q255*$T255)</x:f>
        <x:v>19075</x:v>
      </x:c>
      <x:c r="X255" s="4" t="n">
        <x:f>IFERROR(INDEX('参数'!$B$5:$B$7,MATCH($N255,'参数'!$A$5:$A$7,0)),"")</x:f>
        <x:v>1.5</x:v>
      </x:c>
      <x:c r="Y255" s="4" t="n">
        <x:f>IFERROR(INDEX('参数'!$C$5:$C$7,MATCH($N255,'参数'!$A$5:$A$7,0)),"")</x:f>
        <x:v>1</x:v>
      </x:c>
      <x:c r="Z255" s="4" t="n">
        <x:f>IFERROR(INDEX('参数'!$D$5:$D$7,MATCH($N255,'参数'!$A$5:$A$7,0)),"")</x:f>
        <x:v>1.5</x:v>
      </x:c>
      <x:c r="AA255" s="4" t="n">
        <x:f>IFERROR(INDEX('楼层配置'!$E$5:$E$104,MATCH($K255,'楼层配置'!$B$5:$B$104,0)),1)</x:f>
        <x:v>1.162216969521625</x:v>
      </x:c>
      <x:c r="AB255" s="4" t="n">
        <x:f>IFERROR(INDEX('楼层配置'!$F$5:$F$104,MATCH($K255,'楼层配置'!$B$5:$B$104,0)),1)</x:f>
        <x:v>0.6794221607635226</x:v>
      </x:c>
      <x:c r="AC255" s="4" t="n">
        <x:f>IFERROR(INDEX('楼层配置'!$G$5:$G$104,MATCH($K255,'楼层配置'!$B$5:$B$104,0)),1)</x:f>
        <x:v>1</x:v>
      </x:c>
      <x:c r="AD255" s="6" t="n">
        <x:f t="shared" si="24">IFERROR($D255/$G255-1,"")</x:f>
        <x:v>-0.10397556414727216</x:v>
      </x:c>
      <x:c r="AE255" s="6" t="n">
        <x:f t="shared" si="25">IFERROR($E255/$H255-1,"")</x:f>
        <x:v>-0.052682631100333444</x:v>
      </x:c>
      <x:c r="AF255" s="6" t="n">
        <x:f t="shared" si="26">IFERROR($F255/$I255-1,"")</x:f>
        <x:v>0.3249212817188367</x:v>
      </x:c>
      <x:c r="AG255" s="4" t="str">
        <x:f t="shared" si="27">IF(AND($A255&gt;=1,$L255&gt;=1,$L255&lt;=500,OR($N255="Tank",$N255="DPS",$N255="Support"),ISNUMBER($D255),ISNUMBER($E255),ISNUMBER($F255)),"有效","异常")</x:f>
        <x:v>有效</x:v>
      </x:c>
      <x:c r="AH255" t="n">
        <x:f>D255/(1-MIN(0.75,F255/(24000+F255)))</x:f>
        <x:v>2487428.6451666667</x:v>
      </x:c>
    </x:row>
    <x:row r="256" ht="14.25" customHeight="1">
      <x:c r="A256" s="4">
        <x:v>252</x:v>
      </x:c>
      <x:c r="B256" s="4">
        <x:v>1015</x:v>
      </x:c>
      <x:c r="C256" s="4">
        <x:v>35</x:v>
      </x:c>
      <x:c r="D256" s="5" t="n">
        <x:f>IFERROR(ROUND($U256*$X256*$AA256*'参数'!$B$13,0),"")</x:f>
        <x:v>945556</x:v>
      </x:c>
      <x:c r="E256" s="5" t="n">
        <x:f>IFERROR(ROUND($V256*$Y256*$AB256*'参数'!$C$13,0),"")</x:f>
        <x:v>15626</x:v>
      </x:c>
      <x:c r="F256" s="5" t="n">
        <x:f>IFERROR(ROUND($W256*$Z256*$AC256*'参数'!$D$13,0),"")</x:f>
        <x:v>23844</x:v>
      </x:c>
      <x:c r="G256" s="4">
        <x:v>1055280</x:v>
      </x:c>
      <x:c r="H256" s="4">
        <x:v>16495</x:v>
      </x:c>
      <x:c r="I256" s="4">
        <x:v>17997</x:v>
      </x:c>
      <x:c r="J256" s="4">
        <x:v>51</x:v>
      </x:c>
      <x:c r="K256" s="4">
        <x:v>51</x:v>
      </x:c>
      <x:c r="L256" s="4" t="n">
        <x:f>IFERROR(INDEX('楼层配置'!$D$5:$D$104,MATCH($K256,'楼层配置'!$B$5:$B$104,0)),"")</x:f>
        <x:v>198</x:v>
      </x:c>
      <x:c r="M256" s="4" t="str">
        <x:f>IFERROR(INDEX('_角色基线'!$B$2:$B$100,MATCH($B256,'_角色基线'!$A$2:$A$100,0)),"")</x:f>
        <x:v>阿莱克西娅</x:v>
      </x:c>
      <x:c r="N256" s="4" t="str">
        <x:f>IFERROR(INDEX('_角色基线'!$C$2:$C$100,MATCH($B256,'_角色基线'!$A$2:$A$100,0)),"")</x:f>
        <x:v>Support</x:v>
      </x:c>
      <x:c r="O256" s="4" t="n">
        <x:f>IFERROR(INDEX('_怪物基线'!$B$2:$B$501,MATCH(INT($L256),'_怪物基线'!$A$2:$A$501,0)),"")</x:f>
        <x:v>162716</x:v>
      </x:c>
      <x:c r="P256" s="4" t="n">
        <x:f>IFERROR(INDEX('_怪物基线'!$C$2:$C$501,MATCH(INT($L256),'_怪物基线'!$A$2:$A$501,0)),"")</x:f>
        <x:v>19166</x:v>
      </x:c>
      <x:c r="Q256" s="4" t="n">
        <x:f>IFERROR(INDEX('_怪物基线'!$D$2:$D$501,MATCH(INT($L256),'_怪物基线'!$A$2:$A$501,0)),"")</x:f>
        <x:v>19075</x:v>
      </x:c>
      <x:c r="R256" s="4" t="n">
        <x:f>'参数'!$B$10</x:f>
        <x:v>4</x:v>
      </x:c>
      <x:c r="S256" s="4" t="n">
        <x:f>'参数'!$C$10</x:f>
        <x:v>1.2</x:v>
      </x:c>
      <x:c r="T256" s="4" t="n">
        <x:f>'参数'!$D$10</x:f>
        <x:v>1</x:v>
      </x:c>
      <x:c r="U256" s="4" t="n">
        <x:f t="shared" si="21">IF($O256="","",$O256*$R256)</x:f>
        <x:v>650864</x:v>
      </x:c>
      <x:c r="V256" s="4" t="n">
        <x:f t="shared" si="22">IF($P256="","",$P256*$S256)</x:f>
        <x:v>22999.2</x:v>
      </x:c>
      <x:c r="W256" s="4" t="n">
        <x:f t="shared" si="23">IF($Q256="","",$Q256*$T256)</x:f>
        <x:v>19075</x:v>
      </x:c>
      <x:c r="X256" s="4" t="n">
        <x:f>IFERROR(INDEX('参数'!$B$5:$B$7,MATCH($N256,'参数'!$A$5:$A$7,0)),"")</x:f>
        <x:v>1.25</x:v>
      </x:c>
      <x:c r="Y256" s="4" t="n">
        <x:f>IFERROR(INDEX('参数'!$C$5:$C$7,MATCH($N256,'参数'!$A$5:$A$7,0)),"")</x:f>
        <x:v>1</x:v>
      </x:c>
      <x:c r="Z256" s="4" t="n">
        <x:f>IFERROR(INDEX('参数'!$D$5:$D$7,MATCH($N256,'参数'!$A$5:$A$7,0)),"")</x:f>
        <x:v>1.25</x:v>
      </x:c>
      <x:c r="AA256" s="4" t="n">
        <x:f>IFERROR(INDEX('楼层配置'!$E$5:$E$104,MATCH($K256,'楼层配置'!$B$5:$B$104,0)),1)</x:f>
        <x:v>1.162216969521625</x:v>
      </x:c>
      <x:c r="AB256" s="4" t="n">
        <x:f>IFERROR(INDEX('楼层配置'!$F$5:$F$104,MATCH($K256,'楼层配置'!$B$5:$B$104,0)),1)</x:f>
        <x:v>0.6794221607635226</x:v>
      </x:c>
      <x:c r="AC256" s="4" t="n">
        <x:f>IFERROR(INDEX('楼层配置'!$G$5:$G$104,MATCH($K256,'楼层配置'!$B$5:$B$104,0)),1)</x:f>
        <x:v>1</x:v>
      </x:c>
      <x:c r="AD256" s="6" t="n">
        <x:f t="shared" si="24">IFERROR($D256/$G256-1,"")</x:f>
        <x:v>-0.10397619589113793</x:v>
      </x:c>
      <x:c r="AE256" s="6" t="n">
        <x:f t="shared" si="25">IFERROR($E256/$H256-1,"")</x:f>
        <x:v>-0.052682631100333444</x:v>
      </x:c>
      <x:c r="AF256" s="6" t="n">
        <x:f t="shared" si="26">IFERROR($F256/$I256-1,"")</x:f>
        <x:v>0.3248874812468745</x:v>
      </x:c>
      <x:c r="AG256" s="4" t="str">
        <x:f t="shared" si="27">IF(AND($A256&gt;=1,$L256&gt;=1,$L256&lt;=500,OR($N256="Tank",$N256="DPS",$N256="Support"),ISNUMBER($D256),ISNUMBER($E256),ISNUMBER($F256)),"有效","异常")</x:f>
        <x:v>有效</x:v>
      </x:c>
      <x:c r="AH256" t="n">
        <x:f>D256/(1-MIN(0.75,F256/(24000+F256)))</x:f>
        <x:v>1884965.886</x:v>
      </x:c>
    </x:row>
    <x:row r="257" ht="14.25" customHeight="1">
      <x:c r="A257" s="4">
        <x:v>253</x:v>
      </x:c>
      <x:c r="B257" s="4">
        <x:v>1014</x:v>
      </x:c>
      <x:c r="C257" s="4">
        <x:v>35</x:v>
      </x:c>
      <x:c r="D257" s="5" t="n">
        <x:f>IFERROR(ROUND($U257*$X257*$AA257*'参数'!$B$13,0),"")</x:f>
        <x:v>756445</x:v>
      </x:c>
      <x:c r="E257" s="5" t="n">
        <x:f>IFERROR(ROUND($V257*$Y257*$AB257*'参数'!$C$13,0),"")</x:f>
        <x:v>18751</x:v>
      </x:c>
      <x:c r="F257" s="5" t="n">
        <x:f>IFERROR(ROUND($W257*$Z257*$AC257*'参数'!$D$13,0),"")</x:f>
        <x:v>19075</x:v>
      </x:c>
      <x:c r="G257" s="4">
        <x:v>844224</x:v>
      </x:c>
      <x:c r="H257" s="4">
        <x:v>19794</x:v>
      </x:c>
      <x:c r="I257" s="4">
        <x:v>14397</x:v>
      </x:c>
      <x:c r="J257" s="4">
        <x:v>51</x:v>
      </x:c>
      <x:c r="K257" s="4">
        <x:v>51</x:v>
      </x:c>
      <x:c r="L257" s="4" t="n">
        <x:f>IFERROR(INDEX('楼层配置'!$D$5:$D$104,MATCH($K257,'楼层配置'!$B$5:$B$104,0)),"")</x:f>
        <x:v>198</x:v>
      </x:c>
      <x:c r="M257" s="4" t="str">
        <x:f>IFERROR(INDEX('_角色基线'!$B$2:$B$100,MATCH($B257,'_角色基线'!$A$2:$A$100,0)),"")</x:f>
        <x:v>克莉丝汀</x:v>
      </x:c>
      <x:c r="N257" s="4" t="str">
        <x:f>IFERROR(INDEX('_角色基线'!$C$2:$C$100,MATCH($B257,'_角色基线'!$A$2:$A$100,0)),"")</x:f>
        <x:v>DPS</x:v>
      </x:c>
      <x:c r="O257" s="4" t="n">
        <x:f>IFERROR(INDEX('_怪物基线'!$B$2:$B$501,MATCH(INT($L257),'_怪物基线'!$A$2:$A$501,0)),"")</x:f>
        <x:v>162716</x:v>
      </x:c>
      <x:c r="P257" s="4" t="n">
        <x:f>IFERROR(INDEX('_怪物基线'!$C$2:$C$501,MATCH(INT($L257),'_怪物基线'!$A$2:$A$501,0)),"")</x:f>
        <x:v>19166</x:v>
      </x:c>
      <x:c r="Q257" s="4" t="n">
        <x:f>IFERROR(INDEX('_怪物基线'!$D$2:$D$501,MATCH(INT($L257),'_怪物基线'!$A$2:$A$501,0)),"")</x:f>
        <x:v>19075</x:v>
      </x:c>
      <x:c r="R257" s="4" t="n">
        <x:f>'参数'!$B$10</x:f>
        <x:v>4</x:v>
      </x:c>
      <x:c r="S257" s="4" t="n">
        <x:f>'参数'!$C$10</x:f>
        <x:v>1.2</x:v>
      </x:c>
      <x:c r="T257" s="4" t="n">
        <x:f>'参数'!$D$10</x:f>
        <x:v>1</x:v>
      </x:c>
      <x:c r="U257" s="4" t="n">
        <x:f t="shared" si="21">IF($O257="","",$O257*$R257)</x:f>
        <x:v>650864</x:v>
      </x:c>
      <x:c r="V257" s="4" t="n">
        <x:f t="shared" si="22">IF($P257="","",$P257*$S257)</x:f>
        <x:v>22999.2</x:v>
      </x:c>
      <x:c r="W257" s="4" t="n">
        <x:f t="shared" si="23">IF($Q257="","",$Q257*$T257)</x:f>
        <x:v>19075</x:v>
      </x:c>
      <x:c r="X257" s="4" t="n">
        <x:f>IFERROR(INDEX('参数'!$B$5:$B$7,MATCH($N257,'参数'!$A$5:$A$7,0)),"")</x:f>
        <x:v>1</x:v>
      </x:c>
      <x:c r="Y257" s="4" t="n">
        <x:f>IFERROR(INDEX('参数'!$C$5:$C$7,MATCH($N257,'参数'!$A$5:$A$7,0)),"")</x:f>
        <x:v>1.2</x:v>
      </x:c>
      <x:c r="Z257" s="4" t="n">
        <x:f>IFERROR(INDEX('参数'!$D$5:$D$7,MATCH($N257,'参数'!$A$5:$A$7,0)),"")</x:f>
        <x:v>1</x:v>
      </x:c>
      <x:c r="AA257" s="4" t="n">
        <x:f>IFERROR(INDEX('楼层配置'!$E$5:$E$104,MATCH($K257,'楼层配置'!$B$5:$B$104,0)),1)</x:f>
        <x:v>1.162216969521625</x:v>
      </x:c>
      <x:c r="AB257" s="4" t="n">
        <x:f>IFERROR(INDEX('楼层配置'!$F$5:$F$104,MATCH($K257,'楼层配置'!$B$5:$B$104,0)),1)</x:f>
        <x:v>0.6794221607635226</x:v>
      </x:c>
      <x:c r="AC257" s="4" t="n">
        <x:f>IFERROR(INDEX('楼层配置'!$G$5:$G$104,MATCH($K257,'楼层配置'!$B$5:$B$104,0)),1)</x:f>
        <x:v>1</x:v>
      </x:c>
      <x:c r="AD257" s="6" t="n">
        <x:f t="shared" si="24">IFERROR($D257/$G257-1,"")</x:f>
        <x:v>-0.10397595898718826</x:v>
      </x:c>
      <x:c r="AE257" s="6" t="n">
        <x:f t="shared" si="25">IFERROR($E257/$H257-1,"")</x:f>
        <x:v>-0.05269273517227446</x:v>
      </x:c>
      <x:c r="AF257" s="6" t="n">
        <x:f t="shared" si="26">IFERROR($F257/$I257-1,"")</x:f>
        <x:v>0.32492880461207196</x:v>
      </x:c>
      <x:c r="AG257" s="4" t="str">
        <x:f t="shared" si="27">IF(AND($A257&gt;=1,$L257&gt;=1,$L257&lt;=500,OR($N257="Tank",$N257="DPS",$N257="Support"),ISNUMBER($D257),ISNUMBER($E257),ISNUMBER($F257)),"有效","异常")</x:f>
        <x:v>有效</x:v>
      </x:c>
      <x:c r="AH257" t="n">
        <x:f>D257/(1-MIN(0.75,F257/(24000+F257)))</x:f>
        <x:v>1357661.1822916665</x:v>
      </x:c>
    </x:row>
    <x:row r="258" ht="14.25" customHeight="1">
      <x:c r="A258" s="4">
        <x:v>254</x:v>
      </x:c>
      <x:c r="B258" s="4">
        <x:v>1005</x:v>
      </x:c>
      <x:c r="C258" s="4">
        <x:v>35</x:v>
      </x:c>
      <x:c r="D258" s="5" t="n">
        <x:f>IFERROR(ROUND($U258*$X258*$AA258*'参数'!$B$13,0),"")</x:f>
        <x:v>756445</x:v>
      </x:c>
      <x:c r="E258" s="5" t="n">
        <x:f>IFERROR(ROUND($V258*$Y258*$AB258*'参数'!$C$13,0),"")</x:f>
        <x:v>18751</x:v>
      </x:c>
      <x:c r="F258" s="5" t="n">
        <x:f>IFERROR(ROUND($W258*$Z258*$AC258*'参数'!$D$13,0),"")</x:f>
        <x:v>19075</x:v>
      </x:c>
      <x:c r="G258" s="4">
        <x:v>844224</x:v>
      </x:c>
      <x:c r="H258" s="4">
        <x:v>19794</x:v>
      </x:c>
      <x:c r="I258" s="4">
        <x:v>14397</x:v>
      </x:c>
      <x:c r="J258" s="4">
        <x:v>51</x:v>
      </x:c>
      <x:c r="K258" s="4">
        <x:v>51</x:v>
      </x:c>
      <x:c r="L258" s="4" t="n">
        <x:f>IFERROR(INDEX('楼层配置'!$D$5:$D$104,MATCH($K258,'楼层配置'!$B$5:$B$104,0)),"")</x:f>
        <x:v>198</x:v>
      </x:c>
      <x:c r="M258" s="4" t="str">
        <x:f>IFERROR(INDEX('_角色基线'!$B$2:$B$100,MATCH($B258,'_角色基线'!$A$2:$A$100,0)),"")</x:f>
        <x:v>陈单单</x:v>
      </x:c>
      <x:c r="N258" s="4" t="str">
        <x:f>IFERROR(INDEX('_角色基线'!$C$2:$C$100,MATCH($B258,'_角色基线'!$A$2:$A$100,0)),"")</x:f>
        <x:v>DPS</x:v>
      </x:c>
      <x:c r="O258" s="4" t="n">
        <x:f>IFERROR(INDEX('_怪物基线'!$B$2:$B$501,MATCH(INT($L258),'_怪物基线'!$A$2:$A$501,0)),"")</x:f>
        <x:v>162716</x:v>
      </x:c>
      <x:c r="P258" s="4" t="n">
        <x:f>IFERROR(INDEX('_怪物基线'!$C$2:$C$501,MATCH(INT($L258),'_怪物基线'!$A$2:$A$501,0)),"")</x:f>
        <x:v>19166</x:v>
      </x:c>
      <x:c r="Q258" s="4" t="n">
        <x:f>IFERROR(INDEX('_怪物基线'!$D$2:$D$501,MATCH(INT($L258),'_怪物基线'!$A$2:$A$501,0)),"")</x:f>
        <x:v>19075</x:v>
      </x:c>
      <x:c r="R258" s="4" t="n">
        <x:f>'参数'!$B$10</x:f>
        <x:v>4</x:v>
      </x:c>
      <x:c r="S258" s="4" t="n">
        <x:f>'参数'!$C$10</x:f>
        <x:v>1.2</x:v>
      </x:c>
      <x:c r="T258" s="4" t="n">
        <x:f>'参数'!$D$10</x:f>
        <x:v>1</x:v>
      </x:c>
      <x:c r="U258" s="4" t="n">
        <x:f t="shared" si="21">IF($O258="","",$O258*$R258)</x:f>
        <x:v>650864</x:v>
      </x:c>
      <x:c r="V258" s="4" t="n">
        <x:f t="shared" si="22">IF($P258="","",$P258*$S258)</x:f>
        <x:v>22999.2</x:v>
      </x:c>
      <x:c r="W258" s="4" t="n">
        <x:f t="shared" si="23">IF($Q258="","",$Q258*$T258)</x:f>
        <x:v>19075</x:v>
      </x:c>
      <x:c r="X258" s="4" t="n">
        <x:f>IFERROR(INDEX('参数'!$B$5:$B$7,MATCH($N258,'参数'!$A$5:$A$7,0)),"")</x:f>
        <x:v>1</x:v>
      </x:c>
      <x:c r="Y258" s="4" t="n">
        <x:f>IFERROR(INDEX('参数'!$C$5:$C$7,MATCH($N258,'参数'!$A$5:$A$7,0)),"")</x:f>
        <x:v>1.2</x:v>
      </x:c>
      <x:c r="Z258" s="4" t="n">
        <x:f>IFERROR(INDEX('参数'!$D$5:$D$7,MATCH($N258,'参数'!$A$5:$A$7,0)),"")</x:f>
        <x:v>1</x:v>
      </x:c>
      <x:c r="AA258" s="4" t="n">
        <x:f>IFERROR(INDEX('楼层配置'!$E$5:$E$104,MATCH($K258,'楼层配置'!$B$5:$B$104,0)),1)</x:f>
        <x:v>1.162216969521625</x:v>
      </x:c>
      <x:c r="AB258" s="4" t="n">
        <x:f>IFERROR(INDEX('楼层配置'!$F$5:$F$104,MATCH($K258,'楼层配置'!$B$5:$B$104,0)),1)</x:f>
        <x:v>0.6794221607635226</x:v>
      </x:c>
      <x:c r="AC258" s="4" t="n">
        <x:f>IFERROR(INDEX('楼层配置'!$G$5:$G$104,MATCH($K258,'楼层配置'!$B$5:$B$104,0)),1)</x:f>
        <x:v>1</x:v>
      </x:c>
      <x:c r="AD258" s="6" t="n">
        <x:f t="shared" si="24">IFERROR($D258/$G258-1,"")</x:f>
        <x:v>-0.10397595898718826</x:v>
      </x:c>
      <x:c r="AE258" s="6" t="n">
        <x:f t="shared" si="25">IFERROR($E258/$H258-1,"")</x:f>
        <x:v>-0.05269273517227446</x:v>
      </x:c>
      <x:c r="AF258" s="6" t="n">
        <x:f t="shared" si="26">IFERROR($F258/$I258-1,"")</x:f>
        <x:v>0.32492880461207196</x:v>
      </x:c>
      <x:c r="AG258" s="4" t="str">
        <x:f t="shared" si="27">IF(AND($A258&gt;=1,$L258&gt;=1,$L258&lt;=500,OR($N258="Tank",$N258="DPS",$N258="Support"),ISNUMBER($D258),ISNUMBER($E258),ISNUMBER($F258)),"有效","异常")</x:f>
        <x:v>有效</x:v>
      </x:c>
      <x:c r="AH258" t="n">
        <x:f>D258/(1-MIN(0.75,F258/(24000+F258)))</x:f>
        <x:v>1357661.1822916665</x:v>
      </x:c>
    </x:row>
    <x:row r="259" ht="14.25" customHeight="1">
      <x:c r="A259" s="4">
        <x:v>255</x:v>
      </x:c>
      <x:c r="B259" s="4">
        <x:v>1006</x:v>
      </x:c>
      <x:c r="C259" s="4">
        <x:v>35</x:v>
      </x:c>
      <x:c r="D259" s="5" t="n">
        <x:f>IFERROR(ROUND($U259*$X259*$AA259*'参数'!$B$13,0),"")</x:f>
        <x:v>756445</x:v>
      </x:c>
      <x:c r="E259" s="5" t="n">
        <x:f>IFERROR(ROUND($V259*$Y259*$AB259*'参数'!$C$13,0),"")</x:f>
        <x:v>18751</x:v>
      </x:c>
      <x:c r="F259" s="5" t="n">
        <x:f>IFERROR(ROUND($W259*$Z259*$AC259*'参数'!$D$13,0),"")</x:f>
        <x:v>19075</x:v>
      </x:c>
      <x:c r="G259" s="4">
        <x:v>844224</x:v>
      </x:c>
      <x:c r="H259" s="4">
        <x:v>19794</x:v>
      </x:c>
      <x:c r="I259" s="4">
        <x:v>14397</x:v>
      </x:c>
      <x:c r="J259" s="4">
        <x:v>51</x:v>
      </x:c>
      <x:c r="K259" s="4">
        <x:v>51</x:v>
      </x:c>
      <x:c r="L259" s="4" t="n">
        <x:f>IFERROR(INDEX('楼层配置'!$D$5:$D$104,MATCH($K259,'楼层配置'!$B$5:$B$104,0)),"")</x:f>
        <x:v>198</x:v>
      </x:c>
      <x:c r="M259" s="4" t="str">
        <x:f>IFERROR(INDEX('_角色基线'!$B$2:$B$100,MATCH($B259,'_角色基线'!$A$2:$A$100,0)),"")</x:f>
        <x:v>莉莉娅</x:v>
      </x:c>
      <x:c r="N259" s="4" t="str">
        <x:f>IFERROR(INDEX('_角色基线'!$C$2:$C$100,MATCH($B259,'_角色基线'!$A$2:$A$100,0)),"")</x:f>
        <x:v>DPS</x:v>
      </x:c>
      <x:c r="O259" s="4" t="n">
        <x:f>IFERROR(INDEX('_怪物基线'!$B$2:$B$501,MATCH(INT($L259),'_怪物基线'!$A$2:$A$501,0)),"")</x:f>
        <x:v>162716</x:v>
      </x:c>
      <x:c r="P259" s="4" t="n">
        <x:f>IFERROR(INDEX('_怪物基线'!$C$2:$C$501,MATCH(INT($L259),'_怪物基线'!$A$2:$A$501,0)),"")</x:f>
        <x:v>19166</x:v>
      </x:c>
      <x:c r="Q259" s="4" t="n">
        <x:f>IFERROR(INDEX('_怪物基线'!$D$2:$D$501,MATCH(INT($L259),'_怪物基线'!$A$2:$A$501,0)),"")</x:f>
        <x:v>19075</x:v>
      </x:c>
      <x:c r="R259" s="4" t="n">
        <x:f>'参数'!$B$10</x:f>
        <x:v>4</x:v>
      </x:c>
      <x:c r="S259" s="4" t="n">
        <x:f>'参数'!$C$10</x:f>
        <x:v>1.2</x:v>
      </x:c>
      <x:c r="T259" s="4" t="n">
        <x:f>'参数'!$D$10</x:f>
        <x:v>1</x:v>
      </x:c>
      <x:c r="U259" s="4" t="n">
        <x:f t="shared" si="21">IF($O259="","",$O259*$R259)</x:f>
        <x:v>650864</x:v>
      </x:c>
      <x:c r="V259" s="4" t="n">
        <x:f t="shared" si="22">IF($P259="","",$P259*$S259)</x:f>
        <x:v>22999.2</x:v>
      </x:c>
      <x:c r="W259" s="4" t="n">
        <x:f t="shared" si="23">IF($Q259="","",$Q259*$T259)</x:f>
        <x:v>19075</x:v>
      </x:c>
      <x:c r="X259" s="4" t="n">
        <x:f>IFERROR(INDEX('参数'!$B$5:$B$7,MATCH($N259,'参数'!$A$5:$A$7,0)),"")</x:f>
        <x:v>1</x:v>
      </x:c>
      <x:c r="Y259" s="4" t="n">
        <x:f>IFERROR(INDEX('参数'!$C$5:$C$7,MATCH($N259,'参数'!$A$5:$A$7,0)),"")</x:f>
        <x:v>1.2</x:v>
      </x:c>
      <x:c r="Z259" s="4" t="n">
        <x:f>IFERROR(INDEX('参数'!$D$5:$D$7,MATCH($N259,'参数'!$A$5:$A$7,0)),"")</x:f>
        <x:v>1</x:v>
      </x:c>
      <x:c r="AA259" s="4" t="n">
        <x:f>IFERROR(INDEX('楼层配置'!$E$5:$E$104,MATCH($K259,'楼层配置'!$B$5:$B$104,0)),1)</x:f>
        <x:v>1.162216969521625</x:v>
      </x:c>
      <x:c r="AB259" s="4" t="n">
        <x:f>IFERROR(INDEX('楼层配置'!$F$5:$F$104,MATCH($K259,'楼层配置'!$B$5:$B$104,0)),1)</x:f>
        <x:v>0.6794221607635226</x:v>
      </x:c>
      <x:c r="AC259" s="4" t="n">
        <x:f>IFERROR(INDEX('楼层配置'!$G$5:$G$104,MATCH($K259,'楼层配置'!$B$5:$B$104,0)),1)</x:f>
        <x:v>1</x:v>
      </x:c>
      <x:c r="AD259" s="6" t="n">
        <x:f t="shared" si="24">IFERROR($D259/$G259-1,"")</x:f>
        <x:v>-0.10397595898718826</x:v>
      </x:c>
      <x:c r="AE259" s="6" t="n">
        <x:f t="shared" si="25">IFERROR($E259/$H259-1,"")</x:f>
        <x:v>-0.05269273517227446</x:v>
      </x:c>
      <x:c r="AF259" s="6" t="n">
        <x:f t="shared" si="26">IFERROR($F259/$I259-1,"")</x:f>
        <x:v>0.32492880461207196</x:v>
      </x:c>
      <x:c r="AG259" s="4" t="str">
        <x:f t="shared" si="27">IF(AND($A259&gt;=1,$L259&gt;=1,$L259&lt;=500,OR($N259="Tank",$N259="DPS",$N259="Support"),ISNUMBER($D259),ISNUMBER($E259),ISNUMBER($F259)),"有效","异常")</x:f>
        <x:v>有效</x:v>
      </x:c>
      <x:c r="AH259" t="n">
        <x:f>D259/(1-MIN(0.75,F259/(24000+F259)))</x:f>
        <x:v>1357661.1822916665</x:v>
      </x:c>
    </x:row>
    <x:row r="260" ht="14.25" customHeight="1">
      <x:c r="A260" s="4">
        <x:v>256</x:v>
      </x:c>
      <x:c r="B260" s="4">
        <x:v>1003</x:v>
      </x:c>
      <x:c r="C260" s="4">
        <x:v>36</x:v>
      </x:c>
      <x:c r="D260" s="5" t="n">
        <x:f>IFERROR(ROUND($U260*$X260*$AA260*'参数'!$B$13,0),"")</x:f>
        <x:v>1169721</x:v>
      </x:c>
      <x:c r="E260" s="5" t="n">
        <x:f>IFERROR(ROUND($V260*$Y260*$AB260*'参数'!$C$13,0),"")</x:f>
        <x:v>16013</x:v>
      </x:c>
      <x:c r="F260" s="5" t="n">
        <x:f>IFERROR(ROUND($W260*$Z260*$AC260*'参数'!$D$13,0),"")</x:f>
        <x:v>29150</x:v>
      </x:c>
      <x:c r="G260" s="4">
        <x:v>1323561</x:v>
      </x:c>
      <x:c r="H260" s="4">
        <x:v>16997</x:v>
      </x:c>
      <x:c r="I260" s="4">
        <x:v>22108</x:v>
      </x:c>
      <x:c r="J260" s="4">
        <x:v>52</x:v>
      </x:c>
      <x:c r="K260" s="4">
        <x:v>52</x:v>
      </x:c>
      <x:c r="L260" s="4" t="n">
        <x:f>IFERROR(INDEX('楼层配置'!$D$5:$D$104,MATCH($K260,'楼层配置'!$B$5:$B$104,0)),"")</x:f>
        <x:v>201</x:v>
      </x:c>
      <x:c r="M260" s="4" t="str">
        <x:f>IFERROR(INDEX('_角色基线'!$B$2:$B$100,MATCH($B260,'_角色基线'!$A$2:$A$100,0)),"")</x:f>
        <x:v>塔拉夏</x:v>
      </x:c>
      <x:c r="N260" s="4" t="str">
        <x:f>IFERROR(INDEX('_角色基线'!$C$2:$C$100,MATCH($B260,'_角色基线'!$A$2:$A$100,0)),"")</x:f>
        <x:v>Tank</x:v>
      </x:c>
      <x:c r="O260" s="4" t="n">
        <x:f>IFERROR(INDEX('_怪物基线'!$B$2:$B$501,MATCH(INT($L260),'_怪物基线'!$A$2:$A$501,0)),"")</x:f>
        <x:v>168769</x:v>
      </x:c>
      <x:c r="P260" s="4" t="n">
        <x:f>IFERROR(INDEX('_怪物基线'!$C$2:$C$501,MATCH(INT($L260),'_怪物基线'!$A$2:$A$501,0)),"")</x:f>
        <x:v>19681</x:v>
      </x:c>
      <x:c r="Q260" s="4" t="n">
        <x:f>IFERROR(INDEX('_怪物基线'!$D$2:$D$501,MATCH(INT($L260),'_怪物基线'!$A$2:$A$501,0)),"")</x:f>
        <x:v>19433</x:v>
      </x:c>
      <x:c r="R260" s="4" t="n">
        <x:f>'参数'!$B$10</x:f>
        <x:v>4</x:v>
      </x:c>
      <x:c r="S260" s="4" t="n">
        <x:f>'参数'!$C$10</x:f>
        <x:v>1.2</x:v>
      </x:c>
      <x:c r="T260" s="4" t="n">
        <x:f>'参数'!$D$10</x:f>
        <x:v>1</x:v>
      </x:c>
      <x:c r="U260" s="4" t="n">
        <x:f t="shared" si="21">IF($O260="","",$O260*$R260)</x:f>
        <x:v>675076</x:v>
      </x:c>
      <x:c r="V260" s="4" t="n">
        <x:f t="shared" si="22">IF($P260="","",$P260*$S260)</x:f>
        <x:v>23617.2</x:v>
      </x:c>
      <x:c r="W260" s="4" t="n">
        <x:f t="shared" si="23">IF($Q260="","",$Q260*$T260)</x:f>
        <x:v>19433</x:v>
      </x:c>
      <x:c r="X260" s="4" t="n">
        <x:f>IFERROR(INDEX('参数'!$B$5:$B$7,MATCH($N260,'参数'!$A$5:$A$7,0)),"")</x:f>
        <x:v>1.5</x:v>
      </x:c>
      <x:c r="Y260" s="4" t="n">
        <x:f>IFERROR(INDEX('参数'!$C$5:$C$7,MATCH($N260,'参数'!$A$5:$A$7,0)),"")</x:f>
        <x:v>1</x:v>
      </x:c>
      <x:c r="Z260" s="4" t="n">
        <x:f>IFERROR(INDEX('参数'!$D$5:$D$7,MATCH($N260,'参数'!$A$5:$A$7,0)),"")</x:f>
        <x:v>1.5</x:v>
      </x:c>
      <x:c r="AA260" s="4" t="n">
        <x:f>IFERROR(INDEX('楼层配置'!$E$5:$E$104,MATCH($K260,'楼层配置'!$B$5:$B$104,0)),1)</x:f>
        <x:v>1.155149893181229</x:v>
      </x:c>
      <x:c r="AB260" s="4" t="n">
        <x:f>IFERROR(INDEX('楼层配置'!$F$5:$F$104,MATCH($K260,'楼层配置'!$B$5:$B$104,0)),1)</x:f>
        <x:v>0.6780328935238747</x:v>
      </x:c>
      <x:c r="AC260" s="4" t="n">
        <x:f>IFERROR(INDEX('楼层配置'!$G$5:$G$104,MATCH($K260,'楼层配置'!$B$5:$B$104,0)),1)</x:f>
        <x:v>1</x:v>
      </x:c>
      <x:c r="AD260" s="6" t="n">
        <x:f t="shared" si="24">IFERROR($D260/$G260-1,"")</x:f>
        <x:v>-0.11623189259882993</x:v>
      </x:c>
      <x:c r="AE260" s="6" t="n">
        <x:f t="shared" si="25">IFERROR($E260/$H260-1,"")</x:f>
        <x:v>-0.057892569276931205</x:v>
      </x:c>
      <x:c r="AF260" s="6" t="n">
        <x:f t="shared" si="26">IFERROR($F260/$I260-1,"")</x:f>
        <x:v>0.3185272299620048</x:v>
      </x:c>
      <x:c r="AG260" s="4" t="str">
        <x:f t="shared" si="27">IF(AND($A260&gt;=1,$L260&gt;=1,$L260&lt;=500,OR($N260="Tank",$N260="DPS",$N260="Support"),ISNUMBER($D260),ISNUMBER($E260),ISNUMBER($F260)),"有效","异常")</x:f>
        <x:v>有效</x:v>
      </x:c>
      <x:c r="AH260" t="n">
        <x:f>D260/(1-MIN(0.75,F260/(24000+F260)))</x:f>
        <x:v>2590444.63125</x:v>
      </x:c>
    </x:row>
    <x:row r="261" ht="14.25" customHeight="1">
      <x:c r="A261" s="4">
        <x:v>257</x:v>
      </x:c>
      <x:c r="B261" s="4">
        <x:v>1014</x:v>
      </x:c>
      <x:c r="C261" s="4">
        <x:v>36</x:v>
      </x:c>
      <x:c r="D261" s="5" t="n">
        <x:f>IFERROR(ROUND($U261*$X261*$AA261*'参数'!$B$13,0),"")</x:f>
        <x:v>779814</x:v>
      </x:c>
      <x:c r="E261" s="5" t="n">
        <x:f>IFERROR(ROUND($V261*$Y261*$AB261*'参数'!$C$13,0),"")</x:f>
        <x:v>19216</x:v>
      </x:c>
      <x:c r="F261" s="5" t="n">
        <x:f>IFERROR(ROUND($W261*$Z261*$AC261*'参数'!$D$13,0),"")</x:f>
        <x:v>19433</x:v>
      </x:c>
      <x:c r="G261" s="4">
        <x:v>882374</x:v>
      </x:c>
      <x:c r="H261" s="4">
        <x:v>20396</x:v>
      </x:c>
      <x:c r="I261" s="4">
        <x:v>14739</x:v>
      </x:c>
      <x:c r="J261" s="4">
        <x:v>52</x:v>
      </x:c>
      <x:c r="K261" s="4">
        <x:v>52</x:v>
      </x:c>
      <x:c r="L261" s="4" t="n">
        <x:f>IFERROR(INDEX('楼层配置'!$D$5:$D$104,MATCH($K261,'楼层配置'!$B$5:$B$104,0)),"")</x:f>
        <x:v>201</x:v>
      </x:c>
      <x:c r="M261" s="4" t="str">
        <x:f>IFERROR(INDEX('_角色基线'!$B$2:$B$100,MATCH($B261,'_角色基线'!$A$2:$A$100,0)),"")</x:f>
        <x:v>克莉丝汀</x:v>
      </x:c>
      <x:c r="N261" s="4" t="str">
        <x:f>IFERROR(INDEX('_角色基线'!$C$2:$C$100,MATCH($B261,'_角色基线'!$A$2:$A$100,0)),"")</x:f>
        <x:v>DPS</x:v>
      </x:c>
      <x:c r="O261" s="4" t="n">
        <x:f>IFERROR(INDEX('_怪物基线'!$B$2:$B$501,MATCH(INT($L261),'_怪物基线'!$A$2:$A$501,0)),"")</x:f>
        <x:v>168769</x:v>
      </x:c>
      <x:c r="P261" s="4" t="n">
        <x:f>IFERROR(INDEX('_怪物基线'!$C$2:$C$501,MATCH(INT($L261),'_怪物基线'!$A$2:$A$501,0)),"")</x:f>
        <x:v>19681</x:v>
      </x:c>
      <x:c r="Q261" s="4" t="n">
        <x:f>IFERROR(INDEX('_怪物基线'!$D$2:$D$501,MATCH(INT($L261),'_怪物基线'!$A$2:$A$501,0)),"")</x:f>
        <x:v>19433</x:v>
      </x:c>
      <x:c r="R261" s="4" t="n">
        <x:f>'参数'!$B$10</x:f>
        <x:v>4</x:v>
      </x:c>
      <x:c r="S261" s="4" t="n">
        <x:f>'参数'!$C$10</x:f>
        <x:v>1.2</x:v>
      </x:c>
      <x:c r="T261" s="4" t="n">
        <x:f>'参数'!$D$10</x:f>
        <x:v>1</x:v>
      </x:c>
      <x:c r="U261" s="4" t="n">
        <x:f t="shared" ref="U261:U324" si="28">IF($O261="","",$O261*$R261)</x:f>
        <x:v>675076</x:v>
      </x:c>
      <x:c r="V261" s="4" t="n">
        <x:f t="shared" ref="V261:V324" si="29">IF($P261="","",$P261*$S261)</x:f>
        <x:v>23617.2</x:v>
      </x:c>
      <x:c r="W261" s="4" t="n">
        <x:f t="shared" ref="W261:W324" si="30">IF($Q261="","",$Q261*$T261)</x:f>
        <x:v>19433</x:v>
      </x:c>
      <x:c r="X261" s="4" t="n">
        <x:f>IFERROR(INDEX('参数'!$B$5:$B$7,MATCH($N261,'参数'!$A$5:$A$7,0)),"")</x:f>
        <x:v>1</x:v>
      </x:c>
      <x:c r="Y261" s="4" t="n">
        <x:f>IFERROR(INDEX('参数'!$C$5:$C$7,MATCH($N261,'参数'!$A$5:$A$7,0)),"")</x:f>
        <x:v>1.2</x:v>
      </x:c>
      <x:c r="Z261" s="4" t="n">
        <x:f>IFERROR(INDEX('参数'!$D$5:$D$7,MATCH($N261,'参数'!$A$5:$A$7,0)),"")</x:f>
        <x:v>1</x:v>
      </x:c>
      <x:c r="AA261" s="4" t="n">
        <x:f>IFERROR(INDEX('楼层配置'!$E$5:$E$104,MATCH($K261,'楼层配置'!$B$5:$B$104,0)),1)</x:f>
        <x:v>1.155149893181229</x:v>
      </x:c>
      <x:c r="AB261" s="4" t="n">
        <x:f>IFERROR(INDEX('楼层配置'!$F$5:$F$104,MATCH($K261,'楼层配置'!$B$5:$B$104,0)),1)</x:f>
        <x:v>0.6780328935238747</x:v>
      </x:c>
      <x:c r="AC261" s="4" t="n">
        <x:f>IFERROR(INDEX('楼层配置'!$G$5:$G$104,MATCH($K261,'楼层配置'!$B$5:$B$104,0)),1)</x:f>
        <x:v>1</x:v>
      </x:c>
      <x:c r="AD261" s="6" t="n">
        <x:f t="shared" ref="AD261:AD324" si="31">IFERROR($D261/$G261-1,"")</x:f>
        <x:v>-0.11623189259882993</x:v>
      </x:c>
      <x:c r="AE261" s="6" t="n">
        <x:f t="shared" ref="AE261:AE324" si="32">IFERROR($E261/$H261-1,"")</x:f>
        <x:v>-0.057854481270837366</x:v>
      </x:c>
      <x:c r="AF261" s="6" t="n">
        <x:f t="shared" ref="AF261:AF324" si="33">IFERROR($F261/$I261-1,"")</x:f>
        <x:v>0.31847479476219553</x:v>
      </x:c>
      <x:c r="AG261" s="4" t="str">
        <x:f t="shared" ref="AG261:AG324" si="34">IF(AND($A261&gt;=1,$L261&gt;=1,$L261&lt;=500,OR($N261="Tank",$N261="DPS",$N261="Support"),ISNUMBER($D261),ISNUMBER($E261),ISNUMBER($F261)),"有效","异常")</x:f>
        <x:v>有效</x:v>
      </x:c>
      <x:c r="AH261" t="n">
        <x:f>D261/(1-MIN(0.75,F261/(24000+F261)))</x:f>
        <x:v>1411235.89425</x:v>
      </x:c>
    </x:row>
    <x:row r="262" ht="14.25" customHeight="1">
      <x:c r="A262" s="4">
        <x:v>258</x:v>
      </x:c>
      <x:c r="B262" s="4">
        <x:v>1018</x:v>
      </x:c>
      <x:c r="C262" s="4">
        <x:v>36</x:v>
      </x:c>
      <x:c r="D262" s="5" t="n">
        <x:f>IFERROR(ROUND($U262*$X262*$AA262*'参数'!$B$13,0),"")</x:f>
        <x:v>974767</x:v>
      </x:c>
      <x:c r="E262" s="5" t="n">
        <x:f>IFERROR(ROUND($V262*$Y262*$AB262*'参数'!$C$13,0),"")</x:f>
        <x:v>16013</x:v>
      </x:c>
      <x:c r="F262" s="5" t="n">
        <x:f>IFERROR(ROUND($W262*$Z262*$AC262*'参数'!$D$13,0),"")</x:f>
        <x:v>24291</x:v>
      </x:c>
      <x:c r="G262" s="4">
        <x:v>1102968</x:v>
      </x:c>
      <x:c r="H262" s="4">
        <x:v>16997</x:v>
      </x:c>
      <x:c r="I262" s="4">
        <x:v>18424</x:v>
      </x:c>
      <x:c r="J262" s="4">
        <x:v>52</x:v>
      </x:c>
      <x:c r="K262" s="4">
        <x:v>52</x:v>
      </x:c>
      <x:c r="L262" s="4" t="n">
        <x:f>IFERROR(INDEX('楼层配置'!$D$5:$D$104,MATCH($K262,'楼层配置'!$B$5:$B$104,0)),"")</x:f>
        <x:v>201</x:v>
      </x:c>
      <x:c r="M262" s="4" t="str">
        <x:f>IFERROR(INDEX('_角色基线'!$B$2:$B$100,MATCH($B262,'_角色基线'!$A$2:$A$100,0)),"")</x:f>
        <x:v>埃莉诺</x:v>
      </x:c>
      <x:c r="N262" s="4" t="str">
        <x:f>IFERROR(INDEX('_角色基线'!$C$2:$C$100,MATCH($B262,'_角色基线'!$A$2:$A$100,0)),"")</x:f>
        <x:v>Support</x:v>
      </x:c>
      <x:c r="O262" s="4" t="n">
        <x:f>IFERROR(INDEX('_怪物基线'!$B$2:$B$501,MATCH(INT($L262),'_怪物基线'!$A$2:$A$501,0)),"")</x:f>
        <x:v>168769</x:v>
      </x:c>
      <x:c r="P262" s="4" t="n">
        <x:f>IFERROR(INDEX('_怪物基线'!$C$2:$C$501,MATCH(INT($L262),'_怪物基线'!$A$2:$A$501,0)),"")</x:f>
        <x:v>19681</x:v>
      </x:c>
      <x:c r="Q262" s="4" t="n">
        <x:f>IFERROR(INDEX('_怪物基线'!$D$2:$D$501,MATCH(INT($L262),'_怪物基线'!$A$2:$A$501,0)),"")</x:f>
        <x:v>19433</x:v>
      </x:c>
      <x:c r="R262" s="4" t="n">
        <x:f>'参数'!$B$10</x:f>
        <x:v>4</x:v>
      </x:c>
      <x:c r="S262" s="4" t="n">
        <x:f>'参数'!$C$10</x:f>
        <x:v>1.2</x:v>
      </x:c>
      <x:c r="T262" s="4" t="n">
        <x:f>'参数'!$D$10</x:f>
        <x:v>1</x:v>
      </x:c>
      <x:c r="U262" s="4" t="n">
        <x:f t="shared" si="28">IF($O262="","",$O262*$R262)</x:f>
        <x:v>675076</x:v>
      </x:c>
      <x:c r="V262" s="4" t="n">
        <x:f t="shared" si="29">IF($P262="","",$P262*$S262)</x:f>
        <x:v>23617.2</x:v>
      </x:c>
      <x:c r="W262" s="4" t="n">
        <x:f t="shared" si="30">IF($Q262="","",$Q262*$T262)</x:f>
        <x:v>19433</x:v>
      </x:c>
      <x:c r="X262" s="4" t="n">
        <x:f>IFERROR(INDEX('参数'!$B$5:$B$7,MATCH($N262,'参数'!$A$5:$A$7,0)),"")</x:f>
        <x:v>1.25</x:v>
      </x:c>
      <x:c r="Y262" s="4" t="n">
        <x:f>IFERROR(INDEX('参数'!$C$5:$C$7,MATCH($N262,'参数'!$A$5:$A$7,0)),"")</x:f>
        <x:v>1</x:v>
      </x:c>
      <x:c r="Z262" s="4" t="n">
        <x:f>IFERROR(INDEX('参数'!$D$5:$D$7,MATCH($N262,'参数'!$A$5:$A$7,0)),"")</x:f>
        <x:v>1.25</x:v>
      </x:c>
      <x:c r="AA262" s="4" t="n">
        <x:f>IFERROR(INDEX('楼层配置'!$E$5:$E$104,MATCH($K262,'楼层配置'!$B$5:$B$104,0)),1)</x:f>
        <x:v>1.155149893181229</x:v>
      </x:c>
      <x:c r="AB262" s="4" t="n">
        <x:f>IFERROR(INDEX('楼层配置'!$F$5:$F$104,MATCH($K262,'楼层配置'!$B$5:$B$104,0)),1)</x:f>
        <x:v>0.6780328935238747</x:v>
      </x:c>
      <x:c r="AC262" s="4" t="n">
        <x:f>IFERROR(INDEX('楼层配置'!$G$5:$G$104,MATCH($K262,'楼层配置'!$B$5:$B$104,0)),1)</x:f>
        <x:v>1</x:v>
      </x:c>
      <x:c r="AD262" s="6" t="n">
        <x:f t="shared" si="31">IFERROR($D262/$G262-1,"")</x:f>
        <x:v>-0.11623274655293714</x:v>
      </x:c>
      <x:c r="AE262" s="6" t="n">
        <x:f t="shared" si="32">IFERROR($E262/$H262-1,"")</x:f>
        <x:v>-0.057892569276931205</x:v>
      </x:c>
      <x:c r="AF262" s="6" t="n">
        <x:f t="shared" si="33">IFERROR($F262/$I262-1,"")</x:f>
        <x:v>0.31844333478072073</x:v>
      </x:c>
      <x:c r="AG262" s="4" t="str">
        <x:f t="shared" si="34">IF(AND($A262&gt;=1,$L262&gt;=1,$L262&lt;=500,OR($N262="Tank",$N262="DPS",$N262="Support"),ISNUMBER($D262),ISNUMBER($E262),ISNUMBER($F262)),"有效","异常")</x:f>
        <x:v>有效</x:v>
      </x:c>
      <x:c r="AH262" t="n">
        <x:f>D262/(1-MIN(0.75,F262/(24000+F262)))</x:f>
        <x:v>1961353.049875</x:v>
      </x:c>
    </x:row>
    <x:row r="263" ht="14.25" customHeight="1">
      <x:c r="A263" s="4">
        <x:v>259</x:v>
      </x:c>
      <x:c r="B263" s="4">
        <x:v>1005</x:v>
      </x:c>
      <x:c r="C263" s="4">
        <x:v>36</x:v>
      </x:c>
      <x:c r="D263" s="5" t="n">
        <x:f>IFERROR(ROUND($U263*$X263*$AA263*'参数'!$B$13,0),"")</x:f>
        <x:v>779814</x:v>
      </x:c>
      <x:c r="E263" s="5" t="n">
        <x:f>IFERROR(ROUND($V263*$Y263*$AB263*'参数'!$C$13,0),"")</x:f>
        <x:v>19216</x:v>
      </x:c>
      <x:c r="F263" s="5" t="n">
        <x:f>IFERROR(ROUND($W263*$Z263*$AC263*'参数'!$D$13,0),"")</x:f>
        <x:v>19433</x:v>
      </x:c>
      <x:c r="G263" s="4">
        <x:v>882374</x:v>
      </x:c>
      <x:c r="H263" s="4">
        <x:v>20396</x:v>
      </x:c>
      <x:c r="I263" s="4">
        <x:v>14739</x:v>
      </x:c>
      <x:c r="J263" s="4">
        <x:v>52</x:v>
      </x:c>
      <x:c r="K263" s="4">
        <x:v>52</x:v>
      </x:c>
      <x:c r="L263" s="4" t="n">
        <x:f>IFERROR(INDEX('楼层配置'!$D$5:$D$104,MATCH($K263,'楼层配置'!$B$5:$B$104,0)),"")</x:f>
        <x:v>201</x:v>
      </x:c>
      <x:c r="M263" s="4" t="str">
        <x:f>IFERROR(INDEX('_角色基线'!$B$2:$B$100,MATCH($B263,'_角色基线'!$A$2:$A$100,0)),"")</x:f>
        <x:v>陈单单</x:v>
      </x:c>
      <x:c r="N263" s="4" t="str">
        <x:f>IFERROR(INDEX('_角色基线'!$C$2:$C$100,MATCH($B263,'_角色基线'!$A$2:$A$100,0)),"")</x:f>
        <x:v>DPS</x:v>
      </x:c>
      <x:c r="O263" s="4" t="n">
        <x:f>IFERROR(INDEX('_怪物基线'!$B$2:$B$501,MATCH(INT($L263),'_怪物基线'!$A$2:$A$501,0)),"")</x:f>
        <x:v>168769</x:v>
      </x:c>
      <x:c r="P263" s="4" t="n">
        <x:f>IFERROR(INDEX('_怪物基线'!$C$2:$C$501,MATCH(INT($L263),'_怪物基线'!$A$2:$A$501,0)),"")</x:f>
        <x:v>19681</x:v>
      </x:c>
      <x:c r="Q263" s="4" t="n">
        <x:f>IFERROR(INDEX('_怪物基线'!$D$2:$D$501,MATCH(INT($L263),'_怪物基线'!$A$2:$A$501,0)),"")</x:f>
        <x:v>19433</x:v>
      </x:c>
      <x:c r="R263" s="4" t="n">
        <x:f>'参数'!$B$10</x:f>
        <x:v>4</x:v>
      </x:c>
      <x:c r="S263" s="4" t="n">
        <x:f>'参数'!$C$10</x:f>
        <x:v>1.2</x:v>
      </x:c>
      <x:c r="T263" s="4" t="n">
        <x:f>'参数'!$D$10</x:f>
        <x:v>1</x:v>
      </x:c>
      <x:c r="U263" s="4" t="n">
        <x:f t="shared" si="28">IF($O263="","",$O263*$R263)</x:f>
        <x:v>675076</x:v>
      </x:c>
      <x:c r="V263" s="4" t="n">
        <x:f t="shared" si="29">IF($P263="","",$P263*$S263)</x:f>
        <x:v>23617.2</x:v>
      </x:c>
      <x:c r="W263" s="4" t="n">
        <x:f t="shared" si="30">IF($Q263="","",$Q263*$T263)</x:f>
        <x:v>19433</x:v>
      </x:c>
      <x:c r="X263" s="4" t="n">
        <x:f>IFERROR(INDEX('参数'!$B$5:$B$7,MATCH($N263,'参数'!$A$5:$A$7,0)),"")</x:f>
        <x:v>1</x:v>
      </x:c>
      <x:c r="Y263" s="4" t="n">
        <x:f>IFERROR(INDEX('参数'!$C$5:$C$7,MATCH($N263,'参数'!$A$5:$A$7,0)),"")</x:f>
        <x:v>1.2</x:v>
      </x:c>
      <x:c r="Z263" s="4" t="n">
        <x:f>IFERROR(INDEX('参数'!$D$5:$D$7,MATCH($N263,'参数'!$A$5:$A$7,0)),"")</x:f>
        <x:v>1</x:v>
      </x:c>
      <x:c r="AA263" s="4" t="n">
        <x:f>IFERROR(INDEX('楼层配置'!$E$5:$E$104,MATCH($K263,'楼层配置'!$B$5:$B$104,0)),1)</x:f>
        <x:v>1.155149893181229</x:v>
      </x:c>
      <x:c r="AB263" s="4" t="n">
        <x:f>IFERROR(INDEX('楼层配置'!$F$5:$F$104,MATCH($K263,'楼层配置'!$B$5:$B$104,0)),1)</x:f>
        <x:v>0.6780328935238747</x:v>
      </x:c>
      <x:c r="AC263" s="4" t="n">
        <x:f>IFERROR(INDEX('楼层配置'!$G$5:$G$104,MATCH($K263,'楼层配置'!$B$5:$B$104,0)),1)</x:f>
        <x:v>1</x:v>
      </x:c>
      <x:c r="AD263" s="6" t="n">
        <x:f t="shared" si="31">IFERROR($D263/$G263-1,"")</x:f>
        <x:v>-0.11623189259882993</x:v>
      </x:c>
      <x:c r="AE263" s="6" t="n">
        <x:f t="shared" si="32">IFERROR($E263/$H263-1,"")</x:f>
        <x:v>-0.057854481270837366</x:v>
      </x:c>
      <x:c r="AF263" s="6" t="n">
        <x:f t="shared" si="33">IFERROR($F263/$I263-1,"")</x:f>
        <x:v>0.31847479476219553</x:v>
      </x:c>
      <x:c r="AG263" s="4" t="str">
        <x:f t="shared" si="34">IF(AND($A263&gt;=1,$L263&gt;=1,$L263&lt;=500,OR($N263="Tank",$N263="DPS",$N263="Support"),ISNUMBER($D263),ISNUMBER($E263),ISNUMBER($F263)),"有效","异常")</x:f>
        <x:v>有效</x:v>
      </x:c>
      <x:c r="AH263" t="n">
        <x:f>D263/(1-MIN(0.75,F263/(24000+F263)))</x:f>
        <x:v>1411235.89425</x:v>
      </x:c>
    </x:row>
    <x:row r="264" ht="14.25" customHeight="1">
      <x:c r="A264" s="4">
        <x:v>260</x:v>
      </x:c>
      <x:c r="B264" s="4">
        <x:v>1012</x:v>
      </x:c>
      <x:c r="C264" s="4">
        <x:v>36</x:v>
      </x:c>
      <x:c r="D264" s="5" t="n">
        <x:f>IFERROR(ROUND($U264*$X264*$AA264*'参数'!$B$13,0),"")</x:f>
        <x:v>974767</x:v>
      </x:c>
      <x:c r="E264" s="5" t="n">
        <x:f>IFERROR(ROUND($V264*$Y264*$AB264*'参数'!$C$13,0),"")</x:f>
        <x:v>16013</x:v>
      </x:c>
      <x:c r="F264" s="5" t="n">
        <x:f>IFERROR(ROUND($W264*$Z264*$AC264*'参数'!$D$13,0),"")</x:f>
        <x:v>24291</x:v>
      </x:c>
      <x:c r="G264" s="4">
        <x:v>1102968</x:v>
      </x:c>
      <x:c r="H264" s="4">
        <x:v>16997</x:v>
      </x:c>
      <x:c r="I264" s="4">
        <x:v>18424</x:v>
      </x:c>
      <x:c r="J264" s="4">
        <x:v>52</x:v>
      </x:c>
      <x:c r="K264" s="4">
        <x:v>52</x:v>
      </x:c>
      <x:c r="L264" s="4" t="n">
        <x:f>IFERROR(INDEX('楼层配置'!$D$5:$D$104,MATCH($K264,'楼层配置'!$B$5:$B$104,0)),"")</x:f>
        <x:v>201</x:v>
      </x:c>
      <x:c r="M264" s="4" t="str">
        <x:f>IFERROR(INDEX('_角色基线'!$B$2:$B$100,MATCH($B264,'_角色基线'!$A$2:$A$100,0)),"")</x:f>
        <x:v>艾德琳</x:v>
      </x:c>
      <x:c r="N264" s="4" t="str">
        <x:f>IFERROR(INDEX('_角色基线'!$C$2:$C$100,MATCH($B264,'_角色基线'!$A$2:$A$100,0)),"")</x:f>
        <x:v>Support</x:v>
      </x:c>
      <x:c r="O264" s="4" t="n">
        <x:f>IFERROR(INDEX('_怪物基线'!$B$2:$B$501,MATCH(INT($L264),'_怪物基线'!$A$2:$A$501,0)),"")</x:f>
        <x:v>168769</x:v>
      </x:c>
      <x:c r="P264" s="4" t="n">
        <x:f>IFERROR(INDEX('_怪物基线'!$C$2:$C$501,MATCH(INT($L264),'_怪物基线'!$A$2:$A$501,0)),"")</x:f>
        <x:v>19681</x:v>
      </x:c>
      <x:c r="Q264" s="4" t="n">
        <x:f>IFERROR(INDEX('_怪物基线'!$D$2:$D$501,MATCH(INT($L264),'_怪物基线'!$A$2:$A$501,0)),"")</x:f>
        <x:v>19433</x:v>
      </x:c>
      <x:c r="R264" s="4" t="n">
        <x:f>'参数'!$B$10</x:f>
        <x:v>4</x:v>
      </x:c>
      <x:c r="S264" s="4" t="n">
        <x:f>'参数'!$C$10</x:f>
        <x:v>1.2</x:v>
      </x:c>
      <x:c r="T264" s="4" t="n">
        <x:f>'参数'!$D$10</x:f>
        <x:v>1</x:v>
      </x:c>
      <x:c r="U264" s="4" t="n">
        <x:f t="shared" si="28">IF($O264="","",$O264*$R264)</x:f>
        <x:v>675076</x:v>
      </x:c>
      <x:c r="V264" s="4" t="n">
        <x:f t="shared" si="29">IF($P264="","",$P264*$S264)</x:f>
        <x:v>23617.2</x:v>
      </x:c>
      <x:c r="W264" s="4" t="n">
        <x:f t="shared" si="30">IF($Q264="","",$Q264*$T264)</x:f>
        <x:v>19433</x:v>
      </x:c>
      <x:c r="X264" s="4" t="n">
        <x:f>IFERROR(INDEX('参数'!$B$5:$B$7,MATCH($N264,'参数'!$A$5:$A$7,0)),"")</x:f>
        <x:v>1.25</x:v>
      </x:c>
      <x:c r="Y264" s="4" t="n">
        <x:f>IFERROR(INDEX('参数'!$C$5:$C$7,MATCH($N264,'参数'!$A$5:$A$7,0)),"")</x:f>
        <x:v>1</x:v>
      </x:c>
      <x:c r="Z264" s="4" t="n">
        <x:f>IFERROR(INDEX('参数'!$D$5:$D$7,MATCH($N264,'参数'!$A$5:$A$7,0)),"")</x:f>
        <x:v>1.25</x:v>
      </x:c>
      <x:c r="AA264" s="4" t="n">
        <x:f>IFERROR(INDEX('楼层配置'!$E$5:$E$104,MATCH($K264,'楼层配置'!$B$5:$B$104,0)),1)</x:f>
        <x:v>1.155149893181229</x:v>
      </x:c>
      <x:c r="AB264" s="4" t="n">
        <x:f>IFERROR(INDEX('楼层配置'!$F$5:$F$104,MATCH($K264,'楼层配置'!$B$5:$B$104,0)),1)</x:f>
        <x:v>0.6780328935238747</x:v>
      </x:c>
      <x:c r="AC264" s="4" t="n">
        <x:f>IFERROR(INDEX('楼层配置'!$G$5:$G$104,MATCH($K264,'楼层配置'!$B$5:$B$104,0)),1)</x:f>
        <x:v>1</x:v>
      </x:c>
      <x:c r="AD264" s="6" t="n">
        <x:f t="shared" si="31">IFERROR($D264/$G264-1,"")</x:f>
        <x:v>-0.11623274655293714</x:v>
      </x:c>
      <x:c r="AE264" s="6" t="n">
        <x:f t="shared" si="32">IFERROR($E264/$H264-1,"")</x:f>
        <x:v>-0.057892569276931205</x:v>
      </x:c>
      <x:c r="AF264" s="6" t="n">
        <x:f t="shared" si="33">IFERROR($F264/$I264-1,"")</x:f>
        <x:v>0.31844333478072073</x:v>
      </x:c>
      <x:c r="AG264" s="4" t="str">
        <x:f t="shared" si="34">IF(AND($A264&gt;=1,$L264&gt;=1,$L264&lt;=500,OR($N264="Tank",$N264="DPS",$N264="Support"),ISNUMBER($D264),ISNUMBER($E264),ISNUMBER($F264)),"有效","异常")</x:f>
        <x:v>有效</x:v>
      </x:c>
      <x:c r="AH264" t="n">
        <x:f>D264/(1-MIN(0.75,F264/(24000+F264)))</x:f>
        <x:v>1961353.049875</x:v>
      </x:c>
    </x:row>
    <x:row r="265" ht="14.25" customHeight="1">
      <x:c r="A265" s="4">
        <x:v>261</x:v>
      </x:c>
      <x:c r="B265" s="4">
        <x:v>1003</x:v>
      </x:c>
      <x:c r="C265" s="4">
        <x:v>36</x:v>
      </x:c>
      <x:c r="D265" s="5" t="n">
        <x:f>IFERROR(ROUND($U265*$X265*$AA265*'参数'!$B$13,0),"")</x:f>
        <x:v>1200620</x:v>
      </x:c>
      <x:c r="E265" s="5" t="n">
        <x:f>IFERROR(ROUND($V265*$Y265*$AB265*'参数'!$C$13,0),"")</x:f>
        <x:v>16349</x:v>
      </x:c>
      <x:c r="F265" s="5" t="n">
        <x:f>IFERROR(ROUND($W265*$Z265*$AC265*'参数'!$D$13,0),"")</x:f>
        <x:v>29508</x:v>
      </x:c>
      <x:c r="G265" s="4">
        <x:v>1382623</x:v>
      </x:c>
      <x:c r="H265" s="4">
        <x:v>17508</x:v>
      </x:c>
      <x:c r="I265" s="4">
        <x:v>22624</x:v>
      </x:c>
      <x:c r="J265" s="4">
        <x:v>53</x:v>
      </x:c>
      <x:c r="K265" s="4">
        <x:v>53</x:v>
      </x:c>
      <x:c r="L265" s="4" t="n">
        <x:f>IFERROR(INDEX('楼层配置'!$D$5:$D$104,MATCH($K265,'楼层配置'!$B$5:$B$104,0)),"")</x:f>
        <x:v>203</x:v>
      </x:c>
      <x:c r="M265" s="4" t="str">
        <x:f>IFERROR(INDEX('_角色基线'!$B$2:$B$100,MATCH($B265,'_角色基线'!$A$2:$A$100,0)),"")</x:f>
        <x:v>塔拉夏</x:v>
      </x:c>
      <x:c r="N265" s="4" t="str">
        <x:f>IFERROR(INDEX('_角色基线'!$C$2:$C$100,MATCH($B265,'_角色基线'!$A$2:$A$100,0)),"")</x:f>
        <x:v>Tank</x:v>
      </x:c>
      <x:c r="O265" s="4" t="n">
        <x:f>IFERROR(INDEX('_怪物基线'!$B$2:$B$501,MATCH(INT($L265),'_怪物基线'!$A$2:$A$501,0)),"")</x:f>
        <x:v>172896</x:v>
      </x:c>
      <x:c r="P265" s="4" t="n">
        <x:f>IFERROR(INDEX('_怪物基线'!$C$2:$C$501,MATCH(INT($L265),'_怪物基线'!$A$2:$A$501,0)),"")</x:f>
        <x:v>20028</x:v>
      </x:c>
      <x:c r="Q265" s="4" t="n">
        <x:f>IFERROR(INDEX('_怪物基线'!$D$2:$D$501,MATCH(INT($L265),'_怪物基线'!$A$2:$A$501,0)),"")</x:f>
        <x:v>19672</x:v>
      </x:c>
      <x:c r="R265" s="4" t="n">
        <x:f>'参数'!$B$10</x:f>
        <x:v>4</x:v>
      </x:c>
      <x:c r="S265" s="4" t="n">
        <x:f>'参数'!$C$10</x:f>
        <x:v>1.2</x:v>
      </x:c>
      <x:c r="T265" s="4" t="n">
        <x:f>'参数'!$D$10</x:f>
        <x:v>1</x:v>
      </x:c>
      <x:c r="U265" s="4" t="n">
        <x:f t="shared" si="28">IF($O265="","",$O265*$R265)</x:f>
        <x:v>691584</x:v>
      </x:c>
      <x:c r="V265" s="4" t="n">
        <x:f t="shared" si="29">IF($P265="","",$P265*$S265)</x:f>
        <x:v>24033.6</x:v>
      </x:c>
      <x:c r="W265" s="4" t="n">
        <x:f t="shared" si="30">IF($Q265="","",$Q265*$T265)</x:f>
        <x:v>19672</x:v>
      </x:c>
      <x:c r="X265" s="4" t="n">
        <x:f>IFERROR(INDEX('参数'!$B$5:$B$7,MATCH($N265,'参数'!$A$5:$A$7,0)),"")</x:f>
        <x:v>1.5</x:v>
      </x:c>
      <x:c r="Y265" s="4" t="n">
        <x:f>IFERROR(INDEX('参数'!$C$5:$C$7,MATCH($N265,'参数'!$A$5:$A$7,0)),"")</x:f>
        <x:v>1</x:v>
      </x:c>
      <x:c r="Z265" s="4" t="n">
        <x:f>IFERROR(INDEX('参数'!$D$5:$D$7,MATCH($N265,'参数'!$A$5:$A$7,0)),"")</x:f>
        <x:v>1.5</x:v>
      </x:c>
      <x:c r="AA265" s="4" t="n">
        <x:f>IFERROR(INDEX('楼层配置'!$E$5:$E$104,MATCH($K265,'楼层配置'!$B$5:$B$104,0)),1)</x:f>
        <x:v>1.1573620611728401</x:v>
      </x:c>
      <x:c r="AB265" s="4" t="n">
        <x:f>IFERROR(INDEX('楼层配置'!$F$5:$F$104,MATCH($K265,'楼层配置'!$B$5:$B$104,0)),1)</x:f>
        <x:v>0.6802690802123094</x:v>
      </x:c>
      <x:c r="AC265" s="4" t="n">
        <x:f>IFERROR(INDEX('楼层配置'!$G$5:$G$104,MATCH($K265,'楼层配置'!$B$5:$B$104,0)),1)</x:f>
        <x:v>1</x:v>
      </x:c>
      <x:c r="AD265" s="6" t="n">
        <x:f t="shared" si="31">IFERROR($D265/$G265-1,"")</x:f>
        <x:v>-0.13163602804235142</x:v>
      </x:c>
      <x:c r="AE265" s="6" t="n">
        <x:f t="shared" si="32">IFERROR($E265/$H265-1,"")</x:f>
        <x:v>-0.06619830934429971</x:v>
      </x:c>
      <x:c r="AF265" s="6" t="n">
        <x:f t="shared" si="33">IFERROR($F265/$I265-1,"")</x:f>
        <x:v>0.3042786421499293</x:v>
      </x:c>
      <x:c r="AG265" s="4" t="str">
        <x:f t="shared" si="34">IF(AND($A265&gt;=1,$L265&gt;=1,$L265&lt;=500,OR($N265="Tank",$N265="DPS",$N265="Support"),ISNUMBER($D265),ISNUMBER($E265),ISNUMBER($F265)),"有效","异常")</x:f>
        <x:v>有效</x:v>
      </x:c>
      <x:c r="AH265" t="n">
        <x:f>D265/(1-MIN(0.75,F265/(24000+F265)))</x:f>
        <x:v>2676782.29</x:v>
      </x:c>
    </x:row>
    <x:row r="266" ht="14.25" customHeight="1">
      <x:c r="A266" s="4">
        <x:v>262</x:v>
      </x:c>
      <x:c r="B266" s="4">
        <x:v>1011</x:v>
      </x:c>
      <x:c r="C266" s="4">
        <x:v>36</x:v>
      </x:c>
      <x:c r="D266" s="5" t="n">
        <x:f>IFERROR(ROUND($U266*$X266*$AA266*'参数'!$B$13,0),"")</x:f>
        <x:v>1000516</x:v>
      </x:c>
      <x:c r="E266" s="5" t="n">
        <x:f>IFERROR(ROUND($V266*$Y266*$AB266*'参数'!$C$13,0),"")</x:f>
        <x:v>16349</x:v>
      </x:c>
      <x:c r="F266" s="5" t="n">
        <x:f>IFERROR(ROUND($W266*$Z266*$AC266*'参数'!$D$13,0),"")</x:f>
        <x:v>24590</x:v>
      </x:c>
      <x:c r="G266" s="4">
        <x:v>1152186</x:v>
      </x:c>
      <x:c r="H266" s="4">
        <x:v>17508</x:v>
      </x:c>
      <x:c r="I266" s="4">
        <x:v>18854</x:v>
      </x:c>
      <x:c r="J266" s="4">
        <x:v>53</x:v>
      </x:c>
      <x:c r="K266" s="4">
        <x:v>53</x:v>
      </x:c>
      <x:c r="L266" s="4" t="n">
        <x:f>IFERROR(INDEX('楼层配置'!$D$5:$D$104,MATCH($K266,'楼层配置'!$B$5:$B$104,0)),"")</x:f>
        <x:v>203</x:v>
      </x:c>
      <x:c r="M266" s="4" t="str">
        <x:f>IFERROR(INDEX('_角色基线'!$B$2:$B$100,MATCH($B266,'_角色基线'!$A$2:$A$100,0)),"")</x:f>
        <x:v>陈双双</x:v>
      </x:c>
      <x:c r="N266" s="4" t="str">
        <x:f>IFERROR(INDEX('_角色基线'!$C$2:$C$100,MATCH($B266,'_角色基线'!$A$2:$A$100,0)),"")</x:f>
        <x:v>Support</x:v>
      </x:c>
      <x:c r="O266" s="4" t="n">
        <x:f>IFERROR(INDEX('_怪物基线'!$B$2:$B$501,MATCH(INT($L266),'_怪物基线'!$A$2:$A$501,0)),"")</x:f>
        <x:v>172896</x:v>
      </x:c>
      <x:c r="P266" s="4" t="n">
        <x:f>IFERROR(INDEX('_怪物基线'!$C$2:$C$501,MATCH(INT($L266),'_怪物基线'!$A$2:$A$501,0)),"")</x:f>
        <x:v>20028</x:v>
      </x:c>
      <x:c r="Q266" s="4" t="n">
        <x:f>IFERROR(INDEX('_怪物基线'!$D$2:$D$501,MATCH(INT($L266),'_怪物基线'!$A$2:$A$501,0)),"")</x:f>
        <x:v>19672</x:v>
      </x:c>
      <x:c r="R266" s="4" t="n">
        <x:f>'参数'!$B$10</x:f>
        <x:v>4</x:v>
      </x:c>
      <x:c r="S266" s="4" t="n">
        <x:f>'参数'!$C$10</x:f>
        <x:v>1.2</x:v>
      </x:c>
      <x:c r="T266" s="4" t="n">
        <x:f>'参数'!$D$10</x:f>
        <x:v>1</x:v>
      </x:c>
      <x:c r="U266" s="4" t="n">
        <x:f t="shared" si="28">IF($O266="","",$O266*$R266)</x:f>
        <x:v>691584</x:v>
      </x:c>
      <x:c r="V266" s="4" t="n">
        <x:f t="shared" si="29">IF($P266="","",$P266*$S266)</x:f>
        <x:v>24033.6</x:v>
      </x:c>
      <x:c r="W266" s="4" t="n">
        <x:f t="shared" si="30">IF($Q266="","",$Q266*$T266)</x:f>
        <x:v>19672</x:v>
      </x:c>
      <x:c r="X266" s="4" t="n">
        <x:f>IFERROR(INDEX('参数'!$B$5:$B$7,MATCH($N266,'参数'!$A$5:$A$7,0)),"")</x:f>
        <x:v>1.25</x:v>
      </x:c>
      <x:c r="Y266" s="4" t="n">
        <x:f>IFERROR(INDEX('参数'!$C$5:$C$7,MATCH($N266,'参数'!$A$5:$A$7,0)),"")</x:f>
        <x:v>1</x:v>
      </x:c>
      <x:c r="Z266" s="4" t="n">
        <x:f>IFERROR(INDEX('参数'!$D$5:$D$7,MATCH($N266,'参数'!$A$5:$A$7,0)),"")</x:f>
        <x:v>1.25</x:v>
      </x:c>
      <x:c r="AA266" s="4" t="n">
        <x:f>IFERROR(INDEX('楼层配置'!$E$5:$E$104,MATCH($K266,'楼层配置'!$B$5:$B$104,0)),1)</x:f>
        <x:v>1.1573620611728401</x:v>
      </x:c>
      <x:c r="AB266" s="4" t="n">
        <x:f>IFERROR(INDEX('楼层配置'!$F$5:$F$104,MATCH($K266,'楼层配置'!$B$5:$B$104,0)),1)</x:f>
        <x:v>0.6802690802123094</x:v>
      </x:c>
      <x:c r="AC266" s="4" t="n">
        <x:f>IFERROR(INDEX('楼层配置'!$G$5:$G$104,MATCH($K266,'楼层配置'!$B$5:$B$104,0)),1)</x:f>
        <x:v>1</x:v>
      </x:c>
      <x:c r="AD266" s="6" t="n">
        <x:f t="shared" si="31">IFERROR($D266/$G266-1,"")</x:f>
        <x:v>-0.13163673226371442</x:v>
      </x:c>
      <x:c r="AE266" s="6" t="n">
        <x:f t="shared" si="32">IFERROR($E266/$H266-1,"")</x:f>
        <x:v>-0.06619830934429971</x:v>
      </x:c>
      <x:c r="AF266" s="6" t="n">
        <x:f t="shared" si="33">IFERROR($F266/$I266-1,"")</x:f>
        <x:v>0.3042325236024186</x:v>
      </x:c>
      <x:c r="AG266" s="4" t="str">
        <x:f t="shared" si="34">IF(AND($A266&gt;=1,$L266&gt;=1,$L266&lt;=500,OR($N266="Tank",$N266="DPS",$N266="Support"),ISNUMBER($D266),ISNUMBER($E266),ISNUMBER($F266)),"有效","异常")</x:f>
        <x:v>有效</x:v>
      </x:c>
      <x:c r="AH266" t="n">
        <x:f>D266/(1-MIN(0.75,F266/(24000+F266)))</x:f>
        <x:v>2025628.0183333333</x:v>
      </x:c>
    </x:row>
    <x:row r="267" ht="14.25" customHeight="1">
      <x:c r="A267" s="4">
        <x:v>263</x:v>
      </x:c>
      <x:c r="B267" s="4">
        <x:v>1012</x:v>
      </x:c>
      <x:c r="C267" s="4">
        <x:v>36</x:v>
      </x:c>
      <x:c r="D267" s="5" t="n">
        <x:f>IFERROR(ROUND($U267*$X267*$AA267*'参数'!$B$13,0),"")</x:f>
        <x:v>1000516</x:v>
      </x:c>
      <x:c r="E267" s="5" t="n">
        <x:f>IFERROR(ROUND($V267*$Y267*$AB267*'参数'!$C$13,0),"")</x:f>
        <x:v>16349</x:v>
      </x:c>
      <x:c r="F267" s="5" t="n">
        <x:f>IFERROR(ROUND($W267*$Z267*$AC267*'参数'!$D$13,0),"")</x:f>
        <x:v>24590</x:v>
      </x:c>
      <x:c r="G267" s="4">
        <x:v>1152186</x:v>
      </x:c>
      <x:c r="H267" s="4">
        <x:v>17508</x:v>
      </x:c>
      <x:c r="I267" s="4">
        <x:v>18854</x:v>
      </x:c>
      <x:c r="J267" s="4">
        <x:v>53</x:v>
      </x:c>
      <x:c r="K267" s="4">
        <x:v>53</x:v>
      </x:c>
      <x:c r="L267" s="4" t="n">
        <x:f>IFERROR(INDEX('楼层配置'!$D$5:$D$104,MATCH($K267,'楼层配置'!$B$5:$B$104,0)),"")</x:f>
        <x:v>203</x:v>
      </x:c>
      <x:c r="M267" s="4" t="str">
        <x:f>IFERROR(INDEX('_角色基线'!$B$2:$B$100,MATCH($B267,'_角色基线'!$A$2:$A$100,0)),"")</x:f>
        <x:v>艾德琳</x:v>
      </x:c>
      <x:c r="N267" s="4" t="str">
        <x:f>IFERROR(INDEX('_角色基线'!$C$2:$C$100,MATCH($B267,'_角色基线'!$A$2:$A$100,0)),"")</x:f>
        <x:v>Support</x:v>
      </x:c>
      <x:c r="O267" s="4" t="n">
        <x:f>IFERROR(INDEX('_怪物基线'!$B$2:$B$501,MATCH(INT($L267),'_怪物基线'!$A$2:$A$501,0)),"")</x:f>
        <x:v>172896</x:v>
      </x:c>
      <x:c r="P267" s="4" t="n">
        <x:f>IFERROR(INDEX('_怪物基线'!$C$2:$C$501,MATCH(INT($L267),'_怪物基线'!$A$2:$A$501,0)),"")</x:f>
        <x:v>20028</x:v>
      </x:c>
      <x:c r="Q267" s="4" t="n">
        <x:f>IFERROR(INDEX('_怪物基线'!$D$2:$D$501,MATCH(INT($L267),'_怪物基线'!$A$2:$A$501,0)),"")</x:f>
        <x:v>19672</x:v>
      </x:c>
      <x:c r="R267" s="4" t="n">
        <x:f>'参数'!$B$10</x:f>
        <x:v>4</x:v>
      </x:c>
      <x:c r="S267" s="4" t="n">
        <x:f>'参数'!$C$10</x:f>
        <x:v>1.2</x:v>
      </x:c>
      <x:c r="T267" s="4" t="n">
        <x:f>'参数'!$D$10</x:f>
        <x:v>1</x:v>
      </x:c>
      <x:c r="U267" s="4" t="n">
        <x:f t="shared" si="28">IF($O267="","",$O267*$R267)</x:f>
        <x:v>691584</x:v>
      </x:c>
      <x:c r="V267" s="4" t="n">
        <x:f t="shared" si="29">IF($P267="","",$P267*$S267)</x:f>
        <x:v>24033.6</x:v>
      </x:c>
      <x:c r="W267" s="4" t="n">
        <x:f t="shared" si="30">IF($Q267="","",$Q267*$T267)</x:f>
        <x:v>19672</x:v>
      </x:c>
      <x:c r="X267" s="4" t="n">
        <x:f>IFERROR(INDEX('参数'!$B$5:$B$7,MATCH($N267,'参数'!$A$5:$A$7,0)),"")</x:f>
        <x:v>1.25</x:v>
      </x:c>
      <x:c r="Y267" s="4" t="n">
        <x:f>IFERROR(INDEX('参数'!$C$5:$C$7,MATCH($N267,'参数'!$A$5:$A$7,0)),"")</x:f>
        <x:v>1</x:v>
      </x:c>
      <x:c r="Z267" s="4" t="n">
        <x:f>IFERROR(INDEX('参数'!$D$5:$D$7,MATCH($N267,'参数'!$A$5:$A$7,0)),"")</x:f>
        <x:v>1.25</x:v>
      </x:c>
      <x:c r="AA267" s="4" t="n">
        <x:f>IFERROR(INDEX('楼层配置'!$E$5:$E$104,MATCH($K267,'楼层配置'!$B$5:$B$104,0)),1)</x:f>
        <x:v>1.1573620611728401</x:v>
      </x:c>
      <x:c r="AB267" s="4" t="n">
        <x:f>IFERROR(INDEX('楼层配置'!$F$5:$F$104,MATCH($K267,'楼层配置'!$B$5:$B$104,0)),1)</x:f>
        <x:v>0.6802690802123094</x:v>
      </x:c>
      <x:c r="AC267" s="4" t="n">
        <x:f>IFERROR(INDEX('楼层配置'!$G$5:$G$104,MATCH($K267,'楼层配置'!$B$5:$B$104,0)),1)</x:f>
        <x:v>1</x:v>
      </x:c>
      <x:c r="AD267" s="6" t="n">
        <x:f t="shared" si="31">IFERROR($D267/$G267-1,"")</x:f>
        <x:v>-0.13163673226371442</x:v>
      </x:c>
      <x:c r="AE267" s="6" t="n">
        <x:f t="shared" si="32">IFERROR($E267/$H267-1,"")</x:f>
        <x:v>-0.06619830934429971</x:v>
      </x:c>
      <x:c r="AF267" s="6" t="n">
        <x:f t="shared" si="33">IFERROR($F267/$I267-1,"")</x:f>
        <x:v>0.3042325236024186</x:v>
      </x:c>
      <x:c r="AG267" s="4" t="str">
        <x:f t="shared" si="34">IF(AND($A267&gt;=1,$L267&gt;=1,$L267&lt;=500,OR($N267="Tank",$N267="DPS",$N267="Support"),ISNUMBER($D267),ISNUMBER($E267),ISNUMBER($F267)),"有效","异常")</x:f>
        <x:v>有效</x:v>
      </x:c>
      <x:c r="AH267" t="n">
        <x:f>D267/(1-MIN(0.75,F267/(24000+F267)))</x:f>
        <x:v>2025628.0183333333</x:v>
      </x:c>
    </x:row>
    <x:row r="268" ht="14.25" customHeight="1">
      <x:c r="A268" s="4">
        <x:v>264</x:v>
      </x:c>
      <x:c r="B268" s="4">
        <x:v>1006</x:v>
      </x:c>
      <x:c r="C268" s="4">
        <x:v>36</x:v>
      </x:c>
      <x:c r="D268" s="5" t="n">
        <x:f>IFERROR(ROUND($U268*$X268*$AA268*'参数'!$B$13,0),"")</x:f>
        <x:v>800413</x:v>
      </x:c>
      <x:c r="E268" s="5" t="n">
        <x:f>IFERROR(ROUND($V268*$Y268*$AB268*'参数'!$C$13,0),"")</x:f>
        <x:v>19619</x:v>
      </x:c>
      <x:c r="F268" s="5" t="n">
        <x:f>IFERROR(ROUND($W268*$Z268*$AC268*'参数'!$D$13,0),"")</x:f>
        <x:v>19672</x:v>
      </x:c>
      <x:c r="G268" s="4">
        <x:v>921748</x:v>
      </x:c>
      <x:c r="H268" s="4">
        <x:v>21009</x:v>
      </x:c>
      <x:c r="I268" s="4">
        <x:v>15083</x:v>
      </x:c>
      <x:c r="J268" s="4">
        <x:v>53</x:v>
      </x:c>
      <x:c r="K268" s="4">
        <x:v>53</x:v>
      </x:c>
      <x:c r="L268" s="4" t="n">
        <x:f>IFERROR(INDEX('楼层配置'!$D$5:$D$104,MATCH($K268,'楼层配置'!$B$5:$B$104,0)),"")</x:f>
        <x:v>203</x:v>
      </x:c>
      <x:c r="M268" s="4" t="str">
        <x:f>IFERROR(INDEX('_角色基线'!$B$2:$B$100,MATCH($B268,'_角色基线'!$A$2:$A$100,0)),"")</x:f>
        <x:v>莉莉娅</x:v>
      </x:c>
      <x:c r="N268" s="4" t="str">
        <x:f>IFERROR(INDEX('_角色基线'!$C$2:$C$100,MATCH($B268,'_角色基线'!$A$2:$A$100,0)),"")</x:f>
        <x:v>DPS</x:v>
      </x:c>
      <x:c r="O268" s="4" t="n">
        <x:f>IFERROR(INDEX('_怪物基线'!$B$2:$B$501,MATCH(INT($L268),'_怪物基线'!$A$2:$A$501,0)),"")</x:f>
        <x:v>172896</x:v>
      </x:c>
      <x:c r="P268" s="4" t="n">
        <x:f>IFERROR(INDEX('_怪物基线'!$C$2:$C$501,MATCH(INT($L268),'_怪物基线'!$A$2:$A$501,0)),"")</x:f>
        <x:v>20028</x:v>
      </x:c>
      <x:c r="Q268" s="4" t="n">
        <x:f>IFERROR(INDEX('_怪物基线'!$D$2:$D$501,MATCH(INT($L268),'_怪物基线'!$A$2:$A$501,0)),"")</x:f>
        <x:v>19672</x:v>
      </x:c>
      <x:c r="R268" s="4" t="n">
        <x:f>'参数'!$B$10</x:f>
        <x:v>4</x:v>
      </x:c>
      <x:c r="S268" s="4" t="n">
        <x:f>'参数'!$C$10</x:f>
        <x:v>1.2</x:v>
      </x:c>
      <x:c r="T268" s="4" t="n">
        <x:f>'参数'!$D$10</x:f>
        <x:v>1</x:v>
      </x:c>
      <x:c r="U268" s="4" t="n">
        <x:f t="shared" si="28">IF($O268="","",$O268*$R268)</x:f>
        <x:v>691584</x:v>
      </x:c>
      <x:c r="V268" s="4" t="n">
        <x:f t="shared" si="29">IF($P268="","",$P268*$S268)</x:f>
        <x:v>24033.6</x:v>
      </x:c>
      <x:c r="W268" s="4" t="n">
        <x:f t="shared" si="30">IF($Q268="","",$Q268*$T268)</x:f>
        <x:v>19672</x:v>
      </x:c>
      <x:c r="X268" s="4" t="n">
        <x:f>IFERROR(INDEX('参数'!$B$5:$B$7,MATCH($N268,'参数'!$A$5:$A$7,0)),"")</x:f>
        <x:v>1</x:v>
      </x:c>
      <x:c r="Y268" s="4" t="n">
        <x:f>IFERROR(INDEX('参数'!$C$5:$C$7,MATCH($N268,'参数'!$A$5:$A$7,0)),"")</x:f>
        <x:v>1.2</x:v>
      </x:c>
      <x:c r="Z268" s="4" t="n">
        <x:f>IFERROR(INDEX('参数'!$D$5:$D$7,MATCH($N268,'参数'!$A$5:$A$7,0)),"")</x:f>
        <x:v>1</x:v>
      </x:c>
      <x:c r="AA268" s="4" t="n">
        <x:f>IFERROR(INDEX('楼层配置'!$E$5:$E$104,MATCH($K268,'楼层配置'!$B$5:$B$104,0)),1)</x:f>
        <x:v>1.1573620611728401</x:v>
      </x:c>
      <x:c r="AB268" s="4" t="n">
        <x:f>IFERROR(INDEX('楼层配置'!$F$5:$F$104,MATCH($K268,'楼层配置'!$B$5:$B$104,0)),1)</x:f>
        <x:v>0.6802690802123094</x:v>
      </x:c>
      <x:c r="AC268" s="4" t="n">
        <x:f>IFERROR(INDEX('楼层配置'!$G$5:$G$104,MATCH($K268,'楼层配置'!$B$5:$B$104,0)),1)</x:f>
        <x:v>1</x:v>
      </x:c>
      <x:c r="AD268" s="6" t="n">
        <x:f t="shared" si="31">IFERROR($D268/$G268-1,"")</x:f>
        <x:v>-0.13163576161814294</x:v>
      </x:c>
      <x:c r="AE268" s="6" t="n">
        <x:f t="shared" si="32">IFERROR($E268/$H268-1,"")</x:f>
        <x:v>-0.06616212099576368</x:v>
      </x:c>
      <x:c r="AF268" s="6" t="n">
        <x:f t="shared" si="33">IFERROR($F268/$I268-1,"")</x:f>
        <x:v>0.30424981767552883</x:v>
      </x:c>
      <x:c r="AG268" s="4" t="str">
        <x:f t="shared" si="34">IF(AND($A268&gt;=1,$L268&gt;=1,$L268&lt;=500,OR($N268="Tank",$N268="DPS",$N268="Support"),ISNUMBER($D268),ISNUMBER($E268),ISNUMBER($F268)),"有效","异常")</x:f>
        <x:v>有效</x:v>
      </x:c>
      <x:c r="AH268" t="n">
        <x:f>D268/(1-MIN(0.75,F268/(24000+F268)))</x:f>
        <x:v>1456484.8556666668</x:v>
      </x:c>
    </x:row>
    <x:row r="269" ht="14.25" customHeight="1">
      <x:c r="A269" s="4">
        <x:v>265</x:v>
      </x:c>
      <x:c r="B269" s="4">
        <x:v>1005</x:v>
      </x:c>
      <x:c r="C269" s="4">
        <x:v>36</x:v>
      </x:c>
      <x:c r="D269" s="5" t="n">
        <x:f>IFERROR(ROUND($U269*$X269*$AA269*'参数'!$B$13,0),"")</x:f>
        <x:v>800413</x:v>
      </x:c>
      <x:c r="E269" s="5" t="n">
        <x:f>IFERROR(ROUND($V269*$Y269*$AB269*'参数'!$C$13,0),"")</x:f>
        <x:v>19619</x:v>
      </x:c>
      <x:c r="F269" s="5" t="n">
        <x:f>IFERROR(ROUND($W269*$Z269*$AC269*'参数'!$D$13,0),"")</x:f>
        <x:v>19672</x:v>
      </x:c>
      <x:c r="G269" s="4">
        <x:v>921748</x:v>
      </x:c>
      <x:c r="H269" s="4">
        <x:v>21009</x:v>
      </x:c>
      <x:c r="I269" s="4">
        <x:v>15083</x:v>
      </x:c>
      <x:c r="J269" s="4">
        <x:v>53</x:v>
      </x:c>
      <x:c r="K269" s="4">
        <x:v>53</x:v>
      </x:c>
      <x:c r="L269" s="4" t="n">
        <x:f>IFERROR(INDEX('楼层配置'!$D$5:$D$104,MATCH($K269,'楼层配置'!$B$5:$B$104,0)),"")</x:f>
        <x:v>203</x:v>
      </x:c>
      <x:c r="M269" s="4" t="str">
        <x:f>IFERROR(INDEX('_角色基线'!$B$2:$B$100,MATCH($B269,'_角色基线'!$A$2:$A$100,0)),"")</x:f>
        <x:v>陈单单</x:v>
      </x:c>
      <x:c r="N269" s="4" t="str">
        <x:f>IFERROR(INDEX('_角色基线'!$C$2:$C$100,MATCH($B269,'_角色基线'!$A$2:$A$100,0)),"")</x:f>
        <x:v>DPS</x:v>
      </x:c>
      <x:c r="O269" s="4" t="n">
        <x:f>IFERROR(INDEX('_怪物基线'!$B$2:$B$501,MATCH(INT($L269),'_怪物基线'!$A$2:$A$501,0)),"")</x:f>
        <x:v>172896</x:v>
      </x:c>
      <x:c r="P269" s="4" t="n">
        <x:f>IFERROR(INDEX('_怪物基线'!$C$2:$C$501,MATCH(INT($L269),'_怪物基线'!$A$2:$A$501,0)),"")</x:f>
        <x:v>20028</x:v>
      </x:c>
      <x:c r="Q269" s="4" t="n">
        <x:f>IFERROR(INDEX('_怪物基线'!$D$2:$D$501,MATCH(INT($L269),'_怪物基线'!$A$2:$A$501,0)),"")</x:f>
        <x:v>19672</x:v>
      </x:c>
      <x:c r="R269" s="4" t="n">
        <x:f>'参数'!$B$10</x:f>
        <x:v>4</x:v>
      </x:c>
      <x:c r="S269" s="4" t="n">
        <x:f>'参数'!$C$10</x:f>
        <x:v>1.2</x:v>
      </x:c>
      <x:c r="T269" s="4" t="n">
        <x:f>'参数'!$D$10</x:f>
        <x:v>1</x:v>
      </x:c>
      <x:c r="U269" s="4" t="n">
        <x:f t="shared" si="28">IF($O269="","",$O269*$R269)</x:f>
        <x:v>691584</x:v>
      </x:c>
      <x:c r="V269" s="4" t="n">
        <x:f t="shared" si="29">IF($P269="","",$P269*$S269)</x:f>
        <x:v>24033.6</x:v>
      </x:c>
      <x:c r="W269" s="4" t="n">
        <x:f t="shared" si="30">IF($Q269="","",$Q269*$T269)</x:f>
        <x:v>19672</x:v>
      </x:c>
      <x:c r="X269" s="4" t="n">
        <x:f>IFERROR(INDEX('参数'!$B$5:$B$7,MATCH($N269,'参数'!$A$5:$A$7,0)),"")</x:f>
        <x:v>1</x:v>
      </x:c>
      <x:c r="Y269" s="4" t="n">
        <x:f>IFERROR(INDEX('参数'!$C$5:$C$7,MATCH($N269,'参数'!$A$5:$A$7,0)),"")</x:f>
        <x:v>1.2</x:v>
      </x:c>
      <x:c r="Z269" s="4" t="n">
        <x:f>IFERROR(INDEX('参数'!$D$5:$D$7,MATCH($N269,'参数'!$A$5:$A$7,0)),"")</x:f>
        <x:v>1</x:v>
      </x:c>
      <x:c r="AA269" s="4" t="n">
        <x:f>IFERROR(INDEX('楼层配置'!$E$5:$E$104,MATCH($K269,'楼层配置'!$B$5:$B$104,0)),1)</x:f>
        <x:v>1.1573620611728401</x:v>
      </x:c>
      <x:c r="AB269" s="4" t="n">
        <x:f>IFERROR(INDEX('楼层配置'!$F$5:$F$104,MATCH($K269,'楼层配置'!$B$5:$B$104,0)),1)</x:f>
        <x:v>0.6802690802123094</x:v>
      </x:c>
      <x:c r="AC269" s="4" t="n">
        <x:f>IFERROR(INDEX('楼层配置'!$G$5:$G$104,MATCH($K269,'楼层配置'!$B$5:$B$104,0)),1)</x:f>
        <x:v>1</x:v>
      </x:c>
      <x:c r="AD269" s="6" t="n">
        <x:f t="shared" si="31">IFERROR($D269/$G269-1,"")</x:f>
        <x:v>-0.13163576161814294</x:v>
      </x:c>
      <x:c r="AE269" s="6" t="n">
        <x:f t="shared" si="32">IFERROR($E269/$H269-1,"")</x:f>
        <x:v>-0.06616212099576368</x:v>
      </x:c>
      <x:c r="AF269" s="6" t="n">
        <x:f t="shared" si="33">IFERROR($F269/$I269-1,"")</x:f>
        <x:v>0.30424981767552883</x:v>
      </x:c>
      <x:c r="AG269" s="4" t="str">
        <x:f t="shared" si="34">IF(AND($A269&gt;=1,$L269&gt;=1,$L269&lt;=500,OR($N269="Tank",$N269="DPS",$N269="Support"),ISNUMBER($D269),ISNUMBER($E269),ISNUMBER($F269)),"有效","异常")</x:f>
        <x:v>有效</x:v>
      </x:c>
      <x:c r="AH269" t="n">
        <x:f>D269/(1-MIN(0.75,F269/(24000+F269)))</x:f>
        <x:v>1456484.8556666668</x:v>
      </x:c>
    </x:row>
    <x:row r="270" ht="14.25" customHeight="1">
      <x:c r="A270" s="4">
        <x:v>266</x:v>
      </x:c>
      <x:c r="B270" s="4">
        <x:v>1002</x:v>
      </x:c>
      <x:c r="C270" s="4">
        <x:v>37</x:v>
      </x:c>
      <x:c r="D270" s="5" t="n">
        <x:f>IFERROR(ROUND($U270*$X270*$AA270*'参数'!$B$13,0),"")</x:f>
        <x:v>1229785</x:v>
      </x:c>
      <x:c r="E270" s="5" t="n">
        <x:f>IFERROR(ROUND($V270*$Y270*$AB270*'参数'!$C$13,0),"")</x:f>
        <x:v>16658</x:v>
      </x:c>
      <x:c r="F270" s="5" t="n">
        <x:f>IFERROR(ROUND($W270*$Z270*$AC270*'参数'!$D$13,0),"")</x:f>
        <x:v>29870</x:v>
      </x:c>
      <x:c r="G270" s="4">
        <x:v>1443556</x:v>
      </x:c>
      <x:c r="H270" s="4">
        <x:v>18030</x:v>
      </x:c>
      <x:c r="I270" s="4">
        <x:v>23146</x:v>
      </x:c>
      <x:c r="J270" s="4">
        <x:v>54</x:v>
      </x:c>
      <x:c r="K270" s="4">
        <x:v>54</x:v>
      </x:c>
      <x:c r="L270" s="4" t="n">
        <x:f>IFERROR(INDEX('楼层配置'!$D$5:$D$104,MATCH($K270,'楼层配置'!$B$5:$B$104,0)),"")</x:f>
        <x:v>205</x:v>
      </x:c>
      <x:c r="M270" s="4" t="str">
        <x:f>IFERROR(INDEX('_角色基线'!$B$2:$B$100,MATCH($B270,'_角色基线'!$A$2:$A$100,0)),"")</x:f>
        <x:v>大暑</x:v>
      </x:c>
      <x:c r="N270" s="4" t="str">
        <x:f>IFERROR(INDEX('_角色基线'!$C$2:$C$100,MATCH($B270,'_角色基线'!$A$2:$A$100,0)),"")</x:f>
        <x:v>Tank</x:v>
      </x:c>
      <x:c r="O270" s="4" t="n">
        <x:f>IFERROR(INDEX('_怪物基线'!$B$2:$B$501,MATCH(INT($L270),'_怪物基线'!$A$2:$A$501,0)),"")</x:f>
        <x:v>177096</x:v>
      </x:c>
      <x:c r="P270" s="4" t="n">
        <x:f>IFERROR(INDEX('_怪物基线'!$C$2:$C$501,MATCH(INT($L270),'_怪物基线'!$A$2:$A$501,0)),"")</x:f>
        <x:v>20380</x:v>
      </x:c>
      <x:c r="Q270" s="4" t="n">
        <x:f>IFERROR(INDEX('_怪物基线'!$D$2:$D$501,MATCH(INT($L270),'_怪物基线'!$A$2:$A$501,0)),"")</x:f>
        <x:v>19913</x:v>
      </x:c>
      <x:c r="R270" s="4" t="n">
        <x:f>'参数'!$B$10</x:f>
        <x:v>4</x:v>
      </x:c>
      <x:c r="S270" s="4" t="n">
        <x:f>'参数'!$C$10</x:f>
        <x:v>1.2</x:v>
      </x:c>
      <x:c r="T270" s="4" t="n">
        <x:f>'参数'!$D$10</x:f>
        <x:v>1</x:v>
      </x:c>
      <x:c r="U270" s="4" t="n">
        <x:f t="shared" si="28">IF($O270="","",$O270*$R270)</x:f>
        <x:v>708384</x:v>
      </x:c>
      <x:c r="V270" s="4" t="n">
        <x:f t="shared" si="29">IF($P270="","",$P270*$S270)</x:f>
        <x:v>24456</x:v>
      </x:c>
      <x:c r="W270" s="4" t="n">
        <x:f t="shared" si="30">IF($Q270="","",$Q270*$T270)</x:f>
        <x:v>19913</x:v>
      </x:c>
      <x:c r="X270" s="4" t="n">
        <x:f>IFERROR(INDEX('参数'!$B$5:$B$7,MATCH($N270,'参数'!$A$5:$A$7,0)),"")</x:f>
        <x:v>1.5</x:v>
      </x:c>
      <x:c r="Y270" s="4" t="n">
        <x:f>IFERROR(INDEX('参数'!$C$5:$C$7,MATCH($N270,'参数'!$A$5:$A$7,0)),"")</x:f>
        <x:v>1</x:v>
      </x:c>
      <x:c r="Z270" s="4" t="n">
        <x:f>IFERROR(INDEX('参数'!$D$5:$D$7,MATCH($N270,'参数'!$A$5:$A$7,0)),"")</x:f>
        <x:v>1.5</x:v>
      </x:c>
      <x:c r="AA270" s="4" t="n">
        <x:f>IFERROR(INDEX('楼层配置'!$E$5:$E$104,MATCH($K270,'楼层配置'!$B$5:$B$104,0)),1)</x:f>
        <x:v>1.1573616328039344</x:v>
      </x:c>
      <x:c r="AB270" s="4" t="n">
        <x:f>IFERROR(INDEX('楼层配置'!$F$5:$F$104,MATCH($K270,'楼层配置'!$B$5:$B$104,0)),1)</x:f>
        <x:v>0.6811308913498373</x:v>
      </x:c>
      <x:c r="AC270" s="4" t="n">
        <x:f>IFERROR(INDEX('楼层配置'!$G$5:$G$104,MATCH($K270,'楼层配置'!$B$5:$B$104,0)),1)</x:f>
        <x:v>1</x:v>
      </x:c>
      <x:c r="AD270" s="6" t="n">
        <x:f t="shared" si="31">IFERROR($D270/$G270-1,"")</x:f>
        <x:v>-0.1480863922147807</x:v>
      </x:c>
      <x:c r="AE270" s="6" t="n">
        <x:f t="shared" si="32">IFERROR($E270/$H270-1,"")</x:f>
        <x:v>-0.07609539656128672</x:v>
      </x:c>
      <x:c r="AF270" s="6" t="n">
        <x:f t="shared" si="33">IFERROR($F270/$I270-1,"")</x:f>
        <x:v>0.29050375874881196</x:v>
      </x:c>
      <x:c r="AG270" s="4" t="str">
        <x:f t="shared" si="34">IF(AND($A270&gt;=1,$L270&gt;=1,$L270&lt;=500,OR($N270="Tank",$N270="DPS",$N270="Support"),ISNUMBER($D270),ISNUMBER($E270),ISNUMBER($F270)),"有效","异常")</x:f>
        <x:v>有效</x:v>
      </x:c>
      <x:c r="AH270" t="n">
        <x:f>D270/(1-MIN(0.75,F270/(24000+F270)))</x:f>
        <x:v>2760354.9145833333</x:v>
      </x:c>
    </x:row>
    <x:row r="271" ht="14.25" customHeight="1">
      <x:c r="A271" s="4">
        <x:v>267</x:v>
      </x:c>
      <x:c r="B271" s="4">
        <x:v>1006</x:v>
      </x:c>
      <x:c r="C271" s="4">
        <x:v>37</x:v>
      </x:c>
      <x:c r="D271" s="5" t="n">
        <x:f>IFERROR(ROUND($U271*$X271*$AA271*'参数'!$B$13,0),"")</x:f>
        <x:v>819856</x:v>
      </x:c>
      <x:c r="E271" s="5" t="n">
        <x:f>IFERROR(ROUND($V271*$Y271*$AB271*'参数'!$C$13,0),"")</x:f>
        <x:v>19989</x:v>
      </x:c>
      <x:c r="F271" s="5" t="n">
        <x:f>IFERROR(ROUND($W271*$Z271*$AC271*'参数'!$D$13,0),"")</x:f>
        <x:v>19913</x:v>
      </x:c>
      <x:c r="G271" s="4">
        <x:v>962371</x:v>
      </x:c>
      <x:c r="H271" s="4">
        <x:v>21636</x:v>
      </x:c>
      <x:c r="I271" s="4">
        <x:v>15431</x:v>
      </x:c>
      <x:c r="J271" s="4">
        <x:v>54</x:v>
      </x:c>
      <x:c r="K271" s="4">
        <x:v>54</x:v>
      </x:c>
      <x:c r="L271" s="4" t="n">
        <x:f>IFERROR(INDEX('楼层配置'!$D$5:$D$104,MATCH($K271,'楼层配置'!$B$5:$B$104,0)),"")</x:f>
        <x:v>205</x:v>
      </x:c>
      <x:c r="M271" s="4" t="str">
        <x:f>IFERROR(INDEX('_角色基线'!$B$2:$B$100,MATCH($B271,'_角色基线'!$A$2:$A$100,0)),"")</x:f>
        <x:v>莉莉娅</x:v>
      </x:c>
      <x:c r="N271" s="4" t="str">
        <x:f>IFERROR(INDEX('_角色基线'!$C$2:$C$100,MATCH($B271,'_角色基线'!$A$2:$A$100,0)),"")</x:f>
        <x:v>DPS</x:v>
      </x:c>
      <x:c r="O271" s="4" t="n">
        <x:f>IFERROR(INDEX('_怪物基线'!$B$2:$B$501,MATCH(INT($L271),'_怪物基线'!$A$2:$A$501,0)),"")</x:f>
        <x:v>177096</x:v>
      </x:c>
      <x:c r="P271" s="4" t="n">
        <x:f>IFERROR(INDEX('_怪物基线'!$C$2:$C$501,MATCH(INT($L271),'_怪物基线'!$A$2:$A$501,0)),"")</x:f>
        <x:v>20380</x:v>
      </x:c>
      <x:c r="Q271" s="4" t="n">
        <x:f>IFERROR(INDEX('_怪物基线'!$D$2:$D$501,MATCH(INT($L271),'_怪物基线'!$A$2:$A$501,0)),"")</x:f>
        <x:v>19913</x:v>
      </x:c>
      <x:c r="R271" s="4" t="n">
        <x:f>'参数'!$B$10</x:f>
        <x:v>4</x:v>
      </x:c>
      <x:c r="S271" s="4" t="n">
        <x:f>'参数'!$C$10</x:f>
        <x:v>1.2</x:v>
      </x:c>
      <x:c r="T271" s="4" t="n">
        <x:f>'参数'!$D$10</x:f>
        <x:v>1</x:v>
      </x:c>
      <x:c r="U271" s="4" t="n">
        <x:f t="shared" si="28">IF($O271="","",$O271*$R271)</x:f>
        <x:v>708384</x:v>
      </x:c>
      <x:c r="V271" s="4" t="n">
        <x:f t="shared" si="29">IF($P271="","",$P271*$S271)</x:f>
        <x:v>24456</x:v>
      </x:c>
      <x:c r="W271" s="4" t="n">
        <x:f t="shared" si="30">IF($Q271="","",$Q271*$T271)</x:f>
        <x:v>19913</x:v>
      </x:c>
      <x:c r="X271" s="4" t="n">
        <x:f>IFERROR(INDEX('参数'!$B$5:$B$7,MATCH($N271,'参数'!$A$5:$A$7,0)),"")</x:f>
        <x:v>1</x:v>
      </x:c>
      <x:c r="Y271" s="4" t="n">
        <x:f>IFERROR(INDEX('参数'!$C$5:$C$7,MATCH($N271,'参数'!$A$5:$A$7,0)),"")</x:f>
        <x:v>1.2</x:v>
      </x:c>
      <x:c r="Z271" s="4" t="n">
        <x:f>IFERROR(INDEX('参数'!$D$5:$D$7,MATCH($N271,'参数'!$A$5:$A$7,0)),"")</x:f>
        <x:v>1</x:v>
      </x:c>
      <x:c r="AA271" s="4" t="n">
        <x:f>IFERROR(INDEX('楼层配置'!$E$5:$E$104,MATCH($K271,'楼层配置'!$B$5:$B$104,0)),1)</x:f>
        <x:v>1.1573616328039344</x:v>
      </x:c>
      <x:c r="AB271" s="4" t="n">
        <x:f>IFERROR(INDEX('楼层配置'!$F$5:$F$104,MATCH($K271,'楼层配置'!$B$5:$B$104,0)),1)</x:f>
        <x:v>0.6811308913498373</x:v>
      </x:c>
      <x:c r="AC271" s="4" t="n">
        <x:f>IFERROR(INDEX('楼层配置'!$G$5:$G$104,MATCH($K271,'楼层配置'!$B$5:$B$104,0)),1)</x:f>
        <x:v>1</x:v>
      </x:c>
      <x:c r="AD271" s="6" t="n">
        <x:f t="shared" si="31">IFERROR($D271/$G271-1,"")</x:f>
        <x:v>-0.14808738002288102</x:v>
      </x:c>
      <x:c r="AE271" s="6" t="n">
        <x:f t="shared" si="32">IFERROR($E271/$H271-1,"")</x:f>
        <x:v>-0.07612312811980038</x:v>
      </x:c>
      <x:c r="AF271" s="6" t="n">
        <x:f t="shared" si="33">IFERROR($F271/$I271-1,"")</x:f>
        <x:v>0.2904542803447605</x:v>
      </x:c>
      <x:c r="AG271" s="4" t="str">
        <x:f t="shared" si="34">IF(AND($A271&gt;=1,$L271&gt;=1,$L271&lt;=500,OR($N271="Tank",$N271="DPS",$N271="Support"),ISNUMBER($D271),ISNUMBER($E271),ISNUMBER($F271)),"有效","异常")</x:f>
        <x:v>有效</x:v>
      </x:c>
      <x:c r="AH271" t="n">
        <x:f>D271/(1-MIN(0.75,F271/(24000+F271)))</x:f>
        <x:v>1500097.3553333334</x:v>
      </x:c>
    </x:row>
    <x:row r="272" ht="14.25" customHeight="1">
      <x:c r="A272" s="4">
        <x:v>268</x:v>
      </x:c>
      <x:c r="B272" s="4">
        <x:v>1024</x:v>
      </x:c>
      <x:c r="C272" s="4">
        <x:v>37</x:v>
      </x:c>
      <x:c r="D272" s="5" t="n">
        <x:f>IFERROR(ROUND($U272*$X272*$AA272*'参数'!$B$13,0),"")</x:f>
        <x:v>819856</x:v>
      </x:c>
      <x:c r="E272" s="5" t="n">
        <x:f>IFERROR(ROUND($V272*$Y272*$AB272*'参数'!$C$13,0),"")</x:f>
        <x:v>19989</x:v>
      </x:c>
      <x:c r="F272" s="5" t="n">
        <x:f>IFERROR(ROUND($W272*$Z272*$AC272*'参数'!$D$13,0),"")</x:f>
        <x:v>19913</x:v>
      </x:c>
      <x:c r="G272" s="4">
        <x:v>962371</x:v>
      </x:c>
      <x:c r="H272" s="4">
        <x:v>21636</x:v>
      </x:c>
      <x:c r="I272" s="4">
        <x:v>15431</x:v>
      </x:c>
      <x:c r="J272" s="4">
        <x:v>54</x:v>
      </x:c>
      <x:c r="K272" s="4">
        <x:v>54</x:v>
      </x:c>
      <x:c r="L272" s="4" t="n">
        <x:f>IFERROR(INDEX('楼层配置'!$D$5:$D$104,MATCH($K272,'楼层配置'!$B$5:$B$104,0)),"")</x:f>
        <x:v>205</x:v>
      </x:c>
      <x:c r="M272" s="4" t="str">
        <x:f>IFERROR(INDEX('_角色基线'!$B$2:$B$100,MATCH($B272,'_角色基线'!$A$2:$A$100,0)),"")</x:f>
        <x:v>卡薇</x:v>
      </x:c>
      <x:c r="N272" s="4" t="str">
        <x:f>IFERROR(INDEX('_角色基线'!$C$2:$C$100,MATCH($B272,'_角色基线'!$A$2:$A$100,0)),"")</x:f>
        <x:v>DPS</x:v>
      </x:c>
      <x:c r="O272" s="4" t="n">
        <x:f>IFERROR(INDEX('_怪物基线'!$B$2:$B$501,MATCH(INT($L272),'_怪物基线'!$A$2:$A$501,0)),"")</x:f>
        <x:v>177096</x:v>
      </x:c>
      <x:c r="P272" s="4" t="n">
        <x:f>IFERROR(INDEX('_怪物基线'!$C$2:$C$501,MATCH(INT($L272),'_怪物基线'!$A$2:$A$501,0)),"")</x:f>
        <x:v>20380</x:v>
      </x:c>
      <x:c r="Q272" s="4" t="n">
        <x:f>IFERROR(INDEX('_怪物基线'!$D$2:$D$501,MATCH(INT($L272),'_怪物基线'!$A$2:$A$501,0)),"")</x:f>
        <x:v>19913</x:v>
      </x:c>
      <x:c r="R272" s="4" t="n">
        <x:f>'参数'!$B$10</x:f>
        <x:v>4</x:v>
      </x:c>
      <x:c r="S272" s="4" t="n">
        <x:f>'参数'!$C$10</x:f>
        <x:v>1.2</x:v>
      </x:c>
      <x:c r="T272" s="4" t="n">
        <x:f>'参数'!$D$10</x:f>
        <x:v>1</x:v>
      </x:c>
      <x:c r="U272" s="4" t="n">
        <x:f t="shared" si="28">IF($O272="","",$O272*$R272)</x:f>
        <x:v>708384</x:v>
      </x:c>
      <x:c r="V272" s="4" t="n">
        <x:f t="shared" si="29">IF($P272="","",$P272*$S272)</x:f>
        <x:v>24456</x:v>
      </x:c>
      <x:c r="W272" s="4" t="n">
        <x:f t="shared" si="30">IF($Q272="","",$Q272*$T272)</x:f>
        <x:v>19913</x:v>
      </x:c>
      <x:c r="X272" s="4" t="n">
        <x:f>IFERROR(INDEX('参数'!$B$5:$B$7,MATCH($N272,'参数'!$A$5:$A$7,0)),"")</x:f>
        <x:v>1</x:v>
      </x:c>
      <x:c r="Y272" s="4" t="n">
        <x:f>IFERROR(INDEX('参数'!$C$5:$C$7,MATCH($N272,'参数'!$A$5:$A$7,0)),"")</x:f>
        <x:v>1.2</x:v>
      </x:c>
      <x:c r="Z272" s="4" t="n">
        <x:f>IFERROR(INDEX('参数'!$D$5:$D$7,MATCH($N272,'参数'!$A$5:$A$7,0)),"")</x:f>
        <x:v>1</x:v>
      </x:c>
      <x:c r="AA272" s="4" t="n">
        <x:f>IFERROR(INDEX('楼层配置'!$E$5:$E$104,MATCH($K272,'楼层配置'!$B$5:$B$104,0)),1)</x:f>
        <x:v>1.1573616328039344</x:v>
      </x:c>
      <x:c r="AB272" s="4" t="n">
        <x:f>IFERROR(INDEX('楼层配置'!$F$5:$F$104,MATCH($K272,'楼层配置'!$B$5:$B$104,0)),1)</x:f>
        <x:v>0.6811308913498373</x:v>
      </x:c>
      <x:c r="AC272" s="4" t="n">
        <x:f>IFERROR(INDEX('楼层配置'!$G$5:$G$104,MATCH($K272,'楼层配置'!$B$5:$B$104,0)),1)</x:f>
        <x:v>1</x:v>
      </x:c>
      <x:c r="AD272" s="6" t="n">
        <x:f t="shared" si="31">IFERROR($D272/$G272-1,"")</x:f>
        <x:v>-0.14808738002288102</x:v>
      </x:c>
      <x:c r="AE272" s="6" t="n">
        <x:f t="shared" si="32">IFERROR($E272/$H272-1,"")</x:f>
        <x:v>-0.07612312811980038</x:v>
      </x:c>
      <x:c r="AF272" s="6" t="n">
        <x:f t="shared" si="33">IFERROR($F272/$I272-1,"")</x:f>
        <x:v>0.2904542803447605</x:v>
      </x:c>
      <x:c r="AG272" s="4" t="str">
        <x:f t="shared" si="34">IF(AND($A272&gt;=1,$L272&gt;=1,$L272&lt;=500,OR($N272="Tank",$N272="DPS",$N272="Support"),ISNUMBER($D272),ISNUMBER($E272),ISNUMBER($F272)),"有效","异常")</x:f>
        <x:v>有效</x:v>
      </x:c>
      <x:c r="AH272" t="n">
        <x:f>D272/(1-MIN(0.75,F272/(24000+F272)))</x:f>
        <x:v>1500097.3553333334</x:v>
      </x:c>
    </x:row>
    <x:row r="273" ht="14.25" customHeight="1">
      <x:c r="A273" s="4">
        <x:v>269</x:v>
      </x:c>
      <x:c r="B273" s="4">
        <x:v>1015</x:v>
      </x:c>
      <x:c r="C273" s="4">
        <x:v>37</x:v>
      </x:c>
      <x:c r="D273" s="5" t="n">
        <x:f>IFERROR(ROUND($U273*$X273*$AA273*'参数'!$B$13,0),"")</x:f>
        <x:v>1024821</x:v>
      </x:c>
      <x:c r="E273" s="5" t="n">
        <x:f>IFERROR(ROUND($V273*$Y273*$AB273*'参数'!$C$13,0),"")</x:f>
        <x:v>16658</x:v>
      </x:c>
      <x:c r="F273" s="5" t="n">
        <x:f>IFERROR(ROUND($W273*$Z273*$AC273*'参数'!$D$13,0),"")</x:f>
        <x:v>24891</x:v>
      </x:c>
      <x:c r="G273" s="4">
        <x:v>1202964</x:v>
      </x:c>
      <x:c r="H273" s="4">
        <x:v>18030</x:v>
      </x:c>
      <x:c r="I273" s="4">
        <x:v>19289</x:v>
      </x:c>
      <x:c r="J273" s="4">
        <x:v>54</x:v>
      </x:c>
      <x:c r="K273" s="4">
        <x:v>54</x:v>
      </x:c>
      <x:c r="L273" s="4" t="n">
        <x:f>IFERROR(INDEX('楼层配置'!$D$5:$D$104,MATCH($K273,'楼层配置'!$B$5:$B$104,0)),"")</x:f>
        <x:v>205</x:v>
      </x:c>
      <x:c r="M273" s="4" t="str">
        <x:f>IFERROR(INDEX('_角色基线'!$B$2:$B$100,MATCH($B273,'_角色基线'!$A$2:$A$100,0)),"")</x:f>
        <x:v>阿莱克西娅</x:v>
      </x:c>
      <x:c r="N273" s="4" t="str">
        <x:f>IFERROR(INDEX('_角色基线'!$C$2:$C$100,MATCH($B273,'_角色基线'!$A$2:$A$100,0)),"")</x:f>
        <x:v>Support</x:v>
      </x:c>
      <x:c r="O273" s="4" t="n">
        <x:f>IFERROR(INDEX('_怪物基线'!$B$2:$B$501,MATCH(INT($L273),'_怪物基线'!$A$2:$A$501,0)),"")</x:f>
        <x:v>177096</x:v>
      </x:c>
      <x:c r="P273" s="4" t="n">
        <x:f>IFERROR(INDEX('_怪物基线'!$C$2:$C$501,MATCH(INT($L273),'_怪物基线'!$A$2:$A$501,0)),"")</x:f>
        <x:v>20380</x:v>
      </x:c>
      <x:c r="Q273" s="4" t="n">
        <x:f>IFERROR(INDEX('_怪物基线'!$D$2:$D$501,MATCH(INT($L273),'_怪物基线'!$A$2:$A$501,0)),"")</x:f>
        <x:v>19913</x:v>
      </x:c>
      <x:c r="R273" s="4" t="n">
        <x:f>'参数'!$B$10</x:f>
        <x:v>4</x:v>
      </x:c>
      <x:c r="S273" s="4" t="n">
        <x:f>'参数'!$C$10</x:f>
        <x:v>1.2</x:v>
      </x:c>
      <x:c r="T273" s="4" t="n">
        <x:f>'参数'!$D$10</x:f>
        <x:v>1</x:v>
      </x:c>
      <x:c r="U273" s="4" t="n">
        <x:f t="shared" si="28">IF($O273="","",$O273*$R273)</x:f>
        <x:v>708384</x:v>
      </x:c>
      <x:c r="V273" s="4" t="n">
        <x:f t="shared" si="29">IF($P273="","",$P273*$S273)</x:f>
        <x:v>24456</x:v>
      </x:c>
      <x:c r="W273" s="4" t="n">
        <x:f t="shared" si="30">IF($Q273="","",$Q273*$T273)</x:f>
        <x:v>19913</x:v>
      </x:c>
      <x:c r="X273" s="4" t="n">
        <x:f>IFERROR(INDEX('参数'!$B$5:$B$7,MATCH($N273,'参数'!$A$5:$A$7,0)),"")</x:f>
        <x:v>1.25</x:v>
      </x:c>
      <x:c r="Y273" s="4" t="n">
        <x:f>IFERROR(INDEX('参数'!$C$5:$C$7,MATCH($N273,'参数'!$A$5:$A$7,0)),"")</x:f>
        <x:v>1</x:v>
      </x:c>
      <x:c r="Z273" s="4" t="n">
        <x:f>IFERROR(INDEX('参数'!$D$5:$D$7,MATCH($N273,'参数'!$A$5:$A$7,0)),"")</x:f>
        <x:v>1.25</x:v>
      </x:c>
      <x:c r="AA273" s="4" t="n">
        <x:f>IFERROR(INDEX('楼层配置'!$E$5:$E$104,MATCH($K273,'楼层配置'!$B$5:$B$104,0)),1)</x:f>
        <x:v>1.1573616328039344</x:v>
      </x:c>
      <x:c r="AB273" s="4" t="n">
        <x:f>IFERROR(INDEX('楼层配置'!$F$5:$F$104,MATCH($K273,'楼层配置'!$B$5:$B$104,0)),1)</x:f>
        <x:v>0.6811308913498373</x:v>
      </x:c>
      <x:c r="AC273" s="4" t="n">
        <x:f>IFERROR(INDEX('楼层配置'!$G$5:$G$104,MATCH($K273,'楼层配置'!$B$5:$B$104,0)),1)</x:f>
        <x:v>1</x:v>
      </x:c>
      <x:c r="AD273" s="6" t="n">
        <x:f t="shared" si="31">IFERROR($D273/$G273-1,"")</x:f>
        <x:v>-0.1480867257873053</x:v>
      </x:c>
      <x:c r="AE273" s="6" t="n">
        <x:f t="shared" si="32">IFERROR($E273/$H273-1,"")</x:f>
        <x:v>-0.07609539656128672</x:v>
      </x:c>
      <x:c r="AF273" s="6" t="n">
        <x:f t="shared" si="33">IFERROR($F273/$I273-1,"")</x:f>
        <x:v>0.29042459432837364</x:v>
      </x:c>
      <x:c r="AG273" s="4" t="str">
        <x:f t="shared" si="34">IF(AND($A273&gt;=1,$L273&gt;=1,$L273&lt;=500,OR($N273="Tank",$N273="DPS",$N273="Support"),ISNUMBER($D273),ISNUMBER($E273),ISNUMBER($F273)),"有效","异常")</x:f>
        <x:v>有效</x:v>
      </x:c>
      <x:c r="AH273" t="n">
        <x:f>D273/(1-MIN(0.75,F273/(24000+F273)))</x:f>
        <x:v>2087688.4796250002</x:v>
      </x:c>
    </x:row>
    <x:row r="274" ht="14.25" customHeight="1">
      <x:c r="A274" s="4">
        <x:v>270</x:v>
      </x:c>
      <x:c r="B274" s="4">
        <x:v>1015</x:v>
      </x:c>
      <x:c r="C274" s="4">
        <x:v>37</x:v>
      </x:c>
      <x:c r="D274" s="5" t="n">
        <x:f>IFERROR(ROUND($U274*$X274*$AA274*'参数'!$B$13,0),"")</x:f>
        <x:v>1024821</x:v>
      </x:c>
      <x:c r="E274" s="5" t="n">
        <x:f>IFERROR(ROUND($V274*$Y274*$AB274*'参数'!$C$13,0),"")</x:f>
        <x:v>16658</x:v>
      </x:c>
      <x:c r="F274" s="5" t="n">
        <x:f>IFERROR(ROUND($W274*$Z274*$AC274*'参数'!$D$13,0),"")</x:f>
        <x:v>24891</x:v>
      </x:c>
      <x:c r="G274" s="4">
        <x:v>1202964</x:v>
      </x:c>
      <x:c r="H274" s="4">
        <x:v>18030</x:v>
      </x:c>
      <x:c r="I274" s="4">
        <x:v>19289</x:v>
      </x:c>
      <x:c r="J274" s="4">
        <x:v>54</x:v>
      </x:c>
      <x:c r="K274" s="4">
        <x:v>54</x:v>
      </x:c>
      <x:c r="L274" s="4" t="n">
        <x:f>IFERROR(INDEX('楼层配置'!$D$5:$D$104,MATCH($K274,'楼层配置'!$B$5:$B$104,0)),"")</x:f>
        <x:v>205</x:v>
      </x:c>
      <x:c r="M274" s="4" t="str">
        <x:f>IFERROR(INDEX('_角色基线'!$B$2:$B$100,MATCH($B274,'_角色基线'!$A$2:$A$100,0)),"")</x:f>
        <x:v>阿莱克西娅</x:v>
      </x:c>
      <x:c r="N274" s="4" t="str">
        <x:f>IFERROR(INDEX('_角色基线'!$C$2:$C$100,MATCH($B274,'_角色基线'!$A$2:$A$100,0)),"")</x:f>
        <x:v>Support</x:v>
      </x:c>
      <x:c r="O274" s="4" t="n">
        <x:f>IFERROR(INDEX('_怪物基线'!$B$2:$B$501,MATCH(INT($L274),'_怪物基线'!$A$2:$A$501,0)),"")</x:f>
        <x:v>177096</x:v>
      </x:c>
      <x:c r="P274" s="4" t="n">
        <x:f>IFERROR(INDEX('_怪物基线'!$C$2:$C$501,MATCH(INT($L274),'_怪物基线'!$A$2:$A$501,0)),"")</x:f>
        <x:v>20380</x:v>
      </x:c>
      <x:c r="Q274" s="4" t="n">
        <x:f>IFERROR(INDEX('_怪物基线'!$D$2:$D$501,MATCH(INT($L274),'_怪物基线'!$A$2:$A$501,0)),"")</x:f>
        <x:v>19913</x:v>
      </x:c>
      <x:c r="R274" s="4" t="n">
        <x:f>'参数'!$B$10</x:f>
        <x:v>4</x:v>
      </x:c>
      <x:c r="S274" s="4" t="n">
        <x:f>'参数'!$C$10</x:f>
        <x:v>1.2</x:v>
      </x:c>
      <x:c r="T274" s="4" t="n">
        <x:f>'参数'!$D$10</x:f>
        <x:v>1</x:v>
      </x:c>
      <x:c r="U274" s="4" t="n">
        <x:f t="shared" si="28">IF($O274="","",$O274*$R274)</x:f>
        <x:v>708384</x:v>
      </x:c>
      <x:c r="V274" s="4" t="n">
        <x:f t="shared" si="29">IF($P274="","",$P274*$S274)</x:f>
        <x:v>24456</x:v>
      </x:c>
      <x:c r="W274" s="4" t="n">
        <x:f t="shared" si="30">IF($Q274="","",$Q274*$T274)</x:f>
        <x:v>19913</x:v>
      </x:c>
      <x:c r="X274" s="4" t="n">
        <x:f>IFERROR(INDEX('参数'!$B$5:$B$7,MATCH($N274,'参数'!$A$5:$A$7,0)),"")</x:f>
        <x:v>1.25</x:v>
      </x:c>
      <x:c r="Y274" s="4" t="n">
        <x:f>IFERROR(INDEX('参数'!$C$5:$C$7,MATCH($N274,'参数'!$A$5:$A$7,0)),"")</x:f>
        <x:v>1</x:v>
      </x:c>
      <x:c r="Z274" s="4" t="n">
        <x:f>IFERROR(INDEX('参数'!$D$5:$D$7,MATCH($N274,'参数'!$A$5:$A$7,0)),"")</x:f>
        <x:v>1.25</x:v>
      </x:c>
      <x:c r="AA274" s="4" t="n">
        <x:f>IFERROR(INDEX('楼层配置'!$E$5:$E$104,MATCH($K274,'楼层配置'!$B$5:$B$104,0)),1)</x:f>
        <x:v>1.1573616328039344</x:v>
      </x:c>
      <x:c r="AB274" s="4" t="n">
        <x:f>IFERROR(INDEX('楼层配置'!$F$5:$F$104,MATCH($K274,'楼层配置'!$B$5:$B$104,0)),1)</x:f>
        <x:v>0.6811308913498373</x:v>
      </x:c>
      <x:c r="AC274" s="4" t="n">
        <x:f>IFERROR(INDEX('楼层配置'!$G$5:$G$104,MATCH($K274,'楼层配置'!$B$5:$B$104,0)),1)</x:f>
        <x:v>1</x:v>
      </x:c>
      <x:c r="AD274" s="6" t="n">
        <x:f t="shared" si="31">IFERROR($D274/$G274-1,"")</x:f>
        <x:v>-0.1480867257873053</x:v>
      </x:c>
      <x:c r="AE274" s="6" t="n">
        <x:f t="shared" si="32">IFERROR($E274/$H274-1,"")</x:f>
        <x:v>-0.07609539656128672</x:v>
      </x:c>
      <x:c r="AF274" s="6" t="n">
        <x:f t="shared" si="33">IFERROR($F274/$I274-1,"")</x:f>
        <x:v>0.29042459432837364</x:v>
      </x:c>
      <x:c r="AG274" s="4" t="str">
        <x:f t="shared" si="34">IF(AND($A274&gt;=1,$L274&gt;=1,$L274&lt;=500,OR($N274="Tank",$N274="DPS",$N274="Support"),ISNUMBER($D274),ISNUMBER($E274),ISNUMBER($F274)),"有效","异常")</x:f>
        <x:v>有效</x:v>
      </x:c>
      <x:c r="AH274" t="n">
        <x:f>D274/(1-MIN(0.75,F274/(24000+F274)))</x:f>
        <x:v>2087688.4796250002</x:v>
      </x:c>
    </x:row>
    <x:row r="275" ht="14.25" customHeight="1">
      <x:c r="A275" s="4">
        <x:v>271</x:v>
      </x:c>
      <x:c r="B275" s="4">
        <x:v>1003</x:v>
      </x:c>
      <x:c r="C275" s="4">
        <x:v>37</x:v>
      </x:c>
      <x:c r="D275" s="5" t="n">
        <x:f>IFERROR(ROUND($U275*$X275*$AA275*'参数'!$B$13,0),"")</x:f>
        <x:v>1281554</x:v>
      </x:c>
      <x:c r="E275" s="5" t="n">
        <x:f>IFERROR(ROUND($V275*$Y275*$AB275*'参数'!$C$13,0),"")</x:f>
        <x:v>17172</x:v>
      </x:c>
      <x:c r="F275" s="5" t="n">
        <x:f>IFERROR(ROUND($W275*$Z275*$AC275*'参数'!$D$13,0),"")</x:f>
        <x:v>30413</x:v>
      </x:c>
      <x:c r="G275" s="4">
        <x:v>1506391</x:v>
      </x:c>
      <x:c r="H275" s="4">
        <x:v>18564</x:v>
      </x:c>
      <x:c r="I275" s="4">
        <x:v>23672</x:v>
      </x:c>
      <x:c r="J275" s="4">
        <x:v>55</x:v>
      </x:c>
      <x:c r="K275" s="4">
        <x:v>55</x:v>
      </x:c>
      <x:c r="L275" s="4" t="n">
        <x:f>IFERROR(INDEX('楼层配置'!$D$5:$D$104,MATCH($K275,'楼层配置'!$B$5:$B$104,0)),"")</x:f>
        <x:v>208</x:v>
      </x:c>
      <x:c r="M275" s="4" t="str">
        <x:f>IFERROR(INDEX('_角色基线'!$B$2:$B$100,MATCH($B275,'_角色基线'!$A$2:$A$100,0)),"")</x:f>
        <x:v>塔拉夏</x:v>
      </x:c>
      <x:c r="N275" s="4" t="str">
        <x:f>IFERROR(INDEX('_角色基线'!$C$2:$C$100,MATCH($B275,'_角色基线'!$A$2:$A$100,0)),"")</x:f>
        <x:v>Tank</x:v>
      </x:c>
      <x:c r="O275" s="4" t="n">
        <x:f>IFERROR(INDEX('_怪物基线'!$B$2:$B$501,MATCH(INT($L275),'_怪物基线'!$A$2:$A$501,0)),"")</x:f>
        <x:v>183537</x:v>
      </x:c>
      <x:c r="P275" s="4" t="n">
        <x:f>IFERROR(INDEX('_怪物基线'!$C$2:$C$501,MATCH(INT($L275),'_怪物基线'!$A$2:$A$501,0)),"")</x:f>
        <x:v>20916</x:v>
      </x:c>
      <x:c r="Q275" s="4" t="n">
        <x:f>IFERROR(INDEX('_怪物基线'!$D$2:$D$501,MATCH(INT($L275),'_怪物基线'!$A$2:$A$501,0)),"")</x:f>
        <x:v>20275</x:v>
      </x:c>
      <x:c r="R275" s="4" t="n">
        <x:f>'参数'!$B$10</x:f>
        <x:v>4</x:v>
      </x:c>
      <x:c r="S275" s="4" t="n">
        <x:f>'参数'!$C$10</x:f>
        <x:v>1.2</x:v>
      </x:c>
      <x:c r="T275" s="4" t="n">
        <x:f>'参数'!$D$10</x:f>
        <x:v>1</x:v>
      </x:c>
      <x:c r="U275" s="4" t="n">
        <x:f t="shared" si="28">IF($O275="","",$O275*$R275)</x:f>
        <x:v>734148</x:v>
      </x:c>
      <x:c r="V275" s="4" t="n">
        <x:f t="shared" si="29">IF($P275="","",$P275*$S275)</x:f>
        <x:v>25099.2</x:v>
      </x:c>
      <x:c r="W275" s="4" t="n">
        <x:f t="shared" si="30">IF($Q275="","",$Q275*$T275)</x:f>
        <x:v>20275</x:v>
      </x:c>
      <x:c r="X275" s="4" t="n">
        <x:f>IFERROR(INDEX('参数'!$B$5:$B$7,MATCH($N275,'参数'!$A$5:$A$7,0)),"")</x:f>
        <x:v>1.5</x:v>
      </x:c>
      <x:c r="Y275" s="4" t="n">
        <x:f>IFERROR(INDEX('参数'!$C$5:$C$7,MATCH($N275,'参数'!$A$5:$A$7,0)),"")</x:f>
        <x:v>1</x:v>
      </x:c>
      <x:c r="Z275" s="4" t="n">
        <x:f>IFERROR(INDEX('参数'!$D$5:$D$7,MATCH($N275,'参数'!$A$5:$A$7,0)),"")</x:f>
        <x:v>1.5</x:v>
      </x:c>
      <x:c r="AA275" s="4" t="n">
        <x:f>IFERROR(INDEX('楼层配置'!$E$5:$E$104,MATCH($K275,'楼层配置'!$B$5:$B$104,0)),1)</x:f>
        <x:v>1.1637564278863857</x:v>
      </x:c>
      <x:c r="AB275" s="4" t="n">
        <x:f>IFERROR(INDEX('楼层配置'!$F$5:$F$104,MATCH($K275,'楼层配置'!$B$5:$B$104,0)),1)</x:f>
        <x:v>0.684169263070698</x:v>
      </x:c>
      <x:c r="AC275" s="4" t="n">
        <x:f>IFERROR(INDEX('楼层配置'!$G$5:$G$104,MATCH($K275,'楼层配置'!$B$5:$B$104,0)),1)</x:f>
        <x:v>1</x:v>
      </x:c>
      <x:c r="AD275" s="6" t="n">
        <x:f t="shared" si="31">IFERROR($D275/$G275-1,"")</x:f>
        <x:v>-0.14925540580101715</x:v>
      </x:c>
      <x:c r="AE275" s="6" t="n">
        <x:f t="shared" si="32">IFERROR($E275/$H275-1,"")</x:f>
        <x:v>-0.074983839689722</x:v>
      </x:c>
      <x:c r="AF275" s="6" t="n">
        <x:f t="shared" si="33">IFERROR($F275/$I275-1,"")</x:f>
        <x:v>0.28476681311253804</x:v>
      </x:c>
      <x:c r="AG275" s="4" t="str">
        <x:f t="shared" si="34">IF(AND($A275&gt;=1,$L275&gt;=1,$L275&lt;=500,OR($N275="Tank",$N275="DPS",$N275="Support"),ISNUMBER($D275),ISNUMBER($E275),ISNUMBER($F275)),"有效","异常")</x:f>
        <x:v>有效</x:v>
      </x:c>
      <x:c r="AH275" t="n">
        <x:f>D275/(1-MIN(0.75,F275/(24000+F275)))</x:f>
        <x:v>2905549.908416666</x:v>
      </x:c>
    </x:row>
    <x:row r="276" ht="14.25" customHeight="1">
      <x:c r="A276" s="4">
        <x:v>272</x:v>
      </x:c>
      <x:c r="B276" s="4">
        <x:v>1006</x:v>
      </x:c>
      <x:c r="C276" s="4">
        <x:v>37</x:v>
      </x:c>
      <x:c r="D276" s="5" t="n">
        <x:f>IFERROR(ROUND($U276*$X276*$AA276*'参数'!$B$13,0),"")</x:f>
        <x:v>854369</x:v>
      </x:c>
      <x:c r="E276" s="5" t="n">
        <x:f>IFERROR(ROUND($V276*$Y276*$AB276*'参数'!$C$13,0),"")</x:f>
        <x:v>20607</x:v>
      </x:c>
      <x:c r="F276" s="5" t="n">
        <x:f>IFERROR(ROUND($W276*$Z276*$AC276*'参数'!$D$13,0),"")</x:f>
        <x:v>20275</x:v>
      </x:c>
      <x:c r="G276" s="4">
        <x:v>1004260</x:v>
      </x:c>
      <x:c r="H276" s="4">
        <x:v>22276</x:v>
      </x:c>
      <x:c r="I276" s="4">
        <x:v>15781</x:v>
      </x:c>
      <x:c r="J276" s="4">
        <x:v>55</x:v>
      </x:c>
      <x:c r="K276" s="4">
        <x:v>55</x:v>
      </x:c>
      <x:c r="L276" s="4" t="n">
        <x:f>IFERROR(INDEX('楼层配置'!$D$5:$D$104,MATCH($K276,'楼层配置'!$B$5:$B$104,0)),"")</x:f>
        <x:v>208</x:v>
      </x:c>
      <x:c r="M276" s="4" t="str">
        <x:f>IFERROR(INDEX('_角色基线'!$B$2:$B$100,MATCH($B276,'_角色基线'!$A$2:$A$100,0)),"")</x:f>
        <x:v>莉莉娅</x:v>
      </x:c>
      <x:c r="N276" s="4" t="str">
        <x:f>IFERROR(INDEX('_角色基线'!$C$2:$C$100,MATCH($B276,'_角色基线'!$A$2:$A$100,0)),"")</x:f>
        <x:v>DPS</x:v>
      </x:c>
      <x:c r="O276" s="4" t="n">
        <x:f>IFERROR(INDEX('_怪物基线'!$B$2:$B$501,MATCH(INT($L276),'_怪物基线'!$A$2:$A$501,0)),"")</x:f>
        <x:v>183537</x:v>
      </x:c>
      <x:c r="P276" s="4" t="n">
        <x:f>IFERROR(INDEX('_怪物基线'!$C$2:$C$501,MATCH(INT($L276),'_怪物基线'!$A$2:$A$501,0)),"")</x:f>
        <x:v>20916</x:v>
      </x:c>
      <x:c r="Q276" s="4" t="n">
        <x:f>IFERROR(INDEX('_怪物基线'!$D$2:$D$501,MATCH(INT($L276),'_怪物基线'!$A$2:$A$501,0)),"")</x:f>
        <x:v>20275</x:v>
      </x:c>
      <x:c r="R276" s="4" t="n">
        <x:f>'参数'!$B$10</x:f>
        <x:v>4</x:v>
      </x:c>
      <x:c r="S276" s="4" t="n">
        <x:f>'参数'!$C$10</x:f>
        <x:v>1.2</x:v>
      </x:c>
      <x:c r="T276" s="4" t="n">
        <x:f>'参数'!$D$10</x:f>
        <x:v>1</x:v>
      </x:c>
      <x:c r="U276" s="4" t="n">
        <x:f t="shared" si="28">IF($O276="","",$O276*$R276)</x:f>
        <x:v>734148</x:v>
      </x:c>
      <x:c r="V276" s="4" t="n">
        <x:f t="shared" si="29">IF($P276="","",$P276*$S276)</x:f>
        <x:v>25099.2</x:v>
      </x:c>
      <x:c r="W276" s="4" t="n">
        <x:f t="shared" si="30">IF($Q276="","",$Q276*$T276)</x:f>
        <x:v>20275</x:v>
      </x:c>
      <x:c r="X276" s="4" t="n">
        <x:f>IFERROR(INDEX('参数'!$B$5:$B$7,MATCH($N276,'参数'!$A$5:$A$7,0)),"")</x:f>
        <x:v>1</x:v>
      </x:c>
      <x:c r="Y276" s="4" t="n">
        <x:f>IFERROR(INDEX('参数'!$C$5:$C$7,MATCH($N276,'参数'!$A$5:$A$7,0)),"")</x:f>
        <x:v>1.2</x:v>
      </x:c>
      <x:c r="Z276" s="4" t="n">
        <x:f>IFERROR(INDEX('参数'!$D$5:$D$7,MATCH($N276,'参数'!$A$5:$A$7,0)),"")</x:f>
        <x:v>1</x:v>
      </x:c>
      <x:c r="AA276" s="4" t="n">
        <x:f>IFERROR(INDEX('楼层配置'!$E$5:$E$104,MATCH($K276,'楼层配置'!$B$5:$B$104,0)),1)</x:f>
        <x:v>1.1637564278863857</x:v>
      </x:c>
      <x:c r="AB276" s="4" t="n">
        <x:f>IFERROR(INDEX('楼层配置'!$F$5:$F$104,MATCH($K276,'楼层配置'!$B$5:$B$104,0)),1)</x:f>
        <x:v>0.684169263070698</x:v>
      </x:c>
      <x:c r="AC276" s="4" t="n">
        <x:f>IFERROR(INDEX('楼层配置'!$G$5:$G$104,MATCH($K276,'楼层配置'!$B$5:$B$104,0)),1)</x:f>
        <x:v>1</x:v>
      </x:c>
      <x:c r="AD276" s="6" t="n">
        <x:f t="shared" si="31">IFERROR($D276/$G276-1,"")</x:f>
        <x:v>-0.14925517296317692</x:v>
      </x:c>
      <x:c r="AE276" s="6" t="n">
        <x:f t="shared" si="32">IFERROR($E276/$H276-1,"")</x:f>
        <x:v>-0.07492368468306698</x:v>
      </x:c>
      <x:c r="AF276" s="6" t="n">
        <x:f t="shared" si="33">IFERROR($F276/$I276-1,"")</x:f>
        <x:v>0.2847728280844053</x:v>
      </x:c>
      <x:c r="AG276" s="4" t="str">
        <x:f t="shared" si="34">IF(AND($A276&gt;=1,$L276&gt;=1,$L276&lt;=500,OR($N276="Tank",$N276="DPS",$N276="Support"),ISNUMBER($D276),ISNUMBER($E276),ISNUMBER($F276)),"有效","异常")</x:f>
        <x:v>有效</x:v>
      </x:c>
      <x:c r="AH276" t="n">
        <x:f>D276/(1-MIN(0.75,F276/(24000+F276)))</x:f>
        <x:v>1576132.8114583332</x:v>
      </x:c>
    </x:row>
    <x:row r="277" ht="14.25" customHeight="1">
      <x:c r="A277" s="4">
        <x:v>273</x:v>
      </x:c>
      <x:c r="B277" s="4">
        <x:v>1029</x:v>
      </x:c>
      <x:c r="C277" s="4">
        <x:v>37</x:v>
      </x:c>
      <x:c r="D277" s="5" t="n">
        <x:f>IFERROR(ROUND($U277*$X277*$AA277*'参数'!$B$13,0),"")</x:f>
        <x:v>1067962</x:v>
      </x:c>
      <x:c r="E277" s="5" t="n">
        <x:f>IFERROR(ROUND($V277*$Y277*$AB277*'参数'!$C$13,0),"")</x:f>
        <x:v>17172</x:v>
      </x:c>
      <x:c r="F277" s="5" t="n">
        <x:f>IFERROR(ROUND($W277*$Z277*$AC277*'参数'!$D$13,0),"")</x:f>
        <x:v>25344</x:v>
      </x:c>
      <x:c r="G277" s="4">
        <x:v>1255326</x:v>
      </x:c>
      <x:c r="H277" s="4">
        <x:v>18564</x:v>
      </x:c>
      <x:c r="I277" s="4">
        <x:v>19727</x:v>
      </x:c>
      <x:c r="J277" s="4">
        <x:v>55</x:v>
      </x:c>
      <x:c r="K277" s="4">
        <x:v>55</x:v>
      </x:c>
      <x:c r="L277" s="4" t="n">
        <x:f>IFERROR(INDEX('楼层配置'!$D$5:$D$104,MATCH($K277,'楼层配置'!$B$5:$B$104,0)),"")</x:f>
        <x:v>208</x:v>
      </x:c>
      <x:c r="M277" s="4" t="str">
        <x:f>IFERROR(INDEX('_角色基线'!$B$2:$B$100,MATCH($B277,'_角色基线'!$A$2:$A$100,0)),"")</x:f>
        <x:v>凯兰</x:v>
      </x:c>
      <x:c r="N277" s="4" t="str">
        <x:f>IFERROR(INDEX('_角色基线'!$C$2:$C$100,MATCH($B277,'_角色基线'!$A$2:$A$100,0)),"")</x:f>
        <x:v>Support</x:v>
      </x:c>
      <x:c r="O277" s="4" t="n">
        <x:f>IFERROR(INDEX('_怪物基线'!$B$2:$B$501,MATCH(INT($L277),'_怪物基线'!$A$2:$A$501,0)),"")</x:f>
        <x:v>183537</x:v>
      </x:c>
      <x:c r="P277" s="4" t="n">
        <x:f>IFERROR(INDEX('_怪物基线'!$C$2:$C$501,MATCH(INT($L277),'_怪物基线'!$A$2:$A$501,0)),"")</x:f>
        <x:v>20916</x:v>
      </x:c>
      <x:c r="Q277" s="4" t="n">
        <x:f>IFERROR(INDEX('_怪物基线'!$D$2:$D$501,MATCH(INT($L277),'_怪物基线'!$A$2:$A$501,0)),"")</x:f>
        <x:v>20275</x:v>
      </x:c>
      <x:c r="R277" s="4" t="n">
        <x:f>'参数'!$B$10</x:f>
        <x:v>4</x:v>
      </x:c>
      <x:c r="S277" s="4" t="n">
        <x:f>'参数'!$C$10</x:f>
        <x:v>1.2</x:v>
      </x:c>
      <x:c r="T277" s="4" t="n">
        <x:f>'参数'!$D$10</x:f>
        <x:v>1</x:v>
      </x:c>
      <x:c r="U277" s="4" t="n">
        <x:f t="shared" si="28">IF($O277="","",$O277*$R277)</x:f>
        <x:v>734148</x:v>
      </x:c>
      <x:c r="V277" s="4" t="n">
        <x:f t="shared" si="29">IF($P277="","",$P277*$S277)</x:f>
        <x:v>25099.2</x:v>
      </x:c>
      <x:c r="W277" s="4" t="n">
        <x:f t="shared" si="30">IF($Q277="","",$Q277*$T277)</x:f>
        <x:v>20275</x:v>
      </x:c>
      <x:c r="X277" s="4" t="n">
        <x:f>IFERROR(INDEX('参数'!$B$5:$B$7,MATCH($N277,'参数'!$A$5:$A$7,0)),"")</x:f>
        <x:v>1.25</x:v>
      </x:c>
      <x:c r="Y277" s="4" t="n">
        <x:f>IFERROR(INDEX('参数'!$C$5:$C$7,MATCH($N277,'参数'!$A$5:$A$7,0)),"")</x:f>
        <x:v>1</x:v>
      </x:c>
      <x:c r="Z277" s="4" t="n">
        <x:f>IFERROR(INDEX('参数'!$D$5:$D$7,MATCH($N277,'参数'!$A$5:$A$7,0)),"")</x:f>
        <x:v>1.25</x:v>
      </x:c>
      <x:c r="AA277" s="4" t="n">
        <x:f>IFERROR(INDEX('楼层配置'!$E$5:$E$104,MATCH($K277,'楼层配置'!$B$5:$B$104,0)),1)</x:f>
        <x:v>1.1637564278863857</x:v>
      </x:c>
      <x:c r="AB277" s="4" t="n">
        <x:f>IFERROR(INDEX('楼层配置'!$F$5:$F$104,MATCH($K277,'楼层配置'!$B$5:$B$104,0)),1)</x:f>
        <x:v>0.684169263070698</x:v>
      </x:c>
      <x:c r="AC277" s="4" t="n">
        <x:f>IFERROR(INDEX('楼层配置'!$G$5:$G$104,MATCH($K277,'楼层配置'!$B$5:$B$104,0)),1)</x:f>
        <x:v>1</x:v>
      </x:c>
      <x:c r="AD277" s="6" t="n">
        <x:f t="shared" si="31">IFERROR($D277/$G277-1,"")</x:f>
        <x:v>-0.14925525321709265</x:v>
      </x:c>
      <x:c r="AE277" s="6" t="n">
        <x:f t="shared" si="32">IFERROR($E277/$H277-1,"")</x:f>
        <x:v>-0.074983839689722</x:v>
      </x:c>
      <x:c r="AF277" s="6" t="n">
        <x:f t="shared" si="33">IFERROR($F277/$I277-1,"")</x:f>
        <x:v>0.28473665534546555</x:v>
      </x:c>
      <x:c r="AG277" s="4" t="str">
        <x:f t="shared" si="34">IF(AND($A277&gt;=1,$L277&gt;=1,$L277&lt;=500,OR($N277="Tank",$N277="DPS",$N277="Support"),ISNUMBER($D277),ISNUMBER($E277),ISNUMBER($F277)),"有效","异常")</x:f>
        <x:v>有效</x:v>
      </x:c>
      <x:c r="AH277" t="n">
        <x:f>D277/(1-MIN(0.75,F277/(24000+F277)))</x:f>
        <x:v>2195729.872</x:v>
      </x:c>
    </x:row>
    <x:row r="278" ht="14.25" customHeight="1">
      <x:c r="A278" s="4">
        <x:v>274</x:v>
      </x:c>
      <x:c r="B278" s="4">
        <x:v>1020</x:v>
      </x:c>
      <x:c r="C278" s="4">
        <x:v>37</x:v>
      </x:c>
      <x:c r="D278" s="5" t="n">
        <x:f>IFERROR(ROUND($U278*$X278*$AA278*'参数'!$B$13,0),"")</x:f>
        <x:v>1067962</x:v>
      </x:c>
      <x:c r="E278" s="5" t="n">
        <x:f>IFERROR(ROUND($V278*$Y278*$AB278*'参数'!$C$13,0),"")</x:f>
        <x:v>17172</x:v>
      </x:c>
      <x:c r="F278" s="5" t="n">
        <x:f>IFERROR(ROUND($W278*$Z278*$AC278*'参数'!$D$13,0),"")</x:f>
        <x:v>25344</x:v>
      </x:c>
      <x:c r="G278" s="4">
        <x:v>1255326</x:v>
      </x:c>
      <x:c r="H278" s="4">
        <x:v>18564</x:v>
      </x:c>
      <x:c r="I278" s="4">
        <x:v>19727</x:v>
      </x:c>
      <x:c r="J278" s="4">
        <x:v>55</x:v>
      </x:c>
      <x:c r="K278" s="4">
        <x:v>55</x:v>
      </x:c>
      <x:c r="L278" s="4" t="n">
        <x:f>IFERROR(INDEX('楼层配置'!$D$5:$D$104,MATCH($K278,'楼层配置'!$B$5:$B$104,0)),"")</x:f>
        <x:v>208</x:v>
      </x:c>
      <x:c r="M278" s="4" t="str">
        <x:f>IFERROR(INDEX('_角色基线'!$B$2:$B$100,MATCH($B278,'_角色基线'!$A$2:$A$100,0)),"")</x:f>
        <x:v>卡斯帕</x:v>
      </x:c>
      <x:c r="N278" s="4" t="str">
        <x:f>IFERROR(INDEX('_角色基线'!$C$2:$C$100,MATCH($B278,'_角色基线'!$A$2:$A$100,0)),"")</x:f>
        <x:v>Support</x:v>
      </x:c>
      <x:c r="O278" s="4" t="n">
        <x:f>IFERROR(INDEX('_怪物基线'!$B$2:$B$501,MATCH(INT($L278),'_怪物基线'!$A$2:$A$501,0)),"")</x:f>
        <x:v>183537</x:v>
      </x:c>
      <x:c r="P278" s="4" t="n">
        <x:f>IFERROR(INDEX('_怪物基线'!$C$2:$C$501,MATCH(INT($L278),'_怪物基线'!$A$2:$A$501,0)),"")</x:f>
        <x:v>20916</x:v>
      </x:c>
      <x:c r="Q278" s="4" t="n">
        <x:f>IFERROR(INDEX('_怪物基线'!$D$2:$D$501,MATCH(INT($L278),'_怪物基线'!$A$2:$A$501,0)),"")</x:f>
        <x:v>20275</x:v>
      </x:c>
      <x:c r="R278" s="4" t="n">
        <x:f>'参数'!$B$10</x:f>
        <x:v>4</x:v>
      </x:c>
      <x:c r="S278" s="4" t="n">
        <x:f>'参数'!$C$10</x:f>
        <x:v>1.2</x:v>
      </x:c>
      <x:c r="T278" s="4" t="n">
        <x:f>'参数'!$D$10</x:f>
        <x:v>1</x:v>
      </x:c>
      <x:c r="U278" s="4" t="n">
        <x:f t="shared" si="28">IF($O278="","",$O278*$R278)</x:f>
        <x:v>734148</x:v>
      </x:c>
      <x:c r="V278" s="4" t="n">
        <x:f t="shared" si="29">IF($P278="","",$P278*$S278)</x:f>
        <x:v>25099.2</x:v>
      </x:c>
      <x:c r="W278" s="4" t="n">
        <x:f t="shared" si="30">IF($Q278="","",$Q278*$T278)</x:f>
        <x:v>20275</x:v>
      </x:c>
      <x:c r="X278" s="4" t="n">
        <x:f>IFERROR(INDEX('参数'!$B$5:$B$7,MATCH($N278,'参数'!$A$5:$A$7,0)),"")</x:f>
        <x:v>1.25</x:v>
      </x:c>
      <x:c r="Y278" s="4" t="n">
        <x:f>IFERROR(INDEX('参数'!$C$5:$C$7,MATCH($N278,'参数'!$A$5:$A$7,0)),"")</x:f>
        <x:v>1</x:v>
      </x:c>
      <x:c r="Z278" s="4" t="n">
        <x:f>IFERROR(INDEX('参数'!$D$5:$D$7,MATCH($N278,'参数'!$A$5:$A$7,0)),"")</x:f>
        <x:v>1.25</x:v>
      </x:c>
      <x:c r="AA278" s="4" t="n">
        <x:f>IFERROR(INDEX('楼层配置'!$E$5:$E$104,MATCH($K278,'楼层配置'!$B$5:$B$104,0)),1)</x:f>
        <x:v>1.1637564278863857</x:v>
      </x:c>
      <x:c r="AB278" s="4" t="n">
        <x:f>IFERROR(INDEX('楼层配置'!$F$5:$F$104,MATCH($K278,'楼层配置'!$B$5:$B$104,0)),1)</x:f>
        <x:v>0.684169263070698</x:v>
      </x:c>
      <x:c r="AC278" s="4" t="n">
        <x:f>IFERROR(INDEX('楼层配置'!$G$5:$G$104,MATCH($K278,'楼层配置'!$B$5:$B$104,0)),1)</x:f>
        <x:v>1</x:v>
      </x:c>
      <x:c r="AD278" s="6" t="n">
        <x:f t="shared" si="31">IFERROR($D278/$G278-1,"")</x:f>
        <x:v>-0.14925525321709265</x:v>
      </x:c>
      <x:c r="AE278" s="6" t="n">
        <x:f t="shared" si="32">IFERROR($E278/$H278-1,"")</x:f>
        <x:v>-0.074983839689722</x:v>
      </x:c>
      <x:c r="AF278" s="6" t="n">
        <x:f t="shared" si="33">IFERROR($F278/$I278-1,"")</x:f>
        <x:v>0.28473665534546555</x:v>
      </x:c>
      <x:c r="AG278" s="4" t="str">
        <x:f t="shared" si="34">IF(AND($A278&gt;=1,$L278&gt;=1,$L278&lt;=500,OR($N278="Tank",$N278="DPS",$N278="Support"),ISNUMBER($D278),ISNUMBER($E278),ISNUMBER($F278)),"有效","异常")</x:f>
        <x:v>有效</x:v>
      </x:c>
      <x:c r="AH278" t="n">
        <x:f>D278/(1-MIN(0.75,F278/(24000+F278)))</x:f>
        <x:v>2195729.872</x:v>
      </x:c>
    </x:row>
    <x:row r="279" ht="14.25" customHeight="1">
      <x:c r="A279" s="4">
        <x:v>275</x:v>
      </x:c>
      <x:c r="B279" s="4">
        <x:v>1018</x:v>
      </x:c>
      <x:c r="C279" s="4">
        <x:v>37</x:v>
      </x:c>
      <x:c r="D279" s="5" t="n">
        <x:f>IFERROR(ROUND($U279*$X279*$AA279*'参数'!$B$13,0),"")</x:f>
        <x:v>1067962</x:v>
      </x:c>
      <x:c r="E279" s="5" t="n">
        <x:f>IFERROR(ROUND($V279*$Y279*$AB279*'参数'!$C$13,0),"")</x:f>
        <x:v>17172</x:v>
      </x:c>
      <x:c r="F279" s="5" t="n">
        <x:f>IFERROR(ROUND($W279*$Z279*$AC279*'参数'!$D$13,0),"")</x:f>
        <x:v>25344</x:v>
      </x:c>
      <x:c r="G279" s="4">
        <x:v>1255326</x:v>
      </x:c>
      <x:c r="H279" s="4">
        <x:v>18564</x:v>
      </x:c>
      <x:c r="I279" s="4">
        <x:v>19727</x:v>
      </x:c>
      <x:c r="J279" s="4">
        <x:v>55</x:v>
      </x:c>
      <x:c r="K279" s="4">
        <x:v>55</x:v>
      </x:c>
      <x:c r="L279" s="4" t="n">
        <x:f>IFERROR(INDEX('楼层配置'!$D$5:$D$104,MATCH($K279,'楼层配置'!$B$5:$B$104,0)),"")</x:f>
        <x:v>208</x:v>
      </x:c>
      <x:c r="M279" s="4" t="str">
        <x:f>IFERROR(INDEX('_角色基线'!$B$2:$B$100,MATCH($B279,'_角色基线'!$A$2:$A$100,0)),"")</x:f>
        <x:v>埃莉诺</x:v>
      </x:c>
      <x:c r="N279" s="4" t="str">
        <x:f>IFERROR(INDEX('_角色基线'!$C$2:$C$100,MATCH($B279,'_角色基线'!$A$2:$A$100,0)),"")</x:f>
        <x:v>Support</x:v>
      </x:c>
      <x:c r="O279" s="4" t="n">
        <x:f>IFERROR(INDEX('_怪物基线'!$B$2:$B$501,MATCH(INT($L279),'_怪物基线'!$A$2:$A$501,0)),"")</x:f>
        <x:v>183537</x:v>
      </x:c>
      <x:c r="P279" s="4" t="n">
        <x:f>IFERROR(INDEX('_怪物基线'!$C$2:$C$501,MATCH(INT($L279),'_怪物基线'!$A$2:$A$501,0)),"")</x:f>
        <x:v>20916</x:v>
      </x:c>
      <x:c r="Q279" s="4" t="n">
        <x:f>IFERROR(INDEX('_怪物基线'!$D$2:$D$501,MATCH(INT($L279),'_怪物基线'!$A$2:$A$501,0)),"")</x:f>
        <x:v>20275</x:v>
      </x:c>
      <x:c r="R279" s="4" t="n">
        <x:f>'参数'!$B$10</x:f>
        <x:v>4</x:v>
      </x:c>
      <x:c r="S279" s="4" t="n">
        <x:f>'参数'!$C$10</x:f>
        <x:v>1.2</x:v>
      </x:c>
      <x:c r="T279" s="4" t="n">
        <x:f>'参数'!$D$10</x:f>
        <x:v>1</x:v>
      </x:c>
      <x:c r="U279" s="4" t="n">
        <x:f t="shared" si="28">IF($O279="","",$O279*$R279)</x:f>
        <x:v>734148</x:v>
      </x:c>
      <x:c r="V279" s="4" t="n">
        <x:f t="shared" si="29">IF($P279="","",$P279*$S279)</x:f>
        <x:v>25099.2</x:v>
      </x:c>
      <x:c r="W279" s="4" t="n">
        <x:f t="shared" si="30">IF($Q279="","",$Q279*$T279)</x:f>
        <x:v>20275</x:v>
      </x:c>
      <x:c r="X279" s="4" t="n">
        <x:f>IFERROR(INDEX('参数'!$B$5:$B$7,MATCH($N279,'参数'!$A$5:$A$7,0)),"")</x:f>
        <x:v>1.25</x:v>
      </x:c>
      <x:c r="Y279" s="4" t="n">
        <x:f>IFERROR(INDEX('参数'!$C$5:$C$7,MATCH($N279,'参数'!$A$5:$A$7,0)),"")</x:f>
        <x:v>1</x:v>
      </x:c>
      <x:c r="Z279" s="4" t="n">
        <x:f>IFERROR(INDEX('参数'!$D$5:$D$7,MATCH($N279,'参数'!$A$5:$A$7,0)),"")</x:f>
        <x:v>1.25</x:v>
      </x:c>
      <x:c r="AA279" s="4" t="n">
        <x:f>IFERROR(INDEX('楼层配置'!$E$5:$E$104,MATCH($K279,'楼层配置'!$B$5:$B$104,0)),1)</x:f>
        <x:v>1.1637564278863857</x:v>
      </x:c>
      <x:c r="AB279" s="4" t="n">
        <x:f>IFERROR(INDEX('楼层配置'!$F$5:$F$104,MATCH($K279,'楼层配置'!$B$5:$B$104,0)),1)</x:f>
        <x:v>0.684169263070698</x:v>
      </x:c>
      <x:c r="AC279" s="4" t="n">
        <x:f>IFERROR(INDEX('楼层配置'!$G$5:$G$104,MATCH($K279,'楼层配置'!$B$5:$B$104,0)),1)</x:f>
        <x:v>1</x:v>
      </x:c>
      <x:c r="AD279" s="6" t="n">
        <x:f t="shared" si="31">IFERROR($D279/$G279-1,"")</x:f>
        <x:v>-0.14925525321709265</x:v>
      </x:c>
      <x:c r="AE279" s="6" t="n">
        <x:f t="shared" si="32">IFERROR($E279/$H279-1,"")</x:f>
        <x:v>-0.074983839689722</x:v>
      </x:c>
      <x:c r="AF279" s="6" t="n">
        <x:f t="shared" si="33">IFERROR($F279/$I279-1,"")</x:f>
        <x:v>0.28473665534546555</x:v>
      </x:c>
      <x:c r="AG279" s="4" t="str">
        <x:f t="shared" si="34">IF(AND($A279&gt;=1,$L279&gt;=1,$L279&lt;=500,OR($N279="Tank",$N279="DPS",$N279="Support"),ISNUMBER($D279),ISNUMBER($E279),ISNUMBER($F279)),"有效","异常")</x:f>
        <x:v>有效</x:v>
      </x:c>
      <x:c r="AH279" t="n">
        <x:f>D279/(1-MIN(0.75,F279/(24000+F279)))</x:f>
        <x:v>2195729.872</x:v>
      </x:c>
    </x:row>
    <x:row r="280" ht="14.25" customHeight="1">
      <x:c r="A280" s="4">
        <x:v>276</x:v>
      </x:c>
      <x:c r="B280" s="4">
        <x:v>1003</x:v>
      </x:c>
      <x:c r="C280" s="4">
        <x:v>38</x:v>
      </x:c>
      <x:c r="D280" s="5" t="n">
        <x:f>IFERROR(ROUND($U280*$X280*$AA280*'参数'!$B$13,0),"")</x:f>
        <x:v>1299095</x:v>
      </x:c>
      <x:c r="E280" s="5" t="n">
        <x:f>IFERROR(ROUND($V280*$Y280*$AB280*'参数'!$C$13,0),"")</x:f>
        <x:v>17424</x:v>
      </x:c>
      <x:c r="F280" s="5" t="n">
        <x:f>IFERROR(ROUND($W280*$Z280*$AC280*'参数'!$D$13,0),"")</x:f>
        <x:v>30777</x:v>
      </x:c>
      <x:c r="G280" s="4">
        <x:v>1571169</x:v>
      </x:c>
      <x:c r="H280" s="4">
        <x:v>19109</x:v>
      </x:c>
      <x:c r="I280" s="4">
        <x:v>24201</x:v>
      </x:c>
      <x:c r="J280" s="4">
        <x:v>56</x:v>
      </x:c>
      <x:c r="K280" s="4">
        <x:v>56</x:v>
      </x:c>
      <x:c r="L280" s="4" t="n">
        <x:f>IFERROR(INDEX('楼层配置'!$D$5:$D$104,MATCH($K280,'楼层配置'!$B$5:$B$104,0)),"")</x:f>
        <x:v>210</x:v>
      </x:c>
      <x:c r="M280" s="4" t="str">
        <x:f>IFERROR(INDEX('_角色基线'!$B$2:$B$100,MATCH($B280,'_角色基线'!$A$2:$A$100,0)),"")</x:f>
        <x:v>塔拉夏</x:v>
      </x:c>
      <x:c r="N280" s="4" t="str">
        <x:f>IFERROR(INDEX('_角色基线'!$C$2:$C$100,MATCH($B280,'_角色基线'!$A$2:$A$100,0)),"")</x:f>
        <x:v>Tank</x:v>
      </x:c>
      <x:c r="O280" s="4" t="n">
        <x:f>IFERROR(INDEX('_怪物基线'!$B$2:$B$501,MATCH(INT($L280),'_怪物基线'!$A$2:$A$501,0)),"")</x:f>
        <x:v>187925</x:v>
      </x:c>
      <x:c r="P280" s="4" t="n">
        <x:f>IFERROR(INDEX('_怪物基线'!$C$2:$C$501,MATCH(INT($L280),'_怪物基线'!$A$2:$A$501,0)),"")</x:f>
        <x:v>21279</x:v>
      </x:c>
      <x:c r="Q280" s="4" t="n">
        <x:f>IFERROR(INDEX('_怪物基线'!$D$2:$D$501,MATCH(INT($L280),'_怪物基线'!$A$2:$A$501,0)),"")</x:f>
        <x:v>20518</x:v>
      </x:c>
      <x:c r="R280" s="4" t="n">
        <x:f>'参数'!$B$10</x:f>
        <x:v>4</x:v>
      </x:c>
      <x:c r="S280" s="4" t="n">
        <x:f>'参数'!$C$10</x:f>
        <x:v>1.2</x:v>
      </x:c>
      <x:c r="T280" s="4" t="n">
        <x:f>'参数'!$D$10</x:f>
        <x:v>1</x:v>
      </x:c>
      <x:c r="U280" s="4" t="n">
        <x:f t="shared" si="28">IF($O280="","",$O280*$R280)</x:f>
        <x:v>751700</x:v>
      </x:c>
      <x:c r="V280" s="4" t="n">
        <x:f t="shared" si="29">IF($P280="","",$P280*$S280)</x:f>
        <x:v>25534.8</x:v>
      </x:c>
      <x:c r="W280" s="4" t="n">
        <x:f t="shared" si="30">IF($Q280="","",$Q280*$T280)</x:f>
        <x:v>20518</x:v>
      </x:c>
      <x:c r="X280" s="4" t="n">
        <x:f>IFERROR(INDEX('参数'!$B$5:$B$7,MATCH($N280,'参数'!$A$5:$A$7,0)),"")</x:f>
        <x:v>1.5</x:v>
      </x:c>
      <x:c r="Y280" s="4" t="n">
        <x:f>IFERROR(INDEX('参数'!$C$5:$C$7,MATCH($N280,'参数'!$A$5:$A$7,0)),"")</x:f>
        <x:v>1</x:v>
      </x:c>
      <x:c r="Z280" s="4" t="n">
        <x:f>IFERROR(INDEX('参数'!$D$5:$D$7,MATCH($N280,'参数'!$A$5:$A$7,0)),"")</x:f>
        <x:v>1.5</x:v>
      </x:c>
      <x:c r="AA280" s="4" t="n">
        <x:f>IFERROR(INDEX('楼层配置'!$E$5:$E$104,MATCH($K280,'楼层配置'!$B$5:$B$104,0)),1)</x:f>
        <x:v>1.1521398501730935</x:v>
      </x:c>
      <x:c r="AB280" s="4" t="n">
        <x:f>IFERROR(INDEX('楼层配置'!$F$5:$F$104,MATCH($K280,'楼层配置'!$B$5:$B$104,0)),1)</x:f>
        <x:v>0.6823478519428129</x:v>
      </x:c>
      <x:c r="AC280" s="4" t="n">
        <x:f>IFERROR(INDEX('楼层配置'!$G$5:$G$104,MATCH($K280,'楼层配置'!$B$5:$B$104,0)),1)</x:f>
        <x:v>1</x:v>
      </x:c>
      <x:c r="AD280" s="6" t="n">
        <x:f t="shared" si="31">IFERROR($D280/$G280-1,"")</x:f>
        <x:v>-0.1731666039744929</x:v>
      </x:c>
      <x:c r="AE280" s="6" t="n">
        <x:f t="shared" si="32">IFERROR($E280/$H280-1,"")</x:f>
        <x:v>-0.08817834528232771</x:v>
      </x:c>
      <x:c r="AF280" s="6" t="n">
        <x:f t="shared" si="33">IFERROR($F280/$I280-1,"")</x:f>
        <x:v>0.27172430891285493</x:v>
      </x:c>
      <x:c r="AG280" s="4" t="str">
        <x:f t="shared" si="34">IF(AND($A280&gt;=1,$L280&gt;=1,$L280&lt;=500,OR($N280="Tank",$N280="DPS",$N280="Support"),ISNUMBER($D280),ISNUMBER($E280),ISNUMBER($F280)),"有效","异常")</x:f>
        <x:v>有效</x:v>
      </x:c>
      <x:c r="AH280" t="n">
        <x:f>D280/(1-MIN(0.75,F280/(24000+F280)))</x:f>
        <x:v>2965021.950625</x:v>
      </x:c>
    </x:row>
    <x:row r="281" ht="14.25" customHeight="1">
      <x:c r="A281" s="4">
        <x:v>277</x:v>
      </x:c>
      <x:c r="B281" s="4">
        <x:v>1015</x:v>
      </x:c>
      <x:c r="C281" s="4">
        <x:v>38</x:v>
      </x:c>
      <x:c r="D281" s="5" t="n">
        <x:f>IFERROR(ROUND($U281*$X281*$AA281*'参数'!$B$13,0),"")</x:f>
        <x:v>1082579</x:v>
      </x:c>
      <x:c r="E281" s="5" t="n">
        <x:f>IFERROR(ROUND($V281*$Y281*$AB281*'参数'!$C$13,0),"")</x:f>
        <x:v>17424</x:v>
      </x:c>
      <x:c r="F281" s="5" t="n">
        <x:f>IFERROR(ROUND($W281*$Z281*$AC281*'参数'!$D$13,0),"")</x:f>
        <x:v>25648</x:v>
      </x:c>
      <x:c r="G281" s="4">
        <x:v>1309308</x:v>
      </x:c>
      <x:c r="H281" s="4">
        <x:v>19109</x:v>
      </x:c>
      <x:c r="I281" s="4">
        <x:v>20168</x:v>
      </x:c>
      <x:c r="J281" s="4">
        <x:v>56</x:v>
      </x:c>
      <x:c r="K281" s="4">
        <x:v>56</x:v>
      </x:c>
      <x:c r="L281" s="4" t="n">
        <x:f>IFERROR(INDEX('楼层配置'!$D$5:$D$104,MATCH($K281,'楼层配置'!$B$5:$B$104,0)),"")</x:f>
        <x:v>210</x:v>
      </x:c>
      <x:c r="M281" s="4" t="str">
        <x:f>IFERROR(INDEX('_角色基线'!$B$2:$B$100,MATCH($B281,'_角色基线'!$A$2:$A$100,0)),"")</x:f>
        <x:v>阿莱克西娅</x:v>
      </x:c>
      <x:c r="N281" s="4" t="str">
        <x:f>IFERROR(INDEX('_角色基线'!$C$2:$C$100,MATCH($B281,'_角色基线'!$A$2:$A$100,0)),"")</x:f>
        <x:v>Support</x:v>
      </x:c>
      <x:c r="O281" s="4" t="n">
        <x:f>IFERROR(INDEX('_怪物基线'!$B$2:$B$501,MATCH(INT($L281),'_怪物基线'!$A$2:$A$501,0)),"")</x:f>
        <x:v>187925</x:v>
      </x:c>
      <x:c r="P281" s="4" t="n">
        <x:f>IFERROR(INDEX('_怪物基线'!$C$2:$C$501,MATCH(INT($L281),'_怪物基线'!$A$2:$A$501,0)),"")</x:f>
        <x:v>21279</x:v>
      </x:c>
      <x:c r="Q281" s="4" t="n">
        <x:f>IFERROR(INDEX('_怪物基线'!$D$2:$D$501,MATCH(INT($L281),'_怪物基线'!$A$2:$A$501,0)),"")</x:f>
        <x:v>20518</x:v>
      </x:c>
      <x:c r="R281" s="4" t="n">
        <x:f>'参数'!$B$10</x:f>
        <x:v>4</x:v>
      </x:c>
      <x:c r="S281" s="4" t="n">
        <x:f>'参数'!$C$10</x:f>
        <x:v>1.2</x:v>
      </x:c>
      <x:c r="T281" s="4" t="n">
        <x:f>'参数'!$D$10</x:f>
        <x:v>1</x:v>
      </x:c>
      <x:c r="U281" s="4" t="n">
        <x:f t="shared" si="28">IF($O281="","",$O281*$R281)</x:f>
        <x:v>751700</x:v>
      </x:c>
      <x:c r="V281" s="4" t="n">
        <x:f t="shared" si="29">IF($P281="","",$P281*$S281)</x:f>
        <x:v>25534.8</x:v>
      </x:c>
      <x:c r="W281" s="4" t="n">
        <x:f t="shared" si="30">IF($Q281="","",$Q281*$T281)</x:f>
        <x:v>20518</x:v>
      </x:c>
      <x:c r="X281" s="4" t="n">
        <x:f>IFERROR(INDEX('参数'!$B$5:$B$7,MATCH($N281,'参数'!$A$5:$A$7,0)),"")</x:f>
        <x:v>1.25</x:v>
      </x:c>
      <x:c r="Y281" s="4" t="n">
        <x:f>IFERROR(INDEX('参数'!$C$5:$C$7,MATCH($N281,'参数'!$A$5:$A$7,0)),"")</x:f>
        <x:v>1</x:v>
      </x:c>
      <x:c r="Z281" s="4" t="n">
        <x:f>IFERROR(INDEX('参数'!$D$5:$D$7,MATCH($N281,'参数'!$A$5:$A$7,0)),"")</x:f>
        <x:v>1.25</x:v>
      </x:c>
      <x:c r="AA281" s="4" t="n">
        <x:f>IFERROR(INDEX('楼层配置'!$E$5:$E$104,MATCH($K281,'楼层配置'!$B$5:$B$104,0)),1)</x:f>
        <x:v>1.1521398501730935</x:v>
      </x:c>
      <x:c r="AB281" s="4" t="n">
        <x:f>IFERROR(INDEX('楼层配置'!$F$5:$F$104,MATCH($K281,'楼层配置'!$B$5:$B$104,0)),1)</x:f>
        <x:v>0.6823478519428129</x:v>
      </x:c>
      <x:c r="AC281" s="4" t="n">
        <x:f>IFERROR(INDEX('楼层配置'!$G$5:$G$104,MATCH($K281,'楼层配置'!$B$5:$B$104,0)),1)</x:f>
        <x:v>1</x:v>
      </x:c>
      <x:c r="AD281" s="6" t="n">
        <x:f t="shared" si="31">IFERROR($D281/$G281-1,"")</x:f>
        <x:v>-0.17316704702025798</x:v>
      </x:c>
      <x:c r="AE281" s="6" t="n">
        <x:f t="shared" si="32">IFERROR($E281/$H281-1,"")</x:f>
        <x:v>-0.08817834528232771</x:v>
      </x:c>
      <x:c r="AF281" s="6" t="n">
        <x:f t="shared" si="33">IFERROR($F281/$I281-1,"")</x:f>
        <x:v>0.2717175723919081</x:v>
      </x:c>
      <x:c r="AG281" s="4" t="str">
        <x:f t="shared" si="34">IF(AND($A281&gt;=1,$L281&gt;=1,$L281&lt;=500,OR($N281="Tank",$N281="DPS",$N281="Support"),ISNUMBER($D281),ISNUMBER($E281),ISNUMBER($F281)),"有效","异常")</x:f>
        <x:v>有效</x:v>
      </x:c>
      <x:c r="AH281" t="n">
        <x:f>D281/(1-MIN(0.75,F281/(24000+F281)))</x:f>
        <x:v>2239495.091333333</x:v>
      </x:c>
    </x:row>
    <x:row r="282" ht="14.25" customHeight="1">
      <x:c r="A282" s="4">
        <x:v>278</x:v>
      </x:c>
      <x:c r="B282" s="4">
        <x:v>1012</x:v>
      </x:c>
      <x:c r="C282" s="4">
        <x:v>38</x:v>
      </x:c>
      <x:c r="D282" s="5" t="n">
        <x:f>IFERROR(ROUND($U282*$X282*$AA282*'参数'!$B$13,0),"")</x:f>
        <x:v>1082579</x:v>
      </x:c>
      <x:c r="E282" s="5" t="n">
        <x:f>IFERROR(ROUND($V282*$Y282*$AB282*'参数'!$C$13,0),"")</x:f>
        <x:v>17424</x:v>
      </x:c>
      <x:c r="F282" s="5" t="n">
        <x:f>IFERROR(ROUND($W282*$Z282*$AC282*'参数'!$D$13,0),"")</x:f>
        <x:v>25648</x:v>
      </x:c>
      <x:c r="G282" s="4">
        <x:v>1309308</x:v>
      </x:c>
      <x:c r="H282" s="4">
        <x:v>19109</x:v>
      </x:c>
      <x:c r="I282" s="4">
        <x:v>20168</x:v>
      </x:c>
      <x:c r="J282" s="4">
        <x:v>56</x:v>
      </x:c>
      <x:c r="K282" s="4">
        <x:v>56</x:v>
      </x:c>
      <x:c r="L282" s="4" t="n">
        <x:f>IFERROR(INDEX('楼层配置'!$D$5:$D$104,MATCH($K282,'楼层配置'!$B$5:$B$104,0)),"")</x:f>
        <x:v>210</x:v>
      </x:c>
      <x:c r="M282" s="4" t="str">
        <x:f>IFERROR(INDEX('_角色基线'!$B$2:$B$100,MATCH($B282,'_角色基线'!$A$2:$A$100,0)),"")</x:f>
        <x:v>艾德琳</x:v>
      </x:c>
      <x:c r="N282" s="4" t="str">
        <x:f>IFERROR(INDEX('_角色基线'!$C$2:$C$100,MATCH($B282,'_角色基线'!$A$2:$A$100,0)),"")</x:f>
        <x:v>Support</x:v>
      </x:c>
      <x:c r="O282" s="4" t="n">
        <x:f>IFERROR(INDEX('_怪物基线'!$B$2:$B$501,MATCH(INT($L282),'_怪物基线'!$A$2:$A$501,0)),"")</x:f>
        <x:v>187925</x:v>
      </x:c>
      <x:c r="P282" s="4" t="n">
        <x:f>IFERROR(INDEX('_怪物基线'!$C$2:$C$501,MATCH(INT($L282),'_怪物基线'!$A$2:$A$501,0)),"")</x:f>
        <x:v>21279</x:v>
      </x:c>
      <x:c r="Q282" s="4" t="n">
        <x:f>IFERROR(INDEX('_怪物基线'!$D$2:$D$501,MATCH(INT($L282),'_怪物基线'!$A$2:$A$501,0)),"")</x:f>
        <x:v>20518</x:v>
      </x:c>
      <x:c r="R282" s="4" t="n">
        <x:f>'参数'!$B$10</x:f>
        <x:v>4</x:v>
      </x:c>
      <x:c r="S282" s="4" t="n">
        <x:f>'参数'!$C$10</x:f>
        <x:v>1.2</x:v>
      </x:c>
      <x:c r="T282" s="4" t="n">
        <x:f>'参数'!$D$10</x:f>
        <x:v>1</x:v>
      </x:c>
      <x:c r="U282" s="4" t="n">
        <x:f t="shared" si="28">IF($O282="","",$O282*$R282)</x:f>
        <x:v>751700</x:v>
      </x:c>
      <x:c r="V282" s="4" t="n">
        <x:f t="shared" si="29">IF($P282="","",$P282*$S282)</x:f>
        <x:v>25534.8</x:v>
      </x:c>
      <x:c r="W282" s="4" t="n">
        <x:f t="shared" si="30">IF($Q282="","",$Q282*$T282)</x:f>
        <x:v>20518</x:v>
      </x:c>
      <x:c r="X282" s="4" t="n">
        <x:f>IFERROR(INDEX('参数'!$B$5:$B$7,MATCH($N282,'参数'!$A$5:$A$7,0)),"")</x:f>
        <x:v>1.25</x:v>
      </x:c>
      <x:c r="Y282" s="4" t="n">
        <x:f>IFERROR(INDEX('参数'!$C$5:$C$7,MATCH($N282,'参数'!$A$5:$A$7,0)),"")</x:f>
        <x:v>1</x:v>
      </x:c>
      <x:c r="Z282" s="4" t="n">
        <x:f>IFERROR(INDEX('参数'!$D$5:$D$7,MATCH($N282,'参数'!$A$5:$A$7,0)),"")</x:f>
        <x:v>1.25</x:v>
      </x:c>
      <x:c r="AA282" s="4" t="n">
        <x:f>IFERROR(INDEX('楼层配置'!$E$5:$E$104,MATCH($K282,'楼层配置'!$B$5:$B$104,0)),1)</x:f>
        <x:v>1.1521398501730935</x:v>
      </x:c>
      <x:c r="AB282" s="4" t="n">
        <x:f>IFERROR(INDEX('楼层配置'!$F$5:$F$104,MATCH($K282,'楼层配置'!$B$5:$B$104,0)),1)</x:f>
        <x:v>0.6823478519428129</x:v>
      </x:c>
      <x:c r="AC282" s="4" t="n">
        <x:f>IFERROR(INDEX('楼层配置'!$G$5:$G$104,MATCH($K282,'楼层配置'!$B$5:$B$104,0)),1)</x:f>
        <x:v>1</x:v>
      </x:c>
      <x:c r="AD282" s="6" t="n">
        <x:f t="shared" si="31">IFERROR($D282/$G282-1,"")</x:f>
        <x:v>-0.17316704702025798</x:v>
      </x:c>
      <x:c r="AE282" s="6" t="n">
        <x:f t="shared" si="32">IFERROR($E282/$H282-1,"")</x:f>
        <x:v>-0.08817834528232771</x:v>
      </x:c>
      <x:c r="AF282" s="6" t="n">
        <x:f t="shared" si="33">IFERROR($F282/$I282-1,"")</x:f>
        <x:v>0.2717175723919081</x:v>
      </x:c>
      <x:c r="AG282" s="4" t="str">
        <x:f t="shared" si="34">IF(AND($A282&gt;=1,$L282&gt;=1,$L282&lt;=500,OR($N282="Tank",$N282="DPS",$N282="Support"),ISNUMBER($D282),ISNUMBER($E282),ISNUMBER($F282)),"有效","异常")</x:f>
        <x:v>有效</x:v>
      </x:c>
      <x:c r="AH282" t="n">
        <x:f>D282/(1-MIN(0.75,F282/(24000+F282)))</x:f>
        <x:v>2239495.091333333</x:v>
      </x:c>
    </x:row>
    <x:row r="283" ht="14.25" customHeight="1">
      <x:c r="A283" s="4">
        <x:v>279</x:v>
      </x:c>
      <x:c r="B283" s="4">
        <x:v>1006</x:v>
      </x:c>
      <x:c r="C283" s="4">
        <x:v>38</x:v>
      </x:c>
      <x:c r="D283" s="5" t="n">
        <x:f>IFERROR(ROUND($U283*$X283*$AA283*'参数'!$B$13,0),"")</x:f>
        <x:v>866064</x:v>
      </x:c>
      <x:c r="E283" s="5" t="n">
        <x:f>IFERROR(ROUND($V283*$Y283*$AB283*'参数'!$C$13,0),"")</x:f>
        <x:v>20908</x:v>
      </x:c>
      <x:c r="F283" s="5" t="n">
        <x:f>IFERROR(ROUND($W283*$Z283*$AC283*'参数'!$D$13,0),"")</x:f>
        <x:v>20518</x:v>
      </x:c>
      <x:c r="G283" s="4">
        <x:v>1047446</x:v>
      </x:c>
      <x:c r="H283" s="4">
        <x:v>22930</x:v>
      </x:c>
      <x:c r="I283" s="4">
        <x:v>16134</x:v>
      </x:c>
      <x:c r="J283" s="4">
        <x:v>56</x:v>
      </x:c>
      <x:c r="K283" s="4">
        <x:v>56</x:v>
      </x:c>
      <x:c r="L283" s="4" t="n">
        <x:f>IFERROR(INDEX('楼层配置'!$D$5:$D$104,MATCH($K283,'楼层配置'!$B$5:$B$104,0)),"")</x:f>
        <x:v>210</x:v>
      </x:c>
      <x:c r="M283" s="4" t="str">
        <x:f>IFERROR(INDEX('_角色基线'!$B$2:$B$100,MATCH($B283,'_角色基线'!$A$2:$A$100,0)),"")</x:f>
        <x:v>莉莉娅</x:v>
      </x:c>
      <x:c r="N283" s="4" t="str">
        <x:f>IFERROR(INDEX('_角色基线'!$C$2:$C$100,MATCH($B283,'_角色基线'!$A$2:$A$100,0)),"")</x:f>
        <x:v>DPS</x:v>
      </x:c>
      <x:c r="O283" s="4" t="n">
        <x:f>IFERROR(INDEX('_怪物基线'!$B$2:$B$501,MATCH(INT($L283),'_怪物基线'!$A$2:$A$501,0)),"")</x:f>
        <x:v>187925</x:v>
      </x:c>
      <x:c r="P283" s="4" t="n">
        <x:f>IFERROR(INDEX('_怪物基线'!$C$2:$C$501,MATCH(INT($L283),'_怪物基线'!$A$2:$A$501,0)),"")</x:f>
        <x:v>21279</x:v>
      </x:c>
      <x:c r="Q283" s="4" t="n">
        <x:f>IFERROR(INDEX('_怪物基线'!$D$2:$D$501,MATCH(INT($L283),'_怪物基线'!$A$2:$A$501,0)),"")</x:f>
        <x:v>20518</x:v>
      </x:c>
      <x:c r="R283" s="4" t="n">
        <x:f>'参数'!$B$10</x:f>
        <x:v>4</x:v>
      </x:c>
      <x:c r="S283" s="4" t="n">
        <x:f>'参数'!$C$10</x:f>
        <x:v>1.2</x:v>
      </x:c>
      <x:c r="T283" s="4" t="n">
        <x:f>'参数'!$D$10</x:f>
        <x:v>1</x:v>
      </x:c>
      <x:c r="U283" s="4" t="n">
        <x:f t="shared" si="28">IF($O283="","",$O283*$R283)</x:f>
        <x:v>751700</x:v>
      </x:c>
      <x:c r="V283" s="4" t="n">
        <x:f t="shared" si="29">IF($P283="","",$P283*$S283)</x:f>
        <x:v>25534.8</x:v>
      </x:c>
      <x:c r="W283" s="4" t="n">
        <x:f t="shared" si="30">IF($Q283="","",$Q283*$T283)</x:f>
        <x:v>20518</x:v>
      </x:c>
      <x:c r="X283" s="4" t="n">
        <x:f>IFERROR(INDEX('参数'!$B$5:$B$7,MATCH($N283,'参数'!$A$5:$A$7,0)),"")</x:f>
        <x:v>1</x:v>
      </x:c>
      <x:c r="Y283" s="4" t="n">
        <x:f>IFERROR(INDEX('参数'!$C$5:$C$7,MATCH($N283,'参数'!$A$5:$A$7,0)),"")</x:f>
        <x:v>1.2</x:v>
      </x:c>
      <x:c r="Z283" s="4" t="n">
        <x:f>IFERROR(INDEX('参数'!$D$5:$D$7,MATCH($N283,'参数'!$A$5:$A$7,0)),"")</x:f>
        <x:v>1</x:v>
      </x:c>
      <x:c r="AA283" s="4" t="n">
        <x:f>IFERROR(INDEX('楼层配置'!$E$5:$E$104,MATCH($K283,'楼层配置'!$B$5:$B$104,0)),1)</x:f>
        <x:v>1.1521398501730935</x:v>
      </x:c>
      <x:c r="AB283" s="4" t="n">
        <x:f>IFERROR(INDEX('楼层配置'!$F$5:$F$104,MATCH($K283,'楼层配置'!$B$5:$B$104,0)),1)</x:f>
        <x:v>0.6823478519428129</x:v>
      </x:c>
      <x:c r="AC283" s="4" t="n">
        <x:f>IFERROR(INDEX('楼层配置'!$G$5:$G$104,MATCH($K283,'楼层配置'!$B$5:$B$104,0)),1)</x:f>
        <x:v>1</x:v>
      </x:c>
      <x:c r="AD283" s="6" t="n">
        <x:f t="shared" si="31">IFERROR($D283/$G283-1,"")</x:f>
        <x:v>-0.17316596750572344</x:v>
      </x:c>
      <x:c r="AE283" s="6" t="n">
        <x:f t="shared" si="32">IFERROR($E283/$H283-1,"")</x:f>
        <x:v>-0.08818142171827303</x:v>
      </x:c>
      <x:c r="AF283" s="6" t="n">
        <x:f t="shared" si="33">IFERROR($F283/$I283-1,"")</x:f>
        <x:v>0.27172430891285493</x:v>
      </x:c>
      <x:c r="AG283" s="4" t="str">
        <x:f t="shared" si="34">IF(AND($A283&gt;=1,$L283&gt;=1,$L283&lt;=500,OR($N283="Tank",$N283="DPS",$N283="Support"),ISNUMBER($D283),ISNUMBER($E283),ISNUMBER($F283)),"有效","异常")</x:f>
        <x:v>有效</x:v>
      </x:c>
      <x:c r="AH283" t="n">
        <x:f>D283/(1-MIN(0.75,F283/(24000+F283)))</x:f>
        <x:v>1606476.548</x:v>
      </x:c>
    </x:row>
    <x:row r="284" ht="14.25" customHeight="1">
      <x:c r="A284" s="4">
        <x:v>280</x:v>
      </x:c>
      <x:c r="B284" s="4">
        <x:v>1001</x:v>
      </x:c>
      <x:c r="C284" s="4">
        <x:v>38</x:v>
      </x:c>
      <x:c r="D284" s="5" t="n">
        <x:f>IFERROR(ROUND($U284*$X284*$AA284*'参数'!$B$13,0),"")</x:f>
        <x:v>866064</x:v>
      </x:c>
      <x:c r="E284" s="5" t="n">
        <x:f>IFERROR(ROUND($V284*$Y284*$AB284*'参数'!$C$13,0),"")</x:f>
        <x:v>20908</x:v>
      </x:c>
      <x:c r="F284" s="5" t="n">
        <x:f>IFERROR(ROUND($W284*$Z284*$AC284*'参数'!$D$13,0),"")</x:f>
        <x:v>20518</x:v>
      </x:c>
      <x:c r="G284" s="4">
        <x:v>1047446</x:v>
      </x:c>
      <x:c r="H284" s="4">
        <x:v>22930</x:v>
      </x:c>
      <x:c r="I284" s="4">
        <x:v>16134</x:v>
      </x:c>
      <x:c r="J284" s="4">
        <x:v>56</x:v>
      </x:c>
      <x:c r="K284" s="4">
        <x:v>56</x:v>
      </x:c>
      <x:c r="L284" s="4" t="n">
        <x:f>IFERROR(INDEX('楼层配置'!$D$5:$D$104,MATCH($K284,'楼层配置'!$B$5:$B$104,0)),"")</x:f>
        <x:v>210</x:v>
      </x:c>
      <x:c r="M284" s="4" t="str">
        <x:f>IFERROR(INDEX('_角色基线'!$B$2:$B$100,MATCH($B284,'_角色基线'!$A$2:$A$100,0)),"")</x:f>
        <x:v>星海</x:v>
      </x:c>
      <x:c r="N284" s="4" t="str">
        <x:f>IFERROR(INDEX('_角色基线'!$C$2:$C$100,MATCH($B284,'_角色基线'!$A$2:$A$100,0)),"")</x:f>
        <x:v>DPS</x:v>
      </x:c>
      <x:c r="O284" s="4" t="n">
        <x:f>IFERROR(INDEX('_怪物基线'!$B$2:$B$501,MATCH(INT($L284),'_怪物基线'!$A$2:$A$501,0)),"")</x:f>
        <x:v>187925</x:v>
      </x:c>
      <x:c r="P284" s="4" t="n">
        <x:f>IFERROR(INDEX('_怪物基线'!$C$2:$C$501,MATCH(INT($L284),'_怪物基线'!$A$2:$A$501,0)),"")</x:f>
        <x:v>21279</x:v>
      </x:c>
      <x:c r="Q284" s="4" t="n">
        <x:f>IFERROR(INDEX('_怪物基线'!$D$2:$D$501,MATCH(INT($L284),'_怪物基线'!$A$2:$A$501,0)),"")</x:f>
        <x:v>20518</x:v>
      </x:c>
      <x:c r="R284" s="4" t="n">
        <x:f>'参数'!$B$10</x:f>
        <x:v>4</x:v>
      </x:c>
      <x:c r="S284" s="4" t="n">
        <x:f>'参数'!$C$10</x:f>
        <x:v>1.2</x:v>
      </x:c>
      <x:c r="T284" s="4" t="n">
        <x:f>'参数'!$D$10</x:f>
        <x:v>1</x:v>
      </x:c>
      <x:c r="U284" s="4" t="n">
        <x:f t="shared" si="28">IF($O284="","",$O284*$R284)</x:f>
        <x:v>751700</x:v>
      </x:c>
      <x:c r="V284" s="4" t="n">
        <x:f t="shared" si="29">IF($P284="","",$P284*$S284)</x:f>
        <x:v>25534.8</x:v>
      </x:c>
      <x:c r="W284" s="4" t="n">
        <x:f t="shared" si="30">IF($Q284="","",$Q284*$T284)</x:f>
        <x:v>20518</x:v>
      </x:c>
      <x:c r="X284" s="4" t="n">
        <x:f>IFERROR(INDEX('参数'!$B$5:$B$7,MATCH($N284,'参数'!$A$5:$A$7,0)),"")</x:f>
        <x:v>1</x:v>
      </x:c>
      <x:c r="Y284" s="4" t="n">
        <x:f>IFERROR(INDEX('参数'!$C$5:$C$7,MATCH($N284,'参数'!$A$5:$A$7,0)),"")</x:f>
        <x:v>1.2</x:v>
      </x:c>
      <x:c r="Z284" s="4" t="n">
        <x:f>IFERROR(INDEX('参数'!$D$5:$D$7,MATCH($N284,'参数'!$A$5:$A$7,0)),"")</x:f>
        <x:v>1</x:v>
      </x:c>
      <x:c r="AA284" s="4" t="n">
        <x:f>IFERROR(INDEX('楼层配置'!$E$5:$E$104,MATCH($K284,'楼层配置'!$B$5:$B$104,0)),1)</x:f>
        <x:v>1.1521398501730935</x:v>
      </x:c>
      <x:c r="AB284" s="4" t="n">
        <x:f>IFERROR(INDEX('楼层配置'!$F$5:$F$104,MATCH($K284,'楼层配置'!$B$5:$B$104,0)),1)</x:f>
        <x:v>0.6823478519428129</x:v>
      </x:c>
      <x:c r="AC284" s="4" t="n">
        <x:f>IFERROR(INDEX('楼层配置'!$G$5:$G$104,MATCH($K284,'楼层配置'!$B$5:$B$104,0)),1)</x:f>
        <x:v>1</x:v>
      </x:c>
      <x:c r="AD284" s="6" t="n">
        <x:f t="shared" si="31">IFERROR($D284/$G284-1,"")</x:f>
        <x:v>-0.17316596750572344</x:v>
      </x:c>
      <x:c r="AE284" s="6" t="n">
        <x:f t="shared" si="32">IFERROR($E284/$H284-1,"")</x:f>
        <x:v>-0.08818142171827303</x:v>
      </x:c>
      <x:c r="AF284" s="6" t="n">
        <x:f t="shared" si="33">IFERROR($F284/$I284-1,"")</x:f>
        <x:v>0.27172430891285493</x:v>
      </x:c>
      <x:c r="AG284" s="4" t="str">
        <x:f t="shared" si="34">IF(AND($A284&gt;=1,$L284&gt;=1,$L284&lt;=500,OR($N284="Tank",$N284="DPS",$N284="Support"),ISNUMBER($D284),ISNUMBER($E284),ISNUMBER($F284)),"有效","异常")</x:f>
        <x:v>有效</x:v>
      </x:c>
      <x:c r="AH284" t="n">
        <x:f>D284/(1-MIN(0.75,F284/(24000+F284)))</x:f>
        <x:v>1606476.548</x:v>
      </x:c>
    </x:row>
    <x:row r="285" ht="14.25" customHeight="1">
      <x:c r="A285" s="4">
        <x:v>281</x:v>
      </x:c>
      <x:c r="B285" s="4">
        <x:v>1002</x:v>
      </x:c>
      <x:c r="C285" s="4">
        <x:v>38</x:v>
      </x:c>
      <x:c r="D285" s="5" t="n">
        <x:f>IFERROR(ROUND($U285*$X285*$AA285*'参数'!$B$13,0),"")</x:f>
        <x:v>1331424</x:v>
      </x:c>
      <x:c r="E285" s="5" t="n">
        <x:f>IFERROR(ROUND($V285*$Y285*$AB285*'参数'!$C$13,0),"")</x:f>
        <x:v>17781</x:v>
      </x:c>
      <x:c r="F285" s="5" t="n">
        <x:f>IFERROR(ROUND($W285*$Z285*$AC285*'参数'!$D$13,0),"")</x:f>
        <x:v>31142</x:v>
      </x:c>
      <x:c r="G285" s="4">
        <x:v>1637935</x:v>
      </x:c>
      <x:c r="H285" s="4">
        <x:v>19667</x:v>
      </x:c>
      <x:c r="I285" s="4">
        <x:v>24736</x:v>
      </x:c>
      <x:c r="J285" s="4">
        <x:v>57</x:v>
      </x:c>
      <x:c r="K285" s="4">
        <x:v>57</x:v>
      </x:c>
      <x:c r="L285" s="4" t="n">
        <x:f>IFERROR(INDEX('楼层配置'!$D$5:$D$104,MATCH($K285,'楼层配置'!$B$5:$B$104,0)),"")</x:f>
        <x:v>212</x:v>
      </x:c>
      <x:c r="M285" s="4" t="str">
        <x:f>IFERROR(INDEX('_角色基线'!$B$2:$B$100,MATCH($B285,'_角色基线'!$A$2:$A$100,0)),"")</x:f>
        <x:v>大暑</x:v>
      </x:c>
      <x:c r="N285" s="4" t="str">
        <x:f>IFERROR(INDEX('_角色基线'!$C$2:$C$100,MATCH($B285,'_角色基线'!$A$2:$A$100,0)),"")</x:f>
        <x:v>Tank</x:v>
      </x:c>
      <x:c r="O285" s="4" t="n">
        <x:f>IFERROR(INDEX('_怪物基线'!$B$2:$B$501,MATCH(INT($L285),'_怪物基线'!$A$2:$A$501,0)),"")</x:f>
        <x:v>192391</x:v>
      </x:c>
      <x:c r="P285" s="4" t="n">
        <x:f>IFERROR(INDEX('_怪物基线'!$C$2:$C$501,MATCH(INT($L285),'_怪物基线'!$A$2:$A$501,0)),"")</x:f>
        <x:v>21646</x:v>
      </x:c>
      <x:c r="Q285" s="4" t="n">
        <x:f>IFERROR(INDEX('_怪物基线'!$D$2:$D$501,MATCH(INT($L285),'_怪物基线'!$A$2:$A$501,0)),"")</x:f>
        <x:v>20761</x:v>
      </x:c>
      <x:c r="R285" s="4" t="n">
        <x:f>'参数'!$B$10</x:f>
        <x:v>4</x:v>
      </x:c>
      <x:c r="S285" s="4" t="n">
        <x:f>'参数'!$C$10</x:f>
        <x:v>1.2</x:v>
      </x:c>
      <x:c r="T285" s="4" t="n">
        <x:f>'参数'!$D$10</x:f>
        <x:v>1</x:v>
      </x:c>
      <x:c r="U285" s="4" t="n">
        <x:f t="shared" si="28">IF($O285="","",$O285*$R285)</x:f>
        <x:v>769564</x:v>
      </x:c>
      <x:c r="V285" s="4" t="n">
        <x:f t="shared" si="29">IF($P285="","",$P285*$S285)</x:f>
        <x:v>25975.2</x:v>
      </x:c>
      <x:c r="W285" s="4" t="n">
        <x:f t="shared" si="30">IF($Q285="","",$Q285*$T285)</x:f>
        <x:v>20761</x:v>
      </x:c>
      <x:c r="X285" s="4" t="n">
        <x:f>IFERROR(INDEX('参数'!$B$5:$B$7,MATCH($N285,'参数'!$A$5:$A$7,0)),"")</x:f>
        <x:v>1.5</x:v>
      </x:c>
      <x:c r="Y285" s="4" t="n">
        <x:f>IFERROR(INDEX('参数'!$C$5:$C$7,MATCH($N285,'参数'!$A$5:$A$7,0)),"")</x:f>
        <x:v>1</x:v>
      </x:c>
      <x:c r="Z285" s="4" t="n">
        <x:f>IFERROR(INDEX('参数'!$D$5:$D$7,MATCH($N285,'参数'!$A$5:$A$7,0)),"")</x:f>
        <x:v>1.5</x:v>
      </x:c>
      <x:c r="AA285" s="4" t="n">
        <x:f>IFERROR(INDEX('楼层配置'!$E$5:$E$104,MATCH($K285,'楼层配置'!$B$5:$B$104,0)),1)</x:f>
        <x:v>1.1534011210757094</x:v>
      </x:c>
      <x:c r="AB285" s="4" t="n">
        <x:f>IFERROR(INDEX('楼层配置'!$F$5:$F$104,MATCH($K285,'楼层配置'!$B$5:$B$104,0)),1)</x:f>
        <x:v>0.6845350539447649</x:v>
      </x:c>
      <x:c r="AC285" s="4" t="n">
        <x:f>IFERROR(INDEX('楼层配置'!$G$5:$G$104,MATCH($K285,'楼层配置'!$B$5:$B$104,0)),1)</x:f>
        <x:v>1</x:v>
      </x:c>
      <x:c r="AD285" s="6" t="n">
        <x:f t="shared" si="31">IFERROR($D285/$G285-1,"")</x:f>
        <x:v>-0.18713257852112564</x:v>
      </x:c>
      <x:c r="AE285" s="6" t="n">
        <x:f t="shared" si="32">IFERROR($E285/$H285-1,"")</x:f>
        <x:v>-0.09589667971729288</x:v>
      </x:c>
      <x:c r="AF285" s="6" t="n">
        <x:f t="shared" si="33">IFERROR($F285/$I285-1,"")</x:f>
        <x:v>0.2589747736093144</x:v>
      </x:c>
      <x:c r="AG285" s="4" t="str">
        <x:f t="shared" si="34">IF(AND($A285&gt;=1,$L285&gt;=1,$L285&lt;=500,OR($N285="Tank",$N285="DPS",$N285="Support"),ISNUMBER($D285),ISNUMBER($E285),ISNUMBER($F285)),"有效","异常")</x:f>
        <x:v>有效</x:v>
      </x:c>
      <x:c r="AH285" t="n">
        <x:f>D285/(1-MIN(0.75,F285/(24000+F285)))</x:f>
        <x:v>3059057.592</x:v>
      </x:c>
    </x:row>
    <x:row r="286" ht="14.25" customHeight="1">
      <x:c r="A286" s="4">
        <x:v>282</x:v>
      </x:c>
      <x:c r="B286" s="4">
        <x:v>1021</x:v>
      </x:c>
      <x:c r="C286" s="4">
        <x:v>38</x:v>
      </x:c>
      <x:c r="D286" s="5" t="n">
        <x:f>IFERROR(ROUND($U286*$X286*$AA286*'参数'!$B$13,0),"")</x:f>
        <x:v>887616</x:v>
      </x:c>
      <x:c r="E286" s="5" t="n">
        <x:f>IFERROR(ROUND($V286*$Y286*$AB286*'参数'!$C$13,0),"")</x:f>
        <x:v>21337</x:v>
      </x:c>
      <x:c r="F286" s="5" t="n">
        <x:f>IFERROR(ROUND($W286*$Z286*$AC286*'参数'!$D$13,0),"")</x:f>
        <x:v>20761</x:v>
      </x:c>
      <x:c r="G286" s="4">
        <x:v>1091956</x:v>
      </x:c>
      <x:c r="H286" s="4">
        <x:v>23600</x:v>
      </x:c>
      <x:c r="I286" s="4">
        <x:v>16491</x:v>
      </x:c>
      <x:c r="J286" s="4">
        <x:v>57</x:v>
      </x:c>
      <x:c r="K286" s="4">
        <x:v>57</x:v>
      </x:c>
      <x:c r="L286" s="4" t="n">
        <x:f>IFERROR(INDEX('楼层配置'!$D$5:$D$104,MATCH($K286,'楼层配置'!$B$5:$B$104,0)),"")</x:f>
        <x:v>212</x:v>
      </x:c>
      <x:c r="M286" s="4" t="str">
        <x:f>IFERROR(INDEX('_角色基线'!$B$2:$B$100,MATCH($B286,'_角色基线'!$A$2:$A$100,0)),"")</x:f>
        <x:v>梅梅</x:v>
      </x:c>
      <x:c r="N286" s="4" t="str">
        <x:f>IFERROR(INDEX('_角色基线'!$C$2:$C$100,MATCH($B286,'_角色基线'!$A$2:$A$100,0)),"")</x:f>
        <x:v>DPS</x:v>
      </x:c>
      <x:c r="O286" s="4" t="n">
        <x:f>IFERROR(INDEX('_怪物基线'!$B$2:$B$501,MATCH(INT($L286),'_怪物基线'!$A$2:$A$501,0)),"")</x:f>
        <x:v>192391</x:v>
      </x:c>
      <x:c r="P286" s="4" t="n">
        <x:f>IFERROR(INDEX('_怪物基线'!$C$2:$C$501,MATCH(INT($L286),'_怪物基线'!$A$2:$A$501,0)),"")</x:f>
        <x:v>21646</x:v>
      </x:c>
      <x:c r="Q286" s="4" t="n">
        <x:f>IFERROR(INDEX('_怪物基线'!$D$2:$D$501,MATCH(INT($L286),'_怪物基线'!$A$2:$A$501,0)),"")</x:f>
        <x:v>20761</x:v>
      </x:c>
      <x:c r="R286" s="4" t="n">
        <x:f>'参数'!$B$10</x:f>
        <x:v>4</x:v>
      </x:c>
      <x:c r="S286" s="4" t="n">
        <x:f>'参数'!$C$10</x:f>
        <x:v>1.2</x:v>
      </x:c>
      <x:c r="T286" s="4" t="n">
        <x:f>'参数'!$D$10</x:f>
        <x:v>1</x:v>
      </x:c>
      <x:c r="U286" s="4" t="n">
        <x:f t="shared" si="28">IF($O286="","",$O286*$R286)</x:f>
        <x:v>769564</x:v>
      </x:c>
      <x:c r="V286" s="4" t="n">
        <x:f t="shared" si="29">IF($P286="","",$P286*$S286)</x:f>
        <x:v>25975.2</x:v>
      </x:c>
      <x:c r="W286" s="4" t="n">
        <x:f t="shared" si="30">IF($Q286="","",$Q286*$T286)</x:f>
        <x:v>20761</x:v>
      </x:c>
      <x:c r="X286" s="4" t="n">
        <x:f>IFERROR(INDEX('参数'!$B$5:$B$7,MATCH($N286,'参数'!$A$5:$A$7,0)),"")</x:f>
        <x:v>1</x:v>
      </x:c>
      <x:c r="Y286" s="4" t="n">
        <x:f>IFERROR(INDEX('参数'!$C$5:$C$7,MATCH($N286,'参数'!$A$5:$A$7,0)),"")</x:f>
        <x:v>1.2</x:v>
      </x:c>
      <x:c r="Z286" s="4" t="n">
        <x:f>IFERROR(INDEX('参数'!$D$5:$D$7,MATCH($N286,'参数'!$A$5:$A$7,0)),"")</x:f>
        <x:v>1</x:v>
      </x:c>
      <x:c r="AA286" s="4" t="n">
        <x:f>IFERROR(INDEX('楼层配置'!$E$5:$E$104,MATCH($K286,'楼层配置'!$B$5:$B$104,0)),1)</x:f>
        <x:v>1.1534011210757094</x:v>
      </x:c>
      <x:c r="AB286" s="4" t="n">
        <x:f>IFERROR(INDEX('楼层配置'!$F$5:$F$104,MATCH($K286,'楼层配置'!$B$5:$B$104,0)),1)</x:f>
        <x:v>0.6845350539447649</x:v>
      </x:c>
      <x:c r="AC286" s="4" t="n">
        <x:f>IFERROR(INDEX('楼层配置'!$G$5:$G$104,MATCH($K286,'楼层配置'!$B$5:$B$104,0)),1)</x:f>
        <x:v>1</x:v>
      </x:c>
      <x:c r="AD286" s="6" t="n">
        <x:f t="shared" si="31">IFERROR($D286/$G286-1,"")</x:f>
        <x:v>-0.18713208224507216</x:v>
      </x:c>
      <x:c r="AE286" s="6" t="n">
        <x:f t="shared" si="32">IFERROR($E286/$H286-1,"")</x:f>
        <x:v>-0.09588983050847455</x:v>
      </x:c>
      <x:c r="AF286" s="6" t="n">
        <x:f t="shared" si="33">IFERROR($F286/$I286-1,"")</x:f>
        <x:v>0.2589291128494331</x:v>
      </x:c>
      <x:c r="AG286" s="4" t="str">
        <x:f t="shared" si="34">IF(AND($A286&gt;=1,$L286&gt;=1,$L286&lt;=500,OR($N286="Tank",$N286="DPS",$N286="Support"),ISNUMBER($D286),ISNUMBER($E286),ISNUMBER($F286)),"有效","异常")</x:f>
        <x:v>有效</x:v>
      </x:c>
      <x:c r="AH286" t="n">
        <x:f>D286/(1-MIN(0.75,F286/(24000+F286)))</x:f>
        <x:v>1655440.8240000003</x:v>
      </x:c>
    </x:row>
    <x:row r="287" ht="14.25" customHeight="1">
      <x:c r="A287" s="4">
        <x:v>283</x:v>
      </x:c>
      <x:c r="B287" s="4">
        <x:v>1001</x:v>
      </x:c>
      <x:c r="C287" s="4">
        <x:v>38</x:v>
      </x:c>
      <x:c r="D287" s="5" t="n">
        <x:f>IFERROR(ROUND($U287*$X287*$AA287*'参数'!$B$13,0),"")</x:f>
        <x:v>887616</x:v>
      </x:c>
      <x:c r="E287" s="5" t="n">
        <x:f>IFERROR(ROUND($V287*$Y287*$AB287*'参数'!$C$13,0),"")</x:f>
        <x:v>21337</x:v>
      </x:c>
      <x:c r="F287" s="5" t="n">
        <x:f>IFERROR(ROUND($W287*$Z287*$AC287*'参数'!$D$13,0),"")</x:f>
        <x:v>20761</x:v>
      </x:c>
      <x:c r="G287" s="4">
        <x:v>1091956</x:v>
      </x:c>
      <x:c r="H287" s="4">
        <x:v>23600</x:v>
      </x:c>
      <x:c r="I287" s="4">
        <x:v>16491</x:v>
      </x:c>
      <x:c r="J287" s="4">
        <x:v>57</x:v>
      </x:c>
      <x:c r="K287" s="4">
        <x:v>57</x:v>
      </x:c>
      <x:c r="L287" s="4" t="n">
        <x:f>IFERROR(INDEX('楼层配置'!$D$5:$D$104,MATCH($K287,'楼层配置'!$B$5:$B$104,0)),"")</x:f>
        <x:v>212</x:v>
      </x:c>
      <x:c r="M287" s="4" t="str">
        <x:f>IFERROR(INDEX('_角色基线'!$B$2:$B$100,MATCH($B287,'_角色基线'!$A$2:$A$100,0)),"")</x:f>
        <x:v>星海</x:v>
      </x:c>
      <x:c r="N287" s="4" t="str">
        <x:f>IFERROR(INDEX('_角色基线'!$C$2:$C$100,MATCH($B287,'_角色基线'!$A$2:$A$100,0)),"")</x:f>
        <x:v>DPS</x:v>
      </x:c>
      <x:c r="O287" s="4" t="n">
        <x:f>IFERROR(INDEX('_怪物基线'!$B$2:$B$501,MATCH(INT($L287),'_怪物基线'!$A$2:$A$501,0)),"")</x:f>
        <x:v>192391</x:v>
      </x:c>
      <x:c r="P287" s="4" t="n">
        <x:f>IFERROR(INDEX('_怪物基线'!$C$2:$C$501,MATCH(INT($L287),'_怪物基线'!$A$2:$A$501,0)),"")</x:f>
        <x:v>21646</x:v>
      </x:c>
      <x:c r="Q287" s="4" t="n">
        <x:f>IFERROR(INDEX('_怪物基线'!$D$2:$D$501,MATCH(INT($L287),'_怪物基线'!$A$2:$A$501,0)),"")</x:f>
        <x:v>20761</x:v>
      </x:c>
      <x:c r="R287" s="4" t="n">
        <x:f>'参数'!$B$10</x:f>
        <x:v>4</x:v>
      </x:c>
      <x:c r="S287" s="4" t="n">
        <x:f>'参数'!$C$10</x:f>
        <x:v>1.2</x:v>
      </x:c>
      <x:c r="T287" s="4" t="n">
        <x:f>'参数'!$D$10</x:f>
        <x:v>1</x:v>
      </x:c>
      <x:c r="U287" s="4" t="n">
        <x:f t="shared" si="28">IF($O287="","",$O287*$R287)</x:f>
        <x:v>769564</x:v>
      </x:c>
      <x:c r="V287" s="4" t="n">
        <x:f t="shared" si="29">IF($P287="","",$P287*$S287)</x:f>
        <x:v>25975.2</x:v>
      </x:c>
      <x:c r="W287" s="4" t="n">
        <x:f t="shared" si="30">IF($Q287="","",$Q287*$T287)</x:f>
        <x:v>20761</x:v>
      </x:c>
      <x:c r="X287" s="4" t="n">
        <x:f>IFERROR(INDEX('参数'!$B$5:$B$7,MATCH($N287,'参数'!$A$5:$A$7,0)),"")</x:f>
        <x:v>1</x:v>
      </x:c>
      <x:c r="Y287" s="4" t="n">
        <x:f>IFERROR(INDEX('参数'!$C$5:$C$7,MATCH($N287,'参数'!$A$5:$A$7,0)),"")</x:f>
        <x:v>1.2</x:v>
      </x:c>
      <x:c r="Z287" s="4" t="n">
        <x:f>IFERROR(INDEX('参数'!$D$5:$D$7,MATCH($N287,'参数'!$A$5:$A$7,0)),"")</x:f>
        <x:v>1</x:v>
      </x:c>
      <x:c r="AA287" s="4" t="n">
        <x:f>IFERROR(INDEX('楼层配置'!$E$5:$E$104,MATCH($K287,'楼层配置'!$B$5:$B$104,0)),1)</x:f>
        <x:v>1.1534011210757094</x:v>
      </x:c>
      <x:c r="AB287" s="4" t="n">
        <x:f>IFERROR(INDEX('楼层配置'!$F$5:$F$104,MATCH($K287,'楼层配置'!$B$5:$B$104,0)),1)</x:f>
        <x:v>0.6845350539447649</x:v>
      </x:c>
      <x:c r="AC287" s="4" t="n">
        <x:f>IFERROR(INDEX('楼层配置'!$G$5:$G$104,MATCH($K287,'楼层配置'!$B$5:$B$104,0)),1)</x:f>
        <x:v>1</x:v>
      </x:c>
      <x:c r="AD287" s="6" t="n">
        <x:f t="shared" si="31">IFERROR($D287/$G287-1,"")</x:f>
        <x:v>-0.18713208224507216</x:v>
      </x:c>
      <x:c r="AE287" s="6" t="n">
        <x:f t="shared" si="32">IFERROR($E287/$H287-1,"")</x:f>
        <x:v>-0.09588983050847455</x:v>
      </x:c>
      <x:c r="AF287" s="6" t="n">
        <x:f t="shared" si="33">IFERROR($F287/$I287-1,"")</x:f>
        <x:v>0.2589291128494331</x:v>
      </x:c>
      <x:c r="AG287" s="4" t="str">
        <x:f t="shared" si="34">IF(AND($A287&gt;=1,$L287&gt;=1,$L287&lt;=500,OR($N287="Tank",$N287="DPS",$N287="Support"),ISNUMBER($D287),ISNUMBER($E287),ISNUMBER($F287)),"有效","异常")</x:f>
        <x:v>有效</x:v>
      </x:c>
      <x:c r="AH287" t="n">
        <x:f>D287/(1-MIN(0.75,F287/(24000+F287)))</x:f>
        <x:v>1655440.8240000003</x:v>
      </x:c>
    </x:row>
    <x:row r="288" ht="14.25" customHeight="1">
      <x:c r="A288" s="4">
        <x:v>284</x:v>
      </x:c>
      <x:c r="B288" s="4">
        <x:v>1015</x:v>
      </x:c>
      <x:c r="C288" s="4">
        <x:v>38</x:v>
      </x:c>
      <x:c r="D288" s="5" t="n">
        <x:f>IFERROR(ROUND($U288*$X288*$AA288*'参数'!$B$13,0),"")</x:f>
        <x:v>1109520</x:v>
      </x:c>
      <x:c r="E288" s="5" t="n">
        <x:f>IFERROR(ROUND($V288*$Y288*$AB288*'参数'!$C$13,0),"")</x:f>
        <x:v>17781</x:v>
      </x:c>
      <x:c r="F288" s="5" t="n">
        <x:f>IFERROR(ROUND($W288*$Z288*$AC288*'参数'!$D$13,0),"")</x:f>
        <x:v>25951</x:v>
      </x:c>
      <x:c r="G288" s="4">
        <x:v>1364946</x:v>
      </x:c>
      <x:c r="H288" s="4">
        <x:v>19667</x:v>
      </x:c>
      <x:c r="I288" s="4">
        <x:v>20614</x:v>
      </x:c>
      <x:c r="J288" s="4">
        <x:v>57</x:v>
      </x:c>
      <x:c r="K288" s="4">
        <x:v>57</x:v>
      </x:c>
      <x:c r="L288" s="4" t="n">
        <x:f>IFERROR(INDEX('楼层配置'!$D$5:$D$104,MATCH($K288,'楼层配置'!$B$5:$B$104,0)),"")</x:f>
        <x:v>212</x:v>
      </x:c>
      <x:c r="M288" s="4" t="str">
        <x:f>IFERROR(INDEX('_角色基线'!$B$2:$B$100,MATCH($B288,'_角色基线'!$A$2:$A$100,0)),"")</x:f>
        <x:v>阿莱克西娅</x:v>
      </x:c>
      <x:c r="N288" s="4" t="str">
        <x:f>IFERROR(INDEX('_角色基线'!$C$2:$C$100,MATCH($B288,'_角色基线'!$A$2:$A$100,0)),"")</x:f>
        <x:v>Support</x:v>
      </x:c>
      <x:c r="O288" s="4" t="n">
        <x:f>IFERROR(INDEX('_怪物基线'!$B$2:$B$501,MATCH(INT($L288),'_怪物基线'!$A$2:$A$501,0)),"")</x:f>
        <x:v>192391</x:v>
      </x:c>
      <x:c r="P288" s="4" t="n">
        <x:f>IFERROR(INDEX('_怪物基线'!$C$2:$C$501,MATCH(INT($L288),'_怪物基线'!$A$2:$A$501,0)),"")</x:f>
        <x:v>21646</x:v>
      </x:c>
      <x:c r="Q288" s="4" t="n">
        <x:f>IFERROR(INDEX('_怪物基线'!$D$2:$D$501,MATCH(INT($L288),'_怪物基线'!$A$2:$A$501,0)),"")</x:f>
        <x:v>20761</x:v>
      </x:c>
      <x:c r="R288" s="4" t="n">
        <x:f>'参数'!$B$10</x:f>
        <x:v>4</x:v>
      </x:c>
      <x:c r="S288" s="4" t="n">
        <x:f>'参数'!$C$10</x:f>
        <x:v>1.2</x:v>
      </x:c>
      <x:c r="T288" s="4" t="n">
        <x:f>'参数'!$D$10</x:f>
        <x:v>1</x:v>
      </x:c>
      <x:c r="U288" s="4" t="n">
        <x:f t="shared" si="28">IF($O288="","",$O288*$R288)</x:f>
        <x:v>769564</x:v>
      </x:c>
      <x:c r="V288" s="4" t="n">
        <x:f t="shared" si="29">IF($P288="","",$P288*$S288)</x:f>
        <x:v>25975.2</x:v>
      </x:c>
      <x:c r="W288" s="4" t="n">
        <x:f t="shared" si="30">IF($Q288="","",$Q288*$T288)</x:f>
        <x:v>20761</x:v>
      </x:c>
      <x:c r="X288" s="4" t="n">
        <x:f>IFERROR(INDEX('参数'!$B$5:$B$7,MATCH($N288,'参数'!$A$5:$A$7,0)),"")</x:f>
        <x:v>1.25</x:v>
      </x:c>
      <x:c r="Y288" s="4" t="n">
        <x:f>IFERROR(INDEX('参数'!$C$5:$C$7,MATCH($N288,'参数'!$A$5:$A$7,0)),"")</x:f>
        <x:v>1</x:v>
      </x:c>
      <x:c r="Z288" s="4" t="n">
        <x:f>IFERROR(INDEX('参数'!$D$5:$D$7,MATCH($N288,'参数'!$A$5:$A$7,0)),"")</x:f>
        <x:v>1.25</x:v>
      </x:c>
      <x:c r="AA288" s="4" t="n">
        <x:f>IFERROR(INDEX('楼层配置'!$E$5:$E$104,MATCH($K288,'楼层配置'!$B$5:$B$104,0)),1)</x:f>
        <x:v>1.1534011210757094</x:v>
      </x:c>
      <x:c r="AB288" s="4" t="n">
        <x:f>IFERROR(INDEX('楼层配置'!$F$5:$F$104,MATCH($K288,'楼层配置'!$B$5:$B$104,0)),1)</x:f>
        <x:v>0.6845350539447649</x:v>
      </x:c>
      <x:c r="AC288" s="4" t="n">
        <x:f>IFERROR(INDEX('楼层配置'!$G$5:$G$104,MATCH($K288,'楼层配置'!$B$5:$B$104,0)),1)</x:f>
        <x:v>1</x:v>
      </x:c>
      <x:c r="AD288" s="6" t="n">
        <x:f t="shared" si="31">IFERROR($D288/$G288-1,"")</x:f>
        <x:v>-0.18713267777626363</x:v>
      </x:c>
      <x:c r="AE288" s="6" t="n">
        <x:f t="shared" si="32">IFERROR($E288/$H288-1,"")</x:f>
        <x:v>-0.09589667971729288</x:v>
      </x:c>
      <x:c r="AF288" s="6" t="n">
        <x:f t="shared" si="33">IFERROR($F288/$I288-1,"")</x:f>
        <x:v>0.2589017172795187</x:v>
      </x:c>
      <x:c r="AG288" s="4" t="str">
        <x:f t="shared" si="34">IF(AND($A288&gt;=1,$L288&gt;=1,$L288&lt;=500,OR($N288="Tank",$N288="DPS",$N288="Support"),ISNUMBER($D288),ISNUMBER($E288),ISNUMBER($F288)),"有效","异常")</x:f>
        <x:v>有效</x:v>
      </x:c>
      <x:c r="AH288" t="n">
        <x:f>D288/(1-MIN(0.75,F288/(24000+F288)))</x:f>
        <x:v>2309234.73</x:v>
      </x:c>
    </x:row>
    <x:row r="289" ht="14.25" customHeight="1">
      <x:c r="A289" s="4">
        <x:v>285</x:v>
      </x:c>
      <x:c r="B289" s="4">
        <x:v>1024</x:v>
      </x:c>
      <x:c r="C289" s="4">
        <x:v>38</x:v>
      </x:c>
      <x:c r="D289" s="5" t="n">
        <x:f>IFERROR(ROUND($U289*$X289*$AA289*'参数'!$B$13,0),"")</x:f>
        <x:v>887616</x:v>
      </x:c>
      <x:c r="E289" s="5" t="n">
        <x:f>IFERROR(ROUND($V289*$Y289*$AB289*'参数'!$C$13,0),"")</x:f>
        <x:v>21337</x:v>
      </x:c>
      <x:c r="F289" s="5" t="n">
        <x:f>IFERROR(ROUND($W289*$Z289*$AC289*'参数'!$D$13,0),"")</x:f>
        <x:v>20761</x:v>
      </x:c>
      <x:c r="G289" s="4">
        <x:v>1091956</x:v>
      </x:c>
      <x:c r="H289" s="4">
        <x:v>23600</x:v>
      </x:c>
      <x:c r="I289" s="4">
        <x:v>16491</x:v>
      </x:c>
      <x:c r="J289" s="4">
        <x:v>57</x:v>
      </x:c>
      <x:c r="K289" s="4">
        <x:v>57</x:v>
      </x:c>
      <x:c r="L289" s="4" t="n">
        <x:f>IFERROR(INDEX('楼层配置'!$D$5:$D$104,MATCH($K289,'楼层配置'!$B$5:$B$104,0)),"")</x:f>
        <x:v>212</x:v>
      </x:c>
      <x:c r="M289" s="4" t="str">
        <x:f>IFERROR(INDEX('_角色基线'!$B$2:$B$100,MATCH($B289,'_角色基线'!$A$2:$A$100,0)),"")</x:f>
        <x:v>卡薇</x:v>
      </x:c>
      <x:c r="N289" s="4" t="str">
        <x:f>IFERROR(INDEX('_角色基线'!$C$2:$C$100,MATCH($B289,'_角色基线'!$A$2:$A$100,0)),"")</x:f>
        <x:v>DPS</x:v>
      </x:c>
      <x:c r="O289" s="4" t="n">
        <x:f>IFERROR(INDEX('_怪物基线'!$B$2:$B$501,MATCH(INT($L289),'_怪物基线'!$A$2:$A$501,0)),"")</x:f>
        <x:v>192391</x:v>
      </x:c>
      <x:c r="P289" s="4" t="n">
        <x:f>IFERROR(INDEX('_怪物基线'!$C$2:$C$501,MATCH(INT($L289),'_怪物基线'!$A$2:$A$501,0)),"")</x:f>
        <x:v>21646</x:v>
      </x:c>
      <x:c r="Q289" s="4" t="n">
        <x:f>IFERROR(INDEX('_怪物基线'!$D$2:$D$501,MATCH(INT($L289),'_怪物基线'!$A$2:$A$501,0)),"")</x:f>
        <x:v>20761</x:v>
      </x:c>
      <x:c r="R289" s="4" t="n">
        <x:f>'参数'!$B$10</x:f>
        <x:v>4</x:v>
      </x:c>
      <x:c r="S289" s="4" t="n">
        <x:f>'参数'!$C$10</x:f>
        <x:v>1.2</x:v>
      </x:c>
      <x:c r="T289" s="4" t="n">
        <x:f>'参数'!$D$10</x:f>
        <x:v>1</x:v>
      </x:c>
      <x:c r="U289" s="4" t="n">
        <x:f t="shared" si="28">IF($O289="","",$O289*$R289)</x:f>
        <x:v>769564</x:v>
      </x:c>
      <x:c r="V289" s="4" t="n">
        <x:f t="shared" si="29">IF($P289="","",$P289*$S289)</x:f>
        <x:v>25975.2</x:v>
      </x:c>
      <x:c r="W289" s="4" t="n">
        <x:f t="shared" si="30">IF($Q289="","",$Q289*$T289)</x:f>
        <x:v>20761</x:v>
      </x:c>
      <x:c r="X289" s="4" t="n">
        <x:f>IFERROR(INDEX('参数'!$B$5:$B$7,MATCH($N289,'参数'!$A$5:$A$7,0)),"")</x:f>
        <x:v>1</x:v>
      </x:c>
      <x:c r="Y289" s="4" t="n">
        <x:f>IFERROR(INDEX('参数'!$C$5:$C$7,MATCH($N289,'参数'!$A$5:$A$7,0)),"")</x:f>
        <x:v>1.2</x:v>
      </x:c>
      <x:c r="Z289" s="4" t="n">
        <x:f>IFERROR(INDEX('参数'!$D$5:$D$7,MATCH($N289,'参数'!$A$5:$A$7,0)),"")</x:f>
        <x:v>1</x:v>
      </x:c>
      <x:c r="AA289" s="4" t="n">
        <x:f>IFERROR(INDEX('楼层配置'!$E$5:$E$104,MATCH($K289,'楼层配置'!$B$5:$B$104,0)),1)</x:f>
        <x:v>1.1534011210757094</x:v>
      </x:c>
      <x:c r="AB289" s="4" t="n">
        <x:f>IFERROR(INDEX('楼层配置'!$F$5:$F$104,MATCH($K289,'楼层配置'!$B$5:$B$104,0)),1)</x:f>
        <x:v>0.6845350539447649</x:v>
      </x:c>
      <x:c r="AC289" s="4" t="n">
        <x:f>IFERROR(INDEX('楼层配置'!$G$5:$G$104,MATCH($K289,'楼层配置'!$B$5:$B$104,0)),1)</x:f>
        <x:v>1</x:v>
      </x:c>
      <x:c r="AD289" s="6" t="n">
        <x:f t="shared" si="31">IFERROR($D289/$G289-1,"")</x:f>
        <x:v>-0.18713208224507216</x:v>
      </x:c>
      <x:c r="AE289" s="6" t="n">
        <x:f t="shared" si="32">IFERROR($E289/$H289-1,"")</x:f>
        <x:v>-0.09588983050847455</x:v>
      </x:c>
      <x:c r="AF289" s="6" t="n">
        <x:f t="shared" si="33">IFERROR($F289/$I289-1,"")</x:f>
        <x:v>0.2589291128494331</x:v>
      </x:c>
      <x:c r="AG289" s="4" t="str">
        <x:f t="shared" si="34">IF(AND($A289&gt;=1,$L289&gt;=1,$L289&lt;=500,OR($N289="Tank",$N289="DPS",$N289="Support"),ISNUMBER($D289),ISNUMBER($E289),ISNUMBER($F289)),"有效","异常")</x:f>
        <x:v>有效</x:v>
      </x:c>
      <x:c r="AH289" t="n">
        <x:f>D289/(1-MIN(0.75,F289/(24000+F289)))</x:f>
        <x:v>1655440.8240000003</x:v>
      </x:c>
    </x:row>
    <x:row r="290" ht="14.25" customHeight="1">
      <x:c r="A290" s="4">
        <x:v>286</x:v>
      </x:c>
      <x:c r="B290" s="4">
        <x:v>1030</x:v>
      </x:c>
      <x:c r="C290" s="4">
        <x:v>39</x:v>
      </x:c>
      <x:c r="D290" s="5" t="n">
        <x:f>IFERROR(ROUND($U290*$X290*$AA290*'参数'!$B$13,0),"")</x:f>
        <x:v>1373510</x:v>
      </x:c>
      <x:c r="E290" s="5" t="n">
        <x:f>IFERROR(ROUND($V290*$Y290*$AB290*'参数'!$C$13,0),"")</x:f>
        <x:v>18212</x:v>
      </x:c>
      <x:c r="F290" s="5" t="n">
        <x:f>IFERROR(ROUND($W290*$Z290*$AC290*'参数'!$D$13,0),"")</x:f>
        <x:v>31509</x:v>
      </x:c>
      <x:c r="G290" s="4">
        <x:v>1706731</x:v>
      </x:c>
      <x:c r="H290" s="4">
        <x:v>20236</x:v>
      </x:c>
      <x:c r="I290" s="4">
        <x:v>25275</x:v>
      </x:c>
      <x:c r="J290" s="4">
        <x:v>58</x:v>
      </x:c>
      <x:c r="K290" s="4">
        <x:v>58</x:v>
      </x:c>
      <x:c r="L290" s="4" t="n">
        <x:f>IFERROR(INDEX('楼层配置'!$D$5:$D$104,MATCH($K290,'楼层配置'!$B$5:$B$104,0)),"")</x:f>
        <x:v>214</x:v>
      </x:c>
      <x:c r="M290" s="4" t="str">
        <x:f>IFERROR(INDEX('_角色基线'!$B$2:$B$100,MATCH($B290,'_角色基线'!$A$2:$A$100,0)),"")</x:f>
        <x:v>莫莉</x:v>
      </x:c>
      <x:c r="N290" s="4" t="str">
        <x:f>IFERROR(INDEX('_角色基线'!$C$2:$C$100,MATCH($B290,'_角色基线'!$A$2:$A$100,0)),"")</x:f>
        <x:v>Tank</x:v>
      </x:c>
      <x:c r="O290" s="4" t="n">
        <x:f>IFERROR(INDEX('_怪物基线'!$B$2:$B$501,MATCH(INT($L290),'_怪物基线'!$A$2:$A$501,0)),"")</x:f>
        <x:v>196934</x:v>
      </x:c>
      <x:c r="P290" s="4" t="n">
        <x:f>IFERROR(INDEX('_怪物基线'!$C$2:$C$501,MATCH(INT($L290),'_怪物基线'!$A$2:$A$501,0)),"")</x:f>
        <x:v>22017</x:v>
      </x:c>
      <x:c r="Q290" s="4" t="n">
        <x:f>IFERROR(INDEX('_怪物基线'!$D$2:$D$501,MATCH(INT($L290),'_怪物基线'!$A$2:$A$501,0)),"")</x:f>
        <x:v>21006</x:v>
      </x:c>
      <x:c r="R290" s="4" t="n">
        <x:f>'参数'!$B$10</x:f>
        <x:v>4</x:v>
      </x:c>
      <x:c r="S290" s="4" t="n">
        <x:f>'参数'!$C$10</x:f>
        <x:v>1.2</x:v>
      </x:c>
      <x:c r="T290" s="4" t="n">
        <x:f>'参数'!$D$10</x:f>
        <x:v>1</x:v>
      </x:c>
      <x:c r="U290" s="4" t="n">
        <x:f t="shared" si="28">IF($O290="","",$O290*$R290)</x:f>
        <x:v>787736</x:v>
      </x:c>
      <x:c r="V290" s="4" t="n">
        <x:f t="shared" si="29">IF($P290="","",$P290*$S290)</x:f>
        <x:v>26420.399999999998</x:v>
      </x:c>
      <x:c r="W290" s="4" t="n">
        <x:f t="shared" si="30">IF($Q290="","",$Q290*$T290)</x:f>
        <x:v>21006</x:v>
      </x:c>
      <x:c r="X290" s="4" t="n">
        <x:f>IFERROR(INDEX('参数'!$B$5:$B$7,MATCH($N290,'参数'!$A$5:$A$7,0)),"")</x:f>
        <x:v>1.5</x:v>
      </x:c>
      <x:c r="Y290" s="4" t="n">
        <x:f>IFERROR(INDEX('参数'!$C$5:$C$7,MATCH($N290,'参数'!$A$5:$A$7,0)),"")</x:f>
        <x:v>1</x:v>
      </x:c>
      <x:c r="Z290" s="4" t="n">
        <x:f>IFERROR(INDEX('参数'!$D$5:$D$7,MATCH($N290,'参数'!$A$5:$A$7,0)),"")</x:f>
        <x:v>1.5</x:v>
      </x:c>
      <x:c r="AA290" s="4" t="n">
        <x:f>IFERROR(INDEX('楼层配置'!$E$5:$E$104,MATCH($K290,'楼层配置'!$B$5:$B$104,0)),1)</x:f>
        <x:v>1.1624116143669723</x:v>
      </x:c>
      <x:c r="AB290" s="4" t="n">
        <x:f>IFERROR(INDEX('楼层配置'!$F$5:$F$104,MATCH($K290,'楼层配置'!$B$5:$B$104,0)),1)</x:f>
        <x:v>0.6893123595036935</x:v>
      </x:c>
      <x:c r="AC290" s="4" t="n">
        <x:f>IFERROR(INDEX('楼层配置'!$G$5:$G$104,MATCH($K290,'楼层配置'!$B$5:$B$104,0)),1)</x:f>
        <x:v>1</x:v>
      </x:c>
      <x:c r="AD290" s="6" t="n">
        <x:f t="shared" si="31">IFERROR($D290/$G290-1,"")</x:f>
        <x:v>-0.1952393200803173</x:v>
      </x:c>
      <x:c r="AE290" s="6" t="n">
        <x:f t="shared" si="32">IFERROR($E290/$H290-1,"")</x:f>
        <x:v>-0.1000197667523226</x:v>
      </x:c>
      <x:c r="AF290" s="6" t="n">
        <x:f t="shared" si="33">IFERROR($F290/$I290-1,"")</x:f>
        <x:v>0.24664688427299697</x:v>
      </x:c>
      <x:c r="AG290" s="4" t="str">
        <x:f t="shared" si="34">IF(AND($A290&gt;=1,$L290&gt;=1,$L290&lt;=500,OR($N290="Tank",$N290="DPS",$N290="Support"),ISNUMBER($D290),ISNUMBER($E290),ISNUMBER($F290)),"有效","异常")</x:f>
        <x:v>有效</x:v>
      </x:c>
      <x:c r="AH290" t="n">
        <x:f>D290/(1-MIN(0.75,F290/(24000+F290)))</x:f>
        <x:v>3176756.94125</x:v>
      </x:c>
    </x:row>
    <x:row r="291" ht="14.25" customHeight="1">
      <x:c r="A291" s="4">
        <x:v>287</x:v>
      </x:c>
      <x:c r="B291" s="4">
        <x:v>1015</x:v>
      </x:c>
      <x:c r="C291" s="4">
        <x:v>39</x:v>
      </x:c>
      <x:c r="D291" s="5" t="n">
        <x:f>IFERROR(ROUND($U291*$X291*$AA291*'参数'!$B$13,0),"")</x:f>
        <x:v>1144592</x:v>
      </x:c>
      <x:c r="E291" s="5" t="n">
        <x:f>IFERROR(ROUND($V291*$Y291*$AB291*'参数'!$C$13,0),"")</x:f>
        <x:v>18212</x:v>
      </x:c>
      <x:c r="F291" s="5" t="n">
        <x:f>IFERROR(ROUND($W291*$Z291*$AC291*'参数'!$D$13,0),"")</x:f>
        <x:v>26258</x:v>
      </x:c>
      <x:c r="G291" s="4">
        <x:v>1422276</x:v>
      </x:c>
      <x:c r="H291" s="4">
        <x:v>20236</x:v>
      </x:c>
      <x:c r="I291" s="4">
        <x:v>21063</x:v>
      </x:c>
      <x:c r="J291" s="4">
        <x:v>58</x:v>
      </x:c>
      <x:c r="K291" s="4">
        <x:v>58</x:v>
      </x:c>
      <x:c r="L291" s="4" t="n">
        <x:f>IFERROR(INDEX('楼层配置'!$D$5:$D$104,MATCH($K291,'楼层配置'!$B$5:$B$104,0)),"")</x:f>
        <x:v>214</x:v>
      </x:c>
      <x:c r="M291" s="4" t="str">
        <x:f>IFERROR(INDEX('_角色基线'!$B$2:$B$100,MATCH($B291,'_角色基线'!$A$2:$A$100,0)),"")</x:f>
        <x:v>阿莱克西娅</x:v>
      </x:c>
      <x:c r="N291" s="4" t="str">
        <x:f>IFERROR(INDEX('_角色基线'!$C$2:$C$100,MATCH($B291,'_角色基线'!$A$2:$A$100,0)),"")</x:f>
        <x:v>Support</x:v>
      </x:c>
      <x:c r="O291" s="4" t="n">
        <x:f>IFERROR(INDEX('_怪物基线'!$B$2:$B$501,MATCH(INT($L291),'_怪物基线'!$A$2:$A$501,0)),"")</x:f>
        <x:v>196934</x:v>
      </x:c>
      <x:c r="P291" s="4" t="n">
        <x:f>IFERROR(INDEX('_怪物基线'!$C$2:$C$501,MATCH(INT($L291),'_怪物基线'!$A$2:$A$501,0)),"")</x:f>
        <x:v>22017</x:v>
      </x:c>
      <x:c r="Q291" s="4" t="n">
        <x:f>IFERROR(INDEX('_怪物基线'!$D$2:$D$501,MATCH(INT($L291),'_怪物基线'!$A$2:$A$501,0)),"")</x:f>
        <x:v>21006</x:v>
      </x:c>
      <x:c r="R291" s="4" t="n">
        <x:f>'参数'!$B$10</x:f>
        <x:v>4</x:v>
      </x:c>
      <x:c r="S291" s="4" t="n">
        <x:f>'参数'!$C$10</x:f>
        <x:v>1.2</x:v>
      </x:c>
      <x:c r="T291" s="4" t="n">
        <x:f>'参数'!$D$10</x:f>
        <x:v>1</x:v>
      </x:c>
      <x:c r="U291" s="4" t="n">
        <x:f t="shared" si="28">IF($O291="","",$O291*$R291)</x:f>
        <x:v>787736</x:v>
      </x:c>
      <x:c r="V291" s="4" t="n">
        <x:f t="shared" si="29">IF($P291="","",$P291*$S291)</x:f>
        <x:v>26420.399999999998</x:v>
      </x:c>
      <x:c r="W291" s="4" t="n">
        <x:f t="shared" si="30">IF($Q291="","",$Q291*$T291)</x:f>
        <x:v>21006</x:v>
      </x:c>
      <x:c r="X291" s="4" t="n">
        <x:f>IFERROR(INDEX('参数'!$B$5:$B$7,MATCH($N291,'参数'!$A$5:$A$7,0)),"")</x:f>
        <x:v>1.25</x:v>
      </x:c>
      <x:c r="Y291" s="4" t="n">
        <x:f>IFERROR(INDEX('参数'!$C$5:$C$7,MATCH($N291,'参数'!$A$5:$A$7,0)),"")</x:f>
        <x:v>1</x:v>
      </x:c>
      <x:c r="Z291" s="4" t="n">
        <x:f>IFERROR(INDEX('参数'!$D$5:$D$7,MATCH($N291,'参数'!$A$5:$A$7,0)),"")</x:f>
        <x:v>1.25</x:v>
      </x:c>
      <x:c r="AA291" s="4" t="n">
        <x:f>IFERROR(INDEX('楼层配置'!$E$5:$E$104,MATCH($K291,'楼层配置'!$B$5:$B$104,0)),1)</x:f>
        <x:v>1.1624116143669723</x:v>
      </x:c>
      <x:c r="AB291" s="4" t="n">
        <x:f>IFERROR(INDEX('楼层配置'!$F$5:$F$104,MATCH($K291,'楼层配置'!$B$5:$B$104,0)),1)</x:f>
        <x:v>0.6893123595036935</x:v>
      </x:c>
      <x:c r="AC291" s="4" t="n">
        <x:f>IFERROR(INDEX('楼层配置'!$G$5:$G$104,MATCH($K291,'楼层配置'!$B$5:$B$104,0)),1)</x:f>
        <x:v>1</x:v>
      </x:c>
      <x:c r="AD291" s="6" t="n">
        <x:f t="shared" si="31">IFERROR($D291/$G291-1,"")</x:f>
        <x:v>-0.1952391800185056</x:v>
      </x:c>
      <x:c r="AE291" s="6" t="n">
        <x:f t="shared" si="32">IFERROR($E291/$H291-1,"")</x:f>
        <x:v>-0.1000197667523226</x:v>
      </x:c>
      <x:c r="AF291" s="6" t="n">
        <x:f t="shared" si="33">IFERROR($F291/$I291-1,"")</x:f>
        <x:v>0.2466410292930732</x:v>
      </x:c>
      <x:c r="AG291" s="4" t="str">
        <x:f t="shared" si="34">IF(AND($A291&gt;=1,$L291&gt;=1,$L291&lt;=500,OR($N291="Tank",$N291="DPS",$N291="Support"),ISNUMBER($D291),ISNUMBER($E291),ISNUMBER($F291)),"有效","异常")</x:f>
        <x:v>有效</x:v>
      </x:c>
      <x:c r="AH291" t="n">
        <x:f>D291/(1-MIN(0.75,F291/(24000+F291)))</x:f>
        <x:v>2396871.0306666666</x:v>
      </x:c>
    </x:row>
    <x:row r="292" ht="14.25" customHeight="1">
      <x:c r="A292" s="4">
        <x:v>288</x:v>
      </x:c>
      <x:c r="B292" s="4">
        <x:v>1021</x:v>
      </x:c>
      <x:c r="C292" s="4">
        <x:v>39</x:v>
      </x:c>
      <x:c r="D292" s="5" t="n">
        <x:f>IFERROR(ROUND($U292*$X292*$AA292*'参数'!$B$13,0),"")</x:f>
        <x:v>915673</x:v>
      </x:c>
      <x:c r="E292" s="5" t="n">
        <x:f>IFERROR(ROUND($V292*$Y292*$AB292*'参数'!$C$13,0),"")</x:f>
        <x:v>21854</x:v>
      </x:c>
      <x:c r="F292" s="5" t="n">
        <x:f>IFERROR(ROUND($W292*$Z292*$AC292*'参数'!$D$13,0),"")</x:f>
        <x:v>21006</x:v>
      </x:c>
      <x:c r="G292" s="4">
        <x:v>1137820</x:v>
      </x:c>
      <x:c r="H292" s="4">
        <x:v>24283</x:v>
      </x:c>
      <x:c r="I292" s="4">
        <x:v>16850</x:v>
      </x:c>
      <x:c r="J292" s="4">
        <x:v>58</x:v>
      </x:c>
      <x:c r="K292" s="4">
        <x:v>58</x:v>
      </x:c>
      <x:c r="L292" s="4" t="n">
        <x:f>IFERROR(INDEX('楼层配置'!$D$5:$D$104,MATCH($K292,'楼层配置'!$B$5:$B$104,0)),"")</x:f>
        <x:v>214</x:v>
      </x:c>
      <x:c r="M292" s="4" t="str">
        <x:f>IFERROR(INDEX('_角色基线'!$B$2:$B$100,MATCH($B292,'_角色基线'!$A$2:$A$100,0)),"")</x:f>
        <x:v>梅梅</x:v>
      </x:c>
      <x:c r="N292" s="4" t="str">
        <x:f>IFERROR(INDEX('_角色基线'!$C$2:$C$100,MATCH($B292,'_角色基线'!$A$2:$A$100,0)),"")</x:f>
        <x:v>DPS</x:v>
      </x:c>
      <x:c r="O292" s="4" t="n">
        <x:f>IFERROR(INDEX('_怪物基线'!$B$2:$B$501,MATCH(INT($L292),'_怪物基线'!$A$2:$A$501,0)),"")</x:f>
        <x:v>196934</x:v>
      </x:c>
      <x:c r="P292" s="4" t="n">
        <x:f>IFERROR(INDEX('_怪物基线'!$C$2:$C$501,MATCH(INT($L292),'_怪物基线'!$A$2:$A$501,0)),"")</x:f>
        <x:v>22017</x:v>
      </x:c>
      <x:c r="Q292" s="4" t="n">
        <x:f>IFERROR(INDEX('_怪物基线'!$D$2:$D$501,MATCH(INT($L292),'_怪物基线'!$A$2:$A$501,0)),"")</x:f>
        <x:v>21006</x:v>
      </x:c>
      <x:c r="R292" s="4" t="n">
        <x:f>'参数'!$B$10</x:f>
        <x:v>4</x:v>
      </x:c>
      <x:c r="S292" s="4" t="n">
        <x:f>'参数'!$C$10</x:f>
        <x:v>1.2</x:v>
      </x:c>
      <x:c r="T292" s="4" t="n">
        <x:f>'参数'!$D$10</x:f>
        <x:v>1</x:v>
      </x:c>
      <x:c r="U292" s="4" t="n">
        <x:f t="shared" si="28">IF($O292="","",$O292*$R292)</x:f>
        <x:v>787736</x:v>
      </x:c>
      <x:c r="V292" s="4" t="n">
        <x:f t="shared" si="29">IF($P292="","",$P292*$S292)</x:f>
        <x:v>26420.399999999998</x:v>
      </x:c>
      <x:c r="W292" s="4" t="n">
        <x:f t="shared" si="30">IF($Q292="","",$Q292*$T292)</x:f>
        <x:v>21006</x:v>
      </x:c>
      <x:c r="X292" s="4" t="n">
        <x:f>IFERROR(INDEX('参数'!$B$5:$B$7,MATCH($N292,'参数'!$A$5:$A$7,0)),"")</x:f>
        <x:v>1</x:v>
      </x:c>
      <x:c r="Y292" s="4" t="n">
        <x:f>IFERROR(INDEX('参数'!$C$5:$C$7,MATCH($N292,'参数'!$A$5:$A$7,0)),"")</x:f>
        <x:v>1.2</x:v>
      </x:c>
      <x:c r="Z292" s="4" t="n">
        <x:f>IFERROR(INDEX('参数'!$D$5:$D$7,MATCH($N292,'参数'!$A$5:$A$7,0)),"")</x:f>
        <x:v>1</x:v>
      </x:c>
      <x:c r="AA292" s="4" t="n">
        <x:f>IFERROR(INDEX('楼层配置'!$E$5:$E$104,MATCH($K292,'楼层配置'!$B$5:$B$104,0)),1)</x:f>
        <x:v>1.1624116143669723</x:v>
      </x:c>
      <x:c r="AB292" s="4" t="n">
        <x:f>IFERROR(INDEX('楼层配置'!$F$5:$F$104,MATCH($K292,'楼层配置'!$B$5:$B$104,0)),1)</x:f>
        <x:v>0.6893123595036935</x:v>
      </x:c>
      <x:c r="AC292" s="4" t="n">
        <x:f>IFERROR(INDEX('楼层配置'!$G$5:$G$104,MATCH($K292,'楼层配置'!$B$5:$B$104,0)),1)</x:f>
        <x:v>1</x:v>
      </x:c>
      <x:c r="AD292" s="6" t="n">
        <x:f t="shared" si="31">IFERROR($D292/$G292-1,"")</x:f>
        <x:v>-0.19523914151623278</x:v>
      </x:c>
      <x:c r="AE292" s="6" t="n">
        <x:f t="shared" si="32">IFERROR($E292/$H292-1,"")</x:f>
        <x:v>-0.10002882675122515</x:v>
      </x:c>
      <x:c r="AF292" s="6" t="n">
        <x:f t="shared" si="33">IFERROR($F292/$I292-1,"")</x:f>
        <x:v>0.24664688427299697</x:v>
      </x:c>
      <x:c r="AG292" s="4" t="str">
        <x:f t="shared" si="34">IF(AND($A292&gt;=1,$L292&gt;=1,$L292&lt;=500,OR($N292="Tank",$N292="DPS",$N292="Support"),ISNUMBER($D292),ISNUMBER($E292),ISNUMBER($F292)),"有效","异常")</x:f>
        <x:v>有效</x:v>
      </x:c>
      <x:c r="AH292" t="n">
        <x:f>D292/(1-MIN(0.75,F292/(24000+F292)))</x:f>
        <x:v>1717115.7932499999</x:v>
      </x:c>
    </x:row>
    <x:row r="293" ht="14.25" customHeight="1">
      <x:c r="A293" s="4">
        <x:v>289</x:v>
      </x:c>
      <x:c r="B293" s="4">
        <x:v>1021</x:v>
      </x:c>
      <x:c r="C293" s="4">
        <x:v>39</x:v>
      </x:c>
      <x:c r="D293" s="5" t="n">
        <x:f>IFERROR(ROUND($U293*$X293*$AA293*'参数'!$B$13,0),"")</x:f>
        <x:v>915673</x:v>
      </x:c>
      <x:c r="E293" s="5" t="n">
        <x:f>IFERROR(ROUND($V293*$Y293*$AB293*'参数'!$C$13,0),"")</x:f>
        <x:v>21854</x:v>
      </x:c>
      <x:c r="F293" s="5" t="n">
        <x:f>IFERROR(ROUND($W293*$Z293*$AC293*'参数'!$D$13,0),"")</x:f>
        <x:v>21006</x:v>
      </x:c>
      <x:c r="G293" s="4">
        <x:v>1137820</x:v>
      </x:c>
      <x:c r="H293" s="4">
        <x:v>24283</x:v>
      </x:c>
      <x:c r="I293" s="4">
        <x:v>16850</x:v>
      </x:c>
      <x:c r="J293" s="4">
        <x:v>58</x:v>
      </x:c>
      <x:c r="K293" s="4">
        <x:v>58</x:v>
      </x:c>
      <x:c r="L293" s="4" t="n">
        <x:f>IFERROR(INDEX('楼层配置'!$D$5:$D$104,MATCH($K293,'楼层配置'!$B$5:$B$104,0)),"")</x:f>
        <x:v>214</x:v>
      </x:c>
      <x:c r="M293" s="4" t="str">
        <x:f>IFERROR(INDEX('_角色基线'!$B$2:$B$100,MATCH($B293,'_角色基线'!$A$2:$A$100,0)),"")</x:f>
        <x:v>梅梅</x:v>
      </x:c>
      <x:c r="N293" s="4" t="str">
        <x:f>IFERROR(INDEX('_角色基线'!$C$2:$C$100,MATCH($B293,'_角色基线'!$A$2:$A$100,0)),"")</x:f>
        <x:v>DPS</x:v>
      </x:c>
      <x:c r="O293" s="4" t="n">
        <x:f>IFERROR(INDEX('_怪物基线'!$B$2:$B$501,MATCH(INT($L293),'_怪物基线'!$A$2:$A$501,0)),"")</x:f>
        <x:v>196934</x:v>
      </x:c>
      <x:c r="P293" s="4" t="n">
        <x:f>IFERROR(INDEX('_怪物基线'!$C$2:$C$501,MATCH(INT($L293),'_怪物基线'!$A$2:$A$501,0)),"")</x:f>
        <x:v>22017</x:v>
      </x:c>
      <x:c r="Q293" s="4" t="n">
        <x:f>IFERROR(INDEX('_怪物基线'!$D$2:$D$501,MATCH(INT($L293),'_怪物基线'!$A$2:$A$501,0)),"")</x:f>
        <x:v>21006</x:v>
      </x:c>
      <x:c r="R293" s="4" t="n">
        <x:f>'参数'!$B$10</x:f>
        <x:v>4</x:v>
      </x:c>
      <x:c r="S293" s="4" t="n">
        <x:f>'参数'!$C$10</x:f>
        <x:v>1.2</x:v>
      </x:c>
      <x:c r="T293" s="4" t="n">
        <x:f>'参数'!$D$10</x:f>
        <x:v>1</x:v>
      </x:c>
      <x:c r="U293" s="4" t="n">
        <x:f t="shared" si="28">IF($O293="","",$O293*$R293)</x:f>
        <x:v>787736</x:v>
      </x:c>
      <x:c r="V293" s="4" t="n">
        <x:f t="shared" si="29">IF($P293="","",$P293*$S293)</x:f>
        <x:v>26420.399999999998</x:v>
      </x:c>
      <x:c r="W293" s="4" t="n">
        <x:f t="shared" si="30">IF($Q293="","",$Q293*$T293)</x:f>
        <x:v>21006</x:v>
      </x:c>
      <x:c r="X293" s="4" t="n">
        <x:f>IFERROR(INDEX('参数'!$B$5:$B$7,MATCH($N293,'参数'!$A$5:$A$7,0)),"")</x:f>
        <x:v>1</x:v>
      </x:c>
      <x:c r="Y293" s="4" t="n">
        <x:f>IFERROR(INDEX('参数'!$C$5:$C$7,MATCH($N293,'参数'!$A$5:$A$7,0)),"")</x:f>
        <x:v>1.2</x:v>
      </x:c>
      <x:c r="Z293" s="4" t="n">
        <x:f>IFERROR(INDEX('参数'!$D$5:$D$7,MATCH($N293,'参数'!$A$5:$A$7,0)),"")</x:f>
        <x:v>1</x:v>
      </x:c>
      <x:c r="AA293" s="4" t="n">
        <x:f>IFERROR(INDEX('楼层配置'!$E$5:$E$104,MATCH($K293,'楼层配置'!$B$5:$B$104,0)),1)</x:f>
        <x:v>1.1624116143669723</x:v>
      </x:c>
      <x:c r="AB293" s="4" t="n">
        <x:f>IFERROR(INDEX('楼层配置'!$F$5:$F$104,MATCH($K293,'楼层配置'!$B$5:$B$104,0)),1)</x:f>
        <x:v>0.6893123595036935</x:v>
      </x:c>
      <x:c r="AC293" s="4" t="n">
        <x:f>IFERROR(INDEX('楼层配置'!$G$5:$G$104,MATCH($K293,'楼层配置'!$B$5:$B$104,0)),1)</x:f>
        <x:v>1</x:v>
      </x:c>
      <x:c r="AD293" s="6" t="n">
        <x:f t="shared" si="31">IFERROR($D293/$G293-1,"")</x:f>
        <x:v>-0.19523914151623278</x:v>
      </x:c>
      <x:c r="AE293" s="6" t="n">
        <x:f t="shared" si="32">IFERROR($E293/$H293-1,"")</x:f>
        <x:v>-0.10002882675122515</x:v>
      </x:c>
      <x:c r="AF293" s="6" t="n">
        <x:f t="shared" si="33">IFERROR($F293/$I293-1,"")</x:f>
        <x:v>0.24664688427299697</x:v>
      </x:c>
      <x:c r="AG293" s="4" t="str">
        <x:f t="shared" si="34">IF(AND($A293&gt;=1,$L293&gt;=1,$L293&lt;=500,OR($N293="Tank",$N293="DPS",$N293="Support"),ISNUMBER($D293),ISNUMBER($E293),ISNUMBER($F293)),"有效","异常")</x:f>
        <x:v>有效</x:v>
      </x:c>
      <x:c r="AH293" t="n">
        <x:f>D293/(1-MIN(0.75,F293/(24000+F293)))</x:f>
        <x:v>1717115.7932499999</x:v>
      </x:c>
    </x:row>
    <x:row r="294" ht="14.25" customHeight="1">
      <x:c r="A294" s="4">
        <x:v>290</x:v>
      </x:c>
      <x:c r="B294" s="4">
        <x:v>1001</x:v>
      </x:c>
      <x:c r="C294" s="4">
        <x:v>39</x:v>
      </x:c>
      <x:c r="D294" s="5" t="n">
        <x:f>IFERROR(ROUND($U294*$X294*$AA294*'参数'!$B$13,0),"")</x:f>
        <x:v>915673</x:v>
      </x:c>
      <x:c r="E294" s="5" t="n">
        <x:f>IFERROR(ROUND($V294*$Y294*$AB294*'参数'!$C$13,0),"")</x:f>
        <x:v>21854</x:v>
      </x:c>
      <x:c r="F294" s="5" t="n">
        <x:f>IFERROR(ROUND($W294*$Z294*$AC294*'参数'!$D$13,0),"")</x:f>
        <x:v>21006</x:v>
      </x:c>
      <x:c r="G294" s="4">
        <x:v>1137820</x:v>
      </x:c>
      <x:c r="H294" s="4">
        <x:v>24283</x:v>
      </x:c>
      <x:c r="I294" s="4">
        <x:v>16850</x:v>
      </x:c>
      <x:c r="J294" s="4">
        <x:v>58</x:v>
      </x:c>
      <x:c r="K294" s="4">
        <x:v>58</x:v>
      </x:c>
      <x:c r="L294" s="4" t="n">
        <x:f>IFERROR(INDEX('楼层配置'!$D$5:$D$104,MATCH($K294,'楼层配置'!$B$5:$B$104,0)),"")</x:f>
        <x:v>214</x:v>
      </x:c>
      <x:c r="M294" s="4" t="str">
        <x:f>IFERROR(INDEX('_角色基线'!$B$2:$B$100,MATCH($B294,'_角色基线'!$A$2:$A$100,0)),"")</x:f>
        <x:v>星海</x:v>
      </x:c>
      <x:c r="N294" s="4" t="str">
        <x:f>IFERROR(INDEX('_角色基线'!$C$2:$C$100,MATCH($B294,'_角色基线'!$A$2:$A$100,0)),"")</x:f>
        <x:v>DPS</x:v>
      </x:c>
      <x:c r="O294" s="4" t="n">
        <x:f>IFERROR(INDEX('_怪物基线'!$B$2:$B$501,MATCH(INT($L294),'_怪物基线'!$A$2:$A$501,0)),"")</x:f>
        <x:v>196934</x:v>
      </x:c>
      <x:c r="P294" s="4" t="n">
        <x:f>IFERROR(INDEX('_怪物基线'!$C$2:$C$501,MATCH(INT($L294),'_怪物基线'!$A$2:$A$501,0)),"")</x:f>
        <x:v>22017</x:v>
      </x:c>
      <x:c r="Q294" s="4" t="n">
        <x:f>IFERROR(INDEX('_怪物基线'!$D$2:$D$501,MATCH(INT($L294),'_怪物基线'!$A$2:$A$501,0)),"")</x:f>
        <x:v>21006</x:v>
      </x:c>
      <x:c r="R294" s="4" t="n">
        <x:f>'参数'!$B$10</x:f>
        <x:v>4</x:v>
      </x:c>
      <x:c r="S294" s="4" t="n">
        <x:f>'参数'!$C$10</x:f>
        <x:v>1.2</x:v>
      </x:c>
      <x:c r="T294" s="4" t="n">
        <x:f>'参数'!$D$10</x:f>
        <x:v>1</x:v>
      </x:c>
      <x:c r="U294" s="4" t="n">
        <x:f t="shared" si="28">IF($O294="","",$O294*$R294)</x:f>
        <x:v>787736</x:v>
      </x:c>
      <x:c r="V294" s="4" t="n">
        <x:f t="shared" si="29">IF($P294="","",$P294*$S294)</x:f>
        <x:v>26420.399999999998</x:v>
      </x:c>
      <x:c r="W294" s="4" t="n">
        <x:f t="shared" si="30">IF($Q294="","",$Q294*$T294)</x:f>
        <x:v>21006</x:v>
      </x:c>
      <x:c r="X294" s="4" t="n">
        <x:f>IFERROR(INDEX('参数'!$B$5:$B$7,MATCH($N294,'参数'!$A$5:$A$7,0)),"")</x:f>
        <x:v>1</x:v>
      </x:c>
      <x:c r="Y294" s="4" t="n">
        <x:f>IFERROR(INDEX('参数'!$C$5:$C$7,MATCH($N294,'参数'!$A$5:$A$7,0)),"")</x:f>
        <x:v>1.2</x:v>
      </x:c>
      <x:c r="Z294" s="4" t="n">
        <x:f>IFERROR(INDEX('参数'!$D$5:$D$7,MATCH($N294,'参数'!$A$5:$A$7,0)),"")</x:f>
        <x:v>1</x:v>
      </x:c>
      <x:c r="AA294" s="4" t="n">
        <x:f>IFERROR(INDEX('楼层配置'!$E$5:$E$104,MATCH($K294,'楼层配置'!$B$5:$B$104,0)),1)</x:f>
        <x:v>1.1624116143669723</x:v>
      </x:c>
      <x:c r="AB294" s="4" t="n">
        <x:f>IFERROR(INDEX('楼层配置'!$F$5:$F$104,MATCH($K294,'楼层配置'!$B$5:$B$104,0)),1)</x:f>
        <x:v>0.6893123595036935</x:v>
      </x:c>
      <x:c r="AC294" s="4" t="n">
        <x:f>IFERROR(INDEX('楼层配置'!$G$5:$G$104,MATCH($K294,'楼层配置'!$B$5:$B$104,0)),1)</x:f>
        <x:v>1</x:v>
      </x:c>
      <x:c r="AD294" s="6" t="n">
        <x:f t="shared" si="31">IFERROR($D294/$G294-1,"")</x:f>
        <x:v>-0.19523914151623278</x:v>
      </x:c>
      <x:c r="AE294" s="6" t="n">
        <x:f t="shared" si="32">IFERROR($E294/$H294-1,"")</x:f>
        <x:v>-0.10002882675122515</x:v>
      </x:c>
      <x:c r="AF294" s="6" t="n">
        <x:f t="shared" si="33">IFERROR($F294/$I294-1,"")</x:f>
        <x:v>0.24664688427299697</x:v>
      </x:c>
      <x:c r="AG294" s="4" t="str">
        <x:f t="shared" si="34">IF(AND($A294&gt;=1,$L294&gt;=1,$L294&lt;=500,OR($N294="Tank",$N294="DPS",$N294="Support"),ISNUMBER($D294),ISNUMBER($E294),ISNUMBER($F294)),"有效","异常")</x:f>
        <x:v>有效</x:v>
      </x:c>
      <x:c r="AH294" t="n">
        <x:f>D294/(1-MIN(0.75,F294/(24000+F294)))</x:f>
        <x:v>1717115.7932499999</x:v>
      </x:c>
    </x:row>
    <x:row r="295" ht="14.25" customHeight="1">
      <x:c r="A295" s="4">
        <x:v>291</x:v>
      </x:c>
      <x:c r="B295" s="4">
        <x:v>1030</x:v>
      </x:c>
      <x:c r="C295" s="4">
        <x:v>39</x:v>
      </x:c>
      <x:c r="D295" s="5" t="n">
        <x:f>IFERROR(ROUND($U295*$X295*$AA295*'参数'!$B$13,0),"")</x:f>
        <x:v>1411674</x:v>
      </x:c>
      <x:c r="E295" s="5" t="n">
        <x:f>IFERROR(ROUND($V295*$Y295*$AB295*'参数'!$C$13,0),"")</x:f>
        <x:v>18620</x:v>
      </x:c>
      <x:c r="F295" s="5" t="n">
        <x:f>IFERROR(ROUND($W295*$Z295*$AC295*'参数'!$D$13,0),"")</x:f>
        <x:v>32061</x:v>
      </x:c>
      <x:c r="G295" s="4">
        <x:v>1777586</x:v>
      </x:c>
      <x:c r="H295" s="4">
        <x:v>20816</x:v>
      </x:c>
      <x:c r="I295" s="4">
        <x:v>25818</x:v>
      </x:c>
      <x:c r="J295" s="4">
        <x:v>59</x:v>
      </x:c>
      <x:c r="K295" s="4">
        <x:v>59</x:v>
      </x:c>
      <x:c r="L295" s="4" t="n">
        <x:f>IFERROR(INDEX('楼层配置'!$D$5:$D$104,MATCH($K295,'楼层配置'!$B$5:$B$104,0)),"")</x:f>
        <x:v>217</x:v>
      </x:c>
      <x:c r="M295" s="4" t="str">
        <x:f>IFERROR(INDEX('_角色基线'!$B$2:$B$100,MATCH($B295,'_角色基线'!$A$2:$A$100,0)),"")</x:f>
        <x:v>莫莉</x:v>
      </x:c>
      <x:c r="N295" s="4" t="str">
        <x:f>IFERROR(INDEX('_角色基线'!$C$2:$C$100,MATCH($B295,'_角色基线'!$A$2:$A$100,0)),"")</x:f>
        <x:v>Tank</x:v>
      </x:c>
      <x:c r="O295" s="4" t="n">
        <x:f>IFERROR(INDEX('_怪物基线'!$B$2:$B$501,MATCH(INT($L295),'_怪物基线'!$A$2:$A$501,0)),"")</x:f>
        <x:v>203898</x:v>
      </x:c>
      <x:c r="P295" s="4" t="n">
        <x:f>IFERROR(INDEX('_怪物基线'!$C$2:$C$501,MATCH(INT($L295),'_怪物基线'!$A$2:$A$501,0)),"")</x:f>
        <x:v>22582</x:v>
      </x:c>
      <x:c r="Q295" s="4" t="n">
        <x:f>IFERROR(INDEX('_怪物基线'!$D$2:$D$501,MATCH(INT($L295),'_怪物基线'!$A$2:$A$501,0)),"")</x:f>
        <x:v>21374</x:v>
      </x:c>
      <x:c r="R295" s="4" t="n">
        <x:f>'参数'!$B$10</x:f>
        <x:v>4</x:v>
      </x:c>
      <x:c r="S295" s="4" t="n">
        <x:f>'参数'!$C$10</x:f>
        <x:v>1.2</x:v>
      </x:c>
      <x:c r="T295" s="4" t="n">
        <x:f>'参数'!$D$10</x:f>
        <x:v>1</x:v>
      </x:c>
      <x:c r="U295" s="4" t="n">
        <x:f t="shared" si="28">IF($O295="","",$O295*$R295)</x:f>
        <x:v>815592</x:v>
      </x:c>
      <x:c r="V295" s="4" t="n">
        <x:f t="shared" si="29">IF($P295="","",$P295*$S295)</x:f>
        <x:v>27098.399999999998</x:v>
      </x:c>
      <x:c r="W295" s="4" t="n">
        <x:f t="shared" si="30">IF($Q295="","",$Q295*$T295)</x:f>
        <x:v>21374</x:v>
      </x:c>
      <x:c r="X295" s="4" t="n">
        <x:f>IFERROR(INDEX('参数'!$B$5:$B$7,MATCH($N295,'参数'!$A$5:$A$7,0)),"")</x:f>
        <x:v>1.5</x:v>
      </x:c>
      <x:c r="Y295" s="4" t="n">
        <x:f>IFERROR(INDEX('参数'!$C$5:$C$7,MATCH($N295,'参数'!$A$5:$A$7,0)),"")</x:f>
        <x:v>1</x:v>
      </x:c>
      <x:c r="Z295" s="4" t="n">
        <x:f>IFERROR(INDEX('参数'!$D$5:$D$7,MATCH($N295,'参数'!$A$5:$A$7,0)),"")</x:f>
        <x:v>1.5</x:v>
      </x:c>
      <x:c r="AA295" s="4" t="n">
        <x:f>IFERROR(INDEX('楼层配置'!$E$5:$E$104,MATCH($K295,'楼层配置'!$B$5:$B$104,0)),1)</x:f>
        <x:v>1.153905008973118</x:v>
      </x:c>
      <x:c r="AB295" s="4" t="n">
        <x:f>IFERROR(INDEX('楼层配置'!$F$5:$F$104,MATCH($K295,'楼层配置'!$B$5:$B$104,0)),1)</x:f>
        <x:v>0.6871312456611268</x:v>
      </x:c>
      <x:c r="AC295" s="4" t="n">
        <x:f>IFERROR(INDEX('楼层配置'!$G$5:$G$104,MATCH($K295,'楼层配置'!$B$5:$B$104,0)),1)</x:f>
        <x:v>1</x:v>
      </x:c>
      <x:c r="AD295" s="6" t="n">
        <x:f t="shared" si="31">IFERROR($D295/$G295-1,"")</x:f>
        <x:v>-0.20584770582126544</x:v>
      </x:c>
      <x:c r="AE295" s="6" t="n">
        <x:f t="shared" si="32">IFERROR($E295/$H295-1,"")</x:f>
        <x:v>-0.10549577248270559</x:v>
      </x:c>
      <x:c r="AF295" s="6" t="n">
        <x:f t="shared" si="33">IFERROR($F295/$I295-1,"")</x:f>
        <x:v>0.2418080409016965</x:v>
      </x:c>
      <x:c r="AG295" s="4" t="str">
        <x:f t="shared" si="34">IF(AND($A295&gt;=1,$L295&gt;=1,$L295&lt;=500,OR($N295="Tank",$N295="DPS",$N295="Support"),ISNUMBER($D295),ISNUMBER($E295),ISNUMBER($F295)),"有效","异常")</x:f>
        <x:v>有效</x:v>
      </x:c>
      <x:c r="AH295" t="n">
        <x:f>D295/(1-MIN(0.75,F295/(24000+F295)))</x:f>
        <x:v>3297494.00475</x:v>
      </x:c>
    </x:row>
    <x:row r="296" ht="14.25" customHeight="1">
      <x:c r="A296" s="4">
        <x:v>292</x:v>
      </x:c>
      <x:c r="B296" s="4">
        <x:v>1005</x:v>
      </x:c>
      <x:c r="C296" s="4">
        <x:v>39</x:v>
      </x:c>
      <x:c r="D296" s="5" t="n">
        <x:f>IFERROR(ROUND($U296*$X296*$AA296*'参数'!$B$13,0),"")</x:f>
        <x:v>941116</x:v>
      </x:c>
      <x:c r="E296" s="5" t="n">
        <x:f>IFERROR(ROUND($V296*$Y296*$AB296*'参数'!$C$13,0),"")</x:f>
        <x:v>22344</x:v>
      </x:c>
      <x:c r="F296" s="5" t="n">
        <x:f>IFERROR(ROUND($W296*$Z296*$AC296*'参数'!$D$13,0),"")</x:f>
        <x:v>21374</x:v>
      </x:c>
      <x:c r="G296" s="4">
        <x:v>1185057</x:v>
      </x:c>
      <x:c r="H296" s="4">
        <x:v>24979</x:v>
      </x:c>
      <x:c r="I296" s="4">
        <x:v>17212</x:v>
      </x:c>
      <x:c r="J296" s="4">
        <x:v>59</x:v>
      </x:c>
      <x:c r="K296" s="4">
        <x:v>59</x:v>
      </x:c>
      <x:c r="L296" s="4" t="n">
        <x:f>IFERROR(INDEX('楼层配置'!$D$5:$D$104,MATCH($K296,'楼层配置'!$B$5:$B$104,0)),"")</x:f>
        <x:v>217</x:v>
      </x:c>
      <x:c r="M296" s="4" t="str">
        <x:f>IFERROR(INDEX('_角色基线'!$B$2:$B$100,MATCH($B296,'_角色基线'!$A$2:$A$100,0)),"")</x:f>
        <x:v>陈单单</x:v>
      </x:c>
      <x:c r="N296" s="4" t="str">
        <x:f>IFERROR(INDEX('_角色基线'!$C$2:$C$100,MATCH($B296,'_角色基线'!$A$2:$A$100,0)),"")</x:f>
        <x:v>DPS</x:v>
      </x:c>
      <x:c r="O296" s="4" t="n">
        <x:f>IFERROR(INDEX('_怪物基线'!$B$2:$B$501,MATCH(INT($L296),'_怪物基线'!$A$2:$A$501,0)),"")</x:f>
        <x:v>203898</x:v>
      </x:c>
      <x:c r="P296" s="4" t="n">
        <x:f>IFERROR(INDEX('_怪物基线'!$C$2:$C$501,MATCH(INT($L296),'_怪物基线'!$A$2:$A$501,0)),"")</x:f>
        <x:v>22582</x:v>
      </x:c>
      <x:c r="Q296" s="4" t="n">
        <x:f>IFERROR(INDEX('_怪物基线'!$D$2:$D$501,MATCH(INT($L296),'_怪物基线'!$A$2:$A$501,0)),"")</x:f>
        <x:v>21374</x:v>
      </x:c>
      <x:c r="R296" s="4" t="n">
        <x:f>'参数'!$B$10</x:f>
        <x:v>4</x:v>
      </x:c>
      <x:c r="S296" s="4" t="n">
        <x:f>'参数'!$C$10</x:f>
        <x:v>1.2</x:v>
      </x:c>
      <x:c r="T296" s="4" t="n">
        <x:f>'参数'!$D$10</x:f>
        <x:v>1</x:v>
      </x:c>
      <x:c r="U296" s="4" t="n">
        <x:f t="shared" si="28">IF($O296="","",$O296*$R296)</x:f>
        <x:v>815592</x:v>
      </x:c>
      <x:c r="V296" s="4" t="n">
        <x:f t="shared" si="29">IF($P296="","",$P296*$S296)</x:f>
        <x:v>27098.399999999998</x:v>
      </x:c>
      <x:c r="W296" s="4" t="n">
        <x:f t="shared" si="30">IF($Q296="","",$Q296*$T296)</x:f>
        <x:v>21374</x:v>
      </x:c>
      <x:c r="X296" s="4" t="n">
        <x:f>IFERROR(INDEX('参数'!$B$5:$B$7,MATCH($N296,'参数'!$A$5:$A$7,0)),"")</x:f>
        <x:v>1</x:v>
      </x:c>
      <x:c r="Y296" s="4" t="n">
        <x:f>IFERROR(INDEX('参数'!$C$5:$C$7,MATCH($N296,'参数'!$A$5:$A$7,0)),"")</x:f>
        <x:v>1.2</x:v>
      </x:c>
      <x:c r="Z296" s="4" t="n">
        <x:f>IFERROR(INDEX('参数'!$D$5:$D$7,MATCH($N296,'参数'!$A$5:$A$7,0)),"")</x:f>
        <x:v>1</x:v>
      </x:c>
      <x:c r="AA296" s="4" t="n">
        <x:f>IFERROR(INDEX('楼层配置'!$E$5:$E$104,MATCH($K296,'楼层配置'!$B$5:$B$104,0)),1)</x:f>
        <x:v>1.153905008973118</x:v>
      </x:c>
      <x:c r="AB296" s="4" t="n">
        <x:f>IFERROR(INDEX('楼层配置'!$F$5:$F$104,MATCH($K296,'楼层配置'!$B$5:$B$104,0)),1)</x:f>
        <x:v>0.6871312456611268</x:v>
      </x:c>
      <x:c r="AC296" s="4" t="n">
        <x:f>IFERROR(INDEX('楼层配置'!$G$5:$G$104,MATCH($K296,'楼层配置'!$B$5:$B$104,0)),1)</x:f>
        <x:v>1</x:v>
      </x:c>
      <x:c r="AD296" s="6" t="n">
        <x:f t="shared" si="31">IFERROR($D296/$G296-1,"")</x:f>
        <x:v>-0.20584748244177287</x:v>
      </x:c>
      <x:c r="AE296" s="6" t="n">
        <x:f t="shared" si="32">IFERROR($E296/$H296-1,"")</x:f>
        <x:v>-0.10548861043276347</x:v>
      </x:c>
      <x:c r="AF296" s="6" t="n">
        <x:f t="shared" si="33">IFERROR($F296/$I296-1,"")</x:f>
        <x:v>0.2418080409016965</x:v>
      </x:c>
      <x:c r="AG296" s="4" t="str">
        <x:f t="shared" si="34">IF(AND($A296&gt;=1,$L296&gt;=1,$L296&lt;=500,OR($N296="Tank",$N296="DPS",$N296="Support"),ISNUMBER($D296),ISNUMBER($E296),ISNUMBER($F296)),"有效","异常")</x:f>
        <x:v>有效</x:v>
      </x:c>
      <x:c r="AH296" t="n">
        <x:f>D296/(1-MIN(0.75,F296/(24000+F296)))</x:f>
        <x:v>1779258.2243333333</x:v>
      </x:c>
    </x:row>
    <x:row r="297" ht="14.25" customHeight="1">
      <x:c r="A297" s="4">
        <x:v>293</x:v>
      </x:c>
      <x:c r="B297" s="4">
        <x:v>1005</x:v>
      </x:c>
      <x:c r="C297" s="4">
        <x:v>39</x:v>
      </x:c>
      <x:c r="D297" s="5" t="n">
        <x:f>IFERROR(ROUND($U297*$X297*$AA297*'参数'!$B$13,0),"")</x:f>
        <x:v>941116</x:v>
      </x:c>
      <x:c r="E297" s="5" t="n">
        <x:f>IFERROR(ROUND($V297*$Y297*$AB297*'参数'!$C$13,0),"")</x:f>
        <x:v>22344</x:v>
      </x:c>
      <x:c r="F297" s="5" t="n">
        <x:f>IFERROR(ROUND($W297*$Z297*$AC297*'参数'!$D$13,0),"")</x:f>
        <x:v>21374</x:v>
      </x:c>
      <x:c r="G297" s="4">
        <x:v>1185057</x:v>
      </x:c>
      <x:c r="H297" s="4">
        <x:v>24979</x:v>
      </x:c>
      <x:c r="I297" s="4">
        <x:v>17212</x:v>
      </x:c>
      <x:c r="J297" s="4">
        <x:v>59</x:v>
      </x:c>
      <x:c r="K297" s="4">
        <x:v>59</x:v>
      </x:c>
      <x:c r="L297" s="4" t="n">
        <x:f>IFERROR(INDEX('楼层配置'!$D$5:$D$104,MATCH($K297,'楼层配置'!$B$5:$B$104,0)),"")</x:f>
        <x:v>217</x:v>
      </x:c>
      <x:c r="M297" s="4" t="str">
        <x:f>IFERROR(INDEX('_角色基线'!$B$2:$B$100,MATCH($B297,'_角色基线'!$A$2:$A$100,0)),"")</x:f>
        <x:v>陈单单</x:v>
      </x:c>
      <x:c r="N297" s="4" t="str">
        <x:f>IFERROR(INDEX('_角色基线'!$C$2:$C$100,MATCH($B297,'_角色基线'!$A$2:$A$100,0)),"")</x:f>
        <x:v>DPS</x:v>
      </x:c>
      <x:c r="O297" s="4" t="n">
        <x:f>IFERROR(INDEX('_怪物基线'!$B$2:$B$501,MATCH(INT($L297),'_怪物基线'!$A$2:$A$501,0)),"")</x:f>
        <x:v>203898</x:v>
      </x:c>
      <x:c r="P297" s="4" t="n">
        <x:f>IFERROR(INDEX('_怪物基线'!$C$2:$C$501,MATCH(INT($L297),'_怪物基线'!$A$2:$A$501,0)),"")</x:f>
        <x:v>22582</x:v>
      </x:c>
      <x:c r="Q297" s="4" t="n">
        <x:f>IFERROR(INDEX('_怪物基线'!$D$2:$D$501,MATCH(INT($L297),'_怪物基线'!$A$2:$A$501,0)),"")</x:f>
        <x:v>21374</x:v>
      </x:c>
      <x:c r="R297" s="4" t="n">
        <x:f>'参数'!$B$10</x:f>
        <x:v>4</x:v>
      </x:c>
      <x:c r="S297" s="4" t="n">
        <x:f>'参数'!$C$10</x:f>
        <x:v>1.2</x:v>
      </x:c>
      <x:c r="T297" s="4" t="n">
        <x:f>'参数'!$D$10</x:f>
        <x:v>1</x:v>
      </x:c>
      <x:c r="U297" s="4" t="n">
        <x:f t="shared" si="28">IF($O297="","",$O297*$R297)</x:f>
        <x:v>815592</x:v>
      </x:c>
      <x:c r="V297" s="4" t="n">
        <x:f t="shared" si="29">IF($P297="","",$P297*$S297)</x:f>
        <x:v>27098.399999999998</x:v>
      </x:c>
      <x:c r="W297" s="4" t="n">
        <x:f t="shared" si="30">IF($Q297="","",$Q297*$T297)</x:f>
        <x:v>21374</x:v>
      </x:c>
      <x:c r="X297" s="4" t="n">
        <x:f>IFERROR(INDEX('参数'!$B$5:$B$7,MATCH($N297,'参数'!$A$5:$A$7,0)),"")</x:f>
        <x:v>1</x:v>
      </x:c>
      <x:c r="Y297" s="4" t="n">
        <x:f>IFERROR(INDEX('参数'!$C$5:$C$7,MATCH($N297,'参数'!$A$5:$A$7,0)),"")</x:f>
        <x:v>1.2</x:v>
      </x:c>
      <x:c r="Z297" s="4" t="n">
        <x:f>IFERROR(INDEX('参数'!$D$5:$D$7,MATCH($N297,'参数'!$A$5:$A$7,0)),"")</x:f>
        <x:v>1</x:v>
      </x:c>
      <x:c r="AA297" s="4" t="n">
        <x:f>IFERROR(INDEX('楼层配置'!$E$5:$E$104,MATCH($K297,'楼层配置'!$B$5:$B$104,0)),1)</x:f>
        <x:v>1.153905008973118</x:v>
      </x:c>
      <x:c r="AB297" s="4" t="n">
        <x:f>IFERROR(INDEX('楼层配置'!$F$5:$F$104,MATCH($K297,'楼层配置'!$B$5:$B$104,0)),1)</x:f>
        <x:v>0.6871312456611268</x:v>
      </x:c>
      <x:c r="AC297" s="4" t="n">
        <x:f>IFERROR(INDEX('楼层配置'!$G$5:$G$104,MATCH($K297,'楼层配置'!$B$5:$B$104,0)),1)</x:f>
        <x:v>1</x:v>
      </x:c>
      <x:c r="AD297" s="6" t="n">
        <x:f t="shared" si="31">IFERROR($D297/$G297-1,"")</x:f>
        <x:v>-0.20584748244177287</x:v>
      </x:c>
      <x:c r="AE297" s="6" t="n">
        <x:f t="shared" si="32">IFERROR($E297/$H297-1,"")</x:f>
        <x:v>-0.10548861043276347</x:v>
      </x:c>
      <x:c r="AF297" s="6" t="n">
        <x:f t="shared" si="33">IFERROR($F297/$I297-1,"")</x:f>
        <x:v>0.2418080409016965</x:v>
      </x:c>
      <x:c r="AG297" s="4" t="str">
        <x:f t="shared" si="34">IF(AND($A297&gt;=1,$L297&gt;=1,$L297&lt;=500,OR($N297="Tank",$N297="DPS",$N297="Support"),ISNUMBER($D297),ISNUMBER($E297),ISNUMBER($F297)),"有效","异常")</x:f>
        <x:v>有效</x:v>
      </x:c>
      <x:c r="AH297" t="n">
        <x:f>D297/(1-MIN(0.75,F297/(24000+F297)))</x:f>
        <x:v>1779258.2243333333</x:v>
      </x:c>
    </x:row>
    <x:row r="298" ht="14.25" customHeight="1">
      <x:c r="A298" s="4">
        <x:v>294</x:v>
      </x:c>
      <x:c r="B298" s="4">
        <x:v>1018</x:v>
      </x:c>
      <x:c r="C298" s="4">
        <x:v>39</x:v>
      </x:c>
      <x:c r="D298" s="5" t="n">
        <x:f>IFERROR(ROUND($U298*$X298*$AA298*'参数'!$B$13,0),"")</x:f>
        <x:v>1176395</x:v>
      </x:c>
      <x:c r="E298" s="5" t="n">
        <x:f>IFERROR(ROUND($V298*$Y298*$AB298*'参数'!$C$13,0),"")</x:f>
        <x:v>18620</x:v>
      </x:c>
      <x:c r="F298" s="5" t="n">
        <x:f>IFERROR(ROUND($W298*$Z298*$AC298*'参数'!$D$13,0),"")</x:f>
        <x:v>26718</x:v>
      </x:c>
      <x:c r="G298" s="4">
        <x:v>1481322</x:v>
      </x:c>
      <x:c r="H298" s="4">
        <x:v>20816</x:v>
      </x:c>
      <x:c r="I298" s="4">
        <x:v>21515</x:v>
      </x:c>
      <x:c r="J298" s="4">
        <x:v>59</x:v>
      </x:c>
      <x:c r="K298" s="4">
        <x:v>59</x:v>
      </x:c>
      <x:c r="L298" s="4" t="n">
        <x:f>IFERROR(INDEX('楼层配置'!$D$5:$D$104,MATCH($K298,'楼层配置'!$B$5:$B$104,0)),"")</x:f>
        <x:v>217</x:v>
      </x:c>
      <x:c r="M298" s="4" t="str">
        <x:f>IFERROR(INDEX('_角色基线'!$B$2:$B$100,MATCH($B298,'_角色基线'!$A$2:$A$100,0)),"")</x:f>
        <x:v>埃莉诺</x:v>
      </x:c>
      <x:c r="N298" s="4" t="str">
        <x:f>IFERROR(INDEX('_角色基线'!$C$2:$C$100,MATCH($B298,'_角色基线'!$A$2:$A$100,0)),"")</x:f>
        <x:v>Support</x:v>
      </x:c>
      <x:c r="O298" s="4" t="n">
        <x:f>IFERROR(INDEX('_怪物基线'!$B$2:$B$501,MATCH(INT($L298),'_怪物基线'!$A$2:$A$501,0)),"")</x:f>
        <x:v>203898</x:v>
      </x:c>
      <x:c r="P298" s="4" t="n">
        <x:f>IFERROR(INDEX('_怪物基线'!$C$2:$C$501,MATCH(INT($L298),'_怪物基线'!$A$2:$A$501,0)),"")</x:f>
        <x:v>22582</x:v>
      </x:c>
      <x:c r="Q298" s="4" t="n">
        <x:f>IFERROR(INDEX('_怪物基线'!$D$2:$D$501,MATCH(INT($L298),'_怪物基线'!$A$2:$A$501,0)),"")</x:f>
        <x:v>21374</x:v>
      </x:c>
      <x:c r="R298" s="4" t="n">
        <x:f>'参数'!$B$10</x:f>
        <x:v>4</x:v>
      </x:c>
      <x:c r="S298" s="4" t="n">
        <x:f>'参数'!$C$10</x:f>
        <x:v>1.2</x:v>
      </x:c>
      <x:c r="T298" s="4" t="n">
        <x:f>'参数'!$D$10</x:f>
        <x:v>1</x:v>
      </x:c>
      <x:c r="U298" s="4" t="n">
        <x:f t="shared" si="28">IF($O298="","",$O298*$R298)</x:f>
        <x:v>815592</x:v>
      </x:c>
      <x:c r="V298" s="4" t="n">
        <x:f t="shared" si="29">IF($P298="","",$P298*$S298)</x:f>
        <x:v>27098.399999999998</x:v>
      </x:c>
      <x:c r="W298" s="4" t="n">
        <x:f t="shared" si="30">IF($Q298="","",$Q298*$T298)</x:f>
        <x:v>21374</x:v>
      </x:c>
      <x:c r="X298" s="4" t="n">
        <x:f>IFERROR(INDEX('参数'!$B$5:$B$7,MATCH($N298,'参数'!$A$5:$A$7,0)),"")</x:f>
        <x:v>1.25</x:v>
      </x:c>
      <x:c r="Y298" s="4" t="n">
        <x:f>IFERROR(INDEX('参数'!$C$5:$C$7,MATCH($N298,'参数'!$A$5:$A$7,0)),"")</x:f>
        <x:v>1</x:v>
      </x:c>
      <x:c r="Z298" s="4" t="n">
        <x:f>IFERROR(INDEX('参数'!$D$5:$D$7,MATCH($N298,'参数'!$A$5:$A$7,0)),"")</x:f>
        <x:v>1.25</x:v>
      </x:c>
      <x:c r="AA298" s="4" t="n">
        <x:f>IFERROR(INDEX('楼层配置'!$E$5:$E$104,MATCH($K298,'楼层配置'!$B$5:$B$104,0)),1)</x:f>
        <x:v>1.153905008973118</x:v>
      </x:c>
      <x:c r="AB298" s="4" t="n">
        <x:f>IFERROR(INDEX('楼层配置'!$F$5:$F$104,MATCH($K298,'楼层配置'!$B$5:$B$104,0)),1)</x:f>
        <x:v>0.6871312456611268</x:v>
      </x:c>
      <x:c r="AC298" s="4" t="n">
        <x:f>IFERROR(INDEX('楼层配置'!$G$5:$G$104,MATCH($K298,'楼层配置'!$B$5:$B$104,0)),1)</x:f>
        <x:v>1</x:v>
      </x:c>
      <x:c r="AD298" s="6" t="n">
        <x:f t="shared" si="31">IFERROR($D298/$G298-1,"")</x:f>
        <x:v>-0.2058478845247691</x:v>
      </x:c>
      <x:c r="AE298" s="6" t="n">
        <x:f t="shared" si="32">IFERROR($E298/$H298-1,"")</x:f>
        <x:v>-0.10549577248270559</x:v>
      </x:c>
      <x:c r="AF298" s="6" t="n">
        <x:f t="shared" si="33">IFERROR($F298/$I298-1,"")</x:f>
        <x:v>0.24183128050197533</x:v>
      </x:c>
      <x:c r="AG298" s="4" t="str">
        <x:f t="shared" si="34">IF(AND($A298&gt;=1,$L298&gt;=1,$L298&lt;=500,OR($N298="Tank",$N298="DPS",$N298="Support"),ISNUMBER($D298),ISNUMBER($E298),ISNUMBER($F298)),"有效","异常")</x:f>
        <x:v>有效</x:v>
      </x:c>
      <x:c r="AH298" t="n">
        <x:f>D298/(1-MIN(0.75,F298/(24000+F298)))</x:f>
        <x:v>2486016.7337499997</x:v>
      </x:c>
    </x:row>
    <x:row r="299" ht="14.25" customHeight="1">
      <x:c r="A299" s="4">
        <x:v>295</x:v>
      </x:c>
      <x:c r="B299" s="4">
        <x:v>1007</x:v>
      </x:c>
      <x:c r="C299" s="4">
        <x:v>39</x:v>
      </x:c>
      <x:c r="D299" s="5" t="n">
        <x:f>IFERROR(ROUND($U299*$X299*$AA299*'参数'!$B$13,0),"")</x:f>
        <x:v>1176395</x:v>
      </x:c>
      <x:c r="E299" s="5" t="n">
        <x:f>IFERROR(ROUND($V299*$Y299*$AB299*'参数'!$C$13,0),"")</x:f>
        <x:v>18620</x:v>
      </x:c>
      <x:c r="F299" s="5" t="n">
        <x:f>IFERROR(ROUND($W299*$Z299*$AC299*'参数'!$D$13,0),"")</x:f>
        <x:v>26718</x:v>
      </x:c>
      <x:c r="G299" s="4">
        <x:v>1481322</x:v>
      </x:c>
      <x:c r="H299" s="4">
        <x:v>20816</x:v>
      </x:c>
      <x:c r="I299" s="4">
        <x:v>21515</x:v>
      </x:c>
      <x:c r="J299" s="4">
        <x:v>59</x:v>
      </x:c>
      <x:c r="K299" s="4">
        <x:v>59</x:v>
      </x:c>
      <x:c r="L299" s="4" t="n">
        <x:f>IFERROR(INDEX('楼层配置'!$D$5:$D$104,MATCH($K299,'楼层配置'!$B$5:$B$104,0)),"")</x:f>
        <x:v>217</x:v>
      </x:c>
      <x:c r="M299" s="4" t="str">
        <x:f>IFERROR(INDEX('_角色基线'!$B$2:$B$100,MATCH($B299,'_角色基线'!$A$2:$A$100,0)),"")</x:f>
        <x:v>萨萨莉安</x:v>
      </x:c>
      <x:c r="N299" s="4" t="str">
        <x:f>IFERROR(INDEX('_角色基线'!$C$2:$C$100,MATCH($B299,'_角色基线'!$A$2:$A$100,0)),"")</x:f>
        <x:v>Support</x:v>
      </x:c>
      <x:c r="O299" s="4" t="n">
        <x:f>IFERROR(INDEX('_怪物基线'!$B$2:$B$501,MATCH(INT($L299),'_怪物基线'!$A$2:$A$501,0)),"")</x:f>
        <x:v>203898</x:v>
      </x:c>
      <x:c r="P299" s="4" t="n">
        <x:f>IFERROR(INDEX('_怪物基线'!$C$2:$C$501,MATCH(INT($L299),'_怪物基线'!$A$2:$A$501,0)),"")</x:f>
        <x:v>22582</x:v>
      </x:c>
      <x:c r="Q299" s="4" t="n">
        <x:f>IFERROR(INDEX('_怪物基线'!$D$2:$D$501,MATCH(INT($L299),'_怪物基线'!$A$2:$A$501,0)),"")</x:f>
        <x:v>21374</x:v>
      </x:c>
      <x:c r="R299" s="4" t="n">
        <x:f>'参数'!$B$10</x:f>
        <x:v>4</x:v>
      </x:c>
      <x:c r="S299" s="4" t="n">
        <x:f>'参数'!$C$10</x:f>
        <x:v>1.2</x:v>
      </x:c>
      <x:c r="T299" s="4" t="n">
        <x:f>'参数'!$D$10</x:f>
        <x:v>1</x:v>
      </x:c>
      <x:c r="U299" s="4" t="n">
        <x:f t="shared" si="28">IF($O299="","",$O299*$R299)</x:f>
        <x:v>815592</x:v>
      </x:c>
      <x:c r="V299" s="4" t="n">
        <x:f t="shared" si="29">IF($P299="","",$P299*$S299)</x:f>
        <x:v>27098.399999999998</x:v>
      </x:c>
      <x:c r="W299" s="4" t="n">
        <x:f t="shared" si="30">IF($Q299="","",$Q299*$T299)</x:f>
        <x:v>21374</x:v>
      </x:c>
      <x:c r="X299" s="4" t="n">
        <x:f>IFERROR(INDEX('参数'!$B$5:$B$7,MATCH($N299,'参数'!$A$5:$A$7,0)),"")</x:f>
        <x:v>1.25</x:v>
      </x:c>
      <x:c r="Y299" s="4" t="n">
        <x:f>IFERROR(INDEX('参数'!$C$5:$C$7,MATCH($N299,'参数'!$A$5:$A$7,0)),"")</x:f>
        <x:v>1</x:v>
      </x:c>
      <x:c r="Z299" s="4" t="n">
        <x:f>IFERROR(INDEX('参数'!$D$5:$D$7,MATCH($N299,'参数'!$A$5:$A$7,0)),"")</x:f>
        <x:v>1.25</x:v>
      </x:c>
      <x:c r="AA299" s="4" t="n">
        <x:f>IFERROR(INDEX('楼层配置'!$E$5:$E$104,MATCH($K299,'楼层配置'!$B$5:$B$104,0)),1)</x:f>
        <x:v>1.153905008973118</x:v>
      </x:c>
      <x:c r="AB299" s="4" t="n">
        <x:f>IFERROR(INDEX('楼层配置'!$F$5:$F$104,MATCH($K299,'楼层配置'!$B$5:$B$104,0)),1)</x:f>
        <x:v>0.6871312456611268</x:v>
      </x:c>
      <x:c r="AC299" s="4" t="n">
        <x:f>IFERROR(INDEX('楼层配置'!$G$5:$G$104,MATCH($K299,'楼层配置'!$B$5:$B$104,0)),1)</x:f>
        <x:v>1</x:v>
      </x:c>
      <x:c r="AD299" s="6" t="n">
        <x:f t="shared" si="31">IFERROR($D299/$G299-1,"")</x:f>
        <x:v>-0.2058478845247691</x:v>
      </x:c>
      <x:c r="AE299" s="6" t="n">
        <x:f t="shared" si="32">IFERROR($E299/$H299-1,"")</x:f>
        <x:v>-0.10549577248270559</x:v>
      </x:c>
      <x:c r="AF299" s="6" t="n">
        <x:f t="shared" si="33">IFERROR($F299/$I299-1,"")</x:f>
        <x:v>0.24183128050197533</x:v>
      </x:c>
      <x:c r="AG299" s="4" t="str">
        <x:f t="shared" si="34">IF(AND($A299&gt;=1,$L299&gt;=1,$L299&lt;=500,OR($N299="Tank",$N299="DPS",$N299="Support"),ISNUMBER($D299),ISNUMBER($E299),ISNUMBER($F299)),"有效","异常")</x:f>
        <x:v>有效</x:v>
      </x:c>
      <x:c r="AH299" t="n">
        <x:f>D299/(1-MIN(0.75,F299/(24000+F299)))</x:f>
        <x:v>2486016.7337499997</x:v>
      </x:c>
    </x:row>
    <x:row r="300" ht="14.25" customHeight="1">
      <x:c r="A300" s="4">
        <x:v>296</x:v>
      </x:c>
      <x:c r="B300" s="4">
        <x:v>1003</x:v>
      </x:c>
      <x:c r="C300" s="4">
        <x:v>40</x:v>
      </x:c>
      <x:c r="D300" s="5" t="n">
        <x:f>IFERROR(ROUND($U300*$X300*$AA300*'参数'!$B$13,0),"")</x:f>
        <x:v>1450473</x:v>
      </x:c>
      <x:c r="E300" s="5" t="n">
        <x:f>IFERROR(ROUND($V300*$Y300*$AB300*'参数'!$C$13,0),"")</x:f>
        <x:v>19005</x:v>
      </x:c>
      <x:c r="F300" s="5" t="n">
        <x:f>IFERROR(ROUND($W300*$Z300*$AC300*'参数'!$D$13,0),"")</x:f>
        <x:v>32432</x:v>
      </x:c>
      <x:c r="G300" s="4">
        <x:v>1850544</x:v>
      </x:c>
      <x:c r="H300" s="4">
        <x:v>21412</x:v>
      </x:c>
      <x:c r="I300" s="4">
        <x:v>26365</x:v>
      </x:c>
      <x:c r="J300" s="4">
        <x:v>60</x:v>
      </x:c>
      <x:c r="K300" s="4">
        <x:v>60</x:v>
      </x:c>
      <x:c r="L300" s="4" t="n">
        <x:f>IFERROR(INDEX('楼层配置'!$D$5:$D$104,MATCH($K300,'楼层配置'!$B$5:$B$104,0)),"")</x:f>
        <x:v>219</x:v>
      </x:c>
      <x:c r="M300" s="4" t="str">
        <x:f>IFERROR(INDEX('_角色基线'!$B$2:$B$100,MATCH($B300,'_角色基线'!$A$2:$A$100,0)),"")</x:f>
        <x:v>塔拉夏</x:v>
      </x:c>
      <x:c r="N300" s="4" t="str">
        <x:f>IFERROR(INDEX('_角色基线'!$C$2:$C$100,MATCH($B300,'_角色基线'!$A$2:$A$100,0)),"")</x:f>
        <x:v>Tank</x:v>
      </x:c>
      <x:c r="O300" s="4" t="n">
        <x:f>IFERROR(INDEX('_怪物基线'!$B$2:$B$501,MATCH(INT($L300),'_怪物基线'!$A$2:$A$501,0)),"")</x:f>
        <x:v>208640</x:v>
      </x:c>
      <x:c r="P300" s="4" t="n">
        <x:f>IFERROR(INDEX('_怪物基线'!$C$2:$C$501,MATCH(INT($L300),'_怪物基线'!$A$2:$A$501,0)),"")</x:f>
        <x:v>22963</x:v>
      </x:c>
      <x:c r="Q300" s="4" t="n">
        <x:f>IFERROR(INDEX('_怪物基线'!$D$2:$D$501,MATCH(INT($L300),'_怪物基线'!$A$2:$A$501,0)),"")</x:f>
        <x:v>21621</x:v>
      </x:c>
      <x:c r="R300" s="4" t="n">
        <x:f>'参数'!$B$10</x:f>
        <x:v>4</x:v>
      </x:c>
      <x:c r="S300" s="4" t="n">
        <x:f>'参数'!$C$10</x:f>
        <x:v>1.2</x:v>
      </x:c>
      <x:c r="T300" s="4" t="n">
        <x:f>'参数'!$D$10</x:f>
        <x:v>1</x:v>
      </x:c>
      <x:c r="U300" s="4" t="n">
        <x:f t="shared" si="28">IF($O300="","",$O300*$R300)</x:f>
        <x:v>834560</x:v>
      </x:c>
      <x:c r="V300" s="4" t="n">
        <x:f t="shared" si="29">IF($P300="","",$P300*$S300)</x:f>
        <x:v>27555.6</x:v>
      </x:c>
      <x:c r="W300" s="4" t="n">
        <x:f t="shared" si="30">IF($Q300="","",$Q300*$T300)</x:f>
        <x:v>21621</x:v>
      </x:c>
      <x:c r="X300" s="4" t="n">
        <x:f>IFERROR(INDEX('参数'!$B$5:$B$7,MATCH($N300,'参数'!$A$5:$A$7,0)),"")</x:f>
        <x:v>1.5</x:v>
      </x:c>
      <x:c r="Y300" s="4" t="n">
        <x:f>IFERROR(INDEX('参数'!$C$5:$C$7,MATCH($N300,'参数'!$A$5:$A$7,0)),"")</x:f>
        <x:v>1</x:v>
      </x:c>
      <x:c r="Z300" s="4" t="n">
        <x:f>IFERROR(INDEX('参数'!$D$5:$D$7,MATCH($N300,'参数'!$A$5:$A$7,0)),"")</x:f>
        <x:v>1.5</x:v>
      </x:c>
      <x:c r="AA300" s="4" t="n">
        <x:f>IFERROR(INDEX('楼层配置'!$E$5:$E$104,MATCH($K300,'楼层配置'!$B$5:$B$104,0)),1)</x:f>
        <x:v>1.1586728241265563</x:v>
      </x:c>
      <x:c r="AB300" s="4" t="n">
        <x:f>IFERROR(INDEX('楼层配置'!$F$5:$F$104,MATCH($K300,'楼层配置'!$B$5:$B$104,0)),1)</x:f>
        <x:v>0.6896945247909946</x:v>
      </x:c>
      <x:c r="AC300" s="4" t="n">
        <x:f>IFERROR(INDEX('楼层配置'!$G$5:$G$104,MATCH($K300,'楼层配置'!$B$5:$B$104,0)),1)</x:f>
        <x:v>1</x:v>
      </x:c>
      <x:c r="AD300" s="6" t="n">
        <x:f t="shared" si="31">IFERROR($D300/$G300-1,"")</x:f>
        <x:v>-0.21619102274790547</x:v>
      </x:c>
      <x:c r="AE300" s="6" t="n">
        <x:f t="shared" si="32">IFERROR($E300/$H300-1,"")</x:f>
        <x:v>-0.1124135998505511</x:v>
      </x:c>
      <x:c r="AF300" s="6" t="n">
        <x:f t="shared" si="33">IFERROR($F300/$I300-1,"")</x:f>
        <x:v>0.23011568367153412</x:v>
      </x:c>
      <x:c r="AG300" s="4" t="str">
        <x:f t="shared" si="34">IF(AND($A300&gt;=1,$L300&gt;=1,$L300&lt;=500,OR($N300="Tank",$N300="DPS",$N300="Support"),ISNUMBER($D300),ISNUMBER($E300),ISNUMBER($F300)),"有效","异常")</x:f>
        <x:v>有效</x:v>
      </x:c>
      <x:c r="AH300" t="n">
        <x:f>D300/(1-MIN(0.75,F300/(24000+F300)))</x:f>
        <x:v>3410545.5139999995</x:v>
      </x:c>
    </x:row>
    <x:row r="301" ht="14.25" customHeight="1">
      <x:c r="A301" s="4">
        <x:v>297</x:v>
      </x:c>
      <x:c r="B301" s="4">
        <x:v>1005</x:v>
      </x:c>
      <x:c r="C301" s="4">
        <x:v>40</x:v>
      </x:c>
      <x:c r="D301" s="5" t="n">
        <x:f>IFERROR(ROUND($U301*$X301*$AA301*'参数'!$B$13,0),"")</x:f>
        <x:v>966982</x:v>
      </x:c>
      <x:c r="E301" s="5" t="n">
        <x:f>IFERROR(ROUND($V301*$Y301*$AB301*'参数'!$C$13,0),"")</x:f>
        <x:v>22806</x:v>
      </x:c>
      <x:c r="F301" s="5" t="n">
        <x:f>IFERROR(ROUND($W301*$Z301*$AC301*'参数'!$D$13,0),"")</x:f>
        <x:v>21621</x:v>
      </x:c>
      <x:c r="G301" s="4">
        <x:v>1233696</x:v>
      </x:c>
      <x:c r="H301" s="4">
        <x:v>25694</x:v>
      </x:c>
      <x:c r="I301" s="4">
        <x:v>17576</x:v>
      </x:c>
      <x:c r="J301" s="4">
        <x:v>60</x:v>
      </x:c>
      <x:c r="K301" s="4">
        <x:v>60</x:v>
      </x:c>
      <x:c r="L301" s="4" t="n">
        <x:f>IFERROR(INDEX('楼层配置'!$D$5:$D$104,MATCH($K301,'楼层配置'!$B$5:$B$104,0)),"")</x:f>
        <x:v>219</x:v>
      </x:c>
      <x:c r="M301" s="4" t="str">
        <x:f>IFERROR(INDEX('_角色基线'!$B$2:$B$100,MATCH($B301,'_角色基线'!$A$2:$A$100,0)),"")</x:f>
        <x:v>陈单单</x:v>
      </x:c>
      <x:c r="N301" s="4" t="str">
        <x:f>IFERROR(INDEX('_角色基线'!$C$2:$C$100,MATCH($B301,'_角色基线'!$A$2:$A$100,0)),"")</x:f>
        <x:v>DPS</x:v>
      </x:c>
      <x:c r="O301" s="4" t="n">
        <x:f>IFERROR(INDEX('_怪物基线'!$B$2:$B$501,MATCH(INT($L301),'_怪物基线'!$A$2:$A$501,0)),"")</x:f>
        <x:v>208640</x:v>
      </x:c>
      <x:c r="P301" s="4" t="n">
        <x:f>IFERROR(INDEX('_怪物基线'!$C$2:$C$501,MATCH(INT($L301),'_怪物基线'!$A$2:$A$501,0)),"")</x:f>
        <x:v>22963</x:v>
      </x:c>
      <x:c r="Q301" s="4" t="n">
        <x:f>IFERROR(INDEX('_怪物基线'!$D$2:$D$501,MATCH(INT($L301),'_怪物基线'!$A$2:$A$501,0)),"")</x:f>
        <x:v>21621</x:v>
      </x:c>
      <x:c r="R301" s="4" t="n">
        <x:f>'参数'!$B$10</x:f>
        <x:v>4</x:v>
      </x:c>
      <x:c r="S301" s="4" t="n">
        <x:f>'参数'!$C$10</x:f>
        <x:v>1.2</x:v>
      </x:c>
      <x:c r="T301" s="4" t="n">
        <x:f>'参数'!$D$10</x:f>
        <x:v>1</x:v>
      </x:c>
      <x:c r="U301" s="4" t="n">
        <x:f t="shared" si="28">IF($O301="","",$O301*$R301)</x:f>
        <x:v>834560</x:v>
      </x:c>
      <x:c r="V301" s="4" t="n">
        <x:f t="shared" si="29">IF($P301="","",$P301*$S301)</x:f>
        <x:v>27555.6</x:v>
      </x:c>
      <x:c r="W301" s="4" t="n">
        <x:f t="shared" si="30">IF($Q301="","",$Q301*$T301)</x:f>
        <x:v>21621</x:v>
      </x:c>
      <x:c r="X301" s="4" t="n">
        <x:f>IFERROR(INDEX('参数'!$B$5:$B$7,MATCH($N301,'参数'!$A$5:$A$7,0)),"")</x:f>
        <x:v>1</x:v>
      </x:c>
      <x:c r="Y301" s="4" t="n">
        <x:f>IFERROR(INDEX('参数'!$C$5:$C$7,MATCH($N301,'参数'!$A$5:$A$7,0)),"")</x:f>
        <x:v>1.2</x:v>
      </x:c>
      <x:c r="Z301" s="4" t="n">
        <x:f>IFERROR(INDEX('参数'!$D$5:$D$7,MATCH($N301,'参数'!$A$5:$A$7,0)),"")</x:f>
        <x:v>1</x:v>
      </x:c>
      <x:c r="AA301" s="4" t="n">
        <x:f>IFERROR(INDEX('楼层配置'!$E$5:$E$104,MATCH($K301,'楼层配置'!$B$5:$B$104,0)),1)</x:f>
        <x:v>1.1586728241265563</x:v>
      </x:c>
      <x:c r="AB301" s="4" t="n">
        <x:f>IFERROR(INDEX('楼层配置'!$F$5:$F$104,MATCH($K301,'楼层配置'!$B$5:$B$104,0)),1)</x:f>
        <x:v>0.6896945247909946</x:v>
      </x:c>
      <x:c r="AC301" s="4" t="n">
        <x:f>IFERROR(INDEX('楼层配置'!$G$5:$G$104,MATCH($K301,'楼层配置'!$B$5:$B$104,0)),1)</x:f>
        <x:v>1</x:v>
      </x:c>
      <x:c r="AD301" s="6" t="n">
        <x:f t="shared" si="31">IFERROR($D301/$G301-1,"")</x:f>
        <x:v>-0.21619102274790547</x:v>
      </x:c>
      <x:c r="AE301" s="6" t="n">
        <x:f t="shared" si="32">IFERROR($E301/$H301-1,"")</x:f>
        <x:v>-0.11239978205028411</x:v>
      </x:c>
      <x:c r="AF301" s="6" t="n">
        <x:f t="shared" si="33">IFERROR($F301/$I301-1,"")</x:f>
        <x:v>0.23014337733272638</x:v>
      </x:c>
      <x:c r="AG301" s="4" t="str">
        <x:f t="shared" si="34">IF(AND($A301&gt;=1,$L301&gt;=1,$L301&lt;=500,OR($N301="Tank",$N301="DPS",$N301="Support"),ISNUMBER($D301),ISNUMBER($E301),ISNUMBER($F301)),"有效","异常")</x:f>
        <x:v>有效</x:v>
      </x:c>
      <x:c r="AH301" t="n">
        <x:f>D301/(1-MIN(0.75,F301/(24000+F301)))</x:f>
        <x:v>1838111.90925</x:v>
      </x:c>
    </x:row>
    <x:row r="302" ht="14.25" customHeight="1">
      <x:c r="A302" s="4">
        <x:v>298</x:v>
      </x:c>
      <x:c r="B302" s="4">
        <x:v>1029</x:v>
      </x:c>
      <x:c r="C302" s="4">
        <x:v>40</x:v>
      </x:c>
      <x:c r="D302" s="5" t="n">
        <x:f>IFERROR(ROUND($U302*$X302*$AA302*'参数'!$B$13,0),"")</x:f>
        <x:v>1208727</x:v>
      </x:c>
      <x:c r="E302" s="5" t="n">
        <x:f>IFERROR(ROUND($V302*$Y302*$AB302*'参数'!$C$13,0),"")</x:f>
        <x:v>19005</x:v>
      </x:c>
      <x:c r="F302" s="5" t="n">
        <x:f>IFERROR(ROUND($W302*$Z302*$AC302*'参数'!$D$13,0),"")</x:f>
        <x:v>27026</x:v>
      </x:c>
      <x:c r="G302" s="4">
        <x:v>1542120</x:v>
      </x:c>
      <x:c r="H302" s="4">
        <x:v>21412</x:v>
      </x:c>
      <x:c r="I302" s="4">
        <x:v>21971</x:v>
      </x:c>
      <x:c r="J302" s="4">
        <x:v>60</x:v>
      </x:c>
      <x:c r="K302" s="4">
        <x:v>60</x:v>
      </x:c>
      <x:c r="L302" s="4" t="n">
        <x:f>IFERROR(INDEX('楼层配置'!$D$5:$D$104,MATCH($K302,'楼层配置'!$B$5:$B$104,0)),"")</x:f>
        <x:v>219</x:v>
      </x:c>
      <x:c r="M302" s="4" t="str">
        <x:f>IFERROR(INDEX('_角色基线'!$B$2:$B$100,MATCH($B302,'_角色基线'!$A$2:$A$100,0)),"")</x:f>
        <x:v>凯兰</x:v>
      </x:c>
      <x:c r="N302" s="4" t="str">
        <x:f>IFERROR(INDEX('_角色基线'!$C$2:$C$100,MATCH($B302,'_角色基线'!$A$2:$A$100,0)),"")</x:f>
        <x:v>Support</x:v>
      </x:c>
      <x:c r="O302" s="4" t="n">
        <x:f>IFERROR(INDEX('_怪物基线'!$B$2:$B$501,MATCH(INT($L302),'_怪物基线'!$A$2:$A$501,0)),"")</x:f>
        <x:v>208640</x:v>
      </x:c>
      <x:c r="P302" s="4" t="n">
        <x:f>IFERROR(INDEX('_怪物基线'!$C$2:$C$501,MATCH(INT($L302),'_怪物基线'!$A$2:$A$501,0)),"")</x:f>
        <x:v>22963</x:v>
      </x:c>
      <x:c r="Q302" s="4" t="n">
        <x:f>IFERROR(INDEX('_怪物基线'!$D$2:$D$501,MATCH(INT($L302),'_怪物基线'!$A$2:$A$501,0)),"")</x:f>
        <x:v>21621</x:v>
      </x:c>
      <x:c r="R302" s="4" t="n">
        <x:f>'参数'!$B$10</x:f>
        <x:v>4</x:v>
      </x:c>
      <x:c r="S302" s="4" t="n">
        <x:f>'参数'!$C$10</x:f>
        <x:v>1.2</x:v>
      </x:c>
      <x:c r="T302" s="4" t="n">
        <x:f>'参数'!$D$10</x:f>
        <x:v>1</x:v>
      </x:c>
      <x:c r="U302" s="4" t="n">
        <x:f t="shared" si="28">IF($O302="","",$O302*$R302)</x:f>
        <x:v>834560</x:v>
      </x:c>
      <x:c r="V302" s="4" t="n">
        <x:f t="shared" si="29">IF($P302="","",$P302*$S302)</x:f>
        <x:v>27555.6</x:v>
      </x:c>
      <x:c r="W302" s="4" t="n">
        <x:f t="shared" si="30">IF($Q302="","",$Q302*$T302)</x:f>
        <x:v>21621</x:v>
      </x:c>
      <x:c r="X302" s="4" t="n">
        <x:f>IFERROR(INDEX('参数'!$B$5:$B$7,MATCH($N302,'参数'!$A$5:$A$7,0)),"")</x:f>
        <x:v>1.25</x:v>
      </x:c>
      <x:c r="Y302" s="4" t="n">
        <x:f>IFERROR(INDEX('参数'!$C$5:$C$7,MATCH($N302,'参数'!$A$5:$A$7,0)),"")</x:f>
        <x:v>1</x:v>
      </x:c>
      <x:c r="Z302" s="4" t="n">
        <x:f>IFERROR(INDEX('参数'!$D$5:$D$7,MATCH($N302,'参数'!$A$5:$A$7,0)),"")</x:f>
        <x:v>1.25</x:v>
      </x:c>
      <x:c r="AA302" s="4" t="n">
        <x:f>IFERROR(INDEX('楼层配置'!$E$5:$E$104,MATCH($K302,'楼层配置'!$B$5:$B$104,0)),1)</x:f>
        <x:v>1.1586728241265563</x:v>
      </x:c>
      <x:c r="AB302" s="4" t="n">
        <x:f>IFERROR(INDEX('楼层配置'!$F$5:$F$104,MATCH($K302,'楼层配置'!$B$5:$B$104,0)),1)</x:f>
        <x:v>0.6896945247909946</x:v>
      </x:c>
      <x:c r="AC302" s="4" t="n">
        <x:f>IFERROR(INDEX('楼层配置'!$G$5:$G$104,MATCH($K302,'楼层配置'!$B$5:$B$104,0)),1)</x:f>
        <x:v>1</x:v>
      </x:c>
      <x:c r="AD302" s="6" t="n">
        <x:f t="shared" si="31">IFERROR($D302/$G302-1,"")</x:f>
        <x:v>-0.2161913469768889</x:v>
      </x:c>
      <x:c r="AE302" s="6" t="n">
        <x:f t="shared" si="32">IFERROR($E302/$H302-1,"")</x:f>
        <x:v>-0.1124135998505511</x:v>
      </x:c>
      <x:c r="AF302" s="6" t="n">
        <x:f t="shared" si="33">IFERROR($F302/$I302-1,"")</x:f>
        <x:v>0.23007600928496652</x:v>
      </x:c>
      <x:c r="AG302" s="4" t="str">
        <x:f t="shared" si="34">IF(AND($A302&gt;=1,$L302&gt;=1,$L302&lt;=500,OR($N302="Tank",$N302="DPS",$N302="Support"),ISNUMBER($D302),ISNUMBER($E302),ISNUMBER($F302)),"有效","异常")</x:f>
        <x:v>有效</x:v>
      </x:c>
      <x:c r="AH302" t="n">
        <x:f>D302/(1-MIN(0.75,F302/(24000+F302)))</x:f>
        <x:v>2569854.32925</x:v>
      </x:c>
    </x:row>
    <x:row r="303" ht="14.25" customHeight="1">
      <x:c r="A303" s="4">
        <x:v>299</x:v>
      </x:c>
      <x:c r="B303" s="4">
        <x:v>1007</x:v>
      </x:c>
      <x:c r="C303" s="4">
        <x:v>40</x:v>
      </x:c>
      <x:c r="D303" s="5" t="n">
        <x:f>IFERROR(ROUND($U303*$X303*$AA303*'参数'!$B$13,0),"")</x:f>
        <x:v>1208727</x:v>
      </x:c>
      <x:c r="E303" s="5" t="n">
        <x:f>IFERROR(ROUND($V303*$Y303*$AB303*'参数'!$C$13,0),"")</x:f>
        <x:v>19005</x:v>
      </x:c>
      <x:c r="F303" s="5" t="n">
        <x:f>IFERROR(ROUND($W303*$Z303*$AC303*'参数'!$D$13,0),"")</x:f>
        <x:v>27026</x:v>
      </x:c>
      <x:c r="G303" s="4">
        <x:v>1542120</x:v>
      </x:c>
      <x:c r="H303" s="4">
        <x:v>21412</x:v>
      </x:c>
      <x:c r="I303" s="4">
        <x:v>21971</x:v>
      </x:c>
      <x:c r="J303" s="4">
        <x:v>60</x:v>
      </x:c>
      <x:c r="K303" s="4">
        <x:v>60</x:v>
      </x:c>
      <x:c r="L303" s="4" t="n">
        <x:f>IFERROR(INDEX('楼层配置'!$D$5:$D$104,MATCH($K303,'楼层配置'!$B$5:$B$104,0)),"")</x:f>
        <x:v>219</x:v>
      </x:c>
      <x:c r="M303" s="4" t="str">
        <x:f>IFERROR(INDEX('_角色基线'!$B$2:$B$100,MATCH($B303,'_角色基线'!$A$2:$A$100,0)),"")</x:f>
        <x:v>萨萨莉安</x:v>
      </x:c>
      <x:c r="N303" s="4" t="str">
        <x:f>IFERROR(INDEX('_角色基线'!$C$2:$C$100,MATCH($B303,'_角色基线'!$A$2:$A$100,0)),"")</x:f>
        <x:v>Support</x:v>
      </x:c>
      <x:c r="O303" s="4" t="n">
        <x:f>IFERROR(INDEX('_怪物基线'!$B$2:$B$501,MATCH(INT($L303),'_怪物基线'!$A$2:$A$501,0)),"")</x:f>
        <x:v>208640</x:v>
      </x:c>
      <x:c r="P303" s="4" t="n">
        <x:f>IFERROR(INDEX('_怪物基线'!$C$2:$C$501,MATCH(INT($L303),'_怪物基线'!$A$2:$A$501,0)),"")</x:f>
        <x:v>22963</x:v>
      </x:c>
      <x:c r="Q303" s="4" t="n">
        <x:f>IFERROR(INDEX('_怪物基线'!$D$2:$D$501,MATCH(INT($L303),'_怪物基线'!$A$2:$A$501,0)),"")</x:f>
        <x:v>21621</x:v>
      </x:c>
      <x:c r="R303" s="4" t="n">
        <x:f>'参数'!$B$10</x:f>
        <x:v>4</x:v>
      </x:c>
      <x:c r="S303" s="4" t="n">
        <x:f>'参数'!$C$10</x:f>
        <x:v>1.2</x:v>
      </x:c>
      <x:c r="T303" s="4" t="n">
        <x:f>'参数'!$D$10</x:f>
        <x:v>1</x:v>
      </x:c>
      <x:c r="U303" s="4" t="n">
        <x:f t="shared" si="28">IF($O303="","",$O303*$R303)</x:f>
        <x:v>834560</x:v>
      </x:c>
      <x:c r="V303" s="4" t="n">
        <x:f t="shared" si="29">IF($P303="","",$P303*$S303)</x:f>
        <x:v>27555.6</x:v>
      </x:c>
      <x:c r="W303" s="4" t="n">
        <x:f t="shared" si="30">IF($Q303="","",$Q303*$T303)</x:f>
        <x:v>21621</x:v>
      </x:c>
      <x:c r="X303" s="4" t="n">
        <x:f>IFERROR(INDEX('参数'!$B$5:$B$7,MATCH($N303,'参数'!$A$5:$A$7,0)),"")</x:f>
        <x:v>1.25</x:v>
      </x:c>
      <x:c r="Y303" s="4" t="n">
        <x:f>IFERROR(INDEX('参数'!$C$5:$C$7,MATCH($N303,'参数'!$A$5:$A$7,0)),"")</x:f>
        <x:v>1</x:v>
      </x:c>
      <x:c r="Z303" s="4" t="n">
        <x:f>IFERROR(INDEX('参数'!$D$5:$D$7,MATCH($N303,'参数'!$A$5:$A$7,0)),"")</x:f>
        <x:v>1.25</x:v>
      </x:c>
      <x:c r="AA303" s="4" t="n">
        <x:f>IFERROR(INDEX('楼层配置'!$E$5:$E$104,MATCH($K303,'楼层配置'!$B$5:$B$104,0)),1)</x:f>
        <x:v>1.1586728241265563</x:v>
      </x:c>
      <x:c r="AB303" s="4" t="n">
        <x:f>IFERROR(INDEX('楼层配置'!$F$5:$F$104,MATCH($K303,'楼层配置'!$B$5:$B$104,0)),1)</x:f>
        <x:v>0.6896945247909946</x:v>
      </x:c>
      <x:c r="AC303" s="4" t="n">
        <x:f>IFERROR(INDEX('楼层配置'!$G$5:$G$104,MATCH($K303,'楼层配置'!$B$5:$B$104,0)),1)</x:f>
        <x:v>1</x:v>
      </x:c>
      <x:c r="AD303" s="6" t="n">
        <x:f t="shared" si="31">IFERROR($D303/$G303-1,"")</x:f>
        <x:v>-0.2161913469768889</x:v>
      </x:c>
      <x:c r="AE303" s="6" t="n">
        <x:f t="shared" si="32">IFERROR($E303/$H303-1,"")</x:f>
        <x:v>-0.1124135998505511</x:v>
      </x:c>
      <x:c r="AF303" s="6" t="n">
        <x:f t="shared" si="33">IFERROR($F303/$I303-1,"")</x:f>
        <x:v>0.23007600928496652</x:v>
      </x:c>
      <x:c r="AG303" s="4" t="str">
        <x:f t="shared" si="34">IF(AND($A303&gt;=1,$L303&gt;=1,$L303&lt;=500,OR($N303="Tank",$N303="DPS",$N303="Support"),ISNUMBER($D303),ISNUMBER($E303),ISNUMBER($F303)),"有效","异常")</x:f>
        <x:v>有效</x:v>
      </x:c>
      <x:c r="AH303" t="n">
        <x:f>D303/(1-MIN(0.75,F303/(24000+F303)))</x:f>
        <x:v>2569854.32925</x:v>
      </x:c>
    </x:row>
    <x:row r="304" ht="14.25" customHeight="1">
      <x:c r="A304" s="4">
        <x:v>300</x:v>
      </x:c>
      <x:c r="B304" s="4">
        <x:v>1018</x:v>
      </x:c>
      <x:c r="C304" s="4">
        <x:v>40</x:v>
      </x:c>
      <x:c r="D304" s="5" t="n">
        <x:f>IFERROR(ROUND($U304*$X304*$AA304*'参数'!$B$13,0),"")</x:f>
        <x:v>1208727</x:v>
      </x:c>
      <x:c r="E304" s="5" t="n">
        <x:f>IFERROR(ROUND($V304*$Y304*$AB304*'参数'!$C$13,0),"")</x:f>
        <x:v>19005</x:v>
      </x:c>
      <x:c r="F304" s="5" t="n">
        <x:f>IFERROR(ROUND($W304*$Z304*$AC304*'参数'!$D$13,0),"")</x:f>
        <x:v>27026</x:v>
      </x:c>
      <x:c r="G304" s="4">
        <x:v>1542120</x:v>
      </x:c>
      <x:c r="H304" s="4">
        <x:v>21412</x:v>
      </x:c>
      <x:c r="I304" s="4">
        <x:v>21971</x:v>
      </x:c>
      <x:c r="J304" s="4">
        <x:v>60</x:v>
      </x:c>
      <x:c r="K304" s="4">
        <x:v>60</x:v>
      </x:c>
      <x:c r="L304" s="4" t="n">
        <x:f>IFERROR(INDEX('楼层配置'!$D$5:$D$104,MATCH($K304,'楼层配置'!$B$5:$B$104,0)),"")</x:f>
        <x:v>219</x:v>
      </x:c>
      <x:c r="M304" s="4" t="str">
        <x:f>IFERROR(INDEX('_角色基线'!$B$2:$B$100,MATCH($B304,'_角色基线'!$A$2:$A$100,0)),"")</x:f>
        <x:v>埃莉诺</x:v>
      </x:c>
      <x:c r="N304" s="4" t="str">
        <x:f>IFERROR(INDEX('_角色基线'!$C$2:$C$100,MATCH($B304,'_角色基线'!$A$2:$A$100,0)),"")</x:f>
        <x:v>Support</x:v>
      </x:c>
      <x:c r="O304" s="4" t="n">
        <x:f>IFERROR(INDEX('_怪物基线'!$B$2:$B$501,MATCH(INT($L304),'_怪物基线'!$A$2:$A$501,0)),"")</x:f>
        <x:v>208640</x:v>
      </x:c>
      <x:c r="P304" s="4" t="n">
        <x:f>IFERROR(INDEX('_怪物基线'!$C$2:$C$501,MATCH(INT($L304),'_怪物基线'!$A$2:$A$501,0)),"")</x:f>
        <x:v>22963</x:v>
      </x:c>
      <x:c r="Q304" s="4" t="n">
        <x:f>IFERROR(INDEX('_怪物基线'!$D$2:$D$501,MATCH(INT($L304),'_怪物基线'!$A$2:$A$501,0)),"")</x:f>
        <x:v>21621</x:v>
      </x:c>
      <x:c r="R304" s="4" t="n">
        <x:f>'参数'!$B$10</x:f>
        <x:v>4</x:v>
      </x:c>
      <x:c r="S304" s="4" t="n">
        <x:f>'参数'!$C$10</x:f>
        <x:v>1.2</x:v>
      </x:c>
      <x:c r="T304" s="4" t="n">
        <x:f>'参数'!$D$10</x:f>
        <x:v>1</x:v>
      </x:c>
      <x:c r="U304" s="4" t="n">
        <x:f t="shared" si="28">IF($O304="","",$O304*$R304)</x:f>
        <x:v>834560</x:v>
      </x:c>
      <x:c r="V304" s="4" t="n">
        <x:f t="shared" si="29">IF($P304="","",$P304*$S304)</x:f>
        <x:v>27555.6</x:v>
      </x:c>
      <x:c r="W304" s="4" t="n">
        <x:f t="shared" si="30">IF($Q304="","",$Q304*$T304)</x:f>
        <x:v>21621</x:v>
      </x:c>
      <x:c r="X304" s="4" t="n">
        <x:f>IFERROR(INDEX('参数'!$B$5:$B$7,MATCH($N304,'参数'!$A$5:$A$7,0)),"")</x:f>
        <x:v>1.25</x:v>
      </x:c>
      <x:c r="Y304" s="4" t="n">
        <x:f>IFERROR(INDEX('参数'!$C$5:$C$7,MATCH($N304,'参数'!$A$5:$A$7,0)),"")</x:f>
        <x:v>1</x:v>
      </x:c>
      <x:c r="Z304" s="4" t="n">
        <x:f>IFERROR(INDEX('参数'!$D$5:$D$7,MATCH($N304,'参数'!$A$5:$A$7,0)),"")</x:f>
        <x:v>1.25</x:v>
      </x:c>
      <x:c r="AA304" s="4" t="n">
        <x:f>IFERROR(INDEX('楼层配置'!$E$5:$E$104,MATCH($K304,'楼层配置'!$B$5:$B$104,0)),1)</x:f>
        <x:v>1.1586728241265563</x:v>
      </x:c>
      <x:c r="AB304" s="4" t="n">
        <x:f>IFERROR(INDEX('楼层配置'!$F$5:$F$104,MATCH($K304,'楼层配置'!$B$5:$B$104,0)),1)</x:f>
        <x:v>0.6896945247909946</x:v>
      </x:c>
      <x:c r="AC304" s="4" t="n">
        <x:f>IFERROR(INDEX('楼层配置'!$G$5:$G$104,MATCH($K304,'楼层配置'!$B$5:$B$104,0)),1)</x:f>
        <x:v>1</x:v>
      </x:c>
      <x:c r="AD304" s="6" t="n">
        <x:f t="shared" si="31">IFERROR($D304/$G304-1,"")</x:f>
        <x:v>-0.2161913469768889</x:v>
      </x:c>
      <x:c r="AE304" s="6" t="n">
        <x:f t="shared" si="32">IFERROR($E304/$H304-1,"")</x:f>
        <x:v>-0.1124135998505511</x:v>
      </x:c>
      <x:c r="AF304" s="6" t="n">
        <x:f t="shared" si="33">IFERROR($F304/$I304-1,"")</x:f>
        <x:v>0.23007600928496652</x:v>
      </x:c>
      <x:c r="AG304" s="4" t="str">
        <x:f t="shared" si="34">IF(AND($A304&gt;=1,$L304&gt;=1,$L304&lt;=500,OR($N304="Tank",$N304="DPS",$N304="Support"),ISNUMBER($D304),ISNUMBER($E304),ISNUMBER($F304)),"有效","异常")</x:f>
        <x:v>有效</x:v>
      </x:c>
      <x:c r="AH304" t="n">
        <x:f>D304/(1-MIN(0.75,F304/(24000+F304)))</x:f>
        <x:v>2569854.32925</x:v>
      </x:c>
    </x:row>
    <x:row r="305" ht="14.25" customHeight="1">
      <x:c r="A305" s="4">
        <x:v>301</x:v>
      </x:c>
      <x:c r="B305" s="4">
        <x:v>1003</x:v>
      </x:c>
      <x:c r="C305" s="4">
        <x:v>40</x:v>
      </x:c>
      <x:c r="D305" s="5" t="n">
        <x:f>IFERROR(ROUND($U305*$X305*$AA305*'参数'!$B$13,0),"")</x:f>
        <x:v>1486904</x:v>
      </x:c>
      <x:c r="E305" s="5" t="n">
        <x:f>IFERROR(ROUND($V305*$Y305*$AB305*'参数'!$C$13,0),"")</x:f>
        <x:v>19407</x:v>
      </x:c>
      <x:c r="F305" s="5" t="n">
        <x:f>IFERROR(ROUND($W305*$Z305*$AC305*'参数'!$D$13,0),"")</x:f>
        <x:v>32804</x:v>
      </x:c>
      <x:c r="G305" s="4">
        <x:v>1925647</x:v>
      </x:c>
      <x:c r="H305" s="4">
        <x:v>22019</x:v>
      </x:c>
      <x:c r="I305" s="4">
        <x:v>26917</x:v>
      </x:c>
      <x:c r="J305" s="4">
        <x:v>61</x:v>
      </x:c>
      <x:c r="K305" s="4">
        <x:v>61</x:v>
      </x:c>
      <x:c r="L305" s="4" t="n">
        <x:f>IFERROR(INDEX('楼层配置'!$D$5:$D$104,MATCH($K305,'楼层配置'!$B$5:$B$104,0)),"")</x:f>
        <x:v>221</x:v>
      </x:c>
      <x:c r="M305" s="4" t="str">
        <x:f>IFERROR(INDEX('_角色基线'!$B$2:$B$100,MATCH($B305,'_角色基线'!$A$2:$A$100,0)),"")</x:f>
        <x:v>塔拉夏</x:v>
      </x:c>
      <x:c r="N305" s="4" t="str">
        <x:f>IFERROR(INDEX('_角色基线'!$C$2:$C$100,MATCH($B305,'_角色基线'!$A$2:$A$100,0)),"")</x:f>
        <x:v>Tank</x:v>
      </x:c>
      <x:c r="O305" s="4" t="n">
        <x:f>IFERROR(INDEX('_怪物基线'!$B$2:$B$501,MATCH(INT($L305),'_怪物基线'!$A$2:$A$501,0)),"")</x:f>
        <x:v>213464</x:v>
      </x:c>
      <x:c r="P305" s="4" t="n">
        <x:f>IFERROR(INDEX('_怪物基线'!$C$2:$C$501,MATCH(INT($L305),'_怪物基线'!$A$2:$A$501,0)),"")</x:f>
        <x:v>23350</x:v>
      </x:c>
      <x:c r="Q305" s="4" t="n">
        <x:f>IFERROR(INDEX('_怪物基线'!$D$2:$D$501,MATCH(INT($L305),'_怪物基线'!$A$2:$A$501,0)),"")</x:f>
        <x:v>21869</x:v>
      </x:c>
      <x:c r="R305" s="4" t="n">
        <x:f>'参数'!$B$10</x:f>
        <x:v>4</x:v>
      </x:c>
      <x:c r="S305" s="4" t="n">
        <x:f>'参数'!$C$10</x:f>
        <x:v>1.2</x:v>
      </x:c>
      <x:c r="T305" s="4" t="n">
        <x:f>'参数'!$D$10</x:f>
        <x:v>1</x:v>
      </x:c>
      <x:c r="U305" s="4" t="n">
        <x:f t="shared" si="28">IF($O305="","",$O305*$R305)</x:f>
        <x:v>853856</x:v>
      </x:c>
      <x:c r="V305" s="4" t="n">
        <x:f t="shared" si="29">IF($P305="","",$P305*$S305)</x:f>
        <x:v>28020</x:v>
      </x:c>
      <x:c r="W305" s="4" t="n">
        <x:f t="shared" si="30">IF($Q305="","",$Q305*$T305)</x:f>
        <x:v>21869</x:v>
      </x:c>
      <x:c r="X305" s="4" t="n">
        <x:f>IFERROR(INDEX('参数'!$B$5:$B$7,MATCH($N305,'参数'!$A$5:$A$7,0)),"")</x:f>
        <x:v>1.5</x:v>
      </x:c>
      <x:c r="Y305" s="4" t="n">
        <x:f>IFERROR(INDEX('参数'!$C$5:$C$7,MATCH($N305,'参数'!$A$5:$A$7,0)),"")</x:f>
        <x:v>1</x:v>
      </x:c>
      <x:c r="Z305" s="4" t="n">
        <x:f>IFERROR(INDEX('参数'!$D$5:$D$7,MATCH($N305,'参数'!$A$5:$A$7,0)),"")</x:f>
        <x:v>1.5</x:v>
      </x:c>
      <x:c r="AA305" s="4" t="n">
        <x:f>IFERROR(INDEX('楼层配置'!$E$5:$E$104,MATCH($K305,'楼层配置'!$B$5:$B$104,0)),1)</x:f>
        <x:v>1.160932738374102</x:v>
      </x:c>
      <x:c r="AB305" s="4" t="n">
        <x:f>IFERROR(INDEX('楼层配置'!$F$5:$F$104,MATCH($K305,'楼层配置'!$B$5:$B$104,0)),1)</x:f>
        <x:v>0.692628557170834</x:v>
      </x:c>
      <x:c r="AC305" s="4" t="n">
        <x:f>IFERROR(INDEX('楼层配置'!$G$5:$G$104,MATCH($K305,'楼层配置'!$B$5:$B$104,0)),1)</x:f>
        <x:v>1</x:v>
      </x:c>
      <x:c r="AD305" s="6" t="n">
        <x:f t="shared" si="31">IFERROR($D305/$G305-1,"")</x:f>
        <x:v>-0.22784186302058473</x:v>
      </x:c>
      <x:c r="AE305" s="6" t="n">
        <x:f t="shared" si="32">IFERROR($E305/$H305-1,"")</x:f>
        <x:v>-0.11862482401562291</x:v>
      </x:c>
      <x:c r="AF305" s="6" t="n">
        <x:f t="shared" si="33">IFERROR($F305/$I305-1,"")</x:f>
        <x:v>0.21870936582828704</x:v>
      </x:c>
      <x:c r="AG305" s="4" t="str">
        <x:f t="shared" si="34">IF(AND($A305&gt;=1,$L305&gt;=1,$L305&lt;=500,OR($N305="Tank",$N305="DPS",$N305="Support"),ISNUMBER($D305),ISNUMBER($E305),ISNUMBER($F305)),"有效","异常")</x:f>
        <x:v>有效</x:v>
      </x:c>
      <x:c r="AH305" t="n">
        <x:f>D305/(1-MIN(0.75,F305/(24000+F305)))</x:f>
        <x:v>3519253.9506666665</x:v>
      </x:c>
    </x:row>
    <x:row r="306" ht="14.25" customHeight="1">
      <x:c r="A306" s="4">
        <x:v>302</x:v>
      </x:c>
      <x:c r="B306" s="4">
        <x:v>1001</x:v>
      </x:c>
      <x:c r="C306" s="4">
        <x:v>40</x:v>
      </x:c>
      <x:c r="D306" s="5" t="n">
        <x:f>IFERROR(ROUND($U306*$X306*$AA306*'参数'!$B$13,0),"")</x:f>
        <x:v>991269</x:v>
      </x:c>
      <x:c r="E306" s="5" t="n">
        <x:f>IFERROR(ROUND($V306*$Y306*$AB306*'参数'!$C$13,0),"")</x:f>
        <x:v>23289</x:v>
      </x:c>
      <x:c r="F306" s="5" t="n">
        <x:f>IFERROR(ROUND($W306*$Z306*$AC306*'参数'!$D$13,0),"")</x:f>
        <x:v>21869</x:v>
      </x:c>
      <x:c r="G306" s="4">
        <x:v>1283764</x:v>
      </x:c>
      <x:c r="H306" s="4">
        <x:v>26422</x:v>
      </x:c>
      <x:c r="I306" s="4">
        <x:v>17944</x:v>
      </x:c>
      <x:c r="J306" s="4">
        <x:v>61</x:v>
      </x:c>
      <x:c r="K306" s="4">
        <x:v>61</x:v>
      </x:c>
      <x:c r="L306" s="4" t="n">
        <x:f>IFERROR(INDEX('楼层配置'!$D$5:$D$104,MATCH($K306,'楼层配置'!$B$5:$B$104,0)),"")</x:f>
        <x:v>221</x:v>
      </x:c>
      <x:c r="M306" s="4" t="str">
        <x:f>IFERROR(INDEX('_角色基线'!$B$2:$B$100,MATCH($B306,'_角色基线'!$A$2:$A$100,0)),"")</x:f>
        <x:v>星海</x:v>
      </x:c>
      <x:c r="N306" s="4" t="str">
        <x:f>IFERROR(INDEX('_角色基线'!$C$2:$C$100,MATCH($B306,'_角色基线'!$A$2:$A$100,0)),"")</x:f>
        <x:v>DPS</x:v>
      </x:c>
      <x:c r="O306" s="4" t="n">
        <x:f>IFERROR(INDEX('_怪物基线'!$B$2:$B$501,MATCH(INT($L306),'_怪物基线'!$A$2:$A$501,0)),"")</x:f>
        <x:v>213464</x:v>
      </x:c>
      <x:c r="P306" s="4" t="n">
        <x:f>IFERROR(INDEX('_怪物基线'!$C$2:$C$501,MATCH(INT($L306),'_怪物基线'!$A$2:$A$501,0)),"")</x:f>
        <x:v>23350</x:v>
      </x:c>
      <x:c r="Q306" s="4" t="n">
        <x:f>IFERROR(INDEX('_怪物基线'!$D$2:$D$501,MATCH(INT($L306),'_怪物基线'!$A$2:$A$501,0)),"")</x:f>
        <x:v>21869</x:v>
      </x:c>
      <x:c r="R306" s="4" t="n">
        <x:f>'参数'!$B$10</x:f>
        <x:v>4</x:v>
      </x:c>
      <x:c r="S306" s="4" t="n">
        <x:f>'参数'!$C$10</x:f>
        <x:v>1.2</x:v>
      </x:c>
      <x:c r="T306" s="4" t="n">
        <x:f>'参数'!$D$10</x:f>
        <x:v>1</x:v>
      </x:c>
      <x:c r="U306" s="4" t="n">
        <x:f t="shared" si="28">IF($O306="","",$O306*$R306)</x:f>
        <x:v>853856</x:v>
      </x:c>
      <x:c r="V306" s="4" t="n">
        <x:f t="shared" si="29">IF($P306="","",$P306*$S306)</x:f>
        <x:v>28020</x:v>
      </x:c>
      <x:c r="W306" s="4" t="n">
        <x:f t="shared" si="30">IF($Q306="","",$Q306*$T306)</x:f>
        <x:v>21869</x:v>
      </x:c>
      <x:c r="X306" s="4" t="n">
        <x:f>IFERROR(INDEX('参数'!$B$5:$B$7,MATCH($N306,'参数'!$A$5:$A$7,0)),"")</x:f>
        <x:v>1</x:v>
      </x:c>
      <x:c r="Y306" s="4" t="n">
        <x:f>IFERROR(INDEX('参数'!$C$5:$C$7,MATCH($N306,'参数'!$A$5:$A$7,0)),"")</x:f>
        <x:v>1.2</x:v>
      </x:c>
      <x:c r="Z306" s="4" t="n">
        <x:f>IFERROR(INDEX('参数'!$D$5:$D$7,MATCH($N306,'参数'!$A$5:$A$7,0)),"")</x:f>
        <x:v>1</x:v>
      </x:c>
      <x:c r="AA306" s="4" t="n">
        <x:f>IFERROR(INDEX('楼层配置'!$E$5:$E$104,MATCH($K306,'楼层配置'!$B$5:$B$104,0)),1)</x:f>
        <x:v>1.160932738374102</x:v>
      </x:c>
      <x:c r="AB306" s="4" t="n">
        <x:f>IFERROR(INDEX('楼层配置'!$F$5:$F$104,MATCH($K306,'楼层配置'!$B$5:$B$104,0)),1)</x:f>
        <x:v>0.692628557170834</x:v>
      </x:c>
      <x:c r="AC306" s="4" t="n">
        <x:f>IFERROR(INDEX('楼层配置'!$G$5:$G$104,MATCH($K306,'楼层配置'!$B$5:$B$104,0)),1)</x:f>
        <x:v>1</x:v>
      </x:c>
      <x:c r="AD306" s="6" t="n">
        <x:f t="shared" si="31">IFERROR($D306/$G306-1,"")</x:f>
        <x:v>-0.22784172168716366</x:v>
      </x:c>
      <x:c r="AE306" s="6" t="n">
        <x:f t="shared" si="32">IFERROR($E306/$H306-1,"")</x:f>
        <x:v>-0.11857542956627054</x:v>
      </x:c>
      <x:c r="AF306" s="6" t="n">
        <x:f t="shared" si="33">IFERROR($F306/$I306-1,"")</x:f>
        <x:v>0.21873606776638432</x:v>
      </x:c>
      <x:c r="AG306" s="4" t="str">
        <x:f t="shared" si="34">IF(AND($A306&gt;=1,$L306&gt;=1,$L306&lt;=500,OR($N306="Tank",$N306="DPS",$N306="Support"),ISNUMBER($D306),ISNUMBER($E306),ISNUMBER($F306)),"有效","异常")</x:f>
        <x:v>有效</x:v>
      </x:c>
      <x:c r="AH306" t="n">
        <x:f>D306/(1-MIN(0.75,F306/(24000+F306)))</x:f>
        <x:v>1894521.5733750002</x:v>
      </x:c>
    </x:row>
    <x:row r="307" ht="14.25" customHeight="1">
      <x:c r="A307" s="4">
        <x:v>303</x:v>
      </x:c>
      <x:c r="B307" s="4">
        <x:v>1012</x:v>
      </x:c>
      <x:c r="C307" s="4">
        <x:v>40</x:v>
      </x:c>
      <x:c r="D307" s="5" t="n">
        <x:f>IFERROR(ROUND($U307*$X307*$AA307*'参数'!$B$13,0),"")</x:f>
        <x:v>1239087</x:v>
      </x:c>
      <x:c r="E307" s="5" t="n">
        <x:f>IFERROR(ROUND($V307*$Y307*$AB307*'参数'!$C$13,0),"")</x:f>
        <x:v>19407</x:v>
      </x:c>
      <x:c r="F307" s="5" t="n">
        <x:f>IFERROR(ROUND($W307*$Z307*$AC307*'参数'!$D$13,0),"")</x:f>
        <x:v>27336</x:v>
      </x:c>
      <x:c r="G307" s="4">
        <x:v>1604706</x:v>
      </x:c>
      <x:c r="H307" s="4">
        <x:v>22019</x:v>
      </x:c>
      <x:c r="I307" s="4">
        <x:v>22431</x:v>
      </x:c>
      <x:c r="J307" s="4">
        <x:v>61</x:v>
      </x:c>
      <x:c r="K307" s="4">
        <x:v>61</x:v>
      </x:c>
      <x:c r="L307" s="4" t="n">
        <x:f>IFERROR(INDEX('楼层配置'!$D$5:$D$104,MATCH($K307,'楼层配置'!$B$5:$B$104,0)),"")</x:f>
        <x:v>221</x:v>
      </x:c>
      <x:c r="M307" s="4" t="str">
        <x:f>IFERROR(INDEX('_角色基线'!$B$2:$B$100,MATCH($B307,'_角色基线'!$A$2:$A$100,0)),"")</x:f>
        <x:v>艾德琳</x:v>
      </x:c>
      <x:c r="N307" s="4" t="str">
        <x:f>IFERROR(INDEX('_角色基线'!$C$2:$C$100,MATCH($B307,'_角色基线'!$A$2:$A$100,0)),"")</x:f>
        <x:v>Support</x:v>
      </x:c>
      <x:c r="O307" s="4" t="n">
        <x:f>IFERROR(INDEX('_怪物基线'!$B$2:$B$501,MATCH(INT($L307),'_怪物基线'!$A$2:$A$501,0)),"")</x:f>
        <x:v>213464</x:v>
      </x:c>
      <x:c r="P307" s="4" t="n">
        <x:f>IFERROR(INDEX('_怪物基线'!$C$2:$C$501,MATCH(INT($L307),'_怪物基线'!$A$2:$A$501,0)),"")</x:f>
        <x:v>23350</x:v>
      </x:c>
      <x:c r="Q307" s="4" t="n">
        <x:f>IFERROR(INDEX('_怪物基线'!$D$2:$D$501,MATCH(INT($L307),'_怪物基线'!$A$2:$A$501,0)),"")</x:f>
        <x:v>21869</x:v>
      </x:c>
      <x:c r="R307" s="4" t="n">
        <x:f>'参数'!$B$10</x:f>
        <x:v>4</x:v>
      </x:c>
      <x:c r="S307" s="4" t="n">
        <x:f>'参数'!$C$10</x:f>
        <x:v>1.2</x:v>
      </x:c>
      <x:c r="T307" s="4" t="n">
        <x:f>'参数'!$D$10</x:f>
        <x:v>1</x:v>
      </x:c>
      <x:c r="U307" s="4" t="n">
        <x:f t="shared" si="28">IF($O307="","",$O307*$R307)</x:f>
        <x:v>853856</x:v>
      </x:c>
      <x:c r="V307" s="4" t="n">
        <x:f t="shared" si="29">IF($P307="","",$P307*$S307)</x:f>
        <x:v>28020</x:v>
      </x:c>
      <x:c r="W307" s="4" t="n">
        <x:f t="shared" si="30">IF($Q307="","",$Q307*$T307)</x:f>
        <x:v>21869</x:v>
      </x:c>
      <x:c r="X307" s="4" t="n">
        <x:f>IFERROR(INDEX('参数'!$B$5:$B$7,MATCH($N307,'参数'!$A$5:$A$7,0)),"")</x:f>
        <x:v>1.25</x:v>
      </x:c>
      <x:c r="Y307" s="4" t="n">
        <x:f>IFERROR(INDEX('参数'!$C$5:$C$7,MATCH($N307,'参数'!$A$5:$A$7,0)),"")</x:f>
        <x:v>1</x:v>
      </x:c>
      <x:c r="Z307" s="4" t="n">
        <x:f>IFERROR(INDEX('参数'!$D$5:$D$7,MATCH($N307,'参数'!$A$5:$A$7,0)),"")</x:f>
        <x:v>1.25</x:v>
      </x:c>
      <x:c r="AA307" s="4" t="n">
        <x:f>IFERROR(INDEX('楼层配置'!$E$5:$E$104,MATCH($K307,'楼层配置'!$B$5:$B$104,0)),1)</x:f>
        <x:v>1.160932738374102</x:v>
      </x:c>
      <x:c r="AB307" s="4" t="n">
        <x:f>IFERROR(INDEX('楼层配置'!$F$5:$F$104,MATCH($K307,'楼层配置'!$B$5:$B$104,0)),1)</x:f>
        <x:v>0.692628557170834</x:v>
      </x:c>
      <x:c r="AC307" s="4" t="n">
        <x:f>IFERROR(INDEX('楼层配置'!$G$5:$G$104,MATCH($K307,'楼层配置'!$B$5:$B$104,0)),1)</x:f>
        <x:v>1</x:v>
      </x:c>
      <x:c r="AD307" s="6" t="n">
        <x:f t="shared" si="31">IFERROR($D307/$G307-1,"")</x:f>
        <x:v>-0.22784173549547393</x:v>
      </x:c>
      <x:c r="AE307" s="6" t="n">
        <x:f t="shared" si="32">IFERROR($E307/$H307-1,"")</x:f>
        <x:v>-0.11862482401562291</x:v>
      </x:c>
      <x:c r="AF307" s="6" t="n">
        <x:f t="shared" si="33">IFERROR($F307/$I307-1,"")</x:f>
        <x:v>0.21867058980874687</x:v>
      </x:c>
      <x:c r="AG307" s="4" t="str">
        <x:f t="shared" si="34">IF(AND($A307&gt;=1,$L307&gt;=1,$L307&lt;=500,OR($N307="Tank",$N307="DPS",$N307="Support"),ISNUMBER($D307),ISNUMBER($E307),ISNUMBER($F307)),"有效","异常")</x:f>
        <x:v>有效</x:v>
      </x:c>
      <x:c r="AH307" t="n">
        <x:f>D307/(1-MIN(0.75,F307/(24000+F307)))</x:f>
        <x:v>2650407.093</x:v>
      </x:c>
    </x:row>
    <x:row r="308" ht="14.25" customHeight="1">
      <x:c r="A308" s="4">
        <x:v>304</x:v>
      </x:c>
      <x:c r="B308" s="4">
        <x:v>1021</x:v>
      </x:c>
      <x:c r="C308" s="4">
        <x:v>40</x:v>
      </x:c>
      <x:c r="D308" s="5" t="n">
        <x:f>IFERROR(ROUND($U308*$X308*$AA308*'参数'!$B$13,0),"")</x:f>
        <x:v>991269</x:v>
      </x:c>
      <x:c r="E308" s="5" t="n">
        <x:f>IFERROR(ROUND($V308*$Y308*$AB308*'参数'!$C$13,0),"")</x:f>
        <x:v>23289</x:v>
      </x:c>
      <x:c r="F308" s="5" t="n">
        <x:f>IFERROR(ROUND($W308*$Z308*$AC308*'参数'!$D$13,0),"")</x:f>
        <x:v>21869</x:v>
      </x:c>
      <x:c r="G308" s="4">
        <x:v>1283764</x:v>
      </x:c>
      <x:c r="H308" s="4">
        <x:v>26422</x:v>
      </x:c>
      <x:c r="I308" s="4">
        <x:v>17944</x:v>
      </x:c>
      <x:c r="J308" s="4">
        <x:v>61</x:v>
      </x:c>
      <x:c r="K308" s="4">
        <x:v>61</x:v>
      </x:c>
      <x:c r="L308" s="4" t="n">
        <x:f>IFERROR(INDEX('楼层配置'!$D$5:$D$104,MATCH($K308,'楼层配置'!$B$5:$B$104,0)),"")</x:f>
        <x:v>221</x:v>
      </x:c>
      <x:c r="M308" s="4" t="str">
        <x:f>IFERROR(INDEX('_角色基线'!$B$2:$B$100,MATCH($B308,'_角色基线'!$A$2:$A$100,0)),"")</x:f>
        <x:v>梅梅</x:v>
      </x:c>
      <x:c r="N308" s="4" t="str">
        <x:f>IFERROR(INDEX('_角色基线'!$C$2:$C$100,MATCH($B308,'_角色基线'!$A$2:$A$100,0)),"")</x:f>
        <x:v>DPS</x:v>
      </x:c>
      <x:c r="O308" s="4" t="n">
        <x:f>IFERROR(INDEX('_怪物基线'!$B$2:$B$501,MATCH(INT($L308),'_怪物基线'!$A$2:$A$501,0)),"")</x:f>
        <x:v>213464</x:v>
      </x:c>
      <x:c r="P308" s="4" t="n">
        <x:f>IFERROR(INDEX('_怪物基线'!$C$2:$C$501,MATCH(INT($L308),'_怪物基线'!$A$2:$A$501,0)),"")</x:f>
        <x:v>23350</x:v>
      </x:c>
      <x:c r="Q308" s="4" t="n">
        <x:f>IFERROR(INDEX('_怪物基线'!$D$2:$D$501,MATCH(INT($L308),'_怪物基线'!$A$2:$A$501,0)),"")</x:f>
        <x:v>21869</x:v>
      </x:c>
      <x:c r="R308" s="4" t="n">
        <x:f>'参数'!$B$10</x:f>
        <x:v>4</x:v>
      </x:c>
      <x:c r="S308" s="4" t="n">
        <x:f>'参数'!$C$10</x:f>
        <x:v>1.2</x:v>
      </x:c>
      <x:c r="T308" s="4" t="n">
        <x:f>'参数'!$D$10</x:f>
        <x:v>1</x:v>
      </x:c>
      <x:c r="U308" s="4" t="n">
        <x:f t="shared" si="28">IF($O308="","",$O308*$R308)</x:f>
        <x:v>853856</x:v>
      </x:c>
      <x:c r="V308" s="4" t="n">
        <x:f t="shared" si="29">IF($P308="","",$P308*$S308)</x:f>
        <x:v>28020</x:v>
      </x:c>
      <x:c r="W308" s="4" t="n">
        <x:f t="shared" si="30">IF($Q308="","",$Q308*$T308)</x:f>
        <x:v>21869</x:v>
      </x:c>
      <x:c r="X308" s="4" t="n">
        <x:f>IFERROR(INDEX('参数'!$B$5:$B$7,MATCH($N308,'参数'!$A$5:$A$7,0)),"")</x:f>
        <x:v>1</x:v>
      </x:c>
      <x:c r="Y308" s="4" t="n">
        <x:f>IFERROR(INDEX('参数'!$C$5:$C$7,MATCH($N308,'参数'!$A$5:$A$7,0)),"")</x:f>
        <x:v>1.2</x:v>
      </x:c>
      <x:c r="Z308" s="4" t="n">
        <x:f>IFERROR(INDEX('参数'!$D$5:$D$7,MATCH($N308,'参数'!$A$5:$A$7,0)),"")</x:f>
        <x:v>1</x:v>
      </x:c>
      <x:c r="AA308" s="4" t="n">
        <x:f>IFERROR(INDEX('楼层配置'!$E$5:$E$104,MATCH($K308,'楼层配置'!$B$5:$B$104,0)),1)</x:f>
        <x:v>1.160932738374102</x:v>
      </x:c>
      <x:c r="AB308" s="4" t="n">
        <x:f>IFERROR(INDEX('楼层配置'!$F$5:$F$104,MATCH($K308,'楼层配置'!$B$5:$B$104,0)),1)</x:f>
        <x:v>0.692628557170834</x:v>
      </x:c>
      <x:c r="AC308" s="4" t="n">
        <x:f>IFERROR(INDEX('楼层配置'!$G$5:$G$104,MATCH($K308,'楼层配置'!$B$5:$B$104,0)),1)</x:f>
        <x:v>1</x:v>
      </x:c>
      <x:c r="AD308" s="6" t="n">
        <x:f t="shared" si="31">IFERROR($D308/$G308-1,"")</x:f>
        <x:v>-0.22784172168716366</x:v>
      </x:c>
      <x:c r="AE308" s="6" t="n">
        <x:f t="shared" si="32">IFERROR($E308/$H308-1,"")</x:f>
        <x:v>-0.11857542956627054</x:v>
      </x:c>
      <x:c r="AF308" s="6" t="n">
        <x:f t="shared" si="33">IFERROR($F308/$I308-1,"")</x:f>
        <x:v>0.21873606776638432</x:v>
      </x:c>
      <x:c r="AG308" s="4" t="str">
        <x:f t="shared" si="34">IF(AND($A308&gt;=1,$L308&gt;=1,$L308&lt;=500,OR($N308="Tank",$N308="DPS",$N308="Support"),ISNUMBER($D308),ISNUMBER($E308),ISNUMBER($F308)),"有效","异常")</x:f>
        <x:v>有效</x:v>
      </x:c>
      <x:c r="AH308" t="n">
        <x:f>D308/(1-MIN(0.75,F308/(24000+F308)))</x:f>
        <x:v>1894521.5733750002</x:v>
      </x:c>
    </x:row>
    <x:row r="309" ht="14.25" customHeight="1">
      <x:c r="A309" s="4">
        <x:v>305</x:v>
      </x:c>
      <x:c r="B309" s="4">
        <x:v>1005</x:v>
      </x:c>
      <x:c r="C309" s="4">
        <x:v>40</x:v>
      </x:c>
      <x:c r="D309" s="5" t="n">
        <x:f>IFERROR(ROUND($U309*$X309*$AA309*'参数'!$B$13,0),"")</x:f>
        <x:v>991269</x:v>
      </x:c>
      <x:c r="E309" s="5" t="n">
        <x:f>IFERROR(ROUND($V309*$Y309*$AB309*'参数'!$C$13,0),"")</x:f>
        <x:v>23289</x:v>
      </x:c>
      <x:c r="F309" s="5" t="n">
        <x:f>IFERROR(ROUND($W309*$Z309*$AC309*'参数'!$D$13,0),"")</x:f>
        <x:v>21869</x:v>
      </x:c>
      <x:c r="G309" s="4">
        <x:v>1283764</x:v>
      </x:c>
      <x:c r="H309" s="4">
        <x:v>26422</x:v>
      </x:c>
      <x:c r="I309" s="4">
        <x:v>17944</x:v>
      </x:c>
      <x:c r="J309" s="4">
        <x:v>61</x:v>
      </x:c>
      <x:c r="K309" s="4">
        <x:v>61</x:v>
      </x:c>
      <x:c r="L309" s="4" t="n">
        <x:f>IFERROR(INDEX('楼层配置'!$D$5:$D$104,MATCH($K309,'楼层配置'!$B$5:$B$104,0)),"")</x:f>
        <x:v>221</x:v>
      </x:c>
      <x:c r="M309" s="4" t="str">
        <x:f>IFERROR(INDEX('_角色基线'!$B$2:$B$100,MATCH($B309,'_角色基线'!$A$2:$A$100,0)),"")</x:f>
        <x:v>陈单单</x:v>
      </x:c>
      <x:c r="N309" s="4" t="str">
        <x:f>IFERROR(INDEX('_角色基线'!$C$2:$C$100,MATCH($B309,'_角色基线'!$A$2:$A$100,0)),"")</x:f>
        <x:v>DPS</x:v>
      </x:c>
      <x:c r="O309" s="4" t="n">
        <x:f>IFERROR(INDEX('_怪物基线'!$B$2:$B$501,MATCH(INT($L309),'_怪物基线'!$A$2:$A$501,0)),"")</x:f>
        <x:v>213464</x:v>
      </x:c>
      <x:c r="P309" s="4" t="n">
        <x:f>IFERROR(INDEX('_怪物基线'!$C$2:$C$501,MATCH(INT($L309),'_怪物基线'!$A$2:$A$501,0)),"")</x:f>
        <x:v>23350</x:v>
      </x:c>
      <x:c r="Q309" s="4" t="n">
        <x:f>IFERROR(INDEX('_怪物基线'!$D$2:$D$501,MATCH(INT($L309),'_怪物基线'!$A$2:$A$501,0)),"")</x:f>
        <x:v>21869</x:v>
      </x:c>
      <x:c r="R309" s="4" t="n">
        <x:f>'参数'!$B$10</x:f>
        <x:v>4</x:v>
      </x:c>
      <x:c r="S309" s="4" t="n">
        <x:f>'参数'!$C$10</x:f>
        <x:v>1.2</x:v>
      </x:c>
      <x:c r="T309" s="4" t="n">
        <x:f>'参数'!$D$10</x:f>
        <x:v>1</x:v>
      </x:c>
      <x:c r="U309" s="4" t="n">
        <x:f t="shared" si="28">IF($O309="","",$O309*$R309)</x:f>
        <x:v>853856</x:v>
      </x:c>
      <x:c r="V309" s="4" t="n">
        <x:f t="shared" si="29">IF($P309="","",$P309*$S309)</x:f>
        <x:v>28020</x:v>
      </x:c>
      <x:c r="W309" s="4" t="n">
        <x:f t="shared" si="30">IF($Q309="","",$Q309*$T309)</x:f>
        <x:v>21869</x:v>
      </x:c>
      <x:c r="X309" s="4" t="n">
        <x:f>IFERROR(INDEX('参数'!$B$5:$B$7,MATCH($N309,'参数'!$A$5:$A$7,0)),"")</x:f>
        <x:v>1</x:v>
      </x:c>
      <x:c r="Y309" s="4" t="n">
        <x:f>IFERROR(INDEX('参数'!$C$5:$C$7,MATCH($N309,'参数'!$A$5:$A$7,0)),"")</x:f>
        <x:v>1.2</x:v>
      </x:c>
      <x:c r="Z309" s="4" t="n">
        <x:f>IFERROR(INDEX('参数'!$D$5:$D$7,MATCH($N309,'参数'!$A$5:$A$7,0)),"")</x:f>
        <x:v>1</x:v>
      </x:c>
      <x:c r="AA309" s="4" t="n">
        <x:f>IFERROR(INDEX('楼层配置'!$E$5:$E$104,MATCH($K309,'楼层配置'!$B$5:$B$104,0)),1)</x:f>
        <x:v>1.160932738374102</x:v>
      </x:c>
      <x:c r="AB309" s="4" t="n">
        <x:f>IFERROR(INDEX('楼层配置'!$F$5:$F$104,MATCH($K309,'楼层配置'!$B$5:$B$104,0)),1)</x:f>
        <x:v>0.692628557170834</x:v>
      </x:c>
      <x:c r="AC309" s="4" t="n">
        <x:f>IFERROR(INDEX('楼层配置'!$G$5:$G$104,MATCH($K309,'楼层配置'!$B$5:$B$104,0)),1)</x:f>
        <x:v>1</x:v>
      </x:c>
      <x:c r="AD309" s="6" t="n">
        <x:f t="shared" si="31">IFERROR($D309/$G309-1,"")</x:f>
        <x:v>-0.22784172168716366</x:v>
      </x:c>
      <x:c r="AE309" s="6" t="n">
        <x:f t="shared" si="32">IFERROR($E309/$H309-1,"")</x:f>
        <x:v>-0.11857542956627054</x:v>
      </x:c>
      <x:c r="AF309" s="6" t="n">
        <x:f t="shared" si="33">IFERROR($F309/$I309-1,"")</x:f>
        <x:v>0.21873606776638432</x:v>
      </x:c>
      <x:c r="AG309" s="4" t="str">
        <x:f t="shared" si="34">IF(AND($A309&gt;=1,$L309&gt;=1,$L309&lt;=500,OR($N309="Tank",$N309="DPS",$N309="Support"),ISNUMBER($D309),ISNUMBER($E309),ISNUMBER($F309)),"有效","异常")</x:f>
        <x:v>有效</x:v>
      </x:c>
      <x:c r="AH309" t="n">
        <x:f>D309/(1-MIN(0.75,F309/(24000+F309)))</x:f>
        <x:v>1894521.5733750002</x:v>
      </x:c>
    </x:row>
    <x:row r="310" ht="14.25" customHeight="1">
      <x:c r="A310" s="4">
        <x:v>306</x:v>
      </x:c>
      <x:c r="B310" s="4">
        <x:v>1004</x:v>
      </x:c>
      <x:c r="C310" s="4">
        <x:v>41</x:v>
      </x:c>
      <x:c r="D310" s="5" t="n">
        <x:f>IFERROR(ROUND($U310*$X310*$AA310*'参数'!$B$13,0),"")</x:f>
        <x:v>1511309</x:v>
      </x:c>
      <x:c r="E310" s="5" t="n">
        <x:f>IFERROR(ROUND($V310*$Y310*$AB310*'参数'!$C$13,0),"")</x:f>
        <x:v>19701</x:v>
      </x:c>
      <x:c r="F310" s="5" t="n">
        <x:f>IFERROR(ROUND($W310*$Z310*$AC310*'参数'!$D$13,0),"")</x:f>
        <x:v>33177</x:v>
      </x:c>
      <x:c r="G310" s="4">
        <x:v>2002946</x:v>
      </x:c>
      <x:c r="H310" s="4">
        <x:v>22639</x:v>
      </x:c>
      <x:c r="I310" s="4">
        <x:v>27474</x:v>
      </x:c>
      <x:c r="J310" s="4">
        <x:v>62</x:v>
      </x:c>
      <x:c r="K310" s="4">
        <x:v>62</x:v>
      </x:c>
      <x:c r="L310" s="4" t="n">
        <x:f>IFERROR(INDEX('楼层配置'!$D$5:$D$104,MATCH($K310,'楼层配置'!$B$5:$B$104,0)),"")</x:f>
        <x:v>223</x:v>
      </x:c>
      <x:c r="M310" s="4" t="str">
        <x:f>IFERROR(INDEX('_角色基线'!$B$2:$B$100,MATCH($B310,'_角色基线'!$A$2:$A$100,0)),"")</x:f>
        <x:v>阿芭</x:v>
      </x:c>
      <x:c r="N310" s="4" t="str">
        <x:f>IFERROR(INDEX('_角色基线'!$C$2:$C$100,MATCH($B310,'_角色基线'!$A$2:$A$100,0)),"")</x:f>
        <x:v>Tank</x:v>
      </x:c>
      <x:c r="O310" s="4" t="n">
        <x:f>IFERROR(INDEX('_怪物基线'!$B$2:$B$501,MATCH(INT($L310),'_怪物基线'!$A$2:$A$501,0)),"")</x:f>
        <x:v>218370</x:v>
      </x:c>
      <x:c r="P310" s="4" t="n">
        <x:f>IFERROR(INDEX('_怪物基线'!$C$2:$C$501,MATCH(INT($L310),'_怪物基线'!$A$2:$A$501,0)),"")</x:f>
        <x:v>23740</x:v>
      </x:c>
      <x:c r="Q310" s="4" t="n">
        <x:f>IFERROR(INDEX('_怪物基线'!$D$2:$D$501,MATCH(INT($L310),'_怪物基线'!$A$2:$A$501,0)),"")</x:f>
        <x:v>22118</x:v>
      </x:c>
      <x:c r="R310" s="4" t="n">
        <x:f>'参数'!$B$10</x:f>
        <x:v>4</x:v>
      </x:c>
      <x:c r="S310" s="4" t="n">
        <x:f>'参数'!$C$10</x:f>
        <x:v>1.2</x:v>
      </x:c>
      <x:c r="T310" s="4" t="n">
        <x:f>'参数'!$D$10</x:f>
        <x:v>1</x:v>
      </x:c>
      <x:c r="U310" s="4" t="n">
        <x:f t="shared" si="28">IF($O310="","",$O310*$R310)</x:f>
        <x:v>873480</x:v>
      </x:c>
      <x:c r="V310" s="4" t="n">
        <x:f t="shared" si="29">IF($P310="","",$P310*$S310)</x:f>
        <x:v>28488</x:v>
      </x:c>
      <x:c r="W310" s="4" t="n">
        <x:f t="shared" si="30">IF($Q310="","",$Q310*$T310)</x:f>
        <x:v>22118</x:v>
      </x:c>
      <x:c r="X310" s="4" t="n">
        <x:f>IFERROR(INDEX('参数'!$B$5:$B$7,MATCH($N310,'参数'!$A$5:$A$7,0)),"")</x:f>
        <x:v>1.5</x:v>
      </x:c>
      <x:c r="Y310" s="4" t="n">
        <x:f>IFERROR(INDEX('参数'!$C$5:$C$7,MATCH($N310,'参数'!$A$5:$A$7,0)),"")</x:f>
        <x:v>1</x:v>
      </x:c>
      <x:c r="Z310" s="4" t="n">
        <x:f>IFERROR(INDEX('参数'!$D$5:$D$7,MATCH($N310,'参数'!$A$5:$A$7,0)),"")</x:f>
        <x:v>1.5</x:v>
      </x:c>
      <x:c r="AA310" s="4" t="n">
        <x:f>IFERROR(INDEX('楼层配置'!$E$5:$E$104,MATCH($K310,'楼层配置'!$B$5:$B$104,0)),1)</x:f>
        <x:v>1.1534772820596615</x:v>
      </x:c>
      <x:c r="AB310" s="4" t="n">
        <x:f>IFERROR(INDEX('楼层配置'!$F$5:$F$104,MATCH($K310,'楼层配置'!$B$5:$B$104,0)),1)</x:f>
        <x:v>0.6915636763222754</x:v>
      </x:c>
      <x:c r="AC310" s="4" t="n">
        <x:f>IFERROR(INDEX('楼层配置'!$G$5:$G$104,MATCH($K310,'楼层配置'!$B$5:$B$104,0)),1)</x:f>
        <x:v>1</x:v>
      </x:c>
      <x:c r="AD310" s="6" t="n">
        <x:f t="shared" si="31">IFERROR($D310/$G310-1,"")</x:f>
        <x:v>-0.24545694192454515</x:v>
      </x:c>
      <x:c r="AE310" s="6" t="n">
        <x:f t="shared" si="32">IFERROR($E310/$H310-1,"")</x:f>
        <x:v>-0.12977605017889482</x:v>
      </x:c>
      <x:c r="AF310" s="6" t="n">
        <x:f t="shared" si="33">IFERROR($F310/$I310-1,"")</x:f>
        <x:v>0.2075780738152435</x:v>
      </x:c>
      <x:c r="AG310" s="4" t="str">
        <x:f t="shared" si="34">IF(AND($A310&gt;=1,$L310&gt;=1,$L310&lt;=500,OR($N310="Tank",$N310="DPS",$N310="Support"),ISNUMBER($D310),ISNUMBER($E310),ISNUMBER($F310)),"有效","异常")</x:f>
        <x:v>有效</x:v>
      </x:c>
      <x:c r="AH310" t="n">
        <x:f>D310/(1-MIN(0.75,F310/(24000+F310)))</x:f>
        <x:v>3600504.778875</x:v>
      </x:c>
    </x:row>
    <x:row r="311" ht="14.25" customHeight="1">
      <x:c r="A311" s="4">
        <x:v>307</x:v>
      </x:c>
      <x:c r="B311" s="4">
        <x:v>1011</x:v>
      </x:c>
      <x:c r="C311" s="4">
        <x:v>41</x:v>
      </x:c>
      <x:c r="D311" s="5" t="n">
        <x:f>IFERROR(ROUND($U311*$X311*$AA311*'参数'!$B$13,0),"")</x:f>
        <x:v>1259424</x:v>
      </x:c>
      <x:c r="E311" s="5" t="n">
        <x:f>IFERROR(ROUND($V311*$Y311*$AB311*'参数'!$C$13,0),"")</x:f>
        <x:v>19701</x:v>
      </x:c>
      <x:c r="F311" s="5" t="n">
        <x:f>IFERROR(ROUND($W311*$Z311*$AC311*'参数'!$D$13,0),"")</x:f>
        <x:v>27648</x:v>
      </x:c>
      <x:c r="G311" s="4">
        <x:v>1669122</x:v>
      </x:c>
      <x:c r="H311" s="4">
        <x:v>22639</x:v>
      </x:c>
      <x:c r="I311" s="4">
        <x:v>22895</x:v>
      </x:c>
      <x:c r="J311" s="4">
        <x:v>62</x:v>
      </x:c>
      <x:c r="K311" s="4">
        <x:v>62</x:v>
      </x:c>
      <x:c r="L311" s="4" t="n">
        <x:f>IFERROR(INDEX('楼层配置'!$D$5:$D$104,MATCH($K311,'楼层配置'!$B$5:$B$104,0)),"")</x:f>
        <x:v>223</x:v>
      </x:c>
      <x:c r="M311" s="4" t="str">
        <x:f>IFERROR(INDEX('_角色基线'!$B$2:$B$100,MATCH($B311,'_角色基线'!$A$2:$A$100,0)),"")</x:f>
        <x:v>陈双双</x:v>
      </x:c>
      <x:c r="N311" s="4" t="str">
        <x:f>IFERROR(INDEX('_角色基线'!$C$2:$C$100,MATCH($B311,'_角色基线'!$A$2:$A$100,0)),"")</x:f>
        <x:v>Support</x:v>
      </x:c>
      <x:c r="O311" s="4" t="n">
        <x:f>IFERROR(INDEX('_怪物基线'!$B$2:$B$501,MATCH(INT($L311),'_怪物基线'!$A$2:$A$501,0)),"")</x:f>
        <x:v>218370</x:v>
      </x:c>
      <x:c r="P311" s="4" t="n">
        <x:f>IFERROR(INDEX('_怪物基线'!$C$2:$C$501,MATCH(INT($L311),'_怪物基线'!$A$2:$A$501,0)),"")</x:f>
        <x:v>23740</x:v>
      </x:c>
      <x:c r="Q311" s="4" t="n">
        <x:f>IFERROR(INDEX('_怪物基线'!$D$2:$D$501,MATCH(INT($L311),'_怪物基线'!$A$2:$A$501,0)),"")</x:f>
        <x:v>22118</x:v>
      </x:c>
      <x:c r="R311" s="4" t="n">
        <x:f>'参数'!$B$10</x:f>
        <x:v>4</x:v>
      </x:c>
      <x:c r="S311" s="4" t="n">
        <x:f>'参数'!$C$10</x:f>
        <x:v>1.2</x:v>
      </x:c>
      <x:c r="T311" s="4" t="n">
        <x:f>'参数'!$D$10</x:f>
        <x:v>1</x:v>
      </x:c>
      <x:c r="U311" s="4" t="n">
        <x:f t="shared" si="28">IF($O311="","",$O311*$R311)</x:f>
        <x:v>873480</x:v>
      </x:c>
      <x:c r="V311" s="4" t="n">
        <x:f t="shared" si="29">IF($P311="","",$P311*$S311)</x:f>
        <x:v>28488</x:v>
      </x:c>
      <x:c r="W311" s="4" t="n">
        <x:f t="shared" si="30">IF($Q311="","",$Q311*$T311)</x:f>
        <x:v>22118</x:v>
      </x:c>
      <x:c r="X311" s="4" t="n">
        <x:f>IFERROR(INDEX('参数'!$B$5:$B$7,MATCH($N311,'参数'!$A$5:$A$7,0)),"")</x:f>
        <x:v>1.25</x:v>
      </x:c>
      <x:c r="Y311" s="4" t="n">
        <x:f>IFERROR(INDEX('参数'!$C$5:$C$7,MATCH($N311,'参数'!$A$5:$A$7,0)),"")</x:f>
        <x:v>1</x:v>
      </x:c>
      <x:c r="Z311" s="4" t="n">
        <x:f>IFERROR(INDEX('参数'!$D$5:$D$7,MATCH($N311,'参数'!$A$5:$A$7,0)),"")</x:f>
        <x:v>1.25</x:v>
      </x:c>
      <x:c r="AA311" s="4" t="n">
        <x:f>IFERROR(INDEX('楼层配置'!$E$5:$E$104,MATCH($K311,'楼层配置'!$B$5:$B$104,0)),1)</x:f>
        <x:v>1.1534772820596615</x:v>
      </x:c>
      <x:c r="AB311" s="4" t="n">
        <x:f>IFERROR(INDEX('楼层配置'!$F$5:$F$104,MATCH($K311,'楼层配置'!$B$5:$B$104,0)),1)</x:f>
        <x:v>0.6915636763222754</x:v>
      </x:c>
      <x:c r="AC311" s="4" t="n">
        <x:f>IFERROR(INDEX('楼层配置'!$G$5:$G$104,MATCH($K311,'楼层配置'!$B$5:$B$104,0)),1)</x:f>
        <x:v>1</x:v>
      </x:c>
      <x:c r="AD311" s="6" t="n">
        <x:f t="shared" si="31">IFERROR($D311/$G311-1,"")</x:f>
        <x:v>-0.24545719246406195</x:v>
      </x:c>
      <x:c r="AE311" s="6" t="n">
        <x:f t="shared" si="32">IFERROR($E311/$H311-1,"")</x:f>
        <x:v>-0.12977605017889482</x:v>
      </x:c>
      <x:c r="AF311" s="6" t="n">
        <x:f t="shared" si="33">IFERROR($F311/$I311-1,"")</x:f>
        <x:v>0.20759991264468214</x:v>
      </x:c>
      <x:c r="AG311" s="4" t="str">
        <x:f t="shared" si="34">IF(AND($A311&gt;=1,$L311&gt;=1,$L311&lt;=500,OR($N311="Tank",$N311="DPS",$N311="Support"),ISNUMBER($D311),ISNUMBER($E311),ISNUMBER($F311)),"有效","异常")</x:f>
        <x:v>有效</x:v>
      </x:c>
      <x:c r="AH311" t="n">
        <x:f>D311/(1-MIN(0.75,F311/(24000+F311)))</x:f>
        <x:v>2710280.448</x:v>
      </x:c>
    </x:row>
    <x:row r="312" ht="14.25" customHeight="1">
      <x:c r="A312" s="4">
        <x:v>308</x:v>
      </x:c>
      <x:c r="B312" s="4">
        <x:v>1014</x:v>
      </x:c>
      <x:c r="C312" s="4">
        <x:v>41</x:v>
      </x:c>
      <x:c r="D312" s="5" t="n">
        <x:f>IFERROR(ROUND($U312*$X312*$AA312*'参数'!$B$13,0),"")</x:f>
        <x:v>1007539</x:v>
      </x:c>
      <x:c r="E312" s="5" t="n">
        <x:f>IFERROR(ROUND($V312*$Y312*$AB312*'参数'!$C$13,0),"")</x:f>
        <x:v>23642</x:v>
      </x:c>
      <x:c r="F312" s="5" t="n">
        <x:f>IFERROR(ROUND($W312*$Z312*$AC312*'参数'!$D$13,0),"")</x:f>
        <x:v>22118</x:v>
      </x:c>
      <x:c r="G312" s="4">
        <x:v>1335297</x:v>
      </x:c>
      <x:c r="H312" s="4">
        <x:v>27166</x:v>
      </x:c>
      <x:c r="I312" s="4">
        <x:v>18316</x:v>
      </x:c>
      <x:c r="J312" s="4">
        <x:v>62</x:v>
      </x:c>
      <x:c r="K312" s="4">
        <x:v>62</x:v>
      </x:c>
      <x:c r="L312" s="4" t="n">
        <x:f>IFERROR(INDEX('楼层配置'!$D$5:$D$104,MATCH($K312,'楼层配置'!$B$5:$B$104,0)),"")</x:f>
        <x:v>223</x:v>
      </x:c>
      <x:c r="M312" s="4" t="str">
        <x:f>IFERROR(INDEX('_角色基线'!$B$2:$B$100,MATCH($B312,'_角色基线'!$A$2:$A$100,0)),"")</x:f>
        <x:v>克莉丝汀</x:v>
      </x:c>
      <x:c r="N312" s="4" t="str">
        <x:f>IFERROR(INDEX('_角色基线'!$C$2:$C$100,MATCH($B312,'_角色基线'!$A$2:$A$100,0)),"")</x:f>
        <x:v>DPS</x:v>
      </x:c>
      <x:c r="O312" s="4" t="n">
        <x:f>IFERROR(INDEX('_怪物基线'!$B$2:$B$501,MATCH(INT($L312),'_怪物基线'!$A$2:$A$501,0)),"")</x:f>
        <x:v>218370</x:v>
      </x:c>
      <x:c r="P312" s="4" t="n">
        <x:f>IFERROR(INDEX('_怪物基线'!$C$2:$C$501,MATCH(INT($L312),'_怪物基线'!$A$2:$A$501,0)),"")</x:f>
        <x:v>23740</x:v>
      </x:c>
      <x:c r="Q312" s="4" t="n">
        <x:f>IFERROR(INDEX('_怪物基线'!$D$2:$D$501,MATCH(INT($L312),'_怪物基线'!$A$2:$A$501,0)),"")</x:f>
        <x:v>22118</x:v>
      </x:c>
      <x:c r="R312" s="4" t="n">
        <x:f>'参数'!$B$10</x:f>
        <x:v>4</x:v>
      </x:c>
      <x:c r="S312" s="4" t="n">
        <x:f>'参数'!$C$10</x:f>
        <x:v>1.2</x:v>
      </x:c>
      <x:c r="T312" s="4" t="n">
        <x:f>'参数'!$D$10</x:f>
        <x:v>1</x:v>
      </x:c>
      <x:c r="U312" s="4" t="n">
        <x:f t="shared" si="28">IF($O312="","",$O312*$R312)</x:f>
        <x:v>873480</x:v>
      </x:c>
      <x:c r="V312" s="4" t="n">
        <x:f t="shared" si="29">IF($P312="","",$P312*$S312)</x:f>
        <x:v>28488</x:v>
      </x:c>
      <x:c r="W312" s="4" t="n">
        <x:f t="shared" si="30">IF($Q312="","",$Q312*$T312)</x:f>
        <x:v>22118</x:v>
      </x:c>
      <x:c r="X312" s="4" t="n">
        <x:f>IFERROR(INDEX('参数'!$B$5:$B$7,MATCH($N312,'参数'!$A$5:$A$7,0)),"")</x:f>
        <x:v>1</x:v>
      </x:c>
      <x:c r="Y312" s="4" t="n">
        <x:f>IFERROR(INDEX('参数'!$C$5:$C$7,MATCH($N312,'参数'!$A$5:$A$7,0)),"")</x:f>
        <x:v>1.2</x:v>
      </x:c>
      <x:c r="Z312" s="4" t="n">
        <x:f>IFERROR(INDEX('参数'!$D$5:$D$7,MATCH($N312,'参数'!$A$5:$A$7,0)),"")</x:f>
        <x:v>1</x:v>
      </x:c>
      <x:c r="AA312" s="4" t="n">
        <x:f>IFERROR(INDEX('楼层配置'!$E$5:$E$104,MATCH($K312,'楼层配置'!$B$5:$B$104,0)),1)</x:f>
        <x:v>1.1534772820596615</x:v>
      </x:c>
      <x:c r="AB312" s="4" t="n">
        <x:f>IFERROR(INDEX('楼层配置'!$F$5:$F$104,MATCH($K312,'楼层配置'!$B$5:$B$104,0)),1)</x:f>
        <x:v>0.6915636763222754</x:v>
      </x:c>
      <x:c r="AC312" s="4" t="n">
        <x:f>IFERROR(INDEX('楼层配置'!$G$5:$G$104,MATCH($K312,'楼层配置'!$B$5:$B$104,0)),1)</x:f>
        <x:v>1</x:v>
      </x:c>
      <x:c r="AD312" s="6" t="n">
        <x:f t="shared" si="31">IFERROR($D312/$G312-1,"")</x:f>
        <x:v>-0.24545700319853936</x:v>
      </x:c>
      <x:c r="AE312" s="6" t="n">
        <x:f t="shared" si="32">IFERROR($E312/$H312-1,"")</x:f>
        <x:v>-0.1297209747478466</x:v>
      </x:c>
      <x:c r="AF312" s="6" t="n">
        <x:f t="shared" si="33">IFERROR($F312/$I312-1,"")</x:f>
        <x:v>0.2075780738152435</x:v>
      </x:c>
      <x:c r="AG312" s="4" t="str">
        <x:f t="shared" si="34">IF(AND($A312&gt;=1,$L312&gt;=1,$L312&lt;=500,OR($N312="Tank",$N312="DPS",$N312="Support"),ISNUMBER($D312),ISNUMBER($E312),ISNUMBER($F312)),"有效","异常")</x:f>
        <x:v>有效</x:v>
      </x:c>
      <x:c r="AH312" t="n">
        <x:f>D312/(1-MIN(0.75,F312/(24000+F312)))</x:f>
        <x:v>1936070.1500833335</x:v>
      </x:c>
    </x:row>
    <x:row r="313" ht="14.25" customHeight="1">
      <x:c r="A313" s="4">
        <x:v>309</x:v>
      </x:c>
      <x:c r="B313" s="4">
        <x:v>1021</x:v>
      </x:c>
      <x:c r="C313" s="4">
        <x:v>41</x:v>
      </x:c>
      <x:c r="D313" s="5" t="n">
        <x:f>IFERROR(ROUND($U313*$X313*$AA313*'参数'!$B$13,0),"")</x:f>
        <x:v>1007539</x:v>
      </x:c>
      <x:c r="E313" s="5" t="n">
        <x:f>IFERROR(ROUND($V313*$Y313*$AB313*'参数'!$C$13,0),"")</x:f>
        <x:v>23642</x:v>
      </x:c>
      <x:c r="F313" s="5" t="n">
        <x:f>IFERROR(ROUND($W313*$Z313*$AC313*'参数'!$D$13,0),"")</x:f>
        <x:v>22118</x:v>
      </x:c>
      <x:c r="G313" s="4">
        <x:v>1335297</x:v>
      </x:c>
      <x:c r="H313" s="4">
        <x:v>27166</x:v>
      </x:c>
      <x:c r="I313" s="4">
        <x:v>18316</x:v>
      </x:c>
      <x:c r="J313" s="4">
        <x:v>62</x:v>
      </x:c>
      <x:c r="K313" s="4">
        <x:v>62</x:v>
      </x:c>
      <x:c r="L313" s="4" t="n">
        <x:f>IFERROR(INDEX('楼层配置'!$D$5:$D$104,MATCH($K313,'楼层配置'!$B$5:$B$104,0)),"")</x:f>
        <x:v>223</x:v>
      </x:c>
      <x:c r="M313" s="4" t="str">
        <x:f>IFERROR(INDEX('_角色基线'!$B$2:$B$100,MATCH($B313,'_角色基线'!$A$2:$A$100,0)),"")</x:f>
        <x:v>梅梅</x:v>
      </x:c>
      <x:c r="N313" s="4" t="str">
        <x:f>IFERROR(INDEX('_角色基线'!$C$2:$C$100,MATCH($B313,'_角色基线'!$A$2:$A$100,0)),"")</x:f>
        <x:v>DPS</x:v>
      </x:c>
      <x:c r="O313" s="4" t="n">
        <x:f>IFERROR(INDEX('_怪物基线'!$B$2:$B$501,MATCH(INT($L313),'_怪物基线'!$A$2:$A$501,0)),"")</x:f>
        <x:v>218370</x:v>
      </x:c>
      <x:c r="P313" s="4" t="n">
        <x:f>IFERROR(INDEX('_怪物基线'!$C$2:$C$501,MATCH(INT($L313),'_怪物基线'!$A$2:$A$501,0)),"")</x:f>
        <x:v>23740</x:v>
      </x:c>
      <x:c r="Q313" s="4" t="n">
        <x:f>IFERROR(INDEX('_怪物基线'!$D$2:$D$501,MATCH(INT($L313),'_怪物基线'!$A$2:$A$501,0)),"")</x:f>
        <x:v>22118</x:v>
      </x:c>
      <x:c r="R313" s="4" t="n">
        <x:f>'参数'!$B$10</x:f>
        <x:v>4</x:v>
      </x:c>
      <x:c r="S313" s="4" t="n">
        <x:f>'参数'!$C$10</x:f>
        <x:v>1.2</x:v>
      </x:c>
      <x:c r="T313" s="4" t="n">
        <x:f>'参数'!$D$10</x:f>
        <x:v>1</x:v>
      </x:c>
      <x:c r="U313" s="4" t="n">
        <x:f t="shared" si="28">IF($O313="","",$O313*$R313)</x:f>
        <x:v>873480</x:v>
      </x:c>
      <x:c r="V313" s="4" t="n">
        <x:f t="shared" si="29">IF($P313="","",$P313*$S313)</x:f>
        <x:v>28488</x:v>
      </x:c>
      <x:c r="W313" s="4" t="n">
        <x:f t="shared" si="30">IF($Q313="","",$Q313*$T313)</x:f>
        <x:v>22118</x:v>
      </x:c>
      <x:c r="X313" s="4" t="n">
        <x:f>IFERROR(INDEX('参数'!$B$5:$B$7,MATCH($N313,'参数'!$A$5:$A$7,0)),"")</x:f>
        <x:v>1</x:v>
      </x:c>
      <x:c r="Y313" s="4" t="n">
        <x:f>IFERROR(INDEX('参数'!$C$5:$C$7,MATCH($N313,'参数'!$A$5:$A$7,0)),"")</x:f>
        <x:v>1.2</x:v>
      </x:c>
      <x:c r="Z313" s="4" t="n">
        <x:f>IFERROR(INDEX('参数'!$D$5:$D$7,MATCH($N313,'参数'!$A$5:$A$7,0)),"")</x:f>
        <x:v>1</x:v>
      </x:c>
      <x:c r="AA313" s="4" t="n">
        <x:f>IFERROR(INDEX('楼层配置'!$E$5:$E$104,MATCH($K313,'楼层配置'!$B$5:$B$104,0)),1)</x:f>
        <x:v>1.1534772820596615</x:v>
      </x:c>
      <x:c r="AB313" s="4" t="n">
        <x:f>IFERROR(INDEX('楼层配置'!$F$5:$F$104,MATCH($K313,'楼层配置'!$B$5:$B$104,0)),1)</x:f>
        <x:v>0.6915636763222754</x:v>
      </x:c>
      <x:c r="AC313" s="4" t="n">
        <x:f>IFERROR(INDEX('楼层配置'!$G$5:$G$104,MATCH($K313,'楼层配置'!$B$5:$B$104,0)),1)</x:f>
        <x:v>1</x:v>
      </x:c>
      <x:c r="AD313" s="6" t="n">
        <x:f t="shared" si="31">IFERROR($D313/$G313-1,"")</x:f>
        <x:v>-0.24545700319853936</x:v>
      </x:c>
      <x:c r="AE313" s="6" t="n">
        <x:f t="shared" si="32">IFERROR($E313/$H313-1,"")</x:f>
        <x:v>-0.1297209747478466</x:v>
      </x:c>
      <x:c r="AF313" s="6" t="n">
        <x:f t="shared" si="33">IFERROR($F313/$I313-1,"")</x:f>
        <x:v>0.2075780738152435</x:v>
      </x:c>
      <x:c r="AG313" s="4" t="str">
        <x:f t="shared" si="34">IF(AND($A313&gt;=1,$L313&gt;=1,$L313&lt;=500,OR($N313="Tank",$N313="DPS",$N313="Support"),ISNUMBER($D313),ISNUMBER($E313),ISNUMBER($F313)),"有效","异常")</x:f>
        <x:v>有效</x:v>
      </x:c>
      <x:c r="AH313" t="n">
        <x:f>D313/(1-MIN(0.75,F313/(24000+F313)))</x:f>
        <x:v>1936070.1500833335</x:v>
      </x:c>
    </x:row>
    <x:row r="314" ht="14.25" customHeight="1">
      <x:c r="A314" s="4">
        <x:v>310</x:v>
      </x:c>
      <x:c r="B314" s="4">
        <x:v>1006</x:v>
      </x:c>
      <x:c r="C314" s="4">
        <x:v>41</x:v>
      </x:c>
      <x:c r="D314" s="5" t="n">
        <x:f>IFERROR(ROUND($U314*$X314*$AA314*'参数'!$B$13,0),"")</x:f>
        <x:v>1007539</x:v>
      </x:c>
      <x:c r="E314" s="5" t="n">
        <x:f>IFERROR(ROUND($V314*$Y314*$AB314*'参数'!$C$13,0),"")</x:f>
        <x:v>23642</x:v>
      </x:c>
      <x:c r="F314" s="5" t="n">
        <x:f>IFERROR(ROUND($W314*$Z314*$AC314*'参数'!$D$13,0),"")</x:f>
        <x:v>22118</x:v>
      </x:c>
      <x:c r="G314" s="4">
        <x:v>1335297</x:v>
      </x:c>
      <x:c r="H314" s="4">
        <x:v>27166</x:v>
      </x:c>
      <x:c r="I314" s="4">
        <x:v>18316</x:v>
      </x:c>
      <x:c r="J314" s="4">
        <x:v>62</x:v>
      </x:c>
      <x:c r="K314" s="4">
        <x:v>62</x:v>
      </x:c>
      <x:c r="L314" s="4" t="n">
        <x:f>IFERROR(INDEX('楼层配置'!$D$5:$D$104,MATCH($K314,'楼层配置'!$B$5:$B$104,0)),"")</x:f>
        <x:v>223</x:v>
      </x:c>
      <x:c r="M314" s="4" t="str">
        <x:f>IFERROR(INDEX('_角色基线'!$B$2:$B$100,MATCH($B314,'_角色基线'!$A$2:$A$100,0)),"")</x:f>
        <x:v>莉莉娅</x:v>
      </x:c>
      <x:c r="N314" s="4" t="str">
        <x:f>IFERROR(INDEX('_角色基线'!$C$2:$C$100,MATCH($B314,'_角色基线'!$A$2:$A$100,0)),"")</x:f>
        <x:v>DPS</x:v>
      </x:c>
      <x:c r="O314" s="4" t="n">
        <x:f>IFERROR(INDEX('_怪物基线'!$B$2:$B$501,MATCH(INT($L314),'_怪物基线'!$A$2:$A$501,0)),"")</x:f>
        <x:v>218370</x:v>
      </x:c>
      <x:c r="P314" s="4" t="n">
        <x:f>IFERROR(INDEX('_怪物基线'!$C$2:$C$501,MATCH(INT($L314),'_怪物基线'!$A$2:$A$501,0)),"")</x:f>
        <x:v>23740</x:v>
      </x:c>
      <x:c r="Q314" s="4" t="n">
        <x:f>IFERROR(INDEX('_怪物基线'!$D$2:$D$501,MATCH(INT($L314),'_怪物基线'!$A$2:$A$501,0)),"")</x:f>
        <x:v>22118</x:v>
      </x:c>
      <x:c r="R314" s="4" t="n">
        <x:f>'参数'!$B$10</x:f>
        <x:v>4</x:v>
      </x:c>
      <x:c r="S314" s="4" t="n">
        <x:f>'参数'!$C$10</x:f>
        <x:v>1.2</x:v>
      </x:c>
      <x:c r="T314" s="4" t="n">
        <x:f>'参数'!$D$10</x:f>
        <x:v>1</x:v>
      </x:c>
      <x:c r="U314" s="4" t="n">
        <x:f t="shared" si="28">IF($O314="","",$O314*$R314)</x:f>
        <x:v>873480</x:v>
      </x:c>
      <x:c r="V314" s="4" t="n">
        <x:f t="shared" si="29">IF($P314="","",$P314*$S314)</x:f>
        <x:v>28488</x:v>
      </x:c>
      <x:c r="W314" s="4" t="n">
        <x:f t="shared" si="30">IF($Q314="","",$Q314*$T314)</x:f>
        <x:v>22118</x:v>
      </x:c>
      <x:c r="X314" s="4" t="n">
        <x:f>IFERROR(INDEX('参数'!$B$5:$B$7,MATCH($N314,'参数'!$A$5:$A$7,0)),"")</x:f>
        <x:v>1</x:v>
      </x:c>
      <x:c r="Y314" s="4" t="n">
        <x:f>IFERROR(INDEX('参数'!$C$5:$C$7,MATCH($N314,'参数'!$A$5:$A$7,0)),"")</x:f>
        <x:v>1.2</x:v>
      </x:c>
      <x:c r="Z314" s="4" t="n">
        <x:f>IFERROR(INDEX('参数'!$D$5:$D$7,MATCH($N314,'参数'!$A$5:$A$7,0)),"")</x:f>
        <x:v>1</x:v>
      </x:c>
      <x:c r="AA314" s="4" t="n">
        <x:f>IFERROR(INDEX('楼层配置'!$E$5:$E$104,MATCH($K314,'楼层配置'!$B$5:$B$104,0)),1)</x:f>
        <x:v>1.1534772820596615</x:v>
      </x:c>
      <x:c r="AB314" s="4" t="n">
        <x:f>IFERROR(INDEX('楼层配置'!$F$5:$F$104,MATCH($K314,'楼层配置'!$B$5:$B$104,0)),1)</x:f>
        <x:v>0.6915636763222754</x:v>
      </x:c>
      <x:c r="AC314" s="4" t="n">
        <x:f>IFERROR(INDEX('楼层配置'!$G$5:$G$104,MATCH($K314,'楼层配置'!$B$5:$B$104,0)),1)</x:f>
        <x:v>1</x:v>
      </x:c>
      <x:c r="AD314" s="6" t="n">
        <x:f t="shared" si="31">IFERROR($D314/$G314-1,"")</x:f>
        <x:v>-0.24545700319853936</x:v>
      </x:c>
      <x:c r="AE314" s="6" t="n">
        <x:f t="shared" si="32">IFERROR($E314/$H314-1,"")</x:f>
        <x:v>-0.1297209747478466</x:v>
      </x:c>
      <x:c r="AF314" s="6" t="n">
        <x:f t="shared" si="33">IFERROR($F314/$I314-1,"")</x:f>
        <x:v>0.2075780738152435</x:v>
      </x:c>
      <x:c r="AG314" s="4" t="str">
        <x:f t="shared" si="34">IF(AND($A314&gt;=1,$L314&gt;=1,$L314&lt;=500,OR($N314="Tank",$N314="DPS",$N314="Support"),ISNUMBER($D314),ISNUMBER($E314),ISNUMBER($F314)),"有效","异常")</x:f>
        <x:v>有效</x:v>
      </x:c>
      <x:c r="AH314" t="n">
        <x:f>D314/(1-MIN(0.75,F314/(24000+F314)))</x:f>
        <x:v>1936070.1500833335</x:v>
      </x:c>
    </x:row>
    <x:row r="315" ht="14.25" customHeight="1">
      <x:c r="A315" s="4">
        <x:v>311</x:v>
      </x:c>
      <x:c r="B315" s="4">
        <x:v>1002</x:v>
      </x:c>
      <x:c r="C315" s="4">
        <x:v>41</x:v>
      </x:c>
      <x:c r="D315" s="5" t="n">
        <x:f>IFERROR(ROUND($U315*$X315*$AA315*'参数'!$B$13,0),"")</x:f>
        <x:v>1539843</x:v>
      </x:c>
      <x:c r="E315" s="5" t="n">
        <x:f>IFERROR(ROUND($V315*$Y315*$AB315*'参数'!$C$13,0),"")</x:f>
        <x:v>20015</x:v>
      </x:c>
      <x:c r="F315" s="5" t="n">
        <x:f>IFERROR(ROUND($W315*$Z315*$AC315*'参数'!$D$13,0),"")</x:f>
        <x:v>33551</x:v>
      </x:c>
      <x:c r="G315" s="4">
        <x:v>2082470</x:v>
      </x:c>
      <x:c r="H315" s="4">
        <x:v>23274</x:v>
      </x:c>
      <x:c r="I315" s="4">
        <x:v>28034</x:v>
      </x:c>
      <x:c r="J315" s="4">
        <x:v>63</x:v>
      </x:c>
      <x:c r="K315" s="4">
        <x:v>63</x:v>
      </x:c>
      <x:c r="L315" s="4" t="n">
        <x:f>IFERROR(INDEX('楼层配置'!$D$5:$D$104,MATCH($K315,'楼层配置'!$B$5:$B$104,0)),"")</x:f>
        <x:v>225</x:v>
      </x:c>
      <x:c r="M315" s="4" t="str">
        <x:f>IFERROR(INDEX('_角色基线'!$B$2:$B$100,MATCH($B315,'_角色基线'!$A$2:$A$100,0)),"")</x:f>
        <x:v>大暑</x:v>
      </x:c>
      <x:c r="N315" s="4" t="str">
        <x:f>IFERROR(INDEX('_角色基线'!$C$2:$C$100,MATCH($B315,'_角色基线'!$A$2:$A$100,0)),"")</x:f>
        <x:v>Tank</x:v>
      </x:c>
      <x:c r="O315" s="4" t="n">
        <x:f>IFERROR(INDEX('_怪物基线'!$B$2:$B$501,MATCH(INT($L315),'_怪物基线'!$A$2:$A$501,0)),"")</x:f>
        <x:v>223359</x:v>
      </x:c>
      <x:c r="P315" s="4" t="n">
        <x:f>IFERROR(INDEX('_怪物基线'!$C$2:$C$501,MATCH(INT($L315),'_怪物基线'!$A$2:$A$501,0)),"")</x:f>
        <x:v>24136</x:v>
      </x:c>
      <x:c r="Q315" s="4" t="n">
        <x:f>IFERROR(INDEX('_怪物基线'!$D$2:$D$501,MATCH(INT($L315),'_怪物基线'!$A$2:$A$501,0)),"")</x:f>
        <x:v>22367</x:v>
      </x:c>
      <x:c r="R315" s="4" t="n">
        <x:f>'参数'!$B$10</x:f>
        <x:v>4</x:v>
      </x:c>
      <x:c r="S315" s="4" t="n">
        <x:f>'参数'!$C$10</x:f>
        <x:v>1.2</x:v>
      </x:c>
      <x:c r="T315" s="4" t="n">
        <x:f>'参数'!$D$10</x:f>
        <x:v>1</x:v>
      </x:c>
      <x:c r="U315" s="4" t="n">
        <x:f t="shared" si="28">IF($O315="","",$O315*$R315)</x:f>
        <x:v>893436</x:v>
      </x:c>
      <x:c r="V315" s="4" t="n">
        <x:f t="shared" si="29">IF($P315="","",$P315*$S315)</x:f>
        <x:v>28963.2</x:v>
      </x:c>
      <x:c r="W315" s="4" t="n">
        <x:f t="shared" si="30">IF($Q315="","",$Q315*$T315)</x:f>
        <x:v>22367</x:v>
      </x:c>
      <x:c r="X315" s="4" t="n">
        <x:f>IFERROR(INDEX('参数'!$B$5:$B$7,MATCH($N315,'参数'!$A$5:$A$7,0)),"")</x:f>
        <x:v>1.5</x:v>
      </x:c>
      <x:c r="Y315" s="4" t="n">
        <x:f>IFERROR(INDEX('参数'!$C$5:$C$7,MATCH($N315,'参数'!$A$5:$A$7,0)),"")</x:f>
        <x:v>1</x:v>
      </x:c>
      <x:c r="Z315" s="4" t="n">
        <x:f>IFERROR(INDEX('参数'!$D$5:$D$7,MATCH($N315,'参数'!$A$5:$A$7,0)),"")</x:f>
        <x:v>1.5</x:v>
      </x:c>
      <x:c r="AA315" s="4" t="n">
        <x:f>IFERROR(INDEX('楼层配置'!$E$5:$E$104,MATCH($K315,'楼层配置'!$B$5:$B$104,0)),1)</x:f>
        <x:v>1.1490046282066768</x:v>
      </x:c>
      <x:c r="AB315" s="4" t="n">
        <x:f>IFERROR(INDEX('楼层配置'!$F$5:$F$104,MATCH($K315,'楼层配置'!$B$5:$B$104,0)),1)</x:f>
        <x:v>0.6910327775460491</x:v>
      </x:c>
      <x:c r="AC315" s="4" t="n">
        <x:f>IFERROR(INDEX('楼层配置'!$G$5:$G$104,MATCH($K315,'楼层配置'!$B$5:$B$104,0)),1)</x:f>
        <x:v>1</x:v>
      </x:c>
      <x:c r="AD315" s="6" t="n">
        <x:f t="shared" si="31">IFERROR($D315/$G315-1,"")</x:f>
        <x:v>-0.26056893976864015</x:v>
      </x:c>
      <x:c r="AE315" s="6" t="n">
        <x:f t="shared" si="32">IFERROR($E315/$H315-1,"")</x:f>
        <x:v>-0.14002749849617602</x:v>
      </x:c>
      <x:c r="AF315" s="6" t="n">
        <x:f t="shared" si="33">IFERROR($F315/$I315-1,"")</x:f>
        <x:v>0.19679674680744808</x:v>
      </x:c>
      <x:c r="AG315" s="4" t="str">
        <x:f t="shared" si="34">IF(AND($A315&gt;=1,$L315&gt;=1,$L315&lt;=500,OR($N315="Tank",$N315="DPS",$N315="Support"),ISNUMBER($D315),ISNUMBER($E315),ISNUMBER($F315)),"有效","异常")</x:f>
        <x:v>有效</x:v>
      </x:c>
      <x:c r="AH315" t="n">
        <x:f>D315/(1-MIN(0.75,F315/(24000+F315)))</x:f>
        <x:v>3692479.3538749996</x:v>
      </x:c>
    </x:row>
    <x:row r="316" ht="14.25" customHeight="1">
      <x:c r="A316" s="4">
        <x:v>312</x:v>
      </x:c>
      <x:c r="B316" s="4">
        <x:v>1008</x:v>
      </x:c>
      <x:c r="C316" s="4">
        <x:v>41</x:v>
      </x:c>
      <x:c r="D316" s="5" t="n">
        <x:f>IFERROR(ROUND($U316*$X316*$AA316*'参数'!$B$13,0),"")</x:f>
        <x:v>1026562</x:v>
      </x:c>
      <x:c r="E316" s="5" t="n">
        <x:f>IFERROR(ROUND($V316*$Y316*$AB316*'参数'!$C$13,0),"")</x:f>
        <x:v>24017</x:v>
      </x:c>
      <x:c r="F316" s="5" t="n">
        <x:f>IFERROR(ROUND($W316*$Z316*$AC316*'参数'!$D$13,0),"")</x:f>
        <x:v>22367</x:v>
      </x:c>
      <x:c r="G316" s="4">
        <x:v>1388313</x:v>
      </x:c>
      <x:c r="H316" s="4">
        <x:v>27928</x:v>
      </x:c>
      <x:c r="I316" s="4">
        <x:v>18689</x:v>
      </x:c>
      <x:c r="J316" s="4">
        <x:v>63</x:v>
      </x:c>
      <x:c r="K316" s="4">
        <x:v>63</x:v>
      </x:c>
      <x:c r="L316" s="4" t="n">
        <x:f>IFERROR(INDEX('楼层配置'!$D$5:$D$104,MATCH($K316,'楼层配置'!$B$5:$B$104,0)),"")</x:f>
        <x:v>225</x:v>
      </x:c>
      <x:c r="M316" s="4" t="str">
        <x:f>IFERROR(INDEX('_角色基线'!$B$2:$B$100,MATCH($B316,'_角色基线'!$A$2:$A$100,0)),"")</x:f>
        <x:v>薇</x:v>
      </x:c>
      <x:c r="N316" s="4" t="str">
        <x:f>IFERROR(INDEX('_角色基线'!$C$2:$C$100,MATCH($B316,'_角色基线'!$A$2:$A$100,0)),"")</x:f>
        <x:v>DPS</x:v>
      </x:c>
      <x:c r="O316" s="4" t="n">
        <x:f>IFERROR(INDEX('_怪物基线'!$B$2:$B$501,MATCH(INT($L316),'_怪物基线'!$A$2:$A$501,0)),"")</x:f>
        <x:v>223359</x:v>
      </x:c>
      <x:c r="P316" s="4" t="n">
        <x:f>IFERROR(INDEX('_怪物基线'!$C$2:$C$501,MATCH(INT($L316),'_怪物基线'!$A$2:$A$501,0)),"")</x:f>
        <x:v>24136</x:v>
      </x:c>
      <x:c r="Q316" s="4" t="n">
        <x:f>IFERROR(INDEX('_怪物基线'!$D$2:$D$501,MATCH(INT($L316),'_怪物基线'!$A$2:$A$501,0)),"")</x:f>
        <x:v>22367</x:v>
      </x:c>
      <x:c r="R316" s="4" t="n">
        <x:f>'参数'!$B$10</x:f>
        <x:v>4</x:v>
      </x:c>
      <x:c r="S316" s="4" t="n">
        <x:f>'参数'!$C$10</x:f>
        <x:v>1.2</x:v>
      </x:c>
      <x:c r="T316" s="4" t="n">
        <x:f>'参数'!$D$10</x:f>
        <x:v>1</x:v>
      </x:c>
      <x:c r="U316" s="4" t="n">
        <x:f t="shared" si="28">IF($O316="","",$O316*$R316)</x:f>
        <x:v>893436</x:v>
      </x:c>
      <x:c r="V316" s="4" t="n">
        <x:f t="shared" si="29">IF($P316="","",$P316*$S316)</x:f>
        <x:v>28963.2</x:v>
      </x:c>
      <x:c r="W316" s="4" t="n">
        <x:f t="shared" si="30">IF($Q316="","",$Q316*$T316)</x:f>
        <x:v>22367</x:v>
      </x:c>
      <x:c r="X316" s="4" t="n">
        <x:f>IFERROR(INDEX('参数'!$B$5:$B$7,MATCH($N316,'参数'!$A$5:$A$7,0)),"")</x:f>
        <x:v>1</x:v>
      </x:c>
      <x:c r="Y316" s="4" t="n">
        <x:f>IFERROR(INDEX('参数'!$C$5:$C$7,MATCH($N316,'参数'!$A$5:$A$7,0)),"")</x:f>
        <x:v>1.2</x:v>
      </x:c>
      <x:c r="Z316" s="4" t="n">
        <x:f>IFERROR(INDEX('参数'!$D$5:$D$7,MATCH($N316,'参数'!$A$5:$A$7,0)),"")</x:f>
        <x:v>1</x:v>
      </x:c>
      <x:c r="AA316" s="4" t="n">
        <x:f>IFERROR(INDEX('楼层配置'!$E$5:$E$104,MATCH($K316,'楼层配置'!$B$5:$B$104,0)),1)</x:f>
        <x:v>1.1490046282066768</x:v>
      </x:c>
      <x:c r="AB316" s="4" t="n">
        <x:f>IFERROR(INDEX('楼层配置'!$F$5:$F$104,MATCH($K316,'楼层配置'!$B$5:$B$104,0)),1)</x:f>
        <x:v>0.6910327775460491</x:v>
      </x:c>
      <x:c r="AC316" s="4" t="n">
        <x:f>IFERROR(INDEX('楼层配置'!$G$5:$G$104,MATCH($K316,'楼层配置'!$B$5:$B$104,0)),1)</x:f>
        <x:v>1</x:v>
      </x:c>
      <x:c r="AD316" s="6" t="n">
        <x:f t="shared" si="31">IFERROR($D316/$G316-1,"")</x:f>
        <x:v>-0.26056876223157166</x:v>
      </x:c>
      <x:c r="AE316" s="6" t="n">
        <x:f t="shared" si="32">IFERROR($E316/$H316-1,"")</x:f>
        <x:v>-0.1400386708679462</x:v>
      </x:c>
      <x:c r="AF316" s="6" t="n">
        <x:f t="shared" si="33">IFERROR($F316/$I316-1,"")</x:f>
        <x:v>0.19680025683557179</x:v>
      </x:c>
      <x:c r="AG316" s="4" t="str">
        <x:f t="shared" si="34">IF(AND($A316&gt;=1,$L316&gt;=1,$L316&lt;=500,OR($N316="Tank",$N316="DPS",$N316="Support"),ISNUMBER($D316),ISNUMBER($E316),ISNUMBER($F316)),"有效","异常")</x:f>
        <x:v>有效</x:v>
      </x:c>
      <x:c r="AH316" t="n">
        <x:f>D316/(1-MIN(0.75,F316/(24000+F316)))</x:f>
        <x:v>1983275.010583333</x:v>
      </x:c>
    </x:row>
    <x:row r="317" ht="14.25" customHeight="1">
      <x:c r="A317" s="4">
        <x:v>313</x:v>
      </x:c>
      <x:c r="B317" s="4">
        <x:v>1006</x:v>
      </x:c>
      <x:c r="C317" s="4">
        <x:v>41</x:v>
      </x:c>
      <x:c r="D317" s="5" t="n">
        <x:f>IFERROR(ROUND($U317*$X317*$AA317*'参数'!$B$13,0),"")</x:f>
        <x:v>1026562</x:v>
      </x:c>
      <x:c r="E317" s="5" t="n">
        <x:f>IFERROR(ROUND($V317*$Y317*$AB317*'参数'!$C$13,0),"")</x:f>
        <x:v>24017</x:v>
      </x:c>
      <x:c r="F317" s="5" t="n">
        <x:f>IFERROR(ROUND($W317*$Z317*$AC317*'参数'!$D$13,0),"")</x:f>
        <x:v>22367</x:v>
      </x:c>
      <x:c r="G317" s="4">
        <x:v>1388313</x:v>
      </x:c>
      <x:c r="H317" s="4">
        <x:v>27928</x:v>
      </x:c>
      <x:c r="I317" s="4">
        <x:v>18689</x:v>
      </x:c>
      <x:c r="J317" s="4">
        <x:v>63</x:v>
      </x:c>
      <x:c r="K317" s="4">
        <x:v>63</x:v>
      </x:c>
      <x:c r="L317" s="4" t="n">
        <x:f>IFERROR(INDEX('楼层配置'!$D$5:$D$104,MATCH($K317,'楼层配置'!$B$5:$B$104,0)),"")</x:f>
        <x:v>225</x:v>
      </x:c>
      <x:c r="M317" s="4" t="str">
        <x:f>IFERROR(INDEX('_角色基线'!$B$2:$B$100,MATCH($B317,'_角色基线'!$A$2:$A$100,0)),"")</x:f>
        <x:v>莉莉娅</x:v>
      </x:c>
      <x:c r="N317" s="4" t="str">
        <x:f>IFERROR(INDEX('_角色基线'!$C$2:$C$100,MATCH($B317,'_角色基线'!$A$2:$A$100,0)),"")</x:f>
        <x:v>DPS</x:v>
      </x:c>
      <x:c r="O317" s="4" t="n">
        <x:f>IFERROR(INDEX('_怪物基线'!$B$2:$B$501,MATCH(INT($L317),'_怪物基线'!$A$2:$A$501,0)),"")</x:f>
        <x:v>223359</x:v>
      </x:c>
      <x:c r="P317" s="4" t="n">
        <x:f>IFERROR(INDEX('_怪物基线'!$C$2:$C$501,MATCH(INT($L317),'_怪物基线'!$A$2:$A$501,0)),"")</x:f>
        <x:v>24136</x:v>
      </x:c>
      <x:c r="Q317" s="4" t="n">
        <x:f>IFERROR(INDEX('_怪物基线'!$D$2:$D$501,MATCH(INT($L317),'_怪物基线'!$A$2:$A$501,0)),"")</x:f>
        <x:v>22367</x:v>
      </x:c>
      <x:c r="R317" s="4" t="n">
        <x:f>'参数'!$B$10</x:f>
        <x:v>4</x:v>
      </x:c>
      <x:c r="S317" s="4" t="n">
        <x:f>'参数'!$C$10</x:f>
        <x:v>1.2</x:v>
      </x:c>
      <x:c r="T317" s="4" t="n">
        <x:f>'参数'!$D$10</x:f>
        <x:v>1</x:v>
      </x:c>
      <x:c r="U317" s="4" t="n">
        <x:f t="shared" si="28">IF($O317="","",$O317*$R317)</x:f>
        <x:v>893436</x:v>
      </x:c>
      <x:c r="V317" s="4" t="n">
        <x:f t="shared" si="29">IF($P317="","",$P317*$S317)</x:f>
        <x:v>28963.2</x:v>
      </x:c>
      <x:c r="W317" s="4" t="n">
        <x:f t="shared" si="30">IF($Q317="","",$Q317*$T317)</x:f>
        <x:v>22367</x:v>
      </x:c>
      <x:c r="X317" s="4" t="n">
        <x:f>IFERROR(INDEX('参数'!$B$5:$B$7,MATCH($N317,'参数'!$A$5:$A$7,0)),"")</x:f>
        <x:v>1</x:v>
      </x:c>
      <x:c r="Y317" s="4" t="n">
        <x:f>IFERROR(INDEX('参数'!$C$5:$C$7,MATCH($N317,'参数'!$A$5:$A$7,0)),"")</x:f>
        <x:v>1.2</x:v>
      </x:c>
      <x:c r="Z317" s="4" t="n">
        <x:f>IFERROR(INDEX('参数'!$D$5:$D$7,MATCH($N317,'参数'!$A$5:$A$7,0)),"")</x:f>
        <x:v>1</x:v>
      </x:c>
      <x:c r="AA317" s="4" t="n">
        <x:f>IFERROR(INDEX('楼层配置'!$E$5:$E$104,MATCH($K317,'楼层配置'!$B$5:$B$104,0)),1)</x:f>
        <x:v>1.1490046282066768</x:v>
      </x:c>
      <x:c r="AB317" s="4" t="n">
        <x:f>IFERROR(INDEX('楼层配置'!$F$5:$F$104,MATCH($K317,'楼层配置'!$B$5:$B$104,0)),1)</x:f>
        <x:v>0.6910327775460491</x:v>
      </x:c>
      <x:c r="AC317" s="4" t="n">
        <x:f>IFERROR(INDEX('楼层配置'!$G$5:$G$104,MATCH($K317,'楼层配置'!$B$5:$B$104,0)),1)</x:f>
        <x:v>1</x:v>
      </x:c>
      <x:c r="AD317" s="6" t="n">
        <x:f t="shared" si="31">IFERROR($D317/$G317-1,"")</x:f>
        <x:v>-0.26056876223157166</x:v>
      </x:c>
      <x:c r="AE317" s="6" t="n">
        <x:f t="shared" si="32">IFERROR($E317/$H317-1,"")</x:f>
        <x:v>-0.1400386708679462</x:v>
      </x:c>
      <x:c r="AF317" s="6" t="n">
        <x:f t="shared" si="33">IFERROR($F317/$I317-1,"")</x:f>
        <x:v>0.19680025683557179</x:v>
      </x:c>
      <x:c r="AG317" s="4" t="str">
        <x:f t="shared" si="34">IF(AND($A317&gt;=1,$L317&gt;=1,$L317&lt;=500,OR($N317="Tank",$N317="DPS",$N317="Support"),ISNUMBER($D317),ISNUMBER($E317),ISNUMBER($F317)),"有效","异常")</x:f>
        <x:v>有效</x:v>
      </x:c>
      <x:c r="AH317" t="n">
        <x:f>D317/(1-MIN(0.75,F317/(24000+F317)))</x:f>
        <x:v>1983275.010583333</x:v>
      </x:c>
    </x:row>
    <x:row r="318" ht="14.25" customHeight="1">
      <x:c r="A318" s="4">
        <x:v>314</x:v>
      </x:c>
      <x:c r="B318" s="4">
        <x:v>1007</x:v>
      </x:c>
      <x:c r="C318" s="4">
        <x:v>41</x:v>
      </x:c>
      <x:c r="D318" s="5" t="n">
        <x:f>IFERROR(ROUND($U318*$X318*$AA318*'参数'!$B$13,0),"")</x:f>
        <x:v>1283203</x:v>
      </x:c>
      <x:c r="E318" s="5" t="n">
        <x:f>IFERROR(ROUND($V318*$Y318*$AB318*'参数'!$C$13,0),"")</x:f>
        <x:v>20015</x:v>
      </x:c>
      <x:c r="F318" s="5" t="n">
        <x:f>IFERROR(ROUND($W318*$Z318*$AC318*'参数'!$D$13,0),"")</x:f>
        <x:v>27959</x:v>
      </x:c>
      <x:c r="G318" s="4">
        <x:v>1735392</x:v>
      </x:c>
      <x:c r="H318" s="4">
        <x:v>23274</x:v>
      </x:c>
      <x:c r="I318" s="4">
        <x:v>23362</x:v>
      </x:c>
      <x:c r="J318" s="4">
        <x:v>63</x:v>
      </x:c>
      <x:c r="K318" s="4">
        <x:v>63</x:v>
      </x:c>
      <x:c r="L318" s="4" t="n">
        <x:f>IFERROR(INDEX('楼层配置'!$D$5:$D$104,MATCH($K318,'楼层配置'!$B$5:$B$104,0)),"")</x:f>
        <x:v>225</x:v>
      </x:c>
      <x:c r="M318" s="4" t="str">
        <x:f>IFERROR(INDEX('_角色基线'!$B$2:$B$100,MATCH($B318,'_角色基线'!$A$2:$A$100,0)),"")</x:f>
        <x:v>萨萨莉安</x:v>
      </x:c>
      <x:c r="N318" s="4" t="str">
        <x:f>IFERROR(INDEX('_角色基线'!$C$2:$C$100,MATCH($B318,'_角色基线'!$A$2:$A$100,0)),"")</x:f>
        <x:v>Support</x:v>
      </x:c>
      <x:c r="O318" s="4" t="n">
        <x:f>IFERROR(INDEX('_怪物基线'!$B$2:$B$501,MATCH(INT($L318),'_怪物基线'!$A$2:$A$501,0)),"")</x:f>
        <x:v>223359</x:v>
      </x:c>
      <x:c r="P318" s="4" t="n">
        <x:f>IFERROR(INDEX('_怪物基线'!$C$2:$C$501,MATCH(INT($L318),'_怪物基线'!$A$2:$A$501,0)),"")</x:f>
        <x:v>24136</x:v>
      </x:c>
      <x:c r="Q318" s="4" t="n">
        <x:f>IFERROR(INDEX('_怪物基线'!$D$2:$D$501,MATCH(INT($L318),'_怪物基线'!$A$2:$A$501,0)),"")</x:f>
        <x:v>22367</x:v>
      </x:c>
      <x:c r="R318" s="4" t="n">
        <x:f>'参数'!$B$10</x:f>
        <x:v>4</x:v>
      </x:c>
      <x:c r="S318" s="4" t="n">
        <x:f>'参数'!$C$10</x:f>
        <x:v>1.2</x:v>
      </x:c>
      <x:c r="T318" s="4" t="n">
        <x:f>'参数'!$D$10</x:f>
        <x:v>1</x:v>
      </x:c>
      <x:c r="U318" s="4" t="n">
        <x:f t="shared" si="28">IF($O318="","",$O318*$R318)</x:f>
        <x:v>893436</x:v>
      </x:c>
      <x:c r="V318" s="4" t="n">
        <x:f t="shared" si="29">IF($P318="","",$P318*$S318)</x:f>
        <x:v>28963.2</x:v>
      </x:c>
      <x:c r="W318" s="4" t="n">
        <x:f t="shared" si="30">IF($Q318="","",$Q318*$T318)</x:f>
        <x:v>22367</x:v>
      </x:c>
      <x:c r="X318" s="4" t="n">
        <x:f>IFERROR(INDEX('参数'!$B$5:$B$7,MATCH($N318,'参数'!$A$5:$A$7,0)),"")</x:f>
        <x:v>1.25</x:v>
      </x:c>
      <x:c r="Y318" s="4" t="n">
        <x:f>IFERROR(INDEX('参数'!$C$5:$C$7,MATCH($N318,'参数'!$A$5:$A$7,0)),"")</x:f>
        <x:v>1</x:v>
      </x:c>
      <x:c r="Z318" s="4" t="n">
        <x:f>IFERROR(INDEX('参数'!$D$5:$D$7,MATCH($N318,'参数'!$A$5:$A$7,0)),"")</x:f>
        <x:v>1.25</x:v>
      </x:c>
      <x:c r="AA318" s="4" t="n">
        <x:f>IFERROR(INDEX('楼层配置'!$E$5:$E$104,MATCH($K318,'楼层配置'!$B$5:$B$104,0)),1)</x:f>
        <x:v>1.1490046282066768</x:v>
      </x:c>
      <x:c r="AB318" s="4" t="n">
        <x:f>IFERROR(INDEX('楼层配置'!$F$5:$F$104,MATCH($K318,'楼层配置'!$B$5:$B$104,0)),1)</x:f>
        <x:v>0.6910327775460491</x:v>
      </x:c>
      <x:c r="AC318" s="4" t="n">
        <x:f>IFERROR(INDEX('楼层配置'!$G$5:$G$104,MATCH($K318,'楼层配置'!$B$5:$B$104,0)),1)</x:f>
        <x:v>1</x:v>
      </x:c>
      <x:c r="AD318" s="6" t="n">
        <x:f t="shared" si="31">IFERROR($D318/$G318-1,"")</x:f>
        <x:v>-0.2605687936788922</x:v>
      </x:c>
      <x:c r="AE318" s="6" t="n">
        <x:f t="shared" si="32">IFERROR($E318/$H318-1,"")</x:f>
        <x:v>-0.14002749849617602</x:v>
      </x:c>
      <x:c r="AF318" s="6" t="n">
        <x:f t="shared" si="33">IFERROR($F318/$I318-1,"")</x:f>
        <x:v>0.19677253659789407</x:v>
      </x:c>
      <x:c r="AG318" s="4" t="str">
        <x:f t="shared" si="34">IF(AND($A318&gt;=1,$L318&gt;=1,$L318&lt;=500,OR($N318="Tank",$N318="DPS",$N318="Support"),ISNUMBER($D318),ISNUMBER($E318),ISNUMBER($F318)),"有效","异常")</x:f>
        <x:v>有效</x:v>
      </x:c>
      <x:c r="AH318" t="n">
        <x:f>D318/(1-MIN(0.75,F318/(24000+F318)))</x:f>
        <x:v>2778081.028208333</x:v>
      </x:c>
    </x:row>
    <x:row r="319" ht="14.25" customHeight="1">
      <x:c r="A319" s="4">
        <x:v>315</x:v>
      </x:c>
      <x:c r="B319" s="4">
        <x:v>1007</x:v>
      </x:c>
      <x:c r="C319" s="4">
        <x:v>41</x:v>
      </x:c>
      <x:c r="D319" s="5" t="n">
        <x:f>IFERROR(ROUND($U319*$X319*$AA319*'参数'!$B$13,0),"")</x:f>
        <x:v>1283203</x:v>
      </x:c>
      <x:c r="E319" s="5" t="n">
        <x:f>IFERROR(ROUND($V319*$Y319*$AB319*'参数'!$C$13,0),"")</x:f>
        <x:v>20015</x:v>
      </x:c>
      <x:c r="F319" s="5" t="n">
        <x:f>IFERROR(ROUND($W319*$Z319*$AC319*'参数'!$D$13,0),"")</x:f>
        <x:v>27959</x:v>
      </x:c>
      <x:c r="G319" s="4">
        <x:v>1735392</x:v>
      </x:c>
      <x:c r="H319" s="4">
        <x:v>23274</x:v>
      </x:c>
      <x:c r="I319" s="4">
        <x:v>23362</x:v>
      </x:c>
      <x:c r="J319" s="4">
        <x:v>63</x:v>
      </x:c>
      <x:c r="K319" s="4">
        <x:v>63</x:v>
      </x:c>
      <x:c r="L319" s="4" t="n">
        <x:f>IFERROR(INDEX('楼层配置'!$D$5:$D$104,MATCH($K319,'楼层配置'!$B$5:$B$104,0)),"")</x:f>
        <x:v>225</x:v>
      </x:c>
      <x:c r="M319" s="4" t="str">
        <x:f>IFERROR(INDEX('_角色基线'!$B$2:$B$100,MATCH($B319,'_角色基线'!$A$2:$A$100,0)),"")</x:f>
        <x:v>萨萨莉安</x:v>
      </x:c>
      <x:c r="N319" s="4" t="str">
        <x:f>IFERROR(INDEX('_角色基线'!$C$2:$C$100,MATCH($B319,'_角色基线'!$A$2:$A$100,0)),"")</x:f>
        <x:v>Support</x:v>
      </x:c>
      <x:c r="O319" s="4" t="n">
        <x:f>IFERROR(INDEX('_怪物基线'!$B$2:$B$501,MATCH(INT($L319),'_怪物基线'!$A$2:$A$501,0)),"")</x:f>
        <x:v>223359</x:v>
      </x:c>
      <x:c r="P319" s="4" t="n">
        <x:f>IFERROR(INDEX('_怪物基线'!$C$2:$C$501,MATCH(INT($L319),'_怪物基线'!$A$2:$A$501,0)),"")</x:f>
        <x:v>24136</x:v>
      </x:c>
      <x:c r="Q319" s="4" t="n">
        <x:f>IFERROR(INDEX('_怪物基线'!$D$2:$D$501,MATCH(INT($L319),'_怪物基线'!$A$2:$A$501,0)),"")</x:f>
        <x:v>22367</x:v>
      </x:c>
      <x:c r="R319" s="4" t="n">
        <x:f>'参数'!$B$10</x:f>
        <x:v>4</x:v>
      </x:c>
      <x:c r="S319" s="4" t="n">
        <x:f>'参数'!$C$10</x:f>
        <x:v>1.2</x:v>
      </x:c>
      <x:c r="T319" s="4" t="n">
        <x:f>'参数'!$D$10</x:f>
        <x:v>1</x:v>
      </x:c>
      <x:c r="U319" s="4" t="n">
        <x:f t="shared" si="28">IF($O319="","",$O319*$R319)</x:f>
        <x:v>893436</x:v>
      </x:c>
      <x:c r="V319" s="4" t="n">
        <x:f t="shared" si="29">IF($P319="","",$P319*$S319)</x:f>
        <x:v>28963.2</x:v>
      </x:c>
      <x:c r="W319" s="4" t="n">
        <x:f t="shared" si="30">IF($Q319="","",$Q319*$T319)</x:f>
        <x:v>22367</x:v>
      </x:c>
      <x:c r="X319" s="4" t="n">
        <x:f>IFERROR(INDEX('参数'!$B$5:$B$7,MATCH($N319,'参数'!$A$5:$A$7,0)),"")</x:f>
        <x:v>1.25</x:v>
      </x:c>
      <x:c r="Y319" s="4" t="n">
        <x:f>IFERROR(INDEX('参数'!$C$5:$C$7,MATCH($N319,'参数'!$A$5:$A$7,0)),"")</x:f>
        <x:v>1</x:v>
      </x:c>
      <x:c r="Z319" s="4" t="n">
        <x:f>IFERROR(INDEX('参数'!$D$5:$D$7,MATCH($N319,'参数'!$A$5:$A$7,0)),"")</x:f>
        <x:v>1.25</x:v>
      </x:c>
      <x:c r="AA319" s="4" t="n">
        <x:f>IFERROR(INDEX('楼层配置'!$E$5:$E$104,MATCH($K319,'楼层配置'!$B$5:$B$104,0)),1)</x:f>
        <x:v>1.1490046282066768</x:v>
      </x:c>
      <x:c r="AB319" s="4" t="n">
        <x:f>IFERROR(INDEX('楼层配置'!$F$5:$F$104,MATCH($K319,'楼层配置'!$B$5:$B$104,0)),1)</x:f>
        <x:v>0.6910327775460491</x:v>
      </x:c>
      <x:c r="AC319" s="4" t="n">
        <x:f>IFERROR(INDEX('楼层配置'!$G$5:$G$104,MATCH($K319,'楼层配置'!$B$5:$B$104,0)),1)</x:f>
        <x:v>1</x:v>
      </x:c>
      <x:c r="AD319" s="6" t="n">
        <x:f t="shared" si="31">IFERROR($D319/$G319-1,"")</x:f>
        <x:v>-0.2605687936788922</x:v>
      </x:c>
      <x:c r="AE319" s="6" t="n">
        <x:f t="shared" si="32">IFERROR($E319/$H319-1,"")</x:f>
        <x:v>-0.14002749849617602</x:v>
      </x:c>
      <x:c r="AF319" s="6" t="n">
        <x:f t="shared" si="33">IFERROR($F319/$I319-1,"")</x:f>
        <x:v>0.19677253659789407</x:v>
      </x:c>
      <x:c r="AG319" s="4" t="str">
        <x:f t="shared" si="34">IF(AND($A319&gt;=1,$L319&gt;=1,$L319&lt;=500,OR($N319="Tank",$N319="DPS",$N319="Support"),ISNUMBER($D319),ISNUMBER($E319),ISNUMBER($F319)),"有效","异常")</x:f>
        <x:v>有效</x:v>
      </x:c>
      <x:c r="AH319" t="n">
        <x:f>D319/(1-MIN(0.75,F319/(24000+F319)))</x:f>
        <x:v>2778081.028208333</x:v>
      </x:c>
    </x:row>
    <x:row r="320" ht="14.25" customHeight="1">
      <x:c r="A320" s="4">
        <x:v>316</x:v>
      </x:c>
      <x:c r="B320" s="4">
        <x:v>1004</x:v>
      </x:c>
      <x:c r="C320" s="4">
        <x:v>42</x:v>
      </x:c>
      <x:c r="D320" s="5" t="n">
        <x:f>IFERROR(ROUND($U320*$X320*$AA320*'参数'!$B$13,0),"")</x:f>
        <x:v>1583702</x:v>
      </x:c>
      <x:c r="E320" s="5" t="n">
        <x:f>IFERROR(ROUND($V320*$Y320*$AB320*'参数'!$C$13,0),"")</x:f>
        <x:v>20473</x:v>
      </x:c>
      <x:c r="F320" s="5" t="n">
        <x:f>IFERROR(ROUND($W320*$Z320*$AC320*'参数'!$D$13,0),"")</x:f>
        <x:v>33927</x:v>
      </x:c>
      <x:c r="G320" s="4">
        <x:v>2164269</x:v>
      </x:c>
      <x:c r="H320" s="4">
        <x:v>23922</x:v>
      </x:c>
      <x:c r="I320" s="4">
        <x:v>28599</x:v>
      </x:c>
      <x:c r="J320" s="4">
        <x:v>64</x:v>
      </x:c>
      <x:c r="K320" s="4">
        <x:v>64</x:v>
      </x:c>
      <x:c r="L320" s="4" t="n">
        <x:f>IFERROR(INDEX('楼层配置'!$D$5:$D$104,MATCH($K320,'楼层配置'!$B$5:$B$104,0)),"")</x:f>
        <x:v>227</x:v>
      </x:c>
      <x:c r="M320" s="4" t="str">
        <x:f>IFERROR(INDEX('_角色基线'!$B$2:$B$100,MATCH($B320,'_角色基线'!$A$2:$A$100,0)),"")</x:f>
        <x:v>阿芭</x:v>
      </x:c>
      <x:c r="N320" s="4" t="str">
        <x:f>IFERROR(INDEX('_角色基线'!$C$2:$C$100,MATCH($B320,'_角色基线'!$A$2:$A$100,0)),"")</x:f>
        <x:v>Tank</x:v>
      </x:c>
      <x:c r="O320" s="4" t="n">
        <x:f>IFERROR(INDEX('_怪物基线'!$B$2:$B$501,MATCH(INT($L320),'_怪物基线'!$A$2:$A$501,0)),"")</x:f>
        <x:v>228432</x:v>
      </x:c>
      <x:c r="P320" s="4" t="n">
        <x:f>IFERROR(INDEX('_怪物基线'!$C$2:$C$501,MATCH(INT($L320),'_怪物基线'!$A$2:$A$501,0)),"")</x:f>
        <x:v>24535</x:v>
      </x:c>
      <x:c r="Q320" s="4" t="n">
        <x:f>IFERROR(INDEX('_怪物基线'!$D$2:$D$501,MATCH(INT($L320),'_怪物基线'!$A$2:$A$501,0)),"")</x:f>
        <x:v>22618</x:v>
      </x:c>
      <x:c r="R320" s="4" t="n">
        <x:f>'参数'!$B$10</x:f>
        <x:v>4</x:v>
      </x:c>
      <x:c r="S320" s="4" t="n">
        <x:f>'参数'!$C$10</x:f>
        <x:v>1.2</x:v>
      </x:c>
      <x:c r="T320" s="4" t="n">
        <x:f>'参数'!$D$10</x:f>
        <x:v>1</x:v>
      </x:c>
      <x:c r="U320" s="4" t="n">
        <x:f t="shared" si="28">IF($O320="","",$O320*$R320)</x:f>
        <x:v>913728</x:v>
      </x:c>
      <x:c r="V320" s="4" t="n">
        <x:f t="shared" si="29">IF($P320="","",$P320*$S320)</x:f>
        <x:v>29442</x:v>
      </x:c>
      <x:c r="W320" s="4" t="n">
        <x:f t="shared" si="30">IF($Q320="","",$Q320*$T320)</x:f>
        <x:v>22618</x:v>
      </x:c>
      <x:c r="X320" s="4" t="n">
        <x:f>IFERROR(INDEX('参数'!$B$5:$B$7,MATCH($N320,'参数'!$A$5:$A$7,0)),"")</x:f>
        <x:v>1.5</x:v>
      </x:c>
      <x:c r="Y320" s="4" t="n">
        <x:f>IFERROR(INDEX('参数'!$C$5:$C$7,MATCH($N320,'参数'!$A$5:$A$7,0)),"")</x:f>
        <x:v>1</x:v>
      </x:c>
      <x:c r="Z320" s="4" t="n">
        <x:f>IFERROR(INDEX('参数'!$D$5:$D$7,MATCH($N320,'参数'!$A$5:$A$7,0)),"")</x:f>
        <x:v>1.5</x:v>
      </x:c>
      <x:c r="AA320" s="4" t="n">
        <x:f>IFERROR(INDEX('楼层配置'!$E$5:$E$104,MATCH($K320,'楼层配置'!$B$5:$B$104,0)),1)</x:f>
        <x:v>1.155487359135032</x:v>
      </x:c>
      <x:c r="AB320" s="4" t="n">
        <x:f>IFERROR(INDEX('楼层配置'!$F$5:$F$104,MATCH($K320,'楼层配置'!$B$5:$B$104,0)),1)</x:f>
        <x:v>0.6953781811083759</x:v>
      </x:c>
      <x:c r="AC320" s="4" t="n">
        <x:f>IFERROR(INDEX('楼层配置'!$G$5:$G$104,MATCH($K320,'楼层配置'!$B$5:$B$104,0)),1)</x:f>
        <x:v>1</x:v>
      </x:c>
      <x:c r="AD320" s="6" t="n">
        <x:f t="shared" si="31">IFERROR($D320/$G320-1,"")</x:f>
        <x:v>-0.2682508505181195</x:v>
      </x:c>
      <x:c r="AE320" s="6" t="n">
        <x:f t="shared" si="32">IFERROR($E320/$H320-1,"")</x:f>
        <x:v>-0.14417690828526042</x:v>
      </x:c>
      <x:c r="AF320" s="6" t="n">
        <x:f t="shared" si="33">IFERROR($F320/$I320-1,"")</x:f>
        <x:v>0.18630022028742266</x:v>
      </x:c>
      <x:c r="AG320" s="4" t="str">
        <x:f t="shared" si="34">IF(AND($A320&gt;=1,$L320&gt;=1,$L320&lt;=500,OR($N320="Tank",$N320="DPS",$N320="Support"),ISNUMBER($D320),ISNUMBER($E320),ISNUMBER($F320)),"有效","异常")</x:f>
        <x:v>有效</x:v>
      </x:c>
      <x:c r="AH320" t="n">
        <x:f>D320/(1-MIN(0.75,F320/(24000+F320)))</x:f>
        <x:v>3822462.73975</x:v>
      </x:c>
    </x:row>
    <x:row r="321" ht="14.25" customHeight="1">
      <x:c r="A321" s="4">
        <x:v>317</x:v>
      </x:c>
      <x:c r="B321" s="4">
        <x:v>1021</x:v>
      </x:c>
      <x:c r="C321" s="4">
        <x:v>42</x:v>
      </x:c>
      <x:c r="D321" s="5" t="n">
        <x:f>IFERROR(ROUND($U321*$X321*$AA321*'参数'!$B$13,0),"")</x:f>
        <x:v>1055801</x:v>
      </x:c>
      <x:c r="E321" s="5" t="n">
        <x:f>IFERROR(ROUND($V321*$Y321*$AB321*'参数'!$C$13,0),"")</x:f>
        <x:v>24568</x:v>
      </x:c>
      <x:c r="F321" s="5" t="n">
        <x:f>IFERROR(ROUND($W321*$Z321*$AC321*'参数'!$D$13,0),"")</x:f>
        <x:v>22618</x:v>
      </x:c>
      <x:c r="G321" s="4">
        <x:v>1442846</x:v>
      </x:c>
      <x:c r="H321" s="4">
        <x:v>28706</x:v>
      </x:c>
      <x:c r="I321" s="4">
        <x:v>19066</x:v>
      </x:c>
      <x:c r="J321" s="4">
        <x:v>64</x:v>
      </x:c>
      <x:c r="K321" s="4">
        <x:v>64</x:v>
      </x:c>
      <x:c r="L321" s="4" t="n">
        <x:f>IFERROR(INDEX('楼层配置'!$D$5:$D$104,MATCH($K321,'楼层配置'!$B$5:$B$104,0)),"")</x:f>
        <x:v>227</x:v>
      </x:c>
      <x:c r="M321" s="4" t="str">
        <x:f>IFERROR(INDEX('_角色基线'!$B$2:$B$100,MATCH($B321,'_角色基线'!$A$2:$A$100,0)),"")</x:f>
        <x:v>梅梅</x:v>
      </x:c>
      <x:c r="N321" s="4" t="str">
        <x:f>IFERROR(INDEX('_角色基线'!$C$2:$C$100,MATCH($B321,'_角色基线'!$A$2:$A$100,0)),"")</x:f>
        <x:v>DPS</x:v>
      </x:c>
      <x:c r="O321" s="4" t="n">
        <x:f>IFERROR(INDEX('_怪物基线'!$B$2:$B$501,MATCH(INT($L321),'_怪物基线'!$A$2:$A$501,0)),"")</x:f>
        <x:v>228432</x:v>
      </x:c>
      <x:c r="P321" s="4" t="n">
        <x:f>IFERROR(INDEX('_怪物基线'!$C$2:$C$501,MATCH(INT($L321),'_怪物基线'!$A$2:$A$501,0)),"")</x:f>
        <x:v>24535</x:v>
      </x:c>
      <x:c r="Q321" s="4" t="n">
        <x:f>IFERROR(INDEX('_怪物基线'!$D$2:$D$501,MATCH(INT($L321),'_怪物基线'!$A$2:$A$501,0)),"")</x:f>
        <x:v>22618</x:v>
      </x:c>
      <x:c r="R321" s="4" t="n">
        <x:f>'参数'!$B$10</x:f>
        <x:v>4</x:v>
      </x:c>
      <x:c r="S321" s="4" t="n">
        <x:f>'参数'!$C$10</x:f>
        <x:v>1.2</x:v>
      </x:c>
      <x:c r="T321" s="4" t="n">
        <x:f>'参数'!$D$10</x:f>
        <x:v>1</x:v>
      </x:c>
      <x:c r="U321" s="4" t="n">
        <x:f t="shared" si="28">IF($O321="","",$O321*$R321)</x:f>
        <x:v>913728</x:v>
      </x:c>
      <x:c r="V321" s="4" t="n">
        <x:f t="shared" si="29">IF($P321="","",$P321*$S321)</x:f>
        <x:v>29442</x:v>
      </x:c>
      <x:c r="W321" s="4" t="n">
        <x:f t="shared" si="30">IF($Q321="","",$Q321*$T321)</x:f>
        <x:v>22618</x:v>
      </x:c>
      <x:c r="X321" s="4" t="n">
        <x:f>IFERROR(INDEX('参数'!$B$5:$B$7,MATCH($N321,'参数'!$A$5:$A$7,0)),"")</x:f>
        <x:v>1</x:v>
      </x:c>
      <x:c r="Y321" s="4" t="n">
        <x:f>IFERROR(INDEX('参数'!$C$5:$C$7,MATCH($N321,'参数'!$A$5:$A$7,0)),"")</x:f>
        <x:v>1.2</x:v>
      </x:c>
      <x:c r="Z321" s="4" t="n">
        <x:f>IFERROR(INDEX('参数'!$D$5:$D$7,MATCH($N321,'参数'!$A$5:$A$7,0)),"")</x:f>
        <x:v>1</x:v>
      </x:c>
      <x:c r="AA321" s="4" t="n">
        <x:f>IFERROR(INDEX('楼层配置'!$E$5:$E$104,MATCH($K321,'楼层配置'!$B$5:$B$104,0)),1)</x:f>
        <x:v>1.155487359135032</x:v>
      </x:c>
      <x:c r="AB321" s="4" t="n">
        <x:f>IFERROR(INDEX('楼层配置'!$F$5:$F$104,MATCH($K321,'楼层配置'!$B$5:$B$104,0)),1)</x:f>
        <x:v>0.6953781811083759</x:v>
      </x:c>
      <x:c r="AC321" s="4" t="n">
        <x:f>IFERROR(INDEX('楼层配置'!$G$5:$G$104,MATCH($K321,'楼层配置'!$B$5:$B$104,0)),1)</x:f>
        <x:v>1</x:v>
      </x:c>
      <x:c r="AD321" s="6" t="n">
        <x:f t="shared" si="31">IFERROR($D321/$G321-1,"")</x:f>
        <x:v>-0.2682510815430059</x:v>
      </x:c>
      <x:c r="AE321" s="6" t="n">
        <x:f t="shared" si="32">IFERROR($E321/$H321-1,"")</x:f>
        <x:v>-0.14415104856127636</x:v>
      </x:c>
      <x:c r="AF321" s="6" t="n">
        <x:f t="shared" si="33">IFERROR($F321/$I321-1,"")</x:f>
        <x:v>0.18630022028742266</x:v>
      </x:c>
      <x:c r="AG321" s="4" t="str">
        <x:f t="shared" si="34">IF(AND($A321&gt;=1,$L321&gt;=1,$L321&lt;=500,OR($N321="Tank",$N321="DPS",$N321="Support"),ISNUMBER($D321),ISNUMBER($E321),ISNUMBER($F321)),"有效","异常")</x:f>
        <x:v>有效</x:v>
      </x:c>
      <x:c r="AH321" t="n">
        <x:f>D321/(1-MIN(0.75,F321/(24000+F321)))</x:f>
        <x:v>2050805.4590833334</x:v>
      </x:c>
    </x:row>
    <x:row r="322" ht="14.25" customHeight="1">
      <x:c r="A322" s="4">
        <x:v>318</x:v>
      </x:c>
      <x:c r="B322" s="4">
        <x:v>1006</x:v>
      </x:c>
      <x:c r="C322" s="4">
        <x:v>42</x:v>
      </x:c>
      <x:c r="D322" s="5" t="n">
        <x:f>IFERROR(ROUND($U322*$X322*$AA322*'参数'!$B$13,0),"")</x:f>
        <x:v>1055801</x:v>
      </x:c>
      <x:c r="E322" s="5" t="n">
        <x:f>IFERROR(ROUND($V322*$Y322*$AB322*'参数'!$C$13,0),"")</x:f>
        <x:v>24568</x:v>
      </x:c>
      <x:c r="F322" s="5" t="n">
        <x:f>IFERROR(ROUND($W322*$Z322*$AC322*'参数'!$D$13,0),"")</x:f>
        <x:v>22618</x:v>
      </x:c>
      <x:c r="G322" s="4">
        <x:v>1442846</x:v>
      </x:c>
      <x:c r="H322" s="4">
        <x:v>28706</x:v>
      </x:c>
      <x:c r="I322" s="4">
        <x:v>19066</x:v>
      </x:c>
      <x:c r="J322" s="4">
        <x:v>64</x:v>
      </x:c>
      <x:c r="K322" s="4">
        <x:v>64</x:v>
      </x:c>
      <x:c r="L322" s="4" t="n">
        <x:f>IFERROR(INDEX('楼层配置'!$D$5:$D$104,MATCH($K322,'楼层配置'!$B$5:$B$104,0)),"")</x:f>
        <x:v>227</x:v>
      </x:c>
      <x:c r="M322" s="4" t="str">
        <x:f>IFERROR(INDEX('_角色基线'!$B$2:$B$100,MATCH($B322,'_角色基线'!$A$2:$A$100,0)),"")</x:f>
        <x:v>莉莉娅</x:v>
      </x:c>
      <x:c r="N322" s="4" t="str">
        <x:f>IFERROR(INDEX('_角色基线'!$C$2:$C$100,MATCH($B322,'_角色基线'!$A$2:$A$100,0)),"")</x:f>
        <x:v>DPS</x:v>
      </x:c>
      <x:c r="O322" s="4" t="n">
        <x:f>IFERROR(INDEX('_怪物基线'!$B$2:$B$501,MATCH(INT($L322),'_怪物基线'!$A$2:$A$501,0)),"")</x:f>
        <x:v>228432</x:v>
      </x:c>
      <x:c r="P322" s="4" t="n">
        <x:f>IFERROR(INDEX('_怪物基线'!$C$2:$C$501,MATCH(INT($L322),'_怪物基线'!$A$2:$A$501,0)),"")</x:f>
        <x:v>24535</x:v>
      </x:c>
      <x:c r="Q322" s="4" t="n">
        <x:f>IFERROR(INDEX('_怪物基线'!$D$2:$D$501,MATCH(INT($L322),'_怪物基线'!$A$2:$A$501,0)),"")</x:f>
        <x:v>22618</x:v>
      </x:c>
      <x:c r="R322" s="4" t="n">
        <x:f>'参数'!$B$10</x:f>
        <x:v>4</x:v>
      </x:c>
      <x:c r="S322" s="4" t="n">
        <x:f>'参数'!$C$10</x:f>
        <x:v>1.2</x:v>
      </x:c>
      <x:c r="T322" s="4" t="n">
        <x:f>'参数'!$D$10</x:f>
        <x:v>1</x:v>
      </x:c>
      <x:c r="U322" s="4" t="n">
        <x:f t="shared" si="28">IF($O322="","",$O322*$R322)</x:f>
        <x:v>913728</x:v>
      </x:c>
      <x:c r="V322" s="4" t="n">
        <x:f t="shared" si="29">IF($P322="","",$P322*$S322)</x:f>
        <x:v>29442</x:v>
      </x:c>
      <x:c r="W322" s="4" t="n">
        <x:f t="shared" si="30">IF($Q322="","",$Q322*$T322)</x:f>
        <x:v>22618</x:v>
      </x:c>
      <x:c r="X322" s="4" t="n">
        <x:f>IFERROR(INDEX('参数'!$B$5:$B$7,MATCH($N322,'参数'!$A$5:$A$7,0)),"")</x:f>
        <x:v>1</x:v>
      </x:c>
      <x:c r="Y322" s="4" t="n">
        <x:f>IFERROR(INDEX('参数'!$C$5:$C$7,MATCH($N322,'参数'!$A$5:$A$7,0)),"")</x:f>
        <x:v>1.2</x:v>
      </x:c>
      <x:c r="Z322" s="4" t="n">
        <x:f>IFERROR(INDEX('参数'!$D$5:$D$7,MATCH($N322,'参数'!$A$5:$A$7,0)),"")</x:f>
        <x:v>1</x:v>
      </x:c>
      <x:c r="AA322" s="4" t="n">
        <x:f>IFERROR(INDEX('楼层配置'!$E$5:$E$104,MATCH($K322,'楼层配置'!$B$5:$B$104,0)),1)</x:f>
        <x:v>1.155487359135032</x:v>
      </x:c>
      <x:c r="AB322" s="4" t="n">
        <x:f>IFERROR(INDEX('楼层配置'!$F$5:$F$104,MATCH($K322,'楼层配置'!$B$5:$B$104,0)),1)</x:f>
        <x:v>0.6953781811083759</x:v>
      </x:c>
      <x:c r="AC322" s="4" t="n">
        <x:f>IFERROR(INDEX('楼层配置'!$G$5:$G$104,MATCH($K322,'楼层配置'!$B$5:$B$104,0)),1)</x:f>
        <x:v>1</x:v>
      </x:c>
      <x:c r="AD322" s="6" t="n">
        <x:f t="shared" si="31">IFERROR($D322/$G322-1,"")</x:f>
        <x:v>-0.2682510815430059</x:v>
      </x:c>
      <x:c r="AE322" s="6" t="n">
        <x:f t="shared" si="32">IFERROR($E322/$H322-1,"")</x:f>
        <x:v>-0.14415104856127636</x:v>
      </x:c>
      <x:c r="AF322" s="6" t="n">
        <x:f t="shared" si="33">IFERROR($F322/$I322-1,"")</x:f>
        <x:v>0.18630022028742266</x:v>
      </x:c>
      <x:c r="AG322" s="4" t="str">
        <x:f t="shared" si="34">IF(AND($A322&gt;=1,$L322&gt;=1,$L322&lt;=500,OR($N322="Tank",$N322="DPS",$N322="Support"),ISNUMBER($D322),ISNUMBER($E322),ISNUMBER($F322)),"有效","异常")</x:f>
        <x:v>有效</x:v>
      </x:c>
      <x:c r="AH322" t="n">
        <x:f>D322/(1-MIN(0.75,F322/(24000+F322)))</x:f>
        <x:v>2050805.4590833334</x:v>
      </x:c>
    </x:row>
    <x:row r="323" ht="14.25" customHeight="1">
      <x:c r="A323" s="4">
        <x:v>319</x:v>
      </x:c>
      <x:c r="B323" s="4">
        <x:v>1012</x:v>
      </x:c>
      <x:c r="C323" s="4">
        <x:v>42</x:v>
      </x:c>
      <x:c r="D323" s="5" t="n">
        <x:f>IFERROR(ROUND($U323*$X323*$AA323*'参数'!$B$13,0),"")</x:f>
        <x:v>1319751</x:v>
      </x:c>
      <x:c r="E323" s="5" t="n">
        <x:f>IFERROR(ROUND($V323*$Y323*$AB323*'参数'!$C$13,0),"")</x:f>
        <x:v>20473</x:v>
      </x:c>
      <x:c r="F323" s="5" t="n">
        <x:f>IFERROR(ROUND($W323*$Z323*$AC323*'参数'!$D$13,0),"")</x:f>
        <x:v>28273</x:v>
      </x:c>
      <x:c r="G323" s="4">
        <x:v>1803558</x:v>
      </x:c>
      <x:c r="H323" s="4">
        <x:v>23922</x:v>
      </x:c>
      <x:c r="I323" s="4">
        <x:v>23833</x:v>
      </x:c>
      <x:c r="J323" s="4">
        <x:v>64</x:v>
      </x:c>
      <x:c r="K323" s="4">
        <x:v>64</x:v>
      </x:c>
      <x:c r="L323" s="4" t="n">
        <x:f>IFERROR(INDEX('楼层配置'!$D$5:$D$104,MATCH($K323,'楼层配置'!$B$5:$B$104,0)),"")</x:f>
        <x:v>227</x:v>
      </x:c>
      <x:c r="M323" s="4" t="str">
        <x:f>IFERROR(INDEX('_角色基线'!$B$2:$B$100,MATCH($B323,'_角色基线'!$A$2:$A$100,0)),"")</x:f>
        <x:v>艾德琳</x:v>
      </x:c>
      <x:c r="N323" s="4" t="str">
        <x:f>IFERROR(INDEX('_角色基线'!$C$2:$C$100,MATCH($B323,'_角色基线'!$A$2:$A$100,0)),"")</x:f>
        <x:v>Support</x:v>
      </x:c>
      <x:c r="O323" s="4" t="n">
        <x:f>IFERROR(INDEX('_怪物基线'!$B$2:$B$501,MATCH(INT($L323),'_怪物基线'!$A$2:$A$501,0)),"")</x:f>
        <x:v>228432</x:v>
      </x:c>
      <x:c r="P323" s="4" t="n">
        <x:f>IFERROR(INDEX('_怪物基线'!$C$2:$C$501,MATCH(INT($L323),'_怪物基线'!$A$2:$A$501,0)),"")</x:f>
        <x:v>24535</x:v>
      </x:c>
      <x:c r="Q323" s="4" t="n">
        <x:f>IFERROR(INDEX('_怪物基线'!$D$2:$D$501,MATCH(INT($L323),'_怪物基线'!$A$2:$A$501,0)),"")</x:f>
        <x:v>22618</x:v>
      </x:c>
      <x:c r="R323" s="4" t="n">
        <x:f>'参数'!$B$10</x:f>
        <x:v>4</x:v>
      </x:c>
      <x:c r="S323" s="4" t="n">
        <x:f>'参数'!$C$10</x:f>
        <x:v>1.2</x:v>
      </x:c>
      <x:c r="T323" s="4" t="n">
        <x:f>'参数'!$D$10</x:f>
        <x:v>1</x:v>
      </x:c>
      <x:c r="U323" s="4" t="n">
        <x:f t="shared" si="28">IF($O323="","",$O323*$R323)</x:f>
        <x:v>913728</x:v>
      </x:c>
      <x:c r="V323" s="4" t="n">
        <x:f t="shared" si="29">IF($P323="","",$P323*$S323)</x:f>
        <x:v>29442</x:v>
      </x:c>
      <x:c r="W323" s="4" t="n">
        <x:f t="shared" si="30">IF($Q323="","",$Q323*$T323)</x:f>
        <x:v>22618</x:v>
      </x:c>
      <x:c r="X323" s="4" t="n">
        <x:f>IFERROR(INDEX('参数'!$B$5:$B$7,MATCH($N323,'参数'!$A$5:$A$7,0)),"")</x:f>
        <x:v>1.25</x:v>
      </x:c>
      <x:c r="Y323" s="4" t="n">
        <x:f>IFERROR(INDEX('参数'!$C$5:$C$7,MATCH($N323,'参数'!$A$5:$A$7,0)),"")</x:f>
        <x:v>1</x:v>
      </x:c>
      <x:c r="Z323" s="4" t="n">
        <x:f>IFERROR(INDEX('参数'!$D$5:$D$7,MATCH($N323,'参数'!$A$5:$A$7,0)),"")</x:f>
        <x:v>1.25</x:v>
      </x:c>
      <x:c r="AA323" s="4" t="n">
        <x:f>IFERROR(INDEX('楼层配置'!$E$5:$E$104,MATCH($K323,'楼层配置'!$B$5:$B$104,0)),1)</x:f>
        <x:v>1.155487359135032</x:v>
      </x:c>
      <x:c r="AB323" s="4" t="n">
        <x:f>IFERROR(INDEX('楼层配置'!$F$5:$F$104,MATCH($K323,'楼层配置'!$B$5:$B$104,0)),1)</x:f>
        <x:v>0.6953781811083759</x:v>
      </x:c>
      <x:c r="AC323" s="4" t="n">
        <x:f>IFERROR(INDEX('楼层配置'!$G$5:$G$104,MATCH($K323,'楼层配置'!$B$5:$B$104,0)),1)</x:f>
        <x:v>1</x:v>
      </x:c>
      <x:c r="AD323" s="6" t="n">
        <x:f t="shared" si="31">IFERROR($D323/$G323-1,"")</x:f>
        <x:v>-0.2682514230204962</x:v>
      </x:c>
      <x:c r="AE323" s="6" t="n">
        <x:f t="shared" si="32">IFERROR($E323/$H323-1,"")</x:f>
        <x:v>-0.14417690828526042</x:v>
      </x:c>
      <x:c r="AF323" s="6" t="n">
        <x:f t="shared" si="33">IFERROR($F323/$I323-1,"")</x:f>
        <x:v>0.18629631183652928</x:v>
      </x:c>
      <x:c r="AG323" s="4" t="str">
        <x:f t="shared" si="34">IF(AND($A323&gt;=1,$L323&gt;=1,$L323&lt;=500,OR($N323="Tank",$N323="DPS",$N323="Support"),ISNUMBER($D323),ISNUMBER($E323),ISNUMBER($F323)),"有效","异常")</x:f>
        <x:v>有效</x:v>
      </x:c>
      <x:c r="AH323" t="n">
        <x:f>D323/(1-MIN(0.75,F323/(24000+F323)))</x:f>
        <x:v>2874472.6676250002</x:v>
      </x:c>
    </x:row>
    <x:row r="324" ht="14.25" customHeight="1">
      <x:c r="A324" s="4">
        <x:v>320</x:v>
      </x:c>
      <x:c r="B324" s="4">
        <x:v>1014</x:v>
      </x:c>
      <x:c r="C324" s="4">
        <x:v>42</x:v>
      </x:c>
      <x:c r="D324" s="5" t="n">
        <x:f>IFERROR(ROUND($U324*$X324*$AA324*'参数'!$B$13,0),"")</x:f>
        <x:v>1055801</x:v>
      </x:c>
      <x:c r="E324" s="5" t="n">
        <x:f>IFERROR(ROUND($V324*$Y324*$AB324*'参数'!$C$13,0),"")</x:f>
        <x:v>24568</x:v>
      </x:c>
      <x:c r="F324" s="5" t="n">
        <x:f>IFERROR(ROUND($W324*$Z324*$AC324*'参数'!$D$13,0),"")</x:f>
        <x:v>22618</x:v>
      </x:c>
      <x:c r="G324" s="4">
        <x:v>1442846</x:v>
      </x:c>
      <x:c r="H324" s="4">
        <x:v>28706</x:v>
      </x:c>
      <x:c r="I324" s="4">
        <x:v>19066</x:v>
      </x:c>
      <x:c r="J324" s="4">
        <x:v>64</x:v>
      </x:c>
      <x:c r="K324" s="4">
        <x:v>64</x:v>
      </x:c>
      <x:c r="L324" s="4" t="n">
        <x:f>IFERROR(INDEX('楼层配置'!$D$5:$D$104,MATCH($K324,'楼层配置'!$B$5:$B$104,0)),"")</x:f>
        <x:v>227</x:v>
      </x:c>
      <x:c r="M324" s="4" t="str">
        <x:f>IFERROR(INDEX('_角色基线'!$B$2:$B$100,MATCH($B324,'_角色基线'!$A$2:$A$100,0)),"")</x:f>
        <x:v>克莉丝汀</x:v>
      </x:c>
      <x:c r="N324" s="4" t="str">
        <x:f>IFERROR(INDEX('_角色基线'!$C$2:$C$100,MATCH($B324,'_角色基线'!$A$2:$A$100,0)),"")</x:f>
        <x:v>DPS</x:v>
      </x:c>
      <x:c r="O324" s="4" t="n">
        <x:f>IFERROR(INDEX('_怪物基线'!$B$2:$B$501,MATCH(INT($L324),'_怪物基线'!$A$2:$A$501,0)),"")</x:f>
        <x:v>228432</x:v>
      </x:c>
      <x:c r="P324" s="4" t="n">
        <x:f>IFERROR(INDEX('_怪物基线'!$C$2:$C$501,MATCH(INT($L324),'_怪物基线'!$A$2:$A$501,0)),"")</x:f>
        <x:v>24535</x:v>
      </x:c>
      <x:c r="Q324" s="4" t="n">
        <x:f>IFERROR(INDEX('_怪物基线'!$D$2:$D$501,MATCH(INT($L324),'_怪物基线'!$A$2:$A$501,0)),"")</x:f>
        <x:v>22618</x:v>
      </x:c>
      <x:c r="R324" s="4" t="n">
        <x:f>'参数'!$B$10</x:f>
        <x:v>4</x:v>
      </x:c>
      <x:c r="S324" s="4" t="n">
        <x:f>'参数'!$C$10</x:f>
        <x:v>1.2</x:v>
      </x:c>
      <x:c r="T324" s="4" t="n">
        <x:f>'参数'!$D$10</x:f>
        <x:v>1</x:v>
      </x:c>
      <x:c r="U324" s="4" t="n">
        <x:f t="shared" si="28">IF($O324="","",$O324*$R324)</x:f>
        <x:v>913728</x:v>
      </x:c>
      <x:c r="V324" s="4" t="n">
        <x:f t="shared" si="29">IF($P324="","",$P324*$S324)</x:f>
        <x:v>29442</x:v>
      </x:c>
      <x:c r="W324" s="4" t="n">
        <x:f t="shared" si="30">IF($Q324="","",$Q324*$T324)</x:f>
        <x:v>22618</x:v>
      </x:c>
      <x:c r="X324" s="4" t="n">
        <x:f>IFERROR(INDEX('参数'!$B$5:$B$7,MATCH($N324,'参数'!$A$5:$A$7,0)),"")</x:f>
        <x:v>1</x:v>
      </x:c>
      <x:c r="Y324" s="4" t="n">
        <x:f>IFERROR(INDEX('参数'!$C$5:$C$7,MATCH($N324,'参数'!$A$5:$A$7,0)),"")</x:f>
        <x:v>1.2</x:v>
      </x:c>
      <x:c r="Z324" s="4" t="n">
        <x:f>IFERROR(INDEX('参数'!$D$5:$D$7,MATCH($N324,'参数'!$A$5:$A$7,0)),"")</x:f>
        <x:v>1</x:v>
      </x:c>
      <x:c r="AA324" s="4" t="n">
        <x:f>IFERROR(INDEX('楼层配置'!$E$5:$E$104,MATCH($K324,'楼层配置'!$B$5:$B$104,0)),1)</x:f>
        <x:v>1.155487359135032</x:v>
      </x:c>
      <x:c r="AB324" s="4" t="n">
        <x:f>IFERROR(INDEX('楼层配置'!$F$5:$F$104,MATCH($K324,'楼层配置'!$B$5:$B$104,0)),1)</x:f>
        <x:v>0.6953781811083759</x:v>
      </x:c>
      <x:c r="AC324" s="4" t="n">
        <x:f>IFERROR(INDEX('楼层配置'!$G$5:$G$104,MATCH($K324,'楼层配置'!$B$5:$B$104,0)),1)</x:f>
        <x:v>1</x:v>
      </x:c>
      <x:c r="AD324" s="6" t="n">
        <x:f t="shared" si="31">IFERROR($D324/$G324-1,"")</x:f>
        <x:v>-0.2682510815430059</x:v>
      </x:c>
      <x:c r="AE324" s="6" t="n">
        <x:f t="shared" si="32">IFERROR($E324/$H324-1,"")</x:f>
        <x:v>-0.14415104856127636</x:v>
      </x:c>
      <x:c r="AF324" s="6" t="n">
        <x:f t="shared" si="33">IFERROR($F324/$I324-1,"")</x:f>
        <x:v>0.18630022028742266</x:v>
      </x:c>
      <x:c r="AG324" s="4" t="str">
        <x:f t="shared" si="34">IF(AND($A324&gt;=1,$L324&gt;=1,$L324&lt;=500,OR($N324="Tank",$N324="DPS",$N324="Support"),ISNUMBER($D324),ISNUMBER($E324),ISNUMBER($F324)),"有效","异常")</x:f>
        <x:v>有效</x:v>
      </x:c>
      <x:c r="AH324" t="n">
        <x:f>D324/(1-MIN(0.75,F324/(24000+F324)))</x:f>
        <x:v>2050805.4590833334</x:v>
      </x:c>
    </x:row>
    <x:row r="325" ht="14.25" customHeight="1">
      <x:c r="A325" s="4">
        <x:v>321</x:v>
      </x:c>
      <x:c r="B325" s="4">
        <x:v>1003</x:v>
      </x:c>
      <x:c r="C325" s="4">
        <x:v>42</x:v>
      </x:c>
      <x:c r="D325" s="5" t="n">
        <x:f>IFERROR(ROUND($U325*$X325*$AA325*'参数'!$B$13,0),"")</x:f>
        <x:v>1609892</x:v>
      </x:c>
      <x:c r="E325" s="5" t="n">
        <x:f>IFERROR(ROUND($V325*$Y325*$AB325*'参数'!$C$13,0),"")</x:f>
        <x:v>20736</x:v>
      </x:c>
      <x:c r="F325" s="5" t="n">
        <x:f>IFERROR(ROUND($W325*$Z325*$AC325*'参数'!$D$13,0),"")</x:f>
        <x:v>34304</x:v>
      </x:c>
      <x:c r="G325" s="4">
        <x:v>2248387</x:v>
      </x:c>
      <x:c r="H325" s="4">
        <x:v>24586</x:v>
      </x:c>
      <x:c r="I325" s="4">
        <x:v>29168</x:v>
      </x:c>
      <x:c r="J325" s="4">
        <x:v>65</x:v>
      </x:c>
      <x:c r="K325" s="4">
        <x:v>65</x:v>
      </x:c>
      <x:c r="L325" s="4" t="n">
        <x:f>IFERROR(INDEX('楼层配置'!$D$5:$D$104,MATCH($K325,'楼层配置'!$B$5:$B$104,0)),"")</x:f>
        <x:v>229</x:v>
      </x:c>
      <x:c r="M325" s="4" t="str">
        <x:f>IFERROR(INDEX('_角色基线'!$B$2:$B$100,MATCH($B325,'_角色基线'!$A$2:$A$100,0)),"")</x:f>
        <x:v>塔拉夏</x:v>
      </x:c>
      <x:c r="N325" s="4" t="str">
        <x:f>IFERROR(INDEX('_角色基线'!$C$2:$C$100,MATCH($B325,'_角色基线'!$A$2:$A$100,0)),"")</x:f>
        <x:v>Tank</x:v>
      </x:c>
      <x:c r="O325" s="4" t="n">
        <x:f>IFERROR(INDEX('_怪物基线'!$B$2:$B$501,MATCH(INT($L325),'_怪物基线'!$A$2:$A$501,0)),"")</x:f>
        <x:v>233591</x:v>
      </x:c>
      <x:c r="P325" s="4" t="n">
        <x:f>IFERROR(INDEX('_怪物基线'!$C$2:$C$501,MATCH(INT($L325),'_怪物基线'!$A$2:$A$501,0)),"")</x:f>
        <x:v>24940</x:v>
      </x:c>
      <x:c r="Q325" s="4" t="n">
        <x:f>IFERROR(INDEX('_怪物基线'!$D$2:$D$501,MATCH(INT($L325),'_怪物基线'!$A$2:$A$501,0)),"")</x:f>
        <x:v>22869</x:v>
      </x:c>
      <x:c r="R325" s="4" t="n">
        <x:f>'参数'!$B$10</x:f>
        <x:v>4</x:v>
      </x:c>
      <x:c r="S325" s="4" t="n">
        <x:f>'参数'!$C$10</x:f>
        <x:v>1.2</x:v>
      </x:c>
      <x:c r="T325" s="4" t="n">
        <x:f>'参数'!$D$10</x:f>
        <x:v>1</x:v>
      </x:c>
      <x:c r="U325" s="4" t="n">
        <x:f t="shared" ref="U325:U388" si="35">IF($O325="","",$O325*$R325)</x:f>
        <x:v>934364</x:v>
      </x:c>
      <x:c r="V325" s="4" t="n">
        <x:f t="shared" ref="V325:V388" si="36">IF($P325="","",$P325*$S325)</x:f>
        <x:v>29928</x:v>
      </x:c>
      <x:c r="W325" s="4" t="n">
        <x:f t="shared" ref="W325:W388" si="37">IF($Q325="","",$Q325*$T325)</x:f>
        <x:v>22869</x:v>
      </x:c>
      <x:c r="X325" s="4" t="n">
        <x:f>IFERROR(INDEX('参数'!$B$5:$B$7,MATCH($N325,'参数'!$A$5:$A$7,0)),"")</x:f>
        <x:v>1.5</x:v>
      </x:c>
      <x:c r="Y325" s="4" t="n">
        <x:f>IFERROR(INDEX('参数'!$C$5:$C$7,MATCH($N325,'参数'!$A$5:$A$7,0)),"")</x:f>
        <x:v>1</x:v>
      </x:c>
      <x:c r="Z325" s="4" t="n">
        <x:f>IFERROR(INDEX('参数'!$D$5:$D$7,MATCH($N325,'参数'!$A$5:$A$7,0)),"")</x:f>
        <x:v>1.5</x:v>
      </x:c>
      <x:c r="AA325" s="4" t="n">
        <x:f>IFERROR(INDEX('楼层配置'!$E$5:$E$104,MATCH($K325,'楼层配置'!$B$5:$B$104,0)),1)</x:f>
        <x:v>1.1486545190758795</x:v>
      </x:c>
      <x:c r="AB325" s="4" t="n">
        <x:f>IFERROR(INDEX('楼层配置'!$F$5:$F$104,MATCH($K325,'楼层配置'!$B$5:$B$104,0)),1)</x:f>
        <x:v>0.6928545245674523</x:v>
      </x:c>
      <x:c r="AC325" s="4" t="n">
        <x:f>IFERROR(INDEX('楼层配置'!$G$5:$G$104,MATCH($K325,'楼层配置'!$B$5:$B$104,0)),1)</x:f>
        <x:v>1</x:v>
      </x:c>
      <x:c r="AD325" s="6" t="n">
        <x:f t="shared" ref="AD325:AD388" si="38">IFERROR($D325/$G325-1,"")</x:f>
        <x:v>-0.28397913704357836</x:v>
      </x:c>
      <x:c r="AE325" s="6" t="n">
        <x:f t="shared" ref="AE325:AE388" si="39">IFERROR($E325/$H325-1,"")</x:f>
        <x:v>-0.15659318311234038</x:v>
      </x:c>
      <x:c r="AF325" s="6" t="n">
        <x:f t="shared" ref="AF325:AF388" si="40">IFERROR($F325/$I325-1,"")</x:f>
        <x:v>0.1760833790455294</x:v>
      </x:c>
      <x:c r="AG325" s="4" t="str">
        <x:f t="shared" ref="AG325:AG388" si="41">IF(AND($A325&gt;=1,$L325&gt;=1,$L325&lt;=500,OR($N325="Tank",$N325="DPS",$N325="Support"),ISNUMBER($D325),ISNUMBER($E325),ISNUMBER($F325)),"有效","异常")</x:f>
        <x:v>有效</x:v>
      </x:c>
      <x:c r="AH325" t="n">
        <x:f>D325/(1-MIN(0.75,F325/(24000+F325)))</x:f>
        <x:v>3910964.2986666663</x:v>
      </x:c>
    </x:row>
    <x:row r="326" ht="14.25" customHeight="1">
      <x:c r="A326" s="4">
        <x:v>322</x:v>
      </x:c>
      <x:c r="B326" s="4">
        <x:v>1008</x:v>
      </x:c>
      <x:c r="C326" s="4">
        <x:v>42</x:v>
      </x:c>
      <x:c r="D326" s="5" t="n">
        <x:f>IFERROR(ROUND($U326*$X326*$AA326*'参数'!$B$13,0),"")</x:f>
        <x:v>1073261</x:v>
      </x:c>
      <x:c r="E326" s="5" t="n">
        <x:f>IFERROR(ROUND($V326*$Y326*$AB326*'参数'!$C$13,0),"")</x:f>
        <x:v>24883</x:v>
      </x:c>
      <x:c r="F326" s="5" t="n">
        <x:f>IFERROR(ROUND($W326*$Z326*$AC326*'参数'!$D$13,0),"")</x:f>
        <x:v>22869</x:v>
      </x:c>
      <x:c r="G326" s="4">
        <x:v>1498924</x:v>
      </x:c>
      <x:c r="H326" s="4">
        <x:v>29503</x:v>
      </x:c>
      <x:c r="I326" s="4">
        <x:v>19445</x:v>
      </x:c>
      <x:c r="J326" s="4">
        <x:v>65</x:v>
      </x:c>
      <x:c r="K326" s="4">
        <x:v>65</x:v>
      </x:c>
      <x:c r="L326" s="4" t="n">
        <x:f>IFERROR(INDEX('楼层配置'!$D$5:$D$104,MATCH($K326,'楼层配置'!$B$5:$B$104,0)),"")</x:f>
        <x:v>229</x:v>
      </x:c>
      <x:c r="M326" s="4" t="str">
        <x:f>IFERROR(INDEX('_角色基线'!$B$2:$B$100,MATCH($B326,'_角色基线'!$A$2:$A$100,0)),"")</x:f>
        <x:v>薇</x:v>
      </x:c>
      <x:c r="N326" s="4" t="str">
        <x:f>IFERROR(INDEX('_角色基线'!$C$2:$C$100,MATCH($B326,'_角色基线'!$A$2:$A$100,0)),"")</x:f>
        <x:v>DPS</x:v>
      </x:c>
      <x:c r="O326" s="4" t="n">
        <x:f>IFERROR(INDEX('_怪物基线'!$B$2:$B$501,MATCH(INT($L326),'_怪物基线'!$A$2:$A$501,0)),"")</x:f>
        <x:v>233591</x:v>
      </x:c>
      <x:c r="P326" s="4" t="n">
        <x:f>IFERROR(INDEX('_怪物基线'!$C$2:$C$501,MATCH(INT($L326),'_怪物基线'!$A$2:$A$501,0)),"")</x:f>
        <x:v>24940</x:v>
      </x:c>
      <x:c r="Q326" s="4" t="n">
        <x:f>IFERROR(INDEX('_怪物基线'!$D$2:$D$501,MATCH(INT($L326),'_怪物基线'!$A$2:$A$501,0)),"")</x:f>
        <x:v>22869</x:v>
      </x:c>
      <x:c r="R326" s="4" t="n">
        <x:f>'参数'!$B$10</x:f>
        <x:v>4</x:v>
      </x:c>
      <x:c r="S326" s="4" t="n">
        <x:f>'参数'!$C$10</x:f>
        <x:v>1.2</x:v>
      </x:c>
      <x:c r="T326" s="4" t="n">
        <x:f>'参数'!$D$10</x:f>
        <x:v>1</x:v>
      </x:c>
      <x:c r="U326" s="4" t="n">
        <x:f t="shared" si="35">IF($O326="","",$O326*$R326)</x:f>
        <x:v>934364</x:v>
      </x:c>
      <x:c r="V326" s="4" t="n">
        <x:f t="shared" si="36">IF($P326="","",$P326*$S326)</x:f>
        <x:v>29928</x:v>
      </x:c>
      <x:c r="W326" s="4" t="n">
        <x:f t="shared" si="37">IF($Q326="","",$Q326*$T326)</x:f>
        <x:v>22869</x:v>
      </x:c>
      <x:c r="X326" s="4" t="n">
        <x:f>IFERROR(INDEX('参数'!$B$5:$B$7,MATCH($N326,'参数'!$A$5:$A$7,0)),"")</x:f>
        <x:v>1</x:v>
      </x:c>
      <x:c r="Y326" s="4" t="n">
        <x:f>IFERROR(INDEX('参数'!$C$5:$C$7,MATCH($N326,'参数'!$A$5:$A$7,0)),"")</x:f>
        <x:v>1.2</x:v>
      </x:c>
      <x:c r="Z326" s="4" t="n">
        <x:f>IFERROR(INDEX('参数'!$D$5:$D$7,MATCH($N326,'参数'!$A$5:$A$7,0)),"")</x:f>
        <x:v>1</x:v>
      </x:c>
      <x:c r="AA326" s="4" t="n">
        <x:f>IFERROR(INDEX('楼层配置'!$E$5:$E$104,MATCH($K326,'楼层配置'!$B$5:$B$104,0)),1)</x:f>
        <x:v>1.1486545190758795</x:v>
      </x:c>
      <x:c r="AB326" s="4" t="n">
        <x:f>IFERROR(INDEX('楼层配置'!$F$5:$F$104,MATCH($K326,'楼层配置'!$B$5:$B$104,0)),1)</x:f>
        <x:v>0.6928545245674523</x:v>
      </x:c>
      <x:c r="AC326" s="4" t="n">
        <x:f>IFERROR(INDEX('楼层配置'!$G$5:$G$104,MATCH($K326,'楼层配置'!$B$5:$B$104,0)),1)</x:f>
        <x:v>1</x:v>
      </x:c>
      <x:c r="AD326" s="6" t="n">
        <x:f t="shared" si="38">IFERROR($D326/$G326-1,"")</x:f>
        <x:v>-0.28397904096538584</x:v>
      </x:c>
      <x:c r="AE326" s="6" t="n">
        <x:f t="shared" si="39">IFERROR($E326/$H326-1,"")</x:f>
        <x:v>-0.15659424465308613</x:v>
      </x:c>
      <x:c r="AF326" s="6" t="n">
        <x:f t="shared" si="40">IFERROR($F326/$I326-1,"")</x:f>
        <x:v>0.17608639753149902</x:v>
      </x:c>
      <x:c r="AG326" s="4" t="str">
        <x:f t="shared" si="41">IF(AND($A326&gt;=1,$L326&gt;=1,$L326&lt;=500,OR($N326="Tank",$N326="DPS",$N326="Support"),ISNUMBER($D326),ISNUMBER($E326),ISNUMBER($F326)),"有效","异常")</x:f>
        <x:v>有效</x:v>
      </x:c>
      <x:c r="AH326" t="n">
        <x:f>D326/(1-MIN(0.75,F326/(24000+F326)))</x:f>
        <x:v>2095944.575375</x:v>
      </x:c>
    </x:row>
    <x:row r="327" ht="14.25" customHeight="1">
      <x:c r="A327" s="4">
        <x:v>323</x:v>
      </x:c>
      <x:c r="B327" s="4">
        <x:v>1007</x:v>
      </x:c>
      <x:c r="C327" s="4">
        <x:v>42</x:v>
      </x:c>
      <x:c r="D327" s="5" t="n">
        <x:f>IFERROR(ROUND($U327*$X327*$AA327*'参数'!$B$13,0),"")</x:f>
        <x:v>1341577</x:v>
      </x:c>
      <x:c r="E327" s="5" t="n">
        <x:f>IFERROR(ROUND($V327*$Y327*$AB327*'参数'!$C$13,0),"")</x:f>
        <x:v>20736</x:v>
      </x:c>
      <x:c r="F327" s="5" t="n">
        <x:f>IFERROR(ROUND($W327*$Z327*$AC327*'参数'!$D$13,0),"")</x:f>
        <x:v>28586</x:v>
      </x:c>
      <x:c r="G327" s="4">
        <x:v>1873656</x:v>
      </x:c>
      <x:c r="H327" s="4">
        <x:v>24586</x:v>
      </x:c>
      <x:c r="I327" s="4">
        <x:v>24307</x:v>
      </x:c>
      <x:c r="J327" s="4">
        <x:v>65</x:v>
      </x:c>
      <x:c r="K327" s="4">
        <x:v>65</x:v>
      </x:c>
      <x:c r="L327" s="4" t="n">
        <x:f>IFERROR(INDEX('楼层配置'!$D$5:$D$104,MATCH($K327,'楼层配置'!$B$5:$B$104,0)),"")</x:f>
        <x:v>229</x:v>
      </x:c>
      <x:c r="M327" s="4" t="str">
        <x:f>IFERROR(INDEX('_角色基线'!$B$2:$B$100,MATCH($B327,'_角色基线'!$A$2:$A$100,0)),"")</x:f>
        <x:v>萨萨莉安</x:v>
      </x:c>
      <x:c r="N327" s="4" t="str">
        <x:f>IFERROR(INDEX('_角色基线'!$C$2:$C$100,MATCH($B327,'_角色基线'!$A$2:$A$100,0)),"")</x:f>
        <x:v>Support</x:v>
      </x:c>
      <x:c r="O327" s="4" t="n">
        <x:f>IFERROR(INDEX('_怪物基线'!$B$2:$B$501,MATCH(INT($L327),'_怪物基线'!$A$2:$A$501,0)),"")</x:f>
        <x:v>233591</x:v>
      </x:c>
      <x:c r="P327" s="4" t="n">
        <x:f>IFERROR(INDEX('_怪物基线'!$C$2:$C$501,MATCH(INT($L327),'_怪物基线'!$A$2:$A$501,0)),"")</x:f>
        <x:v>24940</x:v>
      </x:c>
      <x:c r="Q327" s="4" t="n">
        <x:f>IFERROR(INDEX('_怪物基线'!$D$2:$D$501,MATCH(INT($L327),'_怪物基线'!$A$2:$A$501,0)),"")</x:f>
        <x:v>22869</x:v>
      </x:c>
      <x:c r="R327" s="4" t="n">
        <x:f>'参数'!$B$10</x:f>
        <x:v>4</x:v>
      </x:c>
      <x:c r="S327" s="4" t="n">
        <x:f>'参数'!$C$10</x:f>
        <x:v>1.2</x:v>
      </x:c>
      <x:c r="T327" s="4" t="n">
        <x:f>'参数'!$D$10</x:f>
        <x:v>1</x:v>
      </x:c>
      <x:c r="U327" s="4" t="n">
        <x:f t="shared" si="35">IF($O327="","",$O327*$R327)</x:f>
        <x:v>934364</x:v>
      </x:c>
      <x:c r="V327" s="4" t="n">
        <x:f t="shared" si="36">IF($P327="","",$P327*$S327)</x:f>
        <x:v>29928</x:v>
      </x:c>
      <x:c r="W327" s="4" t="n">
        <x:f t="shared" si="37">IF($Q327="","",$Q327*$T327)</x:f>
        <x:v>22869</x:v>
      </x:c>
      <x:c r="X327" s="4" t="n">
        <x:f>IFERROR(INDEX('参数'!$B$5:$B$7,MATCH($N327,'参数'!$A$5:$A$7,0)),"")</x:f>
        <x:v>1.25</x:v>
      </x:c>
      <x:c r="Y327" s="4" t="n">
        <x:f>IFERROR(INDEX('参数'!$C$5:$C$7,MATCH($N327,'参数'!$A$5:$A$7,0)),"")</x:f>
        <x:v>1</x:v>
      </x:c>
      <x:c r="Z327" s="4" t="n">
        <x:f>IFERROR(INDEX('参数'!$D$5:$D$7,MATCH($N327,'参数'!$A$5:$A$7,0)),"")</x:f>
        <x:v>1.25</x:v>
      </x:c>
      <x:c r="AA327" s="4" t="n">
        <x:f>IFERROR(INDEX('楼层配置'!$E$5:$E$104,MATCH($K327,'楼层配置'!$B$5:$B$104,0)),1)</x:f>
        <x:v>1.1486545190758795</x:v>
      </x:c>
      <x:c r="AB327" s="4" t="n">
        <x:f>IFERROR(INDEX('楼层配置'!$F$5:$F$104,MATCH($K327,'楼层配置'!$B$5:$B$104,0)),1)</x:f>
        <x:v>0.6928545245674523</x:v>
      </x:c>
      <x:c r="AC327" s="4" t="n">
        <x:f>IFERROR(INDEX('楼层配置'!$G$5:$G$104,MATCH($K327,'楼层配置'!$B$5:$B$104,0)),1)</x:f>
        <x:v>1</x:v>
      </x:c>
      <x:c r="AD327" s="6" t="n">
        <x:f t="shared" si="38">IFERROR($D327/$G327-1,"")</x:f>
        <x:v>-0.28397902283023135</x:v>
      </x:c>
      <x:c r="AE327" s="6" t="n">
        <x:f t="shared" si="39">IFERROR($E327/$H327-1,"")</x:f>
        <x:v>-0.15659318311234038</x:v>
      </x:c>
      <x:c r="AF327" s="6" t="n">
        <x:f t="shared" si="40">IFERROR($F327/$I327-1,"")</x:f>
        <x:v>0.17603982391903572</x:v>
      </x:c>
      <x:c r="AG327" s="4" t="str">
        <x:f t="shared" si="41">IF(AND($A327&gt;=1,$L327&gt;=1,$L327&lt;=500,OR($N327="Tank",$N327="DPS",$N327="Support"),ISNUMBER($D327),ISNUMBER($E327),ISNUMBER($F327)),"有效","异常")</x:f>
        <x:v>有效</x:v>
      </x:c>
      <x:c r="AH327" t="n">
        <x:f>D327/(1-MIN(0.75,F327/(24000+F327)))</x:f>
        <x:v>2939507.0050833332</x:v>
      </x:c>
    </x:row>
    <x:row r="328" ht="14.25" customHeight="1">
      <x:c r="A328" s="4">
        <x:v>324</x:v>
      </x:c>
      <x:c r="B328" s="4">
        <x:v>1011</x:v>
      </x:c>
      <x:c r="C328" s="4">
        <x:v>42</x:v>
      </x:c>
      <x:c r="D328" s="5" t="n">
        <x:f>IFERROR(ROUND($U328*$X328*$AA328*'参数'!$B$13,0),"")</x:f>
        <x:v>1341577</x:v>
      </x:c>
      <x:c r="E328" s="5" t="n">
        <x:f>IFERROR(ROUND($V328*$Y328*$AB328*'参数'!$C$13,0),"")</x:f>
        <x:v>20736</x:v>
      </x:c>
      <x:c r="F328" s="5" t="n">
        <x:f>IFERROR(ROUND($W328*$Z328*$AC328*'参数'!$D$13,0),"")</x:f>
        <x:v>28586</x:v>
      </x:c>
      <x:c r="G328" s="4">
        <x:v>1873656</x:v>
      </x:c>
      <x:c r="H328" s="4">
        <x:v>24586</x:v>
      </x:c>
      <x:c r="I328" s="4">
        <x:v>24307</x:v>
      </x:c>
      <x:c r="J328" s="4">
        <x:v>65</x:v>
      </x:c>
      <x:c r="K328" s="4">
        <x:v>65</x:v>
      </x:c>
      <x:c r="L328" s="4" t="n">
        <x:f>IFERROR(INDEX('楼层配置'!$D$5:$D$104,MATCH($K328,'楼层配置'!$B$5:$B$104,0)),"")</x:f>
        <x:v>229</x:v>
      </x:c>
      <x:c r="M328" s="4" t="str">
        <x:f>IFERROR(INDEX('_角色基线'!$B$2:$B$100,MATCH($B328,'_角色基线'!$A$2:$A$100,0)),"")</x:f>
        <x:v>陈双双</x:v>
      </x:c>
      <x:c r="N328" s="4" t="str">
        <x:f>IFERROR(INDEX('_角色基线'!$C$2:$C$100,MATCH($B328,'_角色基线'!$A$2:$A$100,0)),"")</x:f>
        <x:v>Support</x:v>
      </x:c>
      <x:c r="O328" s="4" t="n">
        <x:f>IFERROR(INDEX('_怪物基线'!$B$2:$B$501,MATCH(INT($L328),'_怪物基线'!$A$2:$A$501,0)),"")</x:f>
        <x:v>233591</x:v>
      </x:c>
      <x:c r="P328" s="4" t="n">
        <x:f>IFERROR(INDEX('_怪物基线'!$C$2:$C$501,MATCH(INT($L328),'_怪物基线'!$A$2:$A$501,0)),"")</x:f>
        <x:v>24940</x:v>
      </x:c>
      <x:c r="Q328" s="4" t="n">
        <x:f>IFERROR(INDEX('_怪物基线'!$D$2:$D$501,MATCH(INT($L328),'_怪物基线'!$A$2:$A$501,0)),"")</x:f>
        <x:v>22869</x:v>
      </x:c>
      <x:c r="R328" s="4" t="n">
        <x:f>'参数'!$B$10</x:f>
        <x:v>4</x:v>
      </x:c>
      <x:c r="S328" s="4" t="n">
        <x:f>'参数'!$C$10</x:f>
        <x:v>1.2</x:v>
      </x:c>
      <x:c r="T328" s="4" t="n">
        <x:f>'参数'!$D$10</x:f>
        <x:v>1</x:v>
      </x:c>
      <x:c r="U328" s="4" t="n">
        <x:f t="shared" si="35">IF($O328="","",$O328*$R328)</x:f>
        <x:v>934364</x:v>
      </x:c>
      <x:c r="V328" s="4" t="n">
        <x:f t="shared" si="36">IF($P328="","",$P328*$S328)</x:f>
        <x:v>29928</x:v>
      </x:c>
      <x:c r="W328" s="4" t="n">
        <x:f t="shared" si="37">IF($Q328="","",$Q328*$T328)</x:f>
        <x:v>22869</x:v>
      </x:c>
      <x:c r="X328" s="4" t="n">
        <x:f>IFERROR(INDEX('参数'!$B$5:$B$7,MATCH($N328,'参数'!$A$5:$A$7,0)),"")</x:f>
        <x:v>1.25</x:v>
      </x:c>
      <x:c r="Y328" s="4" t="n">
        <x:f>IFERROR(INDEX('参数'!$C$5:$C$7,MATCH($N328,'参数'!$A$5:$A$7,0)),"")</x:f>
        <x:v>1</x:v>
      </x:c>
      <x:c r="Z328" s="4" t="n">
        <x:f>IFERROR(INDEX('参数'!$D$5:$D$7,MATCH($N328,'参数'!$A$5:$A$7,0)),"")</x:f>
        <x:v>1.25</x:v>
      </x:c>
      <x:c r="AA328" s="4" t="n">
        <x:f>IFERROR(INDEX('楼层配置'!$E$5:$E$104,MATCH($K328,'楼层配置'!$B$5:$B$104,0)),1)</x:f>
        <x:v>1.1486545190758795</x:v>
      </x:c>
      <x:c r="AB328" s="4" t="n">
        <x:f>IFERROR(INDEX('楼层配置'!$F$5:$F$104,MATCH($K328,'楼层配置'!$B$5:$B$104,0)),1)</x:f>
        <x:v>0.6928545245674523</x:v>
      </x:c>
      <x:c r="AC328" s="4" t="n">
        <x:f>IFERROR(INDEX('楼层配置'!$G$5:$G$104,MATCH($K328,'楼层配置'!$B$5:$B$104,0)),1)</x:f>
        <x:v>1</x:v>
      </x:c>
      <x:c r="AD328" s="6" t="n">
        <x:f t="shared" si="38">IFERROR($D328/$G328-1,"")</x:f>
        <x:v>-0.28397902283023135</x:v>
      </x:c>
      <x:c r="AE328" s="6" t="n">
        <x:f t="shared" si="39">IFERROR($E328/$H328-1,"")</x:f>
        <x:v>-0.15659318311234038</x:v>
      </x:c>
      <x:c r="AF328" s="6" t="n">
        <x:f t="shared" si="40">IFERROR($F328/$I328-1,"")</x:f>
        <x:v>0.17603982391903572</x:v>
      </x:c>
      <x:c r="AG328" s="4" t="str">
        <x:f t="shared" si="41">IF(AND($A328&gt;=1,$L328&gt;=1,$L328&lt;=500,OR($N328="Tank",$N328="DPS",$N328="Support"),ISNUMBER($D328),ISNUMBER($E328),ISNUMBER($F328)),"有效","异常")</x:f>
        <x:v>有效</x:v>
      </x:c>
      <x:c r="AH328" t="n">
        <x:f>D328/(1-MIN(0.75,F328/(24000+F328)))</x:f>
        <x:v>2939507.0050833332</x:v>
      </x:c>
    </x:row>
    <x:row r="329" ht="14.25" customHeight="1">
      <x:c r="A329" s="4">
        <x:v>325</x:v>
      </x:c>
      <x:c r="B329" s="4">
        <x:v>1020</x:v>
      </x:c>
      <x:c r="C329" s="4">
        <x:v>42</x:v>
      </x:c>
      <x:c r="D329" s="5" t="n">
        <x:f>IFERROR(ROUND($U329*$X329*$AA329*'参数'!$B$13,0),"")</x:f>
        <x:v>1341577</x:v>
      </x:c>
      <x:c r="E329" s="5" t="n">
        <x:f>IFERROR(ROUND($V329*$Y329*$AB329*'参数'!$C$13,0),"")</x:f>
        <x:v>20736</x:v>
      </x:c>
      <x:c r="F329" s="5" t="n">
        <x:f>IFERROR(ROUND($W329*$Z329*$AC329*'参数'!$D$13,0),"")</x:f>
        <x:v>28586</x:v>
      </x:c>
      <x:c r="G329" s="4">
        <x:v>1873656</x:v>
      </x:c>
      <x:c r="H329" s="4">
        <x:v>24586</x:v>
      </x:c>
      <x:c r="I329" s="4">
        <x:v>24307</x:v>
      </x:c>
      <x:c r="J329" s="4">
        <x:v>65</x:v>
      </x:c>
      <x:c r="K329" s="4">
        <x:v>65</x:v>
      </x:c>
      <x:c r="L329" s="4" t="n">
        <x:f>IFERROR(INDEX('楼层配置'!$D$5:$D$104,MATCH($K329,'楼层配置'!$B$5:$B$104,0)),"")</x:f>
        <x:v>229</x:v>
      </x:c>
      <x:c r="M329" s="4" t="str">
        <x:f>IFERROR(INDEX('_角色基线'!$B$2:$B$100,MATCH($B329,'_角色基线'!$A$2:$A$100,0)),"")</x:f>
        <x:v>卡斯帕</x:v>
      </x:c>
      <x:c r="N329" s="4" t="str">
        <x:f>IFERROR(INDEX('_角色基线'!$C$2:$C$100,MATCH($B329,'_角色基线'!$A$2:$A$100,0)),"")</x:f>
        <x:v>Support</x:v>
      </x:c>
      <x:c r="O329" s="4" t="n">
        <x:f>IFERROR(INDEX('_怪物基线'!$B$2:$B$501,MATCH(INT($L329),'_怪物基线'!$A$2:$A$501,0)),"")</x:f>
        <x:v>233591</x:v>
      </x:c>
      <x:c r="P329" s="4" t="n">
        <x:f>IFERROR(INDEX('_怪物基线'!$C$2:$C$501,MATCH(INT($L329),'_怪物基线'!$A$2:$A$501,0)),"")</x:f>
        <x:v>24940</x:v>
      </x:c>
      <x:c r="Q329" s="4" t="n">
        <x:f>IFERROR(INDEX('_怪物基线'!$D$2:$D$501,MATCH(INT($L329),'_怪物基线'!$A$2:$A$501,0)),"")</x:f>
        <x:v>22869</x:v>
      </x:c>
      <x:c r="R329" s="4" t="n">
        <x:f>'参数'!$B$10</x:f>
        <x:v>4</x:v>
      </x:c>
      <x:c r="S329" s="4" t="n">
        <x:f>'参数'!$C$10</x:f>
        <x:v>1.2</x:v>
      </x:c>
      <x:c r="T329" s="4" t="n">
        <x:f>'参数'!$D$10</x:f>
        <x:v>1</x:v>
      </x:c>
      <x:c r="U329" s="4" t="n">
        <x:f t="shared" si="35">IF($O329="","",$O329*$R329)</x:f>
        <x:v>934364</x:v>
      </x:c>
      <x:c r="V329" s="4" t="n">
        <x:f t="shared" si="36">IF($P329="","",$P329*$S329)</x:f>
        <x:v>29928</x:v>
      </x:c>
      <x:c r="W329" s="4" t="n">
        <x:f t="shared" si="37">IF($Q329="","",$Q329*$T329)</x:f>
        <x:v>22869</x:v>
      </x:c>
      <x:c r="X329" s="4" t="n">
        <x:f>IFERROR(INDEX('参数'!$B$5:$B$7,MATCH($N329,'参数'!$A$5:$A$7,0)),"")</x:f>
        <x:v>1.25</x:v>
      </x:c>
      <x:c r="Y329" s="4" t="n">
        <x:f>IFERROR(INDEX('参数'!$C$5:$C$7,MATCH($N329,'参数'!$A$5:$A$7,0)),"")</x:f>
        <x:v>1</x:v>
      </x:c>
      <x:c r="Z329" s="4" t="n">
        <x:f>IFERROR(INDEX('参数'!$D$5:$D$7,MATCH($N329,'参数'!$A$5:$A$7,0)),"")</x:f>
        <x:v>1.25</x:v>
      </x:c>
      <x:c r="AA329" s="4" t="n">
        <x:f>IFERROR(INDEX('楼层配置'!$E$5:$E$104,MATCH($K329,'楼层配置'!$B$5:$B$104,0)),1)</x:f>
        <x:v>1.1486545190758795</x:v>
      </x:c>
      <x:c r="AB329" s="4" t="n">
        <x:f>IFERROR(INDEX('楼层配置'!$F$5:$F$104,MATCH($K329,'楼层配置'!$B$5:$B$104,0)),1)</x:f>
        <x:v>0.6928545245674523</x:v>
      </x:c>
      <x:c r="AC329" s="4" t="n">
        <x:f>IFERROR(INDEX('楼层配置'!$G$5:$G$104,MATCH($K329,'楼层配置'!$B$5:$B$104,0)),1)</x:f>
        <x:v>1</x:v>
      </x:c>
      <x:c r="AD329" s="6" t="n">
        <x:f t="shared" si="38">IFERROR($D329/$G329-1,"")</x:f>
        <x:v>-0.28397902283023135</x:v>
      </x:c>
      <x:c r="AE329" s="6" t="n">
        <x:f t="shared" si="39">IFERROR($E329/$H329-1,"")</x:f>
        <x:v>-0.15659318311234038</x:v>
      </x:c>
      <x:c r="AF329" s="6" t="n">
        <x:f t="shared" si="40">IFERROR($F329/$I329-1,"")</x:f>
        <x:v>0.17603982391903572</x:v>
      </x:c>
      <x:c r="AG329" s="4" t="str">
        <x:f t="shared" si="41">IF(AND($A329&gt;=1,$L329&gt;=1,$L329&lt;=500,OR($N329="Tank",$N329="DPS",$N329="Support"),ISNUMBER($D329),ISNUMBER($E329),ISNUMBER($F329)),"有效","异常")</x:f>
        <x:v>有效</x:v>
      </x:c>
      <x:c r="AH329" t="n">
        <x:f>D329/(1-MIN(0.75,F329/(24000+F329)))</x:f>
        <x:v>2939507.0050833332</x:v>
      </x:c>
    </x:row>
    <x:row r="330" ht="14.25" customHeight="1">
      <x:c r="A330" s="4">
        <x:v>326</x:v>
      </x:c>
      <x:c r="B330" s="4">
        <x:v>1004</x:v>
      </x:c>
      <x:c r="C330" s="4">
        <x:v>43</x:v>
      </x:c>
      <x:c r="D330" s="5" t="n">
        <x:f>IFERROR(ROUND($U330*$X330*$AA330*'参数'!$B$13,0),"")</x:f>
        <x:v>1638242</x:v>
      </x:c>
      <x:c r="E330" s="5" t="n">
        <x:f>IFERROR(ROUND($V330*$Y330*$AB330*'参数'!$C$13,0),"")</x:f>
        <x:v>21057</x:v>
      </x:c>
      <x:c r="F330" s="5" t="n">
        <x:f>IFERROR(ROUND($W330*$Z330*$AC330*'参数'!$D$13,0),"")</x:f>
        <x:v>34493</x:v>
      </x:c>
      <x:c r="G330" s="4">
        <x:v>2334866</x:v>
      </x:c>
      <x:c r="H330" s="4">
        <x:v>25264</x:v>
      </x:c>
      <x:c r="I330" s="4">
        <x:v>29742</x:v>
      </x:c>
      <x:c r="J330" s="4">
        <x:v>66</x:v>
      </x:c>
      <x:c r="K330" s="4">
        <x:v>66</x:v>
      </x:c>
      <x:c r="L330" s="4" t="n">
        <x:f>IFERROR(INDEX('楼层配置'!$D$5:$D$104,MATCH($K330,'楼层配置'!$B$5:$B$104,0)),"")</x:f>
        <x:v>230</x:v>
      </x:c>
      <x:c r="M330" s="4" t="str">
        <x:f>IFERROR(INDEX('_角色基线'!$B$2:$B$100,MATCH($B330,'_角色基线'!$A$2:$A$100,0)),"")</x:f>
        <x:v>阿芭</x:v>
      </x:c>
      <x:c r="N330" s="4" t="str">
        <x:f>IFERROR(INDEX('_角色基线'!$C$2:$C$100,MATCH($B330,'_角色基线'!$A$2:$A$100,0)),"")</x:f>
        <x:v>Tank</x:v>
      </x:c>
      <x:c r="O330" s="4" t="n">
        <x:f>IFERROR(INDEX('_怪物基线'!$B$2:$B$501,MATCH(INT($L330),'_怪物基线'!$A$2:$A$501,0)),"")</x:f>
        <x:v>236203</x:v>
      </x:c>
      <x:c r="P330" s="4" t="n">
        <x:f>IFERROR(INDEX('_怪物基线'!$C$2:$C$501,MATCH(INT($L330),'_怪物基线'!$A$2:$A$501,0)),"")</x:f>
        <x:v>25145</x:v>
      </x:c>
      <x:c r="Q330" s="4" t="n">
        <x:f>IFERROR(INDEX('_怪物基线'!$D$2:$D$501,MATCH(INT($L330),'_怪物基线'!$A$2:$A$501,0)),"")</x:f>
        <x:v>22995</x:v>
      </x:c>
      <x:c r="R330" s="4" t="n">
        <x:f>'参数'!$B$10</x:f>
        <x:v>4</x:v>
      </x:c>
      <x:c r="S330" s="4" t="n">
        <x:f>'参数'!$C$10</x:f>
        <x:v>1.2</x:v>
      </x:c>
      <x:c r="T330" s="4" t="n">
        <x:f>'参数'!$D$10</x:f>
        <x:v>1</x:v>
      </x:c>
      <x:c r="U330" s="4" t="n">
        <x:f t="shared" si="35">IF($O330="","",$O330*$R330)</x:f>
        <x:v>944812</x:v>
      </x:c>
      <x:c r="V330" s="4" t="n">
        <x:f t="shared" si="36">IF($P330="","",$P330*$S330)</x:f>
        <x:v>30174</x:v>
      </x:c>
      <x:c r="W330" s="4" t="n">
        <x:f t="shared" si="37">IF($Q330="","",$Q330*$T330)</x:f>
        <x:v>22995</x:v>
      </x:c>
      <x:c r="X330" s="4" t="n">
        <x:f>IFERROR(INDEX('参数'!$B$5:$B$7,MATCH($N330,'参数'!$A$5:$A$7,0)),"")</x:f>
        <x:v>1.5</x:v>
      </x:c>
      <x:c r="Y330" s="4" t="n">
        <x:f>IFERROR(INDEX('参数'!$C$5:$C$7,MATCH($N330,'参数'!$A$5:$A$7,0)),"")</x:f>
        <x:v>1</x:v>
      </x:c>
      <x:c r="Z330" s="4" t="n">
        <x:f>IFERROR(INDEX('参数'!$D$5:$D$7,MATCH($N330,'参数'!$A$5:$A$7,0)),"")</x:f>
        <x:v>1.5</x:v>
      </x:c>
      <x:c r="AA330" s="4" t="n">
        <x:f>IFERROR(INDEX('楼层配置'!$E$5:$E$104,MATCH($K330,'楼层配置'!$B$5:$B$104,0)),1)</x:f>
        <x:v>1.1559564738698285</x:v>
      </x:c>
      <x:c r="AB330" s="4" t="n">
        <x:f>IFERROR(INDEX('楼层配置'!$F$5:$F$104,MATCH($K330,'楼层配置'!$B$5:$B$104,0)),1)</x:f>
        <x:v>0.6978432581198271</x:v>
      </x:c>
      <x:c r="AC330" s="4" t="n">
        <x:f>IFERROR(INDEX('楼层配置'!$G$5:$G$104,MATCH($K330,'楼层配置'!$B$5:$B$104,0)),1)</x:f>
        <x:v>1</x:v>
      </x:c>
      <x:c r="AD330" s="6" t="n">
        <x:f t="shared" si="38">IFERROR($D330/$G330-1,"")</x:f>
        <x:v>-0.2983571648223067</x:v>
      </x:c>
      <x:c r="AE330" s="6" t="n">
        <x:f t="shared" si="39">IFERROR($E330/$H330-1,"")</x:f>
        <x:v>-0.16652153261557945</x:v>
      </x:c>
      <x:c r="AF330" s="6" t="n">
        <x:f t="shared" si="40">IFERROR($F330/$I330-1,"")</x:f>
        <x:v>0.1597404344025284</x:v>
      </x:c>
      <x:c r="AG330" s="4" t="str">
        <x:f t="shared" si="41">IF(AND($A330&gt;=1,$L330&gt;=1,$L330&lt;=500,OR($N330="Tank",$N330="DPS",$N330="Support"),ISNUMBER($D330),ISNUMBER($E330),ISNUMBER($F330)),"有效","异常")</x:f>
        <x:v>有效</x:v>
      </x:c>
      <x:c r="AH330" t="n">
        <x:f>D330/(1-MIN(0.75,F330/(24000+F330)))</x:f>
        <x:v>3992737.0544166663</x:v>
      </x:c>
    </x:row>
    <x:row r="331" ht="14.25" customHeight="1">
      <x:c r="A331" s="4">
        <x:v>327</x:v>
      </x:c>
      <x:c r="B331" s="4">
        <x:v>1021</x:v>
      </x:c>
      <x:c r="C331" s="4">
        <x:v>43</x:v>
      </x:c>
      <x:c r="D331" s="5" t="n">
        <x:f>IFERROR(ROUND($U331*$X331*$AA331*'参数'!$B$13,0),"")</x:f>
        <x:v>1092162</x:v>
      </x:c>
      <x:c r="E331" s="5" t="n">
        <x:f>IFERROR(ROUND($V331*$Y331*$AB331*'参数'!$C$13,0),"")</x:f>
        <x:v>25268</x:v>
      </x:c>
      <x:c r="F331" s="5" t="n">
        <x:f>IFERROR(ROUND($W331*$Z331*$AC331*'参数'!$D$13,0),"")</x:f>
        <x:v>22995</x:v>
      </x:c>
      <x:c r="G331" s="4">
        <x:v>1556577</x:v>
      </x:c>
      <x:c r="H331" s="4">
        <x:v>30316</x:v>
      </x:c>
      <x:c r="I331" s="4">
        <x:v>19828</x:v>
      </x:c>
      <x:c r="J331" s="4">
        <x:v>66</x:v>
      </x:c>
      <x:c r="K331" s="4">
        <x:v>66</x:v>
      </x:c>
      <x:c r="L331" s="4" t="n">
        <x:f>IFERROR(INDEX('楼层配置'!$D$5:$D$104,MATCH($K331,'楼层配置'!$B$5:$B$104,0)),"")</x:f>
        <x:v>230</x:v>
      </x:c>
      <x:c r="M331" s="4" t="str">
        <x:f>IFERROR(INDEX('_角色基线'!$B$2:$B$100,MATCH($B331,'_角色基线'!$A$2:$A$100,0)),"")</x:f>
        <x:v>梅梅</x:v>
      </x:c>
      <x:c r="N331" s="4" t="str">
        <x:f>IFERROR(INDEX('_角色基线'!$C$2:$C$100,MATCH($B331,'_角色基线'!$A$2:$A$100,0)),"")</x:f>
        <x:v>DPS</x:v>
      </x:c>
      <x:c r="O331" s="4" t="n">
        <x:f>IFERROR(INDEX('_怪物基线'!$B$2:$B$501,MATCH(INT($L331),'_怪物基线'!$A$2:$A$501,0)),"")</x:f>
        <x:v>236203</x:v>
      </x:c>
      <x:c r="P331" s="4" t="n">
        <x:f>IFERROR(INDEX('_怪物基线'!$C$2:$C$501,MATCH(INT($L331),'_怪物基线'!$A$2:$A$501,0)),"")</x:f>
        <x:v>25145</x:v>
      </x:c>
      <x:c r="Q331" s="4" t="n">
        <x:f>IFERROR(INDEX('_怪物基线'!$D$2:$D$501,MATCH(INT($L331),'_怪物基线'!$A$2:$A$501,0)),"")</x:f>
        <x:v>22995</x:v>
      </x:c>
      <x:c r="R331" s="4" t="n">
        <x:f>'参数'!$B$10</x:f>
        <x:v>4</x:v>
      </x:c>
      <x:c r="S331" s="4" t="n">
        <x:f>'参数'!$C$10</x:f>
        <x:v>1.2</x:v>
      </x:c>
      <x:c r="T331" s="4" t="n">
        <x:f>'参数'!$D$10</x:f>
        <x:v>1</x:v>
      </x:c>
      <x:c r="U331" s="4" t="n">
        <x:f t="shared" si="35">IF($O331="","",$O331*$R331)</x:f>
        <x:v>944812</x:v>
      </x:c>
      <x:c r="V331" s="4" t="n">
        <x:f t="shared" si="36">IF($P331="","",$P331*$S331)</x:f>
        <x:v>30174</x:v>
      </x:c>
      <x:c r="W331" s="4" t="n">
        <x:f t="shared" si="37">IF($Q331="","",$Q331*$T331)</x:f>
        <x:v>22995</x:v>
      </x:c>
      <x:c r="X331" s="4" t="n">
        <x:f>IFERROR(INDEX('参数'!$B$5:$B$7,MATCH($N331,'参数'!$A$5:$A$7,0)),"")</x:f>
        <x:v>1</x:v>
      </x:c>
      <x:c r="Y331" s="4" t="n">
        <x:f>IFERROR(INDEX('参数'!$C$5:$C$7,MATCH($N331,'参数'!$A$5:$A$7,0)),"")</x:f>
        <x:v>1.2</x:v>
      </x:c>
      <x:c r="Z331" s="4" t="n">
        <x:f>IFERROR(INDEX('参数'!$D$5:$D$7,MATCH($N331,'参数'!$A$5:$A$7,0)),"")</x:f>
        <x:v>1</x:v>
      </x:c>
      <x:c r="AA331" s="4" t="n">
        <x:f>IFERROR(INDEX('楼层配置'!$E$5:$E$104,MATCH($K331,'楼层配置'!$B$5:$B$104,0)),1)</x:f>
        <x:v>1.1559564738698285</x:v>
      </x:c>
      <x:c r="AB331" s="4" t="n">
        <x:f>IFERROR(INDEX('楼层配置'!$F$5:$F$104,MATCH($K331,'楼层配置'!$B$5:$B$104,0)),1)</x:f>
        <x:v>0.6978432581198271</x:v>
      </x:c>
      <x:c r="AC331" s="4" t="n">
        <x:f>IFERROR(INDEX('楼层配置'!$G$5:$G$104,MATCH($K331,'楼层配置'!$B$5:$B$104,0)),1)</x:f>
        <x:v>1</x:v>
      </x:c>
      <x:c r="AD331" s="6" t="n">
        <x:f t="shared" si="38">IFERROR($D331/$G331-1,"")</x:f>
        <x:v>-0.2983565862787385</x:v>
      </x:c>
      <x:c r="AE331" s="6" t="n">
        <x:f t="shared" si="39">IFERROR($E331/$H331-1,"")</x:f>
        <x:v>-0.1665127325504684</x:v>
      </x:c>
      <x:c r="AF331" s="6" t="n">
        <x:f t="shared" si="40">IFERROR($F331/$I331-1,"")</x:f>
        <x:v>0.15972362315916877</x:v>
      </x:c>
      <x:c r="AG331" s="4" t="str">
        <x:f t="shared" si="41">IF(AND($A331&gt;=1,$L331&gt;=1,$L331&lt;=500,OR($N331="Tank",$N331="DPS",$N331="Support"),ISNUMBER($D331),ISNUMBER($E331),ISNUMBER($F331)),"有效","异常")</x:f>
        <x:v>有效</x:v>
      </x:c>
      <x:c r="AH331" t="n">
        <x:f>D331/(1-MIN(0.75,F331/(24000+F331)))</x:f>
        <x:v>2138589.71625</x:v>
      </x:c>
    </x:row>
    <x:row r="332" ht="14.25" customHeight="1">
      <x:c r="A332" s="4">
        <x:v>328</x:v>
      </x:c>
      <x:c r="B332" s="4">
        <x:v>1006</x:v>
      </x:c>
      <x:c r="C332" s="4">
        <x:v>43</x:v>
      </x:c>
      <x:c r="D332" s="5" t="n">
        <x:f>IFERROR(ROUND($U332*$X332*$AA332*'参数'!$B$13,0),"")</x:f>
        <x:v>1092162</x:v>
      </x:c>
      <x:c r="E332" s="5" t="n">
        <x:f>IFERROR(ROUND($V332*$Y332*$AB332*'参数'!$C$13,0),"")</x:f>
        <x:v>25268</x:v>
      </x:c>
      <x:c r="F332" s="5" t="n">
        <x:f>IFERROR(ROUND($W332*$Z332*$AC332*'参数'!$D$13,0),"")</x:f>
        <x:v>22995</x:v>
      </x:c>
      <x:c r="G332" s="4">
        <x:v>1556577</x:v>
      </x:c>
      <x:c r="H332" s="4">
        <x:v>30316</x:v>
      </x:c>
      <x:c r="I332" s="4">
        <x:v>19828</x:v>
      </x:c>
      <x:c r="J332" s="4">
        <x:v>66</x:v>
      </x:c>
      <x:c r="K332" s="4">
        <x:v>66</x:v>
      </x:c>
      <x:c r="L332" s="4" t="n">
        <x:f>IFERROR(INDEX('楼层配置'!$D$5:$D$104,MATCH($K332,'楼层配置'!$B$5:$B$104,0)),"")</x:f>
        <x:v>230</x:v>
      </x:c>
      <x:c r="M332" s="4" t="str">
        <x:f>IFERROR(INDEX('_角色基线'!$B$2:$B$100,MATCH($B332,'_角色基线'!$A$2:$A$100,0)),"")</x:f>
        <x:v>莉莉娅</x:v>
      </x:c>
      <x:c r="N332" s="4" t="str">
        <x:f>IFERROR(INDEX('_角色基线'!$C$2:$C$100,MATCH($B332,'_角色基线'!$A$2:$A$100,0)),"")</x:f>
        <x:v>DPS</x:v>
      </x:c>
      <x:c r="O332" s="4" t="n">
        <x:f>IFERROR(INDEX('_怪物基线'!$B$2:$B$501,MATCH(INT($L332),'_怪物基线'!$A$2:$A$501,0)),"")</x:f>
        <x:v>236203</x:v>
      </x:c>
      <x:c r="P332" s="4" t="n">
        <x:f>IFERROR(INDEX('_怪物基线'!$C$2:$C$501,MATCH(INT($L332),'_怪物基线'!$A$2:$A$501,0)),"")</x:f>
        <x:v>25145</x:v>
      </x:c>
      <x:c r="Q332" s="4" t="n">
        <x:f>IFERROR(INDEX('_怪物基线'!$D$2:$D$501,MATCH(INT($L332),'_怪物基线'!$A$2:$A$501,0)),"")</x:f>
        <x:v>22995</x:v>
      </x:c>
      <x:c r="R332" s="4" t="n">
        <x:f>'参数'!$B$10</x:f>
        <x:v>4</x:v>
      </x:c>
      <x:c r="S332" s="4" t="n">
        <x:f>'参数'!$C$10</x:f>
        <x:v>1.2</x:v>
      </x:c>
      <x:c r="T332" s="4" t="n">
        <x:f>'参数'!$D$10</x:f>
        <x:v>1</x:v>
      </x:c>
      <x:c r="U332" s="4" t="n">
        <x:f t="shared" si="35">IF($O332="","",$O332*$R332)</x:f>
        <x:v>944812</x:v>
      </x:c>
      <x:c r="V332" s="4" t="n">
        <x:f t="shared" si="36">IF($P332="","",$P332*$S332)</x:f>
        <x:v>30174</x:v>
      </x:c>
      <x:c r="W332" s="4" t="n">
        <x:f t="shared" si="37">IF($Q332="","",$Q332*$T332)</x:f>
        <x:v>22995</x:v>
      </x:c>
      <x:c r="X332" s="4" t="n">
        <x:f>IFERROR(INDEX('参数'!$B$5:$B$7,MATCH($N332,'参数'!$A$5:$A$7,0)),"")</x:f>
        <x:v>1</x:v>
      </x:c>
      <x:c r="Y332" s="4" t="n">
        <x:f>IFERROR(INDEX('参数'!$C$5:$C$7,MATCH($N332,'参数'!$A$5:$A$7,0)),"")</x:f>
        <x:v>1.2</x:v>
      </x:c>
      <x:c r="Z332" s="4" t="n">
        <x:f>IFERROR(INDEX('参数'!$D$5:$D$7,MATCH($N332,'参数'!$A$5:$A$7,0)),"")</x:f>
        <x:v>1</x:v>
      </x:c>
      <x:c r="AA332" s="4" t="n">
        <x:f>IFERROR(INDEX('楼层配置'!$E$5:$E$104,MATCH($K332,'楼层配置'!$B$5:$B$104,0)),1)</x:f>
        <x:v>1.1559564738698285</x:v>
      </x:c>
      <x:c r="AB332" s="4" t="n">
        <x:f>IFERROR(INDEX('楼层配置'!$F$5:$F$104,MATCH($K332,'楼层配置'!$B$5:$B$104,0)),1)</x:f>
        <x:v>0.6978432581198271</x:v>
      </x:c>
      <x:c r="AC332" s="4" t="n">
        <x:f>IFERROR(INDEX('楼层配置'!$G$5:$G$104,MATCH($K332,'楼层配置'!$B$5:$B$104,0)),1)</x:f>
        <x:v>1</x:v>
      </x:c>
      <x:c r="AD332" s="6" t="n">
        <x:f t="shared" si="38">IFERROR($D332/$G332-1,"")</x:f>
        <x:v>-0.2983565862787385</x:v>
      </x:c>
      <x:c r="AE332" s="6" t="n">
        <x:f t="shared" si="39">IFERROR($E332/$H332-1,"")</x:f>
        <x:v>-0.1665127325504684</x:v>
      </x:c>
      <x:c r="AF332" s="6" t="n">
        <x:f t="shared" si="40">IFERROR($F332/$I332-1,"")</x:f>
        <x:v>0.15972362315916877</x:v>
      </x:c>
      <x:c r="AG332" s="4" t="str">
        <x:f t="shared" si="41">IF(AND($A332&gt;=1,$L332&gt;=1,$L332&lt;=500,OR($N332="Tank",$N332="DPS",$N332="Support"),ISNUMBER($D332),ISNUMBER($E332),ISNUMBER($F332)),"有效","异常")</x:f>
        <x:v>有效</x:v>
      </x:c>
      <x:c r="AH332" t="n">
        <x:f>D332/(1-MIN(0.75,F332/(24000+F332)))</x:f>
        <x:v>2138589.71625</x:v>
      </x:c>
    </x:row>
    <x:row r="333" ht="14.25" customHeight="1">
      <x:c r="A333" s="4">
        <x:v>329</x:v>
      </x:c>
      <x:c r="B333" s="4">
        <x:v>1021</x:v>
      </x:c>
      <x:c r="C333" s="4">
        <x:v>43</x:v>
      </x:c>
      <x:c r="D333" s="5" t="n">
        <x:f>IFERROR(ROUND($U333*$X333*$AA333*'参数'!$B$13,0),"")</x:f>
        <x:v>1092162</x:v>
      </x:c>
      <x:c r="E333" s="5" t="n">
        <x:f>IFERROR(ROUND($V333*$Y333*$AB333*'参数'!$C$13,0),"")</x:f>
        <x:v>25268</x:v>
      </x:c>
      <x:c r="F333" s="5" t="n">
        <x:f>IFERROR(ROUND($W333*$Z333*$AC333*'参数'!$D$13,0),"")</x:f>
        <x:v>22995</x:v>
      </x:c>
      <x:c r="G333" s="4">
        <x:v>1556577</x:v>
      </x:c>
      <x:c r="H333" s="4">
        <x:v>30316</x:v>
      </x:c>
      <x:c r="I333" s="4">
        <x:v>19828</x:v>
      </x:c>
      <x:c r="J333" s="4">
        <x:v>66</x:v>
      </x:c>
      <x:c r="K333" s="4">
        <x:v>66</x:v>
      </x:c>
      <x:c r="L333" s="4" t="n">
        <x:f>IFERROR(INDEX('楼层配置'!$D$5:$D$104,MATCH($K333,'楼层配置'!$B$5:$B$104,0)),"")</x:f>
        <x:v>230</x:v>
      </x:c>
      <x:c r="M333" s="4" t="str">
        <x:f>IFERROR(INDEX('_角色基线'!$B$2:$B$100,MATCH($B333,'_角色基线'!$A$2:$A$100,0)),"")</x:f>
        <x:v>梅梅</x:v>
      </x:c>
      <x:c r="N333" s="4" t="str">
        <x:f>IFERROR(INDEX('_角色基线'!$C$2:$C$100,MATCH($B333,'_角色基线'!$A$2:$A$100,0)),"")</x:f>
        <x:v>DPS</x:v>
      </x:c>
      <x:c r="O333" s="4" t="n">
        <x:f>IFERROR(INDEX('_怪物基线'!$B$2:$B$501,MATCH(INT($L333),'_怪物基线'!$A$2:$A$501,0)),"")</x:f>
        <x:v>236203</x:v>
      </x:c>
      <x:c r="P333" s="4" t="n">
        <x:f>IFERROR(INDEX('_怪物基线'!$C$2:$C$501,MATCH(INT($L333),'_怪物基线'!$A$2:$A$501,0)),"")</x:f>
        <x:v>25145</x:v>
      </x:c>
      <x:c r="Q333" s="4" t="n">
        <x:f>IFERROR(INDEX('_怪物基线'!$D$2:$D$501,MATCH(INT($L333),'_怪物基线'!$A$2:$A$501,0)),"")</x:f>
        <x:v>22995</x:v>
      </x:c>
      <x:c r="R333" s="4" t="n">
        <x:f>'参数'!$B$10</x:f>
        <x:v>4</x:v>
      </x:c>
      <x:c r="S333" s="4" t="n">
        <x:f>'参数'!$C$10</x:f>
        <x:v>1.2</x:v>
      </x:c>
      <x:c r="T333" s="4" t="n">
        <x:f>'参数'!$D$10</x:f>
        <x:v>1</x:v>
      </x:c>
      <x:c r="U333" s="4" t="n">
        <x:f t="shared" si="35">IF($O333="","",$O333*$R333)</x:f>
        <x:v>944812</x:v>
      </x:c>
      <x:c r="V333" s="4" t="n">
        <x:f t="shared" si="36">IF($P333="","",$P333*$S333)</x:f>
        <x:v>30174</x:v>
      </x:c>
      <x:c r="W333" s="4" t="n">
        <x:f t="shared" si="37">IF($Q333="","",$Q333*$T333)</x:f>
        <x:v>22995</x:v>
      </x:c>
      <x:c r="X333" s="4" t="n">
        <x:f>IFERROR(INDEX('参数'!$B$5:$B$7,MATCH($N333,'参数'!$A$5:$A$7,0)),"")</x:f>
        <x:v>1</x:v>
      </x:c>
      <x:c r="Y333" s="4" t="n">
        <x:f>IFERROR(INDEX('参数'!$C$5:$C$7,MATCH($N333,'参数'!$A$5:$A$7,0)),"")</x:f>
        <x:v>1.2</x:v>
      </x:c>
      <x:c r="Z333" s="4" t="n">
        <x:f>IFERROR(INDEX('参数'!$D$5:$D$7,MATCH($N333,'参数'!$A$5:$A$7,0)),"")</x:f>
        <x:v>1</x:v>
      </x:c>
      <x:c r="AA333" s="4" t="n">
        <x:f>IFERROR(INDEX('楼层配置'!$E$5:$E$104,MATCH($K333,'楼层配置'!$B$5:$B$104,0)),1)</x:f>
        <x:v>1.1559564738698285</x:v>
      </x:c>
      <x:c r="AB333" s="4" t="n">
        <x:f>IFERROR(INDEX('楼层配置'!$F$5:$F$104,MATCH($K333,'楼层配置'!$B$5:$B$104,0)),1)</x:f>
        <x:v>0.6978432581198271</x:v>
      </x:c>
      <x:c r="AC333" s="4" t="n">
        <x:f>IFERROR(INDEX('楼层配置'!$G$5:$G$104,MATCH($K333,'楼层配置'!$B$5:$B$104,0)),1)</x:f>
        <x:v>1</x:v>
      </x:c>
      <x:c r="AD333" s="6" t="n">
        <x:f t="shared" si="38">IFERROR($D333/$G333-1,"")</x:f>
        <x:v>-0.2983565862787385</x:v>
      </x:c>
      <x:c r="AE333" s="6" t="n">
        <x:f t="shared" si="39">IFERROR($E333/$H333-1,"")</x:f>
        <x:v>-0.1665127325504684</x:v>
      </x:c>
      <x:c r="AF333" s="6" t="n">
        <x:f t="shared" si="40">IFERROR($F333/$I333-1,"")</x:f>
        <x:v>0.15972362315916877</x:v>
      </x:c>
      <x:c r="AG333" s="4" t="str">
        <x:f t="shared" si="41">IF(AND($A333&gt;=1,$L333&gt;=1,$L333&lt;=500,OR($N333="Tank",$N333="DPS",$N333="Support"),ISNUMBER($D333),ISNUMBER($E333),ISNUMBER($F333)),"有效","异常")</x:f>
        <x:v>有效</x:v>
      </x:c>
      <x:c r="AH333" t="n">
        <x:f>D333/(1-MIN(0.75,F333/(24000+F333)))</x:f>
        <x:v>2138589.71625</x:v>
      </x:c>
    </x:row>
    <x:row r="334" ht="14.25" customHeight="1">
      <x:c r="A334" s="4">
        <x:v>330</x:v>
      </x:c>
      <x:c r="B334" s="4">
        <x:v>1012</x:v>
      </x:c>
      <x:c r="C334" s="4">
        <x:v>43</x:v>
      </x:c>
      <x:c r="D334" s="5" t="n">
        <x:f>IFERROR(ROUND($U334*$X334*$AA334*'参数'!$B$13,0),"")</x:f>
        <x:v>1365202</x:v>
      </x:c>
      <x:c r="E334" s="5" t="n">
        <x:f>IFERROR(ROUND($V334*$Y334*$AB334*'参数'!$C$13,0),"")</x:f>
        <x:v>21057</x:v>
      </x:c>
      <x:c r="F334" s="5" t="n">
        <x:f>IFERROR(ROUND($W334*$Z334*$AC334*'参数'!$D$13,0),"")</x:f>
        <x:v>28744</x:v>
      </x:c>
      <x:c r="G334" s="4">
        <x:v>1945722</x:v>
      </x:c>
      <x:c r="H334" s="4">
        <x:v>25264</x:v>
      </x:c>
      <x:c r="I334" s="4">
        <x:v>24785</x:v>
      </x:c>
      <x:c r="J334" s="4">
        <x:v>66</x:v>
      </x:c>
      <x:c r="K334" s="4">
        <x:v>66</x:v>
      </x:c>
      <x:c r="L334" s="4" t="n">
        <x:f>IFERROR(INDEX('楼层配置'!$D$5:$D$104,MATCH($K334,'楼层配置'!$B$5:$B$104,0)),"")</x:f>
        <x:v>230</x:v>
      </x:c>
      <x:c r="M334" s="4" t="str">
        <x:f>IFERROR(INDEX('_角色基线'!$B$2:$B$100,MATCH($B334,'_角色基线'!$A$2:$A$100,0)),"")</x:f>
        <x:v>艾德琳</x:v>
      </x:c>
      <x:c r="N334" s="4" t="str">
        <x:f>IFERROR(INDEX('_角色基线'!$C$2:$C$100,MATCH($B334,'_角色基线'!$A$2:$A$100,0)),"")</x:f>
        <x:v>Support</x:v>
      </x:c>
      <x:c r="O334" s="4" t="n">
        <x:f>IFERROR(INDEX('_怪物基线'!$B$2:$B$501,MATCH(INT($L334),'_怪物基线'!$A$2:$A$501,0)),"")</x:f>
        <x:v>236203</x:v>
      </x:c>
      <x:c r="P334" s="4" t="n">
        <x:f>IFERROR(INDEX('_怪物基线'!$C$2:$C$501,MATCH(INT($L334),'_怪物基线'!$A$2:$A$501,0)),"")</x:f>
        <x:v>25145</x:v>
      </x:c>
      <x:c r="Q334" s="4" t="n">
        <x:f>IFERROR(INDEX('_怪物基线'!$D$2:$D$501,MATCH(INT($L334),'_怪物基线'!$A$2:$A$501,0)),"")</x:f>
        <x:v>22995</x:v>
      </x:c>
      <x:c r="R334" s="4" t="n">
        <x:f>'参数'!$B$10</x:f>
        <x:v>4</x:v>
      </x:c>
      <x:c r="S334" s="4" t="n">
        <x:f>'参数'!$C$10</x:f>
        <x:v>1.2</x:v>
      </x:c>
      <x:c r="T334" s="4" t="n">
        <x:f>'参数'!$D$10</x:f>
        <x:v>1</x:v>
      </x:c>
      <x:c r="U334" s="4" t="n">
        <x:f t="shared" si="35">IF($O334="","",$O334*$R334)</x:f>
        <x:v>944812</x:v>
      </x:c>
      <x:c r="V334" s="4" t="n">
        <x:f t="shared" si="36">IF($P334="","",$P334*$S334)</x:f>
        <x:v>30174</x:v>
      </x:c>
      <x:c r="W334" s="4" t="n">
        <x:f t="shared" si="37">IF($Q334="","",$Q334*$T334)</x:f>
        <x:v>22995</x:v>
      </x:c>
      <x:c r="X334" s="4" t="n">
        <x:f>IFERROR(INDEX('参数'!$B$5:$B$7,MATCH($N334,'参数'!$A$5:$A$7,0)),"")</x:f>
        <x:v>1.25</x:v>
      </x:c>
      <x:c r="Y334" s="4" t="n">
        <x:f>IFERROR(INDEX('参数'!$C$5:$C$7,MATCH($N334,'参数'!$A$5:$A$7,0)),"")</x:f>
        <x:v>1</x:v>
      </x:c>
      <x:c r="Z334" s="4" t="n">
        <x:f>IFERROR(INDEX('参数'!$D$5:$D$7,MATCH($N334,'参数'!$A$5:$A$7,0)),"")</x:f>
        <x:v>1.25</x:v>
      </x:c>
      <x:c r="AA334" s="4" t="n">
        <x:f>IFERROR(INDEX('楼层配置'!$E$5:$E$104,MATCH($K334,'楼层配置'!$B$5:$B$104,0)),1)</x:f>
        <x:v>1.1559564738698285</x:v>
      </x:c>
      <x:c r="AB334" s="4" t="n">
        <x:f>IFERROR(INDEX('楼层配置'!$F$5:$F$104,MATCH($K334,'楼层配置'!$B$5:$B$104,0)),1)</x:f>
        <x:v>0.6978432581198271</x:v>
      </x:c>
      <x:c r="AC334" s="4" t="n">
        <x:f>IFERROR(INDEX('楼层配置'!$G$5:$G$104,MATCH($K334,'楼层配置'!$B$5:$B$104,0)),1)</x:f>
        <x:v>1</x:v>
      </x:c>
      <x:c r="AD334" s="6" t="n">
        <x:f t="shared" si="38">IFERROR($D334/$G334-1,"")</x:f>
        <x:v>-0.29835711370894713</x:v>
      </x:c>
      <x:c r="AE334" s="6" t="n">
        <x:f t="shared" si="39">IFERROR($E334/$H334-1,"")</x:f>
        <x:v>-0.16652153261557945</x:v>
      </x:c>
      <x:c r="AF334" s="6" t="n">
        <x:f t="shared" si="40">IFERROR($F334/$I334-1,"")</x:f>
        <x:v>0.15973370990518454</x:v>
      </x:c>
      <x:c r="AG334" s="4" t="str">
        <x:f t="shared" si="41">IF(AND($A334&gt;=1,$L334&gt;=1,$L334&lt;=500,OR($N334="Tank",$N334="DPS",$N334="Support"),ISNUMBER($D334),ISNUMBER($E334),ISNUMBER($F334)),"有效","异常")</x:f>
        <x:v>有效</x:v>
      </x:c>
      <x:c r="AH334" t="n">
        <x:f>D334/(1-MIN(0.75,F334/(24000+F334)))</x:f>
        <x:v>3000258.928666667</x:v>
      </x:c>
    </x:row>
    <x:row r="335" ht="14.25" customHeight="1">
      <x:c r="A335" s="4">
        <x:v>331</x:v>
      </x:c>
      <x:c r="B335" s="4">
        <x:v>1004</x:v>
      </x:c>
      <x:c r="C335" s="4">
        <x:v>43</x:v>
      </x:c>
      <x:c r="D335" s="5" t="n">
        <x:f>IFERROR(ROUND($U335*$X335*$AA335*'参数'!$B$13,0),"")</x:f>
        <x:v>1665556</x:v>
      </x:c>
      <x:c r="E335" s="5" t="n">
        <x:f>IFERROR(ROUND($V335*$Y335*$AB335*'参数'!$C$13,0),"")</x:f>
        <x:v>21376</x:v>
      </x:c>
      <x:c r="F335" s="5" t="n">
        <x:f>IFERROR(ROUND($W335*$Z335*$AC335*'参数'!$D$13,0),"")</x:f>
        <x:v>34872</x:v>
      </x:c>
      <x:c r="G335" s="4">
        <x:v>2423750</x:v>
      </x:c>
      <x:c r="H335" s="4">
        <x:v>25956</x:v>
      </x:c>
      <x:c r="I335" s="4">
        <x:v>30320</x:v>
      </x:c>
      <x:c r="J335" s="4">
        <x:v>67</x:v>
      </x:c>
      <x:c r="K335" s="4">
        <x:v>67</x:v>
      </x:c>
      <x:c r="L335" s="4" t="n">
        <x:f>IFERROR(INDEX('楼层配置'!$D$5:$D$104,MATCH($K335,'楼层配置'!$B$5:$B$104,0)),"")</x:f>
        <x:v>232</x:v>
      </x:c>
      <x:c r="M335" s="4" t="str">
        <x:f>IFERROR(INDEX('_角色基线'!$B$2:$B$100,MATCH($B335,'_角色基线'!$A$2:$A$100,0)),"")</x:f>
        <x:v>阿芭</x:v>
      </x:c>
      <x:c r="N335" s="4" t="str">
        <x:f>IFERROR(INDEX('_角色基线'!$C$2:$C$100,MATCH($B335,'_角色基线'!$A$2:$A$100,0)),"")</x:f>
        <x:v>Tank</x:v>
      </x:c>
      <x:c r="O335" s="4" t="n">
        <x:f>IFERROR(INDEX('_怪物基线'!$B$2:$B$501,MATCH(INT($L335),'_怪物基线'!$A$2:$A$501,0)),"")</x:f>
        <x:v>241491</x:v>
      </x:c>
      <x:c r="P335" s="4" t="n">
        <x:f>IFERROR(INDEX('_怪物基线'!$C$2:$C$501,MATCH(INT($L335),'_怪物基线'!$A$2:$A$501,0)),"")</x:f>
        <x:v>25555</x:v>
      </x:c>
      <x:c r="Q335" s="4" t="n">
        <x:f>IFERROR(INDEX('_怪物基线'!$D$2:$D$501,MATCH(INT($L335),'_怪物基线'!$A$2:$A$501,0)),"")</x:f>
        <x:v>23248</x:v>
      </x:c>
      <x:c r="R335" s="4" t="n">
        <x:f>'参数'!$B$10</x:f>
        <x:v>4</x:v>
      </x:c>
      <x:c r="S335" s="4" t="n">
        <x:f>'参数'!$C$10</x:f>
        <x:v>1.2</x:v>
      </x:c>
      <x:c r="T335" s="4" t="n">
        <x:f>'参数'!$D$10</x:f>
        <x:v>1</x:v>
      </x:c>
      <x:c r="U335" s="4" t="n">
        <x:f t="shared" si="35">IF($O335="","",$O335*$R335)</x:f>
        <x:v>965964</x:v>
      </x:c>
      <x:c r="V335" s="4" t="n">
        <x:f t="shared" si="36">IF($P335="","",$P335*$S335)</x:f>
        <x:v>30666</x:v>
      </x:c>
      <x:c r="W335" s="4" t="n">
        <x:f t="shared" si="37">IF($Q335="","",$Q335*$T335)</x:f>
        <x:v>23248</x:v>
      </x:c>
      <x:c r="X335" s="4" t="n">
        <x:f>IFERROR(INDEX('参数'!$B$5:$B$7,MATCH($N335,'参数'!$A$5:$A$7,0)),"")</x:f>
        <x:v>1.5</x:v>
      </x:c>
      <x:c r="Y335" s="4" t="n">
        <x:f>IFERROR(INDEX('参数'!$C$5:$C$7,MATCH($N335,'参数'!$A$5:$A$7,0)),"")</x:f>
        <x:v>1</x:v>
      </x:c>
      <x:c r="Z335" s="4" t="n">
        <x:f>IFERROR(INDEX('参数'!$D$5:$D$7,MATCH($N335,'参数'!$A$5:$A$7,0)),"")</x:f>
        <x:v>1.5</x:v>
      </x:c>
      <x:c r="AA335" s="4" t="n">
        <x:f>IFERROR(INDEX('楼层配置'!$E$5:$E$104,MATCH($K335,'楼层配置'!$B$5:$B$104,0)),1)</x:f>
        <x:v>1.1494949733067685</x:v>
      </x:c>
      <x:c r="AB335" s="4" t="n">
        <x:f>IFERROR(INDEX('楼层配置'!$F$5:$F$104,MATCH($K335,'楼层配置'!$B$5:$B$104,0)),1)</x:f>
        <x:v>0.69706434169526</x:v>
      </x:c>
      <x:c r="AC335" s="4" t="n">
        <x:f>IFERROR(INDEX('楼层配置'!$G$5:$G$104,MATCH($K335,'楼层配置'!$B$5:$B$104,0)),1)</x:f>
        <x:v>1</x:v>
      </x:c>
      <x:c r="AD335" s="6" t="n">
        <x:f t="shared" si="38">IFERROR($D335/$G335-1,"")</x:f>
        <x:v>-0.3128185662712738</x:v>
      </x:c>
      <x:c r="AE335" s="6" t="n">
        <x:f t="shared" si="39">IFERROR($E335/$H335-1,"")</x:f>
        <x:v>-0.17645245800585607</x:v>
      </x:c>
      <x:c r="AF335" s="6" t="n">
        <x:f t="shared" si="40">IFERROR($F335/$I335-1,"")</x:f>
        <x:v>0.15013192612137205</x:v>
      </x:c>
      <x:c r="AG335" s="4" t="str">
        <x:f t="shared" si="41">IF(AND($A335&gt;=1,$L335&gt;=1,$L335&lt;=500,OR($N335="Tank",$N335="DPS",$N335="Support"),ISNUMBER($D335),ISNUMBER($E335),ISNUMBER($F335)),"有效","异常")</x:f>
        <x:v>有效</x:v>
      </x:c>
      <x:c r="AH335" t="n">
        <x:f>D335/(1-MIN(0.75,F335/(24000+F335)))</x:f>
        <x:v>4085608.8680000002</x:v>
      </x:c>
    </x:row>
    <x:row r="336" ht="14.25" customHeight="1">
      <x:c r="A336" s="4">
        <x:v>332</x:v>
      </x:c>
      <x:c r="B336" s="4">
        <x:v>1015</x:v>
      </x:c>
      <x:c r="C336" s="4">
        <x:v>43</x:v>
      </x:c>
      <x:c r="D336" s="5" t="n">
        <x:f>IFERROR(ROUND($U336*$X336*$AA336*'参数'!$B$13,0),"")</x:f>
        <x:v>1387963</x:v>
      </x:c>
      <x:c r="E336" s="5" t="n">
        <x:f>IFERROR(ROUND($V336*$Y336*$AB336*'参数'!$C$13,0),"")</x:f>
        <x:v>21376</x:v>
      </x:c>
      <x:c r="F336" s="5" t="n">
        <x:f>IFERROR(ROUND($W336*$Z336*$AC336*'参数'!$D$13,0),"")</x:f>
        <x:v>29060</x:v>
      </x:c>
      <x:c r="G336" s="4">
        <x:v>2019792</x:v>
      </x:c>
      <x:c r="H336" s="4">
        <x:v>25956</x:v>
      </x:c>
      <x:c r="I336" s="4">
        <x:v>25267</x:v>
      </x:c>
      <x:c r="J336" s="4">
        <x:v>67</x:v>
      </x:c>
      <x:c r="K336" s="4">
        <x:v>67</x:v>
      </x:c>
      <x:c r="L336" s="4" t="n">
        <x:f>IFERROR(INDEX('楼层配置'!$D$5:$D$104,MATCH($K336,'楼层配置'!$B$5:$B$104,0)),"")</x:f>
        <x:v>232</x:v>
      </x:c>
      <x:c r="M336" s="4" t="str">
        <x:f>IFERROR(INDEX('_角色基线'!$B$2:$B$100,MATCH($B336,'_角色基线'!$A$2:$A$100,0)),"")</x:f>
        <x:v>阿莱克西娅</x:v>
      </x:c>
      <x:c r="N336" s="4" t="str">
        <x:f>IFERROR(INDEX('_角色基线'!$C$2:$C$100,MATCH($B336,'_角色基线'!$A$2:$A$100,0)),"")</x:f>
        <x:v>Support</x:v>
      </x:c>
      <x:c r="O336" s="4" t="n">
        <x:f>IFERROR(INDEX('_怪物基线'!$B$2:$B$501,MATCH(INT($L336),'_怪物基线'!$A$2:$A$501,0)),"")</x:f>
        <x:v>241491</x:v>
      </x:c>
      <x:c r="P336" s="4" t="n">
        <x:f>IFERROR(INDEX('_怪物基线'!$C$2:$C$501,MATCH(INT($L336),'_怪物基线'!$A$2:$A$501,0)),"")</x:f>
        <x:v>25555</x:v>
      </x:c>
      <x:c r="Q336" s="4" t="n">
        <x:f>IFERROR(INDEX('_怪物基线'!$D$2:$D$501,MATCH(INT($L336),'_怪物基线'!$A$2:$A$501,0)),"")</x:f>
        <x:v>23248</x:v>
      </x:c>
      <x:c r="R336" s="4" t="n">
        <x:f>'参数'!$B$10</x:f>
        <x:v>4</x:v>
      </x:c>
      <x:c r="S336" s="4" t="n">
        <x:f>'参数'!$C$10</x:f>
        <x:v>1.2</x:v>
      </x:c>
      <x:c r="T336" s="4" t="n">
        <x:f>'参数'!$D$10</x:f>
        <x:v>1</x:v>
      </x:c>
      <x:c r="U336" s="4" t="n">
        <x:f t="shared" si="35">IF($O336="","",$O336*$R336)</x:f>
        <x:v>965964</x:v>
      </x:c>
      <x:c r="V336" s="4" t="n">
        <x:f t="shared" si="36">IF($P336="","",$P336*$S336)</x:f>
        <x:v>30666</x:v>
      </x:c>
      <x:c r="W336" s="4" t="n">
        <x:f t="shared" si="37">IF($Q336="","",$Q336*$T336)</x:f>
        <x:v>23248</x:v>
      </x:c>
      <x:c r="X336" s="4" t="n">
        <x:f>IFERROR(INDEX('参数'!$B$5:$B$7,MATCH($N336,'参数'!$A$5:$A$7,0)),"")</x:f>
        <x:v>1.25</x:v>
      </x:c>
      <x:c r="Y336" s="4" t="n">
        <x:f>IFERROR(INDEX('参数'!$C$5:$C$7,MATCH($N336,'参数'!$A$5:$A$7,0)),"")</x:f>
        <x:v>1</x:v>
      </x:c>
      <x:c r="Z336" s="4" t="n">
        <x:f>IFERROR(INDEX('参数'!$D$5:$D$7,MATCH($N336,'参数'!$A$5:$A$7,0)),"")</x:f>
        <x:v>1.25</x:v>
      </x:c>
      <x:c r="AA336" s="4" t="n">
        <x:f>IFERROR(INDEX('楼层配置'!$E$5:$E$104,MATCH($K336,'楼层配置'!$B$5:$B$104,0)),1)</x:f>
        <x:v>1.1494949733067685</x:v>
      </x:c>
      <x:c r="AB336" s="4" t="n">
        <x:f>IFERROR(INDEX('楼层配置'!$F$5:$F$104,MATCH($K336,'楼层配置'!$B$5:$B$104,0)),1)</x:f>
        <x:v>0.69706434169526</x:v>
      </x:c>
      <x:c r="AC336" s="4" t="n">
        <x:f>IFERROR(INDEX('楼层配置'!$G$5:$G$104,MATCH($K336,'楼层配置'!$B$5:$B$104,0)),1)</x:f>
        <x:v>1</x:v>
      </x:c>
      <x:c r="AD336" s="6" t="n">
        <x:f t="shared" si="38">IFERROR($D336/$G336-1,"")</x:f>
        <x:v>-0.3128188447127229</x:v>
      </x:c>
      <x:c r="AE336" s="6" t="n">
        <x:f t="shared" si="39">IFERROR($E336/$H336-1,"")</x:f>
        <x:v>-0.17645245800585607</x:v>
      </x:c>
      <x:c r="AF336" s="6" t="n">
        <x:f t="shared" si="40">IFERROR($F336/$I336-1,"")</x:f>
        <x:v>0.15011675307713612</x:v>
      </x:c>
      <x:c r="AG336" s="4" t="str">
        <x:f t="shared" si="41">IF(AND($A336&gt;=1,$L336&gt;=1,$L336&lt;=500,OR($N336="Tank",$N336="DPS",$N336="Support"),ISNUMBER($D336),ISNUMBER($E336),ISNUMBER($F336)),"有效","异常")</x:f>
        <x:v>有效</x:v>
      </x:c>
      <x:c r="AH336" t="n">
        <x:f>D336/(1-MIN(0.75,F336/(24000+F336)))</x:f>
        <x:v>3068554.865833333</x:v>
      </x:c>
    </x:row>
    <x:row r="337" ht="14.25" customHeight="1">
      <x:c r="A337" s="4">
        <x:v>333</x:v>
      </x:c>
      <x:c r="B337" s="4">
        <x:v>1005</x:v>
      </x:c>
      <x:c r="C337" s="4">
        <x:v>43</x:v>
      </x:c>
      <x:c r="D337" s="5" t="n">
        <x:f>IFERROR(ROUND($U337*$X337*$AA337*'参数'!$B$13,0),"")</x:f>
        <x:v>1110371</x:v>
      </x:c>
      <x:c r="E337" s="5" t="n">
        <x:f>IFERROR(ROUND($V337*$Y337*$AB337*'参数'!$C$13,0),"")</x:f>
        <x:v>25651</x:v>
      </x:c>
      <x:c r="F337" s="5" t="n">
        <x:f>IFERROR(ROUND($W337*$Z337*$AC337*'参数'!$D$13,0),"")</x:f>
        <x:v>23248</x:v>
      </x:c>
      <x:c r="G337" s="4">
        <x:v>1615833</x:v>
      </x:c>
      <x:c r="H337" s="4">
        <x:v>31147</x:v>
      </x:c>
      <x:c r="I337" s="4">
        <x:v>20213</x:v>
      </x:c>
      <x:c r="J337" s="4">
        <x:v>67</x:v>
      </x:c>
      <x:c r="K337" s="4">
        <x:v>67</x:v>
      </x:c>
      <x:c r="L337" s="4" t="n">
        <x:f>IFERROR(INDEX('楼层配置'!$D$5:$D$104,MATCH($K337,'楼层配置'!$B$5:$B$104,0)),"")</x:f>
        <x:v>232</x:v>
      </x:c>
      <x:c r="M337" s="4" t="str">
        <x:f>IFERROR(INDEX('_角色基线'!$B$2:$B$100,MATCH($B337,'_角色基线'!$A$2:$A$100,0)),"")</x:f>
        <x:v>陈单单</x:v>
      </x:c>
      <x:c r="N337" s="4" t="str">
        <x:f>IFERROR(INDEX('_角色基线'!$C$2:$C$100,MATCH($B337,'_角色基线'!$A$2:$A$100,0)),"")</x:f>
        <x:v>DPS</x:v>
      </x:c>
      <x:c r="O337" s="4" t="n">
        <x:f>IFERROR(INDEX('_怪物基线'!$B$2:$B$501,MATCH(INT($L337),'_怪物基线'!$A$2:$A$501,0)),"")</x:f>
        <x:v>241491</x:v>
      </x:c>
      <x:c r="P337" s="4" t="n">
        <x:f>IFERROR(INDEX('_怪物基线'!$C$2:$C$501,MATCH(INT($L337),'_怪物基线'!$A$2:$A$501,0)),"")</x:f>
        <x:v>25555</x:v>
      </x:c>
      <x:c r="Q337" s="4" t="n">
        <x:f>IFERROR(INDEX('_怪物基线'!$D$2:$D$501,MATCH(INT($L337),'_怪物基线'!$A$2:$A$501,0)),"")</x:f>
        <x:v>23248</x:v>
      </x:c>
      <x:c r="R337" s="4" t="n">
        <x:f>'参数'!$B$10</x:f>
        <x:v>4</x:v>
      </x:c>
      <x:c r="S337" s="4" t="n">
        <x:f>'参数'!$C$10</x:f>
        <x:v>1.2</x:v>
      </x:c>
      <x:c r="T337" s="4" t="n">
        <x:f>'参数'!$D$10</x:f>
        <x:v>1</x:v>
      </x:c>
      <x:c r="U337" s="4" t="n">
        <x:f t="shared" si="35">IF($O337="","",$O337*$R337)</x:f>
        <x:v>965964</x:v>
      </x:c>
      <x:c r="V337" s="4" t="n">
        <x:f t="shared" si="36">IF($P337="","",$P337*$S337)</x:f>
        <x:v>30666</x:v>
      </x:c>
      <x:c r="W337" s="4" t="n">
        <x:f t="shared" si="37">IF($Q337="","",$Q337*$T337)</x:f>
        <x:v>23248</x:v>
      </x:c>
      <x:c r="X337" s="4" t="n">
        <x:f>IFERROR(INDEX('参数'!$B$5:$B$7,MATCH($N337,'参数'!$A$5:$A$7,0)),"")</x:f>
        <x:v>1</x:v>
      </x:c>
      <x:c r="Y337" s="4" t="n">
        <x:f>IFERROR(INDEX('参数'!$C$5:$C$7,MATCH($N337,'参数'!$A$5:$A$7,0)),"")</x:f>
        <x:v>1.2</x:v>
      </x:c>
      <x:c r="Z337" s="4" t="n">
        <x:f>IFERROR(INDEX('参数'!$D$5:$D$7,MATCH($N337,'参数'!$A$5:$A$7,0)),"")</x:f>
        <x:v>1</x:v>
      </x:c>
      <x:c r="AA337" s="4" t="n">
        <x:f>IFERROR(INDEX('楼层配置'!$E$5:$E$104,MATCH($K337,'楼层配置'!$B$5:$B$104,0)),1)</x:f>
        <x:v>1.1494949733067685</x:v>
      </x:c>
      <x:c r="AB337" s="4" t="n">
        <x:f>IFERROR(INDEX('楼层配置'!$F$5:$F$104,MATCH($K337,'楼层配置'!$B$5:$B$104,0)),1)</x:f>
        <x:v>0.69706434169526</x:v>
      </x:c>
      <x:c r="AC337" s="4" t="n">
        <x:f>IFERROR(INDEX('楼层配置'!$G$5:$G$104,MATCH($K337,'楼层配置'!$B$5:$B$104,0)),1)</x:f>
        <x:v>1</x:v>
      </x:c>
      <x:c r="AD337" s="6" t="n">
        <x:f t="shared" si="38">IFERROR($D337/$G337-1,"")</x:f>
        <x:v>-0.3128182182193333</x:v>
      </x:c>
      <x:c r="AE337" s="6" t="n">
        <x:f t="shared" si="39">IFERROR($E337/$H337-1,"")</x:f>
        <x:v>-0.17645359103605485</x:v>
      </x:c>
      <x:c r="AF337" s="6" t="n">
        <x:f t="shared" si="40">IFERROR($F337/$I337-1,"")</x:f>
        <x:v>0.15015089298966022</x:v>
      </x:c>
      <x:c r="AG337" s="4" t="str">
        <x:f t="shared" si="41">IF(AND($A337&gt;=1,$L337&gt;=1,$L337&lt;=500,OR($N337="Tank",$N337="DPS",$N337="Support"),ISNUMBER($D337),ISNUMBER($E337),ISNUMBER($F337)),"有效","异常")</x:f>
        <x:v>有效</x:v>
      </x:c>
      <x:c r="AH337" t="n">
        <x:f>D337/(1-MIN(0.75,F337/(24000+F337)))</x:f>
        <x:v>2185950.3753333334</x:v>
      </x:c>
    </x:row>
    <x:row r="338" ht="14.25" customHeight="1">
      <x:c r="A338" s="4">
        <x:v>334</x:v>
      </x:c>
      <x:c r="B338" s="4">
        <x:v>1005</x:v>
      </x:c>
      <x:c r="C338" s="4">
        <x:v>43</x:v>
      </x:c>
      <x:c r="D338" s="5" t="n">
        <x:f>IFERROR(ROUND($U338*$X338*$AA338*'参数'!$B$13,0),"")</x:f>
        <x:v>1110371</x:v>
      </x:c>
      <x:c r="E338" s="5" t="n">
        <x:f>IFERROR(ROUND($V338*$Y338*$AB338*'参数'!$C$13,0),"")</x:f>
        <x:v>25651</x:v>
      </x:c>
      <x:c r="F338" s="5" t="n">
        <x:f>IFERROR(ROUND($W338*$Z338*$AC338*'参数'!$D$13,0),"")</x:f>
        <x:v>23248</x:v>
      </x:c>
      <x:c r="G338" s="4">
        <x:v>1615833</x:v>
      </x:c>
      <x:c r="H338" s="4">
        <x:v>31147</x:v>
      </x:c>
      <x:c r="I338" s="4">
        <x:v>20213</x:v>
      </x:c>
      <x:c r="J338" s="4">
        <x:v>67</x:v>
      </x:c>
      <x:c r="K338" s="4">
        <x:v>67</x:v>
      </x:c>
      <x:c r="L338" s="4" t="n">
        <x:f>IFERROR(INDEX('楼层配置'!$D$5:$D$104,MATCH($K338,'楼层配置'!$B$5:$B$104,0)),"")</x:f>
        <x:v>232</x:v>
      </x:c>
      <x:c r="M338" s="4" t="str">
        <x:f>IFERROR(INDEX('_角色基线'!$B$2:$B$100,MATCH($B338,'_角色基线'!$A$2:$A$100,0)),"")</x:f>
        <x:v>陈单单</x:v>
      </x:c>
      <x:c r="N338" s="4" t="str">
        <x:f>IFERROR(INDEX('_角色基线'!$C$2:$C$100,MATCH($B338,'_角色基线'!$A$2:$A$100,0)),"")</x:f>
        <x:v>DPS</x:v>
      </x:c>
      <x:c r="O338" s="4" t="n">
        <x:f>IFERROR(INDEX('_怪物基线'!$B$2:$B$501,MATCH(INT($L338),'_怪物基线'!$A$2:$A$501,0)),"")</x:f>
        <x:v>241491</x:v>
      </x:c>
      <x:c r="P338" s="4" t="n">
        <x:f>IFERROR(INDEX('_怪物基线'!$C$2:$C$501,MATCH(INT($L338),'_怪物基线'!$A$2:$A$501,0)),"")</x:f>
        <x:v>25555</x:v>
      </x:c>
      <x:c r="Q338" s="4" t="n">
        <x:f>IFERROR(INDEX('_怪物基线'!$D$2:$D$501,MATCH(INT($L338),'_怪物基线'!$A$2:$A$501,0)),"")</x:f>
        <x:v>23248</x:v>
      </x:c>
      <x:c r="R338" s="4" t="n">
        <x:f>'参数'!$B$10</x:f>
        <x:v>4</x:v>
      </x:c>
      <x:c r="S338" s="4" t="n">
        <x:f>'参数'!$C$10</x:f>
        <x:v>1.2</x:v>
      </x:c>
      <x:c r="T338" s="4" t="n">
        <x:f>'参数'!$D$10</x:f>
        <x:v>1</x:v>
      </x:c>
      <x:c r="U338" s="4" t="n">
        <x:f t="shared" si="35">IF($O338="","",$O338*$R338)</x:f>
        <x:v>965964</x:v>
      </x:c>
      <x:c r="V338" s="4" t="n">
        <x:f t="shared" si="36">IF($P338="","",$P338*$S338)</x:f>
        <x:v>30666</x:v>
      </x:c>
      <x:c r="W338" s="4" t="n">
        <x:f t="shared" si="37">IF($Q338="","",$Q338*$T338)</x:f>
        <x:v>23248</x:v>
      </x:c>
      <x:c r="X338" s="4" t="n">
        <x:f>IFERROR(INDEX('参数'!$B$5:$B$7,MATCH($N338,'参数'!$A$5:$A$7,0)),"")</x:f>
        <x:v>1</x:v>
      </x:c>
      <x:c r="Y338" s="4" t="n">
        <x:f>IFERROR(INDEX('参数'!$C$5:$C$7,MATCH($N338,'参数'!$A$5:$A$7,0)),"")</x:f>
        <x:v>1.2</x:v>
      </x:c>
      <x:c r="Z338" s="4" t="n">
        <x:f>IFERROR(INDEX('参数'!$D$5:$D$7,MATCH($N338,'参数'!$A$5:$A$7,0)),"")</x:f>
        <x:v>1</x:v>
      </x:c>
      <x:c r="AA338" s="4" t="n">
        <x:f>IFERROR(INDEX('楼层配置'!$E$5:$E$104,MATCH($K338,'楼层配置'!$B$5:$B$104,0)),1)</x:f>
        <x:v>1.1494949733067685</x:v>
      </x:c>
      <x:c r="AB338" s="4" t="n">
        <x:f>IFERROR(INDEX('楼层配置'!$F$5:$F$104,MATCH($K338,'楼层配置'!$B$5:$B$104,0)),1)</x:f>
        <x:v>0.69706434169526</x:v>
      </x:c>
      <x:c r="AC338" s="4" t="n">
        <x:f>IFERROR(INDEX('楼层配置'!$G$5:$G$104,MATCH($K338,'楼层配置'!$B$5:$B$104,0)),1)</x:f>
        <x:v>1</x:v>
      </x:c>
      <x:c r="AD338" s="6" t="n">
        <x:f t="shared" si="38">IFERROR($D338/$G338-1,"")</x:f>
        <x:v>-0.3128182182193333</x:v>
      </x:c>
      <x:c r="AE338" s="6" t="n">
        <x:f t="shared" si="39">IFERROR($E338/$H338-1,"")</x:f>
        <x:v>-0.17645359103605485</x:v>
      </x:c>
      <x:c r="AF338" s="6" t="n">
        <x:f t="shared" si="40">IFERROR($F338/$I338-1,"")</x:f>
        <x:v>0.15015089298966022</x:v>
      </x:c>
      <x:c r="AG338" s="4" t="str">
        <x:f t="shared" si="41">IF(AND($A338&gt;=1,$L338&gt;=1,$L338&lt;=500,OR($N338="Tank",$N338="DPS",$N338="Support"),ISNUMBER($D338),ISNUMBER($E338),ISNUMBER($F338)),"有效","异常")</x:f>
        <x:v>有效</x:v>
      </x:c>
      <x:c r="AH338" t="n">
        <x:f>D338/(1-MIN(0.75,F338/(24000+F338)))</x:f>
        <x:v>2185950.3753333334</x:v>
      </x:c>
    </x:row>
    <x:row r="339" ht="14.25" customHeight="1">
      <x:c r="A339" s="4">
        <x:v>335</x:v>
      </x:c>
      <x:c r="B339" s="4">
        <x:v>1008</x:v>
      </x:c>
      <x:c r="C339" s="4">
        <x:v>43</x:v>
      </x:c>
      <x:c r="D339" s="5" t="n">
        <x:f>IFERROR(ROUND($U339*$X339*$AA339*'参数'!$B$13,0),"")</x:f>
        <x:v>1110371</x:v>
      </x:c>
      <x:c r="E339" s="5" t="n">
        <x:f>IFERROR(ROUND($V339*$Y339*$AB339*'参数'!$C$13,0),"")</x:f>
        <x:v>25651</x:v>
      </x:c>
      <x:c r="F339" s="5" t="n">
        <x:f>IFERROR(ROUND($W339*$Z339*$AC339*'参数'!$D$13,0),"")</x:f>
        <x:v>23248</x:v>
      </x:c>
      <x:c r="G339" s="4">
        <x:v>1615833</x:v>
      </x:c>
      <x:c r="H339" s="4">
        <x:v>31147</x:v>
      </x:c>
      <x:c r="I339" s="4">
        <x:v>20213</x:v>
      </x:c>
      <x:c r="J339" s="4">
        <x:v>67</x:v>
      </x:c>
      <x:c r="K339" s="4">
        <x:v>67</x:v>
      </x:c>
      <x:c r="L339" s="4" t="n">
        <x:f>IFERROR(INDEX('楼层配置'!$D$5:$D$104,MATCH($K339,'楼层配置'!$B$5:$B$104,0)),"")</x:f>
        <x:v>232</x:v>
      </x:c>
      <x:c r="M339" s="4" t="str">
        <x:f>IFERROR(INDEX('_角色基线'!$B$2:$B$100,MATCH($B339,'_角色基线'!$A$2:$A$100,0)),"")</x:f>
        <x:v>薇</x:v>
      </x:c>
      <x:c r="N339" s="4" t="str">
        <x:f>IFERROR(INDEX('_角色基线'!$C$2:$C$100,MATCH($B339,'_角色基线'!$A$2:$A$100,0)),"")</x:f>
        <x:v>DPS</x:v>
      </x:c>
      <x:c r="O339" s="4" t="n">
        <x:f>IFERROR(INDEX('_怪物基线'!$B$2:$B$501,MATCH(INT($L339),'_怪物基线'!$A$2:$A$501,0)),"")</x:f>
        <x:v>241491</x:v>
      </x:c>
      <x:c r="P339" s="4" t="n">
        <x:f>IFERROR(INDEX('_怪物基线'!$C$2:$C$501,MATCH(INT($L339),'_怪物基线'!$A$2:$A$501,0)),"")</x:f>
        <x:v>25555</x:v>
      </x:c>
      <x:c r="Q339" s="4" t="n">
        <x:f>IFERROR(INDEX('_怪物基线'!$D$2:$D$501,MATCH(INT($L339),'_怪物基线'!$A$2:$A$501,0)),"")</x:f>
        <x:v>23248</x:v>
      </x:c>
      <x:c r="R339" s="4" t="n">
        <x:f>'参数'!$B$10</x:f>
        <x:v>4</x:v>
      </x:c>
      <x:c r="S339" s="4" t="n">
        <x:f>'参数'!$C$10</x:f>
        <x:v>1.2</x:v>
      </x:c>
      <x:c r="T339" s="4" t="n">
        <x:f>'参数'!$D$10</x:f>
        <x:v>1</x:v>
      </x:c>
      <x:c r="U339" s="4" t="n">
        <x:f t="shared" si="35">IF($O339="","",$O339*$R339)</x:f>
        <x:v>965964</x:v>
      </x:c>
      <x:c r="V339" s="4" t="n">
        <x:f t="shared" si="36">IF($P339="","",$P339*$S339)</x:f>
        <x:v>30666</x:v>
      </x:c>
      <x:c r="W339" s="4" t="n">
        <x:f t="shared" si="37">IF($Q339="","",$Q339*$T339)</x:f>
        <x:v>23248</x:v>
      </x:c>
      <x:c r="X339" s="4" t="n">
        <x:f>IFERROR(INDEX('参数'!$B$5:$B$7,MATCH($N339,'参数'!$A$5:$A$7,0)),"")</x:f>
        <x:v>1</x:v>
      </x:c>
      <x:c r="Y339" s="4" t="n">
        <x:f>IFERROR(INDEX('参数'!$C$5:$C$7,MATCH($N339,'参数'!$A$5:$A$7,0)),"")</x:f>
        <x:v>1.2</x:v>
      </x:c>
      <x:c r="Z339" s="4" t="n">
        <x:f>IFERROR(INDEX('参数'!$D$5:$D$7,MATCH($N339,'参数'!$A$5:$A$7,0)),"")</x:f>
        <x:v>1</x:v>
      </x:c>
      <x:c r="AA339" s="4" t="n">
        <x:f>IFERROR(INDEX('楼层配置'!$E$5:$E$104,MATCH($K339,'楼层配置'!$B$5:$B$104,0)),1)</x:f>
        <x:v>1.1494949733067685</x:v>
      </x:c>
      <x:c r="AB339" s="4" t="n">
        <x:f>IFERROR(INDEX('楼层配置'!$F$5:$F$104,MATCH($K339,'楼层配置'!$B$5:$B$104,0)),1)</x:f>
        <x:v>0.69706434169526</x:v>
      </x:c>
      <x:c r="AC339" s="4" t="n">
        <x:f>IFERROR(INDEX('楼层配置'!$G$5:$G$104,MATCH($K339,'楼层配置'!$B$5:$B$104,0)),1)</x:f>
        <x:v>1</x:v>
      </x:c>
      <x:c r="AD339" s="6" t="n">
        <x:f t="shared" si="38">IFERROR($D339/$G339-1,"")</x:f>
        <x:v>-0.3128182182193333</x:v>
      </x:c>
      <x:c r="AE339" s="6" t="n">
        <x:f t="shared" si="39">IFERROR($E339/$H339-1,"")</x:f>
        <x:v>-0.17645359103605485</x:v>
      </x:c>
      <x:c r="AF339" s="6" t="n">
        <x:f t="shared" si="40">IFERROR($F339/$I339-1,"")</x:f>
        <x:v>0.15015089298966022</x:v>
      </x:c>
      <x:c r="AG339" s="4" t="str">
        <x:f t="shared" si="41">IF(AND($A339&gt;=1,$L339&gt;=1,$L339&lt;=500,OR($N339="Tank",$N339="DPS",$N339="Support"),ISNUMBER($D339),ISNUMBER($E339),ISNUMBER($F339)),"有效","异常")</x:f>
        <x:v>有效</x:v>
      </x:c>
      <x:c r="AH339" t="n">
        <x:f>D339/(1-MIN(0.75,F339/(24000+F339)))</x:f>
        <x:v>2185950.3753333334</x:v>
      </x:c>
    </x:row>
    <x:row r="340" ht="14.25" customHeight="1">
      <x:c r="A340" s="4">
        <x:v>336</x:v>
      </x:c>
      <x:c r="B340" s="4">
        <x:v>1002</x:v>
      </x:c>
      <x:c r="C340" s="4">
        <x:v>44</x:v>
      </x:c>
      <x:c r="D340" s="5" t="n">
        <x:f>IFERROR(ROUND($U340*$X340*$AA340*'参数'!$B$13,0),"")</x:f>
        <x:v>1700239</x:v>
      </x:c>
      <x:c r="E340" s="5" t="n">
        <x:f>IFERROR(ROUND($V340*$Y340*$AB340*'参数'!$C$13,0),"")</x:f>
        <x:v>21738</x:v>
      </x:c>
      <x:c r="F340" s="5" t="n">
        <x:f>IFERROR(ROUND($W340*$Z340*$AC340*'参数'!$D$13,0),"")</x:f>
        <x:v>35252</x:v>
      </x:c>
      <x:c r="G340" s="4">
        <x:v>2515089</x:v>
      </x:c>
      <x:c r="H340" s="4">
        <x:v>26665</x:v>
      </x:c>
      <x:c r="I340" s="4">
        <x:v>30902</x:v>
      </x:c>
      <x:c r="J340" s="4">
        <x:v>68</x:v>
      </x:c>
      <x:c r="K340" s="4">
        <x:v>68</x:v>
      </x:c>
      <x:c r="L340" s="4" t="n">
        <x:f>IFERROR(INDEX('楼层配置'!$D$5:$D$104,MATCH($K340,'楼层配置'!$B$5:$B$104,0)),"")</x:f>
        <x:v>234</x:v>
      </x:c>
      <x:c r="M340" s="4" t="str">
        <x:f>IFERROR(INDEX('_角色基线'!$B$2:$B$100,MATCH($B340,'_角色基线'!$A$2:$A$100,0)),"")</x:f>
        <x:v>大暑</x:v>
      </x:c>
      <x:c r="N340" s="4" t="str">
        <x:f>IFERROR(INDEX('_角色基线'!$C$2:$C$100,MATCH($B340,'_角色基线'!$A$2:$A$100,0)),"")</x:f>
        <x:v>Tank</x:v>
      </x:c>
      <x:c r="O340" s="4" t="n">
        <x:f>IFERROR(INDEX('_怪物基线'!$B$2:$B$501,MATCH(INT($L340),'_怪物基线'!$A$2:$A$501,0)),"")</x:f>
        <x:v>246867</x:v>
      </x:c>
      <x:c r="P340" s="4" t="n">
        <x:f>IFERROR(INDEX('_怪物基线'!$C$2:$C$501,MATCH(INT($L340),'_怪物基线'!$A$2:$A$501,0)),"")</x:f>
        <x:v>25972</x:v>
      </x:c>
      <x:c r="Q340" s="4" t="n">
        <x:f>IFERROR(INDEX('_怪物基线'!$D$2:$D$501,MATCH(INT($L340),'_怪物基线'!$A$2:$A$501,0)),"")</x:f>
        <x:v>23501</x:v>
      </x:c>
      <x:c r="R340" s="4" t="n">
        <x:f>'参数'!$B$10</x:f>
        <x:v>4</x:v>
      </x:c>
      <x:c r="S340" s="4" t="n">
        <x:f>'参数'!$C$10</x:f>
        <x:v>1.2</x:v>
      </x:c>
      <x:c r="T340" s="4" t="n">
        <x:f>'参数'!$D$10</x:f>
        <x:v>1</x:v>
      </x:c>
      <x:c r="U340" s="4" t="n">
        <x:f t="shared" si="35">IF($O340="","",$O340*$R340)</x:f>
        <x:v>987468</x:v>
      </x:c>
      <x:c r="V340" s="4" t="n">
        <x:f t="shared" si="36">IF($P340="","",$P340*$S340)</x:f>
        <x:v>31166.399999999998</x:v>
      </x:c>
      <x:c r="W340" s="4" t="n">
        <x:f t="shared" si="37">IF($Q340="","",$Q340*$T340)</x:f>
        <x:v>23501</x:v>
      </x:c>
      <x:c r="X340" s="4" t="n">
        <x:f>IFERROR(INDEX('参数'!$B$5:$B$7,MATCH($N340,'参数'!$A$5:$A$7,0)),"")</x:f>
        <x:v>1.5</x:v>
      </x:c>
      <x:c r="Y340" s="4" t="n">
        <x:f>IFERROR(INDEX('参数'!$C$5:$C$7,MATCH($N340,'参数'!$A$5:$A$7,0)),"")</x:f>
        <x:v>1</x:v>
      </x:c>
      <x:c r="Z340" s="4" t="n">
        <x:f>IFERROR(INDEX('参数'!$D$5:$D$7,MATCH($N340,'参数'!$A$5:$A$7,0)),"")</x:f>
        <x:v>1.5</x:v>
      </x:c>
      <x:c r="AA340" s="4" t="n">
        <x:f>IFERROR(INDEX('楼层配置'!$E$5:$E$104,MATCH($K340,'楼层配置'!$B$5:$B$104,0)),1)</x:f>
        <x:v>1.147877967489168</x:v>
      </x:c>
      <x:c r="AB340" s="4" t="n">
        <x:f>IFERROR(INDEX('楼层配置'!$F$5:$F$104,MATCH($K340,'楼层配置'!$B$5:$B$104,0)),1)</x:f>
        <x:v>0.6974713822189705</x:v>
      </x:c>
      <x:c r="AC340" s="4" t="n">
        <x:f>IFERROR(INDEX('楼层配置'!$G$5:$G$104,MATCH($K340,'楼层配置'!$B$5:$B$104,0)),1)</x:f>
        <x:v>1</x:v>
      </x:c>
      <x:c r="AD340" s="6" t="n">
        <x:f t="shared" si="38">IFERROR($D340/$G340-1,"")</x:f>
        <x:v>-0.3239845587969252</x:v>
      </x:c>
      <x:c r="AE340" s="6" t="n">
        <x:f t="shared" si="39">IFERROR($E340/$H340-1,"")</x:f>
        <x:v>-0.18477404837802358</x:v>
      </x:c>
      <x:c r="AF340" s="6" t="n">
        <x:f t="shared" si="40">IFERROR($F340/$I340-1,"")</x:f>
        <x:v>0.14076758785839094</x:v>
      </x:c>
      <x:c r="AG340" s="4" t="str">
        <x:f t="shared" si="41">IF(AND($A340&gt;=1,$L340&gt;=1,$L340&lt;=500,OR($N340="Tank",$N340="DPS",$N340="Support"),ISNUMBER($D340),ISNUMBER($E340),ISNUMBER($F340)),"有效","异常")</x:f>
        <x:v>有效</x:v>
      </x:c>
      <x:c r="AH340" t="n">
        <x:f>D340/(1-MIN(0.75,F340/(24000+F340)))</x:f>
        <x:v>4197606.717833334</x:v>
      </x:c>
    </x:row>
    <x:row r="341" ht="14.25" customHeight="1">
      <x:c r="A341" s="4">
        <x:v>337</x:v>
      </x:c>
      <x:c r="B341" s="4">
        <x:v>1001</x:v>
      </x:c>
      <x:c r="C341" s="4">
        <x:v>44</x:v>
      </x:c>
      <x:c r="D341" s="5" t="n">
        <x:f>IFERROR(ROUND($U341*$X341*$AA341*'参数'!$B$13,0),"")</x:f>
        <x:v>1133493</x:v>
      </x:c>
      <x:c r="E341" s="5" t="n">
        <x:f>IFERROR(ROUND($V341*$Y341*$AB341*'参数'!$C$13,0),"")</x:f>
        <x:v>26085</x:v>
      </x:c>
      <x:c r="F341" s="5" t="n">
        <x:f>IFERROR(ROUND($W341*$Z341*$AC341*'参数'!$D$13,0),"")</x:f>
        <x:v>23501</x:v>
      </x:c>
      <x:c r="G341" s="4">
        <x:v>1676726</x:v>
      </x:c>
      <x:c r="H341" s="4">
        <x:v>31998</x:v>
      </x:c>
      <x:c r="I341" s="4">
        <x:v>20601</x:v>
      </x:c>
      <x:c r="J341" s="4">
        <x:v>68</x:v>
      </x:c>
      <x:c r="K341" s="4">
        <x:v>68</x:v>
      </x:c>
      <x:c r="L341" s="4" t="n">
        <x:f>IFERROR(INDEX('楼层配置'!$D$5:$D$104,MATCH($K341,'楼层配置'!$B$5:$B$104,0)),"")</x:f>
        <x:v>234</x:v>
      </x:c>
      <x:c r="M341" s="4" t="str">
        <x:f>IFERROR(INDEX('_角色基线'!$B$2:$B$100,MATCH($B341,'_角色基线'!$A$2:$A$100,0)),"")</x:f>
        <x:v>星海</x:v>
      </x:c>
      <x:c r="N341" s="4" t="str">
        <x:f>IFERROR(INDEX('_角色基线'!$C$2:$C$100,MATCH($B341,'_角色基线'!$A$2:$A$100,0)),"")</x:f>
        <x:v>DPS</x:v>
      </x:c>
      <x:c r="O341" s="4" t="n">
        <x:f>IFERROR(INDEX('_怪物基线'!$B$2:$B$501,MATCH(INT($L341),'_怪物基线'!$A$2:$A$501,0)),"")</x:f>
        <x:v>246867</x:v>
      </x:c>
      <x:c r="P341" s="4" t="n">
        <x:f>IFERROR(INDEX('_怪物基线'!$C$2:$C$501,MATCH(INT($L341),'_怪物基线'!$A$2:$A$501,0)),"")</x:f>
        <x:v>25972</x:v>
      </x:c>
      <x:c r="Q341" s="4" t="n">
        <x:f>IFERROR(INDEX('_怪物基线'!$D$2:$D$501,MATCH(INT($L341),'_怪物基线'!$A$2:$A$501,0)),"")</x:f>
        <x:v>23501</x:v>
      </x:c>
      <x:c r="R341" s="4" t="n">
        <x:f>'参数'!$B$10</x:f>
        <x:v>4</x:v>
      </x:c>
      <x:c r="S341" s="4" t="n">
        <x:f>'参数'!$C$10</x:f>
        <x:v>1.2</x:v>
      </x:c>
      <x:c r="T341" s="4" t="n">
        <x:f>'参数'!$D$10</x:f>
        <x:v>1</x:v>
      </x:c>
      <x:c r="U341" s="4" t="n">
        <x:f t="shared" si="35">IF($O341="","",$O341*$R341)</x:f>
        <x:v>987468</x:v>
      </x:c>
      <x:c r="V341" s="4" t="n">
        <x:f t="shared" si="36">IF($P341="","",$P341*$S341)</x:f>
        <x:v>31166.399999999998</x:v>
      </x:c>
      <x:c r="W341" s="4" t="n">
        <x:f t="shared" si="37">IF($Q341="","",$Q341*$T341)</x:f>
        <x:v>23501</x:v>
      </x:c>
      <x:c r="X341" s="4" t="n">
        <x:f>IFERROR(INDEX('参数'!$B$5:$B$7,MATCH($N341,'参数'!$A$5:$A$7,0)),"")</x:f>
        <x:v>1</x:v>
      </x:c>
      <x:c r="Y341" s="4" t="n">
        <x:f>IFERROR(INDEX('参数'!$C$5:$C$7,MATCH($N341,'参数'!$A$5:$A$7,0)),"")</x:f>
        <x:v>1.2</x:v>
      </x:c>
      <x:c r="Z341" s="4" t="n">
        <x:f>IFERROR(INDEX('参数'!$D$5:$D$7,MATCH($N341,'参数'!$A$5:$A$7,0)),"")</x:f>
        <x:v>1</x:v>
      </x:c>
      <x:c r="AA341" s="4" t="n">
        <x:f>IFERROR(INDEX('楼层配置'!$E$5:$E$104,MATCH($K341,'楼层配置'!$B$5:$B$104,0)),1)</x:f>
        <x:v>1.147877967489168</x:v>
      </x:c>
      <x:c r="AB341" s="4" t="n">
        <x:f>IFERROR(INDEX('楼层配置'!$F$5:$F$104,MATCH($K341,'楼层配置'!$B$5:$B$104,0)),1)</x:f>
        <x:v>0.6974713822189705</x:v>
      </x:c>
      <x:c r="AC341" s="4" t="n">
        <x:f>IFERROR(INDEX('楼层配置'!$G$5:$G$104,MATCH($K341,'楼层配置'!$B$5:$B$104,0)),1)</x:f>
        <x:v>1</x:v>
      </x:c>
      <x:c r="AD341" s="6" t="n">
        <x:f t="shared" si="38">IFERROR($D341/$G341-1,"")</x:f>
        <x:v>-0.3239843599968033</x:v>
      </x:c>
      <x:c r="AE341" s="6" t="n">
        <x:f t="shared" si="39">IFERROR($E341/$H341-1,"")</x:f>
        <x:v>-0.18479279954997185</x:v>
      </x:c>
      <x:c r="AF341" s="6" t="n">
        <x:f t="shared" si="40">IFERROR($F341/$I341-1,"")</x:f>
        <x:v>0.14076986554050763</x:v>
      </x:c>
      <x:c r="AG341" s="4" t="str">
        <x:f t="shared" si="41">IF(AND($A341&gt;=1,$L341&gt;=1,$L341&lt;=500,OR($N341="Tank",$N341="DPS",$N341="Support"),ISNUMBER($D341),ISNUMBER($E341),ISNUMBER($F341)),"有效","异常")</x:f>
        <x:v>有效</x:v>
      </x:c>
      <x:c r="AH341" t="n">
        <x:f>D341/(1-MIN(0.75,F341/(24000+F341)))</x:f>
        <x:v>2243418.7913749996</x:v>
      </x:c>
    </x:row>
    <x:row r="342" ht="14.25" customHeight="1">
      <x:c r="A342" s="4">
        <x:v>338</x:v>
      </x:c>
      <x:c r="B342" s="4">
        <x:v>1001</x:v>
      </x:c>
      <x:c r="C342" s="4">
        <x:v>44</x:v>
      </x:c>
      <x:c r="D342" s="5" t="n">
        <x:f>IFERROR(ROUND($U342*$X342*$AA342*'参数'!$B$13,0),"")</x:f>
        <x:v>1133493</x:v>
      </x:c>
      <x:c r="E342" s="5" t="n">
        <x:f>IFERROR(ROUND($V342*$Y342*$AB342*'参数'!$C$13,0),"")</x:f>
        <x:v>26085</x:v>
      </x:c>
      <x:c r="F342" s="5" t="n">
        <x:f>IFERROR(ROUND($W342*$Z342*$AC342*'参数'!$D$13,0),"")</x:f>
        <x:v>23501</x:v>
      </x:c>
      <x:c r="G342" s="4">
        <x:v>1676726</x:v>
      </x:c>
      <x:c r="H342" s="4">
        <x:v>31998</x:v>
      </x:c>
      <x:c r="I342" s="4">
        <x:v>20601</x:v>
      </x:c>
      <x:c r="J342" s="4">
        <x:v>68</x:v>
      </x:c>
      <x:c r="K342" s="4">
        <x:v>68</x:v>
      </x:c>
      <x:c r="L342" s="4" t="n">
        <x:f>IFERROR(INDEX('楼层配置'!$D$5:$D$104,MATCH($K342,'楼层配置'!$B$5:$B$104,0)),"")</x:f>
        <x:v>234</x:v>
      </x:c>
      <x:c r="M342" s="4" t="str">
        <x:f>IFERROR(INDEX('_角色基线'!$B$2:$B$100,MATCH($B342,'_角色基线'!$A$2:$A$100,0)),"")</x:f>
        <x:v>星海</x:v>
      </x:c>
      <x:c r="N342" s="4" t="str">
        <x:f>IFERROR(INDEX('_角色基线'!$C$2:$C$100,MATCH($B342,'_角色基线'!$A$2:$A$100,0)),"")</x:f>
        <x:v>DPS</x:v>
      </x:c>
      <x:c r="O342" s="4" t="n">
        <x:f>IFERROR(INDEX('_怪物基线'!$B$2:$B$501,MATCH(INT($L342),'_怪物基线'!$A$2:$A$501,0)),"")</x:f>
        <x:v>246867</x:v>
      </x:c>
      <x:c r="P342" s="4" t="n">
        <x:f>IFERROR(INDEX('_怪物基线'!$C$2:$C$501,MATCH(INT($L342),'_怪物基线'!$A$2:$A$501,0)),"")</x:f>
        <x:v>25972</x:v>
      </x:c>
      <x:c r="Q342" s="4" t="n">
        <x:f>IFERROR(INDEX('_怪物基线'!$D$2:$D$501,MATCH(INT($L342),'_怪物基线'!$A$2:$A$501,0)),"")</x:f>
        <x:v>23501</x:v>
      </x:c>
      <x:c r="R342" s="4" t="n">
        <x:f>'参数'!$B$10</x:f>
        <x:v>4</x:v>
      </x:c>
      <x:c r="S342" s="4" t="n">
        <x:f>'参数'!$C$10</x:f>
        <x:v>1.2</x:v>
      </x:c>
      <x:c r="T342" s="4" t="n">
        <x:f>'参数'!$D$10</x:f>
        <x:v>1</x:v>
      </x:c>
      <x:c r="U342" s="4" t="n">
        <x:f t="shared" si="35">IF($O342="","",$O342*$R342)</x:f>
        <x:v>987468</x:v>
      </x:c>
      <x:c r="V342" s="4" t="n">
        <x:f t="shared" si="36">IF($P342="","",$P342*$S342)</x:f>
        <x:v>31166.399999999998</x:v>
      </x:c>
      <x:c r="W342" s="4" t="n">
        <x:f t="shared" si="37">IF($Q342="","",$Q342*$T342)</x:f>
        <x:v>23501</x:v>
      </x:c>
      <x:c r="X342" s="4" t="n">
        <x:f>IFERROR(INDEX('参数'!$B$5:$B$7,MATCH($N342,'参数'!$A$5:$A$7,0)),"")</x:f>
        <x:v>1</x:v>
      </x:c>
      <x:c r="Y342" s="4" t="n">
        <x:f>IFERROR(INDEX('参数'!$C$5:$C$7,MATCH($N342,'参数'!$A$5:$A$7,0)),"")</x:f>
        <x:v>1.2</x:v>
      </x:c>
      <x:c r="Z342" s="4" t="n">
        <x:f>IFERROR(INDEX('参数'!$D$5:$D$7,MATCH($N342,'参数'!$A$5:$A$7,0)),"")</x:f>
        <x:v>1</x:v>
      </x:c>
      <x:c r="AA342" s="4" t="n">
        <x:f>IFERROR(INDEX('楼层配置'!$E$5:$E$104,MATCH($K342,'楼层配置'!$B$5:$B$104,0)),1)</x:f>
        <x:v>1.147877967489168</x:v>
      </x:c>
      <x:c r="AB342" s="4" t="n">
        <x:f>IFERROR(INDEX('楼层配置'!$F$5:$F$104,MATCH($K342,'楼层配置'!$B$5:$B$104,0)),1)</x:f>
        <x:v>0.6974713822189705</x:v>
      </x:c>
      <x:c r="AC342" s="4" t="n">
        <x:f>IFERROR(INDEX('楼层配置'!$G$5:$G$104,MATCH($K342,'楼层配置'!$B$5:$B$104,0)),1)</x:f>
        <x:v>1</x:v>
      </x:c>
      <x:c r="AD342" s="6" t="n">
        <x:f t="shared" si="38">IFERROR($D342/$G342-1,"")</x:f>
        <x:v>-0.3239843599968033</x:v>
      </x:c>
      <x:c r="AE342" s="6" t="n">
        <x:f t="shared" si="39">IFERROR($E342/$H342-1,"")</x:f>
        <x:v>-0.18479279954997185</x:v>
      </x:c>
      <x:c r="AF342" s="6" t="n">
        <x:f t="shared" si="40">IFERROR($F342/$I342-1,"")</x:f>
        <x:v>0.14076986554050763</x:v>
      </x:c>
      <x:c r="AG342" s="4" t="str">
        <x:f t="shared" si="41">IF(AND($A342&gt;=1,$L342&gt;=1,$L342&lt;=500,OR($N342="Tank",$N342="DPS",$N342="Support"),ISNUMBER($D342),ISNUMBER($E342),ISNUMBER($F342)),"有效","异常")</x:f>
        <x:v>有效</x:v>
      </x:c>
      <x:c r="AH342" t="n">
        <x:f>D342/(1-MIN(0.75,F342/(24000+F342)))</x:f>
        <x:v>2243418.7913749996</x:v>
      </x:c>
    </x:row>
    <x:row r="343" ht="14.25" customHeight="1">
      <x:c r="A343" s="4">
        <x:v>339</x:v>
      </x:c>
      <x:c r="B343" s="4">
        <x:v>1012</x:v>
      </x:c>
      <x:c r="C343" s="4">
        <x:v>44</x:v>
      </x:c>
      <x:c r="D343" s="5" t="n">
        <x:f>IFERROR(ROUND($U343*$X343*$AA343*'参数'!$B$13,0),"")</x:f>
        <x:v>1416866</x:v>
      </x:c>
      <x:c r="E343" s="5" t="n">
        <x:f>IFERROR(ROUND($V343*$Y343*$AB343*'参数'!$C$13,0),"")</x:f>
        <x:v>21738</x:v>
      </x:c>
      <x:c r="F343" s="5" t="n">
        <x:f>IFERROR(ROUND($W343*$Z343*$AC343*'参数'!$D$13,0),"")</x:f>
        <x:v>29376</x:v>
      </x:c>
      <x:c r="G343" s="4">
        <x:v>2095908</x:v>
      </x:c>
      <x:c r="H343" s="4">
        <x:v>26665</x:v>
      </x:c>
      <x:c r="I343" s="4">
        <x:v>25752</x:v>
      </x:c>
      <x:c r="J343" s="4">
        <x:v>68</x:v>
      </x:c>
      <x:c r="K343" s="4">
        <x:v>68</x:v>
      </x:c>
      <x:c r="L343" s="4" t="n">
        <x:f>IFERROR(INDEX('楼层配置'!$D$5:$D$104,MATCH($K343,'楼层配置'!$B$5:$B$104,0)),"")</x:f>
        <x:v>234</x:v>
      </x:c>
      <x:c r="M343" s="4" t="str">
        <x:f>IFERROR(INDEX('_角色基线'!$B$2:$B$100,MATCH($B343,'_角色基线'!$A$2:$A$100,0)),"")</x:f>
        <x:v>艾德琳</x:v>
      </x:c>
      <x:c r="N343" s="4" t="str">
        <x:f>IFERROR(INDEX('_角色基线'!$C$2:$C$100,MATCH($B343,'_角色基线'!$A$2:$A$100,0)),"")</x:f>
        <x:v>Support</x:v>
      </x:c>
      <x:c r="O343" s="4" t="n">
        <x:f>IFERROR(INDEX('_怪物基线'!$B$2:$B$501,MATCH(INT($L343),'_怪物基线'!$A$2:$A$501,0)),"")</x:f>
        <x:v>246867</x:v>
      </x:c>
      <x:c r="P343" s="4" t="n">
        <x:f>IFERROR(INDEX('_怪物基线'!$C$2:$C$501,MATCH(INT($L343),'_怪物基线'!$A$2:$A$501,0)),"")</x:f>
        <x:v>25972</x:v>
      </x:c>
      <x:c r="Q343" s="4" t="n">
        <x:f>IFERROR(INDEX('_怪物基线'!$D$2:$D$501,MATCH(INT($L343),'_怪物基线'!$A$2:$A$501,0)),"")</x:f>
        <x:v>23501</x:v>
      </x:c>
      <x:c r="R343" s="4" t="n">
        <x:f>'参数'!$B$10</x:f>
        <x:v>4</x:v>
      </x:c>
      <x:c r="S343" s="4" t="n">
        <x:f>'参数'!$C$10</x:f>
        <x:v>1.2</x:v>
      </x:c>
      <x:c r="T343" s="4" t="n">
        <x:f>'参数'!$D$10</x:f>
        <x:v>1</x:v>
      </x:c>
      <x:c r="U343" s="4" t="n">
        <x:f t="shared" si="35">IF($O343="","",$O343*$R343)</x:f>
        <x:v>987468</x:v>
      </x:c>
      <x:c r="V343" s="4" t="n">
        <x:f t="shared" si="36">IF($P343="","",$P343*$S343)</x:f>
        <x:v>31166.399999999998</x:v>
      </x:c>
      <x:c r="W343" s="4" t="n">
        <x:f t="shared" si="37">IF($Q343="","",$Q343*$T343)</x:f>
        <x:v>23501</x:v>
      </x:c>
      <x:c r="X343" s="4" t="n">
        <x:f>IFERROR(INDEX('参数'!$B$5:$B$7,MATCH($N343,'参数'!$A$5:$A$7,0)),"")</x:f>
        <x:v>1.25</x:v>
      </x:c>
      <x:c r="Y343" s="4" t="n">
        <x:f>IFERROR(INDEX('参数'!$C$5:$C$7,MATCH($N343,'参数'!$A$5:$A$7,0)),"")</x:f>
        <x:v>1</x:v>
      </x:c>
      <x:c r="Z343" s="4" t="n">
        <x:f>IFERROR(INDEX('参数'!$D$5:$D$7,MATCH($N343,'参数'!$A$5:$A$7,0)),"")</x:f>
        <x:v>1.25</x:v>
      </x:c>
      <x:c r="AA343" s="4" t="n">
        <x:f>IFERROR(INDEX('楼层配置'!$E$5:$E$104,MATCH($K343,'楼层配置'!$B$5:$B$104,0)),1)</x:f>
        <x:v>1.147877967489168</x:v>
      </x:c>
      <x:c r="AB343" s="4" t="n">
        <x:f>IFERROR(INDEX('楼层配置'!$F$5:$F$104,MATCH($K343,'楼层配置'!$B$5:$B$104,0)),1)</x:f>
        <x:v>0.6974713822189705</x:v>
      </x:c>
      <x:c r="AC343" s="4" t="n">
        <x:f>IFERROR(INDEX('楼层配置'!$G$5:$G$104,MATCH($K343,'楼层配置'!$B$5:$B$104,0)),1)</x:f>
        <x:v>1</x:v>
      </x:c>
      <x:c r="AD343" s="6" t="n">
        <x:f t="shared" si="38">IFERROR($D343/$G343-1,"")</x:f>
        <x:v>-0.32398464054719955</x:v>
      </x:c>
      <x:c r="AE343" s="6" t="n">
        <x:f t="shared" si="39">IFERROR($E343/$H343-1,"")</x:f>
        <x:v>-0.18477404837802358</x:v>
      </x:c>
      <x:c r="AF343" s="6" t="n">
        <x:f t="shared" si="40">IFERROR($F343/$I343-1,"")</x:f>
        <x:v>0.14072693383038204</x:v>
      </x:c>
      <x:c r="AG343" s="4" t="str">
        <x:f t="shared" si="41">IF(AND($A343&gt;=1,$L343&gt;=1,$L343&lt;=500,OR($N343="Tank",$N343="DPS",$N343="Support"),ISNUMBER($D343),ISNUMBER($E343),ISNUMBER($F343)),"有效","异常")</x:f>
        <x:v>有效</x:v>
      </x:c>
      <x:c r="AH343" t="n">
        <x:f>D343/(1-MIN(0.75,F343/(24000+F343)))</x:f>
        <x:v>3151109.984</x:v>
      </x:c>
    </x:row>
    <x:row r="344" ht="14.25" customHeight="1">
      <x:c r="A344" s="4">
        <x:v>340</x:v>
      </x:c>
      <x:c r="B344" s="4">
        <x:v>1012</x:v>
      </x:c>
      <x:c r="C344" s="4">
        <x:v>44</x:v>
      </x:c>
      <x:c r="D344" s="5" t="n">
        <x:f>IFERROR(ROUND($U344*$X344*$AA344*'参数'!$B$13,0),"")</x:f>
        <x:v>1416866</x:v>
      </x:c>
      <x:c r="E344" s="5" t="n">
        <x:f>IFERROR(ROUND($V344*$Y344*$AB344*'参数'!$C$13,0),"")</x:f>
        <x:v>21738</x:v>
      </x:c>
      <x:c r="F344" s="5" t="n">
        <x:f>IFERROR(ROUND($W344*$Z344*$AC344*'参数'!$D$13,0),"")</x:f>
        <x:v>29376</x:v>
      </x:c>
      <x:c r="G344" s="4">
        <x:v>2095908</x:v>
      </x:c>
      <x:c r="H344" s="4">
        <x:v>26665</x:v>
      </x:c>
      <x:c r="I344" s="4">
        <x:v>25752</x:v>
      </x:c>
      <x:c r="J344" s="4">
        <x:v>68</x:v>
      </x:c>
      <x:c r="K344" s="4">
        <x:v>68</x:v>
      </x:c>
      <x:c r="L344" s="4" t="n">
        <x:f>IFERROR(INDEX('楼层配置'!$D$5:$D$104,MATCH($K344,'楼层配置'!$B$5:$B$104,0)),"")</x:f>
        <x:v>234</x:v>
      </x:c>
      <x:c r="M344" s="4" t="str">
        <x:f>IFERROR(INDEX('_角色基线'!$B$2:$B$100,MATCH($B344,'_角色基线'!$A$2:$A$100,0)),"")</x:f>
        <x:v>艾德琳</x:v>
      </x:c>
      <x:c r="N344" s="4" t="str">
        <x:f>IFERROR(INDEX('_角色基线'!$C$2:$C$100,MATCH($B344,'_角色基线'!$A$2:$A$100,0)),"")</x:f>
        <x:v>Support</x:v>
      </x:c>
      <x:c r="O344" s="4" t="n">
        <x:f>IFERROR(INDEX('_怪物基线'!$B$2:$B$501,MATCH(INT($L344),'_怪物基线'!$A$2:$A$501,0)),"")</x:f>
        <x:v>246867</x:v>
      </x:c>
      <x:c r="P344" s="4" t="n">
        <x:f>IFERROR(INDEX('_怪物基线'!$C$2:$C$501,MATCH(INT($L344),'_怪物基线'!$A$2:$A$501,0)),"")</x:f>
        <x:v>25972</x:v>
      </x:c>
      <x:c r="Q344" s="4" t="n">
        <x:f>IFERROR(INDEX('_怪物基线'!$D$2:$D$501,MATCH(INT($L344),'_怪物基线'!$A$2:$A$501,0)),"")</x:f>
        <x:v>23501</x:v>
      </x:c>
      <x:c r="R344" s="4" t="n">
        <x:f>'参数'!$B$10</x:f>
        <x:v>4</x:v>
      </x:c>
      <x:c r="S344" s="4" t="n">
        <x:f>'参数'!$C$10</x:f>
        <x:v>1.2</x:v>
      </x:c>
      <x:c r="T344" s="4" t="n">
        <x:f>'参数'!$D$10</x:f>
        <x:v>1</x:v>
      </x:c>
      <x:c r="U344" s="4" t="n">
        <x:f t="shared" si="35">IF($O344="","",$O344*$R344)</x:f>
        <x:v>987468</x:v>
      </x:c>
      <x:c r="V344" s="4" t="n">
        <x:f t="shared" si="36">IF($P344="","",$P344*$S344)</x:f>
        <x:v>31166.399999999998</x:v>
      </x:c>
      <x:c r="W344" s="4" t="n">
        <x:f t="shared" si="37">IF($Q344="","",$Q344*$T344)</x:f>
        <x:v>23501</x:v>
      </x:c>
      <x:c r="X344" s="4" t="n">
        <x:f>IFERROR(INDEX('参数'!$B$5:$B$7,MATCH($N344,'参数'!$A$5:$A$7,0)),"")</x:f>
        <x:v>1.25</x:v>
      </x:c>
      <x:c r="Y344" s="4" t="n">
        <x:f>IFERROR(INDEX('参数'!$C$5:$C$7,MATCH($N344,'参数'!$A$5:$A$7,0)),"")</x:f>
        <x:v>1</x:v>
      </x:c>
      <x:c r="Z344" s="4" t="n">
        <x:f>IFERROR(INDEX('参数'!$D$5:$D$7,MATCH($N344,'参数'!$A$5:$A$7,0)),"")</x:f>
        <x:v>1.25</x:v>
      </x:c>
      <x:c r="AA344" s="4" t="n">
        <x:f>IFERROR(INDEX('楼层配置'!$E$5:$E$104,MATCH($K344,'楼层配置'!$B$5:$B$104,0)),1)</x:f>
        <x:v>1.147877967489168</x:v>
      </x:c>
      <x:c r="AB344" s="4" t="n">
        <x:f>IFERROR(INDEX('楼层配置'!$F$5:$F$104,MATCH($K344,'楼层配置'!$B$5:$B$104,0)),1)</x:f>
        <x:v>0.6974713822189705</x:v>
      </x:c>
      <x:c r="AC344" s="4" t="n">
        <x:f>IFERROR(INDEX('楼层配置'!$G$5:$G$104,MATCH($K344,'楼层配置'!$B$5:$B$104,0)),1)</x:f>
        <x:v>1</x:v>
      </x:c>
      <x:c r="AD344" s="6" t="n">
        <x:f t="shared" si="38">IFERROR($D344/$G344-1,"")</x:f>
        <x:v>-0.32398464054719955</x:v>
      </x:c>
      <x:c r="AE344" s="6" t="n">
        <x:f t="shared" si="39">IFERROR($E344/$H344-1,"")</x:f>
        <x:v>-0.18477404837802358</x:v>
      </x:c>
      <x:c r="AF344" s="6" t="n">
        <x:f t="shared" si="40">IFERROR($F344/$I344-1,"")</x:f>
        <x:v>0.14072693383038204</x:v>
      </x:c>
      <x:c r="AG344" s="4" t="str">
        <x:f t="shared" si="41">IF(AND($A344&gt;=1,$L344&gt;=1,$L344&lt;=500,OR($N344="Tank",$N344="DPS",$N344="Support"),ISNUMBER($D344),ISNUMBER($E344),ISNUMBER($F344)),"有效","异常")</x:f>
        <x:v>有效</x:v>
      </x:c>
      <x:c r="AH344" t="n">
        <x:f>D344/(1-MIN(0.75,F344/(24000+F344)))</x:f>
        <x:v>3151109.984</x:v>
      </x:c>
    </x:row>
    <x:row r="345" ht="14.25" customHeight="1">
      <x:c r="A345" s="4">
        <x:v>341</x:v>
      </x:c>
      <x:c r="B345" s="4">
        <x:v>1004</x:v>
      </x:c>
      <x:c r="C345" s="4">
        <x:v>44</x:v>
      </x:c>
      <x:c r="D345" s="5" t="n">
        <x:f>IFERROR(ROUND($U345*$X345*$AA345*'参数'!$B$13,0),"")</x:f>
        <x:v>1729993</x:v>
      </x:c>
      <x:c r="E345" s="5" t="n">
        <x:f>IFERROR(ROUND($V345*$Y345*$AB345*'参数'!$C$13,0),"")</x:f>
        <x:v>22081</x:v>
      </x:c>
      <x:c r="F345" s="5" t="n">
        <x:f>IFERROR(ROUND($W345*$Z345*$AC345*'参数'!$D$13,0),"")</x:f>
        <x:v>35634</x:v>
      </x:c>
      <x:c r="G345" s="4">
        <x:v>2608920</x:v>
      </x:c>
      <x:c r="H345" s="4">
        <x:v>27390</x:v>
      </x:c>
      <x:c r="I345" s="4">
        <x:v>31489</x:v>
      </x:c>
      <x:c r="J345" s="4">
        <x:v>69</x:v>
      </x:c>
      <x:c r="K345" s="4">
        <x:v>69</x:v>
      </x:c>
      <x:c r="L345" s="4" t="n">
        <x:f>IFERROR(INDEX('楼层配置'!$D$5:$D$104,MATCH($K345,'楼层配置'!$B$5:$B$104,0)),"")</x:f>
        <x:v>236</x:v>
      </x:c>
      <x:c r="M345" s="4" t="str">
        <x:f>IFERROR(INDEX('_角色基线'!$B$2:$B$100,MATCH($B345,'_角色基线'!$A$2:$A$100,0)),"")</x:f>
        <x:v>阿芭</x:v>
      </x:c>
      <x:c r="N345" s="4" t="str">
        <x:f>IFERROR(INDEX('_角色基线'!$C$2:$C$100,MATCH($B345,'_角色基线'!$A$2:$A$100,0)),"")</x:f>
        <x:v>Tank</x:v>
      </x:c>
      <x:c r="O345" s="4" t="n">
        <x:f>IFERROR(INDEX('_怪物基线'!$B$2:$B$501,MATCH(INT($L345),'_怪物基线'!$A$2:$A$501,0)),"")</x:f>
        <x:v>252332</x:v>
      </x:c>
      <x:c r="P345" s="4" t="n">
        <x:f>IFERROR(INDEX('_怪物基线'!$C$2:$C$501,MATCH(INT($L345),'_怪物基线'!$A$2:$A$501,0)),"")</x:f>
        <x:v>26393</x:v>
      </x:c>
      <x:c r="Q345" s="4" t="n">
        <x:f>IFERROR(INDEX('_怪物基线'!$D$2:$D$501,MATCH(INT($L345),'_怪物基线'!$A$2:$A$501,0)),"")</x:f>
        <x:v>23756</x:v>
      </x:c>
      <x:c r="R345" s="4" t="n">
        <x:f>'参数'!$B$10</x:f>
        <x:v>4</x:v>
      </x:c>
      <x:c r="S345" s="4" t="n">
        <x:f>'参数'!$C$10</x:f>
        <x:v>1.2</x:v>
      </x:c>
      <x:c r="T345" s="4" t="n">
        <x:f>'参数'!$D$10</x:f>
        <x:v>1</x:v>
      </x:c>
      <x:c r="U345" s="4" t="n">
        <x:f t="shared" si="35">IF($O345="","",$O345*$R345)</x:f>
        <x:v>1009328</x:v>
      </x:c>
      <x:c r="V345" s="4" t="n">
        <x:f t="shared" si="36">IF($P345="","",$P345*$S345)</x:f>
        <x:v>31671.6</x:v>
      </x:c>
      <x:c r="W345" s="4" t="n">
        <x:f t="shared" si="37">IF($Q345="","",$Q345*$T345)</x:f>
        <x:v>23756</x:v>
      </x:c>
      <x:c r="X345" s="4" t="n">
        <x:f>IFERROR(INDEX('参数'!$B$5:$B$7,MATCH($N345,'参数'!$A$5:$A$7,0)),"")</x:f>
        <x:v>1.5</x:v>
      </x:c>
      <x:c r="Y345" s="4" t="n">
        <x:f>IFERROR(INDEX('参数'!$C$5:$C$7,MATCH($N345,'参数'!$A$5:$A$7,0)),"")</x:f>
        <x:v>1</x:v>
      </x:c>
      <x:c r="Z345" s="4" t="n">
        <x:f>IFERROR(INDEX('参数'!$D$5:$D$7,MATCH($N345,'参数'!$A$5:$A$7,0)),"")</x:f>
        <x:v>1.5</x:v>
      </x:c>
      <x:c r="AA345" s="4" t="n">
        <x:f>IFERROR(INDEX('楼层配置'!$E$5:$E$104,MATCH($K345,'楼层配置'!$B$5:$B$104,0)),1)</x:f>
        <x:v>1.1426697501647718</x:v>
      </x:c>
      <x:c r="AB345" s="4" t="n">
        <x:f>IFERROR(INDEX('楼层配置'!$F$5:$F$104,MATCH($K345,'楼层配置'!$B$5:$B$104,0)),1)</x:f>
        <x:v>0.6971931229020094</x:v>
      </x:c>
      <x:c r="AC345" s="4" t="n">
        <x:f>IFERROR(INDEX('楼层配置'!$G$5:$G$104,MATCH($K345,'楼层配置'!$B$5:$B$104,0)),1)</x:f>
        <x:v>1</x:v>
      </x:c>
      <x:c r="AD345" s="6" t="n">
        <x:f t="shared" si="38">IFERROR($D345/$G345-1,"")</x:f>
        <x:v>-0.33689304386489427</x:v>
      </x:c>
      <x:c r="AE345" s="6" t="n">
        <x:f t="shared" si="39">IFERROR($E345/$H345-1,"")</x:f>
        <x:v>-0.1938298649142023</x:v>
      </x:c>
      <x:c r="AF345" s="6" t="n">
        <x:f t="shared" si="40">IFERROR($F345/$I345-1,"")</x:f>
        <x:v>0.1316332687605195</x:v>
      </x:c>
      <x:c r="AG345" s="4" t="str">
        <x:f t="shared" si="41">IF(AND($A345&gt;=1,$L345&gt;=1,$L345&lt;=500,OR($N345="Tank",$N345="DPS",$N345="Support"),ISNUMBER($D345),ISNUMBER($E345),ISNUMBER($F345)),"有效","异常")</x:f>
        <x:v>有效</x:v>
      </x:c>
      <x:c r="AH345" t="n">
        <x:f>D345/(1-MIN(0.75,F345/(24000+F345)))</x:f>
        <x:v>4298600.106749999</x:v>
      </x:c>
    </x:row>
    <x:row r="346" ht="14.25" customHeight="1">
      <x:c r="A346" s="4">
        <x:v>342</x:v>
      </x:c>
      <x:c r="B346" s="4">
        <x:v>1007</x:v>
      </x:c>
      <x:c r="C346" s="4">
        <x:v>44</x:v>
      </x:c>
      <x:c r="D346" s="5" t="n">
        <x:f>IFERROR(ROUND($U346*$X346*$AA346*'参数'!$B$13,0),"")</x:f>
        <x:v>1441661</x:v>
      </x:c>
      <x:c r="E346" s="5" t="n">
        <x:f>IFERROR(ROUND($V346*$Y346*$AB346*'参数'!$C$13,0),"")</x:f>
        <x:v>22081</x:v>
      </x:c>
      <x:c r="F346" s="5" t="n">
        <x:f>IFERROR(ROUND($W346*$Z346*$AC346*'参数'!$D$13,0),"")</x:f>
        <x:v>29695</x:v>
      </x:c>
      <x:c r="G346" s="4">
        <x:v>2174100</x:v>
      </x:c>
      <x:c r="H346" s="4">
        <x:v>27390</x:v>
      </x:c>
      <x:c r="I346" s="4">
        <x:v>26241</x:v>
      </x:c>
      <x:c r="J346" s="4">
        <x:v>69</x:v>
      </x:c>
      <x:c r="K346" s="4">
        <x:v>69</x:v>
      </x:c>
      <x:c r="L346" s="4" t="n">
        <x:f>IFERROR(INDEX('楼层配置'!$D$5:$D$104,MATCH($K346,'楼层配置'!$B$5:$B$104,0)),"")</x:f>
        <x:v>236</x:v>
      </x:c>
      <x:c r="M346" s="4" t="str">
        <x:f>IFERROR(INDEX('_角色基线'!$B$2:$B$100,MATCH($B346,'_角色基线'!$A$2:$A$100,0)),"")</x:f>
        <x:v>萨萨莉安</x:v>
      </x:c>
      <x:c r="N346" s="4" t="str">
        <x:f>IFERROR(INDEX('_角色基线'!$C$2:$C$100,MATCH($B346,'_角色基线'!$A$2:$A$100,0)),"")</x:f>
        <x:v>Support</x:v>
      </x:c>
      <x:c r="O346" s="4" t="n">
        <x:f>IFERROR(INDEX('_怪物基线'!$B$2:$B$501,MATCH(INT($L346),'_怪物基线'!$A$2:$A$501,0)),"")</x:f>
        <x:v>252332</x:v>
      </x:c>
      <x:c r="P346" s="4" t="n">
        <x:f>IFERROR(INDEX('_怪物基线'!$C$2:$C$501,MATCH(INT($L346),'_怪物基线'!$A$2:$A$501,0)),"")</x:f>
        <x:v>26393</x:v>
      </x:c>
      <x:c r="Q346" s="4" t="n">
        <x:f>IFERROR(INDEX('_怪物基线'!$D$2:$D$501,MATCH(INT($L346),'_怪物基线'!$A$2:$A$501,0)),"")</x:f>
        <x:v>23756</x:v>
      </x:c>
      <x:c r="R346" s="4" t="n">
        <x:f>'参数'!$B$10</x:f>
        <x:v>4</x:v>
      </x:c>
      <x:c r="S346" s="4" t="n">
        <x:f>'参数'!$C$10</x:f>
        <x:v>1.2</x:v>
      </x:c>
      <x:c r="T346" s="4" t="n">
        <x:f>'参数'!$D$10</x:f>
        <x:v>1</x:v>
      </x:c>
      <x:c r="U346" s="4" t="n">
        <x:f t="shared" si="35">IF($O346="","",$O346*$R346)</x:f>
        <x:v>1009328</x:v>
      </x:c>
      <x:c r="V346" s="4" t="n">
        <x:f t="shared" si="36">IF($P346="","",$P346*$S346)</x:f>
        <x:v>31671.6</x:v>
      </x:c>
      <x:c r="W346" s="4" t="n">
        <x:f t="shared" si="37">IF($Q346="","",$Q346*$T346)</x:f>
        <x:v>23756</x:v>
      </x:c>
      <x:c r="X346" s="4" t="n">
        <x:f>IFERROR(INDEX('参数'!$B$5:$B$7,MATCH($N346,'参数'!$A$5:$A$7,0)),"")</x:f>
        <x:v>1.25</x:v>
      </x:c>
      <x:c r="Y346" s="4" t="n">
        <x:f>IFERROR(INDEX('参数'!$C$5:$C$7,MATCH($N346,'参数'!$A$5:$A$7,0)),"")</x:f>
        <x:v>1</x:v>
      </x:c>
      <x:c r="Z346" s="4" t="n">
        <x:f>IFERROR(INDEX('参数'!$D$5:$D$7,MATCH($N346,'参数'!$A$5:$A$7,0)),"")</x:f>
        <x:v>1.25</x:v>
      </x:c>
      <x:c r="AA346" s="4" t="n">
        <x:f>IFERROR(INDEX('楼层配置'!$E$5:$E$104,MATCH($K346,'楼层配置'!$B$5:$B$104,0)),1)</x:f>
        <x:v>1.1426697501647718</x:v>
      </x:c>
      <x:c r="AB346" s="4" t="n">
        <x:f>IFERROR(INDEX('楼层配置'!$F$5:$F$104,MATCH($K346,'楼层配置'!$B$5:$B$104,0)),1)</x:f>
        <x:v>0.6971931229020094</x:v>
      </x:c>
      <x:c r="AC346" s="4" t="n">
        <x:f>IFERROR(INDEX('楼层配置'!$G$5:$G$104,MATCH($K346,'楼层配置'!$B$5:$B$104,0)),1)</x:f>
        <x:v>1</x:v>
      </x:c>
      <x:c r="AD346" s="6" t="n">
        <x:f t="shared" si="38">IFERROR($D346/$G346-1,"")</x:f>
        <x:v>-0.3368929672048204</x:v>
      </x:c>
      <x:c r="AE346" s="6" t="n">
        <x:f t="shared" si="39">IFERROR($E346/$H346-1,"")</x:f>
        <x:v>-0.1938298649142023</x:v>
      </x:c>
      <x:c r="AF346" s="6" t="n">
        <x:f t="shared" si="40">IFERROR($F346/$I346-1,"")</x:f>
        <x:v>0.13162608132312026</x:v>
      </x:c>
      <x:c r="AG346" s="4" t="str">
        <x:f t="shared" si="41">IF(AND($A346&gt;=1,$L346&gt;=1,$L346&lt;=500,OR($N346="Tank",$N346="DPS",$N346="Support"),ISNUMBER($D346),ISNUMBER($E346),ISNUMBER($F346)),"有效","异常")</x:f>
        <x:v>有效</x:v>
      </x:c>
      <x:c r="AH346" t="n">
        <x:f>D346/(1-MIN(0.75,F346/(24000+F346)))</x:f>
        <x:v>3225416.1414583335</x:v>
      </x:c>
    </x:row>
    <x:row r="347" ht="14.25" customHeight="1">
      <x:c r="A347" s="4">
        <x:v>343</x:v>
      </x:c>
      <x:c r="B347" s="4">
        <x:v>1007</x:v>
      </x:c>
      <x:c r="C347" s="4">
        <x:v>44</x:v>
      </x:c>
      <x:c r="D347" s="5" t="n">
        <x:f>IFERROR(ROUND($U347*$X347*$AA347*'参数'!$B$13,0),"")</x:f>
        <x:v>1441661</x:v>
      </x:c>
      <x:c r="E347" s="5" t="n">
        <x:f>IFERROR(ROUND($V347*$Y347*$AB347*'参数'!$C$13,0),"")</x:f>
        <x:v>22081</x:v>
      </x:c>
      <x:c r="F347" s="5" t="n">
        <x:f>IFERROR(ROUND($W347*$Z347*$AC347*'参数'!$D$13,0),"")</x:f>
        <x:v>29695</x:v>
      </x:c>
      <x:c r="G347" s="4">
        <x:v>2174100</x:v>
      </x:c>
      <x:c r="H347" s="4">
        <x:v>27390</x:v>
      </x:c>
      <x:c r="I347" s="4">
        <x:v>26241</x:v>
      </x:c>
      <x:c r="J347" s="4">
        <x:v>69</x:v>
      </x:c>
      <x:c r="K347" s="4">
        <x:v>69</x:v>
      </x:c>
      <x:c r="L347" s="4" t="n">
        <x:f>IFERROR(INDEX('楼层配置'!$D$5:$D$104,MATCH($K347,'楼层配置'!$B$5:$B$104,0)),"")</x:f>
        <x:v>236</x:v>
      </x:c>
      <x:c r="M347" s="4" t="str">
        <x:f>IFERROR(INDEX('_角色基线'!$B$2:$B$100,MATCH($B347,'_角色基线'!$A$2:$A$100,0)),"")</x:f>
        <x:v>萨萨莉安</x:v>
      </x:c>
      <x:c r="N347" s="4" t="str">
        <x:f>IFERROR(INDEX('_角色基线'!$C$2:$C$100,MATCH($B347,'_角色基线'!$A$2:$A$100,0)),"")</x:f>
        <x:v>Support</x:v>
      </x:c>
      <x:c r="O347" s="4" t="n">
        <x:f>IFERROR(INDEX('_怪物基线'!$B$2:$B$501,MATCH(INT($L347),'_怪物基线'!$A$2:$A$501,0)),"")</x:f>
        <x:v>252332</x:v>
      </x:c>
      <x:c r="P347" s="4" t="n">
        <x:f>IFERROR(INDEX('_怪物基线'!$C$2:$C$501,MATCH(INT($L347),'_怪物基线'!$A$2:$A$501,0)),"")</x:f>
        <x:v>26393</x:v>
      </x:c>
      <x:c r="Q347" s="4" t="n">
        <x:f>IFERROR(INDEX('_怪物基线'!$D$2:$D$501,MATCH(INT($L347),'_怪物基线'!$A$2:$A$501,0)),"")</x:f>
        <x:v>23756</x:v>
      </x:c>
      <x:c r="R347" s="4" t="n">
        <x:f>'参数'!$B$10</x:f>
        <x:v>4</x:v>
      </x:c>
      <x:c r="S347" s="4" t="n">
        <x:f>'参数'!$C$10</x:f>
        <x:v>1.2</x:v>
      </x:c>
      <x:c r="T347" s="4" t="n">
        <x:f>'参数'!$D$10</x:f>
        <x:v>1</x:v>
      </x:c>
      <x:c r="U347" s="4" t="n">
        <x:f t="shared" si="35">IF($O347="","",$O347*$R347)</x:f>
        <x:v>1009328</x:v>
      </x:c>
      <x:c r="V347" s="4" t="n">
        <x:f t="shared" si="36">IF($P347="","",$P347*$S347)</x:f>
        <x:v>31671.6</x:v>
      </x:c>
      <x:c r="W347" s="4" t="n">
        <x:f t="shared" si="37">IF($Q347="","",$Q347*$T347)</x:f>
        <x:v>23756</x:v>
      </x:c>
      <x:c r="X347" s="4" t="n">
        <x:f>IFERROR(INDEX('参数'!$B$5:$B$7,MATCH($N347,'参数'!$A$5:$A$7,0)),"")</x:f>
        <x:v>1.25</x:v>
      </x:c>
      <x:c r="Y347" s="4" t="n">
        <x:f>IFERROR(INDEX('参数'!$C$5:$C$7,MATCH($N347,'参数'!$A$5:$A$7,0)),"")</x:f>
        <x:v>1</x:v>
      </x:c>
      <x:c r="Z347" s="4" t="n">
        <x:f>IFERROR(INDEX('参数'!$D$5:$D$7,MATCH($N347,'参数'!$A$5:$A$7,0)),"")</x:f>
        <x:v>1.25</x:v>
      </x:c>
      <x:c r="AA347" s="4" t="n">
        <x:f>IFERROR(INDEX('楼层配置'!$E$5:$E$104,MATCH($K347,'楼层配置'!$B$5:$B$104,0)),1)</x:f>
        <x:v>1.1426697501647718</x:v>
      </x:c>
      <x:c r="AB347" s="4" t="n">
        <x:f>IFERROR(INDEX('楼层配置'!$F$5:$F$104,MATCH($K347,'楼层配置'!$B$5:$B$104,0)),1)</x:f>
        <x:v>0.6971931229020094</x:v>
      </x:c>
      <x:c r="AC347" s="4" t="n">
        <x:f>IFERROR(INDEX('楼层配置'!$G$5:$G$104,MATCH($K347,'楼层配置'!$B$5:$B$104,0)),1)</x:f>
        <x:v>1</x:v>
      </x:c>
      <x:c r="AD347" s="6" t="n">
        <x:f t="shared" si="38">IFERROR($D347/$G347-1,"")</x:f>
        <x:v>-0.3368929672048204</x:v>
      </x:c>
      <x:c r="AE347" s="6" t="n">
        <x:f t="shared" si="39">IFERROR($E347/$H347-1,"")</x:f>
        <x:v>-0.1938298649142023</x:v>
      </x:c>
      <x:c r="AF347" s="6" t="n">
        <x:f t="shared" si="40">IFERROR($F347/$I347-1,"")</x:f>
        <x:v>0.13162608132312026</x:v>
      </x:c>
      <x:c r="AG347" s="4" t="str">
        <x:f t="shared" si="41">IF(AND($A347&gt;=1,$L347&gt;=1,$L347&lt;=500,OR($N347="Tank",$N347="DPS",$N347="Support"),ISNUMBER($D347),ISNUMBER($E347),ISNUMBER($F347)),"有效","异常")</x:f>
        <x:v>有效</x:v>
      </x:c>
      <x:c r="AH347" t="n">
        <x:f>D347/(1-MIN(0.75,F347/(24000+F347)))</x:f>
        <x:v>3225416.1414583335</x:v>
      </x:c>
    </x:row>
    <x:row r="348" ht="14.25" customHeight="1">
      <x:c r="A348" s="4">
        <x:v>344</x:v>
      </x:c>
      <x:c r="B348" s="4">
        <x:v>1008</x:v>
      </x:c>
      <x:c r="C348" s="4">
        <x:v>44</x:v>
      </x:c>
      <x:c r="D348" s="5" t="n">
        <x:f>IFERROR(ROUND($U348*$X348*$AA348*'参数'!$B$13,0),"")</x:f>
        <x:v>1153329</x:v>
      </x:c>
      <x:c r="E348" s="5" t="n">
        <x:f>IFERROR(ROUND($V348*$Y348*$AB348*'参数'!$C$13,0),"")</x:f>
        <x:v>26497</x:v>
      </x:c>
      <x:c r="F348" s="5" t="n">
        <x:f>IFERROR(ROUND($W348*$Z348*$AC348*'参数'!$D$13,0),"")</x:f>
        <x:v>23756</x:v>
      </x:c>
      <x:c r="G348" s="4">
        <x:v>1739280</x:v>
      </x:c>
      <x:c r="H348" s="4">
        <x:v>32868</x:v>
      </x:c>
      <x:c r="I348" s="4">
        <x:v>20992</x:v>
      </x:c>
      <x:c r="J348" s="4">
        <x:v>69</x:v>
      </x:c>
      <x:c r="K348" s="4">
        <x:v>69</x:v>
      </x:c>
      <x:c r="L348" s="4" t="n">
        <x:f>IFERROR(INDEX('楼层配置'!$D$5:$D$104,MATCH($K348,'楼层配置'!$B$5:$B$104,0)),"")</x:f>
        <x:v>236</x:v>
      </x:c>
      <x:c r="M348" s="4" t="str">
        <x:f>IFERROR(INDEX('_角色基线'!$B$2:$B$100,MATCH($B348,'_角色基线'!$A$2:$A$100,0)),"")</x:f>
        <x:v>薇</x:v>
      </x:c>
      <x:c r="N348" s="4" t="str">
        <x:f>IFERROR(INDEX('_角色基线'!$C$2:$C$100,MATCH($B348,'_角色基线'!$A$2:$A$100,0)),"")</x:f>
        <x:v>DPS</x:v>
      </x:c>
      <x:c r="O348" s="4" t="n">
        <x:f>IFERROR(INDEX('_怪物基线'!$B$2:$B$501,MATCH(INT($L348),'_怪物基线'!$A$2:$A$501,0)),"")</x:f>
        <x:v>252332</x:v>
      </x:c>
      <x:c r="P348" s="4" t="n">
        <x:f>IFERROR(INDEX('_怪物基线'!$C$2:$C$501,MATCH(INT($L348),'_怪物基线'!$A$2:$A$501,0)),"")</x:f>
        <x:v>26393</x:v>
      </x:c>
      <x:c r="Q348" s="4" t="n">
        <x:f>IFERROR(INDEX('_怪物基线'!$D$2:$D$501,MATCH(INT($L348),'_怪物基线'!$A$2:$A$501,0)),"")</x:f>
        <x:v>23756</x:v>
      </x:c>
      <x:c r="R348" s="4" t="n">
        <x:f>'参数'!$B$10</x:f>
        <x:v>4</x:v>
      </x:c>
      <x:c r="S348" s="4" t="n">
        <x:f>'参数'!$C$10</x:f>
        <x:v>1.2</x:v>
      </x:c>
      <x:c r="T348" s="4" t="n">
        <x:f>'参数'!$D$10</x:f>
        <x:v>1</x:v>
      </x:c>
      <x:c r="U348" s="4" t="n">
        <x:f t="shared" si="35">IF($O348="","",$O348*$R348)</x:f>
        <x:v>1009328</x:v>
      </x:c>
      <x:c r="V348" s="4" t="n">
        <x:f t="shared" si="36">IF($P348="","",$P348*$S348)</x:f>
        <x:v>31671.6</x:v>
      </x:c>
      <x:c r="W348" s="4" t="n">
        <x:f t="shared" si="37">IF($Q348="","",$Q348*$T348)</x:f>
        <x:v>23756</x:v>
      </x:c>
      <x:c r="X348" s="4" t="n">
        <x:f>IFERROR(INDEX('参数'!$B$5:$B$7,MATCH($N348,'参数'!$A$5:$A$7,0)),"")</x:f>
        <x:v>1</x:v>
      </x:c>
      <x:c r="Y348" s="4" t="n">
        <x:f>IFERROR(INDEX('参数'!$C$5:$C$7,MATCH($N348,'参数'!$A$5:$A$7,0)),"")</x:f>
        <x:v>1.2</x:v>
      </x:c>
      <x:c r="Z348" s="4" t="n">
        <x:f>IFERROR(INDEX('参数'!$D$5:$D$7,MATCH($N348,'参数'!$A$5:$A$7,0)),"")</x:f>
        <x:v>1</x:v>
      </x:c>
      <x:c r="AA348" s="4" t="n">
        <x:f>IFERROR(INDEX('楼层配置'!$E$5:$E$104,MATCH($K348,'楼层配置'!$B$5:$B$104,0)),1)</x:f>
        <x:v>1.1426697501647718</x:v>
      </x:c>
      <x:c r="AB348" s="4" t="n">
        <x:f>IFERROR(INDEX('楼层配置'!$F$5:$F$104,MATCH($K348,'楼层配置'!$B$5:$B$104,0)),1)</x:f>
        <x:v>0.6971931229020094</x:v>
      </x:c>
      <x:c r="AC348" s="4" t="n">
        <x:f>IFERROR(INDEX('楼层配置'!$G$5:$G$104,MATCH($K348,'楼层配置'!$B$5:$B$104,0)),1)</x:f>
        <x:v>1</x:v>
      </x:c>
      <x:c r="AD348" s="6" t="n">
        <x:f t="shared" si="38">IFERROR($D348/$G348-1,"")</x:f>
        <x:v>-0.33689285221470955</x:v>
      </x:c>
      <x:c r="AE348" s="6" t="n">
        <x:f t="shared" si="39">IFERROR($E348/$H348-1,"")</x:f>
        <x:v>-0.19383594986004626</x:v>
      </x:c>
      <x:c r="AF348" s="6" t="n">
        <x:f t="shared" si="40">IFERROR($F348/$I348-1,"")</x:f>
        <x:v>0.1316692073170731</x:v>
      </x:c>
      <x:c r="AG348" s="4" t="str">
        <x:f t="shared" si="41">IF(AND($A348&gt;=1,$L348&gt;=1,$L348&lt;=500,OR($N348="Tank",$N348="DPS",$N348="Support"),ISNUMBER($D348),ISNUMBER($E348),ISNUMBER($F348)),"有效","异常")</x:f>
        <x:v>有效</x:v>
      </x:c>
      <x:c r="AH348" t="n">
        <x:f>D348/(1-MIN(0.75,F348/(24000+F348)))</x:f>
        <x:v>2294932.4885</x:v>
      </x:c>
    </x:row>
    <x:row r="349" ht="14.25" customHeight="1">
      <x:c r="A349" s="4">
        <x:v>345</x:v>
      </x:c>
      <x:c r="B349" s="4">
        <x:v>1021</x:v>
      </x:c>
      <x:c r="C349" s="4">
        <x:v>44</x:v>
      </x:c>
      <x:c r="D349" s="5" t="n">
        <x:f>IFERROR(ROUND($U349*$X349*$AA349*'参数'!$B$13,0),"")</x:f>
        <x:v>1153329</x:v>
      </x:c>
      <x:c r="E349" s="5" t="n">
        <x:f>IFERROR(ROUND($V349*$Y349*$AB349*'参数'!$C$13,0),"")</x:f>
        <x:v>26497</x:v>
      </x:c>
      <x:c r="F349" s="5" t="n">
        <x:f>IFERROR(ROUND($W349*$Z349*$AC349*'参数'!$D$13,0),"")</x:f>
        <x:v>23756</x:v>
      </x:c>
      <x:c r="G349" s="4">
        <x:v>1739280</x:v>
      </x:c>
      <x:c r="H349" s="4">
        <x:v>32868</x:v>
      </x:c>
      <x:c r="I349" s="4">
        <x:v>20992</x:v>
      </x:c>
      <x:c r="J349" s="4">
        <x:v>69</x:v>
      </x:c>
      <x:c r="K349" s="4">
        <x:v>69</x:v>
      </x:c>
      <x:c r="L349" s="4" t="n">
        <x:f>IFERROR(INDEX('楼层配置'!$D$5:$D$104,MATCH($K349,'楼层配置'!$B$5:$B$104,0)),"")</x:f>
        <x:v>236</x:v>
      </x:c>
      <x:c r="M349" s="4" t="str">
        <x:f>IFERROR(INDEX('_角色基线'!$B$2:$B$100,MATCH($B349,'_角色基线'!$A$2:$A$100,0)),"")</x:f>
        <x:v>梅梅</x:v>
      </x:c>
      <x:c r="N349" s="4" t="str">
        <x:f>IFERROR(INDEX('_角色基线'!$C$2:$C$100,MATCH($B349,'_角色基线'!$A$2:$A$100,0)),"")</x:f>
        <x:v>DPS</x:v>
      </x:c>
      <x:c r="O349" s="4" t="n">
        <x:f>IFERROR(INDEX('_怪物基线'!$B$2:$B$501,MATCH(INT($L349),'_怪物基线'!$A$2:$A$501,0)),"")</x:f>
        <x:v>252332</x:v>
      </x:c>
      <x:c r="P349" s="4" t="n">
        <x:f>IFERROR(INDEX('_怪物基线'!$C$2:$C$501,MATCH(INT($L349),'_怪物基线'!$A$2:$A$501,0)),"")</x:f>
        <x:v>26393</x:v>
      </x:c>
      <x:c r="Q349" s="4" t="n">
        <x:f>IFERROR(INDEX('_怪物基线'!$D$2:$D$501,MATCH(INT($L349),'_怪物基线'!$A$2:$A$501,0)),"")</x:f>
        <x:v>23756</x:v>
      </x:c>
      <x:c r="R349" s="4" t="n">
        <x:f>'参数'!$B$10</x:f>
        <x:v>4</x:v>
      </x:c>
      <x:c r="S349" s="4" t="n">
        <x:f>'参数'!$C$10</x:f>
        <x:v>1.2</x:v>
      </x:c>
      <x:c r="T349" s="4" t="n">
        <x:f>'参数'!$D$10</x:f>
        <x:v>1</x:v>
      </x:c>
      <x:c r="U349" s="4" t="n">
        <x:f t="shared" si="35">IF($O349="","",$O349*$R349)</x:f>
        <x:v>1009328</x:v>
      </x:c>
      <x:c r="V349" s="4" t="n">
        <x:f t="shared" si="36">IF($P349="","",$P349*$S349)</x:f>
        <x:v>31671.6</x:v>
      </x:c>
      <x:c r="W349" s="4" t="n">
        <x:f t="shared" si="37">IF($Q349="","",$Q349*$T349)</x:f>
        <x:v>23756</x:v>
      </x:c>
      <x:c r="X349" s="4" t="n">
        <x:f>IFERROR(INDEX('参数'!$B$5:$B$7,MATCH($N349,'参数'!$A$5:$A$7,0)),"")</x:f>
        <x:v>1</x:v>
      </x:c>
      <x:c r="Y349" s="4" t="n">
        <x:f>IFERROR(INDEX('参数'!$C$5:$C$7,MATCH($N349,'参数'!$A$5:$A$7,0)),"")</x:f>
        <x:v>1.2</x:v>
      </x:c>
      <x:c r="Z349" s="4" t="n">
        <x:f>IFERROR(INDEX('参数'!$D$5:$D$7,MATCH($N349,'参数'!$A$5:$A$7,0)),"")</x:f>
        <x:v>1</x:v>
      </x:c>
      <x:c r="AA349" s="4" t="n">
        <x:f>IFERROR(INDEX('楼层配置'!$E$5:$E$104,MATCH($K349,'楼层配置'!$B$5:$B$104,0)),1)</x:f>
        <x:v>1.1426697501647718</x:v>
      </x:c>
      <x:c r="AB349" s="4" t="n">
        <x:f>IFERROR(INDEX('楼层配置'!$F$5:$F$104,MATCH($K349,'楼层配置'!$B$5:$B$104,0)),1)</x:f>
        <x:v>0.6971931229020094</x:v>
      </x:c>
      <x:c r="AC349" s="4" t="n">
        <x:f>IFERROR(INDEX('楼层配置'!$G$5:$G$104,MATCH($K349,'楼层配置'!$B$5:$B$104,0)),1)</x:f>
        <x:v>1</x:v>
      </x:c>
      <x:c r="AD349" s="6" t="n">
        <x:f t="shared" si="38">IFERROR($D349/$G349-1,"")</x:f>
        <x:v>-0.33689285221470955</x:v>
      </x:c>
      <x:c r="AE349" s="6" t="n">
        <x:f t="shared" si="39">IFERROR($E349/$H349-1,"")</x:f>
        <x:v>-0.19383594986004626</x:v>
      </x:c>
      <x:c r="AF349" s="6" t="n">
        <x:f t="shared" si="40">IFERROR($F349/$I349-1,"")</x:f>
        <x:v>0.1316692073170731</x:v>
      </x:c>
      <x:c r="AG349" s="4" t="str">
        <x:f t="shared" si="41">IF(AND($A349&gt;=1,$L349&gt;=1,$L349&lt;=500,OR($N349="Tank",$N349="DPS",$N349="Support"),ISNUMBER($D349),ISNUMBER($E349),ISNUMBER($F349)),"有效","异常")</x:f>
        <x:v>有效</x:v>
      </x:c>
      <x:c r="AH349" t="n">
        <x:f>D349/(1-MIN(0.75,F349/(24000+F349)))</x:f>
        <x:v>2294932.4885</x:v>
      </x:c>
    </x:row>
    <x:row r="350" ht="14.25" customHeight="1">
      <x:c r="A350" s="4">
        <x:v>346</x:v>
      </x:c>
      <x:c r="B350" s="4">
        <x:v>1003</x:v>
      </x:c>
      <x:c r="C350" s="4">
        <x:v>45</x:v>
      </x:c>
      <x:c r="D350" s="5" t="n">
        <x:f>IFERROR(ROUND($U350*$X350*$AA350*'参数'!$B$13,0),"")</x:f>
        <x:v>1773614</x:v>
      </x:c>
      <x:c r="E350" s="5" t="n">
        <x:f>IFERROR(ROUND($V350*$Y350*$AB350*'参数'!$C$13,0),"")</x:f>
        <x:v>22512</x:v>
      </x:c>
      <x:c r="F350" s="5" t="n">
        <x:f>IFERROR(ROUND($W350*$Z350*$AC350*'参数'!$D$13,0),"")</x:f>
        <x:v>36017</x:v>
      </x:c>
      <x:c r="G350" s="4">
        <x:v>2705299</x:v>
      </x:c>
      <x:c r="H350" s="4">
        <x:v>28132</x:v>
      </x:c>
      <x:c r="I350" s="4">
        <x:v>32079</x:v>
      </x:c>
      <x:c r="J350" s="4">
        <x:v>70</x:v>
      </x:c>
      <x:c r="K350" s="4">
        <x:v>70</x:v>
      </x:c>
      <x:c r="L350" s="4" t="n">
        <x:f>IFERROR(INDEX('楼层配置'!$D$5:$D$104,MATCH($K350,'楼层配置'!$B$5:$B$104,0)),"")</x:f>
        <x:v>238</x:v>
      </x:c>
      <x:c r="M350" s="4" t="str">
        <x:f>IFERROR(INDEX('_角色基线'!$B$2:$B$100,MATCH($B350,'_角色基线'!$A$2:$A$100,0)),"")</x:f>
        <x:v>塔拉夏</x:v>
      </x:c>
      <x:c r="N350" s="4" t="str">
        <x:f>IFERROR(INDEX('_角色基线'!$C$2:$C$100,MATCH($B350,'_角色基线'!$A$2:$A$100,0)),"")</x:f>
        <x:v>Tank</x:v>
      </x:c>
      <x:c r="O350" s="4" t="n">
        <x:f>IFERROR(INDEX('_怪物基线'!$B$2:$B$501,MATCH(INT($L350),'_怪物基线'!$A$2:$A$501,0)),"")</x:f>
        <x:v>257887</x:v>
      </x:c>
      <x:c r="P350" s="4" t="n">
        <x:f>IFERROR(INDEX('_怪物基线'!$C$2:$C$501,MATCH(INT($L350),'_怪物基线'!$A$2:$A$501,0)),"")</x:f>
        <x:v>26819</x:v>
      </x:c>
      <x:c r="Q350" s="4" t="n">
        <x:f>IFERROR(INDEX('_怪物基线'!$D$2:$D$501,MATCH(INT($L350),'_怪物基线'!$A$2:$A$501,0)),"")</x:f>
        <x:v>24011</x:v>
      </x:c>
      <x:c r="R350" s="4" t="n">
        <x:f>'参数'!$B$10</x:f>
        <x:v>4</x:v>
      </x:c>
      <x:c r="S350" s="4" t="n">
        <x:f>'参数'!$C$10</x:f>
        <x:v>1.2</x:v>
      </x:c>
      <x:c r="T350" s="4" t="n">
        <x:f>'参数'!$D$10</x:f>
        <x:v>1</x:v>
      </x:c>
      <x:c r="U350" s="4" t="n">
        <x:f t="shared" si="35">IF($O350="","",$O350*$R350)</x:f>
        <x:v>1031548</x:v>
      </x:c>
      <x:c r="V350" s="4" t="n">
        <x:f t="shared" si="36">IF($P350="","",$P350*$S350)</x:f>
        <x:v>32182.8</x:v>
      </x:c>
      <x:c r="W350" s="4" t="n">
        <x:f t="shared" si="37">IF($Q350="","",$Q350*$T350)</x:f>
        <x:v>24011</x:v>
      </x:c>
      <x:c r="X350" s="4" t="n">
        <x:f>IFERROR(INDEX('参数'!$B$5:$B$7,MATCH($N350,'参数'!$A$5:$A$7,0)),"")</x:f>
        <x:v>1.5</x:v>
      </x:c>
      <x:c r="Y350" s="4" t="n">
        <x:f>IFERROR(INDEX('参数'!$C$5:$C$7,MATCH($N350,'参数'!$A$5:$A$7,0)),"")</x:f>
        <x:v>1</x:v>
      </x:c>
      <x:c r="Z350" s="4" t="n">
        <x:f>IFERROR(INDEX('参数'!$D$5:$D$7,MATCH($N350,'参数'!$A$5:$A$7,0)),"")</x:f>
        <x:v>1.5</x:v>
      </x:c>
      <x:c r="AA350" s="4" t="n">
        <x:f>IFERROR(INDEX('楼层配置'!$E$5:$E$104,MATCH($K350,'楼层配置'!$B$5:$B$104,0)),1)</x:f>
        <x:v>1.1462474158732046</x:v>
      </x:c>
      <x:c r="AB350" s="4" t="n">
        <x:f>IFERROR(INDEX('楼层配置'!$F$5:$F$104,MATCH($K350,'楼层配置'!$B$5:$B$104,0)),1)</x:f>
        <x:v>0.6994928201498182</x:v>
      </x:c>
      <x:c r="AC350" s="4" t="n">
        <x:f>IFERROR(INDEX('楼层配置'!$G$5:$G$104,MATCH($K350,'楼层配置'!$B$5:$B$104,0)),1)</x:f>
        <x:v>1</x:v>
      </x:c>
      <x:c r="AD350" s="6" t="n">
        <x:f t="shared" si="38">IFERROR($D350/$G350-1,"")</x:f>
        <x:v>-0.34439261612117555</x:v>
      </x:c>
      <x:c r="AE350" s="6" t="n">
        <x:f t="shared" si="39">IFERROR($E350/$H350-1,"")</x:f>
        <x:v>-0.1997725010664012</x:v>
      </x:c>
      <x:c r="AF350" s="6" t="n">
        <x:f t="shared" si="40">IFERROR($F350/$I350-1,"")</x:f>
        <x:v>0.1227594376383303</x:v>
      </x:c>
      <x:c r="AG350" s="4" t="str">
        <x:f t="shared" si="41">IF(AND($A350&gt;=1,$L350&gt;=1,$L350&lt;=500,OR($N350="Tank",$N350="DPS",$N350="Support"),ISNUMBER($D350),ISNUMBER($E350),ISNUMBER($F350)),"有效","异常")</x:f>
        <x:v>有效</x:v>
      </x:c>
      <x:c r="AH350" t="n">
        <x:f>D350/(1-MIN(0.75,F350/(24000+F350)))</x:f>
        <x:v>4435291.309916667</x:v>
      </x:c>
    </x:row>
    <x:row r="351" ht="14.25" customHeight="1">
      <x:c r="A351" s="4">
        <x:v>347</x:v>
      </x:c>
      <x:c r="B351" s="4">
        <x:v>1017</x:v>
      </x:c>
      <x:c r="C351" s="4">
        <x:v>45</x:v>
      </x:c>
      <x:c r="D351" s="5" t="n">
        <x:f>IFERROR(ROUND($U351*$X351*$AA351*'参数'!$B$13,0),"")</x:f>
        <x:v>1182409</x:v>
      </x:c>
      <x:c r="E351" s="5" t="n">
        <x:f>IFERROR(ROUND($V351*$Y351*$AB351*'参数'!$C$13,0),"")</x:f>
        <x:v>27014</x:v>
      </x:c>
      <x:c r="F351" s="5" t="n">
        <x:f>IFERROR(ROUND($W351*$Z351*$AC351*'参数'!$D$13,0),"")</x:f>
        <x:v>24011</x:v>
      </x:c>
      <x:c r="G351" s="4">
        <x:v>1803532</x:v>
      </x:c>
      <x:c r="H351" s="4">
        <x:v>33758</x:v>
      </x:c>
      <x:c r="I351" s="4">
        <x:v>21386</x:v>
      </x:c>
      <x:c r="J351" s="4">
        <x:v>70</x:v>
      </x:c>
      <x:c r="K351" s="4">
        <x:v>70</x:v>
      </x:c>
      <x:c r="L351" s="4" t="n">
        <x:f>IFERROR(INDEX('楼层配置'!$D$5:$D$104,MATCH($K351,'楼层配置'!$B$5:$B$104,0)),"")</x:f>
        <x:v>238</x:v>
      </x:c>
      <x:c r="M351" s="4" t="str">
        <x:f>IFERROR(INDEX('_角色基线'!$B$2:$B$100,MATCH($B351,'_角色基线'!$A$2:$A$100,0)),"")</x:f>
        <x:v>伊戈尔</x:v>
      </x:c>
      <x:c r="N351" s="4" t="str">
        <x:f>IFERROR(INDEX('_角色基线'!$C$2:$C$100,MATCH($B351,'_角色基线'!$A$2:$A$100,0)),"")</x:f>
        <x:v>DPS</x:v>
      </x:c>
      <x:c r="O351" s="4" t="n">
        <x:f>IFERROR(INDEX('_怪物基线'!$B$2:$B$501,MATCH(INT($L351),'_怪物基线'!$A$2:$A$501,0)),"")</x:f>
        <x:v>257887</x:v>
      </x:c>
      <x:c r="P351" s="4" t="n">
        <x:f>IFERROR(INDEX('_怪物基线'!$C$2:$C$501,MATCH(INT($L351),'_怪物基线'!$A$2:$A$501,0)),"")</x:f>
        <x:v>26819</x:v>
      </x:c>
      <x:c r="Q351" s="4" t="n">
        <x:f>IFERROR(INDEX('_怪物基线'!$D$2:$D$501,MATCH(INT($L351),'_怪物基线'!$A$2:$A$501,0)),"")</x:f>
        <x:v>24011</x:v>
      </x:c>
      <x:c r="R351" s="4" t="n">
        <x:f>'参数'!$B$10</x:f>
        <x:v>4</x:v>
      </x:c>
      <x:c r="S351" s="4" t="n">
        <x:f>'参数'!$C$10</x:f>
        <x:v>1.2</x:v>
      </x:c>
      <x:c r="T351" s="4" t="n">
        <x:f>'参数'!$D$10</x:f>
        <x:v>1</x:v>
      </x:c>
      <x:c r="U351" s="4" t="n">
        <x:f t="shared" si="35">IF($O351="","",$O351*$R351)</x:f>
        <x:v>1031548</x:v>
      </x:c>
      <x:c r="V351" s="4" t="n">
        <x:f t="shared" si="36">IF($P351="","",$P351*$S351)</x:f>
        <x:v>32182.8</x:v>
      </x:c>
      <x:c r="W351" s="4" t="n">
        <x:f t="shared" si="37">IF($Q351="","",$Q351*$T351)</x:f>
        <x:v>24011</x:v>
      </x:c>
      <x:c r="X351" s="4" t="n">
        <x:f>IFERROR(INDEX('参数'!$B$5:$B$7,MATCH($N351,'参数'!$A$5:$A$7,0)),"")</x:f>
        <x:v>1</x:v>
      </x:c>
      <x:c r="Y351" s="4" t="n">
        <x:f>IFERROR(INDEX('参数'!$C$5:$C$7,MATCH($N351,'参数'!$A$5:$A$7,0)),"")</x:f>
        <x:v>1.2</x:v>
      </x:c>
      <x:c r="Z351" s="4" t="n">
        <x:f>IFERROR(INDEX('参数'!$D$5:$D$7,MATCH($N351,'参数'!$A$5:$A$7,0)),"")</x:f>
        <x:v>1</x:v>
      </x:c>
      <x:c r="AA351" s="4" t="n">
        <x:f>IFERROR(INDEX('楼层配置'!$E$5:$E$104,MATCH($K351,'楼层配置'!$B$5:$B$104,0)),1)</x:f>
        <x:v>1.1462474158732046</x:v>
      </x:c>
      <x:c r="AB351" s="4" t="n">
        <x:f>IFERROR(INDEX('楼层配置'!$F$5:$F$104,MATCH($K351,'楼层配置'!$B$5:$B$104,0)),1)</x:f>
        <x:v>0.6994928201498182</x:v>
      </x:c>
      <x:c r="AC351" s="4" t="n">
        <x:f>IFERROR(INDEX('楼层配置'!$G$5:$G$104,MATCH($K351,'楼层配置'!$B$5:$B$104,0)),1)</x:f>
        <x:v>1</x:v>
      </x:c>
      <x:c r="AD351" s="6" t="n">
        <x:f t="shared" si="38">IFERROR($D351/$G351-1,"")</x:f>
        <x:v>-0.34439255860167717</x:v>
      </x:c>
      <x:c r="AE351" s="6" t="n">
        <x:f t="shared" si="39">IFERROR($E351/$H351-1,"")</x:f>
        <x:v>-0.1997748681793945</x:v>
      </x:c>
      <x:c r="AF351" s="6" t="n">
        <x:f t="shared" si="40">IFERROR($F351/$I351-1,"")</x:f>
        <x:v>0.12274385111755359</x:v>
      </x:c>
      <x:c r="AG351" s="4" t="str">
        <x:f t="shared" si="41">IF(AND($A351&gt;=1,$L351&gt;=1,$L351&lt;=500,OR($N351="Tank",$N351="DPS",$N351="Support"),ISNUMBER($D351),ISNUMBER($E351),ISNUMBER($F351)),"有效","异常")</x:f>
        <x:v>有效</x:v>
      </x:c>
      <x:c r="AH351" t="n">
        <x:f>D351/(1-MIN(0.75,F351/(24000+F351)))</x:f>
        <x:v>2365359.937458333</x:v>
      </x:c>
    </x:row>
    <x:row r="352" ht="14.25" customHeight="1">
      <x:c r="A352" s="4">
        <x:v>348</x:v>
      </x:c>
      <x:c r="B352" s="4">
        <x:v>1015</x:v>
      </x:c>
      <x:c r="C352" s="4">
        <x:v>45</x:v>
      </x:c>
      <x:c r="D352" s="5" t="n">
        <x:f>IFERROR(ROUND($U352*$X352*$AA352*'参数'!$B$13,0),"")</x:f>
        <x:v>1478012</x:v>
      </x:c>
      <x:c r="E352" s="5" t="n">
        <x:f>IFERROR(ROUND($V352*$Y352*$AB352*'参数'!$C$13,0),"")</x:f>
        <x:v>22512</x:v>
      </x:c>
      <x:c r="F352" s="5" t="n">
        <x:f>IFERROR(ROUND($W352*$Z352*$AC352*'参数'!$D$13,0),"")</x:f>
        <x:v>30014</x:v>
      </x:c>
      <x:c r="G352" s="4">
        <x:v>2254416</x:v>
      </x:c>
      <x:c r="H352" s="4">
        <x:v>28132</x:v>
      </x:c>
      <x:c r="I352" s="4">
        <x:v>26733</x:v>
      </x:c>
      <x:c r="J352" s="4">
        <x:v>70</x:v>
      </x:c>
      <x:c r="K352" s="4">
        <x:v>70</x:v>
      </x:c>
      <x:c r="L352" s="4" t="n">
        <x:f>IFERROR(INDEX('楼层配置'!$D$5:$D$104,MATCH($K352,'楼层配置'!$B$5:$B$104,0)),"")</x:f>
        <x:v>238</x:v>
      </x:c>
      <x:c r="M352" s="4" t="str">
        <x:f>IFERROR(INDEX('_角色基线'!$B$2:$B$100,MATCH($B352,'_角色基线'!$A$2:$A$100,0)),"")</x:f>
        <x:v>阿莱克西娅</x:v>
      </x:c>
      <x:c r="N352" s="4" t="str">
        <x:f>IFERROR(INDEX('_角色基线'!$C$2:$C$100,MATCH($B352,'_角色基线'!$A$2:$A$100,0)),"")</x:f>
        <x:v>Support</x:v>
      </x:c>
      <x:c r="O352" s="4" t="n">
        <x:f>IFERROR(INDEX('_怪物基线'!$B$2:$B$501,MATCH(INT($L352),'_怪物基线'!$A$2:$A$501,0)),"")</x:f>
        <x:v>257887</x:v>
      </x:c>
      <x:c r="P352" s="4" t="n">
        <x:f>IFERROR(INDEX('_怪物基线'!$C$2:$C$501,MATCH(INT($L352),'_怪物基线'!$A$2:$A$501,0)),"")</x:f>
        <x:v>26819</x:v>
      </x:c>
      <x:c r="Q352" s="4" t="n">
        <x:f>IFERROR(INDEX('_怪物基线'!$D$2:$D$501,MATCH(INT($L352),'_怪物基线'!$A$2:$A$501,0)),"")</x:f>
        <x:v>24011</x:v>
      </x:c>
      <x:c r="R352" s="4" t="n">
        <x:f>'参数'!$B$10</x:f>
        <x:v>4</x:v>
      </x:c>
      <x:c r="S352" s="4" t="n">
        <x:f>'参数'!$C$10</x:f>
        <x:v>1.2</x:v>
      </x:c>
      <x:c r="T352" s="4" t="n">
        <x:f>'参数'!$D$10</x:f>
        <x:v>1</x:v>
      </x:c>
      <x:c r="U352" s="4" t="n">
        <x:f t="shared" si="35">IF($O352="","",$O352*$R352)</x:f>
        <x:v>1031548</x:v>
      </x:c>
      <x:c r="V352" s="4" t="n">
        <x:f t="shared" si="36">IF($P352="","",$P352*$S352)</x:f>
        <x:v>32182.8</x:v>
      </x:c>
      <x:c r="W352" s="4" t="n">
        <x:f t="shared" si="37">IF($Q352="","",$Q352*$T352)</x:f>
        <x:v>24011</x:v>
      </x:c>
      <x:c r="X352" s="4" t="n">
        <x:f>IFERROR(INDEX('参数'!$B$5:$B$7,MATCH($N352,'参数'!$A$5:$A$7,0)),"")</x:f>
        <x:v>1.25</x:v>
      </x:c>
      <x:c r="Y352" s="4" t="n">
        <x:f>IFERROR(INDEX('参数'!$C$5:$C$7,MATCH($N352,'参数'!$A$5:$A$7,0)),"")</x:f>
        <x:v>1</x:v>
      </x:c>
      <x:c r="Z352" s="4" t="n">
        <x:f>IFERROR(INDEX('参数'!$D$5:$D$7,MATCH($N352,'参数'!$A$5:$A$7,0)),"")</x:f>
        <x:v>1.25</x:v>
      </x:c>
      <x:c r="AA352" s="4" t="n">
        <x:f>IFERROR(INDEX('楼层配置'!$E$5:$E$104,MATCH($K352,'楼层配置'!$B$5:$B$104,0)),1)</x:f>
        <x:v>1.1462474158732046</x:v>
      </x:c>
      <x:c r="AB352" s="4" t="n">
        <x:f>IFERROR(INDEX('楼层配置'!$F$5:$F$104,MATCH($K352,'楼层配置'!$B$5:$B$104,0)),1)</x:f>
        <x:v>0.6994928201498182</x:v>
      </x:c>
      <x:c r="AC352" s="4" t="n">
        <x:f>IFERROR(INDEX('楼层配置'!$G$5:$G$104,MATCH($K352,'楼层配置'!$B$5:$B$104,0)),1)</x:f>
        <x:v>1</x:v>
      </x:c>
      <x:c r="AD352" s="6" t="n">
        <x:f t="shared" si="38">IFERROR($D352/$G352-1,"")</x:f>
        <x:v>-0.34439251673160587</x:v>
      </x:c>
      <x:c r="AE352" s="6" t="n">
        <x:f t="shared" si="39">IFERROR($E352/$H352-1,"")</x:f>
        <x:v>-0.1997725010664012</x:v>
      </x:c>
      <x:c r="AF352" s="6" t="n">
        <x:f t="shared" si="40">IFERROR($F352/$I352-1,"")</x:f>
        <x:v>0.12273220364343684</x:v>
      </x:c>
      <x:c r="AG352" s="4" t="str">
        <x:f t="shared" si="41">IF(AND($A352&gt;=1,$L352&gt;=1,$L352&lt;=500,OR($N352="Tank",$N352="DPS",$N352="Support"),ISNUMBER($D352),ISNUMBER($E352),ISNUMBER($F352)),"有效","异常")</x:f>
        <x:v>有效</x:v>
      </x:c>
      <x:c r="AH352" t="n">
        <x:f>D352/(1-MIN(0.75,F352/(24000+F352)))</x:f>
        <x:v>3326389.173666667</x:v>
      </x:c>
    </x:row>
    <x:row r="353" ht="14.25" customHeight="1">
      <x:c r="A353" s="4">
        <x:v>349</x:v>
      </x:c>
      <x:c r="B353" s="4">
        <x:v>1026</x:v>
      </x:c>
      <x:c r="C353" s="4">
        <x:v>45</x:v>
      </x:c>
      <x:c r="D353" s="5" t="n">
        <x:f>IFERROR(ROUND($U353*$X353*$AA353*'参数'!$B$13,0),"")</x:f>
        <x:v>1182409</x:v>
      </x:c>
      <x:c r="E353" s="5" t="n">
        <x:f>IFERROR(ROUND($V353*$Y353*$AB353*'参数'!$C$13,0),"")</x:f>
        <x:v>27014</x:v>
      </x:c>
      <x:c r="F353" s="5" t="n">
        <x:f>IFERROR(ROUND($W353*$Z353*$AC353*'参数'!$D$13,0),"")</x:f>
        <x:v>24011</x:v>
      </x:c>
      <x:c r="G353" s="4">
        <x:v>1803532</x:v>
      </x:c>
      <x:c r="H353" s="4">
        <x:v>33758</x:v>
      </x:c>
      <x:c r="I353" s="4">
        <x:v>21386</x:v>
      </x:c>
      <x:c r="J353" s="4">
        <x:v>70</x:v>
      </x:c>
      <x:c r="K353" s="4">
        <x:v>70</x:v>
      </x:c>
      <x:c r="L353" s="4" t="n">
        <x:f>IFERROR(INDEX('楼层配置'!$D$5:$D$104,MATCH($K353,'楼层配置'!$B$5:$B$104,0)),"")</x:f>
        <x:v>238</x:v>
      </x:c>
      <x:c r="M353" s="4" t="str">
        <x:f>IFERROR(INDEX('_角色基线'!$B$2:$B$100,MATCH($B353,'_角色基线'!$A$2:$A$100,0)),"")</x:f>
        <x:v>乔一</x:v>
      </x:c>
      <x:c r="N353" s="4" t="str">
        <x:f>IFERROR(INDEX('_角色基线'!$C$2:$C$100,MATCH($B353,'_角色基线'!$A$2:$A$100,0)),"")</x:f>
        <x:v>DPS</x:v>
      </x:c>
      <x:c r="O353" s="4" t="n">
        <x:f>IFERROR(INDEX('_怪物基线'!$B$2:$B$501,MATCH(INT($L353),'_怪物基线'!$A$2:$A$501,0)),"")</x:f>
        <x:v>257887</x:v>
      </x:c>
      <x:c r="P353" s="4" t="n">
        <x:f>IFERROR(INDEX('_怪物基线'!$C$2:$C$501,MATCH(INT($L353),'_怪物基线'!$A$2:$A$501,0)),"")</x:f>
        <x:v>26819</x:v>
      </x:c>
      <x:c r="Q353" s="4" t="n">
        <x:f>IFERROR(INDEX('_怪物基线'!$D$2:$D$501,MATCH(INT($L353),'_怪物基线'!$A$2:$A$501,0)),"")</x:f>
        <x:v>24011</x:v>
      </x:c>
      <x:c r="R353" s="4" t="n">
        <x:f>'参数'!$B$10</x:f>
        <x:v>4</x:v>
      </x:c>
      <x:c r="S353" s="4" t="n">
        <x:f>'参数'!$C$10</x:f>
        <x:v>1.2</x:v>
      </x:c>
      <x:c r="T353" s="4" t="n">
        <x:f>'参数'!$D$10</x:f>
        <x:v>1</x:v>
      </x:c>
      <x:c r="U353" s="4" t="n">
        <x:f t="shared" si="35">IF($O353="","",$O353*$R353)</x:f>
        <x:v>1031548</x:v>
      </x:c>
      <x:c r="V353" s="4" t="n">
        <x:f t="shared" si="36">IF($P353="","",$P353*$S353)</x:f>
        <x:v>32182.8</x:v>
      </x:c>
      <x:c r="W353" s="4" t="n">
        <x:f t="shared" si="37">IF($Q353="","",$Q353*$T353)</x:f>
        <x:v>24011</x:v>
      </x:c>
      <x:c r="X353" s="4" t="n">
        <x:f>IFERROR(INDEX('参数'!$B$5:$B$7,MATCH($N353,'参数'!$A$5:$A$7,0)),"")</x:f>
        <x:v>1</x:v>
      </x:c>
      <x:c r="Y353" s="4" t="n">
        <x:f>IFERROR(INDEX('参数'!$C$5:$C$7,MATCH($N353,'参数'!$A$5:$A$7,0)),"")</x:f>
        <x:v>1.2</x:v>
      </x:c>
      <x:c r="Z353" s="4" t="n">
        <x:f>IFERROR(INDEX('参数'!$D$5:$D$7,MATCH($N353,'参数'!$A$5:$A$7,0)),"")</x:f>
        <x:v>1</x:v>
      </x:c>
      <x:c r="AA353" s="4" t="n">
        <x:f>IFERROR(INDEX('楼层配置'!$E$5:$E$104,MATCH($K353,'楼层配置'!$B$5:$B$104,0)),1)</x:f>
        <x:v>1.1462474158732046</x:v>
      </x:c>
      <x:c r="AB353" s="4" t="n">
        <x:f>IFERROR(INDEX('楼层配置'!$F$5:$F$104,MATCH($K353,'楼层配置'!$B$5:$B$104,0)),1)</x:f>
        <x:v>0.6994928201498182</x:v>
      </x:c>
      <x:c r="AC353" s="4" t="n">
        <x:f>IFERROR(INDEX('楼层配置'!$G$5:$G$104,MATCH($K353,'楼层配置'!$B$5:$B$104,0)),1)</x:f>
        <x:v>1</x:v>
      </x:c>
      <x:c r="AD353" s="6" t="n">
        <x:f t="shared" si="38">IFERROR($D353/$G353-1,"")</x:f>
        <x:v>-0.34439255860167717</x:v>
      </x:c>
      <x:c r="AE353" s="6" t="n">
        <x:f t="shared" si="39">IFERROR($E353/$H353-1,"")</x:f>
        <x:v>-0.1997748681793945</x:v>
      </x:c>
      <x:c r="AF353" s="6" t="n">
        <x:f t="shared" si="40">IFERROR($F353/$I353-1,"")</x:f>
        <x:v>0.12274385111755359</x:v>
      </x:c>
      <x:c r="AG353" s="4" t="str">
        <x:f t="shared" si="41">IF(AND($A353&gt;=1,$L353&gt;=1,$L353&lt;=500,OR($N353="Tank",$N353="DPS",$N353="Support"),ISNUMBER($D353),ISNUMBER($E353),ISNUMBER($F353)),"有效","异常")</x:f>
        <x:v>有效</x:v>
      </x:c>
      <x:c r="AH353" t="n">
        <x:f>D353/(1-MIN(0.75,F353/(24000+F353)))</x:f>
        <x:v>2365359.937458333</x:v>
      </x:c>
    </x:row>
    <x:row r="354" ht="14.25" customHeight="1">
      <x:c r="A354" s="4">
        <x:v>350</x:v>
      </x:c>
      <x:c r="B354" s="4">
        <x:v>1007</x:v>
      </x:c>
      <x:c r="C354" s="4">
        <x:v>45</x:v>
      </x:c>
      <x:c r="D354" s="5" t="n">
        <x:f>IFERROR(ROUND($U354*$X354*$AA354*'参数'!$B$13,0),"")</x:f>
        <x:v>1478012</x:v>
      </x:c>
      <x:c r="E354" s="5" t="n">
        <x:f>IFERROR(ROUND($V354*$Y354*$AB354*'参数'!$C$13,0),"")</x:f>
        <x:v>22512</x:v>
      </x:c>
      <x:c r="F354" s="5" t="n">
        <x:f>IFERROR(ROUND($W354*$Z354*$AC354*'参数'!$D$13,0),"")</x:f>
        <x:v>30014</x:v>
      </x:c>
      <x:c r="G354" s="4">
        <x:v>2254416</x:v>
      </x:c>
      <x:c r="H354" s="4">
        <x:v>28132</x:v>
      </x:c>
      <x:c r="I354" s="4">
        <x:v>26733</x:v>
      </x:c>
      <x:c r="J354" s="4">
        <x:v>70</x:v>
      </x:c>
      <x:c r="K354" s="4">
        <x:v>70</x:v>
      </x:c>
      <x:c r="L354" s="4" t="n">
        <x:f>IFERROR(INDEX('楼层配置'!$D$5:$D$104,MATCH($K354,'楼层配置'!$B$5:$B$104,0)),"")</x:f>
        <x:v>238</x:v>
      </x:c>
      <x:c r="M354" s="4" t="str">
        <x:f>IFERROR(INDEX('_角色基线'!$B$2:$B$100,MATCH($B354,'_角色基线'!$A$2:$A$100,0)),"")</x:f>
        <x:v>萨萨莉安</x:v>
      </x:c>
      <x:c r="N354" s="4" t="str">
        <x:f>IFERROR(INDEX('_角色基线'!$C$2:$C$100,MATCH($B354,'_角色基线'!$A$2:$A$100,0)),"")</x:f>
        <x:v>Support</x:v>
      </x:c>
      <x:c r="O354" s="4" t="n">
        <x:f>IFERROR(INDEX('_怪物基线'!$B$2:$B$501,MATCH(INT($L354),'_怪物基线'!$A$2:$A$501,0)),"")</x:f>
        <x:v>257887</x:v>
      </x:c>
      <x:c r="P354" s="4" t="n">
        <x:f>IFERROR(INDEX('_怪物基线'!$C$2:$C$501,MATCH(INT($L354),'_怪物基线'!$A$2:$A$501,0)),"")</x:f>
        <x:v>26819</x:v>
      </x:c>
      <x:c r="Q354" s="4" t="n">
        <x:f>IFERROR(INDEX('_怪物基线'!$D$2:$D$501,MATCH(INT($L354),'_怪物基线'!$A$2:$A$501,0)),"")</x:f>
        <x:v>24011</x:v>
      </x:c>
      <x:c r="R354" s="4" t="n">
        <x:f>'参数'!$B$10</x:f>
        <x:v>4</x:v>
      </x:c>
      <x:c r="S354" s="4" t="n">
        <x:f>'参数'!$C$10</x:f>
        <x:v>1.2</x:v>
      </x:c>
      <x:c r="T354" s="4" t="n">
        <x:f>'参数'!$D$10</x:f>
        <x:v>1</x:v>
      </x:c>
      <x:c r="U354" s="4" t="n">
        <x:f t="shared" si="35">IF($O354="","",$O354*$R354)</x:f>
        <x:v>1031548</x:v>
      </x:c>
      <x:c r="V354" s="4" t="n">
        <x:f t="shared" si="36">IF($P354="","",$P354*$S354)</x:f>
        <x:v>32182.8</x:v>
      </x:c>
      <x:c r="W354" s="4" t="n">
        <x:f t="shared" si="37">IF($Q354="","",$Q354*$T354)</x:f>
        <x:v>24011</x:v>
      </x:c>
      <x:c r="X354" s="4" t="n">
        <x:f>IFERROR(INDEX('参数'!$B$5:$B$7,MATCH($N354,'参数'!$A$5:$A$7,0)),"")</x:f>
        <x:v>1.25</x:v>
      </x:c>
      <x:c r="Y354" s="4" t="n">
        <x:f>IFERROR(INDEX('参数'!$C$5:$C$7,MATCH($N354,'参数'!$A$5:$A$7,0)),"")</x:f>
        <x:v>1</x:v>
      </x:c>
      <x:c r="Z354" s="4" t="n">
        <x:f>IFERROR(INDEX('参数'!$D$5:$D$7,MATCH($N354,'参数'!$A$5:$A$7,0)),"")</x:f>
        <x:v>1.25</x:v>
      </x:c>
      <x:c r="AA354" s="4" t="n">
        <x:f>IFERROR(INDEX('楼层配置'!$E$5:$E$104,MATCH($K354,'楼层配置'!$B$5:$B$104,0)),1)</x:f>
        <x:v>1.1462474158732046</x:v>
      </x:c>
      <x:c r="AB354" s="4" t="n">
        <x:f>IFERROR(INDEX('楼层配置'!$F$5:$F$104,MATCH($K354,'楼层配置'!$B$5:$B$104,0)),1)</x:f>
        <x:v>0.6994928201498182</x:v>
      </x:c>
      <x:c r="AC354" s="4" t="n">
        <x:f>IFERROR(INDEX('楼层配置'!$G$5:$G$104,MATCH($K354,'楼层配置'!$B$5:$B$104,0)),1)</x:f>
        <x:v>1</x:v>
      </x:c>
      <x:c r="AD354" s="6" t="n">
        <x:f t="shared" si="38">IFERROR($D354/$G354-1,"")</x:f>
        <x:v>-0.34439251673160587</x:v>
      </x:c>
      <x:c r="AE354" s="6" t="n">
        <x:f t="shared" si="39">IFERROR($E354/$H354-1,"")</x:f>
        <x:v>-0.1997725010664012</x:v>
      </x:c>
      <x:c r="AF354" s="6" t="n">
        <x:f t="shared" si="40">IFERROR($F354/$I354-1,"")</x:f>
        <x:v>0.12273220364343684</x:v>
      </x:c>
      <x:c r="AG354" s="4" t="str">
        <x:f t="shared" si="41">IF(AND($A354&gt;=1,$L354&gt;=1,$L354&lt;=500,OR($N354="Tank",$N354="DPS",$N354="Support"),ISNUMBER($D354),ISNUMBER($E354),ISNUMBER($F354)),"有效","异常")</x:f>
        <x:v>有效</x:v>
      </x:c>
      <x:c r="AH354" t="n">
        <x:f>D354/(1-MIN(0.75,F354/(24000+F354)))</x:f>
        <x:v>3326389.173666667</x:v>
      </x:c>
    </x:row>
    <x:row r="355" ht="14.25" customHeight="1">
      <x:c r="A355" s="4">
        <x:v>351</x:v>
      </x:c>
      <x:c r="B355" s="4">
        <x:v>1003</x:v>
      </x:c>
      <x:c r="C355" s="4">
        <x:v>45</x:v>
      </x:c>
      <x:c r="D355" s="5" t="n">
        <x:f>IFERROR(ROUND($U355*$X355*$AA355*'参数'!$B$13,0),"")</x:f>
        <x:v>1807700</x:v>
      </x:c>
      <x:c r="E355" s="5" t="n">
        <x:f>IFERROR(ROUND($V355*$Y355*$AB355*'参数'!$C$13,0),"")</x:f>
        <x:v>22894</x:v>
      </x:c>
      <x:c r="F355" s="5" t="n">
        <x:f>IFERROR(ROUND($W355*$Z355*$AC355*'参数'!$D$13,0),"")</x:f>
        <x:v>36402</x:v>
      </x:c>
      <x:c r="G355" s="4">
        <x:v>2804270</x:v>
      </x:c>
      <x:c r="H355" s="4">
        <x:v>28889</x:v>
      </x:c>
      <x:c r="I355" s="4">
        <x:v>32676</x:v>
      </x:c>
      <x:c r="J355" s="4">
        <x:v>71</x:v>
      </x:c>
      <x:c r="K355" s="4">
        <x:v>71</x:v>
      </x:c>
      <x:c r="L355" s="4" t="n">
        <x:f>IFERROR(INDEX('楼层配置'!$D$5:$D$104,MATCH($K355,'楼层配置'!$B$5:$B$104,0)),"")</x:f>
        <x:v>240</x:v>
      </x:c>
      <x:c r="M355" s="4" t="str">
        <x:f>IFERROR(INDEX('_角色基线'!$B$2:$B$100,MATCH($B355,'_角色基线'!$A$2:$A$100,0)),"")</x:f>
        <x:v>塔拉夏</x:v>
      </x:c>
      <x:c r="N355" s="4" t="str">
        <x:f>IFERROR(INDEX('_角色基线'!$C$2:$C$100,MATCH($B355,'_角色基线'!$A$2:$A$100,0)),"")</x:f>
        <x:v>Tank</x:v>
      </x:c>
      <x:c r="O355" s="4" t="n">
        <x:f>IFERROR(INDEX('_怪物基线'!$B$2:$B$501,MATCH(INT($L355),'_怪物基线'!$A$2:$A$501,0)),"")</x:f>
        <x:v>263533</x:v>
      </x:c>
      <x:c r="P355" s="4" t="n">
        <x:f>IFERROR(INDEX('_怪物基线'!$C$2:$C$501,MATCH(INT($L355),'_怪物基线'!$A$2:$A$501,0)),"")</x:f>
        <x:v>27250</x:v>
      </x:c>
      <x:c r="Q355" s="4" t="n">
        <x:f>IFERROR(INDEX('_怪物基线'!$D$2:$D$501,MATCH(INT($L355),'_怪物基线'!$A$2:$A$501,0)),"")</x:f>
        <x:v>24268</x:v>
      </x:c>
      <x:c r="R355" s="4" t="n">
        <x:f>'参数'!$B$10</x:f>
        <x:v>4</x:v>
      </x:c>
      <x:c r="S355" s="4" t="n">
        <x:f>'参数'!$C$10</x:f>
        <x:v>1.2</x:v>
      </x:c>
      <x:c r="T355" s="4" t="n">
        <x:f>'参数'!$D$10</x:f>
        <x:v>1</x:v>
      </x:c>
      <x:c r="U355" s="4" t="n">
        <x:f t="shared" si="35">IF($O355="","",$O355*$R355)</x:f>
        <x:v>1054132</x:v>
      </x:c>
      <x:c r="V355" s="4" t="n">
        <x:f t="shared" si="36">IF($P355="","",$P355*$S355)</x:f>
        <x:v>32700</x:v>
      </x:c>
      <x:c r="W355" s="4" t="n">
        <x:f t="shared" si="37">IF($Q355="","",$Q355*$T355)</x:f>
        <x:v>24268</x:v>
      </x:c>
      <x:c r="X355" s="4" t="n">
        <x:f>IFERROR(INDEX('参数'!$B$5:$B$7,MATCH($N355,'参数'!$A$5:$A$7,0)),"")</x:f>
        <x:v>1.5</x:v>
      </x:c>
      <x:c r="Y355" s="4" t="n">
        <x:f>IFERROR(INDEX('参数'!$C$5:$C$7,MATCH($N355,'参数'!$A$5:$A$7,0)),"")</x:f>
        <x:v>1</x:v>
      </x:c>
      <x:c r="Z355" s="4" t="n">
        <x:f>IFERROR(INDEX('参数'!$D$5:$D$7,MATCH($N355,'参数'!$A$5:$A$7,0)),"")</x:f>
        <x:v>1.5</x:v>
      </x:c>
      <x:c r="AA355" s="4" t="n">
        <x:f>IFERROR(INDEX('楼层配置'!$E$5:$E$104,MATCH($K355,'楼层配置'!$B$5:$B$104,0)),1)</x:f>
        <x:v>1.1432473214058378</x:v>
      </x:c>
      <x:c r="AB355" s="4" t="n">
        <x:f>IFERROR(INDEX('楼层配置'!$F$5:$F$104,MATCH($K355,'楼层配置'!$B$5:$B$104,0)),1)</x:f>
        <x:v>0.7001282887962803</x:v>
      </x:c>
      <x:c r="AC355" s="4" t="n">
        <x:f>IFERROR(INDEX('楼层配置'!$G$5:$G$104,MATCH($K355,'楼层配置'!$B$5:$B$104,0)),1)</x:f>
        <x:v>1</x:v>
      </x:c>
      <x:c r="AD355" s="6" t="n">
        <x:f t="shared" si="38">IFERROR($D355/$G355-1,"")</x:f>
        <x:v>-0.35537590888181236</x:v>
      </x:c>
      <x:c r="AE355" s="6" t="n">
        <x:f t="shared" si="39">IFERROR($E355/$H355-1,"")</x:f>
        <x:v>-0.207518432621413</x:v>
      </x:c>
      <x:c r="AF355" s="6" t="n">
        <x:f t="shared" si="40">IFERROR($F355/$I355-1,"")</x:f>
        <x:v>0.11402864487697384</x:v>
      </x:c>
      <x:c r="AG355" s="4" t="str">
        <x:f t="shared" si="41">IF(AND($A355&gt;=1,$L355&gt;=1,$L355&lt;=500,OR($N355="Tank",$N355="DPS",$N355="Support"),ISNUMBER($D355),ISNUMBER($E355),ISNUMBER($F355)),"有效","异常")</x:f>
        <x:v>有效</x:v>
      </x:c>
      <x:c r="AH355" t="n">
        <x:f>D355/(1-MIN(0.75,F355/(24000+F355)))</x:f>
        <x:v>4549528.975000001</x:v>
      </x:c>
    </x:row>
    <x:row r="356" ht="14.25" customHeight="1">
      <x:c r="A356" s="4">
        <x:v>352</x:v>
      </x:c>
      <x:c r="B356" s="4">
        <x:v>1006</x:v>
      </x:c>
      <x:c r="C356" s="4">
        <x:v>45</x:v>
      </x:c>
      <x:c r="D356" s="5" t="n">
        <x:f>IFERROR(ROUND($U356*$X356*$AA356*'参数'!$B$13,0),"")</x:f>
        <x:v>1205134</x:v>
      </x:c>
      <x:c r="E356" s="5" t="n">
        <x:f>IFERROR(ROUND($V356*$Y356*$AB356*'参数'!$C$13,0),"")</x:f>
        <x:v>27473</x:v>
      </x:c>
      <x:c r="F356" s="5" t="n">
        <x:f>IFERROR(ROUND($W356*$Z356*$AC356*'参数'!$D$13,0),"")</x:f>
        <x:v>24268</x:v>
      </x:c>
      <x:c r="G356" s="4">
        <x:v>1869513</x:v>
      </x:c>
      <x:c r="H356" s="4">
        <x:v>34666</x:v>
      </x:c>
      <x:c r="I356" s="4">
        <x:v>21784</x:v>
      </x:c>
      <x:c r="J356" s="4">
        <x:v>71</x:v>
      </x:c>
      <x:c r="K356" s="4">
        <x:v>71</x:v>
      </x:c>
      <x:c r="L356" s="4" t="n">
        <x:f>IFERROR(INDEX('楼层配置'!$D$5:$D$104,MATCH($K356,'楼层配置'!$B$5:$B$104,0)),"")</x:f>
        <x:v>240</x:v>
      </x:c>
      <x:c r="M356" s="4" t="str">
        <x:f>IFERROR(INDEX('_角色基线'!$B$2:$B$100,MATCH($B356,'_角色基线'!$A$2:$A$100,0)),"")</x:f>
        <x:v>莉莉娅</x:v>
      </x:c>
      <x:c r="N356" s="4" t="str">
        <x:f>IFERROR(INDEX('_角色基线'!$C$2:$C$100,MATCH($B356,'_角色基线'!$A$2:$A$100,0)),"")</x:f>
        <x:v>DPS</x:v>
      </x:c>
      <x:c r="O356" s="4" t="n">
        <x:f>IFERROR(INDEX('_怪物基线'!$B$2:$B$501,MATCH(INT($L356),'_怪物基线'!$A$2:$A$501,0)),"")</x:f>
        <x:v>263533</x:v>
      </x:c>
      <x:c r="P356" s="4" t="n">
        <x:f>IFERROR(INDEX('_怪物基线'!$C$2:$C$501,MATCH(INT($L356),'_怪物基线'!$A$2:$A$501,0)),"")</x:f>
        <x:v>27250</x:v>
      </x:c>
      <x:c r="Q356" s="4" t="n">
        <x:f>IFERROR(INDEX('_怪物基线'!$D$2:$D$501,MATCH(INT($L356),'_怪物基线'!$A$2:$A$501,0)),"")</x:f>
        <x:v>24268</x:v>
      </x:c>
      <x:c r="R356" s="4" t="n">
        <x:f>'参数'!$B$10</x:f>
        <x:v>4</x:v>
      </x:c>
      <x:c r="S356" s="4" t="n">
        <x:f>'参数'!$C$10</x:f>
        <x:v>1.2</x:v>
      </x:c>
      <x:c r="T356" s="4" t="n">
        <x:f>'参数'!$D$10</x:f>
        <x:v>1</x:v>
      </x:c>
      <x:c r="U356" s="4" t="n">
        <x:f t="shared" si="35">IF($O356="","",$O356*$R356)</x:f>
        <x:v>1054132</x:v>
      </x:c>
      <x:c r="V356" s="4" t="n">
        <x:f t="shared" si="36">IF($P356="","",$P356*$S356)</x:f>
        <x:v>32700</x:v>
      </x:c>
      <x:c r="W356" s="4" t="n">
        <x:f t="shared" si="37">IF($Q356="","",$Q356*$T356)</x:f>
        <x:v>24268</x:v>
      </x:c>
      <x:c r="X356" s="4" t="n">
        <x:f>IFERROR(INDEX('参数'!$B$5:$B$7,MATCH($N356,'参数'!$A$5:$A$7,0)),"")</x:f>
        <x:v>1</x:v>
      </x:c>
      <x:c r="Y356" s="4" t="n">
        <x:f>IFERROR(INDEX('参数'!$C$5:$C$7,MATCH($N356,'参数'!$A$5:$A$7,0)),"")</x:f>
        <x:v>1.2</x:v>
      </x:c>
      <x:c r="Z356" s="4" t="n">
        <x:f>IFERROR(INDEX('参数'!$D$5:$D$7,MATCH($N356,'参数'!$A$5:$A$7,0)),"")</x:f>
        <x:v>1</x:v>
      </x:c>
      <x:c r="AA356" s="4" t="n">
        <x:f>IFERROR(INDEX('楼层配置'!$E$5:$E$104,MATCH($K356,'楼层配置'!$B$5:$B$104,0)),1)</x:f>
        <x:v>1.1432473214058378</x:v>
      </x:c>
      <x:c r="AB356" s="4" t="n">
        <x:f>IFERROR(INDEX('楼层配置'!$F$5:$F$104,MATCH($K356,'楼层配置'!$B$5:$B$104,0)),1)</x:f>
        <x:v>0.7001282887962803</x:v>
      </x:c>
      <x:c r="AC356" s="4" t="n">
        <x:f>IFERROR(INDEX('楼层配置'!$G$5:$G$104,MATCH($K356,'楼层配置'!$B$5:$B$104,0)),1)</x:f>
        <x:v>1</x:v>
      </x:c>
      <x:c r="AD356" s="6" t="n">
        <x:f t="shared" si="38">IFERROR($D356/$G356-1,"")</x:f>
        <x:v>-0.35537543734651755</x:v>
      </x:c>
      <x:c r="AE356" s="6" t="n">
        <x:f t="shared" si="39">IFERROR($E356/$H356-1,"")</x:f>
        <x:v>-0.20749437489182487</x:v>
      </x:c>
      <x:c r="AF356" s="6" t="n">
        <x:f t="shared" si="40">IFERROR($F356/$I356-1,"")</x:f>
        <x:v>0.11402864487697384</x:v>
      </x:c>
      <x:c r="AG356" s="4" t="str">
        <x:f t="shared" si="41">IF(AND($A356&gt;=1,$L356&gt;=1,$L356&lt;=500,OR($N356="Tank",$N356="DPS",$N356="Support"),ISNUMBER($D356),ISNUMBER($E356),ISNUMBER($F356)),"有效","异常")</x:f>
        <x:v>有效</x:v>
      </x:c>
      <x:c r="AH356" t="n">
        <x:f>D356/(1-MIN(0.75,F356/(24000+F356)))</x:f>
        <x:v>2423725.3296666667</x:v>
      </x:c>
    </x:row>
    <x:row r="357" ht="14.25" customHeight="1">
      <x:c r="A357" s="4">
        <x:v>353</x:v>
      </x:c>
      <x:c r="B357" s="4">
        <x:v>1007</x:v>
      </x:c>
      <x:c r="C357" s="4">
        <x:v>45</x:v>
      </x:c>
      <x:c r="D357" s="5" t="n">
        <x:f>IFERROR(ROUND($U357*$X357*$AA357*'参数'!$B$13,0),"")</x:f>
        <x:v>1506417</x:v>
      </x:c>
      <x:c r="E357" s="5" t="n">
        <x:f>IFERROR(ROUND($V357*$Y357*$AB357*'参数'!$C$13,0),"")</x:f>
        <x:v>22894</x:v>
      </x:c>
      <x:c r="F357" s="5" t="n">
        <x:f>IFERROR(ROUND($W357*$Z357*$AC357*'参数'!$D$13,0),"")</x:f>
        <x:v>30335</x:v>
      </x:c>
      <x:c r="G357" s="4">
        <x:v>2336892</x:v>
      </x:c>
      <x:c r="H357" s="4">
        <x:v>28889</x:v>
      </x:c>
      <x:c r="I357" s="4">
        <x:v>27230</x:v>
      </x:c>
      <x:c r="J357" s="4">
        <x:v>71</x:v>
      </x:c>
      <x:c r="K357" s="4">
        <x:v>71</x:v>
      </x:c>
      <x:c r="L357" s="4" t="n">
        <x:f>IFERROR(INDEX('楼层配置'!$D$5:$D$104,MATCH($K357,'楼层配置'!$B$5:$B$104,0)),"")</x:f>
        <x:v>240</x:v>
      </x:c>
      <x:c r="M357" s="4" t="str">
        <x:f>IFERROR(INDEX('_角色基线'!$B$2:$B$100,MATCH($B357,'_角色基线'!$A$2:$A$100,0)),"")</x:f>
        <x:v>萨萨莉安</x:v>
      </x:c>
      <x:c r="N357" s="4" t="str">
        <x:f>IFERROR(INDEX('_角色基线'!$C$2:$C$100,MATCH($B357,'_角色基线'!$A$2:$A$100,0)),"")</x:f>
        <x:v>Support</x:v>
      </x:c>
      <x:c r="O357" s="4" t="n">
        <x:f>IFERROR(INDEX('_怪物基线'!$B$2:$B$501,MATCH(INT($L357),'_怪物基线'!$A$2:$A$501,0)),"")</x:f>
        <x:v>263533</x:v>
      </x:c>
      <x:c r="P357" s="4" t="n">
        <x:f>IFERROR(INDEX('_怪物基线'!$C$2:$C$501,MATCH(INT($L357),'_怪物基线'!$A$2:$A$501,0)),"")</x:f>
        <x:v>27250</x:v>
      </x:c>
      <x:c r="Q357" s="4" t="n">
        <x:f>IFERROR(INDEX('_怪物基线'!$D$2:$D$501,MATCH(INT($L357),'_怪物基线'!$A$2:$A$501,0)),"")</x:f>
        <x:v>24268</x:v>
      </x:c>
      <x:c r="R357" s="4" t="n">
        <x:f>'参数'!$B$10</x:f>
        <x:v>4</x:v>
      </x:c>
      <x:c r="S357" s="4" t="n">
        <x:f>'参数'!$C$10</x:f>
        <x:v>1.2</x:v>
      </x:c>
      <x:c r="T357" s="4" t="n">
        <x:f>'参数'!$D$10</x:f>
        <x:v>1</x:v>
      </x:c>
      <x:c r="U357" s="4" t="n">
        <x:f t="shared" si="35">IF($O357="","",$O357*$R357)</x:f>
        <x:v>1054132</x:v>
      </x:c>
      <x:c r="V357" s="4" t="n">
        <x:f t="shared" si="36">IF($P357="","",$P357*$S357)</x:f>
        <x:v>32700</x:v>
      </x:c>
      <x:c r="W357" s="4" t="n">
        <x:f t="shared" si="37">IF($Q357="","",$Q357*$T357)</x:f>
        <x:v>24268</x:v>
      </x:c>
      <x:c r="X357" s="4" t="n">
        <x:f>IFERROR(INDEX('参数'!$B$5:$B$7,MATCH($N357,'参数'!$A$5:$A$7,0)),"")</x:f>
        <x:v>1.25</x:v>
      </x:c>
      <x:c r="Y357" s="4" t="n">
        <x:f>IFERROR(INDEX('参数'!$C$5:$C$7,MATCH($N357,'参数'!$A$5:$A$7,0)),"")</x:f>
        <x:v>1</x:v>
      </x:c>
      <x:c r="Z357" s="4" t="n">
        <x:f>IFERROR(INDEX('参数'!$D$5:$D$7,MATCH($N357,'参数'!$A$5:$A$7,0)),"")</x:f>
        <x:v>1.25</x:v>
      </x:c>
      <x:c r="AA357" s="4" t="n">
        <x:f>IFERROR(INDEX('楼层配置'!$E$5:$E$104,MATCH($K357,'楼层配置'!$B$5:$B$104,0)),1)</x:f>
        <x:v>1.1432473214058378</x:v>
      </x:c>
      <x:c r="AB357" s="4" t="n">
        <x:f>IFERROR(INDEX('楼层配置'!$F$5:$F$104,MATCH($K357,'楼层配置'!$B$5:$B$104,0)),1)</x:f>
        <x:v>0.7001282887962803</x:v>
      </x:c>
      <x:c r="AC357" s="4" t="n">
        <x:f>IFERROR(INDEX('楼层配置'!$G$5:$G$104,MATCH($K357,'楼层配置'!$B$5:$B$104,0)),1)</x:f>
        <x:v>1</x:v>
      </x:c>
      <x:c r="AD357" s="6" t="n">
        <x:f t="shared" si="38">IFERROR($D357/$G357-1,"")</x:f>
        <x:v>-0.35537585819113593</x:v>
      </x:c>
      <x:c r="AE357" s="6" t="n">
        <x:f t="shared" si="39">IFERROR($E357/$H357-1,"")</x:f>
        <x:v>-0.207518432621413</x:v>
      </x:c>
      <x:c r="AF357" s="6" t="n">
        <x:f t="shared" si="40">IFERROR($F357/$I357-1,"")</x:f>
        <x:v>0.11402864487697384</x:v>
      </x:c>
      <x:c r="AG357" s="4" t="str">
        <x:f t="shared" si="41">IF(AND($A357&gt;=1,$L357&gt;=1,$L357&lt;=500,OR($N357="Tank",$N357="DPS",$N357="Support"),ISNUMBER($D357),ISNUMBER($E357),ISNUMBER($F357)),"有效","异常")</x:f>
        <x:v>有效</x:v>
      </x:c>
      <x:c r="AH357" t="n">
        <x:f>D357/(1-MIN(0.75,F357/(24000+F357)))</x:f>
        <x:v>3410465.320625</x:v>
      </x:c>
    </x:row>
    <x:row r="358" ht="14.25" customHeight="1">
      <x:c r="A358" s="4">
        <x:v>354</x:v>
      </x:c>
      <x:c r="B358" s="4">
        <x:v>1006</x:v>
      </x:c>
      <x:c r="C358" s="4">
        <x:v>45</x:v>
      </x:c>
      <x:c r="D358" s="5" t="n">
        <x:f>IFERROR(ROUND($U358*$X358*$AA358*'参数'!$B$13,0),"")</x:f>
        <x:v>1205134</x:v>
      </x:c>
      <x:c r="E358" s="5" t="n">
        <x:f>IFERROR(ROUND($V358*$Y358*$AB358*'参数'!$C$13,0),"")</x:f>
        <x:v>27473</x:v>
      </x:c>
      <x:c r="F358" s="5" t="n">
        <x:f>IFERROR(ROUND($W358*$Z358*$AC358*'参数'!$D$13,0),"")</x:f>
        <x:v>24268</x:v>
      </x:c>
      <x:c r="G358" s="4">
        <x:v>1869513</x:v>
      </x:c>
      <x:c r="H358" s="4">
        <x:v>34666</x:v>
      </x:c>
      <x:c r="I358" s="4">
        <x:v>21784</x:v>
      </x:c>
      <x:c r="J358" s="4">
        <x:v>71</x:v>
      </x:c>
      <x:c r="K358" s="4">
        <x:v>71</x:v>
      </x:c>
      <x:c r="L358" s="4" t="n">
        <x:f>IFERROR(INDEX('楼层配置'!$D$5:$D$104,MATCH($K358,'楼层配置'!$B$5:$B$104,0)),"")</x:f>
        <x:v>240</x:v>
      </x:c>
      <x:c r="M358" s="4" t="str">
        <x:f>IFERROR(INDEX('_角色基线'!$B$2:$B$100,MATCH($B358,'_角色基线'!$A$2:$A$100,0)),"")</x:f>
        <x:v>莉莉娅</x:v>
      </x:c>
      <x:c r="N358" s="4" t="str">
        <x:f>IFERROR(INDEX('_角色基线'!$C$2:$C$100,MATCH($B358,'_角色基线'!$A$2:$A$100,0)),"")</x:f>
        <x:v>DPS</x:v>
      </x:c>
      <x:c r="O358" s="4" t="n">
        <x:f>IFERROR(INDEX('_怪物基线'!$B$2:$B$501,MATCH(INT($L358),'_怪物基线'!$A$2:$A$501,0)),"")</x:f>
        <x:v>263533</x:v>
      </x:c>
      <x:c r="P358" s="4" t="n">
        <x:f>IFERROR(INDEX('_怪物基线'!$C$2:$C$501,MATCH(INT($L358),'_怪物基线'!$A$2:$A$501,0)),"")</x:f>
        <x:v>27250</x:v>
      </x:c>
      <x:c r="Q358" s="4" t="n">
        <x:f>IFERROR(INDEX('_怪物基线'!$D$2:$D$501,MATCH(INT($L358),'_怪物基线'!$A$2:$A$501,0)),"")</x:f>
        <x:v>24268</x:v>
      </x:c>
      <x:c r="R358" s="4" t="n">
        <x:f>'参数'!$B$10</x:f>
        <x:v>4</x:v>
      </x:c>
      <x:c r="S358" s="4" t="n">
        <x:f>'参数'!$C$10</x:f>
        <x:v>1.2</x:v>
      </x:c>
      <x:c r="T358" s="4" t="n">
        <x:f>'参数'!$D$10</x:f>
        <x:v>1</x:v>
      </x:c>
      <x:c r="U358" s="4" t="n">
        <x:f t="shared" si="35">IF($O358="","",$O358*$R358)</x:f>
        <x:v>1054132</x:v>
      </x:c>
      <x:c r="V358" s="4" t="n">
        <x:f t="shared" si="36">IF($P358="","",$P358*$S358)</x:f>
        <x:v>32700</x:v>
      </x:c>
      <x:c r="W358" s="4" t="n">
        <x:f t="shared" si="37">IF($Q358="","",$Q358*$T358)</x:f>
        <x:v>24268</x:v>
      </x:c>
      <x:c r="X358" s="4" t="n">
        <x:f>IFERROR(INDEX('参数'!$B$5:$B$7,MATCH($N358,'参数'!$A$5:$A$7,0)),"")</x:f>
        <x:v>1</x:v>
      </x:c>
      <x:c r="Y358" s="4" t="n">
        <x:f>IFERROR(INDEX('参数'!$C$5:$C$7,MATCH($N358,'参数'!$A$5:$A$7,0)),"")</x:f>
        <x:v>1.2</x:v>
      </x:c>
      <x:c r="Z358" s="4" t="n">
        <x:f>IFERROR(INDEX('参数'!$D$5:$D$7,MATCH($N358,'参数'!$A$5:$A$7,0)),"")</x:f>
        <x:v>1</x:v>
      </x:c>
      <x:c r="AA358" s="4" t="n">
        <x:f>IFERROR(INDEX('楼层配置'!$E$5:$E$104,MATCH($K358,'楼层配置'!$B$5:$B$104,0)),1)</x:f>
        <x:v>1.1432473214058378</x:v>
      </x:c>
      <x:c r="AB358" s="4" t="n">
        <x:f>IFERROR(INDEX('楼层配置'!$F$5:$F$104,MATCH($K358,'楼层配置'!$B$5:$B$104,0)),1)</x:f>
        <x:v>0.7001282887962803</x:v>
      </x:c>
      <x:c r="AC358" s="4" t="n">
        <x:f>IFERROR(INDEX('楼层配置'!$G$5:$G$104,MATCH($K358,'楼层配置'!$B$5:$B$104,0)),1)</x:f>
        <x:v>1</x:v>
      </x:c>
      <x:c r="AD358" s="6" t="n">
        <x:f t="shared" si="38">IFERROR($D358/$G358-1,"")</x:f>
        <x:v>-0.35537543734651755</x:v>
      </x:c>
      <x:c r="AE358" s="6" t="n">
        <x:f t="shared" si="39">IFERROR($E358/$H358-1,"")</x:f>
        <x:v>-0.20749437489182487</x:v>
      </x:c>
      <x:c r="AF358" s="6" t="n">
        <x:f t="shared" si="40">IFERROR($F358/$I358-1,"")</x:f>
        <x:v>0.11402864487697384</x:v>
      </x:c>
      <x:c r="AG358" s="4" t="str">
        <x:f t="shared" si="41">IF(AND($A358&gt;=1,$L358&gt;=1,$L358&lt;=500,OR($N358="Tank",$N358="DPS",$N358="Support"),ISNUMBER($D358),ISNUMBER($E358),ISNUMBER($F358)),"有效","异常")</x:f>
        <x:v>有效</x:v>
      </x:c>
      <x:c r="AH358" t="n">
        <x:f>D358/(1-MIN(0.75,F358/(24000+F358)))</x:f>
        <x:v>2423725.3296666667</x:v>
      </x:c>
    </x:row>
    <x:row r="359" ht="14.25" customHeight="1">
      <x:c r="A359" s="4">
        <x:v>355</x:v>
      </x:c>
      <x:c r="B359" s="4">
        <x:v>1001</x:v>
      </x:c>
      <x:c r="C359" s="4">
        <x:v>45</x:v>
      </x:c>
      <x:c r="D359" s="5" t="n">
        <x:f>IFERROR(ROUND($U359*$X359*$AA359*'参数'!$B$13,0),"")</x:f>
        <x:v>1205134</x:v>
      </x:c>
      <x:c r="E359" s="5" t="n">
        <x:f>IFERROR(ROUND($V359*$Y359*$AB359*'参数'!$C$13,0),"")</x:f>
        <x:v>27473</x:v>
      </x:c>
      <x:c r="F359" s="5" t="n">
        <x:f>IFERROR(ROUND($W359*$Z359*$AC359*'参数'!$D$13,0),"")</x:f>
        <x:v>24268</x:v>
      </x:c>
      <x:c r="G359" s="4">
        <x:v>1869513</x:v>
      </x:c>
      <x:c r="H359" s="4">
        <x:v>34666</x:v>
      </x:c>
      <x:c r="I359" s="4">
        <x:v>21784</x:v>
      </x:c>
      <x:c r="J359" s="4">
        <x:v>71</x:v>
      </x:c>
      <x:c r="K359" s="4">
        <x:v>71</x:v>
      </x:c>
      <x:c r="L359" s="4" t="n">
        <x:f>IFERROR(INDEX('楼层配置'!$D$5:$D$104,MATCH($K359,'楼层配置'!$B$5:$B$104,0)),"")</x:f>
        <x:v>240</x:v>
      </x:c>
      <x:c r="M359" s="4" t="str">
        <x:f>IFERROR(INDEX('_角色基线'!$B$2:$B$100,MATCH($B359,'_角色基线'!$A$2:$A$100,0)),"")</x:f>
        <x:v>星海</x:v>
      </x:c>
      <x:c r="N359" s="4" t="str">
        <x:f>IFERROR(INDEX('_角色基线'!$C$2:$C$100,MATCH($B359,'_角色基线'!$A$2:$A$100,0)),"")</x:f>
        <x:v>DPS</x:v>
      </x:c>
      <x:c r="O359" s="4" t="n">
        <x:f>IFERROR(INDEX('_怪物基线'!$B$2:$B$501,MATCH(INT($L359),'_怪物基线'!$A$2:$A$501,0)),"")</x:f>
        <x:v>263533</x:v>
      </x:c>
      <x:c r="P359" s="4" t="n">
        <x:f>IFERROR(INDEX('_怪物基线'!$C$2:$C$501,MATCH(INT($L359),'_怪物基线'!$A$2:$A$501,0)),"")</x:f>
        <x:v>27250</x:v>
      </x:c>
      <x:c r="Q359" s="4" t="n">
        <x:f>IFERROR(INDEX('_怪物基线'!$D$2:$D$501,MATCH(INT($L359),'_怪物基线'!$A$2:$A$501,0)),"")</x:f>
        <x:v>24268</x:v>
      </x:c>
      <x:c r="R359" s="4" t="n">
        <x:f>'参数'!$B$10</x:f>
        <x:v>4</x:v>
      </x:c>
      <x:c r="S359" s="4" t="n">
        <x:f>'参数'!$C$10</x:f>
        <x:v>1.2</x:v>
      </x:c>
      <x:c r="T359" s="4" t="n">
        <x:f>'参数'!$D$10</x:f>
        <x:v>1</x:v>
      </x:c>
      <x:c r="U359" s="4" t="n">
        <x:f t="shared" si="35">IF($O359="","",$O359*$R359)</x:f>
        <x:v>1054132</x:v>
      </x:c>
      <x:c r="V359" s="4" t="n">
        <x:f t="shared" si="36">IF($P359="","",$P359*$S359)</x:f>
        <x:v>32700</x:v>
      </x:c>
      <x:c r="W359" s="4" t="n">
        <x:f t="shared" si="37">IF($Q359="","",$Q359*$T359)</x:f>
        <x:v>24268</x:v>
      </x:c>
      <x:c r="X359" s="4" t="n">
        <x:f>IFERROR(INDEX('参数'!$B$5:$B$7,MATCH($N359,'参数'!$A$5:$A$7,0)),"")</x:f>
        <x:v>1</x:v>
      </x:c>
      <x:c r="Y359" s="4" t="n">
        <x:f>IFERROR(INDEX('参数'!$C$5:$C$7,MATCH($N359,'参数'!$A$5:$A$7,0)),"")</x:f>
        <x:v>1.2</x:v>
      </x:c>
      <x:c r="Z359" s="4" t="n">
        <x:f>IFERROR(INDEX('参数'!$D$5:$D$7,MATCH($N359,'参数'!$A$5:$A$7,0)),"")</x:f>
        <x:v>1</x:v>
      </x:c>
      <x:c r="AA359" s="4" t="n">
        <x:f>IFERROR(INDEX('楼层配置'!$E$5:$E$104,MATCH($K359,'楼层配置'!$B$5:$B$104,0)),1)</x:f>
        <x:v>1.1432473214058378</x:v>
      </x:c>
      <x:c r="AB359" s="4" t="n">
        <x:f>IFERROR(INDEX('楼层配置'!$F$5:$F$104,MATCH($K359,'楼层配置'!$B$5:$B$104,0)),1)</x:f>
        <x:v>0.7001282887962803</x:v>
      </x:c>
      <x:c r="AC359" s="4" t="n">
        <x:f>IFERROR(INDEX('楼层配置'!$G$5:$G$104,MATCH($K359,'楼层配置'!$B$5:$B$104,0)),1)</x:f>
        <x:v>1</x:v>
      </x:c>
      <x:c r="AD359" s="6" t="n">
        <x:f t="shared" si="38">IFERROR($D359/$G359-1,"")</x:f>
        <x:v>-0.35537543734651755</x:v>
      </x:c>
      <x:c r="AE359" s="6" t="n">
        <x:f t="shared" si="39">IFERROR($E359/$H359-1,"")</x:f>
        <x:v>-0.20749437489182487</x:v>
      </x:c>
      <x:c r="AF359" s="6" t="n">
        <x:f t="shared" si="40">IFERROR($F359/$I359-1,"")</x:f>
        <x:v>0.11402864487697384</x:v>
      </x:c>
      <x:c r="AG359" s="4" t="str">
        <x:f t="shared" si="41">IF(AND($A359&gt;=1,$L359&gt;=1,$L359&lt;=500,OR($N359="Tank",$N359="DPS",$N359="Support"),ISNUMBER($D359),ISNUMBER($E359),ISNUMBER($F359)),"有效","异常")</x:f>
        <x:v>有效</x:v>
      </x:c>
      <x:c r="AH359" t="n">
        <x:f>D359/(1-MIN(0.75,F359/(24000+F359)))</x:f>
        <x:v>2423725.3296666667</x:v>
      </x:c>
    </x:row>
    <x:row r="360" ht="14.25" customHeight="1">
      <x:c r="A360" s="4">
        <x:v>356</x:v>
      </x:c>
      <x:c r="B360" s="4">
        <x:v>1004</x:v>
      </x:c>
      <x:c r="C360" s="4">
        <x:v>46</x:v>
      </x:c>
      <x:c r="D360" s="5" t="n">
        <x:f>IFERROR(ROUND($U360*$X360*$AA360*'参数'!$B$13,0),"")</x:f>
        <x:v>1822008</x:v>
      </x:c>
      <x:c r="E360" s="5" t="n">
        <x:f>IFERROR(ROUND($V360*$Y360*$AB360*'参数'!$C$13,0),"")</x:f>
        <x:v>23082</x:v>
      </x:c>
      <x:c r="F360" s="5" t="n">
        <x:f>IFERROR(ROUND($W360*$Z360*$AC360*'参数'!$D$13,0),"")</x:f>
        <x:v>36594</x:v>
      </x:c>
      <x:c r="G360" s="4">
        <x:v>2905884</x:v>
      </x:c>
      <x:c r="H360" s="4">
        <x:v>29665</x:v>
      </x:c>
      <x:c r="I360" s="4">
        <x:v>33276</x:v>
      </x:c>
      <x:c r="J360" s="4">
        <x:v>72</x:v>
      </x:c>
      <x:c r="K360" s="4">
        <x:v>72</x:v>
      </x:c>
      <x:c r="L360" s="4" t="n">
        <x:f>IFERROR(INDEX('楼层配置'!$D$5:$D$104,MATCH($K360,'楼层配置'!$B$5:$B$104,0)),"")</x:f>
        <x:v>241</x:v>
      </x:c>
      <x:c r="M360" s="4" t="str">
        <x:f>IFERROR(INDEX('_角色基线'!$B$2:$B$100,MATCH($B360,'_角色基线'!$A$2:$A$100,0)),"")</x:f>
        <x:v>阿芭</x:v>
      </x:c>
      <x:c r="N360" s="4" t="str">
        <x:f>IFERROR(INDEX('_角色基线'!$C$2:$C$100,MATCH($B360,'_角色基线'!$A$2:$A$100,0)),"")</x:f>
        <x:v>Tank</x:v>
      </x:c>
      <x:c r="O360" s="4" t="n">
        <x:f>IFERROR(INDEX('_怪物基线'!$B$2:$B$501,MATCH(INT($L360),'_怪物基线'!$A$2:$A$501,0)),"")</x:f>
        <x:v>266390</x:v>
      </x:c>
      <x:c r="P360" s="4" t="n">
        <x:f>IFERROR(INDEX('_怪物基线'!$C$2:$C$501,MATCH(INT($L360),'_怪物基线'!$A$2:$A$501,0)),"")</x:f>
        <x:v>27467</x:v>
      </x:c>
      <x:c r="Q360" s="4" t="n">
        <x:f>IFERROR(INDEX('_怪物基线'!$D$2:$D$501,MATCH(INT($L360),'_怪物基线'!$A$2:$A$501,0)),"")</x:f>
        <x:v>24396</x:v>
      </x:c>
      <x:c r="R360" s="4" t="n">
        <x:f>'参数'!$B$10</x:f>
        <x:v>4</x:v>
      </x:c>
      <x:c r="S360" s="4" t="n">
        <x:f>'参数'!$C$10</x:f>
        <x:v>1.2</x:v>
      </x:c>
      <x:c r="T360" s="4" t="n">
        <x:f>'参数'!$D$10</x:f>
        <x:v>1</x:v>
      </x:c>
      <x:c r="U360" s="4" t="n">
        <x:f t="shared" si="35">IF($O360="","",$O360*$R360)</x:f>
        <x:v>1065560</x:v>
      </x:c>
      <x:c r="V360" s="4" t="n">
        <x:f t="shared" si="36">IF($P360="","",$P360*$S360)</x:f>
        <x:v>32960.4</x:v>
      </x:c>
      <x:c r="W360" s="4" t="n">
        <x:f t="shared" si="37">IF($Q360="","",$Q360*$T360)</x:f>
        <x:v>24396</x:v>
      </x:c>
      <x:c r="X360" s="4" t="n">
        <x:f>IFERROR(INDEX('参数'!$B$5:$B$7,MATCH($N360,'参数'!$A$5:$A$7,0)),"")</x:f>
        <x:v>1.5</x:v>
      </x:c>
      <x:c r="Y360" s="4" t="n">
        <x:f>IFERROR(INDEX('参数'!$C$5:$C$7,MATCH($N360,'参数'!$A$5:$A$7,0)),"")</x:f>
        <x:v>1</x:v>
      </x:c>
      <x:c r="Z360" s="4" t="n">
        <x:f>IFERROR(INDEX('参数'!$D$5:$D$7,MATCH($N360,'参数'!$A$5:$A$7,0)),"")</x:f>
        <x:v>1.5</x:v>
      </x:c>
      <x:c r="AA360" s="4" t="n">
        <x:f>IFERROR(INDEX('楼层配置'!$E$5:$E$104,MATCH($K360,'楼层配置'!$B$5:$B$104,0)),1)</x:f>
        <x:v>1.1399375298951537</x:v>
      </x:c>
      <x:c r="AB360" s="4" t="n">
        <x:f>IFERROR(INDEX('楼层配置'!$F$5:$F$104,MATCH($K360,'楼层配置'!$B$5:$B$104,0)),1)</x:f>
        <x:v>0.7003094632871238</x:v>
      </x:c>
      <x:c r="AC360" s="4" t="n">
        <x:f>IFERROR(INDEX('楼层配置'!$G$5:$G$104,MATCH($K360,'楼层配置'!$B$5:$B$104,0)),1)</x:f>
        <x:v>1</x:v>
      </x:c>
      <x:c r="AD360" s="6" t="n">
        <x:f t="shared" si="38">IFERROR($D360/$G360-1,"")</x:f>
        <x:v>-0.3729935537688359</x:v>
      </x:c>
      <x:c r="AE360" s="6" t="n">
        <x:f t="shared" si="39">IFERROR($E360/$H360-1,"")</x:f>
        <x:v>-0.22191134333389517</x:v>
      </x:c>
      <x:c r="AF360" s="6" t="n">
        <x:f t="shared" si="40">IFERROR($F360/$I360-1,"")</x:f>
        <x:v>0.09971150378651283</x:v>
      </x:c>
      <x:c r="AG360" s="4" t="str">
        <x:f t="shared" si="41">IF(AND($A360&gt;=1,$L360&gt;=1,$L360&lt;=500,OR($N360="Tank",$N360="DPS",$N360="Support"),ISNUMBER($D360),ISNUMBER($E360),ISNUMBER($F360)),"有效","异常")</x:f>
        <x:v>有效</x:v>
      </x:c>
      <x:c r="AH360" t="n">
        <x:f>D360/(1-MIN(0.75,F360/(24000+F360)))</x:f>
        <x:v>4600114.698</x:v>
      </x:c>
    </x:row>
    <x:row r="361" ht="14.25" customHeight="1">
      <x:c r="A361" s="4">
        <x:v>357</x:v>
      </x:c>
      <x:c r="B361" s="4">
        <x:v>1013</x:v>
      </x:c>
      <x:c r="C361" s="4">
        <x:v>46</x:v>
      </x:c>
      <x:c r="D361" s="5" t="n">
        <x:f>IFERROR(ROUND($U361*$X361*$AA361*'参数'!$B$13,0),"")</x:f>
        <x:v>1214672</x:v>
      </x:c>
      <x:c r="E361" s="5" t="n">
        <x:f>IFERROR(ROUND($V361*$Y361*$AB361*'参数'!$C$13,0),"")</x:f>
        <x:v>27699</x:v>
      </x:c>
      <x:c r="F361" s="5" t="n">
        <x:f>IFERROR(ROUND($W361*$Z361*$AC361*'参数'!$D$13,0),"")</x:f>
        <x:v>24396</x:v>
      </x:c>
      <x:c r="G361" s="4">
        <x:v>1937256</x:v>
      </x:c>
      <x:c r="H361" s="4">
        <x:v>35598</x:v>
      </x:c>
      <x:c r="I361" s="4">
        <x:v>22184</x:v>
      </x:c>
      <x:c r="J361" s="4">
        <x:v>72</x:v>
      </x:c>
      <x:c r="K361" s="4">
        <x:v>72</x:v>
      </x:c>
      <x:c r="L361" s="4" t="n">
        <x:f>IFERROR(INDEX('楼层配置'!$D$5:$D$104,MATCH($K361,'楼层配置'!$B$5:$B$104,0)),"")</x:f>
        <x:v>241</x:v>
      </x:c>
      <x:c r="M361" s="4" t="str">
        <x:f>IFERROR(INDEX('_角色基线'!$B$2:$B$100,MATCH($B361,'_角色基线'!$A$2:$A$100,0)),"")</x:f>
        <x:v>夏缇拉</x:v>
      </x:c>
      <x:c r="N361" s="4" t="str">
        <x:f>IFERROR(INDEX('_角色基线'!$C$2:$C$100,MATCH($B361,'_角色基线'!$A$2:$A$100,0)),"")</x:f>
        <x:v>DPS</x:v>
      </x:c>
      <x:c r="O361" s="4" t="n">
        <x:f>IFERROR(INDEX('_怪物基线'!$B$2:$B$501,MATCH(INT($L361),'_怪物基线'!$A$2:$A$501,0)),"")</x:f>
        <x:v>266390</x:v>
      </x:c>
      <x:c r="P361" s="4" t="n">
        <x:f>IFERROR(INDEX('_怪物基线'!$C$2:$C$501,MATCH(INT($L361),'_怪物基线'!$A$2:$A$501,0)),"")</x:f>
        <x:v>27467</x:v>
      </x:c>
      <x:c r="Q361" s="4" t="n">
        <x:f>IFERROR(INDEX('_怪物基线'!$D$2:$D$501,MATCH(INT($L361),'_怪物基线'!$A$2:$A$501,0)),"")</x:f>
        <x:v>24396</x:v>
      </x:c>
      <x:c r="R361" s="4" t="n">
        <x:f>'参数'!$B$10</x:f>
        <x:v>4</x:v>
      </x:c>
      <x:c r="S361" s="4" t="n">
        <x:f>'参数'!$C$10</x:f>
        <x:v>1.2</x:v>
      </x:c>
      <x:c r="T361" s="4" t="n">
        <x:f>'参数'!$D$10</x:f>
        <x:v>1</x:v>
      </x:c>
      <x:c r="U361" s="4" t="n">
        <x:f t="shared" si="35">IF($O361="","",$O361*$R361)</x:f>
        <x:v>1065560</x:v>
      </x:c>
      <x:c r="V361" s="4" t="n">
        <x:f t="shared" si="36">IF($P361="","",$P361*$S361)</x:f>
        <x:v>32960.4</x:v>
      </x:c>
      <x:c r="W361" s="4" t="n">
        <x:f t="shared" si="37">IF($Q361="","",$Q361*$T361)</x:f>
        <x:v>24396</x:v>
      </x:c>
      <x:c r="X361" s="4" t="n">
        <x:f>IFERROR(INDEX('参数'!$B$5:$B$7,MATCH($N361,'参数'!$A$5:$A$7,0)),"")</x:f>
        <x:v>1</x:v>
      </x:c>
      <x:c r="Y361" s="4" t="n">
        <x:f>IFERROR(INDEX('参数'!$C$5:$C$7,MATCH($N361,'参数'!$A$5:$A$7,0)),"")</x:f>
        <x:v>1.2</x:v>
      </x:c>
      <x:c r="Z361" s="4" t="n">
        <x:f>IFERROR(INDEX('参数'!$D$5:$D$7,MATCH($N361,'参数'!$A$5:$A$7,0)),"")</x:f>
        <x:v>1</x:v>
      </x:c>
      <x:c r="AA361" s="4" t="n">
        <x:f>IFERROR(INDEX('楼层配置'!$E$5:$E$104,MATCH($K361,'楼层配置'!$B$5:$B$104,0)),1)</x:f>
        <x:v>1.1399375298951537</x:v>
      </x:c>
      <x:c r="AB361" s="4" t="n">
        <x:f>IFERROR(INDEX('楼层配置'!$F$5:$F$104,MATCH($K361,'楼层配置'!$B$5:$B$104,0)),1)</x:f>
        <x:v>0.7003094632871238</x:v>
      </x:c>
      <x:c r="AC361" s="4" t="n">
        <x:f>IFERROR(INDEX('楼层配置'!$G$5:$G$104,MATCH($K361,'楼层配置'!$B$5:$B$104,0)),1)</x:f>
        <x:v>1</x:v>
      </x:c>
      <x:c r="AD361" s="6" t="n">
        <x:f t="shared" si="38">IFERROR($D361/$G361-1,"")</x:f>
        <x:v>-0.3729935537688359</x:v>
      </x:c>
      <x:c r="AE361" s="6" t="n">
        <x:f t="shared" si="39">IFERROR($E361/$H361-1,"")</x:f>
        <x:v>-0.2218944884544075</x:v>
      </x:c>
      <x:c r="AF361" s="6" t="n">
        <x:f t="shared" si="40">IFERROR($F361/$I361-1,"")</x:f>
        <x:v>0.09971150378651283</x:v>
      </x:c>
      <x:c r="AG361" s="4" t="str">
        <x:f t="shared" si="41">IF(AND($A361&gt;=1,$L361&gt;=1,$L361&lt;=500,OR($N361="Tank",$N361="DPS",$N361="Support"),ISNUMBER($D361),ISNUMBER($E361),ISNUMBER($F361)),"有效","异常")</x:f>
        <x:v>有效</x:v>
      </x:c>
      <x:c r="AH361" t="n">
        <x:f>D361/(1-MIN(0.75,F361/(24000+F361)))</x:f>
        <x:v>2449386.088</x:v>
      </x:c>
    </x:row>
    <x:row r="362" ht="14.25" customHeight="1">
      <x:c r="A362" s="4">
        <x:v>358</x:v>
      </x:c>
      <x:c r="B362" s="4">
        <x:v>1017</x:v>
      </x:c>
      <x:c r="C362" s="4">
        <x:v>46</x:v>
      </x:c>
      <x:c r="D362" s="5" t="n">
        <x:f>IFERROR(ROUND($U362*$X362*$AA362*'参数'!$B$13,0),"")</x:f>
        <x:v>1214672</x:v>
      </x:c>
      <x:c r="E362" s="5" t="n">
        <x:f>IFERROR(ROUND($V362*$Y362*$AB362*'参数'!$C$13,0),"")</x:f>
        <x:v>27699</x:v>
      </x:c>
      <x:c r="F362" s="5" t="n">
        <x:f>IFERROR(ROUND($W362*$Z362*$AC362*'参数'!$D$13,0),"")</x:f>
        <x:v>24396</x:v>
      </x:c>
      <x:c r="G362" s="4">
        <x:v>1937256</x:v>
      </x:c>
      <x:c r="H362" s="4">
        <x:v>35598</x:v>
      </x:c>
      <x:c r="I362" s="4">
        <x:v>22184</x:v>
      </x:c>
      <x:c r="J362" s="4">
        <x:v>72</x:v>
      </x:c>
      <x:c r="K362" s="4">
        <x:v>72</x:v>
      </x:c>
      <x:c r="L362" s="4" t="n">
        <x:f>IFERROR(INDEX('楼层配置'!$D$5:$D$104,MATCH($K362,'楼层配置'!$B$5:$B$104,0)),"")</x:f>
        <x:v>241</x:v>
      </x:c>
      <x:c r="M362" s="4" t="str">
        <x:f>IFERROR(INDEX('_角色基线'!$B$2:$B$100,MATCH($B362,'_角色基线'!$A$2:$A$100,0)),"")</x:f>
        <x:v>伊戈尔</x:v>
      </x:c>
      <x:c r="N362" s="4" t="str">
        <x:f>IFERROR(INDEX('_角色基线'!$C$2:$C$100,MATCH($B362,'_角色基线'!$A$2:$A$100,0)),"")</x:f>
        <x:v>DPS</x:v>
      </x:c>
      <x:c r="O362" s="4" t="n">
        <x:f>IFERROR(INDEX('_怪物基线'!$B$2:$B$501,MATCH(INT($L362),'_怪物基线'!$A$2:$A$501,0)),"")</x:f>
        <x:v>266390</x:v>
      </x:c>
      <x:c r="P362" s="4" t="n">
        <x:f>IFERROR(INDEX('_怪物基线'!$C$2:$C$501,MATCH(INT($L362),'_怪物基线'!$A$2:$A$501,0)),"")</x:f>
        <x:v>27467</x:v>
      </x:c>
      <x:c r="Q362" s="4" t="n">
        <x:f>IFERROR(INDEX('_怪物基线'!$D$2:$D$501,MATCH(INT($L362),'_怪物基线'!$A$2:$A$501,0)),"")</x:f>
        <x:v>24396</x:v>
      </x:c>
      <x:c r="R362" s="4" t="n">
        <x:f>'参数'!$B$10</x:f>
        <x:v>4</x:v>
      </x:c>
      <x:c r="S362" s="4" t="n">
        <x:f>'参数'!$C$10</x:f>
        <x:v>1.2</x:v>
      </x:c>
      <x:c r="T362" s="4" t="n">
        <x:f>'参数'!$D$10</x:f>
        <x:v>1</x:v>
      </x:c>
      <x:c r="U362" s="4" t="n">
        <x:f t="shared" si="35">IF($O362="","",$O362*$R362)</x:f>
        <x:v>1065560</x:v>
      </x:c>
      <x:c r="V362" s="4" t="n">
        <x:f t="shared" si="36">IF($P362="","",$P362*$S362)</x:f>
        <x:v>32960.4</x:v>
      </x:c>
      <x:c r="W362" s="4" t="n">
        <x:f t="shared" si="37">IF($Q362="","",$Q362*$T362)</x:f>
        <x:v>24396</x:v>
      </x:c>
      <x:c r="X362" s="4" t="n">
        <x:f>IFERROR(INDEX('参数'!$B$5:$B$7,MATCH($N362,'参数'!$A$5:$A$7,0)),"")</x:f>
        <x:v>1</x:v>
      </x:c>
      <x:c r="Y362" s="4" t="n">
        <x:f>IFERROR(INDEX('参数'!$C$5:$C$7,MATCH($N362,'参数'!$A$5:$A$7,0)),"")</x:f>
        <x:v>1.2</x:v>
      </x:c>
      <x:c r="Z362" s="4" t="n">
        <x:f>IFERROR(INDEX('参数'!$D$5:$D$7,MATCH($N362,'参数'!$A$5:$A$7,0)),"")</x:f>
        <x:v>1</x:v>
      </x:c>
      <x:c r="AA362" s="4" t="n">
        <x:f>IFERROR(INDEX('楼层配置'!$E$5:$E$104,MATCH($K362,'楼层配置'!$B$5:$B$104,0)),1)</x:f>
        <x:v>1.1399375298951537</x:v>
      </x:c>
      <x:c r="AB362" s="4" t="n">
        <x:f>IFERROR(INDEX('楼层配置'!$F$5:$F$104,MATCH($K362,'楼层配置'!$B$5:$B$104,0)),1)</x:f>
        <x:v>0.7003094632871238</x:v>
      </x:c>
      <x:c r="AC362" s="4" t="n">
        <x:f>IFERROR(INDEX('楼层配置'!$G$5:$G$104,MATCH($K362,'楼层配置'!$B$5:$B$104,0)),1)</x:f>
        <x:v>1</x:v>
      </x:c>
      <x:c r="AD362" s="6" t="n">
        <x:f t="shared" si="38">IFERROR($D362/$G362-1,"")</x:f>
        <x:v>-0.3729935537688359</x:v>
      </x:c>
      <x:c r="AE362" s="6" t="n">
        <x:f t="shared" si="39">IFERROR($E362/$H362-1,"")</x:f>
        <x:v>-0.2218944884544075</x:v>
      </x:c>
      <x:c r="AF362" s="6" t="n">
        <x:f t="shared" si="40">IFERROR($F362/$I362-1,"")</x:f>
        <x:v>0.09971150378651283</x:v>
      </x:c>
      <x:c r="AG362" s="4" t="str">
        <x:f t="shared" si="41">IF(AND($A362&gt;=1,$L362&gt;=1,$L362&lt;=500,OR($N362="Tank",$N362="DPS",$N362="Support"),ISNUMBER($D362),ISNUMBER($E362),ISNUMBER($F362)),"有效","异常")</x:f>
        <x:v>有效</x:v>
      </x:c>
      <x:c r="AH362" t="n">
        <x:f>D362/(1-MIN(0.75,F362/(24000+F362)))</x:f>
        <x:v>2449386.088</x:v>
      </x:c>
    </x:row>
    <x:row r="363" ht="14.25" customHeight="1">
      <x:c r="A363" s="4">
        <x:v>359</x:v>
      </x:c>
      <x:c r="B363" s="4">
        <x:v>1005</x:v>
      </x:c>
      <x:c r="C363" s="4">
        <x:v>46</x:v>
      </x:c>
      <x:c r="D363" s="5" t="n">
        <x:f>IFERROR(ROUND($U363*$X363*$AA363*'参数'!$B$13,0),"")</x:f>
        <x:v>1214672</x:v>
      </x:c>
      <x:c r="E363" s="5" t="n">
        <x:f>IFERROR(ROUND($V363*$Y363*$AB363*'参数'!$C$13,0),"")</x:f>
        <x:v>27699</x:v>
      </x:c>
      <x:c r="F363" s="5" t="n">
        <x:f>IFERROR(ROUND($W363*$Z363*$AC363*'参数'!$D$13,0),"")</x:f>
        <x:v>24396</x:v>
      </x:c>
      <x:c r="G363" s="4">
        <x:v>1937256</x:v>
      </x:c>
      <x:c r="H363" s="4">
        <x:v>35598</x:v>
      </x:c>
      <x:c r="I363" s="4">
        <x:v>22184</x:v>
      </x:c>
      <x:c r="J363" s="4">
        <x:v>72</x:v>
      </x:c>
      <x:c r="K363" s="4">
        <x:v>72</x:v>
      </x:c>
      <x:c r="L363" s="4" t="n">
        <x:f>IFERROR(INDEX('楼层配置'!$D$5:$D$104,MATCH($K363,'楼层配置'!$B$5:$B$104,0)),"")</x:f>
        <x:v>241</x:v>
      </x:c>
      <x:c r="M363" s="4" t="str">
        <x:f>IFERROR(INDEX('_角色基线'!$B$2:$B$100,MATCH($B363,'_角色基线'!$A$2:$A$100,0)),"")</x:f>
        <x:v>陈单单</x:v>
      </x:c>
      <x:c r="N363" s="4" t="str">
        <x:f>IFERROR(INDEX('_角色基线'!$C$2:$C$100,MATCH($B363,'_角色基线'!$A$2:$A$100,0)),"")</x:f>
        <x:v>DPS</x:v>
      </x:c>
      <x:c r="O363" s="4" t="n">
        <x:f>IFERROR(INDEX('_怪物基线'!$B$2:$B$501,MATCH(INT($L363),'_怪物基线'!$A$2:$A$501,0)),"")</x:f>
        <x:v>266390</x:v>
      </x:c>
      <x:c r="P363" s="4" t="n">
        <x:f>IFERROR(INDEX('_怪物基线'!$C$2:$C$501,MATCH(INT($L363),'_怪物基线'!$A$2:$A$501,0)),"")</x:f>
        <x:v>27467</x:v>
      </x:c>
      <x:c r="Q363" s="4" t="n">
        <x:f>IFERROR(INDEX('_怪物基线'!$D$2:$D$501,MATCH(INT($L363),'_怪物基线'!$A$2:$A$501,0)),"")</x:f>
        <x:v>24396</x:v>
      </x:c>
      <x:c r="R363" s="4" t="n">
        <x:f>'参数'!$B$10</x:f>
        <x:v>4</x:v>
      </x:c>
      <x:c r="S363" s="4" t="n">
        <x:f>'参数'!$C$10</x:f>
        <x:v>1.2</x:v>
      </x:c>
      <x:c r="T363" s="4" t="n">
        <x:f>'参数'!$D$10</x:f>
        <x:v>1</x:v>
      </x:c>
      <x:c r="U363" s="4" t="n">
        <x:f t="shared" si="35">IF($O363="","",$O363*$R363)</x:f>
        <x:v>1065560</x:v>
      </x:c>
      <x:c r="V363" s="4" t="n">
        <x:f t="shared" si="36">IF($P363="","",$P363*$S363)</x:f>
        <x:v>32960.4</x:v>
      </x:c>
      <x:c r="W363" s="4" t="n">
        <x:f t="shared" si="37">IF($Q363="","",$Q363*$T363)</x:f>
        <x:v>24396</x:v>
      </x:c>
      <x:c r="X363" s="4" t="n">
        <x:f>IFERROR(INDEX('参数'!$B$5:$B$7,MATCH($N363,'参数'!$A$5:$A$7,0)),"")</x:f>
        <x:v>1</x:v>
      </x:c>
      <x:c r="Y363" s="4" t="n">
        <x:f>IFERROR(INDEX('参数'!$C$5:$C$7,MATCH($N363,'参数'!$A$5:$A$7,0)),"")</x:f>
        <x:v>1.2</x:v>
      </x:c>
      <x:c r="Z363" s="4" t="n">
        <x:f>IFERROR(INDEX('参数'!$D$5:$D$7,MATCH($N363,'参数'!$A$5:$A$7,0)),"")</x:f>
        <x:v>1</x:v>
      </x:c>
      <x:c r="AA363" s="4" t="n">
        <x:f>IFERROR(INDEX('楼层配置'!$E$5:$E$104,MATCH($K363,'楼层配置'!$B$5:$B$104,0)),1)</x:f>
        <x:v>1.1399375298951537</x:v>
      </x:c>
      <x:c r="AB363" s="4" t="n">
        <x:f>IFERROR(INDEX('楼层配置'!$F$5:$F$104,MATCH($K363,'楼层配置'!$B$5:$B$104,0)),1)</x:f>
        <x:v>0.7003094632871238</x:v>
      </x:c>
      <x:c r="AC363" s="4" t="n">
        <x:f>IFERROR(INDEX('楼层配置'!$G$5:$G$104,MATCH($K363,'楼层配置'!$B$5:$B$104,0)),1)</x:f>
        <x:v>1</x:v>
      </x:c>
      <x:c r="AD363" s="6" t="n">
        <x:f t="shared" si="38">IFERROR($D363/$G363-1,"")</x:f>
        <x:v>-0.3729935537688359</x:v>
      </x:c>
      <x:c r="AE363" s="6" t="n">
        <x:f t="shared" si="39">IFERROR($E363/$H363-1,"")</x:f>
        <x:v>-0.2218944884544075</x:v>
      </x:c>
      <x:c r="AF363" s="6" t="n">
        <x:f t="shared" si="40">IFERROR($F363/$I363-1,"")</x:f>
        <x:v>0.09971150378651283</x:v>
      </x:c>
      <x:c r="AG363" s="4" t="str">
        <x:f t="shared" si="41">IF(AND($A363&gt;=1,$L363&gt;=1,$L363&lt;=500,OR($N363="Tank",$N363="DPS",$N363="Support"),ISNUMBER($D363),ISNUMBER($E363),ISNUMBER($F363)),"有效","异常")</x:f>
        <x:v>有效</x:v>
      </x:c>
      <x:c r="AH363" t="n">
        <x:f>D363/(1-MIN(0.75,F363/(24000+F363)))</x:f>
        <x:v>2449386.088</x:v>
      </x:c>
    </x:row>
    <x:row r="364" ht="14.25" customHeight="1">
      <x:c r="A364" s="4">
        <x:v>360</x:v>
      </x:c>
      <x:c r="B364" s="4">
        <x:v>1007</x:v>
      </x:c>
      <x:c r="C364" s="4">
        <x:v>46</x:v>
      </x:c>
      <x:c r="D364" s="5" t="n">
        <x:f>IFERROR(ROUND($U364*$X364*$AA364*'参数'!$B$13,0),"")</x:f>
        <x:v>1518340</x:v>
      </x:c>
      <x:c r="E364" s="5" t="n">
        <x:f>IFERROR(ROUND($V364*$Y364*$AB364*'参数'!$C$13,0),"")</x:f>
        <x:v>23082</x:v>
      </x:c>
      <x:c r="F364" s="5" t="n">
        <x:f>IFERROR(ROUND($W364*$Z364*$AC364*'参数'!$D$13,0),"")</x:f>
        <x:v>30495</x:v>
      </x:c>
      <x:c r="G364" s="4">
        <x:v>2421570</x:v>
      </x:c>
      <x:c r="H364" s="4">
        <x:v>29665</x:v>
      </x:c>
      <x:c r="I364" s="4">
        <x:v>27730</x:v>
      </x:c>
      <x:c r="J364" s="4">
        <x:v>72</x:v>
      </x:c>
      <x:c r="K364" s="4">
        <x:v>72</x:v>
      </x:c>
      <x:c r="L364" s="4" t="n">
        <x:f>IFERROR(INDEX('楼层配置'!$D$5:$D$104,MATCH($K364,'楼层配置'!$B$5:$B$104,0)),"")</x:f>
        <x:v>241</x:v>
      </x:c>
      <x:c r="M364" s="4" t="str">
        <x:f>IFERROR(INDEX('_角色基线'!$B$2:$B$100,MATCH($B364,'_角色基线'!$A$2:$A$100,0)),"")</x:f>
        <x:v>萨萨莉安</x:v>
      </x:c>
      <x:c r="N364" s="4" t="str">
        <x:f>IFERROR(INDEX('_角色基线'!$C$2:$C$100,MATCH($B364,'_角色基线'!$A$2:$A$100,0)),"")</x:f>
        <x:v>Support</x:v>
      </x:c>
      <x:c r="O364" s="4" t="n">
        <x:f>IFERROR(INDEX('_怪物基线'!$B$2:$B$501,MATCH(INT($L364),'_怪物基线'!$A$2:$A$501,0)),"")</x:f>
        <x:v>266390</x:v>
      </x:c>
      <x:c r="P364" s="4" t="n">
        <x:f>IFERROR(INDEX('_怪物基线'!$C$2:$C$501,MATCH(INT($L364),'_怪物基线'!$A$2:$A$501,0)),"")</x:f>
        <x:v>27467</x:v>
      </x:c>
      <x:c r="Q364" s="4" t="n">
        <x:f>IFERROR(INDEX('_怪物基线'!$D$2:$D$501,MATCH(INT($L364),'_怪物基线'!$A$2:$A$501,0)),"")</x:f>
        <x:v>24396</x:v>
      </x:c>
      <x:c r="R364" s="4" t="n">
        <x:f>'参数'!$B$10</x:f>
        <x:v>4</x:v>
      </x:c>
      <x:c r="S364" s="4" t="n">
        <x:f>'参数'!$C$10</x:f>
        <x:v>1.2</x:v>
      </x:c>
      <x:c r="T364" s="4" t="n">
        <x:f>'参数'!$D$10</x:f>
        <x:v>1</x:v>
      </x:c>
      <x:c r="U364" s="4" t="n">
        <x:f t="shared" si="35">IF($O364="","",$O364*$R364)</x:f>
        <x:v>1065560</x:v>
      </x:c>
      <x:c r="V364" s="4" t="n">
        <x:f t="shared" si="36">IF($P364="","",$P364*$S364)</x:f>
        <x:v>32960.4</x:v>
      </x:c>
      <x:c r="W364" s="4" t="n">
        <x:f t="shared" si="37">IF($Q364="","",$Q364*$T364)</x:f>
        <x:v>24396</x:v>
      </x:c>
      <x:c r="X364" s="4" t="n">
        <x:f>IFERROR(INDEX('参数'!$B$5:$B$7,MATCH($N364,'参数'!$A$5:$A$7,0)),"")</x:f>
        <x:v>1.25</x:v>
      </x:c>
      <x:c r="Y364" s="4" t="n">
        <x:f>IFERROR(INDEX('参数'!$C$5:$C$7,MATCH($N364,'参数'!$A$5:$A$7,0)),"")</x:f>
        <x:v>1</x:v>
      </x:c>
      <x:c r="Z364" s="4" t="n">
        <x:f>IFERROR(INDEX('参数'!$D$5:$D$7,MATCH($N364,'参数'!$A$5:$A$7,0)),"")</x:f>
        <x:v>1.25</x:v>
      </x:c>
      <x:c r="AA364" s="4" t="n">
        <x:f>IFERROR(INDEX('楼层配置'!$E$5:$E$104,MATCH($K364,'楼层配置'!$B$5:$B$104,0)),1)</x:f>
        <x:v>1.1399375298951537</x:v>
      </x:c>
      <x:c r="AB364" s="4" t="n">
        <x:f>IFERROR(INDEX('楼层配置'!$F$5:$F$104,MATCH($K364,'楼层配置'!$B$5:$B$104,0)),1)</x:f>
        <x:v>0.7003094632871238</x:v>
      </x:c>
      <x:c r="AC364" s="4" t="n">
        <x:f>IFERROR(INDEX('楼层配置'!$G$5:$G$104,MATCH($K364,'楼层配置'!$B$5:$B$104,0)),1)</x:f>
        <x:v>1</x:v>
      </x:c>
      <x:c r="AD364" s="6" t="n">
        <x:f t="shared" si="38">IFERROR($D364/$G364-1,"")</x:f>
        <x:v>-0.3729935537688359</x:v>
      </x:c>
      <x:c r="AE364" s="6" t="n">
        <x:f t="shared" si="39">IFERROR($E364/$H364-1,"")</x:f>
        <x:v>-0.22191134333389517</x:v>
      </x:c>
      <x:c r="AF364" s="6" t="n">
        <x:f t="shared" si="40">IFERROR($F364/$I364-1,"")</x:f>
        <x:v>0.09971150378651283</x:v>
      </x:c>
      <x:c r="AG364" s="4" t="str">
        <x:f t="shared" si="41">IF(AND($A364&gt;=1,$L364&gt;=1,$L364&lt;=500,OR($N364="Tank",$N364="DPS",$N364="Support"),ISNUMBER($D364),ISNUMBER($E364),ISNUMBER($F364)),"有效","异常")</x:f>
        <x:v>有效</x:v>
      </x:c>
      <x:c r="AH364" t="n">
        <x:f>D364/(1-MIN(0.75,F364/(24000+F364)))</x:f>
        <x:v>3447580.7625</x:v>
      </x:c>
    </x:row>
    <x:row r="365" ht="14.25" customHeight="1">
      <x:c r="A365" s="4">
        <x:v>361</x:v>
      </x:c>
      <x:c r="B365" s="4">
        <x:v>1004</x:v>
      </x:c>
      <x:c r="C365" s="4">
        <x:v>46</x:v>
      </x:c>
      <x:c r="D365" s="5" t="n">
        <x:f>IFERROR(ROUND($U365*$X365*$AA365*'参数'!$B$13,0),"")</x:f>
        <x:v>1877422</x:v>
      </x:c>
      <x:c r="E365" s="5" t="n">
        <x:f>IFERROR(ROUND($V365*$Y365*$AB365*'参数'!$C$13,0),"")</x:f>
        <x:v>23617</x:v>
      </x:c>
      <x:c r="F365" s="5" t="n">
        <x:f>IFERROR(ROUND($W365*$Z365*$AC365*'参数'!$D$13,0),"")</x:f>
        <x:v>36981</x:v>
      </x:c>
      <x:c r="G365" s="4">
        <x:v>3010183</x:v>
      </x:c>
      <x:c r="H365" s="4">
        <x:v>30458</x:v>
      </x:c>
      <x:c r="I365" s="4">
        <x:v>33879</x:v>
      </x:c>
      <x:c r="J365" s="4">
        <x:v>73</x:v>
      </x:c>
      <x:c r="K365" s="4">
        <x:v>73</x:v>
      </x:c>
      <x:c r="L365" s="4" t="n">
        <x:f>IFERROR(INDEX('楼层配置'!$D$5:$D$104,MATCH($K365,'楼层配置'!$B$5:$B$104,0)),"")</x:f>
        <x:v>243</x:v>
      </x:c>
      <x:c r="M365" s="4" t="str">
        <x:f>IFERROR(INDEX('_角色基线'!$B$2:$B$100,MATCH($B365,'_角色基线'!$A$2:$A$100,0)),"")</x:f>
        <x:v>阿芭</x:v>
      </x:c>
      <x:c r="N365" s="4" t="str">
        <x:f>IFERROR(INDEX('_角色基线'!$C$2:$C$100,MATCH($B365,'_角色基线'!$A$2:$A$100,0)),"")</x:f>
        <x:v>Tank</x:v>
      </x:c>
      <x:c r="O365" s="4" t="n">
        <x:f>IFERROR(INDEX('_怪物基线'!$B$2:$B$501,MATCH(INT($L365),'_怪物基线'!$A$2:$A$501,0)),"")</x:f>
        <x:v>272174</x:v>
      </x:c>
      <x:c r="P365" s="4" t="n">
        <x:f>IFERROR(INDEX('_怪物基线'!$C$2:$C$501,MATCH(INT($L365),'_怪物基线'!$A$2:$A$501,0)),"")</x:f>
        <x:v>27905</x:v>
      </x:c>
      <x:c r="Q365" s="4" t="n">
        <x:f>IFERROR(INDEX('_怪物基线'!$D$2:$D$501,MATCH(INT($L365),'_怪物基线'!$A$2:$A$501,0)),"")</x:f>
        <x:v>24654</x:v>
      </x:c>
      <x:c r="R365" s="4" t="n">
        <x:f>'参数'!$B$10</x:f>
        <x:v>4</x:v>
      </x:c>
      <x:c r="S365" s="4" t="n">
        <x:f>'参数'!$C$10</x:f>
        <x:v>1.2</x:v>
      </x:c>
      <x:c r="T365" s="4" t="n">
        <x:f>'参数'!$D$10</x:f>
        <x:v>1</x:v>
      </x:c>
      <x:c r="U365" s="4" t="n">
        <x:f t="shared" si="35">IF($O365="","",$O365*$R365)</x:f>
        <x:v>1088696</x:v>
      </x:c>
      <x:c r="V365" s="4" t="n">
        <x:f t="shared" si="36">IF($P365="","",$P365*$S365)</x:f>
        <x:v>33486</x:v>
      </x:c>
      <x:c r="W365" s="4" t="n">
        <x:f t="shared" si="37">IF($Q365="","",$Q365*$T365)</x:f>
        <x:v>24654</x:v>
      </x:c>
      <x:c r="X365" s="4" t="n">
        <x:f>IFERROR(INDEX('参数'!$B$5:$B$7,MATCH($N365,'参数'!$A$5:$A$7,0)),"")</x:f>
        <x:v>1.5</x:v>
      </x:c>
      <x:c r="Y365" s="4" t="n">
        <x:f>IFERROR(INDEX('参数'!$C$5:$C$7,MATCH($N365,'参数'!$A$5:$A$7,0)),"")</x:f>
        <x:v>1</x:v>
      </x:c>
      <x:c r="Z365" s="4" t="n">
        <x:f>IFERROR(INDEX('参数'!$D$5:$D$7,MATCH($N365,'参数'!$A$5:$A$7,0)),"")</x:f>
        <x:v>1.5</x:v>
      </x:c>
      <x:c r="AA365" s="4" t="n">
        <x:f>IFERROR(INDEX('楼层配置'!$E$5:$E$104,MATCH($K365,'楼层配置'!$B$5:$B$104,0)),1)</x:f>
        <x:v>1.1496454467745167</x:v>
      </x:c>
      <x:c r="AB365" s="4" t="n">
        <x:f>IFERROR(INDEX('楼层配置'!$F$5:$F$104,MATCH($K365,'楼层配置'!$B$5:$B$104,0)),1)</x:f>
        <x:v>0.7052939283171508</x:v>
      </x:c>
      <x:c r="AC365" s="4" t="n">
        <x:f>IFERROR(INDEX('楼层配置'!$G$5:$G$104,MATCH($K365,'楼层配置'!$B$5:$B$104,0)),1)</x:f>
        <x:v>1</x:v>
      </x:c>
      <x:c r="AD365" s="6" t="n">
        <x:f t="shared" si="38">IFERROR($D365/$G365-1,"")</x:f>
        <x:v>-0.3763096795111792</x:v>
      </x:c>
      <x:c r="AE365" s="6" t="n">
        <x:f t="shared" si="39">IFERROR($E365/$H365-1,"")</x:f>
        <x:v>-0.22460437323527482</x:v>
      </x:c>
      <x:c r="AF365" s="6" t="n">
        <x:f t="shared" si="40">IFERROR($F365/$I365-1,"")</x:f>
        <x:v>0.0915611440715487</x:v>
      </x:c>
      <x:c r="AG365" s="4" t="str">
        <x:f t="shared" si="41">IF(AND($A365&gt;=1,$L365&gt;=1,$L365&lt;=500,OR($N365="Tank",$N365="DPS",$N365="Support"),ISNUMBER($D365),ISNUMBER($E365),ISNUMBER($F365)),"有效","异常")</x:f>
        <x:v>有效</x:v>
      </x:c>
      <x:c r="AH365" t="n">
        <x:f>D365/(1-MIN(0.75,F365/(24000+F365)))</x:f>
        <x:v>4770294.62425</x:v>
      </x:c>
    </x:row>
    <x:row r="366" ht="14.25" customHeight="1">
      <x:c r="A366" s="4">
        <x:v>362</x:v>
      </x:c>
      <x:c r="B366" s="4">
        <x:v>1017</x:v>
      </x:c>
      <x:c r="C366" s="4">
        <x:v>46</x:v>
      </x:c>
      <x:c r="D366" s="5" t="n">
        <x:f>IFERROR(ROUND($U366*$X366*$AA366*'参数'!$B$13,0),"")</x:f>
        <x:v>1251614</x:v>
      </x:c>
      <x:c r="E366" s="5" t="n">
        <x:f>IFERROR(ROUND($V366*$Y366*$AB366*'参数'!$C$13,0),"")</x:f>
        <x:v>28341</x:v>
      </x:c>
      <x:c r="F366" s="5" t="n">
        <x:f>IFERROR(ROUND($W366*$Z366*$AC366*'参数'!$D$13,0),"")</x:f>
        <x:v>24654</x:v>
      </x:c>
      <x:c r="G366" s="4">
        <x:v>2006788</x:v>
      </x:c>
      <x:c r="H366" s="4">
        <x:v>36549</x:v>
      </x:c>
      <x:c r="I366" s="4">
        <x:v>22586</x:v>
      </x:c>
      <x:c r="J366" s="4">
        <x:v>73</x:v>
      </x:c>
      <x:c r="K366" s="4">
        <x:v>73</x:v>
      </x:c>
      <x:c r="L366" s="4" t="n">
        <x:f>IFERROR(INDEX('楼层配置'!$D$5:$D$104,MATCH($K366,'楼层配置'!$B$5:$B$104,0)),"")</x:f>
        <x:v>243</x:v>
      </x:c>
      <x:c r="M366" s="4" t="str">
        <x:f>IFERROR(INDEX('_角色基线'!$B$2:$B$100,MATCH($B366,'_角色基线'!$A$2:$A$100,0)),"")</x:f>
        <x:v>伊戈尔</x:v>
      </x:c>
      <x:c r="N366" s="4" t="str">
        <x:f>IFERROR(INDEX('_角色基线'!$C$2:$C$100,MATCH($B366,'_角色基线'!$A$2:$A$100,0)),"")</x:f>
        <x:v>DPS</x:v>
      </x:c>
      <x:c r="O366" s="4" t="n">
        <x:f>IFERROR(INDEX('_怪物基线'!$B$2:$B$501,MATCH(INT($L366),'_怪物基线'!$A$2:$A$501,0)),"")</x:f>
        <x:v>272174</x:v>
      </x:c>
      <x:c r="P366" s="4" t="n">
        <x:f>IFERROR(INDEX('_怪物基线'!$C$2:$C$501,MATCH(INT($L366),'_怪物基线'!$A$2:$A$501,0)),"")</x:f>
        <x:v>27905</x:v>
      </x:c>
      <x:c r="Q366" s="4" t="n">
        <x:f>IFERROR(INDEX('_怪物基线'!$D$2:$D$501,MATCH(INT($L366),'_怪物基线'!$A$2:$A$501,0)),"")</x:f>
        <x:v>24654</x:v>
      </x:c>
      <x:c r="R366" s="4" t="n">
        <x:f>'参数'!$B$10</x:f>
        <x:v>4</x:v>
      </x:c>
      <x:c r="S366" s="4" t="n">
        <x:f>'参数'!$C$10</x:f>
        <x:v>1.2</x:v>
      </x:c>
      <x:c r="T366" s="4" t="n">
        <x:f>'参数'!$D$10</x:f>
        <x:v>1</x:v>
      </x:c>
      <x:c r="U366" s="4" t="n">
        <x:f t="shared" si="35">IF($O366="","",$O366*$R366)</x:f>
        <x:v>1088696</x:v>
      </x:c>
      <x:c r="V366" s="4" t="n">
        <x:f t="shared" si="36">IF($P366="","",$P366*$S366)</x:f>
        <x:v>33486</x:v>
      </x:c>
      <x:c r="W366" s="4" t="n">
        <x:f t="shared" si="37">IF($Q366="","",$Q366*$T366)</x:f>
        <x:v>24654</x:v>
      </x:c>
      <x:c r="X366" s="4" t="n">
        <x:f>IFERROR(INDEX('参数'!$B$5:$B$7,MATCH($N366,'参数'!$A$5:$A$7,0)),"")</x:f>
        <x:v>1</x:v>
      </x:c>
      <x:c r="Y366" s="4" t="n">
        <x:f>IFERROR(INDEX('参数'!$C$5:$C$7,MATCH($N366,'参数'!$A$5:$A$7,0)),"")</x:f>
        <x:v>1.2</x:v>
      </x:c>
      <x:c r="Z366" s="4" t="n">
        <x:f>IFERROR(INDEX('参数'!$D$5:$D$7,MATCH($N366,'参数'!$A$5:$A$7,0)),"")</x:f>
        <x:v>1</x:v>
      </x:c>
      <x:c r="AA366" s="4" t="n">
        <x:f>IFERROR(INDEX('楼层配置'!$E$5:$E$104,MATCH($K366,'楼层配置'!$B$5:$B$104,0)),1)</x:f>
        <x:v>1.1496454467745167</x:v>
      </x:c>
      <x:c r="AB366" s="4" t="n">
        <x:f>IFERROR(INDEX('楼层配置'!$F$5:$F$104,MATCH($K366,'楼层配置'!$B$5:$B$104,0)),1)</x:f>
        <x:v>0.7052939283171508</x:v>
      </x:c>
      <x:c r="AC366" s="4" t="n">
        <x:f>IFERROR(INDEX('楼层配置'!$G$5:$G$104,MATCH($K366,'楼层配置'!$B$5:$B$104,0)),1)</x:f>
        <x:v>1</x:v>
      </x:c>
      <x:c r="AD366" s="6" t="n">
        <x:f t="shared" si="38">IFERROR($D366/$G366-1,"")</x:f>
        <x:v>-0.3763098045234474</x:v>
      </x:c>
      <x:c r="AE366" s="6" t="n">
        <x:f t="shared" si="39">IFERROR($E366/$H366-1,"")</x:f>
        <x:v>-0.2245752277764097</x:v>
      </x:c>
      <x:c r="AF366" s="6" t="n">
        <x:f t="shared" si="40">IFERROR($F366/$I366-1,"")</x:f>
        <x:v>0.0915611440715487</x:v>
      </x:c>
      <x:c r="AG366" s="4" t="str">
        <x:f t="shared" si="41">IF(AND($A366&gt;=1,$L366&gt;=1,$L366&lt;=500,OR($N366="Tank",$N366="DPS",$N366="Support"),ISNUMBER($D366),ISNUMBER($E366),ISNUMBER($F366)),"有效","异常")</x:f>
        <x:v>有效</x:v>
      </x:c>
      <x:c r="AH366" t="n">
        <x:f>D366/(1-MIN(0.75,F366/(24000+F366)))</x:f>
        <x:v>2537334.4815</x:v>
      </x:c>
    </x:row>
    <x:row r="367" ht="14.25" customHeight="1">
      <x:c r="A367" s="4">
        <x:v>363</x:v>
      </x:c>
      <x:c r="B367" s="4">
        <x:v>1006</x:v>
      </x:c>
      <x:c r="C367" s="4">
        <x:v>46</x:v>
      </x:c>
      <x:c r="D367" s="5" t="n">
        <x:f>IFERROR(ROUND($U367*$X367*$AA367*'参数'!$B$13,0),"")</x:f>
        <x:v>1251614</x:v>
      </x:c>
      <x:c r="E367" s="5" t="n">
        <x:f>IFERROR(ROUND($V367*$Y367*$AB367*'参数'!$C$13,0),"")</x:f>
        <x:v>28341</x:v>
      </x:c>
      <x:c r="F367" s="5" t="n">
        <x:f>IFERROR(ROUND($W367*$Z367*$AC367*'参数'!$D$13,0),"")</x:f>
        <x:v>24654</x:v>
      </x:c>
      <x:c r="G367" s="4">
        <x:v>2006788</x:v>
      </x:c>
      <x:c r="H367" s="4">
        <x:v>36549</x:v>
      </x:c>
      <x:c r="I367" s="4">
        <x:v>22586</x:v>
      </x:c>
      <x:c r="J367" s="4">
        <x:v>73</x:v>
      </x:c>
      <x:c r="K367" s="4">
        <x:v>73</x:v>
      </x:c>
      <x:c r="L367" s="4" t="n">
        <x:f>IFERROR(INDEX('楼层配置'!$D$5:$D$104,MATCH($K367,'楼层配置'!$B$5:$B$104,0)),"")</x:f>
        <x:v>243</x:v>
      </x:c>
      <x:c r="M367" s="4" t="str">
        <x:f>IFERROR(INDEX('_角色基线'!$B$2:$B$100,MATCH($B367,'_角色基线'!$A$2:$A$100,0)),"")</x:f>
        <x:v>莉莉娅</x:v>
      </x:c>
      <x:c r="N367" s="4" t="str">
        <x:f>IFERROR(INDEX('_角色基线'!$C$2:$C$100,MATCH($B367,'_角色基线'!$A$2:$A$100,0)),"")</x:f>
        <x:v>DPS</x:v>
      </x:c>
      <x:c r="O367" s="4" t="n">
        <x:f>IFERROR(INDEX('_怪物基线'!$B$2:$B$501,MATCH(INT($L367),'_怪物基线'!$A$2:$A$501,0)),"")</x:f>
        <x:v>272174</x:v>
      </x:c>
      <x:c r="P367" s="4" t="n">
        <x:f>IFERROR(INDEX('_怪物基线'!$C$2:$C$501,MATCH(INT($L367),'_怪物基线'!$A$2:$A$501,0)),"")</x:f>
        <x:v>27905</x:v>
      </x:c>
      <x:c r="Q367" s="4" t="n">
        <x:f>IFERROR(INDEX('_怪物基线'!$D$2:$D$501,MATCH(INT($L367),'_怪物基线'!$A$2:$A$501,0)),"")</x:f>
        <x:v>24654</x:v>
      </x:c>
      <x:c r="R367" s="4" t="n">
        <x:f>'参数'!$B$10</x:f>
        <x:v>4</x:v>
      </x:c>
      <x:c r="S367" s="4" t="n">
        <x:f>'参数'!$C$10</x:f>
        <x:v>1.2</x:v>
      </x:c>
      <x:c r="T367" s="4" t="n">
        <x:f>'参数'!$D$10</x:f>
        <x:v>1</x:v>
      </x:c>
      <x:c r="U367" s="4" t="n">
        <x:f t="shared" si="35">IF($O367="","",$O367*$R367)</x:f>
        <x:v>1088696</x:v>
      </x:c>
      <x:c r="V367" s="4" t="n">
        <x:f t="shared" si="36">IF($P367="","",$P367*$S367)</x:f>
        <x:v>33486</x:v>
      </x:c>
      <x:c r="W367" s="4" t="n">
        <x:f t="shared" si="37">IF($Q367="","",$Q367*$T367)</x:f>
        <x:v>24654</x:v>
      </x:c>
      <x:c r="X367" s="4" t="n">
        <x:f>IFERROR(INDEX('参数'!$B$5:$B$7,MATCH($N367,'参数'!$A$5:$A$7,0)),"")</x:f>
        <x:v>1</x:v>
      </x:c>
      <x:c r="Y367" s="4" t="n">
        <x:f>IFERROR(INDEX('参数'!$C$5:$C$7,MATCH($N367,'参数'!$A$5:$A$7,0)),"")</x:f>
        <x:v>1.2</x:v>
      </x:c>
      <x:c r="Z367" s="4" t="n">
        <x:f>IFERROR(INDEX('参数'!$D$5:$D$7,MATCH($N367,'参数'!$A$5:$A$7,0)),"")</x:f>
        <x:v>1</x:v>
      </x:c>
      <x:c r="AA367" s="4" t="n">
        <x:f>IFERROR(INDEX('楼层配置'!$E$5:$E$104,MATCH($K367,'楼层配置'!$B$5:$B$104,0)),1)</x:f>
        <x:v>1.1496454467745167</x:v>
      </x:c>
      <x:c r="AB367" s="4" t="n">
        <x:f>IFERROR(INDEX('楼层配置'!$F$5:$F$104,MATCH($K367,'楼层配置'!$B$5:$B$104,0)),1)</x:f>
        <x:v>0.7052939283171508</x:v>
      </x:c>
      <x:c r="AC367" s="4" t="n">
        <x:f>IFERROR(INDEX('楼层配置'!$G$5:$G$104,MATCH($K367,'楼层配置'!$B$5:$B$104,0)),1)</x:f>
        <x:v>1</x:v>
      </x:c>
      <x:c r="AD367" s="6" t="n">
        <x:f t="shared" si="38">IFERROR($D367/$G367-1,"")</x:f>
        <x:v>-0.3763098045234474</x:v>
      </x:c>
      <x:c r="AE367" s="6" t="n">
        <x:f t="shared" si="39">IFERROR($E367/$H367-1,"")</x:f>
        <x:v>-0.2245752277764097</x:v>
      </x:c>
      <x:c r="AF367" s="6" t="n">
        <x:f t="shared" si="40">IFERROR($F367/$I367-1,"")</x:f>
        <x:v>0.0915611440715487</x:v>
      </x:c>
      <x:c r="AG367" s="4" t="str">
        <x:f t="shared" si="41">IF(AND($A367&gt;=1,$L367&gt;=1,$L367&lt;=500,OR($N367="Tank",$N367="DPS",$N367="Support"),ISNUMBER($D367),ISNUMBER($E367),ISNUMBER($F367)),"有效","异常")</x:f>
        <x:v>有效</x:v>
      </x:c>
      <x:c r="AH367" t="n">
        <x:f>D367/(1-MIN(0.75,F367/(24000+F367)))</x:f>
        <x:v>2537334.4815</x:v>
      </x:c>
    </x:row>
    <x:row r="368" ht="14.25" customHeight="1">
      <x:c r="A368" s="4">
        <x:v>364</x:v>
      </x:c>
      <x:c r="B368" s="4">
        <x:v>1014</x:v>
      </x:c>
      <x:c r="C368" s="4">
        <x:v>46</x:v>
      </x:c>
      <x:c r="D368" s="5" t="n">
        <x:f>IFERROR(ROUND($U368*$X368*$AA368*'参数'!$B$13,0),"")</x:f>
        <x:v>1251614</x:v>
      </x:c>
      <x:c r="E368" s="5" t="n">
        <x:f>IFERROR(ROUND($V368*$Y368*$AB368*'参数'!$C$13,0),"")</x:f>
        <x:v>28341</x:v>
      </x:c>
      <x:c r="F368" s="5" t="n">
        <x:f>IFERROR(ROUND($W368*$Z368*$AC368*'参数'!$D$13,0),"")</x:f>
        <x:v>24654</x:v>
      </x:c>
      <x:c r="G368" s="4">
        <x:v>2006788</x:v>
      </x:c>
      <x:c r="H368" s="4">
        <x:v>36549</x:v>
      </x:c>
      <x:c r="I368" s="4">
        <x:v>22586</x:v>
      </x:c>
      <x:c r="J368" s="4">
        <x:v>73</x:v>
      </x:c>
      <x:c r="K368" s="4">
        <x:v>73</x:v>
      </x:c>
      <x:c r="L368" s="4" t="n">
        <x:f>IFERROR(INDEX('楼层配置'!$D$5:$D$104,MATCH($K368,'楼层配置'!$B$5:$B$104,0)),"")</x:f>
        <x:v>243</x:v>
      </x:c>
      <x:c r="M368" s="4" t="str">
        <x:f>IFERROR(INDEX('_角色基线'!$B$2:$B$100,MATCH($B368,'_角色基线'!$A$2:$A$100,0)),"")</x:f>
        <x:v>克莉丝汀</x:v>
      </x:c>
      <x:c r="N368" s="4" t="str">
        <x:f>IFERROR(INDEX('_角色基线'!$C$2:$C$100,MATCH($B368,'_角色基线'!$A$2:$A$100,0)),"")</x:f>
        <x:v>DPS</x:v>
      </x:c>
      <x:c r="O368" s="4" t="n">
        <x:f>IFERROR(INDEX('_怪物基线'!$B$2:$B$501,MATCH(INT($L368),'_怪物基线'!$A$2:$A$501,0)),"")</x:f>
        <x:v>272174</x:v>
      </x:c>
      <x:c r="P368" s="4" t="n">
        <x:f>IFERROR(INDEX('_怪物基线'!$C$2:$C$501,MATCH(INT($L368),'_怪物基线'!$A$2:$A$501,0)),"")</x:f>
        <x:v>27905</x:v>
      </x:c>
      <x:c r="Q368" s="4" t="n">
        <x:f>IFERROR(INDEX('_怪物基线'!$D$2:$D$501,MATCH(INT($L368),'_怪物基线'!$A$2:$A$501,0)),"")</x:f>
        <x:v>24654</x:v>
      </x:c>
      <x:c r="R368" s="4" t="n">
        <x:f>'参数'!$B$10</x:f>
        <x:v>4</x:v>
      </x:c>
      <x:c r="S368" s="4" t="n">
        <x:f>'参数'!$C$10</x:f>
        <x:v>1.2</x:v>
      </x:c>
      <x:c r="T368" s="4" t="n">
        <x:f>'参数'!$D$10</x:f>
        <x:v>1</x:v>
      </x:c>
      <x:c r="U368" s="4" t="n">
        <x:f t="shared" si="35">IF($O368="","",$O368*$R368)</x:f>
        <x:v>1088696</x:v>
      </x:c>
      <x:c r="V368" s="4" t="n">
        <x:f t="shared" si="36">IF($P368="","",$P368*$S368)</x:f>
        <x:v>33486</x:v>
      </x:c>
      <x:c r="W368" s="4" t="n">
        <x:f t="shared" si="37">IF($Q368="","",$Q368*$T368)</x:f>
        <x:v>24654</x:v>
      </x:c>
      <x:c r="X368" s="4" t="n">
        <x:f>IFERROR(INDEX('参数'!$B$5:$B$7,MATCH($N368,'参数'!$A$5:$A$7,0)),"")</x:f>
        <x:v>1</x:v>
      </x:c>
      <x:c r="Y368" s="4" t="n">
        <x:f>IFERROR(INDEX('参数'!$C$5:$C$7,MATCH($N368,'参数'!$A$5:$A$7,0)),"")</x:f>
        <x:v>1.2</x:v>
      </x:c>
      <x:c r="Z368" s="4" t="n">
        <x:f>IFERROR(INDEX('参数'!$D$5:$D$7,MATCH($N368,'参数'!$A$5:$A$7,0)),"")</x:f>
        <x:v>1</x:v>
      </x:c>
      <x:c r="AA368" s="4" t="n">
        <x:f>IFERROR(INDEX('楼层配置'!$E$5:$E$104,MATCH($K368,'楼层配置'!$B$5:$B$104,0)),1)</x:f>
        <x:v>1.1496454467745167</x:v>
      </x:c>
      <x:c r="AB368" s="4" t="n">
        <x:f>IFERROR(INDEX('楼层配置'!$F$5:$F$104,MATCH($K368,'楼层配置'!$B$5:$B$104,0)),1)</x:f>
        <x:v>0.7052939283171508</x:v>
      </x:c>
      <x:c r="AC368" s="4" t="n">
        <x:f>IFERROR(INDEX('楼层配置'!$G$5:$G$104,MATCH($K368,'楼层配置'!$B$5:$B$104,0)),1)</x:f>
        <x:v>1</x:v>
      </x:c>
      <x:c r="AD368" s="6" t="n">
        <x:f t="shared" si="38">IFERROR($D368/$G368-1,"")</x:f>
        <x:v>-0.3763098045234474</x:v>
      </x:c>
      <x:c r="AE368" s="6" t="n">
        <x:f t="shared" si="39">IFERROR($E368/$H368-1,"")</x:f>
        <x:v>-0.2245752277764097</x:v>
      </x:c>
      <x:c r="AF368" s="6" t="n">
        <x:f t="shared" si="40">IFERROR($F368/$I368-1,"")</x:f>
        <x:v>0.0915611440715487</x:v>
      </x:c>
      <x:c r="AG368" s="4" t="str">
        <x:f t="shared" si="41">IF(AND($A368&gt;=1,$L368&gt;=1,$L368&lt;=500,OR($N368="Tank",$N368="DPS",$N368="Support"),ISNUMBER($D368),ISNUMBER($E368),ISNUMBER($F368)),"有效","异常")</x:f>
        <x:v>有效</x:v>
      </x:c>
      <x:c r="AH368" t="n">
        <x:f>D368/(1-MIN(0.75,F368/(24000+F368)))</x:f>
        <x:v>2537334.4815</x:v>
      </x:c>
    </x:row>
    <x:row r="369" ht="14.25" customHeight="1">
      <x:c r="A369" s="4">
        <x:v>365</x:v>
      </x:c>
      <x:c r="B369" s="4">
        <x:v>1011</x:v>
      </x:c>
      <x:c r="C369" s="4">
        <x:v>46</x:v>
      </x:c>
      <x:c r="D369" s="5" t="n">
        <x:f>IFERROR(ROUND($U369*$X369*$AA369*'参数'!$B$13,0),"")</x:f>
        <x:v>1564518</x:v>
      </x:c>
      <x:c r="E369" s="5" t="n">
        <x:f>IFERROR(ROUND($V369*$Y369*$AB369*'参数'!$C$13,0),"")</x:f>
        <x:v>23617</x:v>
      </x:c>
      <x:c r="F369" s="5" t="n">
        <x:f>IFERROR(ROUND($W369*$Z369*$AC369*'参数'!$D$13,0),"")</x:f>
        <x:v>30818</x:v>
      </x:c>
      <x:c r="G369" s="4">
        <x:v>2508486</x:v>
      </x:c>
      <x:c r="H369" s="4">
        <x:v>30458</x:v>
      </x:c>
      <x:c r="I369" s="4">
        <x:v>28233</x:v>
      </x:c>
      <x:c r="J369" s="4">
        <x:v>73</x:v>
      </x:c>
      <x:c r="K369" s="4">
        <x:v>73</x:v>
      </x:c>
      <x:c r="L369" s="4" t="n">
        <x:f>IFERROR(INDEX('楼层配置'!$D$5:$D$104,MATCH($K369,'楼层配置'!$B$5:$B$104,0)),"")</x:f>
        <x:v>243</x:v>
      </x:c>
      <x:c r="M369" s="4" t="str">
        <x:f>IFERROR(INDEX('_角色基线'!$B$2:$B$100,MATCH($B369,'_角色基线'!$A$2:$A$100,0)),"")</x:f>
        <x:v>陈双双</x:v>
      </x:c>
      <x:c r="N369" s="4" t="str">
        <x:f>IFERROR(INDEX('_角色基线'!$C$2:$C$100,MATCH($B369,'_角色基线'!$A$2:$A$100,0)),"")</x:f>
        <x:v>Support</x:v>
      </x:c>
      <x:c r="O369" s="4" t="n">
        <x:f>IFERROR(INDEX('_怪物基线'!$B$2:$B$501,MATCH(INT($L369),'_怪物基线'!$A$2:$A$501,0)),"")</x:f>
        <x:v>272174</x:v>
      </x:c>
      <x:c r="P369" s="4" t="n">
        <x:f>IFERROR(INDEX('_怪物基线'!$C$2:$C$501,MATCH(INT($L369),'_怪物基线'!$A$2:$A$501,0)),"")</x:f>
        <x:v>27905</x:v>
      </x:c>
      <x:c r="Q369" s="4" t="n">
        <x:f>IFERROR(INDEX('_怪物基线'!$D$2:$D$501,MATCH(INT($L369),'_怪物基线'!$A$2:$A$501,0)),"")</x:f>
        <x:v>24654</x:v>
      </x:c>
      <x:c r="R369" s="4" t="n">
        <x:f>'参数'!$B$10</x:f>
        <x:v>4</x:v>
      </x:c>
      <x:c r="S369" s="4" t="n">
        <x:f>'参数'!$C$10</x:f>
        <x:v>1.2</x:v>
      </x:c>
      <x:c r="T369" s="4" t="n">
        <x:f>'参数'!$D$10</x:f>
        <x:v>1</x:v>
      </x:c>
      <x:c r="U369" s="4" t="n">
        <x:f t="shared" si="35">IF($O369="","",$O369*$R369)</x:f>
        <x:v>1088696</x:v>
      </x:c>
      <x:c r="V369" s="4" t="n">
        <x:f t="shared" si="36">IF($P369="","",$P369*$S369)</x:f>
        <x:v>33486</x:v>
      </x:c>
      <x:c r="W369" s="4" t="n">
        <x:f t="shared" si="37">IF($Q369="","",$Q369*$T369)</x:f>
        <x:v>24654</x:v>
      </x:c>
      <x:c r="X369" s="4" t="n">
        <x:f>IFERROR(INDEX('参数'!$B$5:$B$7,MATCH($N369,'参数'!$A$5:$A$7,0)),"")</x:f>
        <x:v>1.25</x:v>
      </x:c>
      <x:c r="Y369" s="4" t="n">
        <x:f>IFERROR(INDEX('参数'!$C$5:$C$7,MATCH($N369,'参数'!$A$5:$A$7,0)),"")</x:f>
        <x:v>1</x:v>
      </x:c>
      <x:c r="Z369" s="4" t="n">
        <x:f>IFERROR(INDEX('参数'!$D$5:$D$7,MATCH($N369,'参数'!$A$5:$A$7,0)),"")</x:f>
        <x:v>1.25</x:v>
      </x:c>
      <x:c r="AA369" s="4" t="n">
        <x:f>IFERROR(INDEX('楼层配置'!$E$5:$E$104,MATCH($K369,'楼层配置'!$B$5:$B$104,0)),1)</x:f>
        <x:v>1.1496454467745167</x:v>
      </x:c>
      <x:c r="AB369" s="4" t="n">
        <x:f>IFERROR(INDEX('楼层配置'!$F$5:$F$104,MATCH($K369,'楼层配置'!$B$5:$B$104,0)),1)</x:f>
        <x:v>0.7052939283171508</x:v>
      </x:c>
      <x:c r="AC369" s="4" t="n">
        <x:f>IFERROR(INDEX('楼层配置'!$G$5:$G$104,MATCH($K369,'楼层配置'!$B$5:$B$104,0)),1)</x:f>
        <x:v>1</x:v>
      </x:c>
      <x:c r="AD369" s="6" t="n">
        <x:f t="shared" si="38">IFERROR($D369/$G369-1,"")</x:f>
        <x:v>-0.3763098538321521</x:v>
      </x:c>
      <x:c r="AE369" s="6" t="n">
        <x:f t="shared" si="39">IFERROR($E369/$H369-1,"")</x:f>
        <x:v>-0.22460437323527482</x:v>
      </x:c>
      <x:c r="AF369" s="6" t="n">
        <x:f t="shared" si="40">IFERROR($F369/$I369-1,"")</x:f>
        <x:v>0.09155952254454003</x:v>
      </x:c>
      <x:c r="AG369" s="4" t="str">
        <x:f t="shared" si="41">IF(AND($A369&gt;=1,$L369&gt;=1,$L369&lt;=500,OR($N369="Tank",$N369="DPS",$N369="Support"),ISNUMBER($D369),ISNUMBER($E369),ISNUMBER($F369)),"有效","异常")</x:f>
        <x:v>有效</x:v>
      </x:c>
      <x:c r="AH369" t="n">
        <x:f>D369/(1-MIN(0.75,F369/(24000+F369)))</x:f>
        <x:v>3573489.4885</x:v>
      </x:c>
    </x:row>
    <x:row r="370" ht="14.25" customHeight="1">
      <x:c r="A370" s="4">
        <x:v>366</x:v>
      </x:c>
      <x:c r="B370" s="4">
        <x:v>1003</x:v>
      </x:c>
      <x:c r="C370" s="4">
        <x:v>47</x:v>
      </x:c>
      <x:c r="D370" s="5" t="n">
        <x:f>IFERROR(ROUND($U370*$X370*$AA370*'参数'!$B$13,0),"")</x:f>
        <x:v>1914617</x:v>
      </x:c>
      <x:c r="E370" s="5" t="n">
        <x:f>IFERROR(ROUND($V370*$Y370*$AB370*'参数'!$C$13,0),"")</x:f>
        <x:v>24017</x:v>
      </x:c>
      <x:c r="F370" s="5" t="n">
        <x:f>IFERROR(ROUND($W370*$Z370*$AC370*'参数'!$D$13,0),"")</x:f>
        <x:v>37370</x:v>
      </x:c>
      <x:c r="G370" s="4">
        <x:v>3117218</x:v>
      </x:c>
      <x:c r="H370" s="4">
        <x:v>31270</x:v>
      </x:c>
      <x:c r="I370" s="4">
        <x:v>34488</x:v>
      </x:c>
      <x:c r="J370" s="4">
        <x:v>74</x:v>
      </x:c>
      <x:c r="K370" s="4">
        <x:v>74</x:v>
      </x:c>
      <x:c r="L370" s="4" t="n">
        <x:f>IFERROR(INDEX('楼层配置'!$D$5:$D$104,MATCH($K370,'楼层配置'!$B$5:$B$104,0)),"")</x:f>
        <x:v>245</x:v>
      </x:c>
      <x:c r="M370" s="4" t="str">
        <x:f>IFERROR(INDEX('_角色基线'!$B$2:$B$100,MATCH($B370,'_角色基线'!$A$2:$A$100,0)),"")</x:f>
        <x:v>塔拉夏</x:v>
      </x:c>
      <x:c r="N370" s="4" t="str">
        <x:f>IFERROR(INDEX('_角色基线'!$C$2:$C$100,MATCH($B370,'_角色基线'!$A$2:$A$100,0)),"")</x:f>
        <x:v>Tank</x:v>
      </x:c>
      <x:c r="O370" s="4" t="n">
        <x:f>IFERROR(INDEX('_怪物基线'!$B$2:$B$501,MATCH(INT($L370),'_怪物基线'!$A$2:$A$501,0)),"")</x:f>
        <x:v>278051</x:v>
      </x:c>
      <x:c r="P370" s="4" t="n">
        <x:f>IFERROR(INDEX('_怪物基线'!$C$2:$C$501,MATCH(INT($L370),'_怪物基线'!$A$2:$A$501,0)),"")</x:f>
        <x:v>28347</x:v>
      </x:c>
      <x:c r="Q370" s="4" t="n">
        <x:f>IFERROR(INDEX('_怪物基线'!$D$2:$D$501,MATCH(INT($L370),'_怪物基线'!$A$2:$A$501,0)),"")</x:f>
        <x:v>24913</x:v>
      </x:c>
      <x:c r="R370" s="4" t="n">
        <x:f>'参数'!$B$10</x:f>
        <x:v>4</x:v>
      </x:c>
      <x:c r="S370" s="4" t="n">
        <x:f>'参数'!$C$10</x:f>
        <x:v>1.2</x:v>
      </x:c>
      <x:c r="T370" s="4" t="n">
        <x:f>'参数'!$D$10</x:f>
        <x:v>1</x:v>
      </x:c>
      <x:c r="U370" s="4" t="n">
        <x:f t="shared" si="35">IF($O370="","",$O370*$R370)</x:f>
        <x:v>1112204</x:v>
      </x:c>
      <x:c r="V370" s="4" t="n">
        <x:f t="shared" si="36">IF($P370="","",$P370*$S370)</x:f>
        <x:v>34016.4</x:v>
      </x:c>
      <x:c r="W370" s="4" t="n">
        <x:f t="shared" si="37">IF($Q370="","",$Q370*$T370)</x:f>
        <x:v>24913</x:v>
      </x:c>
      <x:c r="X370" s="4" t="n">
        <x:f>IFERROR(INDEX('参数'!$B$5:$B$7,MATCH($N370,'参数'!$A$5:$A$7,0)),"")</x:f>
        <x:v>1.5</x:v>
      </x:c>
      <x:c r="Y370" s="4" t="n">
        <x:f>IFERROR(INDEX('参数'!$C$5:$C$7,MATCH($N370,'参数'!$A$5:$A$7,0)),"")</x:f>
        <x:v>1</x:v>
      </x:c>
      <x:c r="Z370" s="4" t="n">
        <x:f>IFERROR(INDEX('参数'!$D$5:$D$7,MATCH($N370,'参数'!$A$5:$A$7,0)),"")</x:f>
        <x:v>1.5</x:v>
      </x:c>
      <x:c r="AA370" s="4" t="n">
        <x:f>IFERROR(INDEX('楼层配置'!$E$5:$E$104,MATCH($K370,'楼层配置'!$B$5:$B$104,0)),1)</x:f>
        <x:v>1.1476413007492718</x:v>
      </x:c>
      <x:c r="AB370" s="4" t="n">
        <x:f>IFERROR(INDEX('楼层配置'!$F$5:$F$104,MATCH($K370,'楼层配置'!$B$5:$B$104,0)),1)</x:f>
        <x:v>0.7060383695368859</x:v>
      </x:c>
      <x:c r="AC370" s="4" t="n">
        <x:f>IFERROR(INDEX('楼层配置'!$G$5:$G$104,MATCH($K370,'楼层配置'!$B$5:$B$104,0)),1)</x:f>
        <x:v>1</x:v>
      </x:c>
      <x:c r="AD370" s="6" t="n">
        <x:f t="shared" si="38">IFERROR($D370/$G370-1,"")</x:f>
        <x:v>-0.3857930372530891</x:v>
      </x:c>
      <x:c r="AE370" s="6" t="n">
        <x:f t="shared" si="39">IFERROR($E370/$H370-1,"")</x:f>
        <x:v>-0.23194755356571795</x:v>
      </x:c>
      <x:c r="AF370" s="6" t="n">
        <x:f t="shared" si="40">IFERROR($F370/$I370-1,"")</x:f>
        <x:v>0.0835652980746926</x:v>
      </x:c>
      <x:c r="AG370" s="4" t="str">
        <x:f t="shared" si="41">IF(AND($A370&gt;=1,$L370&gt;=1,$L370&lt;=500,OR($N370="Tank",$N370="DPS",$N370="Support"),ISNUMBER($D370),ISNUMBER($E370),ISNUMBER($F370)),"有效","异常")</x:f>
        <x:v>有效</x:v>
      </x:c>
      <x:c r="AH370" t="n">
        <x:f>D370/(1-MIN(0.75,F370/(24000+F370)))</x:f>
        <x:v>4895835.220416666</x:v>
      </x:c>
    </x:row>
    <x:row r="371" ht="14.25" customHeight="1">
      <x:c r="A371" s="4">
        <x:v>367</x:v>
      </x:c>
      <x:c r="B371" s="4">
        <x:v>1005</x:v>
      </x:c>
      <x:c r="C371" s="4">
        <x:v>47</x:v>
      </x:c>
      <x:c r="D371" s="5" t="n">
        <x:f>IFERROR(ROUND($U371*$X371*$AA371*'参数'!$B$13,0),"")</x:f>
        <x:v>1276411</x:v>
      </x:c>
      <x:c r="E371" s="5" t="n">
        <x:f>IFERROR(ROUND($V371*$Y371*$AB371*'参数'!$C$13,0),"")</x:f>
        <x:v>28820</x:v>
      </x:c>
      <x:c r="F371" s="5" t="n">
        <x:f>IFERROR(ROUND($W371*$Z371*$AC371*'参数'!$D$13,0),"")</x:f>
        <x:v>24913</x:v>
      </x:c>
      <x:c r="G371" s="4">
        <x:v>2078145</x:v>
      </x:c>
      <x:c r="H371" s="4">
        <x:v>37524</x:v>
      </x:c>
      <x:c r="I371" s="4">
        <x:v>22992</x:v>
      </x:c>
      <x:c r="J371" s="4">
        <x:v>74</x:v>
      </x:c>
      <x:c r="K371" s="4">
        <x:v>74</x:v>
      </x:c>
      <x:c r="L371" s="4" t="n">
        <x:f>IFERROR(INDEX('楼层配置'!$D$5:$D$104,MATCH($K371,'楼层配置'!$B$5:$B$104,0)),"")</x:f>
        <x:v>245</x:v>
      </x:c>
      <x:c r="M371" s="4" t="str">
        <x:f>IFERROR(INDEX('_角色基线'!$B$2:$B$100,MATCH($B371,'_角色基线'!$A$2:$A$100,0)),"")</x:f>
        <x:v>陈单单</x:v>
      </x:c>
      <x:c r="N371" s="4" t="str">
        <x:f>IFERROR(INDEX('_角色基线'!$C$2:$C$100,MATCH($B371,'_角色基线'!$A$2:$A$100,0)),"")</x:f>
        <x:v>DPS</x:v>
      </x:c>
      <x:c r="O371" s="4" t="n">
        <x:f>IFERROR(INDEX('_怪物基线'!$B$2:$B$501,MATCH(INT($L371),'_怪物基线'!$A$2:$A$501,0)),"")</x:f>
        <x:v>278051</x:v>
      </x:c>
      <x:c r="P371" s="4" t="n">
        <x:f>IFERROR(INDEX('_怪物基线'!$C$2:$C$501,MATCH(INT($L371),'_怪物基线'!$A$2:$A$501,0)),"")</x:f>
        <x:v>28347</x:v>
      </x:c>
      <x:c r="Q371" s="4" t="n">
        <x:f>IFERROR(INDEX('_怪物基线'!$D$2:$D$501,MATCH(INT($L371),'_怪物基线'!$A$2:$A$501,0)),"")</x:f>
        <x:v>24913</x:v>
      </x:c>
      <x:c r="R371" s="4" t="n">
        <x:f>'参数'!$B$10</x:f>
        <x:v>4</x:v>
      </x:c>
      <x:c r="S371" s="4" t="n">
        <x:f>'参数'!$C$10</x:f>
        <x:v>1.2</x:v>
      </x:c>
      <x:c r="T371" s="4" t="n">
        <x:f>'参数'!$D$10</x:f>
        <x:v>1</x:v>
      </x:c>
      <x:c r="U371" s="4" t="n">
        <x:f t="shared" si="35">IF($O371="","",$O371*$R371)</x:f>
        <x:v>1112204</x:v>
      </x:c>
      <x:c r="V371" s="4" t="n">
        <x:f t="shared" si="36">IF($P371="","",$P371*$S371)</x:f>
        <x:v>34016.4</x:v>
      </x:c>
      <x:c r="W371" s="4" t="n">
        <x:f t="shared" si="37">IF($Q371="","",$Q371*$T371)</x:f>
        <x:v>24913</x:v>
      </x:c>
      <x:c r="X371" s="4" t="n">
        <x:f>IFERROR(INDEX('参数'!$B$5:$B$7,MATCH($N371,'参数'!$A$5:$A$7,0)),"")</x:f>
        <x:v>1</x:v>
      </x:c>
      <x:c r="Y371" s="4" t="n">
        <x:f>IFERROR(INDEX('参数'!$C$5:$C$7,MATCH($N371,'参数'!$A$5:$A$7,0)),"")</x:f>
        <x:v>1.2</x:v>
      </x:c>
      <x:c r="Z371" s="4" t="n">
        <x:f>IFERROR(INDEX('参数'!$D$5:$D$7,MATCH($N371,'参数'!$A$5:$A$7,0)),"")</x:f>
        <x:v>1</x:v>
      </x:c>
      <x:c r="AA371" s="4" t="n">
        <x:f>IFERROR(INDEX('楼层配置'!$E$5:$E$104,MATCH($K371,'楼层配置'!$B$5:$B$104,0)),1)</x:f>
        <x:v>1.1476413007492718</x:v>
      </x:c>
      <x:c r="AB371" s="4" t="n">
        <x:f>IFERROR(INDEX('楼层配置'!$F$5:$F$104,MATCH($K371,'楼层配置'!$B$5:$B$104,0)),1)</x:f>
        <x:v>0.7060383695368859</x:v>
      </x:c>
      <x:c r="AC371" s="4" t="n">
        <x:f>IFERROR(INDEX('楼层配置'!$G$5:$G$104,MATCH($K371,'楼层配置'!$B$5:$B$104,0)),1)</x:f>
        <x:v>1</x:v>
      </x:c>
      <x:c r="AD371" s="6" t="n">
        <x:f t="shared" si="38">IFERROR($D371/$G371-1,"")</x:f>
        <x:v>-0.38579309913408355</x:v>
      </x:c>
      <x:c r="AE371" s="6" t="n">
        <x:f t="shared" si="39">IFERROR($E371/$H371-1,"")</x:f>
        <x:v>-0.23195821341008416</x:v>
      </x:c>
      <x:c r="AF371" s="6" t="n">
        <x:f t="shared" si="40">IFERROR($F371/$I371-1,"")</x:f>
        <x:v>0.0835508002783576</x:v>
      </x:c>
      <x:c r="AG371" s="4" t="str">
        <x:f t="shared" si="41">IF(AND($A371&gt;=1,$L371&gt;=1,$L371&lt;=500,OR($N371="Tank",$N371="DPS",$N371="Support"),ISNUMBER($D371),ISNUMBER($E371),ISNUMBER($F371)),"有效","异常")</x:f>
        <x:v>有效</x:v>
      </x:c>
      <x:c r="AH371" t="n">
        <x:f>D371/(1-MIN(0.75,F371/(24000+F371)))</x:f>
        <x:v>2601378.8017916665</x:v>
      </x:c>
    </x:row>
    <x:row r="372" ht="14.25" customHeight="1">
      <x:c r="A372" s="4">
        <x:v>368</x:v>
      </x:c>
      <x:c r="B372" s="4">
        <x:v>1014</x:v>
      </x:c>
      <x:c r="C372" s="4">
        <x:v>47</x:v>
      </x:c>
      <x:c r="D372" s="5" t="n">
        <x:f>IFERROR(ROUND($U372*$X372*$AA372*'参数'!$B$13,0),"")</x:f>
        <x:v>1276411</x:v>
      </x:c>
      <x:c r="E372" s="5" t="n">
        <x:f>IFERROR(ROUND($V372*$Y372*$AB372*'参数'!$C$13,0),"")</x:f>
        <x:v>28820</x:v>
      </x:c>
      <x:c r="F372" s="5" t="n">
        <x:f>IFERROR(ROUND($W372*$Z372*$AC372*'参数'!$D$13,0),"")</x:f>
        <x:v>24913</x:v>
      </x:c>
      <x:c r="G372" s="4">
        <x:v>2078145</x:v>
      </x:c>
      <x:c r="H372" s="4">
        <x:v>37524</x:v>
      </x:c>
      <x:c r="I372" s="4">
        <x:v>22992</x:v>
      </x:c>
      <x:c r="J372" s="4">
        <x:v>74</x:v>
      </x:c>
      <x:c r="K372" s="4">
        <x:v>74</x:v>
      </x:c>
      <x:c r="L372" s="4" t="n">
        <x:f>IFERROR(INDEX('楼层配置'!$D$5:$D$104,MATCH($K372,'楼层配置'!$B$5:$B$104,0)),"")</x:f>
        <x:v>245</x:v>
      </x:c>
      <x:c r="M372" s="4" t="str">
        <x:f>IFERROR(INDEX('_角色基线'!$B$2:$B$100,MATCH($B372,'_角色基线'!$A$2:$A$100,0)),"")</x:f>
        <x:v>克莉丝汀</x:v>
      </x:c>
      <x:c r="N372" s="4" t="str">
        <x:f>IFERROR(INDEX('_角色基线'!$C$2:$C$100,MATCH($B372,'_角色基线'!$A$2:$A$100,0)),"")</x:f>
        <x:v>DPS</x:v>
      </x:c>
      <x:c r="O372" s="4" t="n">
        <x:f>IFERROR(INDEX('_怪物基线'!$B$2:$B$501,MATCH(INT($L372),'_怪物基线'!$A$2:$A$501,0)),"")</x:f>
        <x:v>278051</x:v>
      </x:c>
      <x:c r="P372" s="4" t="n">
        <x:f>IFERROR(INDEX('_怪物基线'!$C$2:$C$501,MATCH(INT($L372),'_怪物基线'!$A$2:$A$501,0)),"")</x:f>
        <x:v>28347</x:v>
      </x:c>
      <x:c r="Q372" s="4" t="n">
        <x:f>IFERROR(INDEX('_怪物基线'!$D$2:$D$501,MATCH(INT($L372),'_怪物基线'!$A$2:$A$501,0)),"")</x:f>
        <x:v>24913</x:v>
      </x:c>
      <x:c r="R372" s="4" t="n">
        <x:f>'参数'!$B$10</x:f>
        <x:v>4</x:v>
      </x:c>
      <x:c r="S372" s="4" t="n">
        <x:f>'参数'!$C$10</x:f>
        <x:v>1.2</x:v>
      </x:c>
      <x:c r="T372" s="4" t="n">
        <x:f>'参数'!$D$10</x:f>
        <x:v>1</x:v>
      </x:c>
      <x:c r="U372" s="4" t="n">
        <x:f t="shared" si="35">IF($O372="","",$O372*$R372)</x:f>
        <x:v>1112204</x:v>
      </x:c>
      <x:c r="V372" s="4" t="n">
        <x:f t="shared" si="36">IF($P372="","",$P372*$S372)</x:f>
        <x:v>34016.4</x:v>
      </x:c>
      <x:c r="W372" s="4" t="n">
        <x:f t="shared" si="37">IF($Q372="","",$Q372*$T372)</x:f>
        <x:v>24913</x:v>
      </x:c>
      <x:c r="X372" s="4" t="n">
        <x:f>IFERROR(INDEX('参数'!$B$5:$B$7,MATCH($N372,'参数'!$A$5:$A$7,0)),"")</x:f>
        <x:v>1</x:v>
      </x:c>
      <x:c r="Y372" s="4" t="n">
        <x:f>IFERROR(INDEX('参数'!$C$5:$C$7,MATCH($N372,'参数'!$A$5:$A$7,0)),"")</x:f>
        <x:v>1.2</x:v>
      </x:c>
      <x:c r="Z372" s="4" t="n">
        <x:f>IFERROR(INDEX('参数'!$D$5:$D$7,MATCH($N372,'参数'!$A$5:$A$7,0)),"")</x:f>
        <x:v>1</x:v>
      </x:c>
      <x:c r="AA372" s="4" t="n">
        <x:f>IFERROR(INDEX('楼层配置'!$E$5:$E$104,MATCH($K372,'楼层配置'!$B$5:$B$104,0)),1)</x:f>
        <x:v>1.1476413007492718</x:v>
      </x:c>
      <x:c r="AB372" s="4" t="n">
        <x:f>IFERROR(INDEX('楼层配置'!$F$5:$F$104,MATCH($K372,'楼层配置'!$B$5:$B$104,0)),1)</x:f>
        <x:v>0.7060383695368859</x:v>
      </x:c>
      <x:c r="AC372" s="4" t="n">
        <x:f>IFERROR(INDEX('楼层配置'!$G$5:$G$104,MATCH($K372,'楼层配置'!$B$5:$B$104,0)),1)</x:f>
        <x:v>1</x:v>
      </x:c>
      <x:c r="AD372" s="6" t="n">
        <x:f t="shared" si="38">IFERROR($D372/$G372-1,"")</x:f>
        <x:v>-0.38579309913408355</x:v>
      </x:c>
      <x:c r="AE372" s="6" t="n">
        <x:f t="shared" si="39">IFERROR($E372/$H372-1,"")</x:f>
        <x:v>-0.23195821341008416</x:v>
      </x:c>
      <x:c r="AF372" s="6" t="n">
        <x:f t="shared" si="40">IFERROR($F372/$I372-1,"")</x:f>
        <x:v>0.0835508002783576</x:v>
      </x:c>
      <x:c r="AG372" s="4" t="str">
        <x:f t="shared" si="41">IF(AND($A372&gt;=1,$L372&gt;=1,$L372&lt;=500,OR($N372="Tank",$N372="DPS",$N372="Support"),ISNUMBER($D372),ISNUMBER($E372),ISNUMBER($F372)),"有效","异常")</x:f>
        <x:v>有效</x:v>
      </x:c>
      <x:c r="AH372" t="n">
        <x:f>D372/(1-MIN(0.75,F372/(24000+F372)))</x:f>
        <x:v>2601378.8017916665</x:v>
      </x:c>
    </x:row>
    <x:row r="373" ht="14.25" customHeight="1">
      <x:c r="A373" s="4">
        <x:v>369</x:v>
      </x:c>
      <x:c r="B373" s="4">
        <x:v>1012</x:v>
      </x:c>
      <x:c r="C373" s="4">
        <x:v>47</x:v>
      </x:c>
      <x:c r="D373" s="5" t="n">
        <x:f>IFERROR(ROUND($U373*$X373*$AA373*'参数'!$B$13,0),"")</x:f>
        <x:v>1595514</x:v>
      </x:c>
      <x:c r="E373" s="5" t="n">
        <x:f>IFERROR(ROUND($V373*$Y373*$AB373*'参数'!$C$13,0),"")</x:f>
        <x:v>24017</x:v>
      </x:c>
      <x:c r="F373" s="5" t="n">
        <x:f>IFERROR(ROUND($W373*$Z373*$AC373*'参数'!$D$13,0),"")</x:f>
        <x:v>31141</x:v>
      </x:c>
      <x:c r="G373" s="4">
        <x:v>2597682</x:v>
      </x:c>
      <x:c r="H373" s="4">
        <x:v>31270</x:v>
      </x:c>
      <x:c r="I373" s="4">
        <x:v>28740</x:v>
      </x:c>
      <x:c r="J373" s="4">
        <x:v>74</x:v>
      </x:c>
      <x:c r="K373" s="4">
        <x:v>74</x:v>
      </x:c>
      <x:c r="L373" s="4" t="n">
        <x:f>IFERROR(INDEX('楼层配置'!$D$5:$D$104,MATCH($K373,'楼层配置'!$B$5:$B$104,0)),"")</x:f>
        <x:v>245</x:v>
      </x:c>
      <x:c r="M373" s="4" t="str">
        <x:f>IFERROR(INDEX('_角色基线'!$B$2:$B$100,MATCH($B373,'_角色基线'!$A$2:$A$100,0)),"")</x:f>
        <x:v>艾德琳</x:v>
      </x:c>
      <x:c r="N373" s="4" t="str">
        <x:f>IFERROR(INDEX('_角色基线'!$C$2:$C$100,MATCH($B373,'_角色基线'!$A$2:$A$100,0)),"")</x:f>
        <x:v>Support</x:v>
      </x:c>
      <x:c r="O373" s="4" t="n">
        <x:f>IFERROR(INDEX('_怪物基线'!$B$2:$B$501,MATCH(INT($L373),'_怪物基线'!$A$2:$A$501,0)),"")</x:f>
        <x:v>278051</x:v>
      </x:c>
      <x:c r="P373" s="4" t="n">
        <x:f>IFERROR(INDEX('_怪物基线'!$C$2:$C$501,MATCH(INT($L373),'_怪物基线'!$A$2:$A$501,0)),"")</x:f>
        <x:v>28347</x:v>
      </x:c>
      <x:c r="Q373" s="4" t="n">
        <x:f>IFERROR(INDEX('_怪物基线'!$D$2:$D$501,MATCH(INT($L373),'_怪物基线'!$A$2:$A$501,0)),"")</x:f>
        <x:v>24913</x:v>
      </x:c>
      <x:c r="R373" s="4" t="n">
        <x:f>'参数'!$B$10</x:f>
        <x:v>4</x:v>
      </x:c>
      <x:c r="S373" s="4" t="n">
        <x:f>'参数'!$C$10</x:f>
        <x:v>1.2</x:v>
      </x:c>
      <x:c r="T373" s="4" t="n">
        <x:f>'参数'!$D$10</x:f>
        <x:v>1</x:v>
      </x:c>
      <x:c r="U373" s="4" t="n">
        <x:f t="shared" si="35">IF($O373="","",$O373*$R373)</x:f>
        <x:v>1112204</x:v>
      </x:c>
      <x:c r="V373" s="4" t="n">
        <x:f t="shared" si="36">IF($P373="","",$P373*$S373)</x:f>
        <x:v>34016.4</x:v>
      </x:c>
      <x:c r="W373" s="4" t="n">
        <x:f t="shared" si="37">IF($Q373="","",$Q373*$T373)</x:f>
        <x:v>24913</x:v>
      </x:c>
      <x:c r="X373" s="4" t="n">
        <x:f>IFERROR(INDEX('参数'!$B$5:$B$7,MATCH($N373,'参数'!$A$5:$A$7,0)),"")</x:f>
        <x:v>1.25</x:v>
      </x:c>
      <x:c r="Y373" s="4" t="n">
        <x:f>IFERROR(INDEX('参数'!$C$5:$C$7,MATCH($N373,'参数'!$A$5:$A$7,0)),"")</x:f>
        <x:v>1</x:v>
      </x:c>
      <x:c r="Z373" s="4" t="n">
        <x:f>IFERROR(INDEX('参数'!$D$5:$D$7,MATCH($N373,'参数'!$A$5:$A$7,0)),"")</x:f>
        <x:v>1.25</x:v>
      </x:c>
      <x:c r="AA373" s="4" t="n">
        <x:f>IFERROR(INDEX('楼层配置'!$E$5:$E$104,MATCH($K373,'楼层配置'!$B$5:$B$104,0)),1)</x:f>
        <x:v>1.1476413007492718</x:v>
      </x:c>
      <x:c r="AB373" s="4" t="n">
        <x:f>IFERROR(INDEX('楼层配置'!$F$5:$F$104,MATCH($K373,'楼层配置'!$B$5:$B$104,0)),1)</x:f>
        <x:v>0.7060383695368859</x:v>
      </x:c>
      <x:c r="AC373" s="4" t="n">
        <x:f>IFERROR(INDEX('楼层配置'!$G$5:$G$104,MATCH($K373,'楼层配置'!$B$5:$B$104,0)),1)</x:f>
        <x:v>1</x:v>
      </x:c>
      <x:c r="AD373" s="6" t="n">
        <x:f t="shared" si="38">IFERROR($D373/$G373-1,"")</x:f>
        <x:v>-0.3857931802276029</x:v>
      </x:c>
      <x:c r="AE373" s="6" t="n">
        <x:f t="shared" si="39">IFERROR($E373/$H373-1,"")</x:f>
        <x:v>-0.23194755356571795</x:v>
      </x:c>
      <x:c r="AF373" s="6" t="n">
        <x:f t="shared" si="40">IFERROR($F373/$I373-1,"")</x:f>
        <x:v>0.08354210160055664</x:v>
      </x:c>
      <x:c r="AG373" s="4" t="str">
        <x:f t="shared" si="41">IF(AND($A373&gt;=1,$L373&gt;=1,$L373&lt;=500,OR($N373="Tank",$N373="DPS",$N373="Support"),ISNUMBER($D373),ISNUMBER($E373),ISNUMBER($F373)),"有效","异常")</x:f>
        <x:v>有效</x:v>
      </x:c>
      <x:c r="AH373" t="n">
        <x:f>D373/(1-MIN(0.75,F373/(24000+F373)))</x:f>
        <x:v>3665759.8947499995</x:v>
      </x:c>
    </x:row>
    <x:row r="374" ht="14.25" customHeight="1">
      <x:c r="A374" s="4">
        <x:v>370</x:v>
      </x:c>
      <x:c r="B374" s="4">
        <x:v>1008</x:v>
      </x:c>
      <x:c r="C374" s="4">
        <x:v>47</x:v>
      </x:c>
      <x:c r="D374" s="5" t="n">
        <x:f>IFERROR(ROUND($U374*$X374*$AA374*'参数'!$B$13,0),"")</x:f>
        <x:v>1276411</x:v>
      </x:c>
      <x:c r="E374" s="5" t="n">
        <x:f>IFERROR(ROUND($V374*$Y374*$AB374*'参数'!$C$13,0),"")</x:f>
        <x:v>28820</x:v>
      </x:c>
      <x:c r="F374" s="5" t="n">
        <x:f>IFERROR(ROUND($W374*$Z374*$AC374*'参数'!$D$13,0),"")</x:f>
        <x:v>24913</x:v>
      </x:c>
      <x:c r="G374" s="4">
        <x:v>2078145</x:v>
      </x:c>
      <x:c r="H374" s="4">
        <x:v>37524</x:v>
      </x:c>
      <x:c r="I374" s="4">
        <x:v>22992</x:v>
      </x:c>
      <x:c r="J374" s="4">
        <x:v>74</x:v>
      </x:c>
      <x:c r="K374" s="4">
        <x:v>74</x:v>
      </x:c>
      <x:c r="L374" s="4" t="n">
        <x:f>IFERROR(INDEX('楼层配置'!$D$5:$D$104,MATCH($K374,'楼层配置'!$B$5:$B$104,0)),"")</x:f>
        <x:v>245</x:v>
      </x:c>
      <x:c r="M374" s="4" t="str">
        <x:f>IFERROR(INDEX('_角色基线'!$B$2:$B$100,MATCH($B374,'_角色基线'!$A$2:$A$100,0)),"")</x:f>
        <x:v>薇</x:v>
      </x:c>
      <x:c r="N374" s="4" t="str">
        <x:f>IFERROR(INDEX('_角色基线'!$C$2:$C$100,MATCH($B374,'_角色基线'!$A$2:$A$100,0)),"")</x:f>
        <x:v>DPS</x:v>
      </x:c>
      <x:c r="O374" s="4" t="n">
        <x:f>IFERROR(INDEX('_怪物基线'!$B$2:$B$501,MATCH(INT($L374),'_怪物基线'!$A$2:$A$501,0)),"")</x:f>
        <x:v>278051</x:v>
      </x:c>
      <x:c r="P374" s="4" t="n">
        <x:f>IFERROR(INDEX('_怪物基线'!$C$2:$C$501,MATCH(INT($L374),'_怪物基线'!$A$2:$A$501,0)),"")</x:f>
        <x:v>28347</x:v>
      </x:c>
      <x:c r="Q374" s="4" t="n">
        <x:f>IFERROR(INDEX('_怪物基线'!$D$2:$D$501,MATCH(INT($L374),'_怪物基线'!$A$2:$A$501,0)),"")</x:f>
        <x:v>24913</x:v>
      </x:c>
      <x:c r="R374" s="4" t="n">
        <x:f>'参数'!$B$10</x:f>
        <x:v>4</x:v>
      </x:c>
      <x:c r="S374" s="4" t="n">
        <x:f>'参数'!$C$10</x:f>
        <x:v>1.2</x:v>
      </x:c>
      <x:c r="T374" s="4" t="n">
        <x:f>'参数'!$D$10</x:f>
        <x:v>1</x:v>
      </x:c>
      <x:c r="U374" s="4" t="n">
        <x:f t="shared" si="35">IF($O374="","",$O374*$R374)</x:f>
        <x:v>1112204</x:v>
      </x:c>
      <x:c r="V374" s="4" t="n">
        <x:f t="shared" si="36">IF($P374="","",$P374*$S374)</x:f>
        <x:v>34016.4</x:v>
      </x:c>
      <x:c r="W374" s="4" t="n">
        <x:f t="shared" si="37">IF($Q374="","",$Q374*$T374)</x:f>
        <x:v>24913</x:v>
      </x:c>
      <x:c r="X374" s="4" t="n">
        <x:f>IFERROR(INDEX('参数'!$B$5:$B$7,MATCH($N374,'参数'!$A$5:$A$7,0)),"")</x:f>
        <x:v>1</x:v>
      </x:c>
      <x:c r="Y374" s="4" t="n">
        <x:f>IFERROR(INDEX('参数'!$C$5:$C$7,MATCH($N374,'参数'!$A$5:$A$7,0)),"")</x:f>
        <x:v>1.2</x:v>
      </x:c>
      <x:c r="Z374" s="4" t="n">
        <x:f>IFERROR(INDEX('参数'!$D$5:$D$7,MATCH($N374,'参数'!$A$5:$A$7,0)),"")</x:f>
        <x:v>1</x:v>
      </x:c>
      <x:c r="AA374" s="4" t="n">
        <x:f>IFERROR(INDEX('楼层配置'!$E$5:$E$104,MATCH($K374,'楼层配置'!$B$5:$B$104,0)),1)</x:f>
        <x:v>1.1476413007492718</x:v>
      </x:c>
      <x:c r="AB374" s="4" t="n">
        <x:f>IFERROR(INDEX('楼层配置'!$F$5:$F$104,MATCH($K374,'楼层配置'!$B$5:$B$104,0)),1)</x:f>
        <x:v>0.7060383695368859</x:v>
      </x:c>
      <x:c r="AC374" s="4" t="n">
        <x:f>IFERROR(INDEX('楼层配置'!$G$5:$G$104,MATCH($K374,'楼层配置'!$B$5:$B$104,0)),1)</x:f>
        <x:v>1</x:v>
      </x:c>
      <x:c r="AD374" s="6" t="n">
        <x:f t="shared" si="38">IFERROR($D374/$G374-1,"")</x:f>
        <x:v>-0.38579309913408355</x:v>
      </x:c>
      <x:c r="AE374" s="6" t="n">
        <x:f t="shared" si="39">IFERROR($E374/$H374-1,"")</x:f>
        <x:v>-0.23195821341008416</x:v>
      </x:c>
      <x:c r="AF374" s="6" t="n">
        <x:f t="shared" si="40">IFERROR($F374/$I374-1,"")</x:f>
        <x:v>0.0835508002783576</x:v>
      </x:c>
      <x:c r="AG374" s="4" t="str">
        <x:f t="shared" si="41">IF(AND($A374&gt;=1,$L374&gt;=1,$L374&lt;=500,OR($N374="Tank",$N374="DPS",$N374="Support"),ISNUMBER($D374),ISNUMBER($E374),ISNUMBER($F374)),"有效","异常")</x:f>
        <x:v>有效</x:v>
      </x:c>
      <x:c r="AH374" t="n">
        <x:f>D374/(1-MIN(0.75,F374/(24000+F374)))</x:f>
        <x:v>2601378.8017916665</x:v>
      </x:c>
    </x:row>
    <x:row r="375" ht="14.25" customHeight="1">
      <x:c r="A375" s="4">
        <x:v>371</x:v>
      </x:c>
      <x:c r="B375" s="4">
        <x:v>1003</x:v>
      </x:c>
      <x:c r="C375" s="4">
        <x:v>47</x:v>
      </x:c>
      <x:c r="D375" s="5" t="n">
        <x:f>IFERROR(ROUND($U375*$X375*$AA375*'参数'!$B$13,0),"")</x:f>
        <x:v>1944388</x:v>
      </x:c>
      <x:c r="E375" s="5" t="n">
        <x:f>IFERROR(ROUND($V375*$Y375*$AB375*'参数'!$C$13,0),"")</x:f>
        <x:v>24331</x:v>
      </x:c>
      <x:c r="F375" s="5" t="n">
        <x:f>IFERROR(ROUND($W375*$Z375*$AC375*'参数'!$D$13,0),"")</x:f>
        <x:v>37758</x:v>
      </x:c>
      <x:c r="G375" s="4">
        <x:v>3227047</x:v>
      </x:c>
      <x:c r="H375" s="4">
        <x:v>32100</x:v>
      </x:c>
      <x:c r="I375" s="4">
        <x:v>35101</x:v>
      </x:c>
      <x:c r="J375" s="4">
        <x:v>75</x:v>
      </x:c>
      <x:c r="K375" s="4">
        <x:v>75</x:v>
      </x:c>
      <x:c r="L375" s="4" t="n">
        <x:f>IFERROR(INDEX('楼层配置'!$D$5:$D$104,MATCH($K375,'楼层配置'!$B$5:$B$104,0)),"")</x:f>
        <x:v>247</x:v>
      </x:c>
      <x:c r="M375" s="4" t="str">
        <x:f>IFERROR(INDEX('_角色基线'!$B$2:$B$100,MATCH($B375,'_角色基线'!$A$2:$A$100,0)),"")</x:f>
        <x:v>塔拉夏</x:v>
      </x:c>
      <x:c r="N375" s="4" t="str">
        <x:f>IFERROR(INDEX('_角色基线'!$C$2:$C$100,MATCH($B375,'_角色基线'!$A$2:$A$100,0)),"")</x:f>
        <x:v>Tank</x:v>
      </x:c>
      <x:c r="O375" s="4" t="n">
        <x:f>IFERROR(INDEX('_怪物基线'!$B$2:$B$501,MATCH(INT($L375),'_怪物基线'!$A$2:$A$501,0)),"")</x:f>
        <x:v>284024</x:v>
      </x:c>
      <x:c r="P375" s="4" t="n">
        <x:f>IFERROR(INDEX('_怪物基线'!$C$2:$C$501,MATCH(INT($L375),'_怪物基线'!$A$2:$A$501,0)),"")</x:f>
        <x:v>28795</x:v>
      </x:c>
      <x:c r="Q375" s="4" t="n">
        <x:f>IFERROR(INDEX('_怪物基线'!$D$2:$D$501,MATCH(INT($L375),'_怪物基线'!$A$2:$A$501,0)),"")</x:f>
        <x:v>25172</x:v>
      </x:c>
      <x:c r="R375" s="4" t="n">
        <x:f>'参数'!$B$10</x:f>
        <x:v>4</x:v>
      </x:c>
      <x:c r="S375" s="4" t="n">
        <x:f>'参数'!$C$10</x:f>
        <x:v>1.2</x:v>
      </x:c>
      <x:c r="T375" s="4" t="n">
        <x:f>'参数'!$D$10</x:f>
        <x:v>1</x:v>
      </x:c>
      <x:c r="U375" s="4" t="n">
        <x:f t="shared" si="35">IF($O375="","",$O375*$R375)</x:f>
        <x:v>1136096</x:v>
      </x:c>
      <x:c r="V375" s="4" t="n">
        <x:f t="shared" si="36">IF($P375="","",$P375*$S375)</x:f>
        <x:v>34554</x:v>
      </x:c>
      <x:c r="W375" s="4" t="n">
        <x:f t="shared" si="37">IF($Q375="","",$Q375*$T375)</x:f>
        <x:v>25172</x:v>
      </x:c>
      <x:c r="X375" s="4" t="n">
        <x:f>IFERROR(INDEX('参数'!$B$5:$B$7,MATCH($N375,'参数'!$A$5:$A$7,0)),"")</x:f>
        <x:v>1.5</x:v>
      </x:c>
      <x:c r="Y375" s="4" t="n">
        <x:f>IFERROR(INDEX('参数'!$C$5:$C$7,MATCH($N375,'参数'!$A$5:$A$7,0)),"")</x:f>
        <x:v>1</x:v>
      </x:c>
      <x:c r="Z375" s="4" t="n">
        <x:f>IFERROR(INDEX('参数'!$D$5:$D$7,MATCH($N375,'参数'!$A$5:$A$7,0)),"")</x:f>
        <x:v>1.5</x:v>
      </x:c>
      <x:c r="AA375" s="4" t="n">
        <x:f>IFERROR(INDEX('楼层配置'!$E$5:$E$104,MATCH($K375,'楼层配置'!$B$5:$B$104,0)),1)</x:f>
        <x:v>1.1409761735319754</x:v>
      </x:c>
      <x:c r="AB375" s="4" t="n">
        <x:f>IFERROR(INDEX('楼层配置'!$F$5:$F$104,MATCH($K375,'楼层配置'!$B$5:$B$104,0)),1)</x:f>
        <x:v>0.7041448943169754</x:v>
      </x:c>
      <x:c r="AC375" s="4" t="n">
        <x:f>IFERROR(INDEX('楼层配置'!$G$5:$G$104,MATCH($K375,'楼层配置'!$B$5:$B$104,0)),1)</x:f>
        <x:v>1</x:v>
      </x:c>
      <x:c r="AD375" s="6" t="n">
        <x:f t="shared" si="38">IFERROR($D375/$G375-1,"")</x:f>
        <x:v>-0.3974714344104687</x:v>
      </x:c>
      <x:c r="AE375" s="6" t="n">
        <x:f t="shared" si="39">IFERROR($E375/$H375-1,"")</x:f>
        <x:v>-0.24202492211838011</x:v>
      </x:c>
      <x:c r="AF375" s="6" t="n">
        <x:f t="shared" si="40">IFERROR($F375/$I375-1,"")</x:f>
        <x:v>0.07569584912110772</x:v>
      </x:c>
      <x:c r="AG375" s="4" t="str">
        <x:f t="shared" si="41">IF(AND($A375&gt;=1,$L375&gt;=1,$L375&lt;=500,OR($N375="Tank",$N375="DPS",$N375="Support"),ISNUMBER($D375),ISNUMBER($E375),ISNUMBER($F375)),"有效","异常")</x:f>
        <x:v>有效</x:v>
      </x:c>
      <x:c r="AH375" t="n">
        <x:f>D375/(1-MIN(0.75,F375/(24000+F375)))</x:f>
        <x:v>5003396.421</x:v>
      </x:c>
    </x:row>
    <x:row r="376" ht="14.25" customHeight="1">
      <x:c r="A376" s="4">
        <x:v>372</x:v>
      </x:c>
      <x:c r="B376" s="4">
        <x:v>1017</x:v>
      </x:c>
      <x:c r="C376" s="4">
        <x:v>47</x:v>
      </x:c>
      <x:c r="D376" s="5" t="n">
        <x:f>IFERROR(ROUND($U376*$X376*$AA376*'参数'!$B$13,0),"")</x:f>
        <x:v>1296258</x:v>
      </x:c>
      <x:c r="E376" s="5" t="n">
        <x:f>IFERROR(ROUND($V376*$Y376*$AB376*'参数'!$C$13,0),"")</x:f>
        <x:v>29197</x:v>
      </x:c>
      <x:c r="F376" s="5" t="n">
        <x:f>IFERROR(ROUND($W376*$Z376*$AC376*'参数'!$D$13,0),"")</x:f>
        <x:v>25172</x:v>
      </x:c>
      <x:c r="G376" s="4">
        <x:v>2151364</x:v>
      </x:c>
      <x:c r="H376" s="4">
        <x:v>38520</x:v>
      </x:c>
      <x:c r="I376" s="4">
        <x:v>23400</x:v>
      </x:c>
      <x:c r="J376" s="4">
        <x:v>75</x:v>
      </x:c>
      <x:c r="K376" s="4">
        <x:v>75</x:v>
      </x:c>
      <x:c r="L376" s="4" t="n">
        <x:f>IFERROR(INDEX('楼层配置'!$D$5:$D$104,MATCH($K376,'楼层配置'!$B$5:$B$104,0)),"")</x:f>
        <x:v>247</x:v>
      </x:c>
      <x:c r="M376" s="4" t="str">
        <x:f>IFERROR(INDEX('_角色基线'!$B$2:$B$100,MATCH($B376,'_角色基线'!$A$2:$A$100,0)),"")</x:f>
        <x:v>伊戈尔</x:v>
      </x:c>
      <x:c r="N376" s="4" t="str">
        <x:f>IFERROR(INDEX('_角色基线'!$C$2:$C$100,MATCH($B376,'_角色基线'!$A$2:$A$100,0)),"")</x:f>
        <x:v>DPS</x:v>
      </x:c>
      <x:c r="O376" s="4" t="n">
        <x:f>IFERROR(INDEX('_怪物基线'!$B$2:$B$501,MATCH(INT($L376),'_怪物基线'!$A$2:$A$501,0)),"")</x:f>
        <x:v>284024</x:v>
      </x:c>
      <x:c r="P376" s="4" t="n">
        <x:f>IFERROR(INDEX('_怪物基线'!$C$2:$C$501,MATCH(INT($L376),'_怪物基线'!$A$2:$A$501,0)),"")</x:f>
        <x:v>28795</x:v>
      </x:c>
      <x:c r="Q376" s="4" t="n">
        <x:f>IFERROR(INDEX('_怪物基线'!$D$2:$D$501,MATCH(INT($L376),'_怪物基线'!$A$2:$A$501,0)),"")</x:f>
        <x:v>25172</x:v>
      </x:c>
      <x:c r="R376" s="4" t="n">
        <x:f>'参数'!$B$10</x:f>
        <x:v>4</x:v>
      </x:c>
      <x:c r="S376" s="4" t="n">
        <x:f>'参数'!$C$10</x:f>
        <x:v>1.2</x:v>
      </x:c>
      <x:c r="T376" s="4" t="n">
        <x:f>'参数'!$D$10</x:f>
        <x:v>1</x:v>
      </x:c>
      <x:c r="U376" s="4" t="n">
        <x:f t="shared" si="35">IF($O376="","",$O376*$R376)</x:f>
        <x:v>1136096</x:v>
      </x:c>
      <x:c r="V376" s="4" t="n">
        <x:f t="shared" si="36">IF($P376="","",$P376*$S376)</x:f>
        <x:v>34554</x:v>
      </x:c>
      <x:c r="W376" s="4" t="n">
        <x:f t="shared" si="37">IF($Q376="","",$Q376*$T376)</x:f>
        <x:v>25172</x:v>
      </x:c>
      <x:c r="X376" s="4" t="n">
        <x:f>IFERROR(INDEX('参数'!$B$5:$B$7,MATCH($N376,'参数'!$A$5:$A$7,0)),"")</x:f>
        <x:v>1</x:v>
      </x:c>
      <x:c r="Y376" s="4" t="n">
        <x:f>IFERROR(INDEX('参数'!$C$5:$C$7,MATCH($N376,'参数'!$A$5:$A$7,0)),"")</x:f>
        <x:v>1.2</x:v>
      </x:c>
      <x:c r="Z376" s="4" t="n">
        <x:f>IFERROR(INDEX('参数'!$D$5:$D$7,MATCH($N376,'参数'!$A$5:$A$7,0)),"")</x:f>
        <x:v>1</x:v>
      </x:c>
      <x:c r="AA376" s="4" t="n">
        <x:f>IFERROR(INDEX('楼层配置'!$E$5:$E$104,MATCH($K376,'楼层配置'!$B$5:$B$104,0)),1)</x:f>
        <x:v>1.1409761735319754</x:v>
      </x:c>
      <x:c r="AB376" s="4" t="n">
        <x:f>IFERROR(INDEX('楼层配置'!$F$5:$F$104,MATCH($K376,'楼层配置'!$B$5:$B$104,0)),1)</x:f>
        <x:v>0.7041448943169754</x:v>
      </x:c>
      <x:c r="AC376" s="4" t="n">
        <x:f>IFERROR(INDEX('楼层配置'!$G$5:$G$104,MATCH($K376,'楼层配置'!$B$5:$B$104,0)),1)</x:f>
        <x:v>1</x:v>
      </x:c>
      <x:c r="AD376" s="6" t="n">
        <x:f t="shared" si="38">IFERROR($D376/$G376-1,"")</x:f>
        <x:v>-0.39747155757928454</x:v>
      </x:c>
      <x:c r="AE376" s="6" t="n">
        <x:f t="shared" si="39">IFERROR($E376/$H376-1,"")</x:f>
        <x:v>-0.24203011422637588</x:v>
      </x:c>
      <x:c r="AF376" s="6" t="n">
        <x:f t="shared" si="40">IFERROR($F376/$I376-1,"")</x:f>
        <x:v>0.07572649572649581</x:v>
      </x:c>
      <x:c r="AG376" s="4" t="str">
        <x:f t="shared" si="41">IF(AND($A376&gt;=1,$L376&gt;=1,$L376&lt;=500,OR($N376="Tank",$N376="DPS",$N376="Support"),ISNUMBER($D376),ISNUMBER($E376),ISNUMBER($F376)),"有效","异常")</x:f>
        <x:v>有效</x:v>
      </x:c>
      <x:c r="AH376" t="n">
        <x:f>D376/(1-MIN(0.75,F376/(24000+F376)))</x:f>
        <x:v>2655816.5990000004</x:v>
      </x:c>
    </x:row>
    <x:row r="377" ht="14.25" customHeight="1">
      <x:c r="A377" s="4">
        <x:v>373</x:v>
      </x:c>
      <x:c r="B377" s="4">
        <x:v>1017</x:v>
      </x:c>
      <x:c r="C377" s="4">
        <x:v>47</x:v>
      </x:c>
      <x:c r="D377" s="5" t="n">
        <x:f>IFERROR(ROUND($U377*$X377*$AA377*'参数'!$B$13,0),"")</x:f>
        <x:v>1296258</x:v>
      </x:c>
      <x:c r="E377" s="5" t="n">
        <x:f>IFERROR(ROUND($V377*$Y377*$AB377*'参数'!$C$13,0),"")</x:f>
        <x:v>29197</x:v>
      </x:c>
      <x:c r="F377" s="5" t="n">
        <x:f>IFERROR(ROUND($W377*$Z377*$AC377*'参数'!$D$13,0),"")</x:f>
        <x:v>25172</x:v>
      </x:c>
      <x:c r="G377" s="4">
        <x:v>2151364</x:v>
      </x:c>
      <x:c r="H377" s="4">
        <x:v>38520</x:v>
      </x:c>
      <x:c r="I377" s="4">
        <x:v>23400</x:v>
      </x:c>
      <x:c r="J377" s="4">
        <x:v>75</x:v>
      </x:c>
      <x:c r="K377" s="4">
        <x:v>75</x:v>
      </x:c>
      <x:c r="L377" s="4" t="n">
        <x:f>IFERROR(INDEX('楼层配置'!$D$5:$D$104,MATCH($K377,'楼层配置'!$B$5:$B$104,0)),"")</x:f>
        <x:v>247</x:v>
      </x:c>
      <x:c r="M377" s="4" t="str">
        <x:f>IFERROR(INDEX('_角色基线'!$B$2:$B$100,MATCH($B377,'_角色基线'!$A$2:$A$100,0)),"")</x:f>
        <x:v>伊戈尔</x:v>
      </x:c>
      <x:c r="N377" s="4" t="str">
        <x:f>IFERROR(INDEX('_角色基线'!$C$2:$C$100,MATCH($B377,'_角色基线'!$A$2:$A$100,0)),"")</x:f>
        <x:v>DPS</x:v>
      </x:c>
      <x:c r="O377" s="4" t="n">
        <x:f>IFERROR(INDEX('_怪物基线'!$B$2:$B$501,MATCH(INT($L377),'_怪物基线'!$A$2:$A$501,0)),"")</x:f>
        <x:v>284024</x:v>
      </x:c>
      <x:c r="P377" s="4" t="n">
        <x:f>IFERROR(INDEX('_怪物基线'!$C$2:$C$501,MATCH(INT($L377),'_怪物基线'!$A$2:$A$501,0)),"")</x:f>
        <x:v>28795</x:v>
      </x:c>
      <x:c r="Q377" s="4" t="n">
        <x:f>IFERROR(INDEX('_怪物基线'!$D$2:$D$501,MATCH(INT($L377),'_怪物基线'!$A$2:$A$501,0)),"")</x:f>
        <x:v>25172</x:v>
      </x:c>
      <x:c r="R377" s="4" t="n">
        <x:f>'参数'!$B$10</x:f>
        <x:v>4</x:v>
      </x:c>
      <x:c r="S377" s="4" t="n">
        <x:f>'参数'!$C$10</x:f>
        <x:v>1.2</x:v>
      </x:c>
      <x:c r="T377" s="4" t="n">
        <x:f>'参数'!$D$10</x:f>
        <x:v>1</x:v>
      </x:c>
      <x:c r="U377" s="4" t="n">
        <x:f t="shared" si="35">IF($O377="","",$O377*$R377)</x:f>
        <x:v>1136096</x:v>
      </x:c>
      <x:c r="V377" s="4" t="n">
        <x:f t="shared" si="36">IF($P377="","",$P377*$S377)</x:f>
        <x:v>34554</x:v>
      </x:c>
      <x:c r="W377" s="4" t="n">
        <x:f t="shared" si="37">IF($Q377="","",$Q377*$T377)</x:f>
        <x:v>25172</x:v>
      </x:c>
      <x:c r="X377" s="4" t="n">
        <x:f>IFERROR(INDEX('参数'!$B$5:$B$7,MATCH($N377,'参数'!$A$5:$A$7,0)),"")</x:f>
        <x:v>1</x:v>
      </x:c>
      <x:c r="Y377" s="4" t="n">
        <x:f>IFERROR(INDEX('参数'!$C$5:$C$7,MATCH($N377,'参数'!$A$5:$A$7,0)),"")</x:f>
        <x:v>1.2</x:v>
      </x:c>
      <x:c r="Z377" s="4" t="n">
        <x:f>IFERROR(INDEX('参数'!$D$5:$D$7,MATCH($N377,'参数'!$A$5:$A$7,0)),"")</x:f>
        <x:v>1</x:v>
      </x:c>
      <x:c r="AA377" s="4" t="n">
        <x:f>IFERROR(INDEX('楼层配置'!$E$5:$E$104,MATCH($K377,'楼层配置'!$B$5:$B$104,0)),1)</x:f>
        <x:v>1.1409761735319754</x:v>
      </x:c>
      <x:c r="AB377" s="4" t="n">
        <x:f>IFERROR(INDEX('楼层配置'!$F$5:$F$104,MATCH($K377,'楼层配置'!$B$5:$B$104,0)),1)</x:f>
        <x:v>0.7041448943169754</x:v>
      </x:c>
      <x:c r="AC377" s="4" t="n">
        <x:f>IFERROR(INDEX('楼层配置'!$G$5:$G$104,MATCH($K377,'楼层配置'!$B$5:$B$104,0)),1)</x:f>
        <x:v>1</x:v>
      </x:c>
      <x:c r="AD377" s="6" t="n">
        <x:f t="shared" si="38">IFERROR($D377/$G377-1,"")</x:f>
        <x:v>-0.39747155757928454</x:v>
      </x:c>
      <x:c r="AE377" s="6" t="n">
        <x:f t="shared" si="39">IFERROR($E377/$H377-1,"")</x:f>
        <x:v>-0.24203011422637588</x:v>
      </x:c>
      <x:c r="AF377" s="6" t="n">
        <x:f t="shared" si="40">IFERROR($F377/$I377-1,"")</x:f>
        <x:v>0.07572649572649581</x:v>
      </x:c>
      <x:c r="AG377" s="4" t="str">
        <x:f t="shared" si="41">IF(AND($A377&gt;=1,$L377&gt;=1,$L377&lt;=500,OR($N377="Tank",$N377="DPS",$N377="Support"),ISNUMBER($D377),ISNUMBER($E377),ISNUMBER($F377)),"有效","异常")</x:f>
        <x:v>有效</x:v>
      </x:c>
      <x:c r="AH377" t="n">
        <x:f>D377/(1-MIN(0.75,F377/(24000+F377)))</x:f>
        <x:v>2655816.5990000004</x:v>
      </x:c>
    </x:row>
    <x:row r="378" ht="14.25" customHeight="1">
      <x:c r="A378" s="4">
        <x:v>374</x:v>
      </x:c>
      <x:c r="B378" s="4">
        <x:v>1007</x:v>
      </x:c>
      <x:c r="C378" s="4">
        <x:v>47</x:v>
      </x:c>
      <x:c r="D378" s="5" t="n">
        <x:f>IFERROR(ROUND($U378*$X378*$AA378*'参数'!$B$13,0),"")</x:f>
        <x:v>1620323</x:v>
      </x:c>
      <x:c r="E378" s="5" t="n">
        <x:f>IFERROR(ROUND($V378*$Y378*$AB378*'参数'!$C$13,0),"")</x:f>
        <x:v>24331</x:v>
      </x:c>
      <x:c r="F378" s="5" t="n">
        <x:f>IFERROR(ROUND($W378*$Z378*$AC378*'参数'!$D$13,0),"")</x:f>
        <x:v>31465</x:v>
      </x:c>
      <x:c r="G378" s="4">
        <x:v>2689206</x:v>
      </x:c>
      <x:c r="H378" s="4">
        <x:v>32100</x:v>
      </x:c>
      <x:c r="I378" s="4">
        <x:v>29251</x:v>
      </x:c>
      <x:c r="J378" s="4">
        <x:v>75</x:v>
      </x:c>
      <x:c r="K378" s="4">
        <x:v>75</x:v>
      </x:c>
      <x:c r="L378" s="4" t="n">
        <x:f>IFERROR(INDEX('楼层配置'!$D$5:$D$104,MATCH($K378,'楼层配置'!$B$5:$B$104,0)),"")</x:f>
        <x:v>247</x:v>
      </x:c>
      <x:c r="M378" s="4" t="str">
        <x:f>IFERROR(INDEX('_角色基线'!$B$2:$B$100,MATCH($B378,'_角色基线'!$A$2:$A$100,0)),"")</x:f>
        <x:v>萨萨莉安</x:v>
      </x:c>
      <x:c r="N378" s="4" t="str">
        <x:f>IFERROR(INDEX('_角色基线'!$C$2:$C$100,MATCH($B378,'_角色基线'!$A$2:$A$100,0)),"")</x:f>
        <x:v>Support</x:v>
      </x:c>
      <x:c r="O378" s="4" t="n">
        <x:f>IFERROR(INDEX('_怪物基线'!$B$2:$B$501,MATCH(INT($L378),'_怪物基线'!$A$2:$A$501,0)),"")</x:f>
        <x:v>284024</x:v>
      </x:c>
      <x:c r="P378" s="4" t="n">
        <x:f>IFERROR(INDEX('_怪物基线'!$C$2:$C$501,MATCH(INT($L378),'_怪物基线'!$A$2:$A$501,0)),"")</x:f>
        <x:v>28795</x:v>
      </x:c>
      <x:c r="Q378" s="4" t="n">
        <x:f>IFERROR(INDEX('_怪物基线'!$D$2:$D$501,MATCH(INT($L378),'_怪物基线'!$A$2:$A$501,0)),"")</x:f>
        <x:v>25172</x:v>
      </x:c>
      <x:c r="R378" s="4" t="n">
        <x:f>'参数'!$B$10</x:f>
        <x:v>4</x:v>
      </x:c>
      <x:c r="S378" s="4" t="n">
        <x:f>'参数'!$C$10</x:f>
        <x:v>1.2</x:v>
      </x:c>
      <x:c r="T378" s="4" t="n">
        <x:f>'参数'!$D$10</x:f>
        <x:v>1</x:v>
      </x:c>
      <x:c r="U378" s="4" t="n">
        <x:f t="shared" si="35">IF($O378="","",$O378*$R378)</x:f>
        <x:v>1136096</x:v>
      </x:c>
      <x:c r="V378" s="4" t="n">
        <x:f t="shared" si="36">IF($P378="","",$P378*$S378)</x:f>
        <x:v>34554</x:v>
      </x:c>
      <x:c r="W378" s="4" t="n">
        <x:f t="shared" si="37">IF($Q378="","",$Q378*$T378)</x:f>
        <x:v>25172</x:v>
      </x:c>
      <x:c r="X378" s="4" t="n">
        <x:f>IFERROR(INDEX('参数'!$B$5:$B$7,MATCH($N378,'参数'!$A$5:$A$7,0)),"")</x:f>
        <x:v>1.25</x:v>
      </x:c>
      <x:c r="Y378" s="4" t="n">
        <x:f>IFERROR(INDEX('参数'!$C$5:$C$7,MATCH($N378,'参数'!$A$5:$A$7,0)),"")</x:f>
        <x:v>1</x:v>
      </x:c>
      <x:c r="Z378" s="4" t="n">
        <x:f>IFERROR(INDEX('参数'!$D$5:$D$7,MATCH($N378,'参数'!$A$5:$A$7,0)),"")</x:f>
        <x:v>1.25</x:v>
      </x:c>
      <x:c r="AA378" s="4" t="n">
        <x:f>IFERROR(INDEX('楼层配置'!$E$5:$E$104,MATCH($K378,'楼层配置'!$B$5:$B$104,0)),1)</x:f>
        <x:v>1.1409761735319754</x:v>
      </x:c>
      <x:c r="AB378" s="4" t="n">
        <x:f>IFERROR(INDEX('楼层配置'!$F$5:$F$104,MATCH($K378,'楼层配置'!$B$5:$B$104,0)),1)</x:f>
        <x:v>0.7041448943169754</x:v>
      </x:c>
      <x:c r="AC378" s="4" t="n">
        <x:f>IFERROR(INDEX('楼层配置'!$G$5:$G$104,MATCH($K378,'楼层配置'!$B$5:$B$104,0)),1)</x:f>
        <x:v>1</x:v>
      </x:c>
      <x:c r="AD378" s="6" t="n">
        <x:f t="shared" si="38">IFERROR($D378/$G378-1,"")</x:f>
        <x:v>-0.39747159570520074</x:v>
      </x:c>
      <x:c r="AE378" s="6" t="n">
        <x:f t="shared" si="39">IFERROR($E378/$H378-1,"")</x:f>
        <x:v>-0.24202492211838011</x:v>
      </x:c>
      <x:c r="AF378" s="6" t="n">
        <x:f t="shared" si="40">IFERROR($F378/$I378-1,"")</x:f>
        <x:v>0.0756897200095723</x:v>
      </x:c>
      <x:c r="AG378" s="4" t="str">
        <x:f t="shared" si="41">IF(AND($A378&gt;=1,$L378&gt;=1,$L378&lt;=500,OR($N378="Tank",$N378="DPS",$N378="Support"),ISNUMBER($D378),ISNUMBER($E378),ISNUMBER($F378)),"有效","异常")</x:f>
        <x:v>有效</x:v>
      </x:c>
      <x:c r="AH378" t="n">
        <x:f>D378/(1-MIN(0.75,F378/(24000+F378)))</x:f>
        <x:v>3744633.9664583337</x:v>
      </x:c>
    </x:row>
    <x:row r="379" ht="14.25" customHeight="1">
      <x:c r="A379" s="4">
        <x:v>375</x:v>
      </x:c>
      <x:c r="B379" s="4">
        <x:v>1015</x:v>
      </x:c>
      <x:c r="C379" s="4">
        <x:v>47</x:v>
      </x:c>
      <x:c r="D379" s="5" t="n">
        <x:f>IFERROR(ROUND($U379*$X379*$AA379*'参数'!$B$13,0),"")</x:f>
        <x:v>1620323</x:v>
      </x:c>
      <x:c r="E379" s="5" t="n">
        <x:f>IFERROR(ROUND($V379*$Y379*$AB379*'参数'!$C$13,0),"")</x:f>
        <x:v>24331</x:v>
      </x:c>
      <x:c r="F379" s="5" t="n">
        <x:f>IFERROR(ROUND($W379*$Z379*$AC379*'参数'!$D$13,0),"")</x:f>
        <x:v>31465</x:v>
      </x:c>
      <x:c r="G379" s="4">
        <x:v>2689206</x:v>
      </x:c>
      <x:c r="H379" s="4">
        <x:v>32100</x:v>
      </x:c>
      <x:c r="I379" s="4">
        <x:v>29251</x:v>
      </x:c>
      <x:c r="J379" s="4">
        <x:v>75</x:v>
      </x:c>
      <x:c r="K379" s="4">
        <x:v>75</x:v>
      </x:c>
      <x:c r="L379" s="4" t="n">
        <x:f>IFERROR(INDEX('楼层配置'!$D$5:$D$104,MATCH($K379,'楼层配置'!$B$5:$B$104,0)),"")</x:f>
        <x:v>247</x:v>
      </x:c>
      <x:c r="M379" s="4" t="str">
        <x:f>IFERROR(INDEX('_角色基线'!$B$2:$B$100,MATCH($B379,'_角色基线'!$A$2:$A$100,0)),"")</x:f>
        <x:v>阿莱克西娅</x:v>
      </x:c>
      <x:c r="N379" s="4" t="str">
        <x:f>IFERROR(INDEX('_角色基线'!$C$2:$C$100,MATCH($B379,'_角色基线'!$A$2:$A$100,0)),"")</x:f>
        <x:v>Support</x:v>
      </x:c>
      <x:c r="O379" s="4" t="n">
        <x:f>IFERROR(INDEX('_怪物基线'!$B$2:$B$501,MATCH(INT($L379),'_怪物基线'!$A$2:$A$501,0)),"")</x:f>
        <x:v>284024</x:v>
      </x:c>
      <x:c r="P379" s="4" t="n">
        <x:f>IFERROR(INDEX('_怪物基线'!$C$2:$C$501,MATCH(INT($L379),'_怪物基线'!$A$2:$A$501,0)),"")</x:f>
        <x:v>28795</x:v>
      </x:c>
      <x:c r="Q379" s="4" t="n">
        <x:f>IFERROR(INDEX('_怪物基线'!$D$2:$D$501,MATCH(INT($L379),'_怪物基线'!$A$2:$A$501,0)),"")</x:f>
        <x:v>25172</x:v>
      </x:c>
      <x:c r="R379" s="4" t="n">
        <x:f>'参数'!$B$10</x:f>
        <x:v>4</x:v>
      </x:c>
      <x:c r="S379" s="4" t="n">
        <x:f>'参数'!$C$10</x:f>
        <x:v>1.2</x:v>
      </x:c>
      <x:c r="T379" s="4" t="n">
        <x:f>'参数'!$D$10</x:f>
        <x:v>1</x:v>
      </x:c>
      <x:c r="U379" s="4" t="n">
        <x:f t="shared" si="35">IF($O379="","",$O379*$R379)</x:f>
        <x:v>1136096</x:v>
      </x:c>
      <x:c r="V379" s="4" t="n">
        <x:f t="shared" si="36">IF($P379="","",$P379*$S379)</x:f>
        <x:v>34554</x:v>
      </x:c>
      <x:c r="W379" s="4" t="n">
        <x:f t="shared" si="37">IF($Q379="","",$Q379*$T379)</x:f>
        <x:v>25172</x:v>
      </x:c>
      <x:c r="X379" s="4" t="n">
        <x:f>IFERROR(INDEX('参数'!$B$5:$B$7,MATCH($N379,'参数'!$A$5:$A$7,0)),"")</x:f>
        <x:v>1.25</x:v>
      </x:c>
      <x:c r="Y379" s="4" t="n">
        <x:f>IFERROR(INDEX('参数'!$C$5:$C$7,MATCH($N379,'参数'!$A$5:$A$7,0)),"")</x:f>
        <x:v>1</x:v>
      </x:c>
      <x:c r="Z379" s="4" t="n">
        <x:f>IFERROR(INDEX('参数'!$D$5:$D$7,MATCH($N379,'参数'!$A$5:$A$7,0)),"")</x:f>
        <x:v>1.25</x:v>
      </x:c>
      <x:c r="AA379" s="4" t="n">
        <x:f>IFERROR(INDEX('楼层配置'!$E$5:$E$104,MATCH($K379,'楼层配置'!$B$5:$B$104,0)),1)</x:f>
        <x:v>1.1409761735319754</x:v>
      </x:c>
      <x:c r="AB379" s="4" t="n">
        <x:f>IFERROR(INDEX('楼层配置'!$F$5:$F$104,MATCH($K379,'楼层配置'!$B$5:$B$104,0)),1)</x:f>
        <x:v>0.7041448943169754</x:v>
      </x:c>
      <x:c r="AC379" s="4" t="n">
        <x:f>IFERROR(INDEX('楼层配置'!$G$5:$G$104,MATCH($K379,'楼层配置'!$B$5:$B$104,0)),1)</x:f>
        <x:v>1</x:v>
      </x:c>
      <x:c r="AD379" s="6" t="n">
        <x:f t="shared" si="38">IFERROR($D379/$G379-1,"")</x:f>
        <x:v>-0.39747159570520074</x:v>
      </x:c>
      <x:c r="AE379" s="6" t="n">
        <x:f t="shared" si="39">IFERROR($E379/$H379-1,"")</x:f>
        <x:v>-0.24202492211838011</x:v>
      </x:c>
      <x:c r="AF379" s="6" t="n">
        <x:f t="shared" si="40">IFERROR($F379/$I379-1,"")</x:f>
        <x:v>0.0756897200095723</x:v>
      </x:c>
      <x:c r="AG379" s="4" t="str">
        <x:f t="shared" si="41">IF(AND($A379&gt;=1,$L379&gt;=1,$L379&lt;=500,OR($N379="Tank",$N379="DPS",$N379="Support"),ISNUMBER($D379),ISNUMBER($E379),ISNUMBER($F379)),"有效","异常")</x:f>
        <x:v>有效</x:v>
      </x:c>
      <x:c r="AH379" t="n">
        <x:f>D379/(1-MIN(0.75,F379/(24000+F379)))</x:f>
        <x:v>3744633.9664583337</x:v>
      </x:c>
    </x:row>
    <x:row r="380" ht="14.25" customHeight="1">
      <x:c r="A380" s="4">
        <x:v>376</x:v>
      </x:c>
      <x:c r="B380" s="4">
        <x:v>1003</x:v>
      </x:c>
      <x:c r="C380" s="4">
        <x:v>48</x:v>
      </x:c>
      <x:c r="D380" s="5" t="n">
        <x:f>IFERROR(ROUND($U380*$X380*$AA380*'参数'!$B$13,0),"")</x:f>
        <x:v>1982263</x:v>
      </x:c>
      <x:c r="E380" s="5" t="n">
        <x:f>IFERROR(ROUND($V380*$Y380*$AB380*'参数'!$C$13,0),"")</x:f>
        <x:v>24707</x:v>
      </x:c>
      <x:c r="F380" s="5" t="n">
        <x:f>IFERROR(ROUND($W380*$Z380*$AC380*'参数'!$D$13,0),"")</x:f>
        <x:v>37953</x:v>
      </x:c>
      <x:c r="G380" s="4">
        <x:v>3368325</x:v>
      </x:c>
      <x:c r="H380" s="4">
        <x:v>33164</x:v>
      </x:c>
      <x:c r="I380" s="4">
        <x:v>35874</x:v>
      </x:c>
      <x:c r="J380" s="4">
        <x:v>76</x:v>
      </x:c>
      <x:c r="K380" s="4">
        <x:v>76</x:v>
      </x:c>
      <x:c r="L380" s="4" t="n">
        <x:f>IFERROR(INDEX('楼层配置'!$D$5:$D$104,MATCH($K380,'楼层配置'!$B$5:$B$104,0)),"")</x:f>
        <x:v>248</x:v>
      </x:c>
      <x:c r="M380" s="4" t="str">
        <x:f>IFERROR(INDEX('_角色基线'!$B$2:$B$100,MATCH($B380,'_角色基线'!$A$2:$A$100,0)),"")</x:f>
        <x:v>塔拉夏</x:v>
      </x:c>
      <x:c r="N380" s="4" t="str">
        <x:f>IFERROR(INDEX('_角色基线'!$C$2:$C$100,MATCH($B380,'_角色基线'!$A$2:$A$100,0)),"")</x:f>
        <x:v>Tank</x:v>
      </x:c>
      <x:c r="O380" s="4" t="n">
        <x:f>IFERROR(INDEX('_怪物基线'!$B$2:$B$501,MATCH(INT($L380),'_怪物基线'!$A$2:$A$501,0)),"")</x:f>
        <x:v>287046</x:v>
      </x:c>
      <x:c r="P380" s="4" t="n">
        <x:f>IFERROR(INDEX('_怪物基线'!$C$2:$C$501,MATCH(INT($L380),'_怪物基线'!$A$2:$A$501,0)),"")</x:f>
        <x:v>29021</x:v>
      </x:c>
      <x:c r="Q380" s="4" t="n">
        <x:f>IFERROR(INDEX('_怪物基线'!$D$2:$D$501,MATCH(INT($L380),'_怪物基线'!$A$2:$A$501,0)),"")</x:f>
        <x:v>25302</x:v>
      </x:c>
      <x:c r="R380" s="4" t="n">
        <x:f>'参数'!$B$10</x:f>
        <x:v>4</x:v>
      </x:c>
      <x:c r="S380" s="4" t="n">
        <x:f>'参数'!$C$10</x:f>
        <x:v>1.2</x:v>
      </x:c>
      <x:c r="T380" s="4" t="n">
        <x:f>'参数'!$D$10</x:f>
        <x:v>1</x:v>
      </x:c>
      <x:c r="U380" s="4" t="n">
        <x:f t="shared" si="35">IF($O380="","",$O380*$R380)</x:f>
        <x:v>1148184</x:v>
      </x:c>
      <x:c r="V380" s="4" t="n">
        <x:f t="shared" si="36">IF($P380="","",$P380*$S380)</x:f>
        <x:v>34825.2</x:v>
      </x:c>
      <x:c r="W380" s="4" t="n">
        <x:f t="shared" si="37">IF($Q380="","",$Q380*$T380)</x:f>
        <x:v>25302</x:v>
      </x:c>
      <x:c r="X380" s="4" t="n">
        <x:f>IFERROR(INDEX('参数'!$B$5:$B$7,MATCH($N380,'参数'!$A$5:$A$7,0)),"")</x:f>
        <x:v>1.5</x:v>
      </x:c>
      <x:c r="Y380" s="4" t="n">
        <x:f>IFERROR(INDEX('参数'!$C$5:$C$7,MATCH($N380,'参数'!$A$5:$A$7,0)),"")</x:f>
        <x:v>1</x:v>
      </x:c>
      <x:c r="Z380" s="4" t="n">
        <x:f>IFERROR(INDEX('参数'!$D$5:$D$7,MATCH($N380,'参数'!$A$5:$A$7,0)),"")</x:f>
        <x:v>1.5</x:v>
      </x:c>
      <x:c r="AA380" s="4" t="n">
        <x:f>IFERROR(INDEX('楼层配置'!$E$5:$E$104,MATCH($K380,'楼层配置'!$B$5:$B$104,0)),1)</x:f>
        <x:v>1.1509555592985372</x:v>
      </x:c>
      <x:c r="AB380" s="4" t="n">
        <x:f>IFERROR(INDEX('楼层配置'!$F$5:$F$104,MATCH($K380,'楼层配置'!$B$5:$B$104,0)),1)</x:f>
        <x:v>0.7094589601681451</x:v>
      </x:c>
      <x:c r="AC380" s="4" t="n">
        <x:f>IFERROR(INDEX('楼层配置'!$G$5:$G$104,MATCH($K380,'楼层配置'!$B$5:$B$104,0)),1)</x:f>
        <x:v>1</x:v>
      </x:c>
      <x:c r="AD380" s="6" t="n">
        <x:f t="shared" si="38">IFERROR($D380/$G380-1,"")</x:f>
        <x:v>-0.41149889039804655</x:v>
      </x:c>
      <x:c r="AE380" s="6" t="n">
        <x:f t="shared" si="39">IFERROR($E380/$H380-1,"")</x:f>
        <x:v>-0.2550054275720661</x:v>
      </x:c>
      <x:c r="AF380" s="6" t="n">
        <x:f t="shared" si="40">IFERROR($F380/$I380-1,"")</x:f>
        <x:v>0.0579528349222278</x:v>
      </x:c>
      <x:c r="AG380" s="4" t="str">
        <x:f t="shared" si="41">IF(AND($A380&gt;=1,$L380&gt;=1,$L380&lt;=500,OR($N380="Tank",$N380="DPS",$N380="Support"),ISNUMBER($D380),ISNUMBER($E380),ISNUMBER($F380)),"有效","异常")</x:f>
        <x:v>有效</x:v>
      </x:c>
      <x:c r="AH380" t="n">
        <x:f>D380/(1-MIN(0.75,F380/(24000+F380)))</x:f>
        <x:v>5116964.151625</x:v>
      </x:c>
    </x:row>
    <x:row r="381" ht="14.25" customHeight="1">
      <x:c r="A381" s="4">
        <x:v>377</x:v>
      </x:c>
      <x:c r="B381" s="4">
        <x:v>1007</x:v>
      </x:c>
      <x:c r="C381" s="4">
        <x:v>48</x:v>
      </x:c>
      <x:c r="D381" s="5" t="n">
        <x:f>IFERROR(ROUND($U381*$X381*$AA381*'参数'!$B$13,0),"")</x:f>
        <x:v>1651886</x:v>
      </x:c>
      <x:c r="E381" s="5" t="n">
        <x:f>IFERROR(ROUND($V381*$Y381*$AB381*'参数'!$C$13,0),"")</x:f>
        <x:v>24707</x:v>
      </x:c>
      <x:c r="F381" s="5" t="n">
        <x:f>IFERROR(ROUND($W381*$Z381*$AC381*'参数'!$D$13,0),"")</x:f>
        <x:v>31628</x:v>
      </x:c>
      <x:c r="G381" s="4">
        <x:v>2806938</x:v>
      </x:c>
      <x:c r="H381" s="4">
        <x:v>33164</x:v>
      </x:c>
      <x:c r="I381" s="4">
        <x:v>29895</x:v>
      </x:c>
      <x:c r="J381" s="4">
        <x:v>76</x:v>
      </x:c>
      <x:c r="K381" s="4">
        <x:v>76</x:v>
      </x:c>
      <x:c r="L381" s="4" t="n">
        <x:f>IFERROR(INDEX('楼层配置'!$D$5:$D$104,MATCH($K381,'楼层配置'!$B$5:$B$104,0)),"")</x:f>
        <x:v>248</x:v>
      </x:c>
      <x:c r="M381" s="4" t="str">
        <x:f>IFERROR(INDEX('_角色基线'!$B$2:$B$100,MATCH($B381,'_角色基线'!$A$2:$A$100,0)),"")</x:f>
        <x:v>萨萨莉安</x:v>
      </x:c>
      <x:c r="N381" s="4" t="str">
        <x:f>IFERROR(INDEX('_角色基线'!$C$2:$C$100,MATCH($B381,'_角色基线'!$A$2:$A$100,0)),"")</x:f>
        <x:v>Support</x:v>
      </x:c>
      <x:c r="O381" s="4" t="n">
        <x:f>IFERROR(INDEX('_怪物基线'!$B$2:$B$501,MATCH(INT($L381),'_怪物基线'!$A$2:$A$501,0)),"")</x:f>
        <x:v>287046</x:v>
      </x:c>
      <x:c r="P381" s="4" t="n">
        <x:f>IFERROR(INDEX('_怪物基线'!$C$2:$C$501,MATCH(INT($L381),'_怪物基线'!$A$2:$A$501,0)),"")</x:f>
        <x:v>29021</x:v>
      </x:c>
      <x:c r="Q381" s="4" t="n">
        <x:f>IFERROR(INDEX('_怪物基线'!$D$2:$D$501,MATCH(INT($L381),'_怪物基线'!$A$2:$A$501,0)),"")</x:f>
        <x:v>25302</x:v>
      </x:c>
      <x:c r="R381" s="4" t="n">
        <x:f>'参数'!$B$10</x:f>
        <x:v>4</x:v>
      </x:c>
      <x:c r="S381" s="4" t="n">
        <x:f>'参数'!$C$10</x:f>
        <x:v>1.2</x:v>
      </x:c>
      <x:c r="T381" s="4" t="n">
        <x:f>'参数'!$D$10</x:f>
        <x:v>1</x:v>
      </x:c>
      <x:c r="U381" s="4" t="n">
        <x:f t="shared" si="35">IF($O381="","",$O381*$R381)</x:f>
        <x:v>1148184</x:v>
      </x:c>
      <x:c r="V381" s="4" t="n">
        <x:f t="shared" si="36">IF($P381="","",$P381*$S381)</x:f>
        <x:v>34825.2</x:v>
      </x:c>
      <x:c r="W381" s="4" t="n">
        <x:f t="shared" si="37">IF($Q381="","",$Q381*$T381)</x:f>
        <x:v>25302</x:v>
      </x:c>
      <x:c r="X381" s="4" t="n">
        <x:f>IFERROR(INDEX('参数'!$B$5:$B$7,MATCH($N381,'参数'!$A$5:$A$7,0)),"")</x:f>
        <x:v>1.25</x:v>
      </x:c>
      <x:c r="Y381" s="4" t="n">
        <x:f>IFERROR(INDEX('参数'!$C$5:$C$7,MATCH($N381,'参数'!$A$5:$A$7,0)),"")</x:f>
        <x:v>1</x:v>
      </x:c>
      <x:c r="Z381" s="4" t="n">
        <x:f>IFERROR(INDEX('参数'!$D$5:$D$7,MATCH($N381,'参数'!$A$5:$A$7,0)),"")</x:f>
        <x:v>1.25</x:v>
      </x:c>
      <x:c r="AA381" s="4" t="n">
        <x:f>IFERROR(INDEX('楼层配置'!$E$5:$E$104,MATCH($K381,'楼层配置'!$B$5:$B$104,0)),1)</x:f>
        <x:v>1.1509555592985372</x:v>
      </x:c>
      <x:c r="AB381" s="4" t="n">
        <x:f>IFERROR(INDEX('楼层配置'!$F$5:$F$104,MATCH($K381,'楼层配置'!$B$5:$B$104,0)),1)</x:f>
        <x:v>0.7094589601681451</x:v>
      </x:c>
      <x:c r="AC381" s="4" t="n">
        <x:f>IFERROR(INDEX('楼层配置'!$G$5:$G$104,MATCH($K381,'楼层配置'!$B$5:$B$104,0)),1)</x:f>
        <x:v>1</x:v>
      </x:c>
      <x:c r="AD381" s="6" t="n">
        <x:f t="shared" si="38">IFERROR($D381/$G381-1,"")</x:f>
        <x:v>-0.41149893585109465</x:v>
      </x:c>
      <x:c r="AE381" s="6" t="n">
        <x:f t="shared" si="39">IFERROR($E381/$H381-1,"")</x:f>
        <x:v>-0.2550054275720661</x:v>
      </x:c>
      <x:c r="AF381" s="6" t="n">
        <x:f t="shared" si="40">IFERROR($F381/$I381-1,"")</x:f>
        <x:v>0.05796956012711152</x:v>
      </x:c>
      <x:c r="AG381" s="4" t="str">
        <x:f t="shared" si="41">IF(AND($A381&gt;=1,$L381&gt;=1,$L381&lt;=500,OR($N381="Tank",$N381="DPS",$N381="Support"),ISNUMBER($D381),ISNUMBER($E381),ISNUMBER($F381)),"有效","异常")</x:f>
        <x:v>有效</x:v>
      </x:c>
      <x:c r="AH381" t="n">
        <x:f>D381/(1-MIN(0.75,F381/(24000+F381)))</x:f>
        <x:v>3828796.4336666665</x:v>
      </x:c>
    </x:row>
    <x:row r="382" ht="14.25" customHeight="1">
      <x:c r="A382" s="4">
        <x:v>378</x:v>
      </x:c>
      <x:c r="B382" s="4">
        <x:v>1006</x:v>
      </x:c>
      <x:c r="C382" s="4">
        <x:v>48</x:v>
      </x:c>
      <x:c r="D382" s="5" t="n">
        <x:f>IFERROR(ROUND($U382*$X382*$AA382*'参数'!$B$13,0),"")</x:f>
        <x:v>1321509</x:v>
      </x:c>
      <x:c r="E382" s="5" t="n">
        <x:f>IFERROR(ROUND($V382*$Y382*$AB382*'参数'!$C$13,0),"")</x:f>
        <x:v>29648</x:v>
      </x:c>
      <x:c r="F382" s="5" t="n">
        <x:f>IFERROR(ROUND($W382*$Z382*$AC382*'参数'!$D$13,0),"")</x:f>
        <x:v>25302</x:v>
      </x:c>
      <x:c r="G382" s="4">
        <x:v>2245550</x:v>
      </x:c>
      <x:c r="H382" s="4">
        <x:v>39796</x:v>
      </x:c>
      <x:c r="I382" s="4">
        <x:v>23916</x:v>
      </x:c>
      <x:c r="J382" s="4">
        <x:v>76</x:v>
      </x:c>
      <x:c r="K382" s="4">
        <x:v>76</x:v>
      </x:c>
      <x:c r="L382" s="4" t="n">
        <x:f>IFERROR(INDEX('楼层配置'!$D$5:$D$104,MATCH($K382,'楼层配置'!$B$5:$B$104,0)),"")</x:f>
        <x:v>248</x:v>
      </x:c>
      <x:c r="M382" s="4" t="str">
        <x:f>IFERROR(INDEX('_角色基线'!$B$2:$B$100,MATCH($B382,'_角色基线'!$A$2:$A$100,0)),"")</x:f>
        <x:v>莉莉娅</x:v>
      </x:c>
      <x:c r="N382" s="4" t="str">
        <x:f>IFERROR(INDEX('_角色基线'!$C$2:$C$100,MATCH($B382,'_角色基线'!$A$2:$A$100,0)),"")</x:f>
        <x:v>DPS</x:v>
      </x:c>
      <x:c r="O382" s="4" t="n">
        <x:f>IFERROR(INDEX('_怪物基线'!$B$2:$B$501,MATCH(INT($L382),'_怪物基线'!$A$2:$A$501,0)),"")</x:f>
        <x:v>287046</x:v>
      </x:c>
      <x:c r="P382" s="4" t="n">
        <x:f>IFERROR(INDEX('_怪物基线'!$C$2:$C$501,MATCH(INT($L382),'_怪物基线'!$A$2:$A$501,0)),"")</x:f>
        <x:v>29021</x:v>
      </x:c>
      <x:c r="Q382" s="4" t="n">
        <x:f>IFERROR(INDEX('_怪物基线'!$D$2:$D$501,MATCH(INT($L382),'_怪物基线'!$A$2:$A$501,0)),"")</x:f>
        <x:v>25302</x:v>
      </x:c>
      <x:c r="R382" s="4" t="n">
        <x:f>'参数'!$B$10</x:f>
        <x:v>4</x:v>
      </x:c>
      <x:c r="S382" s="4" t="n">
        <x:f>'参数'!$C$10</x:f>
        <x:v>1.2</x:v>
      </x:c>
      <x:c r="T382" s="4" t="n">
        <x:f>'参数'!$D$10</x:f>
        <x:v>1</x:v>
      </x:c>
      <x:c r="U382" s="4" t="n">
        <x:f t="shared" si="35">IF($O382="","",$O382*$R382)</x:f>
        <x:v>1148184</x:v>
      </x:c>
      <x:c r="V382" s="4" t="n">
        <x:f t="shared" si="36">IF($P382="","",$P382*$S382)</x:f>
        <x:v>34825.2</x:v>
      </x:c>
      <x:c r="W382" s="4" t="n">
        <x:f t="shared" si="37">IF($Q382="","",$Q382*$T382)</x:f>
        <x:v>25302</x:v>
      </x:c>
      <x:c r="X382" s="4" t="n">
        <x:f>IFERROR(INDEX('参数'!$B$5:$B$7,MATCH($N382,'参数'!$A$5:$A$7,0)),"")</x:f>
        <x:v>1</x:v>
      </x:c>
      <x:c r="Y382" s="4" t="n">
        <x:f>IFERROR(INDEX('参数'!$C$5:$C$7,MATCH($N382,'参数'!$A$5:$A$7,0)),"")</x:f>
        <x:v>1.2</x:v>
      </x:c>
      <x:c r="Z382" s="4" t="n">
        <x:f>IFERROR(INDEX('参数'!$D$5:$D$7,MATCH($N382,'参数'!$A$5:$A$7,0)),"")</x:f>
        <x:v>1</x:v>
      </x:c>
      <x:c r="AA382" s="4" t="n">
        <x:f>IFERROR(INDEX('楼层配置'!$E$5:$E$104,MATCH($K382,'楼层配置'!$B$5:$B$104,0)),1)</x:f>
        <x:v>1.1509555592985372</x:v>
      </x:c>
      <x:c r="AB382" s="4" t="n">
        <x:f>IFERROR(INDEX('楼层配置'!$F$5:$F$104,MATCH($K382,'楼层配置'!$B$5:$B$104,0)),1)</x:f>
        <x:v>0.7094589601681451</x:v>
      </x:c>
      <x:c r="AC382" s="4" t="n">
        <x:f>IFERROR(INDEX('楼层配置'!$G$5:$G$104,MATCH($K382,'楼层配置'!$B$5:$B$104,0)),1)</x:f>
        <x:v>1</x:v>
      </x:c>
      <x:c r="AD382" s="6" t="n">
        <x:f t="shared" si="38">IFERROR($D382/$G382-1,"")</x:f>
        <x:v>-0.41149874195631364</x:v>
      </x:c>
      <x:c r="AE382" s="6" t="n">
        <x:f t="shared" si="39">IFERROR($E382/$H382-1,"")</x:f>
        <x:v>-0.2550005025630717</x:v>
      </x:c>
      <x:c r="AF382" s="6" t="n">
        <x:f t="shared" si="40">IFERROR($F382/$I382-1,"")</x:f>
        <x:v>0.0579528349222278</x:v>
      </x:c>
      <x:c r="AG382" s="4" t="str">
        <x:f t="shared" si="41">IF(AND($A382&gt;=1,$L382&gt;=1,$L382&lt;=500,OR($N382="Tank",$N382="DPS",$N382="Support"),ISNUMBER($D382),ISNUMBER($E382),ISNUMBER($F382)),"有效","异常")</x:f>
        <x:v>有效</x:v>
      </x:c>
      <x:c r="AH382" t="n">
        <x:f>D382/(1-MIN(0.75,F382/(24000+F382)))</x:f>
        <x:v>2714709.86325</x:v>
      </x:c>
    </x:row>
    <x:row r="383" ht="14.25" customHeight="1">
      <x:c r="A383" s="4">
        <x:v>379</x:v>
      </x:c>
      <x:c r="B383" s="4">
        <x:v>1008</x:v>
      </x:c>
      <x:c r="C383" s="4">
        <x:v>48</x:v>
      </x:c>
      <x:c r="D383" s="5" t="n">
        <x:f>IFERROR(ROUND($U383*$X383*$AA383*'参数'!$B$13,0),"")</x:f>
        <x:v>1321509</x:v>
      </x:c>
      <x:c r="E383" s="5" t="n">
        <x:f>IFERROR(ROUND($V383*$Y383*$AB383*'参数'!$C$13,0),"")</x:f>
        <x:v>29648</x:v>
      </x:c>
      <x:c r="F383" s="5" t="n">
        <x:f>IFERROR(ROUND($W383*$Z383*$AC383*'参数'!$D$13,0),"")</x:f>
        <x:v>25302</x:v>
      </x:c>
      <x:c r="G383" s="4">
        <x:v>2245550</x:v>
      </x:c>
      <x:c r="H383" s="4">
        <x:v>39796</x:v>
      </x:c>
      <x:c r="I383" s="4">
        <x:v>23916</x:v>
      </x:c>
      <x:c r="J383" s="4">
        <x:v>76</x:v>
      </x:c>
      <x:c r="K383" s="4">
        <x:v>76</x:v>
      </x:c>
      <x:c r="L383" s="4" t="n">
        <x:f>IFERROR(INDEX('楼层配置'!$D$5:$D$104,MATCH($K383,'楼层配置'!$B$5:$B$104,0)),"")</x:f>
        <x:v>248</x:v>
      </x:c>
      <x:c r="M383" s="4" t="str">
        <x:f>IFERROR(INDEX('_角色基线'!$B$2:$B$100,MATCH($B383,'_角色基线'!$A$2:$A$100,0)),"")</x:f>
        <x:v>薇</x:v>
      </x:c>
      <x:c r="N383" s="4" t="str">
        <x:f>IFERROR(INDEX('_角色基线'!$C$2:$C$100,MATCH($B383,'_角色基线'!$A$2:$A$100,0)),"")</x:f>
        <x:v>DPS</x:v>
      </x:c>
      <x:c r="O383" s="4" t="n">
        <x:f>IFERROR(INDEX('_怪物基线'!$B$2:$B$501,MATCH(INT($L383),'_怪物基线'!$A$2:$A$501,0)),"")</x:f>
        <x:v>287046</x:v>
      </x:c>
      <x:c r="P383" s="4" t="n">
        <x:f>IFERROR(INDEX('_怪物基线'!$C$2:$C$501,MATCH(INT($L383),'_怪物基线'!$A$2:$A$501,0)),"")</x:f>
        <x:v>29021</x:v>
      </x:c>
      <x:c r="Q383" s="4" t="n">
        <x:f>IFERROR(INDEX('_怪物基线'!$D$2:$D$501,MATCH(INT($L383),'_怪物基线'!$A$2:$A$501,0)),"")</x:f>
        <x:v>25302</x:v>
      </x:c>
      <x:c r="R383" s="4" t="n">
        <x:f>'参数'!$B$10</x:f>
        <x:v>4</x:v>
      </x:c>
      <x:c r="S383" s="4" t="n">
        <x:f>'参数'!$C$10</x:f>
        <x:v>1.2</x:v>
      </x:c>
      <x:c r="T383" s="4" t="n">
        <x:f>'参数'!$D$10</x:f>
        <x:v>1</x:v>
      </x:c>
      <x:c r="U383" s="4" t="n">
        <x:f t="shared" si="35">IF($O383="","",$O383*$R383)</x:f>
        <x:v>1148184</x:v>
      </x:c>
      <x:c r="V383" s="4" t="n">
        <x:f t="shared" si="36">IF($P383="","",$P383*$S383)</x:f>
        <x:v>34825.2</x:v>
      </x:c>
      <x:c r="W383" s="4" t="n">
        <x:f t="shared" si="37">IF($Q383="","",$Q383*$T383)</x:f>
        <x:v>25302</x:v>
      </x:c>
      <x:c r="X383" s="4" t="n">
        <x:f>IFERROR(INDEX('参数'!$B$5:$B$7,MATCH($N383,'参数'!$A$5:$A$7,0)),"")</x:f>
        <x:v>1</x:v>
      </x:c>
      <x:c r="Y383" s="4" t="n">
        <x:f>IFERROR(INDEX('参数'!$C$5:$C$7,MATCH($N383,'参数'!$A$5:$A$7,0)),"")</x:f>
        <x:v>1.2</x:v>
      </x:c>
      <x:c r="Z383" s="4" t="n">
        <x:f>IFERROR(INDEX('参数'!$D$5:$D$7,MATCH($N383,'参数'!$A$5:$A$7,0)),"")</x:f>
        <x:v>1</x:v>
      </x:c>
      <x:c r="AA383" s="4" t="n">
        <x:f>IFERROR(INDEX('楼层配置'!$E$5:$E$104,MATCH($K383,'楼层配置'!$B$5:$B$104,0)),1)</x:f>
        <x:v>1.1509555592985372</x:v>
      </x:c>
      <x:c r="AB383" s="4" t="n">
        <x:f>IFERROR(INDEX('楼层配置'!$F$5:$F$104,MATCH($K383,'楼层配置'!$B$5:$B$104,0)),1)</x:f>
        <x:v>0.7094589601681451</x:v>
      </x:c>
      <x:c r="AC383" s="4" t="n">
        <x:f>IFERROR(INDEX('楼层配置'!$G$5:$G$104,MATCH($K383,'楼层配置'!$B$5:$B$104,0)),1)</x:f>
        <x:v>1</x:v>
      </x:c>
      <x:c r="AD383" s="6" t="n">
        <x:f t="shared" si="38">IFERROR($D383/$G383-1,"")</x:f>
        <x:v>-0.41149874195631364</x:v>
      </x:c>
      <x:c r="AE383" s="6" t="n">
        <x:f t="shared" si="39">IFERROR($E383/$H383-1,"")</x:f>
        <x:v>-0.2550005025630717</x:v>
      </x:c>
      <x:c r="AF383" s="6" t="n">
        <x:f t="shared" si="40">IFERROR($F383/$I383-1,"")</x:f>
        <x:v>0.0579528349222278</x:v>
      </x:c>
      <x:c r="AG383" s="4" t="str">
        <x:f t="shared" si="41">IF(AND($A383&gt;=1,$L383&gt;=1,$L383&lt;=500,OR($N383="Tank",$N383="DPS",$N383="Support"),ISNUMBER($D383),ISNUMBER($E383),ISNUMBER($F383)),"有效","异常")</x:f>
        <x:v>有效</x:v>
      </x:c>
      <x:c r="AH383" t="n">
        <x:f>D383/(1-MIN(0.75,F383/(24000+F383)))</x:f>
        <x:v>2714709.86325</x:v>
      </x:c>
    </x:row>
    <x:row r="384" ht="14.25" customHeight="1">
      <x:c r="A384" s="4">
        <x:v>380</x:v>
      </x:c>
      <x:c r="B384" s="4">
        <x:v>1017</x:v>
      </x:c>
      <x:c r="C384" s="4">
        <x:v>48</x:v>
      </x:c>
      <x:c r="D384" s="5" t="n">
        <x:f>IFERROR(ROUND($U384*$X384*$AA384*'参数'!$B$13,0),"")</x:f>
        <x:v>1321509</x:v>
      </x:c>
      <x:c r="E384" s="5" t="n">
        <x:f>IFERROR(ROUND($V384*$Y384*$AB384*'参数'!$C$13,0),"")</x:f>
        <x:v>29648</x:v>
      </x:c>
      <x:c r="F384" s="5" t="n">
        <x:f>IFERROR(ROUND($W384*$Z384*$AC384*'参数'!$D$13,0),"")</x:f>
        <x:v>25302</x:v>
      </x:c>
      <x:c r="G384" s="4">
        <x:v>2245550</x:v>
      </x:c>
      <x:c r="H384" s="4">
        <x:v>39796</x:v>
      </x:c>
      <x:c r="I384" s="4">
        <x:v>23916</x:v>
      </x:c>
      <x:c r="J384" s="4">
        <x:v>76</x:v>
      </x:c>
      <x:c r="K384" s="4">
        <x:v>76</x:v>
      </x:c>
      <x:c r="L384" s="4" t="n">
        <x:f>IFERROR(INDEX('楼层配置'!$D$5:$D$104,MATCH($K384,'楼层配置'!$B$5:$B$104,0)),"")</x:f>
        <x:v>248</x:v>
      </x:c>
      <x:c r="M384" s="4" t="str">
        <x:f>IFERROR(INDEX('_角色基线'!$B$2:$B$100,MATCH($B384,'_角色基线'!$A$2:$A$100,0)),"")</x:f>
        <x:v>伊戈尔</x:v>
      </x:c>
      <x:c r="N384" s="4" t="str">
        <x:f>IFERROR(INDEX('_角色基线'!$C$2:$C$100,MATCH($B384,'_角色基线'!$A$2:$A$100,0)),"")</x:f>
        <x:v>DPS</x:v>
      </x:c>
      <x:c r="O384" s="4" t="n">
        <x:f>IFERROR(INDEX('_怪物基线'!$B$2:$B$501,MATCH(INT($L384),'_怪物基线'!$A$2:$A$501,0)),"")</x:f>
        <x:v>287046</x:v>
      </x:c>
      <x:c r="P384" s="4" t="n">
        <x:f>IFERROR(INDEX('_怪物基线'!$C$2:$C$501,MATCH(INT($L384),'_怪物基线'!$A$2:$A$501,0)),"")</x:f>
        <x:v>29021</x:v>
      </x:c>
      <x:c r="Q384" s="4" t="n">
        <x:f>IFERROR(INDEX('_怪物基线'!$D$2:$D$501,MATCH(INT($L384),'_怪物基线'!$A$2:$A$501,0)),"")</x:f>
        <x:v>25302</x:v>
      </x:c>
      <x:c r="R384" s="4" t="n">
        <x:f>'参数'!$B$10</x:f>
        <x:v>4</x:v>
      </x:c>
      <x:c r="S384" s="4" t="n">
        <x:f>'参数'!$C$10</x:f>
        <x:v>1.2</x:v>
      </x:c>
      <x:c r="T384" s="4" t="n">
        <x:f>'参数'!$D$10</x:f>
        <x:v>1</x:v>
      </x:c>
      <x:c r="U384" s="4" t="n">
        <x:f t="shared" si="35">IF($O384="","",$O384*$R384)</x:f>
        <x:v>1148184</x:v>
      </x:c>
      <x:c r="V384" s="4" t="n">
        <x:f t="shared" si="36">IF($P384="","",$P384*$S384)</x:f>
        <x:v>34825.2</x:v>
      </x:c>
      <x:c r="W384" s="4" t="n">
        <x:f t="shared" si="37">IF($Q384="","",$Q384*$T384)</x:f>
        <x:v>25302</x:v>
      </x:c>
      <x:c r="X384" s="4" t="n">
        <x:f>IFERROR(INDEX('参数'!$B$5:$B$7,MATCH($N384,'参数'!$A$5:$A$7,0)),"")</x:f>
        <x:v>1</x:v>
      </x:c>
      <x:c r="Y384" s="4" t="n">
        <x:f>IFERROR(INDEX('参数'!$C$5:$C$7,MATCH($N384,'参数'!$A$5:$A$7,0)),"")</x:f>
        <x:v>1.2</x:v>
      </x:c>
      <x:c r="Z384" s="4" t="n">
        <x:f>IFERROR(INDEX('参数'!$D$5:$D$7,MATCH($N384,'参数'!$A$5:$A$7,0)),"")</x:f>
        <x:v>1</x:v>
      </x:c>
      <x:c r="AA384" s="4" t="n">
        <x:f>IFERROR(INDEX('楼层配置'!$E$5:$E$104,MATCH($K384,'楼层配置'!$B$5:$B$104,0)),1)</x:f>
        <x:v>1.1509555592985372</x:v>
      </x:c>
      <x:c r="AB384" s="4" t="n">
        <x:f>IFERROR(INDEX('楼层配置'!$F$5:$F$104,MATCH($K384,'楼层配置'!$B$5:$B$104,0)),1)</x:f>
        <x:v>0.7094589601681451</x:v>
      </x:c>
      <x:c r="AC384" s="4" t="n">
        <x:f>IFERROR(INDEX('楼层配置'!$G$5:$G$104,MATCH($K384,'楼层配置'!$B$5:$B$104,0)),1)</x:f>
        <x:v>1</x:v>
      </x:c>
      <x:c r="AD384" s="6" t="n">
        <x:f t="shared" si="38">IFERROR($D384/$G384-1,"")</x:f>
        <x:v>-0.41149874195631364</x:v>
      </x:c>
      <x:c r="AE384" s="6" t="n">
        <x:f t="shared" si="39">IFERROR($E384/$H384-1,"")</x:f>
        <x:v>-0.2550005025630717</x:v>
      </x:c>
      <x:c r="AF384" s="6" t="n">
        <x:f t="shared" si="40">IFERROR($F384/$I384-1,"")</x:f>
        <x:v>0.0579528349222278</x:v>
      </x:c>
      <x:c r="AG384" s="4" t="str">
        <x:f t="shared" si="41">IF(AND($A384&gt;=1,$L384&gt;=1,$L384&lt;=500,OR($N384="Tank",$N384="DPS",$N384="Support"),ISNUMBER($D384),ISNUMBER($E384),ISNUMBER($F384)),"有效","异常")</x:f>
        <x:v>有效</x:v>
      </x:c>
      <x:c r="AH384" t="n">
        <x:f>D384/(1-MIN(0.75,F384/(24000+F384)))</x:f>
        <x:v>2714709.86325</x:v>
      </x:c>
    </x:row>
    <x:row r="385" ht="14.25" customHeight="1">
      <x:c r="A385" s="4">
        <x:v>381</x:v>
      </x:c>
      <x:c r="B385" s="4">
        <x:v>1004</x:v>
      </x:c>
      <x:c r="C385" s="4">
        <x:v>48</x:v>
      </x:c>
      <x:c r="D385" s="5" t="n">
        <x:f>IFERROR(ROUND($U385*$X385*$AA385*'参数'!$B$13,0),"")</x:f>
        <x:v>2015757</x:v>
      </x:c>
      <x:c r="E385" s="5" t="n">
        <x:f>IFERROR(ROUND($V385*$Y385*$AB385*'参数'!$C$13,0),"")</x:f>
        <x:v>25083</x:v>
      </x:c>
      <x:c r="F385" s="5" t="n">
        <x:f>IFERROR(ROUND($W385*$Z385*$AC385*'参数'!$D$13,0),"")</x:f>
        <x:v>38345</x:v>
      </x:c>
      <x:c r="G385" s="4">
        <x:v>3484605</x:v>
      </x:c>
      <x:c r="H385" s="4">
        <x:v>34039</x:v>
      </x:c>
      <x:c r="I385" s="4">
        <x:v>36495</x:v>
      </x:c>
      <x:c r="J385" s="4">
        <x:v>77</x:v>
      </x:c>
      <x:c r="K385" s="4">
        <x:v>77</x:v>
      </x:c>
      <x:c r="L385" s="4" t="n">
        <x:f>IFERROR(INDEX('楼层配置'!$D$5:$D$104,MATCH($K385,'楼层配置'!$B$5:$B$104,0)),"")</x:f>
        <x:v>250</x:v>
      </x:c>
      <x:c r="M385" s="4" t="str">
        <x:f>IFERROR(INDEX('_角色基线'!$B$2:$B$100,MATCH($B385,'_角色基线'!$A$2:$A$100,0)),"")</x:f>
        <x:v>阿芭</x:v>
      </x:c>
      <x:c r="N385" s="4" t="str">
        <x:f>IFERROR(INDEX('_角色基线'!$C$2:$C$100,MATCH($B385,'_角色基线'!$A$2:$A$100,0)),"")</x:f>
        <x:v>Tank</x:v>
      </x:c>
      <x:c r="O385" s="4" t="n">
        <x:f>IFERROR(INDEX('_怪物基线'!$B$2:$B$501,MATCH(INT($L385),'_怪物基线'!$A$2:$A$501,0)),"")</x:f>
        <x:v>293162</x:v>
      </x:c>
      <x:c r="P385" s="4" t="n">
        <x:f>IFERROR(INDEX('_怪物基线'!$C$2:$C$501,MATCH(INT($L385),'_怪物基线'!$A$2:$A$501,0)),"")</x:f>
        <x:v>29477</x:v>
      </x:c>
      <x:c r="Q385" s="4" t="n">
        <x:f>IFERROR(INDEX('_怪物基线'!$D$2:$D$501,MATCH(INT($L385),'_怪物基线'!$A$2:$A$501,0)),"")</x:f>
        <x:v>25563</x:v>
      </x:c>
      <x:c r="R385" s="4" t="n">
        <x:f>'参数'!$B$10</x:f>
        <x:v>4</x:v>
      </x:c>
      <x:c r="S385" s="4" t="n">
        <x:f>'参数'!$C$10</x:f>
        <x:v>1.2</x:v>
      </x:c>
      <x:c r="T385" s="4" t="n">
        <x:f>'参数'!$D$10</x:f>
        <x:v>1</x:v>
      </x:c>
      <x:c r="U385" s="4" t="n">
        <x:f t="shared" si="35">IF($O385="","",$O385*$R385)</x:f>
        <x:v>1172648</x:v>
      </x:c>
      <x:c r="V385" s="4" t="n">
        <x:f t="shared" si="36">IF($P385="","",$P385*$S385)</x:f>
        <x:v>35372.4</x:v>
      </x:c>
      <x:c r="W385" s="4" t="n">
        <x:f t="shared" si="37">IF($Q385="","",$Q385*$T385)</x:f>
        <x:v>25563</x:v>
      </x:c>
      <x:c r="X385" s="4" t="n">
        <x:f>IFERROR(INDEX('参数'!$B$5:$B$7,MATCH($N385,'参数'!$A$5:$A$7,0)),"")</x:f>
        <x:v>1.5</x:v>
      </x:c>
      <x:c r="Y385" s="4" t="n">
        <x:f>IFERROR(INDEX('参数'!$C$5:$C$7,MATCH($N385,'参数'!$A$5:$A$7,0)),"")</x:f>
        <x:v>1</x:v>
      </x:c>
      <x:c r="Z385" s="4" t="n">
        <x:f>IFERROR(INDEX('参数'!$D$5:$D$7,MATCH($N385,'参数'!$A$5:$A$7,0)),"")</x:f>
        <x:v>1.5</x:v>
      </x:c>
      <x:c r="AA385" s="4" t="n">
        <x:f>IFERROR(INDEX('楼层配置'!$E$5:$E$104,MATCH($K385,'楼层配置'!$B$5:$B$104,0)),1)</x:f>
        <x:v>1.1459855579844218</x:v>
      </x:c>
      <x:c r="AB385" s="4" t="n">
        <x:f>IFERROR(INDEX('楼层配置'!$F$5:$F$104,MATCH($K385,'楼层配置'!$B$5:$B$104,0)),1)</x:f>
        <x:v>0.7091062096276908</x:v>
      </x:c>
      <x:c r="AC385" s="4" t="n">
        <x:f>IFERROR(INDEX('楼层配置'!$G$5:$G$104,MATCH($K385,'楼层配置'!$B$5:$B$104,0)),1)</x:f>
        <x:v>1</x:v>
      </x:c>
      <x:c r="AD385" s="6" t="n">
        <x:f t="shared" si="38">IFERROR($D385/$G385-1,"")</x:f>
        <x:v>-0.42152496480949775</x:v>
      </x:c>
      <x:c r="AE385" s="6" t="n">
        <x:f t="shared" si="39">IFERROR($E385/$H385-1,"")</x:f>
        <x:v>-0.2631099621022944</x:v>
      </x:c>
      <x:c r="AF385" s="6" t="n">
        <x:f t="shared" si="40">IFERROR($F385/$I385-1,"")</x:f>
        <x:v>0.05069187559939725</x:v>
      </x:c>
      <x:c r="AG385" s="4" t="str">
        <x:f t="shared" si="41">IF(AND($A385&gt;=1,$L385&gt;=1,$L385&lt;=500,OR($N385="Tank",$N385="DPS",$N385="Support"),ISNUMBER($D385),ISNUMBER($E385),ISNUMBER($F385)),"有效","异常")</x:f>
        <x:v>有效</x:v>
      </x:c>
      <x:c r="AH385" t="n">
        <x:f>D385/(1-MIN(0.75,F385/(24000+F385)))</x:f>
        <x:v>5236348.756874999</x:v>
      </x:c>
    </x:row>
    <x:row r="386" ht="14.25" customHeight="1">
      <x:c r="A386" s="4">
        <x:v>382</x:v>
      </x:c>
      <x:c r="B386" s="4">
        <x:v>1012</x:v>
      </x:c>
      <x:c r="C386" s="4">
        <x:v>48</x:v>
      </x:c>
      <x:c r="D386" s="5" t="n">
        <x:f>IFERROR(ROUND($U386*$X386*$AA386*'参数'!$B$13,0),"")</x:f>
        <x:v>1679797</x:v>
      </x:c>
      <x:c r="E386" s="5" t="n">
        <x:f>IFERROR(ROUND($V386*$Y386*$AB386*'参数'!$C$13,0),"")</x:f>
        <x:v>25083</x:v>
      </x:c>
      <x:c r="F386" s="5" t="n">
        <x:f>IFERROR(ROUND($W386*$Z386*$AC386*'参数'!$D$13,0),"")</x:f>
        <x:v>31954</x:v>
      </x:c>
      <x:c r="G386" s="4">
        <x:v>2903838</x:v>
      </x:c>
      <x:c r="H386" s="4">
        <x:v>34039</x:v>
      </x:c>
      <x:c r="I386" s="4">
        <x:v>30413</x:v>
      </x:c>
      <x:c r="J386" s="4">
        <x:v>77</x:v>
      </x:c>
      <x:c r="K386" s="4">
        <x:v>77</x:v>
      </x:c>
      <x:c r="L386" s="4" t="n">
        <x:f>IFERROR(INDEX('楼层配置'!$D$5:$D$104,MATCH($K386,'楼层配置'!$B$5:$B$104,0)),"")</x:f>
        <x:v>250</x:v>
      </x:c>
      <x:c r="M386" s="4" t="str">
        <x:f>IFERROR(INDEX('_角色基线'!$B$2:$B$100,MATCH($B386,'_角色基线'!$A$2:$A$100,0)),"")</x:f>
        <x:v>艾德琳</x:v>
      </x:c>
      <x:c r="N386" s="4" t="str">
        <x:f>IFERROR(INDEX('_角色基线'!$C$2:$C$100,MATCH($B386,'_角色基线'!$A$2:$A$100,0)),"")</x:f>
        <x:v>Support</x:v>
      </x:c>
      <x:c r="O386" s="4" t="n">
        <x:f>IFERROR(INDEX('_怪物基线'!$B$2:$B$501,MATCH(INT($L386),'_怪物基线'!$A$2:$A$501,0)),"")</x:f>
        <x:v>293162</x:v>
      </x:c>
      <x:c r="P386" s="4" t="n">
        <x:f>IFERROR(INDEX('_怪物基线'!$C$2:$C$501,MATCH(INT($L386),'_怪物基线'!$A$2:$A$501,0)),"")</x:f>
        <x:v>29477</x:v>
      </x:c>
      <x:c r="Q386" s="4" t="n">
        <x:f>IFERROR(INDEX('_怪物基线'!$D$2:$D$501,MATCH(INT($L386),'_怪物基线'!$A$2:$A$501,0)),"")</x:f>
        <x:v>25563</x:v>
      </x:c>
      <x:c r="R386" s="4" t="n">
        <x:f>'参数'!$B$10</x:f>
        <x:v>4</x:v>
      </x:c>
      <x:c r="S386" s="4" t="n">
        <x:f>'参数'!$C$10</x:f>
        <x:v>1.2</x:v>
      </x:c>
      <x:c r="T386" s="4" t="n">
        <x:f>'参数'!$D$10</x:f>
        <x:v>1</x:v>
      </x:c>
      <x:c r="U386" s="4" t="n">
        <x:f t="shared" si="35">IF($O386="","",$O386*$R386)</x:f>
        <x:v>1172648</x:v>
      </x:c>
      <x:c r="V386" s="4" t="n">
        <x:f t="shared" si="36">IF($P386="","",$P386*$S386)</x:f>
        <x:v>35372.4</x:v>
      </x:c>
      <x:c r="W386" s="4" t="n">
        <x:f t="shared" si="37">IF($Q386="","",$Q386*$T386)</x:f>
        <x:v>25563</x:v>
      </x:c>
      <x:c r="X386" s="4" t="n">
        <x:f>IFERROR(INDEX('参数'!$B$5:$B$7,MATCH($N386,'参数'!$A$5:$A$7,0)),"")</x:f>
        <x:v>1.25</x:v>
      </x:c>
      <x:c r="Y386" s="4" t="n">
        <x:f>IFERROR(INDEX('参数'!$C$5:$C$7,MATCH($N386,'参数'!$A$5:$A$7,0)),"")</x:f>
        <x:v>1</x:v>
      </x:c>
      <x:c r="Z386" s="4" t="n">
        <x:f>IFERROR(INDEX('参数'!$D$5:$D$7,MATCH($N386,'参数'!$A$5:$A$7,0)),"")</x:f>
        <x:v>1.25</x:v>
      </x:c>
      <x:c r="AA386" s="4" t="n">
        <x:f>IFERROR(INDEX('楼层配置'!$E$5:$E$104,MATCH($K386,'楼层配置'!$B$5:$B$104,0)),1)</x:f>
        <x:v>1.1459855579844218</x:v>
      </x:c>
      <x:c r="AB386" s="4" t="n">
        <x:f>IFERROR(INDEX('楼层配置'!$F$5:$F$104,MATCH($K386,'楼层配置'!$B$5:$B$104,0)),1)</x:f>
        <x:v>0.7091062096276908</x:v>
      </x:c>
      <x:c r="AC386" s="4" t="n">
        <x:f>IFERROR(INDEX('楼层配置'!$G$5:$G$104,MATCH($K386,'楼层配置'!$B$5:$B$104,0)),1)</x:f>
        <x:v>1</x:v>
      </x:c>
      <x:c r="AD386" s="6" t="n">
        <x:f t="shared" si="38">IFERROR($D386/$G386-1,"")</x:f>
        <x:v>-0.4215252366006643</x:v>
      </x:c>
      <x:c r="AE386" s="6" t="n">
        <x:f t="shared" si="39">IFERROR($E386/$H386-1,"")</x:f>
        <x:v>-0.2631099621022944</x:v>
      </x:c>
      <x:c r="AF386" s="6" t="n">
        <x:f t="shared" si="40">IFERROR($F386/$I386-1,"")</x:f>
        <x:v>0.05066912175714333</x:v>
      </x:c>
      <x:c r="AG386" s="4" t="str">
        <x:f t="shared" si="41">IF(AND($A386&gt;=1,$L386&gt;=1,$L386&lt;=500,OR($N386="Tank",$N386="DPS",$N386="Support"),ISNUMBER($D386),ISNUMBER($E386),ISNUMBER($F386)),"有效","异常")</x:f>
        <x:v>有效</x:v>
      </x:c>
      <x:c r="AH386" t="n">
        <x:f>D386/(1-MIN(0.75,F386/(24000+F386)))</x:f>
        <x:v>3916306.722416667</x:v>
      </x:c>
    </x:row>
    <x:row r="387" ht="14.25" customHeight="1">
      <x:c r="A387" s="4">
        <x:v>383</x:v>
      </x:c>
      <x:c r="B387" s="4">
        <x:v>1014</x:v>
      </x:c>
      <x:c r="C387" s="4">
        <x:v>48</x:v>
      </x:c>
      <x:c r="D387" s="5" t="n">
        <x:f>IFERROR(ROUND($U387*$X387*$AA387*'参数'!$B$13,0),"")</x:f>
        <x:v>1343838</x:v>
      </x:c>
      <x:c r="E387" s="5" t="n">
        <x:f>IFERROR(ROUND($V387*$Y387*$AB387*'参数'!$C$13,0),"")</x:f>
        <x:v>30099</x:v>
      </x:c>
      <x:c r="F387" s="5" t="n">
        <x:f>IFERROR(ROUND($W387*$Z387*$AC387*'参数'!$D$13,0),"")</x:f>
        <x:v>25563</x:v>
      </x:c>
      <x:c r="G387" s="4">
        <x:v>2323070</x:v>
      </x:c>
      <x:c r="H387" s="4">
        <x:v>40846</x:v>
      </x:c>
      <x:c r="I387" s="4">
        <x:v>24330</x:v>
      </x:c>
      <x:c r="J387" s="4">
        <x:v>77</x:v>
      </x:c>
      <x:c r="K387" s="4">
        <x:v>77</x:v>
      </x:c>
      <x:c r="L387" s="4" t="n">
        <x:f>IFERROR(INDEX('楼层配置'!$D$5:$D$104,MATCH($K387,'楼层配置'!$B$5:$B$104,0)),"")</x:f>
        <x:v>250</x:v>
      </x:c>
      <x:c r="M387" s="4" t="str">
        <x:f>IFERROR(INDEX('_角色基线'!$B$2:$B$100,MATCH($B387,'_角色基线'!$A$2:$A$100,0)),"")</x:f>
        <x:v>克莉丝汀</x:v>
      </x:c>
      <x:c r="N387" s="4" t="str">
        <x:f>IFERROR(INDEX('_角色基线'!$C$2:$C$100,MATCH($B387,'_角色基线'!$A$2:$A$100,0)),"")</x:f>
        <x:v>DPS</x:v>
      </x:c>
      <x:c r="O387" s="4" t="n">
        <x:f>IFERROR(INDEX('_怪物基线'!$B$2:$B$501,MATCH(INT($L387),'_怪物基线'!$A$2:$A$501,0)),"")</x:f>
        <x:v>293162</x:v>
      </x:c>
      <x:c r="P387" s="4" t="n">
        <x:f>IFERROR(INDEX('_怪物基线'!$C$2:$C$501,MATCH(INT($L387),'_怪物基线'!$A$2:$A$501,0)),"")</x:f>
        <x:v>29477</x:v>
      </x:c>
      <x:c r="Q387" s="4" t="n">
        <x:f>IFERROR(INDEX('_怪物基线'!$D$2:$D$501,MATCH(INT($L387),'_怪物基线'!$A$2:$A$501,0)),"")</x:f>
        <x:v>25563</x:v>
      </x:c>
      <x:c r="R387" s="4" t="n">
        <x:f>'参数'!$B$10</x:f>
        <x:v>4</x:v>
      </x:c>
      <x:c r="S387" s="4" t="n">
        <x:f>'参数'!$C$10</x:f>
        <x:v>1.2</x:v>
      </x:c>
      <x:c r="T387" s="4" t="n">
        <x:f>'参数'!$D$10</x:f>
        <x:v>1</x:v>
      </x:c>
      <x:c r="U387" s="4" t="n">
        <x:f t="shared" si="35">IF($O387="","",$O387*$R387)</x:f>
        <x:v>1172648</x:v>
      </x:c>
      <x:c r="V387" s="4" t="n">
        <x:f t="shared" si="36">IF($P387="","",$P387*$S387)</x:f>
        <x:v>35372.4</x:v>
      </x:c>
      <x:c r="W387" s="4" t="n">
        <x:f t="shared" si="37">IF($Q387="","",$Q387*$T387)</x:f>
        <x:v>25563</x:v>
      </x:c>
      <x:c r="X387" s="4" t="n">
        <x:f>IFERROR(INDEX('参数'!$B$5:$B$7,MATCH($N387,'参数'!$A$5:$A$7,0)),"")</x:f>
        <x:v>1</x:v>
      </x:c>
      <x:c r="Y387" s="4" t="n">
        <x:f>IFERROR(INDEX('参数'!$C$5:$C$7,MATCH($N387,'参数'!$A$5:$A$7,0)),"")</x:f>
        <x:v>1.2</x:v>
      </x:c>
      <x:c r="Z387" s="4" t="n">
        <x:f>IFERROR(INDEX('参数'!$D$5:$D$7,MATCH($N387,'参数'!$A$5:$A$7,0)),"")</x:f>
        <x:v>1</x:v>
      </x:c>
      <x:c r="AA387" s="4" t="n">
        <x:f>IFERROR(INDEX('楼层配置'!$E$5:$E$104,MATCH($K387,'楼层配置'!$B$5:$B$104,0)),1)</x:f>
        <x:v>1.1459855579844218</x:v>
      </x:c>
      <x:c r="AB387" s="4" t="n">
        <x:f>IFERROR(INDEX('楼层配置'!$F$5:$F$104,MATCH($K387,'楼层配置'!$B$5:$B$104,0)),1)</x:f>
        <x:v>0.7091062096276908</x:v>
      </x:c>
      <x:c r="AC387" s="4" t="n">
        <x:f>IFERROR(INDEX('楼层配置'!$G$5:$G$104,MATCH($K387,'楼层配置'!$B$5:$B$104,0)),1)</x:f>
        <x:v>1</x:v>
      </x:c>
      <x:c r="AD387" s="6" t="n">
        <x:f t="shared" si="38">IFERROR($D387/$G387-1,"")</x:f>
        <x:v>-0.42152496480949775</x:v>
      </x:c>
      <x:c r="AE387" s="6" t="n">
        <x:f t="shared" si="39">IFERROR($E387/$H387-1,"")</x:f>
        <x:v>-0.2631102188708808</x:v>
      </x:c>
      <x:c r="AF387" s="6" t="n">
        <x:f t="shared" si="40">IFERROR($F387/$I387-1,"")</x:f>
        <x:v>0.05067817509247852</x:v>
      </x:c>
      <x:c r="AG387" s="4" t="str">
        <x:f t="shared" si="41">IF(AND($A387&gt;=1,$L387&gt;=1,$L387&lt;=500,OR($N387="Tank",$N387="DPS",$N387="Support"),ISNUMBER($D387),ISNUMBER($E387),ISNUMBER($F387)),"有效","异常")</x:f>
        <x:v>有效</x:v>
      </x:c>
      <x:c r="AH387" t="n">
        <x:f>D387/(1-MIN(0.75,F387/(24000+F387)))</x:f>
        <x:v>2775193.4497499997</x:v>
      </x:c>
    </x:row>
    <x:row r="388" ht="14.25" customHeight="1">
      <x:c r="A388" s="4">
        <x:v>384</x:v>
      </x:c>
      <x:c r="B388" s="4">
        <x:v>1006</x:v>
      </x:c>
      <x:c r="C388" s="4">
        <x:v>48</x:v>
      </x:c>
      <x:c r="D388" s="5" t="n">
        <x:f>IFERROR(ROUND($U388*$X388*$AA388*'参数'!$B$13,0),"")</x:f>
        <x:v>1343838</x:v>
      </x:c>
      <x:c r="E388" s="5" t="n">
        <x:f>IFERROR(ROUND($V388*$Y388*$AB388*'参数'!$C$13,0),"")</x:f>
        <x:v>30099</x:v>
      </x:c>
      <x:c r="F388" s="5" t="n">
        <x:f>IFERROR(ROUND($W388*$Z388*$AC388*'参数'!$D$13,0),"")</x:f>
        <x:v>25563</x:v>
      </x:c>
      <x:c r="G388" s="4">
        <x:v>2323070</x:v>
      </x:c>
      <x:c r="H388" s="4">
        <x:v>40846</x:v>
      </x:c>
      <x:c r="I388" s="4">
        <x:v>24330</x:v>
      </x:c>
      <x:c r="J388" s="4">
        <x:v>77</x:v>
      </x:c>
      <x:c r="K388" s="4">
        <x:v>77</x:v>
      </x:c>
      <x:c r="L388" s="4" t="n">
        <x:f>IFERROR(INDEX('楼层配置'!$D$5:$D$104,MATCH($K388,'楼层配置'!$B$5:$B$104,0)),"")</x:f>
        <x:v>250</x:v>
      </x:c>
      <x:c r="M388" s="4" t="str">
        <x:f>IFERROR(INDEX('_角色基线'!$B$2:$B$100,MATCH($B388,'_角色基线'!$A$2:$A$100,0)),"")</x:f>
        <x:v>莉莉娅</x:v>
      </x:c>
      <x:c r="N388" s="4" t="str">
        <x:f>IFERROR(INDEX('_角色基线'!$C$2:$C$100,MATCH($B388,'_角色基线'!$A$2:$A$100,0)),"")</x:f>
        <x:v>DPS</x:v>
      </x:c>
      <x:c r="O388" s="4" t="n">
        <x:f>IFERROR(INDEX('_怪物基线'!$B$2:$B$501,MATCH(INT($L388),'_怪物基线'!$A$2:$A$501,0)),"")</x:f>
        <x:v>293162</x:v>
      </x:c>
      <x:c r="P388" s="4" t="n">
        <x:f>IFERROR(INDEX('_怪物基线'!$C$2:$C$501,MATCH(INT($L388),'_怪物基线'!$A$2:$A$501,0)),"")</x:f>
        <x:v>29477</x:v>
      </x:c>
      <x:c r="Q388" s="4" t="n">
        <x:f>IFERROR(INDEX('_怪物基线'!$D$2:$D$501,MATCH(INT($L388),'_怪物基线'!$A$2:$A$501,0)),"")</x:f>
        <x:v>25563</x:v>
      </x:c>
      <x:c r="R388" s="4" t="n">
        <x:f>'参数'!$B$10</x:f>
        <x:v>4</x:v>
      </x:c>
      <x:c r="S388" s="4" t="n">
        <x:f>'参数'!$C$10</x:f>
        <x:v>1.2</x:v>
      </x:c>
      <x:c r="T388" s="4" t="n">
        <x:f>'参数'!$D$10</x:f>
        <x:v>1</x:v>
      </x:c>
      <x:c r="U388" s="4" t="n">
        <x:f t="shared" si="35">IF($O388="","",$O388*$R388)</x:f>
        <x:v>1172648</x:v>
      </x:c>
      <x:c r="V388" s="4" t="n">
        <x:f t="shared" si="36">IF($P388="","",$P388*$S388)</x:f>
        <x:v>35372.4</x:v>
      </x:c>
      <x:c r="W388" s="4" t="n">
        <x:f t="shared" si="37">IF($Q388="","",$Q388*$T388)</x:f>
        <x:v>25563</x:v>
      </x:c>
      <x:c r="X388" s="4" t="n">
        <x:f>IFERROR(INDEX('参数'!$B$5:$B$7,MATCH($N388,'参数'!$A$5:$A$7,0)),"")</x:f>
        <x:v>1</x:v>
      </x:c>
      <x:c r="Y388" s="4" t="n">
        <x:f>IFERROR(INDEX('参数'!$C$5:$C$7,MATCH($N388,'参数'!$A$5:$A$7,0)),"")</x:f>
        <x:v>1.2</x:v>
      </x:c>
      <x:c r="Z388" s="4" t="n">
        <x:f>IFERROR(INDEX('参数'!$D$5:$D$7,MATCH($N388,'参数'!$A$5:$A$7,0)),"")</x:f>
        <x:v>1</x:v>
      </x:c>
      <x:c r="AA388" s="4" t="n">
        <x:f>IFERROR(INDEX('楼层配置'!$E$5:$E$104,MATCH($K388,'楼层配置'!$B$5:$B$104,0)),1)</x:f>
        <x:v>1.1459855579844218</x:v>
      </x:c>
      <x:c r="AB388" s="4" t="n">
        <x:f>IFERROR(INDEX('楼层配置'!$F$5:$F$104,MATCH($K388,'楼层配置'!$B$5:$B$104,0)),1)</x:f>
        <x:v>0.7091062096276908</x:v>
      </x:c>
      <x:c r="AC388" s="4" t="n">
        <x:f>IFERROR(INDEX('楼层配置'!$G$5:$G$104,MATCH($K388,'楼层配置'!$B$5:$B$104,0)),1)</x:f>
        <x:v>1</x:v>
      </x:c>
      <x:c r="AD388" s="6" t="n">
        <x:f t="shared" si="38">IFERROR($D388/$G388-1,"")</x:f>
        <x:v>-0.42152496480949775</x:v>
      </x:c>
      <x:c r="AE388" s="6" t="n">
        <x:f t="shared" si="39">IFERROR($E388/$H388-1,"")</x:f>
        <x:v>-0.2631102188708808</x:v>
      </x:c>
      <x:c r="AF388" s="6" t="n">
        <x:f t="shared" si="40">IFERROR($F388/$I388-1,"")</x:f>
        <x:v>0.05067817509247852</x:v>
      </x:c>
      <x:c r="AG388" s="4" t="str">
        <x:f t="shared" si="41">IF(AND($A388&gt;=1,$L388&gt;=1,$L388&lt;=500,OR($N388="Tank",$N388="DPS",$N388="Support"),ISNUMBER($D388),ISNUMBER($E388),ISNUMBER($F388)),"有效","异常")</x:f>
        <x:v>有效</x:v>
      </x:c>
      <x:c r="AH388" t="n">
        <x:f>D388/(1-MIN(0.75,F388/(24000+F388)))</x:f>
        <x:v>2775193.4497499997</x:v>
      </x:c>
    </x:row>
    <x:row r="389" ht="14.25" customHeight="1">
      <x:c r="A389" s="4">
        <x:v>385</x:v>
      </x:c>
      <x:c r="B389" s="4">
        <x:v>1017</x:v>
      </x:c>
      <x:c r="C389" s="4">
        <x:v>48</x:v>
      </x:c>
      <x:c r="D389" s="5" t="n">
        <x:f>IFERROR(ROUND($U389*$X389*$AA389*'参数'!$B$13,0),"")</x:f>
        <x:v>1343838</x:v>
      </x:c>
      <x:c r="E389" s="5" t="n">
        <x:f>IFERROR(ROUND($V389*$Y389*$AB389*'参数'!$C$13,0),"")</x:f>
        <x:v>30099</x:v>
      </x:c>
      <x:c r="F389" s="5" t="n">
        <x:f>IFERROR(ROUND($W389*$Z389*$AC389*'参数'!$D$13,0),"")</x:f>
        <x:v>25563</x:v>
      </x:c>
      <x:c r="G389" s="4">
        <x:v>2323070</x:v>
      </x:c>
      <x:c r="H389" s="4">
        <x:v>40846</x:v>
      </x:c>
      <x:c r="I389" s="4">
        <x:v>24330</x:v>
      </x:c>
      <x:c r="J389" s="4">
        <x:v>77</x:v>
      </x:c>
      <x:c r="K389" s="4">
        <x:v>77</x:v>
      </x:c>
      <x:c r="L389" s="4" t="n">
        <x:f>IFERROR(INDEX('楼层配置'!$D$5:$D$104,MATCH($K389,'楼层配置'!$B$5:$B$104,0)),"")</x:f>
        <x:v>250</x:v>
      </x:c>
      <x:c r="M389" s="4" t="str">
        <x:f>IFERROR(INDEX('_角色基线'!$B$2:$B$100,MATCH($B389,'_角色基线'!$A$2:$A$100,0)),"")</x:f>
        <x:v>伊戈尔</x:v>
      </x:c>
      <x:c r="N389" s="4" t="str">
        <x:f>IFERROR(INDEX('_角色基线'!$C$2:$C$100,MATCH($B389,'_角色基线'!$A$2:$A$100,0)),"")</x:f>
        <x:v>DPS</x:v>
      </x:c>
      <x:c r="O389" s="4" t="n">
        <x:f>IFERROR(INDEX('_怪物基线'!$B$2:$B$501,MATCH(INT($L389),'_怪物基线'!$A$2:$A$501,0)),"")</x:f>
        <x:v>293162</x:v>
      </x:c>
      <x:c r="P389" s="4" t="n">
        <x:f>IFERROR(INDEX('_怪物基线'!$C$2:$C$501,MATCH(INT($L389),'_怪物基线'!$A$2:$A$501,0)),"")</x:f>
        <x:v>29477</x:v>
      </x:c>
      <x:c r="Q389" s="4" t="n">
        <x:f>IFERROR(INDEX('_怪物基线'!$D$2:$D$501,MATCH(INT($L389),'_怪物基线'!$A$2:$A$501,0)),"")</x:f>
        <x:v>25563</x:v>
      </x:c>
      <x:c r="R389" s="4" t="n">
        <x:f>'参数'!$B$10</x:f>
        <x:v>4</x:v>
      </x:c>
      <x:c r="S389" s="4" t="n">
        <x:f>'参数'!$C$10</x:f>
        <x:v>1.2</x:v>
      </x:c>
      <x:c r="T389" s="4" t="n">
        <x:f>'参数'!$D$10</x:f>
        <x:v>1</x:v>
      </x:c>
      <x:c r="U389" s="4" t="n">
        <x:f t="shared" ref="U389:U452" si="42">IF($O389="","",$O389*$R389)</x:f>
        <x:v>1172648</x:v>
      </x:c>
      <x:c r="V389" s="4" t="n">
        <x:f t="shared" ref="V389:V452" si="43">IF($P389="","",$P389*$S389)</x:f>
        <x:v>35372.4</x:v>
      </x:c>
      <x:c r="W389" s="4" t="n">
        <x:f t="shared" ref="W389:W452" si="44">IF($Q389="","",$Q389*$T389)</x:f>
        <x:v>25563</x:v>
      </x:c>
      <x:c r="X389" s="4" t="n">
        <x:f>IFERROR(INDEX('参数'!$B$5:$B$7,MATCH($N389,'参数'!$A$5:$A$7,0)),"")</x:f>
        <x:v>1</x:v>
      </x:c>
      <x:c r="Y389" s="4" t="n">
        <x:f>IFERROR(INDEX('参数'!$C$5:$C$7,MATCH($N389,'参数'!$A$5:$A$7,0)),"")</x:f>
        <x:v>1.2</x:v>
      </x:c>
      <x:c r="Z389" s="4" t="n">
        <x:f>IFERROR(INDEX('参数'!$D$5:$D$7,MATCH($N389,'参数'!$A$5:$A$7,0)),"")</x:f>
        <x:v>1</x:v>
      </x:c>
      <x:c r="AA389" s="4" t="n">
        <x:f>IFERROR(INDEX('楼层配置'!$E$5:$E$104,MATCH($K389,'楼层配置'!$B$5:$B$104,0)),1)</x:f>
        <x:v>1.1459855579844218</x:v>
      </x:c>
      <x:c r="AB389" s="4" t="n">
        <x:f>IFERROR(INDEX('楼层配置'!$F$5:$F$104,MATCH($K389,'楼层配置'!$B$5:$B$104,0)),1)</x:f>
        <x:v>0.7091062096276908</x:v>
      </x:c>
      <x:c r="AC389" s="4" t="n">
        <x:f>IFERROR(INDEX('楼层配置'!$G$5:$G$104,MATCH($K389,'楼层配置'!$B$5:$B$104,0)),1)</x:f>
        <x:v>1</x:v>
      </x:c>
      <x:c r="AD389" s="6" t="n">
        <x:f t="shared" ref="AD389:AD452" si="45">IFERROR($D389/$G389-1,"")</x:f>
        <x:v>-0.42152496480949775</x:v>
      </x:c>
      <x:c r="AE389" s="6" t="n">
        <x:f t="shared" ref="AE389:AE452" si="46">IFERROR($E389/$H389-1,"")</x:f>
        <x:v>-0.2631102188708808</x:v>
      </x:c>
      <x:c r="AF389" s="6" t="n">
        <x:f t="shared" ref="AF389:AF452" si="47">IFERROR($F389/$I389-1,"")</x:f>
        <x:v>0.05067817509247852</x:v>
      </x:c>
      <x:c r="AG389" s="4" t="str">
        <x:f t="shared" ref="AG389:AG452" si="48">IF(AND($A389&gt;=1,$L389&gt;=1,$L389&lt;=500,OR($N389="Tank",$N389="DPS",$N389="Support"),ISNUMBER($D389),ISNUMBER($E389),ISNUMBER($F389)),"有效","异常")</x:f>
        <x:v>有效</x:v>
      </x:c>
      <x:c r="AH389" t="n">
        <x:f>D389/(1-MIN(0.75,F389/(24000+F389)))</x:f>
        <x:v>2775193.4497499997</x:v>
      </x:c>
    </x:row>
    <x:row r="390" ht="14.25" customHeight="1">
      <x:c r="A390" s="4">
        <x:v>386</x:v>
      </x:c>
      <x:c r="B390" s="4">
        <x:v>1004</x:v>
      </x:c>
      <x:c r="C390" s="4">
        <x:v>49</x:v>
      </x:c>
      <x:c r="D390" s="5" t="n">
        <x:f>IFERROR(ROUND($U390*$X390*$AA390*'参数'!$B$13,0),"")</x:f>
        <x:v>2054410</x:v>
      </x:c>
      <x:c r="E390" s="5" t="n">
        <x:f>IFERROR(ROUND($V390*$Y390*$AB390*'参数'!$C$13,0),"")</x:f>
        <x:v>25495</x:v>
      </x:c>
      <x:c r="F390" s="5" t="n">
        <x:f>IFERROR(ROUND($W390*$Z390*$AC390*'参数'!$D$13,0),"")</x:f>
        <x:v>38738</x:v>
      </x:c>
      <x:c r="G390" s="4">
        <x:v>3603844</x:v>
      </x:c>
      <x:c r="H390" s="4">
        <x:v>34933</x:v>
      </x:c>
      <x:c r="I390" s="4">
        <x:v>37123</x:v>
      </x:c>
      <x:c r="J390" s="4">
        <x:v>78</x:v>
      </x:c>
      <x:c r="K390" s="4">
        <x:v>78</x:v>
      </x:c>
      <x:c r="L390" s="4" t="n">
        <x:f>IFERROR(INDEX('楼层配置'!$D$5:$D$104,MATCH($K390,'楼层配置'!$B$5:$B$104,0)),"")</x:f>
        <x:v>252</x:v>
      </x:c>
      <x:c r="M390" s="4" t="str">
        <x:f>IFERROR(INDEX('_角色基线'!$B$2:$B$100,MATCH($B390,'_角色基线'!$A$2:$A$100,0)),"")</x:f>
        <x:v>阿芭</x:v>
      </x:c>
      <x:c r="N390" s="4" t="str">
        <x:f>IFERROR(INDEX('_角色基线'!$C$2:$C$100,MATCH($B390,'_角色基线'!$A$2:$A$100,0)),"")</x:f>
        <x:v>Tank</x:v>
      </x:c>
      <x:c r="O390" s="4" t="n">
        <x:f>IFERROR(INDEX('_怪物基线'!$B$2:$B$501,MATCH(INT($L390),'_怪物基线'!$A$2:$A$501,0)),"")</x:f>
        <x:v>299375</x:v>
      </x:c>
      <x:c r="P390" s="4" t="n">
        <x:f>IFERROR(INDEX('_怪物基线'!$C$2:$C$501,MATCH(INT($L390),'_怪物基线'!$A$2:$A$501,0)),"")</x:f>
        <x:v>29938</x:v>
      </x:c>
      <x:c r="Q390" s="4" t="n">
        <x:f>IFERROR(INDEX('_怪物基线'!$D$2:$D$501,MATCH(INT($L390),'_怪物基线'!$A$2:$A$501,0)),"")</x:f>
        <x:v>25825</x:v>
      </x:c>
      <x:c r="R390" s="4" t="n">
        <x:f>'参数'!$B$10</x:f>
        <x:v>4</x:v>
      </x:c>
      <x:c r="S390" s="4" t="n">
        <x:f>'参数'!$C$10</x:f>
        <x:v>1.2</x:v>
      </x:c>
      <x:c r="T390" s="4" t="n">
        <x:f>'参数'!$D$10</x:f>
        <x:v>1</x:v>
      </x:c>
      <x:c r="U390" s="4" t="n">
        <x:f t="shared" si="42">IF($O390="","",$O390*$R390)</x:f>
        <x:v>1197500</x:v>
      </x:c>
      <x:c r="V390" s="4" t="n">
        <x:f t="shared" si="43">IF($P390="","",$P390*$S390)</x:f>
        <x:v>35925.6</x:v>
      </x:c>
      <x:c r="W390" s="4" t="n">
        <x:f t="shared" si="44">IF($Q390="","",$Q390*$T390)</x:f>
        <x:v>25825</x:v>
      </x:c>
      <x:c r="X390" s="4" t="n">
        <x:f>IFERROR(INDEX('参数'!$B$5:$B$7,MATCH($N390,'参数'!$A$5:$A$7,0)),"")</x:f>
        <x:v>1.5</x:v>
      </x:c>
      <x:c r="Y390" s="4" t="n">
        <x:f>IFERROR(INDEX('参数'!$C$5:$C$7,MATCH($N390,'参数'!$A$5:$A$7,0)),"")</x:f>
        <x:v>1</x:v>
      </x:c>
      <x:c r="Z390" s="4" t="n">
        <x:f>IFERROR(INDEX('参数'!$D$5:$D$7,MATCH($N390,'参数'!$A$5:$A$7,0)),"")</x:f>
        <x:v>1.5</x:v>
      </x:c>
      <x:c r="AA390" s="4" t="n">
        <x:f>IFERROR(INDEX('楼层配置'!$E$5:$E$104,MATCH($K390,'楼层配置'!$B$5:$B$104,0)),1)</x:f>
        <x:v>1.1437216795143024</x:v>
      </x:c>
      <x:c r="AB390" s="4" t="n">
        <x:f>IFERROR(INDEX('楼层配置'!$F$5:$F$104,MATCH($K390,'楼层配置'!$B$5:$B$104,0)),1)</x:f>
        <x:v>0.7096595826202481</x:v>
      </x:c>
      <x:c r="AC390" s="4" t="n">
        <x:f>IFERROR(INDEX('楼层配置'!$G$5:$G$104,MATCH($K390,'楼层配置'!$B$5:$B$104,0)),1)</x:f>
        <x:v>1</x:v>
      </x:c>
      <x:c r="AD390" s="6" t="n">
        <x:f t="shared" si="45">IFERROR($D390/$G390-1,"")</x:f>
        <x:v>-0.4299392537523822</x:v>
      </x:c>
      <x:c r="AE390" s="6" t="n">
        <x:f t="shared" si="46">IFERROR($E390/$H390-1,"")</x:f>
        <x:v>-0.27017433372455846</x:v>
      </x:c>
      <x:c r="AF390" s="6" t="n">
        <x:f t="shared" si="47">IFERROR($F390/$I390-1,"")</x:f>
        <x:v>0.04350402715297785</x:v>
      </x:c>
      <x:c r="AG390" s="4" t="str">
        <x:f t="shared" si="48">IF(AND($A390&gt;=1,$L390&gt;=1,$L390&lt;=500,OR($N390="Tank",$N390="DPS",$N390="Support"),ISNUMBER($D390),ISNUMBER($E390),ISNUMBER($F390)),"有效","异常")</x:f>
        <x:v>有效</x:v>
      </x:c>
      <x:c r="AH390" t="n">
        <x:f>D390/(1-MIN(0.75,F390/(24000+F390)))</x:f>
        <x:v>5370398.940833333</x:v>
      </x:c>
    </x:row>
    <x:row r="391" ht="14.25" customHeight="1">
      <x:c r="A391" s="4">
        <x:v>387</x:v>
      </x:c>
      <x:c r="B391" s="4">
        <x:v>1013</x:v>
      </x:c>
      <x:c r="C391" s="4">
        <x:v>49</x:v>
      </x:c>
      <x:c r="D391" s="5" t="n">
        <x:f>IFERROR(ROUND($U391*$X391*$AA391*'参数'!$B$13,0),"")</x:f>
        <x:v>1369607</x:v>
      </x:c>
      <x:c r="E391" s="5" t="n">
        <x:f>IFERROR(ROUND($V391*$Y391*$AB391*'参数'!$C$13,0),"")</x:f>
        <x:v>30594</x:v>
      </x:c>
      <x:c r="F391" s="5" t="n">
        <x:f>IFERROR(ROUND($W391*$Z391*$AC391*'参数'!$D$13,0),"")</x:f>
        <x:v>25825</x:v>
      </x:c>
      <x:c r="G391" s="4">
        <x:v>2402563</x:v>
      </x:c>
      <x:c r="H391" s="4">
        <x:v>41919</x:v>
      </x:c>
      <x:c r="I391" s="4">
        <x:v>24748</x:v>
      </x:c>
      <x:c r="J391" s="4">
        <x:v>78</x:v>
      </x:c>
      <x:c r="K391" s="4">
        <x:v>78</x:v>
      </x:c>
      <x:c r="L391" s="4" t="n">
        <x:f>IFERROR(INDEX('楼层配置'!$D$5:$D$104,MATCH($K391,'楼层配置'!$B$5:$B$104,0)),"")</x:f>
        <x:v>252</x:v>
      </x:c>
      <x:c r="M391" s="4" t="str">
        <x:f>IFERROR(INDEX('_角色基线'!$B$2:$B$100,MATCH($B391,'_角色基线'!$A$2:$A$100,0)),"")</x:f>
        <x:v>夏缇拉</x:v>
      </x:c>
      <x:c r="N391" s="4" t="str">
        <x:f>IFERROR(INDEX('_角色基线'!$C$2:$C$100,MATCH($B391,'_角色基线'!$A$2:$A$100,0)),"")</x:f>
        <x:v>DPS</x:v>
      </x:c>
      <x:c r="O391" s="4" t="n">
        <x:f>IFERROR(INDEX('_怪物基线'!$B$2:$B$501,MATCH(INT($L391),'_怪物基线'!$A$2:$A$501,0)),"")</x:f>
        <x:v>299375</x:v>
      </x:c>
      <x:c r="P391" s="4" t="n">
        <x:f>IFERROR(INDEX('_怪物基线'!$C$2:$C$501,MATCH(INT($L391),'_怪物基线'!$A$2:$A$501,0)),"")</x:f>
        <x:v>29938</x:v>
      </x:c>
      <x:c r="Q391" s="4" t="n">
        <x:f>IFERROR(INDEX('_怪物基线'!$D$2:$D$501,MATCH(INT($L391),'_怪物基线'!$A$2:$A$501,0)),"")</x:f>
        <x:v>25825</x:v>
      </x:c>
      <x:c r="R391" s="4" t="n">
        <x:f>'参数'!$B$10</x:f>
        <x:v>4</x:v>
      </x:c>
      <x:c r="S391" s="4" t="n">
        <x:f>'参数'!$C$10</x:f>
        <x:v>1.2</x:v>
      </x:c>
      <x:c r="T391" s="4" t="n">
        <x:f>'参数'!$D$10</x:f>
        <x:v>1</x:v>
      </x:c>
      <x:c r="U391" s="4" t="n">
        <x:f t="shared" si="42">IF($O391="","",$O391*$R391)</x:f>
        <x:v>1197500</x:v>
      </x:c>
      <x:c r="V391" s="4" t="n">
        <x:f t="shared" si="43">IF($P391="","",$P391*$S391)</x:f>
        <x:v>35925.6</x:v>
      </x:c>
      <x:c r="W391" s="4" t="n">
        <x:f t="shared" si="44">IF($Q391="","",$Q391*$T391)</x:f>
        <x:v>25825</x:v>
      </x:c>
      <x:c r="X391" s="4" t="n">
        <x:f>IFERROR(INDEX('参数'!$B$5:$B$7,MATCH($N391,'参数'!$A$5:$A$7,0)),"")</x:f>
        <x:v>1</x:v>
      </x:c>
      <x:c r="Y391" s="4" t="n">
        <x:f>IFERROR(INDEX('参数'!$C$5:$C$7,MATCH($N391,'参数'!$A$5:$A$7,0)),"")</x:f>
        <x:v>1.2</x:v>
      </x:c>
      <x:c r="Z391" s="4" t="n">
        <x:f>IFERROR(INDEX('参数'!$D$5:$D$7,MATCH($N391,'参数'!$A$5:$A$7,0)),"")</x:f>
        <x:v>1</x:v>
      </x:c>
      <x:c r="AA391" s="4" t="n">
        <x:f>IFERROR(INDEX('楼层配置'!$E$5:$E$104,MATCH($K391,'楼层配置'!$B$5:$B$104,0)),1)</x:f>
        <x:v>1.1437216795143024</x:v>
      </x:c>
      <x:c r="AB391" s="4" t="n">
        <x:f>IFERROR(INDEX('楼层配置'!$F$5:$F$104,MATCH($K391,'楼层配置'!$B$5:$B$104,0)),1)</x:f>
        <x:v>0.7096595826202481</x:v>
      </x:c>
      <x:c r="AC391" s="4" t="n">
        <x:f>IFERROR(INDEX('楼层配置'!$G$5:$G$104,MATCH($K391,'楼层配置'!$B$5:$B$104,0)),1)</x:f>
        <x:v>1</x:v>
      </x:c>
      <x:c r="AD391" s="6" t="n">
        <x:f t="shared" si="45">IFERROR($D391/$G391-1,"")</x:f>
        <x:v>-0.4299391941022983</x:v>
      </x:c>
      <x:c r="AE391" s="6" t="n">
        <x:f t="shared" si="46">IFERROR($E391/$H391-1,"")</x:f>
        <x:v>-0.27016388749731624</x:v>
      </x:c>
      <x:c r="AF391" s="6" t="n">
        <x:f t="shared" si="47">IFERROR($F391/$I391-1,"")</x:f>
        <x:v>0.043518668175206</x:v>
      </x:c>
      <x:c r="AG391" s="4" t="str">
        <x:f t="shared" si="48">IF(AND($A391&gt;=1,$L391&gt;=1,$L391&lt;=500,OR($N391="Tank",$N391="DPS",$N391="Support"),ISNUMBER($D391),ISNUMBER($E391),ISNUMBER($F391)),"有效","异常")</x:f>
        <x:v>有效</x:v>
      </x:c>
      <x:c r="AH391" t="n">
        <x:f>D391/(1-MIN(0.75,F391/(24000+F391)))</x:f>
        <x:v>2843361.198958333</x:v>
      </x:c>
    </x:row>
    <x:row r="392" ht="14.25" customHeight="1">
      <x:c r="A392" s="4">
        <x:v>388</x:v>
      </x:c>
      <x:c r="B392" s="4">
        <x:v>1006</x:v>
      </x:c>
      <x:c r="C392" s="4">
        <x:v>49</x:v>
      </x:c>
      <x:c r="D392" s="5" t="n">
        <x:f>IFERROR(ROUND($U392*$X392*$AA392*'参数'!$B$13,0),"")</x:f>
        <x:v>1369607</x:v>
      </x:c>
      <x:c r="E392" s="5" t="n">
        <x:f>IFERROR(ROUND($V392*$Y392*$AB392*'参数'!$C$13,0),"")</x:f>
        <x:v>30594</x:v>
      </x:c>
      <x:c r="F392" s="5" t="n">
        <x:f>IFERROR(ROUND($W392*$Z392*$AC392*'参数'!$D$13,0),"")</x:f>
        <x:v>25825</x:v>
      </x:c>
      <x:c r="G392" s="4">
        <x:v>2402563</x:v>
      </x:c>
      <x:c r="H392" s="4">
        <x:v>41919</x:v>
      </x:c>
      <x:c r="I392" s="4">
        <x:v>24748</x:v>
      </x:c>
      <x:c r="J392" s="4">
        <x:v>78</x:v>
      </x:c>
      <x:c r="K392" s="4">
        <x:v>78</x:v>
      </x:c>
      <x:c r="L392" s="4" t="n">
        <x:f>IFERROR(INDEX('楼层配置'!$D$5:$D$104,MATCH($K392,'楼层配置'!$B$5:$B$104,0)),"")</x:f>
        <x:v>252</x:v>
      </x:c>
      <x:c r="M392" s="4" t="str">
        <x:f>IFERROR(INDEX('_角色基线'!$B$2:$B$100,MATCH($B392,'_角色基线'!$A$2:$A$100,0)),"")</x:f>
        <x:v>莉莉娅</x:v>
      </x:c>
      <x:c r="N392" s="4" t="str">
        <x:f>IFERROR(INDEX('_角色基线'!$C$2:$C$100,MATCH($B392,'_角色基线'!$A$2:$A$100,0)),"")</x:f>
        <x:v>DPS</x:v>
      </x:c>
      <x:c r="O392" s="4" t="n">
        <x:f>IFERROR(INDEX('_怪物基线'!$B$2:$B$501,MATCH(INT($L392),'_怪物基线'!$A$2:$A$501,0)),"")</x:f>
        <x:v>299375</x:v>
      </x:c>
      <x:c r="P392" s="4" t="n">
        <x:f>IFERROR(INDEX('_怪物基线'!$C$2:$C$501,MATCH(INT($L392),'_怪物基线'!$A$2:$A$501,0)),"")</x:f>
        <x:v>29938</x:v>
      </x:c>
      <x:c r="Q392" s="4" t="n">
        <x:f>IFERROR(INDEX('_怪物基线'!$D$2:$D$501,MATCH(INT($L392),'_怪物基线'!$A$2:$A$501,0)),"")</x:f>
        <x:v>25825</x:v>
      </x:c>
      <x:c r="R392" s="4" t="n">
        <x:f>'参数'!$B$10</x:f>
        <x:v>4</x:v>
      </x:c>
      <x:c r="S392" s="4" t="n">
        <x:f>'参数'!$C$10</x:f>
        <x:v>1.2</x:v>
      </x:c>
      <x:c r="T392" s="4" t="n">
        <x:f>'参数'!$D$10</x:f>
        <x:v>1</x:v>
      </x:c>
      <x:c r="U392" s="4" t="n">
        <x:f t="shared" si="42">IF($O392="","",$O392*$R392)</x:f>
        <x:v>1197500</x:v>
      </x:c>
      <x:c r="V392" s="4" t="n">
        <x:f t="shared" si="43">IF($P392="","",$P392*$S392)</x:f>
        <x:v>35925.6</x:v>
      </x:c>
      <x:c r="W392" s="4" t="n">
        <x:f t="shared" si="44">IF($Q392="","",$Q392*$T392)</x:f>
        <x:v>25825</x:v>
      </x:c>
      <x:c r="X392" s="4" t="n">
        <x:f>IFERROR(INDEX('参数'!$B$5:$B$7,MATCH($N392,'参数'!$A$5:$A$7,0)),"")</x:f>
        <x:v>1</x:v>
      </x:c>
      <x:c r="Y392" s="4" t="n">
        <x:f>IFERROR(INDEX('参数'!$C$5:$C$7,MATCH($N392,'参数'!$A$5:$A$7,0)),"")</x:f>
        <x:v>1.2</x:v>
      </x:c>
      <x:c r="Z392" s="4" t="n">
        <x:f>IFERROR(INDEX('参数'!$D$5:$D$7,MATCH($N392,'参数'!$A$5:$A$7,0)),"")</x:f>
        <x:v>1</x:v>
      </x:c>
      <x:c r="AA392" s="4" t="n">
        <x:f>IFERROR(INDEX('楼层配置'!$E$5:$E$104,MATCH($K392,'楼层配置'!$B$5:$B$104,0)),1)</x:f>
        <x:v>1.1437216795143024</x:v>
      </x:c>
      <x:c r="AB392" s="4" t="n">
        <x:f>IFERROR(INDEX('楼层配置'!$F$5:$F$104,MATCH($K392,'楼层配置'!$B$5:$B$104,0)),1)</x:f>
        <x:v>0.7096595826202481</x:v>
      </x:c>
      <x:c r="AC392" s="4" t="n">
        <x:f>IFERROR(INDEX('楼层配置'!$G$5:$G$104,MATCH($K392,'楼层配置'!$B$5:$B$104,0)),1)</x:f>
        <x:v>1</x:v>
      </x:c>
      <x:c r="AD392" s="6" t="n">
        <x:f t="shared" si="45">IFERROR($D392/$G392-1,"")</x:f>
        <x:v>-0.4299391941022983</x:v>
      </x:c>
      <x:c r="AE392" s="6" t="n">
        <x:f t="shared" si="46">IFERROR($E392/$H392-1,"")</x:f>
        <x:v>-0.27016388749731624</x:v>
      </x:c>
      <x:c r="AF392" s="6" t="n">
        <x:f t="shared" si="47">IFERROR($F392/$I392-1,"")</x:f>
        <x:v>0.043518668175206</x:v>
      </x:c>
      <x:c r="AG392" s="4" t="str">
        <x:f t="shared" si="48">IF(AND($A392&gt;=1,$L392&gt;=1,$L392&lt;=500,OR($N392="Tank",$N392="DPS",$N392="Support"),ISNUMBER($D392),ISNUMBER($E392),ISNUMBER($F392)),"有效","异常")</x:f>
        <x:v>有效</x:v>
      </x:c>
      <x:c r="AH392" t="n">
        <x:f>D392/(1-MIN(0.75,F392/(24000+F392)))</x:f>
        <x:v>2843361.198958333</x:v>
      </x:c>
    </x:row>
    <x:row r="393" ht="14.25" customHeight="1">
      <x:c r="A393" s="4">
        <x:v>389</x:v>
      </x:c>
      <x:c r="B393" s="4">
        <x:v>1006</x:v>
      </x:c>
      <x:c r="C393" s="4">
        <x:v>49</x:v>
      </x:c>
      <x:c r="D393" s="5" t="n">
        <x:f>IFERROR(ROUND($U393*$X393*$AA393*'参数'!$B$13,0),"")</x:f>
        <x:v>1369607</x:v>
      </x:c>
      <x:c r="E393" s="5" t="n">
        <x:f>IFERROR(ROUND($V393*$Y393*$AB393*'参数'!$C$13,0),"")</x:f>
        <x:v>30594</x:v>
      </x:c>
      <x:c r="F393" s="5" t="n">
        <x:f>IFERROR(ROUND($W393*$Z393*$AC393*'参数'!$D$13,0),"")</x:f>
        <x:v>25825</x:v>
      </x:c>
      <x:c r="G393" s="4">
        <x:v>2402563</x:v>
      </x:c>
      <x:c r="H393" s="4">
        <x:v>41919</x:v>
      </x:c>
      <x:c r="I393" s="4">
        <x:v>24748</x:v>
      </x:c>
      <x:c r="J393" s="4">
        <x:v>78</x:v>
      </x:c>
      <x:c r="K393" s="4">
        <x:v>78</x:v>
      </x:c>
      <x:c r="L393" s="4" t="n">
        <x:f>IFERROR(INDEX('楼层配置'!$D$5:$D$104,MATCH($K393,'楼层配置'!$B$5:$B$104,0)),"")</x:f>
        <x:v>252</x:v>
      </x:c>
      <x:c r="M393" s="4" t="str">
        <x:f>IFERROR(INDEX('_角色基线'!$B$2:$B$100,MATCH($B393,'_角色基线'!$A$2:$A$100,0)),"")</x:f>
        <x:v>莉莉娅</x:v>
      </x:c>
      <x:c r="N393" s="4" t="str">
        <x:f>IFERROR(INDEX('_角色基线'!$C$2:$C$100,MATCH($B393,'_角色基线'!$A$2:$A$100,0)),"")</x:f>
        <x:v>DPS</x:v>
      </x:c>
      <x:c r="O393" s="4" t="n">
        <x:f>IFERROR(INDEX('_怪物基线'!$B$2:$B$501,MATCH(INT($L393),'_怪物基线'!$A$2:$A$501,0)),"")</x:f>
        <x:v>299375</x:v>
      </x:c>
      <x:c r="P393" s="4" t="n">
        <x:f>IFERROR(INDEX('_怪物基线'!$C$2:$C$501,MATCH(INT($L393),'_怪物基线'!$A$2:$A$501,0)),"")</x:f>
        <x:v>29938</x:v>
      </x:c>
      <x:c r="Q393" s="4" t="n">
        <x:f>IFERROR(INDEX('_怪物基线'!$D$2:$D$501,MATCH(INT($L393),'_怪物基线'!$A$2:$A$501,0)),"")</x:f>
        <x:v>25825</x:v>
      </x:c>
      <x:c r="R393" s="4" t="n">
        <x:f>'参数'!$B$10</x:f>
        <x:v>4</x:v>
      </x:c>
      <x:c r="S393" s="4" t="n">
        <x:f>'参数'!$C$10</x:f>
        <x:v>1.2</x:v>
      </x:c>
      <x:c r="T393" s="4" t="n">
        <x:f>'参数'!$D$10</x:f>
        <x:v>1</x:v>
      </x:c>
      <x:c r="U393" s="4" t="n">
        <x:f t="shared" si="42">IF($O393="","",$O393*$R393)</x:f>
        <x:v>1197500</x:v>
      </x:c>
      <x:c r="V393" s="4" t="n">
        <x:f t="shared" si="43">IF($P393="","",$P393*$S393)</x:f>
        <x:v>35925.6</x:v>
      </x:c>
      <x:c r="W393" s="4" t="n">
        <x:f t="shared" si="44">IF($Q393="","",$Q393*$T393)</x:f>
        <x:v>25825</x:v>
      </x:c>
      <x:c r="X393" s="4" t="n">
        <x:f>IFERROR(INDEX('参数'!$B$5:$B$7,MATCH($N393,'参数'!$A$5:$A$7,0)),"")</x:f>
        <x:v>1</x:v>
      </x:c>
      <x:c r="Y393" s="4" t="n">
        <x:f>IFERROR(INDEX('参数'!$C$5:$C$7,MATCH($N393,'参数'!$A$5:$A$7,0)),"")</x:f>
        <x:v>1.2</x:v>
      </x:c>
      <x:c r="Z393" s="4" t="n">
        <x:f>IFERROR(INDEX('参数'!$D$5:$D$7,MATCH($N393,'参数'!$A$5:$A$7,0)),"")</x:f>
        <x:v>1</x:v>
      </x:c>
      <x:c r="AA393" s="4" t="n">
        <x:f>IFERROR(INDEX('楼层配置'!$E$5:$E$104,MATCH($K393,'楼层配置'!$B$5:$B$104,0)),1)</x:f>
        <x:v>1.1437216795143024</x:v>
      </x:c>
      <x:c r="AB393" s="4" t="n">
        <x:f>IFERROR(INDEX('楼层配置'!$F$5:$F$104,MATCH($K393,'楼层配置'!$B$5:$B$104,0)),1)</x:f>
        <x:v>0.7096595826202481</x:v>
      </x:c>
      <x:c r="AC393" s="4" t="n">
        <x:f>IFERROR(INDEX('楼层配置'!$G$5:$G$104,MATCH($K393,'楼层配置'!$B$5:$B$104,0)),1)</x:f>
        <x:v>1</x:v>
      </x:c>
      <x:c r="AD393" s="6" t="n">
        <x:f t="shared" si="45">IFERROR($D393/$G393-1,"")</x:f>
        <x:v>-0.4299391941022983</x:v>
      </x:c>
      <x:c r="AE393" s="6" t="n">
        <x:f t="shared" si="46">IFERROR($E393/$H393-1,"")</x:f>
        <x:v>-0.27016388749731624</x:v>
      </x:c>
      <x:c r="AF393" s="6" t="n">
        <x:f t="shared" si="47">IFERROR($F393/$I393-1,"")</x:f>
        <x:v>0.043518668175206</x:v>
      </x:c>
      <x:c r="AG393" s="4" t="str">
        <x:f t="shared" si="48">IF(AND($A393&gt;=1,$L393&gt;=1,$L393&lt;=500,OR($N393="Tank",$N393="DPS",$N393="Support"),ISNUMBER($D393),ISNUMBER($E393),ISNUMBER($F393)),"有效","异常")</x:f>
        <x:v>有效</x:v>
      </x:c>
      <x:c r="AH393" t="n">
        <x:f>D393/(1-MIN(0.75,F393/(24000+F393)))</x:f>
        <x:v>2843361.198958333</x:v>
      </x:c>
    </x:row>
    <x:row r="394" ht="14.25" customHeight="1">
      <x:c r="A394" s="4">
        <x:v>390</x:v>
      </x:c>
      <x:c r="B394" s="4">
        <x:v>1011</x:v>
      </x:c>
      <x:c r="C394" s="4">
        <x:v>49</x:v>
      </x:c>
      <x:c r="D394" s="5" t="n">
        <x:f>IFERROR(ROUND($U394*$X394*$AA394*'参数'!$B$13,0),"")</x:f>
        <x:v>1712008</x:v>
      </x:c>
      <x:c r="E394" s="5" t="n">
        <x:f>IFERROR(ROUND($V394*$Y394*$AB394*'参数'!$C$13,0),"")</x:f>
        <x:v>25495</x:v>
      </x:c>
      <x:c r="F394" s="5" t="n">
        <x:f>IFERROR(ROUND($W394*$Z394*$AC394*'参数'!$D$13,0),"")</x:f>
        <x:v>32281</x:v>
      </x:c>
      <x:c r="G394" s="4">
        <x:v>3003204</x:v>
      </x:c>
      <x:c r="H394" s="4">
        <x:v>34933</x:v>
      </x:c>
      <x:c r="I394" s="4">
        <x:v>30936</x:v>
      </x:c>
      <x:c r="J394" s="4">
        <x:v>78</x:v>
      </x:c>
      <x:c r="K394" s="4">
        <x:v>78</x:v>
      </x:c>
      <x:c r="L394" s="4" t="n">
        <x:f>IFERROR(INDEX('楼层配置'!$D$5:$D$104,MATCH($K394,'楼层配置'!$B$5:$B$104,0)),"")</x:f>
        <x:v>252</x:v>
      </x:c>
      <x:c r="M394" s="4" t="str">
        <x:f>IFERROR(INDEX('_角色基线'!$B$2:$B$100,MATCH($B394,'_角色基线'!$A$2:$A$100,0)),"")</x:f>
        <x:v>陈双双</x:v>
      </x:c>
      <x:c r="N394" s="4" t="str">
        <x:f>IFERROR(INDEX('_角色基线'!$C$2:$C$100,MATCH($B394,'_角色基线'!$A$2:$A$100,0)),"")</x:f>
        <x:v>Support</x:v>
      </x:c>
      <x:c r="O394" s="4" t="n">
        <x:f>IFERROR(INDEX('_怪物基线'!$B$2:$B$501,MATCH(INT($L394),'_怪物基线'!$A$2:$A$501,0)),"")</x:f>
        <x:v>299375</x:v>
      </x:c>
      <x:c r="P394" s="4" t="n">
        <x:f>IFERROR(INDEX('_怪物基线'!$C$2:$C$501,MATCH(INT($L394),'_怪物基线'!$A$2:$A$501,0)),"")</x:f>
        <x:v>29938</x:v>
      </x:c>
      <x:c r="Q394" s="4" t="n">
        <x:f>IFERROR(INDEX('_怪物基线'!$D$2:$D$501,MATCH(INT($L394),'_怪物基线'!$A$2:$A$501,0)),"")</x:f>
        <x:v>25825</x:v>
      </x:c>
      <x:c r="R394" s="4" t="n">
        <x:f>'参数'!$B$10</x:f>
        <x:v>4</x:v>
      </x:c>
      <x:c r="S394" s="4" t="n">
        <x:f>'参数'!$C$10</x:f>
        <x:v>1.2</x:v>
      </x:c>
      <x:c r="T394" s="4" t="n">
        <x:f>'参数'!$D$10</x:f>
        <x:v>1</x:v>
      </x:c>
      <x:c r="U394" s="4" t="n">
        <x:f t="shared" si="42">IF($O394="","",$O394*$R394)</x:f>
        <x:v>1197500</x:v>
      </x:c>
      <x:c r="V394" s="4" t="n">
        <x:f t="shared" si="43">IF($P394="","",$P394*$S394)</x:f>
        <x:v>35925.6</x:v>
      </x:c>
      <x:c r="W394" s="4" t="n">
        <x:f t="shared" si="44">IF($Q394="","",$Q394*$T394)</x:f>
        <x:v>25825</x:v>
      </x:c>
      <x:c r="X394" s="4" t="n">
        <x:f>IFERROR(INDEX('参数'!$B$5:$B$7,MATCH($N394,'参数'!$A$5:$A$7,0)),"")</x:f>
        <x:v>1.25</x:v>
      </x:c>
      <x:c r="Y394" s="4" t="n">
        <x:f>IFERROR(INDEX('参数'!$C$5:$C$7,MATCH($N394,'参数'!$A$5:$A$7,0)),"")</x:f>
        <x:v>1</x:v>
      </x:c>
      <x:c r="Z394" s="4" t="n">
        <x:f>IFERROR(INDEX('参数'!$D$5:$D$7,MATCH($N394,'参数'!$A$5:$A$7,0)),"")</x:f>
        <x:v>1.25</x:v>
      </x:c>
      <x:c r="AA394" s="4" t="n">
        <x:f>IFERROR(INDEX('楼层配置'!$E$5:$E$104,MATCH($K394,'楼层配置'!$B$5:$B$104,0)),1)</x:f>
        <x:v>1.1437216795143024</x:v>
      </x:c>
      <x:c r="AB394" s="4" t="n">
        <x:f>IFERROR(INDEX('楼层配置'!$F$5:$F$104,MATCH($K394,'楼层配置'!$B$5:$B$104,0)),1)</x:f>
        <x:v>0.7096595826202481</x:v>
      </x:c>
      <x:c r="AC394" s="4" t="n">
        <x:f>IFERROR(INDEX('楼层配置'!$G$5:$G$104,MATCH($K394,'楼层配置'!$B$5:$B$104,0)),1)</x:f>
        <x:v>1</x:v>
      </x:c>
      <x:c r="AD394" s="6" t="n">
        <x:f t="shared" si="45">IFERROR($D394/$G394-1,"")</x:f>
        <x:v>-0.429939491289969</x:v>
      </x:c>
      <x:c r="AE394" s="6" t="n">
        <x:f t="shared" si="46">IFERROR($E394/$H394-1,"")</x:f>
        <x:v>-0.27017433372455846</x:v>
      </x:c>
      <x:c r="AF394" s="6" t="n">
        <x:f t="shared" si="47">IFERROR($F394/$I394-1,"")</x:f>
        <x:v>0.04347685544349633</x:v>
      </x:c>
      <x:c r="AG394" s="4" t="str">
        <x:f t="shared" si="48">IF(AND($A394&gt;=1,$L394&gt;=1,$L394&lt;=500,OR($N394="Tank",$N394="DPS",$N394="Support"),ISNUMBER($D394),ISNUMBER($E394),ISNUMBER($F394)),"有效","异常")</x:f>
        <x:v>有效</x:v>
      </x:c>
      <x:c r="AH394" t="n">
        <x:f>D394/(1-MIN(0.75,F394/(24000+F394)))</x:f>
        <x:v>4014730.093666667</x:v>
      </x:c>
    </x:row>
    <x:row r="395" ht="14.25" customHeight="1">
      <x:c r="A395" s="4">
        <x:v>391</x:v>
      </x:c>
      <x:c r="B395" s="4">
        <x:v>1003</x:v>
      </x:c>
      <x:c r="C395" s="4">
        <x:v>49</x:v>
      </x:c>
      <x:c r="D395" s="5" t="n">
        <x:f>IFERROR(ROUND($U395*$X395*$AA395*'参数'!$B$13,0),"")</x:f>
        <x:v>2072787</x:v>
      </x:c>
      <x:c r="E395" s="5" t="n">
        <x:f>IFERROR(ROUND($V395*$Y395*$AB395*'参数'!$C$13,0),"")</x:f>
        <x:v>25720</x:v>
      </x:c>
      <x:c r="F395" s="5" t="n">
        <x:f>IFERROR(ROUND($W395*$Z395*$AC395*'参数'!$D$13,0),"")</x:f>
        <x:v>38934</x:v>
      </x:c>
      <x:c r="G395" s="4">
        <x:v>3726093</x:v>
      </x:c>
      <x:c r="H395" s="4">
        <x:v>35849</x:v>
      </x:c>
      <x:c r="I395" s="4">
        <x:v>37754</x:v>
      </x:c>
      <x:c r="J395" s="4">
        <x:v>79</x:v>
      </x:c>
      <x:c r="K395" s="4">
        <x:v>79</x:v>
      </x:c>
      <x:c r="L395" s="4" t="n">
        <x:f>IFERROR(INDEX('楼层配置'!$D$5:$D$104,MATCH($K395,'楼层配置'!$B$5:$B$104,0)),"")</x:f>
        <x:v>253</x:v>
      </x:c>
      <x:c r="M395" s="4" t="str">
        <x:f>IFERROR(INDEX('_角色基线'!$B$2:$B$100,MATCH($B395,'_角色基线'!$A$2:$A$100,0)),"")</x:f>
        <x:v>塔拉夏</x:v>
      </x:c>
      <x:c r="N395" s="4" t="str">
        <x:f>IFERROR(INDEX('_角色基线'!$C$2:$C$100,MATCH($B395,'_角色基线'!$A$2:$A$100,0)),"")</x:f>
        <x:v>Tank</x:v>
      </x:c>
      <x:c r="O395" s="4" t="n">
        <x:f>IFERROR(INDEX('_怪物基线'!$B$2:$B$501,MATCH(INT($L395),'_怪物基线'!$A$2:$A$501,0)),"")</x:f>
        <x:v>302519</x:v>
      </x:c>
      <x:c r="P395" s="4" t="n">
        <x:f>IFERROR(INDEX('_怪物基线'!$C$2:$C$501,MATCH(INT($L395),'_怪物基线'!$A$2:$A$501,0)),"")</x:f>
        <x:v>30170</x:v>
      </x:c>
      <x:c r="Q395" s="4" t="n">
        <x:f>IFERROR(INDEX('_怪物基线'!$D$2:$D$501,MATCH(INT($L395),'_怪物基线'!$A$2:$A$501,0)),"")</x:f>
        <x:v>25956</x:v>
      </x:c>
      <x:c r="R395" s="4" t="n">
        <x:f>'参数'!$B$10</x:f>
        <x:v>4</x:v>
      </x:c>
      <x:c r="S395" s="4" t="n">
        <x:f>'参数'!$C$10</x:f>
        <x:v>1.2</x:v>
      </x:c>
      <x:c r="T395" s="4" t="n">
        <x:f>'参数'!$D$10</x:f>
        <x:v>1</x:v>
      </x:c>
      <x:c r="U395" s="4" t="n">
        <x:f t="shared" si="42">IF($O395="","",$O395*$R395)</x:f>
        <x:v>1210076</x:v>
      </x:c>
      <x:c r="V395" s="4" t="n">
        <x:f t="shared" si="43">IF($P395="","",$P395*$S395)</x:f>
        <x:v>36204</x:v>
      </x:c>
      <x:c r="W395" s="4" t="n">
        <x:f t="shared" si="44">IF($Q395="","",$Q395*$T395)</x:f>
        <x:v>25956</x:v>
      </x:c>
      <x:c r="X395" s="4" t="n">
        <x:f>IFERROR(INDEX('参数'!$B$5:$B$7,MATCH($N395,'参数'!$A$5:$A$7,0)),"")</x:f>
        <x:v>1.5</x:v>
      </x:c>
      <x:c r="Y395" s="4" t="n">
        <x:f>IFERROR(INDEX('参数'!$C$5:$C$7,MATCH($N395,'参数'!$A$5:$A$7,0)),"")</x:f>
        <x:v>1</x:v>
      </x:c>
      <x:c r="Z395" s="4" t="n">
        <x:f>IFERROR(INDEX('参数'!$D$5:$D$7,MATCH($N395,'参数'!$A$5:$A$7,0)),"")</x:f>
        <x:v>1.5</x:v>
      </x:c>
      <x:c r="AA395" s="4" t="n">
        <x:f>IFERROR(INDEX('楼层配置'!$E$5:$E$104,MATCH($K395,'楼层配置'!$B$5:$B$104,0)),1)</x:f>
        <x:v>1.1419597482067845</x:v>
      </x:c>
      <x:c r="AB395" s="4" t="n">
        <x:f>IFERROR(INDEX('楼层配置'!$F$5:$F$104,MATCH($K395,'楼层配置'!$B$5:$B$104,0)),1)</x:f>
        <x:v>0.7104112554337726</x:v>
      </x:c>
      <x:c r="AC395" s="4" t="n">
        <x:f>IFERROR(INDEX('楼层配置'!$G$5:$G$104,MATCH($K395,'楼层配置'!$B$5:$B$104,0)),1)</x:f>
        <x:v>1</x:v>
      </x:c>
      <x:c r="AD395" s="6" t="n">
        <x:f t="shared" si="45">IFERROR($D395/$G395-1,"")</x:f>
        <x:v>-0.443710342173424</x:v>
      </x:c>
      <x:c r="AE395" s="6" t="n">
        <x:f t="shared" si="46">IFERROR($E395/$H395-1,"")</x:f>
        <x:v>-0.28254623559931935</x:v>
      </x:c>
      <x:c r="AF395" s="6" t="n">
        <x:f t="shared" si="47">IFERROR($F395/$I395-1,"")</x:f>
        <x:v>0.0312549663611803</x:v>
      </x:c>
      <x:c r="AG395" s="4" t="str">
        <x:f t="shared" si="48">IF(AND($A395&gt;=1,$L395&gt;=1,$L395&lt;=500,OR($N395="Tank",$N395="DPS",$N395="Support"),ISNUMBER($D395),ISNUMBER($E395),ISNUMBER($F395)),"有效","异常")</x:f>
        <x:v>有效</x:v>
      </x:c>
      <x:c r="AH395" t="n">
        <x:f>D395/(1-MIN(0.75,F395/(24000+F395)))</x:f>
        <x:v>5435365.71075</x:v>
      </x:c>
    </x:row>
    <x:row r="396" ht="14.25" customHeight="1">
      <x:c r="A396" s="4">
        <x:v>392</x:v>
      </x:c>
      <x:c r="B396" s="4">
        <x:v>1011</x:v>
      </x:c>
      <x:c r="C396" s="4">
        <x:v>49</x:v>
      </x:c>
      <x:c r="D396" s="5" t="n">
        <x:f>IFERROR(ROUND($U396*$X396*$AA396*'参数'!$B$13,0),"")</x:f>
        <x:v>1727323</x:v>
      </x:c>
      <x:c r="E396" s="5" t="n">
        <x:f>IFERROR(ROUND($V396*$Y396*$AB396*'参数'!$C$13,0),"")</x:f>
        <x:v>25720</x:v>
      </x:c>
      <x:c r="F396" s="5" t="n">
        <x:f>IFERROR(ROUND($W396*$Z396*$AC396*'参数'!$D$13,0),"")</x:f>
        <x:v>32445</x:v>
      </x:c>
      <x:c r="G396" s="4">
        <x:v>3105078</x:v>
      </x:c>
      <x:c r="H396" s="4">
        <x:v>35849</x:v>
      </x:c>
      <x:c r="I396" s="4">
        <x:v>31462</x:v>
      </x:c>
      <x:c r="J396" s="4">
        <x:v>79</x:v>
      </x:c>
      <x:c r="K396" s="4">
        <x:v>79</x:v>
      </x:c>
      <x:c r="L396" s="4" t="n">
        <x:f>IFERROR(INDEX('楼层配置'!$D$5:$D$104,MATCH($K396,'楼层配置'!$B$5:$B$104,0)),"")</x:f>
        <x:v>253</x:v>
      </x:c>
      <x:c r="M396" s="4" t="str">
        <x:f>IFERROR(INDEX('_角色基线'!$B$2:$B$100,MATCH($B396,'_角色基线'!$A$2:$A$100,0)),"")</x:f>
        <x:v>陈双双</x:v>
      </x:c>
      <x:c r="N396" s="4" t="str">
        <x:f>IFERROR(INDEX('_角色基线'!$C$2:$C$100,MATCH($B396,'_角色基线'!$A$2:$A$100,0)),"")</x:f>
        <x:v>Support</x:v>
      </x:c>
      <x:c r="O396" s="4" t="n">
        <x:f>IFERROR(INDEX('_怪物基线'!$B$2:$B$501,MATCH(INT($L396),'_怪物基线'!$A$2:$A$501,0)),"")</x:f>
        <x:v>302519</x:v>
      </x:c>
      <x:c r="P396" s="4" t="n">
        <x:f>IFERROR(INDEX('_怪物基线'!$C$2:$C$501,MATCH(INT($L396),'_怪物基线'!$A$2:$A$501,0)),"")</x:f>
        <x:v>30170</x:v>
      </x:c>
      <x:c r="Q396" s="4" t="n">
        <x:f>IFERROR(INDEX('_怪物基线'!$D$2:$D$501,MATCH(INT($L396),'_怪物基线'!$A$2:$A$501,0)),"")</x:f>
        <x:v>25956</x:v>
      </x:c>
      <x:c r="R396" s="4" t="n">
        <x:f>'参数'!$B$10</x:f>
        <x:v>4</x:v>
      </x:c>
      <x:c r="S396" s="4" t="n">
        <x:f>'参数'!$C$10</x:f>
        <x:v>1.2</x:v>
      </x:c>
      <x:c r="T396" s="4" t="n">
        <x:f>'参数'!$D$10</x:f>
        <x:v>1</x:v>
      </x:c>
      <x:c r="U396" s="4" t="n">
        <x:f t="shared" si="42">IF($O396="","",$O396*$R396)</x:f>
        <x:v>1210076</x:v>
      </x:c>
      <x:c r="V396" s="4" t="n">
        <x:f t="shared" si="43">IF($P396="","",$P396*$S396)</x:f>
        <x:v>36204</x:v>
      </x:c>
      <x:c r="W396" s="4" t="n">
        <x:f t="shared" si="44">IF($Q396="","",$Q396*$T396)</x:f>
        <x:v>25956</x:v>
      </x:c>
      <x:c r="X396" s="4" t="n">
        <x:f>IFERROR(INDEX('参数'!$B$5:$B$7,MATCH($N396,'参数'!$A$5:$A$7,0)),"")</x:f>
        <x:v>1.25</x:v>
      </x:c>
      <x:c r="Y396" s="4" t="n">
        <x:f>IFERROR(INDEX('参数'!$C$5:$C$7,MATCH($N396,'参数'!$A$5:$A$7,0)),"")</x:f>
        <x:v>1</x:v>
      </x:c>
      <x:c r="Z396" s="4" t="n">
        <x:f>IFERROR(INDEX('参数'!$D$5:$D$7,MATCH($N396,'参数'!$A$5:$A$7,0)),"")</x:f>
        <x:v>1.25</x:v>
      </x:c>
      <x:c r="AA396" s="4" t="n">
        <x:f>IFERROR(INDEX('楼层配置'!$E$5:$E$104,MATCH($K396,'楼层配置'!$B$5:$B$104,0)),1)</x:f>
        <x:v>1.1419597482067845</x:v>
      </x:c>
      <x:c r="AB396" s="4" t="n">
        <x:f>IFERROR(INDEX('楼层配置'!$F$5:$F$104,MATCH($K396,'楼层配置'!$B$5:$B$104,0)),1)</x:f>
        <x:v>0.7104112554337726</x:v>
      </x:c>
      <x:c r="AC396" s="4" t="n">
        <x:f>IFERROR(INDEX('楼层配置'!$G$5:$G$104,MATCH($K396,'楼层配置'!$B$5:$B$104,0)),1)</x:f>
        <x:v>1</x:v>
      </x:c>
      <x:c r="AD396" s="6" t="n">
        <x:f t="shared" si="45">IFERROR($D396/$G396-1,"")</x:f>
        <x:v>-0.44371027072427816</x:v>
      </x:c>
      <x:c r="AE396" s="6" t="n">
        <x:f t="shared" si="46">IFERROR($E396/$H396-1,"")</x:f>
        <x:v>-0.28254623559931935</x:v>
      </x:c>
      <x:c r="AF396" s="6" t="n">
        <x:f t="shared" si="47">IFERROR($F396/$I396-1,"")</x:f>
        <x:v>0.03124404042972473</x:v>
      </x:c>
      <x:c r="AG396" s="4" t="str">
        <x:f t="shared" si="48">IF(AND($A396&gt;=1,$L396&gt;=1,$L396&lt;=500,OR($N396="Tank",$N396="DPS",$N396="Support"),ISNUMBER($D396),ISNUMBER($E396),ISNUMBER($F396)),"有效","异常")</x:f>
        <x:v>有效</x:v>
      </x:c>
      <x:c r="AH396" t="n">
        <x:f>D396/(1-MIN(0.75,F396/(24000+F396)))</x:f>
        <x:v>4062447.7806250006</x:v>
      </x:c>
    </x:row>
    <x:row r="397" ht="14.25" customHeight="1">
      <x:c r="A397" s="4">
        <x:v>393</x:v>
      </x:c>
      <x:c r="B397" s="4">
        <x:v>1013</x:v>
      </x:c>
      <x:c r="C397" s="4">
        <x:v>49</x:v>
      </x:c>
      <x:c r="D397" s="5" t="n">
        <x:f>IFERROR(ROUND($U397*$X397*$AA397*'参数'!$B$13,0),"")</x:f>
        <x:v>1381858</x:v>
      </x:c>
      <x:c r="E397" s="5" t="n">
        <x:f>IFERROR(ROUND($V397*$Y397*$AB397*'参数'!$C$13,0),"")</x:f>
        <x:v>30864</x:v>
      </x:c>
      <x:c r="F397" s="5" t="n">
        <x:f>IFERROR(ROUND($W397*$Z397*$AC397*'参数'!$D$13,0),"")</x:f>
        <x:v>25956</x:v>
      </x:c>
      <x:c r="G397" s="4">
        <x:v>2484062</x:v>
      </x:c>
      <x:c r="H397" s="4">
        <x:v>43018</x:v>
      </x:c>
      <x:c r="I397" s="4">
        <x:v>25169</x:v>
      </x:c>
      <x:c r="J397" s="4">
        <x:v>79</x:v>
      </x:c>
      <x:c r="K397" s="4">
        <x:v>79</x:v>
      </x:c>
      <x:c r="L397" s="4" t="n">
        <x:f>IFERROR(INDEX('楼层配置'!$D$5:$D$104,MATCH($K397,'楼层配置'!$B$5:$B$104,0)),"")</x:f>
        <x:v>253</x:v>
      </x:c>
      <x:c r="M397" s="4" t="str">
        <x:f>IFERROR(INDEX('_角色基线'!$B$2:$B$100,MATCH($B397,'_角色基线'!$A$2:$A$100,0)),"")</x:f>
        <x:v>夏缇拉</x:v>
      </x:c>
      <x:c r="N397" s="4" t="str">
        <x:f>IFERROR(INDEX('_角色基线'!$C$2:$C$100,MATCH($B397,'_角色基线'!$A$2:$A$100,0)),"")</x:f>
        <x:v>DPS</x:v>
      </x:c>
      <x:c r="O397" s="4" t="n">
        <x:f>IFERROR(INDEX('_怪物基线'!$B$2:$B$501,MATCH(INT($L397),'_怪物基线'!$A$2:$A$501,0)),"")</x:f>
        <x:v>302519</x:v>
      </x:c>
      <x:c r="P397" s="4" t="n">
        <x:f>IFERROR(INDEX('_怪物基线'!$C$2:$C$501,MATCH(INT($L397),'_怪物基线'!$A$2:$A$501,0)),"")</x:f>
        <x:v>30170</x:v>
      </x:c>
      <x:c r="Q397" s="4" t="n">
        <x:f>IFERROR(INDEX('_怪物基线'!$D$2:$D$501,MATCH(INT($L397),'_怪物基线'!$A$2:$A$501,0)),"")</x:f>
        <x:v>25956</x:v>
      </x:c>
      <x:c r="R397" s="4" t="n">
        <x:f>'参数'!$B$10</x:f>
        <x:v>4</x:v>
      </x:c>
      <x:c r="S397" s="4" t="n">
        <x:f>'参数'!$C$10</x:f>
        <x:v>1.2</x:v>
      </x:c>
      <x:c r="T397" s="4" t="n">
        <x:f>'参数'!$D$10</x:f>
        <x:v>1</x:v>
      </x:c>
      <x:c r="U397" s="4" t="n">
        <x:f t="shared" si="42">IF($O397="","",$O397*$R397)</x:f>
        <x:v>1210076</x:v>
      </x:c>
      <x:c r="V397" s="4" t="n">
        <x:f t="shared" si="43">IF($P397="","",$P397*$S397)</x:f>
        <x:v>36204</x:v>
      </x:c>
      <x:c r="W397" s="4" t="n">
        <x:f t="shared" si="44">IF($Q397="","",$Q397*$T397)</x:f>
        <x:v>25956</x:v>
      </x:c>
      <x:c r="X397" s="4" t="n">
        <x:f>IFERROR(INDEX('参数'!$B$5:$B$7,MATCH($N397,'参数'!$A$5:$A$7,0)),"")</x:f>
        <x:v>1</x:v>
      </x:c>
      <x:c r="Y397" s="4" t="n">
        <x:f>IFERROR(INDEX('参数'!$C$5:$C$7,MATCH($N397,'参数'!$A$5:$A$7,0)),"")</x:f>
        <x:v>1.2</x:v>
      </x:c>
      <x:c r="Z397" s="4" t="n">
        <x:f>IFERROR(INDEX('参数'!$D$5:$D$7,MATCH($N397,'参数'!$A$5:$A$7,0)),"")</x:f>
        <x:v>1</x:v>
      </x:c>
      <x:c r="AA397" s="4" t="n">
        <x:f>IFERROR(INDEX('楼层配置'!$E$5:$E$104,MATCH($K397,'楼层配置'!$B$5:$B$104,0)),1)</x:f>
        <x:v>1.1419597482067845</x:v>
      </x:c>
      <x:c r="AB397" s="4" t="n">
        <x:f>IFERROR(INDEX('楼层配置'!$F$5:$F$104,MATCH($K397,'楼层配置'!$B$5:$B$104,0)),1)</x:f>
        <x:v>0.7104112554337726</x:v>
      </x:c>
      <x:c r="AC397" s="4" t="n">
        <x:f>IFERROR(INDEX('楼层配置'!$G$5:$G$104,MATCH($K397,'楼层配置'!$B$5:$B$104,0)),1)</x:f>
        <x:v>1</x:v>
      </x:c>
      <x:c r="AD397" s="6" t="n">
        <x:f t="shared" si="45">IFERROR($D397/$G397-1,"")</x:f>
        <x:v>-0.443710342173424</x:v>
      </x:c>
      <x:c r="AE397" s="6" t="n">
        <x:f t="shared" si="46">IFERROR($E397/$H397-1,"")</x:f>
        <x:v>-0.28253289320749453</x:v>
      </x:c>
      <x:c r="AF397" s="6" t="n">
        <x:f t="shared" si="47">IFERROR($F397/$I397-1,"")</x:f>
        <x:v>0.03126862410107667</x:v>
      </x:c>
      <x:c r="AG397" s="4" t="str">
        <x:f t="shared" si="48">IF(AND($A397&gt;=1,$L397&gt;=1,$L397&lt;=500,OR($N397="Tank",$N397="DPS",$N397="Support"),ISNUMBER($D397),ISNUMBER($E397),ISNUMBER($F397)),"有效","异常")</x:f>
        <x:v>有效</x:v>
      </x:c>
      <x:c r="AH397" t="n">
        <x:f>D397/(1-MIN(0.75,F397/(24000+F397)))</x:f>
        <x:v>2876337.427</x:v>
      </x:c>
    </x:row>
    <x:row r="398" ht="14.25" customHeight="1">
      <x:c r="A398" s="4">
        <x:v>394</x:v>
      </x:c>
      <x:c r="B398" s="4">
        <x:v>1001</x:v>
      </x:c>
      <x:c r="C398" s="4">
        <x:v>49</x:v>
      </x:c>
      <x:c r="D398" s="5" t="n">
        <x:f>IFERROR(ROUND($U398*$X398*$AA398*'参数'!$B$13,0),"")</x:f>
        <x:v>1381858</x:v>
      </x:c>
      <x:c r="E398" s="5" t="n">
        <x:f>IFERROR(ROUND($V398*$Y398*$AB398*'参数'!$C$13,0),"")</x:f>
        <x:v>30864</x:v>
      </x:c>
      <x:c r="F398" s="5" t="n">
        <x:f>IFERROR(ROUND($W398*$Z398*$AC398*'参数'!$D$13,0),"")</x:f>
        <x:v>25956</x:v>
      </x:c>
      <x:c r="G398" s="4">
        <x:v>2484062</x:v>
      </x:c>
      <x:c r="H398" s="4">
        <x:v>43018</x:v>
      </x:c>
      <x:c r="I398" s="4">
        <x:v>25169</x:v>
      </x:c>
      <x:c r="J398" s="4">
        <x:v>79</x:v>
      </x:c>
      <x:c r="K398" s="4">
        <x:v>79</x:v>
      </x:c>
      <x:c r="L398" s="4" t="n">
        <x:f>IFERROR(INDEX('楼层配置'!$D$5:$D$104,MATCH($K398,'楼层配置'!$B$5:$B$104,0)),"")</x:f>
        <x:v>253</x:v>
      </x:c>
      <x:c r="M398" s="4" t="str">
        <x:f>IFERROR(INDEX('_角色基线'!$B$2:$B$100,MATCH($B398,'_角色基线'!$A$2:$A$100,0)),"")</x:f>
        <x:v>星海</x:v>
      </x:c>
      <x:c r="N398" s="4" t="str">
        <x:f>IFERROR(INDEX('_角色基线'!$C$2:$C$100,MATCH($B398,'_角色基线'!$A$2:$A$100,0)),"")</x:f>
        <x:v>DPS</x:v>
      </x:c>
      <x:c r="O398" s="4" t="n">
        <x:f>IFERROR(INDEX('_怪物基线'!$B$2:$B$501,MATCH(INT($L398),'_怪物基线'!$A$2:$A$501,0)),"")</x:f>
        <x:v>302519</x:v>
      </x:c>
      <x:c r="P398" s="4" t="n">
        <x:f>IFERROR(INDEX('_怪物基线'!$C$2:$C$501,MATCH(INT($L398),'_怪物基线'!$A$2:$A$501,0)),"")</x:f>
        <x:v>30170</x:v>
      </x:c>
      <x:c r="Q398" s="4" t="n">
        <x:f>IFERROR(INDEX('_怪物基线'!$D$2:$D$501,MATCH(INT($L398),'_怪物基线'!$A$2:$A$501,0)),"")</x:f>
        <x:v>25956</x:v>
      </x:c>
      <x:c r="R398" s="4" t="n">
        <x:f>'参数'!$B$10</x:f>
        <x:v>4</x:v>
      </x:c>
      <x:c r="S398" s="4" t="n">
        <x:f>'参数'!$C$10</x:f>
        <x:v>1.2</x:v>
      </x:c>
      <x:c r="T398" s="4" t="n">
        <x:f>'参数'!$D$10</x:f>
        <x:v>1</x:v>
      </x:c>
      <x:c r="U398" s="4" t="n">
        <x:f t="shared" si="42">IF($O398="","",$O398*$R398)</x:f>
        <x:v>1210076</x:v>
      </x:c>
      <x:c r="V398" s="4" t="n">
        <x:f t="shared" si="43">IF($P398="","",$P398*$S398)</x:f>
        <x:v>36204</x:v>
      </x:c>
      <x:c r="W398" s="4" t="n">
        <x:f t="shared" si="44">IF($Q398="","",$Q398*$T398)</x:f>
        <x:v>25956</x:v>
      </x:c>
      <x:c r="X398" s="4" t="n">
        <x:f>IFERROR(INDEX('参数'!$B$5:$B$7,MATCH($N398,'参数'!$A$5:$A$7,0)),"")</x:f>
        <x:v>1</x:v>
      </x:c>
      <x:c r="Y398" s="4" t="n">
        <x:f>IFERROR(INDEX('参数'!$C$5:$C$7,MATCH($N398,'参数'!$A$5:$A$7,0)),"")</x:f>
        <x:v>1.2</x:v>
      </x:c>
      <x:c r="Z398" s="4" t="n">
        <x:f>IFERROR(INDEX('参数'!$D$5:$D$7,MATCH($N398,'参数'!$A$5:$A$7,0)),"")</x:f>
        <x:v>1</x:v>
      </x:c>
      <x:c r="AA398" s="4" t="n">
        <x:f>IFERROR(INDEX('楼层配置'!$E$5:$E$104,MATCH($K398,'楼层配置'!$B$5:$B$104,0)),1)</x:f>
        <x:v>1.1419597482067845</x:v>
      </x:c>
      <x:c r="AB398" s="4" t="n">
        <x:f>IFERROR(INDEX('楼层配置'!$F$5:$F$104,MATCH($K398,'楼层配置'!$B$5:$B$104,0)),1)</x:f>
        <x:v>0.7104112554337726</x:v>
      </x:c>
      <x:c r="AC398" s="4" t="n">
        <x:f>IFERROR(INDEX('楼层配置'!$G$5:$G$104,MATCH($K398,'楼层配置'!$B$5:$B$104,0)),1)</x:f>
        <x:v>1</x:v>
      </x:c>
      <x:c r="AD398" s="6" t="n">
        <x:f t="shared" si="45">IFERROR($D398/$G398-1,"")</x:f>
        <x:v>-0.443710342173424</x:v>
      </x:c>
      <x:c r="AE398" s="6" t="n">
        <x:f t="shared" si="46">IFERROR($E398/$H398-1,"")</x:f>
        <x:v>-0.28253289320749453</x:v>
      </x:c>
      <x:c r="AF398" s="6" t="n">
        <x:f t="shared" si="47">IFERROR($F398/$I398-1,"")</x:f>
        <x:v>0.03126862410107667</x:v>
      </x:c>
      <x:c r="AG398" s="4" t="str">
        <x:f t="shared" si="48">IF(AND($A398&gt;=1,$L398&gt;=1,$L398&lt;=500,OR($N398="Tank",$N398="DPS",$N398="Support"),ISNUMBER($D398),ISNUMBER($E398),ISNUMBER($F398)),"有效","异常")</x:f>
        <x:v>有效</x:v>
      </x:c>
      <x:c r="AH398" t="n">
        <x:f>D398/(1-MIN(0.75,F398/(24000+F398)))</x:f>
        <x:v>2876337.427</x:v>
      </x:c>
    </x:row>
    <x:row r="399" ht="14.25" customHeight="1">
      <x:c r="A399" s="4">
        <x:v>395</x:v>
      </x:c>
      <x:c r="B399" s="4">
        <x:v>1001</x:v>
      </x:c>
      <x:c r="C399" s="4">
        <x:v>49</x:v>
      </x:c>
      <x:c r="D399" s="5" t="n">
        <x:f>IFERROR(ROUND($U399*$X399*$AA399*'参数'!$B$13,0),"")</x:f>
        <x:v>1381858</x:v>
      </x:c>
      <x:c r="E399" s="5" t="n">
        <x:f>IFERROR(ROUND($V399*$Y399*$AB399*'参数'!$C$13,0),"")</x:f>
        <x:v>30864</x:v>
      </x:c>
      <x:c r="F399" s="5" t="n">
        <x:f>IFERROR(ROUND($W399*$Z399*$AC399*'参数'!$D$13,0),"")</x:f>
        <x:v>25956</x:v>
      </x:c>
      <x:c r="G399" s="4">
        <x:v>2484062</x:v>
      </x:c>
      <x:c r="H399" s="4">
        <x:v>43018</x:v>
      </x:c>
      <x:c r="I399" s="4">
        <x:v>25169</x:v>
      </x:c>
      <x:c r="J399" s="4">
        <x:v>79</x:v>
      </x:c>
      <x:c r="K399" s="4">
        <x:v>79</x:v>
      </x:c>
      <x:c r="L399" s="4" t="n">
        <x:f>IFERROR(INDEX('楼层配置'!$D$5:$D$104,MATCH($K399,'楼层配置'!$B$5:$B$104,0)),"")</x:f>
        <x:v>253</x:v>
      </x:c>
      <x:c r="M399" s="4" t="str">
        <x:f>IFERROR(INDEX('_角色基线'!$B$2:$B$100,MATCH($B399,'_角色基线'!$A$2:$A$100,0)),"")</x:f>
        <x:v>星海</x:v>
      </x:c>
      <x:c r="N399" s="4" t="str">
        <x:f>IFERROR(INDEX('_角色基线'!$C$2:$C$100,MATCH($B399,'_角色基线'!$A$2:$A$100,0)),"")</x:f>
        <x:v>DPS</x:v>
      </x:c>
      <x:c r="O399" s="4" t="n">
        <x:f>IFERROR(INDEX('_怪物基线'!$B$2:$B$501,MATCH(INT($L399),'_怪物基线'!$A$2:$A$501,0)),"")</x:f>
        <x:v>302519</x:v>
      </x:c>
      <x:c r="P399" s="4" t="n">
        <x:f>IFERROR(INDEX('_怪物基线'!$C$2:$C$501,MATCH(INT($L399),'_怪物基线'!$A$2:$A$501,0)),"")</x:f>
        <x:v>30170</x:v>
      </x:c>
      <x:c r="Q399" s="4" t="n">
        <x:f>IFERROR(INDEX('_怪物基线'!$D$2:$D$501,MATCH(INT($L399),'_怪物基线'!$A$2:$A$501,0)),"")</x:f>
        <x:v>25956</x:v>
      </x:c>
      <x:c r="R399" s="4" t="n">
        <x:f>'参数'!$B$10</x:f>
        <x:v>4</x:v>
      </x:c>
      <x:c r="S399" s="4" t="n">
        <x:f>'参数'!$C$10</x:f>
        <x:v>1.2</x:v>
      </x:c>
      <x:c r="T399" s="4" t="n">
        <x:f>'参数'!$D$10</x:f>
        <x:v>1</x:v>
      </x:c>
      <x:c r="U399" s="4" t="n">
        <x:f t="shared" si="42">IF($O399="","",$O399*$R399)</x:f>
        <x:v>1210076</x:v>
      </x:c>
      <x:c r="V399" s="4" t="n">
        <x:f t="shared" si="43">IF($P399="","",$P399*$S399)</x:f>
        <x:v>36204</x:v>
      </x:c>
      <x:c r="W399" s="4" t="n">
        <x:f t="shared" si="44">IF($Q399="","",$Q399*$T399)</x:f>
        <x:v>25956</x:v>
      </x:c>
      <x:c r="X399" s="4" t="n">
        <x:f>IFERROR(INDEX('参数'!$B$5:$B$7,MATCH($N399,'参数'!$A$5:$A$7,0)),"")</x:f>
        <x:v>1</x:v>
      </x:c>
      <x:c r="Y399" s="4" t="n">
        <x:f>IFERROR(INDEX('参数'!$C$5:$C$7,MATCH($N399,'参数'!$A$5:$A$7,0)),"")</x:f>
        <x:v>1.2</x:v>
      </x:c>
      <x:c r="Z399" s="4" t="n">
        <x:f>IFERROR(INDEX('参数'!$D$5:$D$7,MATCH($N399,'参数'!$A$5:$A$7,0)),"")</x:f>
        <x:v>1</x:v>
      </x:c>
      <x:c r="AA399" s="4" t="n">
        <x:f>IFERROR(INDEX('楼层配置'!$E$5:$E$104,MATCH($K399,'楼层配置'!$B$5:$B$104,0)),1)</x:f>
        <x:v>1.1419597482067845</x:v>
      </x:c>
      <x:c r="AB399" s="4" t="n">
        <x:f>IFERROR(INDEX('楼层配置'!$F$5:$F$104,MATCH($K399,'楼层配置'!$B$5:$B$104,0)),1)</x:f>
        <x:v>0.7104112554337726</x:v>
      </x:c>
      <x:c r="AC399" s="4" t="n">
        <x:f>IFERROR(INDEX('楼层配置'!$G$5:$G$104,MATCH($K399,'楼层配置'!$B$5:$B$104,0)),1)</x:f>
        <x:v>1</x:v>
      </x:c>
      <x:c r="AD399" s="6" t="n">
        <x:f t="shared" si="45">IFERROR($D399/$G399-1,"")</x:f>
        <x:v>-0.443710342173424</x:v>
      </x:c>
      <x:c r="AE399" s="6" t="n">
        <x:f t="shared" si="46">IFERROR($E399/$H399-1,"")</x:f>
        <x:v>-0.28253289320749453</x:v>
      </x:c>
      <x:c r="AF399" s="6" t="n">
        <x:f t="shared" si="47">IFERROR($F399/$I399-1,"")</x:f>
        <x:v>0.03126862410107667</x:v>
      </x:c>
      <x:c r="AG399" s="4" t="str">
        <x:f t="shared" si="48">IF(AND($A399&gt;=1,$L399&gt;=1,$L399&lt;=500,OR($N399="Tank",$N399="DPS",$N399="Support"),ISNUMBER($D399),ISNUMBER($E399),ISNUMBER($F399)),"有效","异常")</x:f>
        <x:v>有效</x:v>
      </x:c>
      <x:c r="AH399" t="n">
        <x:f>D399/(1-MIN(0.75,F399/(24000+F399)))</x:f>
        <x:v>2876337.427</x:v>
      </x:c>
    </x:row>
    <x:row r="400" ht="14.25" customHeight="1">
      <x:c r="A400" s="4">
        <x:v>396</x:v>
      </x:c>
      <x:c r="B400" s="4">
        <x:v>1003</x:v>
      </x:c>
      <x:c r="C400" s="4">
        <x:v>50</x:v>
      </x:c>
      <x:c r="D400" s="5" t="n">
        <x:f>IFERROR(ROUND($U400*$X400*$AA400*'参数'!$B$13,0),"")</x:f>
        <x:v>2111589</x:v>
      </x:c>
      <x:c r="E400" s="5" t="n">
        <x:f>IFERROR(ROUND($V400*$Y400*$AB400*'参数'!$C$13,0),"")</x:f>
        <x:v>26117</x:v>
      </x:c>
      <x:c r="F400" s="5" t="n">
        <x:f>IFERROR(ROUND($W400*$Z400*$AC400*'参数'!$D$13,0),"")</x:f>
        <x:v>39329</x:v>
      </x:c>
      <x:c r="G400" s="4">
        <x:v>3851402</x:v>
      </x:c>
      <x:c r="H400" s="4">
        <x:v>36786</x:v>
      </x:c>
      <x:c r="I400" s="4">
        <x:v>38390</x:v>
      </x:c>
      <x:c r="J400" s="4">
        <x:v>80</x:v>
      </x:c>
      <x:c r="K400" s="4">
        <x:v>80</x:v>
      </x:c>
      <x:c r="L400" s="4" t="n">
        <x:f>IFERROR(INDEX('楼层配置'!$D$5:$D$104,MATCH($K400,'楼层配置'!$B$5:$B$104,0)),"")</x:f>
        <x:v>255</x:v>
      </x:c>
      <x:c r="M400" s="4" t="str">
        <x:f>IFERROR(INDEX('_角色基线'!$B$2:$B$100,MATCH($B400,'_角色基线'!$A$2:$A$100,0)),"")</x:f>
        <x:v>塔拉夏</x:v>
      </x:c>
      <x:c r="N400" s="4" t="str">
        <x:f>IFERROR(INDEX('_角色基线'!$C$2:$C$100,MATCH($B400,'_角色基线'!$A$2:$A$100,0)),"")</x:f>
        <x:v>Tank</x:v>
      </x:c>
      <x:c r="O400" s="4" t="n">
        <x:f>IFERROR(INDEX('_怪物基线'!$B$2:$B$501,MATCH(INT($L400),'_怪物基线'!$A$2:$A$501,0)),"")</x:f>
        <x:v>308881</x:v>
      </x:c>
      <x:c r="P400" s="4" t="n">
        <x:f>IFERROR(INDEX('_怪物基线'!$C$2:$C$501,MATCH(INT($L400),'_怪物基线'!$A$2:$A$501,0)),"")</x:f>
        <x:v>30639</x:v>
      </x:c>
      <x:c r="Q400" s="4" t="n">
        <x:f>IFERROR(INDEX('_怪物基线'!$D$2:$D$501,MATCH(INT($L400),'_怪物基线'!$A$2:$A$501,0)),"")</x:f>
        <x:v>26219</x:v>
      </x:c>
      <x:c r="R400" s="4" t="n">
        <x:f>'参数'!$B$10</x:f>
        <x:v>4</x:v>
      </x:c>
      <x:c r="S400" s="4" t="n">
        <x:f>'参数'!$C$10</x:f>
        <x:v>1.2</x:v>
      </x:c>
      <x:c r="T400" s="4" t="n">
        <x:f>'参数'!$D$10</x:f>
        <x:v>1</x:v>
      </x:c>
      <x:c r="U400" s="4" t="n">
        <x:f t="shared" si="42">IF($O400="","",$O400*$R400)</x:f>
        <x:v>1235524</x:v>
      </x:c>
      <x:c r="V400" s="4" t="n">
        <x:f t="shared" si="43">IF($P400="","",$P400*$S400)</x:f>
        <x:v>36766.799999999996</x:v>
      </x:c>
      <x:c r="W400" s="4" t="n">
        <x:f t="shared" si="44">IF($Q400="","",$Q400*$T400)</x:f>
        <x:v>26219</x:v>
      </x:c>
      <x:c r="X400" s="4" t="n">
        <x:f>IFERROR(INDEX('参数'!$B$5:$B$7,MATCH($N400,'参数'!$A$5:$A$7,0)),"")</x:f>
        <x:v>1.5</x:v>
      </x:c>
      <x:c r="Y400" s="4" t="n">
        <x:f>IFERROR(INDEX('参数'!$C$5:$C$7,MATCH($N400,'参数'!$A$5:$A$7,0)),"")</x:f>
        <x:v>1</x:v>
      </x:c>
      <x:c r="Z400" s="4" t="n">
        <x:f>IFERROR(INDEX('参数'!$D$5:$D$7,MATCH($N400,'参数'!$A$5:$A$7,0)),"")</x:f>
        <x:v>1.5</x:v>
      </x:c>
      <x:c r="AA400" s="4" t="n">
        <x:f>IFERROR(INDEX('楼层配置'!$E$5:$E$104,MATCH($K400,'楼层配置'!$B$5:$B$104,0)),1)</x:f>
        <x:v>1.1393758649270551</x:v>
      </x:c>
      <x:c r="AB400" s="4" t="n">
        <x:f>IFERROR(INDEX('楼层配置'!$F$5:$F$104,MATCH($K400,'楼层配置'!$B$5:$B$104,0)),1)</x:f>
        <x:v>0.7103324030900598</x:v>
      </x:c>
      <x:c r="AC400" s="4" t="n">
        <x:f>IFERROR(INDEX('楼层配置'!$G$5:$G$104,MATCH($K400,'楼层配置'!$B$5:$B$104,0)),1)</x:f>
        <x:v>1</x:v>
      </x:c>
      <x:c r="AD400" s="6" t="n">
        <x:f t="shared" si="45">IFERROR($D400/$G400-1,"")</x:f>
        <x:v>-0.4517349785870184</x:v>
      </x:c>
      <x:c r="AE400" s="6" t="n">
        <x:f t="shared" si="46">IFERROR($E400/$H400-1,"")</x:f>
        <x:v>-0.2900288153101723</x:v>
      </x:c>
      <x:c r="AF400" s="6" t="n">
        <x:f t="shared" si="47">IFERROR($F400/$I400-1,"")</x:f>
        <x:v>0.024459494660067804</x:v>
      </x:c>
      <x:c r="AG400" s="4" t="str">
        <x:f t="shared" si="48">IF(AND($A400&gt;=1,$L400&gt;=1,$L400&lt;=500,OR($N400="Tank",$N400="DPS",$N400="Support"),ISNUMBER($D400),ISNUMBER($E400),ISNUMBER($F400)),"有效","异常")</x:f>
        <x:v>有效</x:v>
      </x:c>
      <x:c r="AH400" t="n">
        <x:f>D400/(1-MIN(0.75,F400/(24000+F400)))</x:f>
        <x:v>5571867.490874999</x:v>
      </x:c>
    </x:row>
    <x:row r="401" ht="14.25" customHeight="1">
      <x:c r="A401" s="4">
        <x:v>397</x:v>
      </x:c>
      <x:c r="B401" s="4">
        <x:v>1013</x:v>
      </x:c>
      <x:c r="C401" s="4">
        <x:v>50</x:v>
      </x:c>
      <x:c r="D401" s="5" t="n">
        <x:f>IFERROR(ROUND($U401*$X401*$AA401*'参数'!$B$13,0),"")</x:f>
        <x:v>1407726</x:v>
      </x:c>
      <x:c r="E401" s="5" t="n">
        <x:f>IFERROR(ROUND($V401*$Y401*$AB401*'参数'!$C$13,0),"")</x:f>
        <x:v>31340</x:v>
      </x:c>
      <x:c r="F401" s="5" t="n">
        <x:f>IFERROR(ROUND($W401*$Z401*$AC401*'参数'!$D$13,0),"")</x:f>
        <x:v>26219</x:v>
      </x:c>
      <x:c r="G401" s="4">
        <x:v>2567601</x:v>
      </x:c>
      <x:c r="H401" s="4">
        <x:v>44143</x:v>
      </x:c>
      <x:c r="I401" s="4">
        <x:v>25593</x:v>
      </x:c>
      <x:c r="J401" s="4">
        <x:v>80</x:v>
      </x:c>
      <x:c r="K401" s="4">
        <x:v>80</x:v>
      </x:c>
      <x:c r="L401" s="4" t="n">
        <x:f>IFERROR(INDEX('楼层配置'!$D$5:$D$104,MATCH($K401,'楼层配置'!$B$5:$B$104,0)),"")</x:f>
        <x:v>255</x:v>
      </x:c>
      <x:c r="M401" s="4" t="str">
        <x:f>IFERROR(INDEX('_角色基线'!$B$2:$B$100,MATCH($B401,'_角色基线'!$A$2:$A$100,0)),"")</x:f>
        <x:v>夏缇拉</x:v>
      </x:c>
      <x:c r="N401" s="4" t="str">
        <x:f>IFERROR(INDEX('_角色基线'!$C$2:$C$100,MATCH($B401,'_角色基线'!$A$2:$A$100,0)),"")</x:f>
        <x:v>DPS</x:v>
      </x:c>
      <x:c r="O401" s="4" t="n">
        <x:f>IFERROR(INDEX('_怪物基线'!$B$2:$B$501,MATCH(INT($L401),'_怪物基线'!$A$2:$A$501,0)),"")</x:f>
        <x:v>308881</x:v>
      </x:c>
      <x:c r="P401" s="4" t="n">
        <x:f>IFERROR(INDEX('_怪物基线'!$C$2:$C$501,MATCH(INT($L401),'_怪物基线'!$A$2:$A$501,0)),"")</x:f>
        <x:v>30639</x:v>
      </x:c>
      <x:c r="Q401" s="4" t="n">
        <x:f>IFERROR(INDEX('_怪物基线'!$D$2:$D$501,MATCH(INT($L401),'_怪物基线'!$A$2:$A$501,0)),"")</x:f>
        <x:v>26219</x:v>
      </x:c>
      <x:c r="R401" s="4" t="n">
        <x:f>'参数'!$B$10</x:f>
        <x:v>4</x:v>
      </x:c>
      <x:c r="S401" s="4" t="n">
        <x:f>'参数'!$C$10</x:f>
        <x:v>1.2</x:v>
      </x:c>
      <x:c r="T401" s="4" t="n">
        <x:f>'参数'!$D$10</x:f>
        <x:v>1</x:v>
      </x:c>
      <x:c r="U401" s="4" t="n">
        <x:f t="shared" si="42">IF($O401="","",$O401*$R401)</x:f>
        <x:v>1235524</x:v>
      </x:c>
      <x:c r="V401" s="4" t="n">
        <x:f t="shared" si="43">IF($P401="","",$P401*$S401)</x:f>
        <x:v>36766.799999999996</x:v>
      </x:c>
      <x:c r="W401" s="4" t="n">
        <x:f t="shared" si="44">IF($Q401="","",$Q401*$T401)</x:f>
        <x:v>26219</x:v>
      </x:c>
      <x:c r="X401" s="4" t="n">
        <x:f>IFERROR(INDEX('参数'!$B$5:$B$7,MATCH($N401,'参数'!$A$5:$A$7,0)),"")</x:f>
        <x:v>1</x:v>
      </x:c>
      <x:c r="Y401" s="4" t="n">
        <x:f>IFERROR(INDEX('参数'!$C$5:$C$7,MATCH($N401,'参数'!$A$5:$A$7,0)),"")</x:f>
        <x:v>1.2</x:v>
      </x:c>
      <x:c r="Z401" s="4" t="n">
        <x:f>IFERROR(INDEX('参数'!$D$5:$D$7,MATCH($N401,'参数'!$A$5:$A$7,0)),"")</x:f>
        <x:v>1</x:v>
      </x:c>
      <x:c r="AA401" s="4" t="n">
        <x:f>IFERROR(INDEX('楼层配置'!$E$5:$E$104,MATCH($K401,'楼层配置'!$B$5:$B$104,0)),1)</x:f>
        <x:v>1.1393758649270551</x:v>
      </x:c>
      <x:c r="AB401" s="4" t="n">
        <x:f>IFERROR(INDEX('楼层配置'!$F$5:$F$104,MATCH($K401,'楼层配置'!$B$5:$B$104,0)),1)</x:f>
        <x:v>0.7103324030900598</x:v>
      </x:c>
      <x:c r="AC401" s="4" t="n">
        <x:f>IFERROR(INDEX('楼层配置'!$G$5:$G$104,MATCH($K401,'楼层配置'!$B$5:$B$104,0)),1)</x:f>
        <x:v>1</x:v>
      </x:c>
      <x:c r="AD401" s="6" t="n">
        <x:f t="shared" si="45">IFERROR($D401/$G401-1,"")</x:f>
        <x:v>-0.45173490740967925</x:v>
      </x:c>
      <x:c r="AE401" s="6" t="n">
        <x:f t="shared" si="46">IFERROR($E401/$H401-1,"")</x:f>
        <x:v>-0.2900346600820062</x:v>
      </x:c>
      <x:c r="AF401" s="6" t="n">
        <x:f t="shared" si="47">IFERROR($F401/$I401-1,"")</x:f>
        <x:v>0.024459813230180094</x:v>
      </x:c>
      <x:c r="AG401" s="4" t="str">
        <x:f t="shared" si="48">IF(AND($A401&gt;=1,$L401&gt;=1,$L401&lt;=500,OR($N401="Tank",$N401="DPS",$N401="Support"),ISNUMBER($D401),ISNUMBER($E401),ISNUMBER($F401)),"有效","异常")</x:f>
        <x:v>有效</x:v>
      </x:c>
      <x:c r="AH401" t="n">
        <x:f>D401/(1-MIN(0.75,F401/(24000+F401)))</x:f>
        <x:v>2945607.9997500004</x:v>
      </x:c>
    </x:row>
    <x:row r="402" ht="14.25" customHeight="1">
      <x:c r="A402" s="4">
        <x:v>398</x:v>
      </x:c>
      <x:c r="B402" s="4">
        <x:v>1020</x:v>
      </x:c>
      <x:c r="C402" s="4">
        <x:v>50</x:v>
      </x:c>
      <x:c r="D402" s="5" t="n">
        <x:f>IFERROR(ROUND($U402*$X402*$AA402*'参数'!$B$13,0),"")</x:f>
        <x:v>1759658</x:v>
      </x:c>
      <x:c r="E402" s="5" t="n">
        <x:f>IFERROR(ROUND($V402*$Y402*$AB402*'参数'!$C$13,0),"")</x:f>
        <x:v>26117</x:v>
      </x:c>
      <x:c r="F402" s="5" t="n">
        <x:f>IFERROR(ROUND($W402*$Z402*$AC402*'参数'!$D$13,0),"")</x:f>
        <x:v>32774</x:v>
      </x:c>
      <x:c r="G402" s="4">
        <x:v>3209502</x:v>
      </x:c>
      <x:c r="H402" s="4">
        <x:v>36786</x:v>
      </x:c>
      <x:c r="I402" s="4">
        <x:v>31992</x:v>
      </x:c>
      <x:c r="J402" s="4">
        <x:v>80</x:v>
      </x:c>
      <x:c r="K402" s="4">
        <x:v>80</x:v>
      </x:c>
      <x:c r="L402" s="4" t="n">
        <x:f>IFERROR(INDEX('楼层配置'!$D$5:$D$104,MATCH($K402,'楼层配置'!$B$5:$B$104,0)),"")</x:f>
        <x:v>255</x:v>
      </x:c>
      <x:c r="M402" s="4" t="str">
        <x:f>IFERROR(INDEX('_角色基线'!$B$2:$B$100,MATCH($B402,'_角色基线'!$A$2:$A$100,0)),"")</x:f>
        <x:v>卡斯帕</x:v>
      </x:c>
      <x:c r="N402" s="4" t="str">
        <x:f>IFERROR(INDEX('_角色基线'!$C$2:$C$100,MATCH($B402,'_角色基线'!$A$2:$A$100,0)),"")</x:f>
        <x:v>Support</x:v>
      </x:c>
      <x:c r="O402" s="4" t="n">
        <x:f>IFERROR(INDEX('_怪物基线'!$B$2:$B$501,MATCH(INT($L402),'_怪物基线'!$A$2:$A$501,0)),"")</x:f>
        <x:v>308881</x:v>
      </x:c>
      <x:c r="P402" s="4" t="n">
        <x:f>IFERROR(INDEX('_怪物基线'!$C$2:$C$501,MATCH(INT($L402),'_怪物基线'!$A$2:$A$501,0)),"")</x:f>
        <x:v>30639</x:v>
      </x:c>
      <x:c r="Q402" s="4" t="n">
        <x:f>IFERROR(INDEX('_怪物基线'!$D$2:$D$501,MATCH(INT($L402),'_怪物基线'!$A$2:$A$501,0)),"")</x:f>
        <x:v>26219</x:v>
      </x:c>
      <x:c r="R402" s="4" t="n">
        <x:f>'参数'!$B$10</x:f>
        <x:v>4</x:v>
      </x:c>
      <x:c r="S402" s="4" t="n">
        <x:f>'参数'!$C$10</x:f>
        <x:v>1.2</x:v>
      </x:c>
      <x:c r="T402" s="4" t="n">
        <x:f>'参数'!$D$10</x:f>
        <x:v>1</x:v>
      </x:c>
      <x:c r="U402" s="4" t="n">
        <x:f t="shared" si="42">IF($O402="","",$O402*$R402)</x:f>
        <x:v>1235524</x:v>
      </x:c>
      <x:c r="V402" s="4" t="n">
        <x:f t="shared" si="43">IF($P402="","",$P402*$S402)</x:f>
        <x:v>36766.799999999996</x:v>
      </x:c>
      <x:c r="W402" s="4" t="n">
        <x:f t="shared" si="44">IF($Q402="","",$Q402*$T402)</x:f>
        <x:v>26219</x:v>
      </x:c>
      <x:c r="X402" s="4" t="n">
        <x:f>IFERROR(INDEX('参数'!$B$5:$B$7,MATCH($N402,'参数'!$A$5:$A$7,0)),"")</x:f>
        <x:v>1.25</x:v>
      </x:c>
      <x:c r="Y402" s="4" t="n">
        <x:f>IFERROR(INDEX('参数'!$C$5:$C$7,MATCH($N402,'参数'!$A$5:$A$7,0)),"")</x:f>
        <x:v>1</x:v>
      </x:c>
      <x:c r="Z402" s="4" t="n">
        <x:f>IFERROR(INDEX('参数'!$D$5:$D$7,MATCH($N402,'参数'!$A$5:$A$7,0)),"")</x:f>
        <x:v>1.25</x:v>
      </x:c>
      <x:c r="AA402" s="4" t="n">
        <x:f>IFERROR(INDEX('楼层配置'!$E$5:$E$104,MATCH($K402,'楼层配置'!$B$5:$B$104,0)),1)</x:f>
        <x:v>1.1393758649270551</x:v>
      </x:c>
      <x:c r="AB402" s="4" t="n">
        <x:f>IFERROR(INDEX('楼层配置'!$F$5:$F$104,MATCH($K402,'楼层配置'!$B$5:$B$104,0)),1)</x:f>
        <x:v>0.7103324030900598</x:v>
      </x:c>
      <x:c r="AC402" s="4" t="n">
        <x:f>IFERROR(INDEX('楼层配置'!$G$5:$G$104,MATCH($K402,'楼层配置'!$B$5:$B$104,0)),1)</x:f>
        <x:v>1</x:v>
      </x:c>
      <x:c r="AD402" s="6" t="n">
        <x:f t="shared" si="45">IFERROR($D402/$G402-1,"")</x:f>
        <x:v>-0.45173487974146764</x:v>
      </x:c>
      <x:c r="AE402" s="6" t="n">
        <x:f t="shared" si="46">IFERROR($E402/$H402-1,"")</x:f>
        <x:v>-0.2900288153101723</x:v>
      </x:c>
      <x:c r="AF402" s="6" t="n">
        <x:f t="shared" si="47">IFERROR($F402/$I402-1,"")</x:f>
        <x:v>0.024443610902725732</x:v>
      </x:c>
      <x:c r="AG402" s="4" t="str">
        <x:f t="shared" si="48">IF(AND($A402&gt;=1,$L402&gt;=1,$L402&lt;=500,OR($N402="Tank",$N402="DPS",$N402="Support"),ISNUMBER($D402),ISNUMBER($E402),ISNUMBER($F402)),"有效","异常")</x:f>
        <x:v>有效</x:v>
      </x:c>
      <x:c r="AH402" t="n">
        <x:f>D402/(1-MIN(0.75,F402/(24000+F402)))</x:f>
        <x:v>4162617.637166667</x:v>
      </x:c>
    </x:row>
    <x:row r="403" ht="14.25" customHeight="1">
      <x:c r="A403" s="4">
        <x:v>399</x:v>
      </x:c>
      <x:c r="B403" s="4">
        <x:v>1012</x:v>
      </x:c>
      <x:c r="C403" s="4">
        <x:v>50</x:v>
      </x:c>
      <x:c r="D403" s="5" t="n">
        <x:f>IFERROR(ROUND($U403*$X403*$AA403*'参数'!$B$13,0),"")</x:f>
        <x:v>1759658</x:v>
      </x:c>
      <x:c r="E403" s="5" t="n">
        <x:f>IFERROR(ROUND($V403*$Y403*$AB403*'参数'!$C$13,0),"")</x:f>
        <x:v>26117</x:v>
      </x:c>
      <x:c r="F403" s="5" t="n">
        <x:f>IFERROR(ROUND($W403*$Z403*$AC403*'参数'!$D$13,0),"")</x:f>
        <x:v>32774</x:v>
      </x:c>
      <x:c r="G403" s="4">
        <x:v>3209502</x:v>
      </x:c>
      <x:c r="H403" s="4">
        <x:v>36786</x:v>
      </x:c>
      <x:c r="I403" s="4">
        <x:v>31992</x:v>
      </x:c>
      <x:c r="J403" s="4">
        <x:v>80</x:v>
      </x:c>
      <x:c r="K403" s="4">
        <x:v>80</x:v>
      </x:c>
      <x:c r="L403" s="4" t="n">
        <x:f>IFERROR(INDEX('楼层配置'!$D$5:$D$104,MATCH($K403,'楼层配置'!$B$5:$B$104,0)),"")</x:f>
        <x:v>255</x:v>
      </x:c>
      <x:c r="M403" s="4" t="str">
        <x:f>IFERROR(INDEX('_角色基线'!$B$2:$B$100,MATCH($B403,'_角色基线'!$A$2:$A$100,0)),"")</x:f>
        <x:v>艾德琳</x:v>
      </x:c>
      <x:c r="N403" s="4" t="str">
        <x:f>IFERROR(INDEX('_角色基线'!$C$2:$C$100,MATCH($B403,'_角色基线'!$A$2:$A$100,0)),"")</x:f>
        <x:v>Support</x:v>
      </x:c>
      <x:c r="O403" s="4" t="n">
        <x:f>IFERROR(INDEX('_怪物基线'!$B$2:$B$501,MATCH(INT($L403),'_怪物基线'!$A$2:$A$501,0)),"")</x:f>
        <x:v>308881</x:v>
      </x:c>
      <x:c r="P403" s="4" t="n">
        <x:f>IFERROR(INDEX('_怪物基线'!$C$2:$C$501,MATCH(INT($L403),'_怪物基线'!$A$2:$A$501,0)),"")</x:f>
        <x:v>30639</x:v>
      </x:c>
      <x:c r="Q403" s="4" t="n">
        <x:f>IFERROR(INDEX('_怪物基线'!$D$2:$D$501,MATCH(INT($L403),'_怪物基线'!$A$2:$A$501,0)),"")</x:f>
        <x:v>26219</x:v>
      </x:c>
      <x:c r="R403" s="4" t="n">
        <x:f>'参数'!$B$10</x:f>
        <x:v>4</x:v>
      </x:c>
      <x:c r="S403" s="4" t="n">
        <x:f>'参数'!$C$10</x:f>
        <x:v>1.2</x:v>
      </x:c>
      <x:c r="T403" s="4" t="n">
        <x:f>'参数'!$D$10</x:f>
        <x:v>1</x:v>
      </x:c>
      <x:c r="U403" s="4" t="n">
        <x:f t="shared" si="42">IF($O403="","",$O403*$R403)</x:f>
        <x:v>1235524</x:v>
      </x:c>
      <x:c r="V403" s="4" t="n">
        <x:f t="shared" si="43">IF($P403="","",$P403*$S403)</x:f>
        <x:v>36766.799999999996</x:v>
      </x:c>
      <x:c r="W403" s="4" t="n">
        <x:f t="shared" si="44">IF($Q403="","",$Q403*$T403)</x:f>
        <x:v>26219</x:v>
      </x:c>
      <x:c r="X403" s="4" t="n">
        <x:f>IFERROR(INDEX('参数'!$B$5:$B$7,MATCH($N403,'参数'!$A$5:$A$7,0)),"")</x:f>
        <x:v>1.25</x:v>
      </x:c>
      <x:c r="Y403" s="4" t="n">
        <x:f>IFERROR(INDEX('参数'!$C$5:$C$7,MATCH($N403,'参数'!$A$5:$A$7,0)),"")</x:f>
        <x:v>1</x:v>
      </x:c>
      <x:c r="Z403" s="4" t="n">
        <x:f>IFERROR(INDEX('参数'!$D$5:$D$7,MATCH($N403,'参数'!$A$5:$A$7,0)),"")</x:f>
        <x:v>1.25</x:v>
      </x:c>
      <x:c r="AA403" s="4" t="n">
        <x:f>IFERROR(INDEX('楼层配置'!$E$5:$E$104,MATCH($K403,'楼层配置'!$B$5:$B$104,0)),1)</x:f>
        <x:v>1.1393758649270551</x:v>
      </x:c>
      <x:c r="AB403" s="4" t="n">
        <x:f>IFERROR(INDEX('楼层配置'!$F$5:$F$104,MATCH($K403,'楼层配置'!$B$5:$B$104,0)),1)</x:f>
        <x:v>0.7103324030900598</x:v>
      </x:c>
      <x:c r="AC403" s="4" t="n">
        <x:f>IFERROR(INDEX('楼层配置'!$G$5:$G$104,MATCH($K403,'楼层配置'!$B$5:$B$104,0)),1)</x:f>
        <x:v>1</x:v>
      </x:c>
      <x:c r="AD403" s="6" t="n">
        <x:f t="shared" si="45">IFERROR($D403/$G403-1,"")</x:f>
        <x:v>-0.45173487974146764</x:v>
      </x:c>
      <x:c r="AE403" s="6" t="n">
        <x:f t="shared" si="46">IFERROR($E403/$H403-1,"")</x:f>
        <x:v>-0.2900288153101723</x:v>
      </x:c>
      <x:c r="AF403" s="6" t="n">
        <x:f t="shared" si="47">IFERROR($F403/$I403-1,"")</x:f>
        <x:v>0.024443610902725732</x:v>
      </x:c>
      <x:c r="AG403" s="4" t="str">
        <x:f t="shared" si="48">IF(AND($A403&gt;=1,$L403&gt;=1,$L403&lt;=500,OR($N403="Tank",$N403="DPS",$N403="Support"),ISNUMBER($D403),ISNUMBER($E403),ISNUMBER($F403)),"有效","异常")</x:f>
        <x:v>有效</x:v>
      </x:c>
      <x:c r="AH403" t="n">
        <x:f>D403/(1-MIN(0.75,F403/(24000+F403)))</x:f>
        <x:v>4162617.637166667</x:v>
      </x:c>
    </x:row>
    <x:row r="404" ht="14.25" customHeight="1">
      <x:c r="A404" s="4">
        <x:v>400</x:v>
      </x:c>
      <x:c r="B404" s="4">
        <x:v>1018</x:v>
      </x:c>
      <x:c r="C404" s="4">
        <x:v>50</x:v>
      </x:c>
      <x:c r="D404" s="5" t="n">
        <x:f>IFERROR(ROUND($U404*$X404*$AA404*'参数'!$B$13,0),"")</x:f>
        <x:v>1759658</x:v>
      </x:c>
      <x:c r="E404" s="5" t="n">
        <x:f>IFERROR(ROUND($V404*$Y404*$AB404*'参数'!$C$13,0),"")</x:f>
        <x:v>26117</x:v>
      </x:c>
      <x:c r="F404" s="5" t="n">
        <x:f>IFERROR(ROUND($W404*$Z404*$AC404*'参数'!$D$13,0),"")</x:f>
        <x:v>32774</x:v>
      </x:c>
      <x:c r="G404" s="4">
        <x:v>3209502</x:v>
      </x:c>
      <x:c r="H404" s="4">
        <x:v>36786</x:v>
      </x:c>
      <x:c r="I404" s="4">
        <x:v>31992</x:v>
      </x:c>
      <x:c r="J404" s="4">
        <x:v>80</x:v>
      </x:c>
      <x:c r="K404" s="4">
        <x:v>80</x:v>
      </x:c>
      <x:c r="L404" s="4" t="n">
        <x:f>IFERROR(INDEX('楼层配置'!$D$5:$D$104,MATCH($K404,'楼层配置'!$B$5:$B$104,0)),"")</x:f>
        <x:v>255</x:v>
      </x:c>
      <x:c r="M404" s="4" t="str">
        <x:f>IFERROR(INDEX('_角色基线'!$B$2:$B$100,MATCH($B404,'_角色基线'!$A$2:$A$100,0)),"")</x:f>
        <x:v>埃莉诺</x:v>
      </x:c>
      <x:c r="N404" s="4" t="str">
        <x:f>IFERROR(INDEX('_角色基线'!$C$2:$C$100,MATCH($B404,'_角色基线'!$A$2:$A$100,0)),"")</x:f>
        <x:v>Support</x:v>
      </x:c>
      <x:c r="O404" s="4" t="n">
        <x:f>IFERROR(INDEX('_怪物基线'!$B$2:$B$501,MATCH(INT($L404),'_怪物基线'!$A$2:$A$501,0)),"")</x:f>
        <x:v>308881</x:v>
      </x:c>
      <x:c r="P404" s="4" t="n">
        <x:f>IFERROR(INDEX('_怪物基线'!$C$2:$C$501,MATCH(INT($L404),'_怪物基线'!$A$2:$A$501,0)),"")</x:f>
        <x:v>30639</x:v>
      </x:c>
      <x:c r="Q404" s="4" t="n">
        <x:f>IFERROR(INDEX('_怪物基线'!$D$2:$D$501,MATCH(INT($L404),'_怪物基线'!$A$2:$A$501,0)),"")</x:f>
        <x:v>26219</x:v>
      </x:c>
      <x:c r="R404" s="4" t="n">
        <x:f>'参数'!$B$10</x:f>
        <x:v>4</x:v>
      </x:c>
      <x:c r="S404" s="4" t="n">
        <x:f>'参数'!$C$10</x:f>
        <x:v>1.2</x:v>
      </x:c>
      <x:c r="T404" s="4" t="n">
        <x:f>'参数'!$D$10</x:f>
        <x:v>1</x:v>
      </x:c>
      <x:c r="U404" s="4" t="n">
        <x:f t="shared" si="42">IF($O404="","",$O404*$R404)</x:f>
        <x:v>1235524</x:v>
      </x:c>
      <x:c r="V404" s="4" t="n">
        <x:f t="shared" si="43">IF($P404="","",$P404*$S404)</x:f>
        <x:v>36766.799999999996</x:v>
      </x:c>
      <x:c r="W404" s="4" t="n">
        <x:f t="shared" si="44">IF($Q404="","",$Q404*$T404)</x:f>
        <x:v>26219</x:v>
      </x:c>
      <x:c r="X404" s="4" t="n">
        <x:f>IFERROR(INDEX('参数'!$B$5:$B$7,MATCH($N404,'参数'!$A$5:$A$7,0)),"")</x:f>
        <x:v>1.25</x:v>
      </x:c>
      <x:c r="Y404" s="4" t="n">
        <x:f>IFERROR(INDEX('参数'!$C$5:$C$7,MATCH($N404,'参数'!$A$5:$A$7,0)),"")</x:f>
        <x:v>1</x:v>
      </x:c>
      <x:c r="Z404" s="4" t="n">
        <x:f>IFERROR(INDEX('参数'!$D$5:$D$7,MATCH($N404,'参数'!$A$5:$A$7,0)),"")</x:f>
        <x:v>1.25</x:v>
      </x:c>
      <x:c r="AA404" s="4" t="n">
        <x:f>IFERROR(INDEX('楼层配置'!$E$5:$E$104,MATCH($K404,'楼层配置'!$B$5:$B$104,0)),1)</x:f>
        <x:v>1.1393758649270551</x:v>
      </x:c>
      <x:c r="AB404" s="4" t="n">
        <x:f>IFERROR(INDEX('楼层配置'!$F$5:$F$104,MATCH($K404,'楼层配置'!$B$5:$B$104,0)),1)</x:f>
        <x:v>0.7103324030900598</x:v>
      </x:c>
      <x:c r="AC404" s="4" t="n">
        <x:f>IFERROR(INDEX('楼层配置'!$G$5:$G$104,MATCH($K404,'楼层配置'!$B$5:$B$104,0)),1)</x:f>
        <x:v>1</x:v>
      </x:c>
      <x:c r="AD404" s="6" t="n">
        <x:f t="shared" si="45">IFERROR($D404/$G404-1,"")</x:f>
        <x:v>-0.45173487974146764</x:v>
      </x:c>
      <x:c r="AE404" s="6" t="n">
        <x:f t="shared" si="46">IFERROR($E404/$H404-1,"")</x:f>
        <x:v>-0.2900288153101723</x:v>
      </x:c>
      <x:c r="AF404" s="6" t="n">
        <x:f t="shared" si="47">IFERROR($F404/$I404-1,"")</x:f>
        <x:v>0.024443610902725732</x:v>
      </x:c>
      <x:c r="AG404" s="4" t="str">
        <x:f t="shared" si="48">IF(AND($A404&gt;=1,$L404&gt;=1,$L404&lt;=500,OR($N404="Tank",$N404="DPS",$N404="Support"),ISNUMBER($D404),ISNUMBER($E404),ISNUMBER($F404)),"有效","异常")</x:f>
        <x:v>有效</x:v>
      </x:c>
      <x:c r="AH404" t="n">
        <x:f>D404/(1-MIN(0.75,F404/(24000+F404)))</x:f>
        <x:v>4162617.637166667</x:v>
      </x:c>
    </x:row>
    <x:row r="405" ht="14.25" customHeight="1">
      <x:c r="A405" s="4">
        <x:v>401</x:v>
      </x:c>
      <x:c r="B405" s="4">
        <x:v>1004</x:v>
      </x:c>
      <x:c r="C405" s="4">
        <x:v>50</x:v>
      </x:c>
      <x:c r="D405" s="5" t="n">
        <x:f>IFERROR(ROUND($U405*$X405*$AA405*'参数'!$B$13,0),"")</x:f>
        <x:v>2125711</x:v>
      </x:c>
      <x:c r="E405" s="5" t="n">
        <x:f>IFERROR(ROUND($V405*$Y405*$AB405*'参数'!$C$13,0),"")</x:f>
        <x:v>26332</x:v>
      </x:c>
      <x:c r="F405" s="5" t="n">
        <x:f>IFERROR(ROUND($W405*$Z405*$AC405*'参数'!$D$13,0),"")</x:f>
        <x:v>39527</x:v>
      </x:c>
      <x:c r="G405" s="4">
        <x:v>3979828</x:v>
      </x:c>
      <x:c r="H405" s="4">
        <x:v>37746</x:v>
      </x:c>
      <x:c r="I405" s="4">
        <x:v>39031</x:v>
      </x:c>
      <x:c r="J405" s="4">
        <x:v>81</x:v>
      </x:c>
      <x:c r="K405" s="4">
        <x:v>81</x:v>
      </x:c>
      <x:c r="L405" s="4" t="n">
        <x:f>IFERROR(INDEX('楼层配置'!$D$5:$D$104,MATCH($K405,'楼层配置'!$B$5:$B$104,0)),"")</x:f>
        <x:v>256</x:v>
      </x:c>
      <x:c r="M405" s="4" t="str">
        <x:f>IFERROR(INDEX('_角色基线'!$B$2:$B$100,MATCH($B405,'_角色基线'!$A$2:$A$100,0)),"")</x:f>
        <x:v>阿芭</x:v>
      </x:c>
      <x:c r="N405" s="4" t="str">
        <x:f>IFERROR(INDEX('_角色基线'!$C$2:$C$100,MATCH($B405,'_角色基线'!$A$2:$A$100,0)),"")</x:f>
        <x:v>Tank</x:v>
      </x:c>
      <x:c r="O405" s="4" t="n">
        <x:f>IFERROR(INDEX('_怪物基线'!$B$2:$B$501,MATCH(INT($L405),'_怪物基线'!$A$2:$A$501,0)),"")</x:f>
        <x:v>312099</x:v>
      </x:c>
      <x:c r="P405" s="4" t="n">
        <x:f>IFERROR(INDEX('_怪物基线'!$C$2:$C$501,MATCH(INT($L405),'_怪物基线'!$A$2:$A$501,0)),"")</x:f>
        <x:v>30876</x:v>
      </x:c>
      <x:c r="Q405" s="4" t="n">
        <x:f>IFERROR(INDEX('_怪物基线'!$D$2:$D$501,MATCH(INT($L405),'_怪物基线'!$A$2:$A$501,0)),"")</x:f>
        <x:v>26351</x:v>
      </x:c>
      <x:c r="R405" s="4" t="n">
        <x:f>'参数'!$B$10</x:f>
        <x:v>4</x:v>
      </x:c>
      <x:c r="S405" s="4" t="n">
        <x:f>'参数'!$C$10</x:f>
        <x:v>1.2</x:v>
      </x:c>
      <x:c r="T405" s="4" t="n">
        <x:f>'参数'!$D$10</x:f>
        <x:v>1</x:v>
      </x:c>
      <x:c r="U405" s="4" t="n">
        <x:f t="shared" si="42">IF($O405="","",$O405*$R405)</x:f>
        <x:v>1248396</x:v>
      </x:c>
      <x:c r="V405" s="4" t="n">
        <x:f t="shared" si="43">IF($P405="","",$P405*$S405)</x:f>
        <x:v>37051.2</x:v>
      </x:c>
      <x:c r="W405" s="4" t="n">
        <x:f t="shared" si="44">IF($Q405="","",$Q405*$T405)</x:f>
        <x:v>26351</x:v>
      </x:c>
      <x:c r="X405" s="4" t="n">
        <x:f>IFERROR(INDEX('参数'!$B$5:$B$7,MATCH($N405,'参数'!$A$5:$A$7,0)),"")</x:f>
        <x:v>1.5</x:v>
      </x:c>
      <x:c r="Y405" s="4" t="n">
        <x:f>IFERROR(INDEX('参数'!$C$5:$C$7,MATCH($N405,'参数'!$A$5:$A$7,0)),"")</x:f>
        <x:v>1</x:v>
      </x:c>
      <x:c r="Z405" s="4" t="n">
        <x:f>IFERROR(INDEX('参数'!$D$5:$D$7,MATCH($N405,'参数'!$A$5:$A$7,0)),"")</x:f>
        <x:v>1.5</x:v>
      </x:c>
      <x:c r="AA405" s="4" t="n">
        <x:f>IFERROR(INDEX('楼层配置'!$E$5:$E$104,MATCH($K405,'楼层配置'!$B$5:$B$104,0)),1)</x:f>
        <x:v>1.135169034600586</x:v>
      </x:c>
      <x:c r="AB405" s="4" t="n">
        <x:f>IFERROR(INDEX('楼层配置'!$F$5:$F$104,MATCH($K405,'楼层配置'!$B$5:$B$104,0)),1)</x:f>
        <x:v>0.7106888446246099</x:v>
      </x:c>
      <x:c r="AC405" s="4" t="n">
        <x:f>IFERROR(INDEX('楼层配置'!$G$5:$G$104,MATCH($K405,'楼层配置'!$B$5:$B$104,0)),1)</x:f>
        <x:v>1</x:v>
      </x:c>
      <x:c r="AD405" s="6" t="n">
        <x:f t="shared" si="45">IFERROR($D405/$G405-1,"")</x:f>
        <x:v>-0.46587867616389456</x:v>
      </x:c>
      <x:c r="AE405" s="6" t="n">
        <x:f t="shared" si="46">IFERROR($E405/$H405-1,"")</x:f>
        <x:v>-0.302389657182218</x:v>
      </x:c>
      <x:c r="AF405" s="6" t="n">
        <x:f t="shared" si="47">IFERROR($F405/$I405-1,"")</x:f>
        <x:v>0.01270784760831134</x:v>
      </x:c>
      <x:c r="AG405" s="4" t="str">
        <x:f t="shared" si="48">IF(AND($A405&gt;=1,$L405&gt;=1,$L405&lt;=500,OR($N405="Tank",$N405="DPS",$N405="Support"),ISNUMBER($D405),ISNUMBER($E405),ISNUMBER($F405)),"有效","异常")</x:f>
        <x:v>有效</x:v>
      </x:c>
      <x:c r="AH405" t="n">
        <x:f>D405/(1-MIN(0.75,F405/(24000+F405)))</x:f>
        <x:v>5626668.4457083335</x:v>
      </x:c>
    </x:row>
    <x:row r="406" ht="14.25" customHeight="1">
      <x:c r="A406" s="4">
        <x:v>402</x:v>
      </x:c>
      <x:c r="B406" s="4">
        <x:v>1017</x:v>
      </x:c>
      <x:c r="C406" s="4">
        <x:v>50</x:v>
      </x:c>
      <x:c r="D406" s="5" t="n">
        <x:f>IFERROR(ROUND($U406*$X406*$AA406*'参数'!$B$13,0),"")</x:f>
        <x:v>1417140</x:v>
      </x:c>
      <x:c r="E406" s="5" t="n">
        <x:f>IFERROR(ROUND($V406*$Y406*$AB406*'参数'!$C$13,0),"")</x:f>
        <x:v>31598</x:v>
      </x:c>
      <x:c r="F406" s="5" t="n">
        <x:f>IFERROR(ROUND($W406*$Z406*$AC406*'参数'!$D$13,0),"")</x:f>
        <x:v>26351</x:v>
      </x:c>
      <x:c r="G406" s="4">
        <x:v>2653219</x:v>
      </x:c>
      <x:c r="H406" s="4">
        <x:v>45295</x:v>
      </x:c>
      <x:c r="I406" s="4">
        <x:v>26020</x:v>
      </x:c>
      <x:c r="J406" s="4">
        <x:v>81</x:v>
      </x:c>
      <x:c r="K406" s="4">
        <x:v>81</x:v>
      </x:c>
      <x:c r="L406" s="4" t="n">
        <x:f>IFERROR(INDEX('楼层配置'!$D$5:$D$104,MATCH($K406,'楼层配置'!$B$5:$B$104,0)),"")</x:f>
        <x:v>256</x:v>
      </x:c>
      <x:c r="M406" s="4" t="str">
        <x:f>IFERROR(INDEX('_角色基线'!$B$2:$B$100,MATCH($B406,'_角色基线'!$A$2:$A$100,0)),"")</x:f>
        <x:v>伊戈尔</x:v>
      </x:c>
      <x:c r="N406" s="4" t="str">
        <x:f>IFERROR(INDEX('_角色基线'!$C$2:$C$100,MATCH($B406,'_角色基线'!$A$2:$A$100,0)),"")</x:f>
        <x:v>DPS</x:v>
      </x:c>
      <x:c r="O406" s="4" t="n">
        <x:f>IFERROR(INDEX('_怪物基线'!$B$2:$B$501,MATCH(INT($L406),'_怪物基线'!$A$2:$A$501,0)),"")</x:f>
        <x:v>312099</x:v>
      </x:c>
      <x:c r="P406" s="4" t="n">
        <x:f>IFERROR(INDEX('_怪物基线'!$C$2:$C$501,MATCH(INT($L406),'_怪物基线'!$A$2:$A$501,0)),"")</x:f>
        <x:v>30876</x:v>
      </x:c>
      <x:c r="Q406" s="4" t="n">
        <x:f>IFERROR(INDEX('_怪物基线'!$D$2:$D$501,MATCH(INT($L406),'_怪物基线'!$A$2:$A$501,0)),"")</x:f>
        <x:v>26351</x:v>
      </x:c>
      <x:c r="R406" s="4" t="n">
        <x:f>'参数'!$B$10</x:f>
        <x:v>4</x:v>
      </x:c>
      <x:c r="S406" s="4" t="n">
        <x:f>'参数'!$C$10</x:f>
        <x:v>1.2</x:v>
      </x:c>
      <x:c r="T406" s="4" t="n">
        <x:f>'参数'!$D$10</x:f>
        <x:v>1</x:v>
      </x:c>
      <x:c r="U406" s="4" t="n">
        <x:f t="shared" si="42">IF($O406="","",$O406*$R406)</x:f>
        <x:v>1248396</x:v>
      </x:c>
      <x:c r="V406" s="4" t="n">
        <x:f t="shared" si="43">IF($P406="","",$P406*$S406)</x:f>
        <x:v>37051.2</x:v>
      </x:c>
      <x:c r="W406" s="4" t="n">
        <x:f t="shared" si="44">IF($Q406="","",$Q406*$T406)</x:f>
        <x:v>26351</x:v>
      </x:c>
      <x:c r="X406" s="4" t="n">
        <x:f>IFERROR(INDEX('参数'!$B$5:$B$7,MATCH($N406,'参数'!$A$5:$A$7,0)),"")</x:f>
        <x:v>1</x:v>
      </x:c>
      <x:c r="Y406" s="4" t="n">
        <x:f>IFERROR(INDEX('参数'!$C$5:$C$7,MATCH($N406,'参数'!$A$5:$A$7,0)),"")</x:f>
        <x:v>1.2</x:v>
      </x:c>
      <x:c r="Z406" s="4" t="n">
        <x:f>IFERROR(INDEX('参数'!$D$5:$D$7,MATCH($N406,'参数'!$A$5:$A$7,0)),"")</x:f>
        <x:v>1</x:v>
      </x:c>
      <x:c r="AA406" s="4" t="n">
        <x:f>IFERROR(INDEX('楼层配置'!$E$5:$E$104,MATCH($K406,'楼层配置'!$B$5:$B$104,0)),1)</x:f>
        <x:v>1.135169034600586</x:v>
      </x:c>
      <x:c r="AB406" s="4" t="n">
        <x:f>IFERROR(INDEX('楼层配置'!$F$5:$F$104,MATCH($K406,'楼层配置'!$B$5:$B$104,0)),1)</x:f>
        <x:v>0.7106888446246099</x:v>
      </x:c>
      <x:c r="AC406" s="4" t="n">
        <x:f>IFERROR(INDEX('楼层配置'!$G$5:$G$104,MATCH($K406,'楼层配置'!$B$5:$B$104,0)),1)</x:f>
        <x:v>1</x:v>
      </x:c>
      <x:c r="AD406" s="6" t="n">
        <x:f t="shared" si="45">IFERROR($D406/$G406-1,"")</x:f>
        <x:v>-0.4658789945345635</x:v>
      </x:c>
      <x:c r="AE406" s="6" t="n">
        <x:f t="shared" si="46">IFERROR($E406/$H406-1,"")</x:f>
        <x:v>-0.30239540788166464</x:v>
      </x:c>
      <x:c r="AF406" s="6" t="n">
        <x:f t="shared" si="47">IFERROR($F406/$I406-1,"")</x:f>
        <x:v>0.012720983858570234</x:v>
      </x:c>
      <x:c r="AG406" s="4" t="str">
        <x:f t="shared" si="48">IF(AND($A406&gt;=1,$L406&gt;=1,$L406&lt;=500,OR($N406="Tank",$N406="DPS",$N406="Support"),ISNUMBER($D406),ISNUMBER($E406),ISNUMBER($F406)),"有效","异常")</x:f>
        <x:v>有效</x:v>
      </x:c>
      <x:c r="AH406" t="n">
        <x:f>D406/(1-MIN(0.75,F406/(24000+F406)))</x:f>
        <x:v>2973100.6725</x:v>
      </x:c>
    </x:row>
    <x:row r="407" ht="14.25" customHeight="1">
      <x:c r="A407" s="4">
        <x:v>403</x:v>
      </x:c>
      <x:c r="B407" s="4">
        <x:v>1013</x:v>
      </x:c>
      <x:c r="C407" s="4">
        <x:v>50</x:v>
      </x:c>
      <x:c r="D407" s="5" t="n">
        <x:f>IFERROR(ROUND($U407*$X407*$AA407*'参数'!$B$13,0),"")</x:f>
        <x:v>1417140</x:v>
      </x:c>
      <x:c r="E407" s="5" t="n">
        <x:f>IFERROR(ROUND($V407*$Y407*$AB407*'参数'!$C$13,0),"")</x:f>
        <x:v>31598</x:v>
      </x:c>
      <x:c r="F407" s="5" t="n">
        <x:f>IFERROR(ROUND($W407*$Z407*$AC407*'参数'!$D$13,0),"")</x:f>
        <x:v>26351</x:v>
      </x:c>
      <x:c r="G407" s="4">
        <x:v>2653219</x:v>
      </x:c>
      <x:c r="H407" s="4">
        <x:v>45295</x:v>
      </x:c>
      <x:c r="I407" s="4">
        <x:v>26020</x:v>
      </x:c>
      <x:c r="J407" s="4">
        <x:v>81</x:v>
      </x:c>
      <x:c r="K407" s="4">
        <x:v>81</x:v>
      </x:c>
      <x:c r="L407" s="4" t="n">
        <x:f>IFERROR(INDEX('楼层配置'!$D$5:$D$104,MATCH($K407,'楼层配置'!$B$5:$B$104,0)),"")</x:f>
        <x:v>256</x:v>
      </x:c>
      <x:c r="M407" s="4" t="str">
        <x:f>IFERROR(INDEX('_角色基线'!$B$2:$B$100,MATCH($B407,'_角色基线'!$A$2:$A$100,0)),"")</x:f>
        <x:v>夏缇拉</x:v>
      </x:c>
      <x:c r="N407" s="4" t="str">
        <x:f>IFERROR(INDEX('_角色基线'!$C$2:$C$100,MATCH($B407,'_角色基线'!$A$2:$A$100,0)),"")</x:f>
        <x:v>DPS</x:v>
      </x:c>
      <x:c r="O407" s="4" t="n">
        <x:f>IFERROR(INDEX('_怪物基线'!$B$2:$B$501,MATCH(INT($L407),'_怪物基线'!$A$2:$A$501,0)),"")</x:f>
        <x:v>312099</x:v>
      </x:c>
      <x:c r="P407" s="4" t="n">
        <x:f>IFERROR(INDEX('_怪物基线'!$C$2:$C$501,MATCH(INT($L407),'_怪物基线'!$A$2:$A$501,0)),"")</x:f>
        <x:v>30876</x:v>
      </x:c>
      <x:c r="Q407" s="4" t="n">
        <x:f>IFERROR(INDEX('_怪物基线'!$D$2:$D$501,MATCH(INT($L407),'_怪物基线'!$A$2:$A$501,0)),"")</x:f>
        <x:v>26351</x:v>
      </x:c>
      <x:c r="R407" s="4" t="n">
        <x:f>'参数'!$B$10</x:f>
        <x:v>4</x:v>
      </x:c>
      <x:c r="S407" s="4" t="n">
        <x:f>'参数'!$C$10</x:f>
        <x:v>1.2</x:v>
      </x:c>
      <x:c r="T407" s="4" t="n">
        <x:f>'参数'!$D$10</x:f>
        <x:v>1</x:v>
      </x:c>
      <x:c r="U407" s="4" t="n">
        <x:f t="shared" si="42">IF($O407="","",$O407*$R407)</x:f>
        <x:v>1248396</x:v>
      </x:c>
      <x:c r="V407" s="4" t="n">
        <x:f t="shared" si="43">IF($P407="","",$P407*$S407)</x:f>
        <x:v>37051.2</x:v>
      </x:c>
      <x:c r="W407" s="4" t="n">
        <x:f t="shared" si="44">IF($Q407="","",$Q407*$T407)</x:f>
        <x:v>26351</x:v>
      </x:c>
      <x:c r="X407" s="4" t="n">
        <x:f>IFERROR(INDEX('参数'!$B$5:$B$7,MATCH($N407,'参数'!$A$5:$A$7,0)),"")</x:f>
        <x:v>1</x:v>
      </x:c>
      <x:c r="Y407" s="4" t="n">
        <x:f>IFERROR(INDEX('参数'!$C$5:$C$7,MATCH($N407,'参数'!$A$5:$A$7,0)),"")</x:f>
        <x:v>1.2</x:v>
      </x:c>
      <x:c r="Z407" s="4" t="n">
        <x:f>IFERROR(INDEX('参数'!$D$5:$D$7,MATCH($N407,'参数'!$A$5:$A$7,0)),"")</x:f>
        <x:v>1</x:v>
      </x:c>
      <x:c r="AA407" s="4" t="n">
        <x:f>IFERROR(INDEX('楼层配置'!$E$5:$E$104,MATCH($K407,'楼层配置'!$B$5:$B$104,0)),1)</x:f>
        <x:v>1.135169034600586</x:v>
      </x:c>
      <x:c r="AB407" s="4" t="n">
        <x:f>IFERROR(INDEX('楼层配置'!$F$5:$F$104,MATCH($K407,'楼层配置'!$B$5:$B$104,0)),1)</x:f>
        <x:v>0.7106888446246099</x:v>
      </x:c>
      <x:c r="AC407" s="4" t="n">
        <x:f>IFERROR(INDEX('楼层配置'!$G$5:$G$104,MATCH($K407,'楼层配置'!$B$5:$B$104,0)),1)</x:f>
        <x:v>1</x:v>
      </x:c>
      <x:c r="AD407" s="6" t="n">
        <x:f t="shared" si="45">IFERROR($D407/$G407-1,"")</x:f>
        <x:v>-0.4658789945345635</x:v>
      </x:c>
      <x:c r="AE407" s="6" t="n">
        <x:f t="shared" si="46">IFERROR($E407/$H407-1,"")</x:f>
        <x:v>-0.30239540788166464</x:v>
      </x:c>
      <x:c r="AF407" s="6" t="n">
        <x:f t="shared" si="47">IFERROR($F407/$I407-1,"")</x:f>
        <x:v>0.012720983858570234</x:v>
      </x:c>
      <x:c r="AG407" s="4" t="str">
        <x:f t="shared" si="48">IF(AND($A407&gt;=1,$L407&gt;=1,$L407&lt;=500,OR($N407="Tank",$N407="DPS",$N407="Support"),ISNUMBER($D407),ISNUMBER($E407),ISNUMBER($F407)),"有效","异常")</x:f>
        <x:v>有效</x:v>
      </x:c>
      <x:c r="AH407" t="n">
        <x:f>D407/(1-MIN(0.75,F407/(24000+F407)))</x:f>
        <x:v>2973100.6725</x:v>
      </x:c>
    </x:row>
    <x:row r="408" ht="14.25" customHeight="1">
      <x:c r="A408" s="4">
        <x:v>404</x:v>
      </x:c>
      <x:c r="B408" s="4">
        <x:v>1007</x:v>
      </x:c>
      <x:c r="C408" s="4">
        <x:v>50</x:v>
      </x:c>
      <x:c r="D408" s="5" t="n">
        <x:f>IFERROR(ROUND($U408*$X408*$AA408*'参数'!$B$13,0),"")</x:f>
        <x:v>1771426</x:v>
      </x:c>
      <x:c r="E408" s="5" t="n">
        <x:f>IFERROR(ROUND($V408*$Y408*$AB408*'参数'!$C$13,0),"")</x:f>
        <x:v>26332</x:v>
      </x:c>
      <x:c r="F408" s="5" t="n">
        <x:f>IFERROR(ROUND($W408*$Z408*$AC408*'参数'!$D$13,0),"")</x:f>
        <x:v>32939</x:v>
      </x:c>
      <x:c r="G408" s="4">
        <x:v>3316524</x:v>
      </x:c>
      <x:c r="H408" s="4">
        <x:v>37746</x:v>
      </x:c>
      <x:c r="I408" s="4">
        <x:v>32526</x:v>
      </x:c>
      <x:c r="J408" s="4">
        <x:v>81</x:v>
      </x:c>
      <x:c r="K408" s="4">
        <x:v>81</x:v>
      </x:c>
      <x:c r="L408" s="4" t="n">
        <x:f>IFERROR(INDEX('楼层配置'!$D$5:$D$104,MATCH($K408,'楼层配置'!$B$5:$B$104,0)),"")</x:f>
        <x:v>256</x:v>
      </x:c>
      <x:c r="M408" s="4" t="str">
        <x:f>IFERROR(INDEX('_角色基线'!$B$2:$B$100,MATCH($B408,'_角色基线'!$A$2:$A$100,0)),"")</x:f>
        <x:v>萨萨莉安</x:v>
      </x:c>
      <x:c r="N408" s="4" t="str">
        <x:f>IFERROR(INDEX('_角色基线'!$C$2:$C$100,MATCH($B408,'_角色基线'!$A$2:$A$100,0)),"")</x:f>
        <x:v>Support</x:v>
      </x:c>
      <x:c r="O408" s="4" t="n">
        <x:f>IFERROR(INDEX('_怪物基线'!$B$2:$B$501,MATCH(INT($L408),'_怪物基线'!$A$2:$A$501,0)),"")</x:f>
        <x:v>312099</x:v>
      </x:c>
      <x:c r="P408" s="4" t="n">
        <x:f>IFERROR(INDEX('_怪物基线'!$C$2:$C$501,MATCH(INT($L408),'_怪物基线'!$A$2:$A$501,0)),"")</x:f>
        <x:v>30876</x:v>
      </x:c>
      <x:c r="Q408" s="4" t="n">
        <x:f>IFERROR(INDEX('_怪物基线'!$D$2:$D$501,MATCH(INT($L408),'_怪物基线'!$A$2:$A$501,0)),"")</x:f>
        <x:v>26351</x:v>
      </x:c>
      <x:c r="R408" s="4" t="n">
        <x:f>'参数'!$B$10</x:f>
        <x:v>4</x:v>
      </x:c>
      <x:c r="S408" s="4" t="n">
        <x:f>'参数'!$C$10</x:f>
        <x:v>1.2</x:v>
      </x:c>
      <x:c r="T408" s="4" t="n">
        <x:f>'参数'!$D$10</x:f>
        <x:v>1</x:v>
      </x:c>
      <x:c r="U408" s="4" t="n">
        <x:f t="shared" si="42">IF($O408="","",$O408*$R408)</x:f>
        <x:v>1248396</x:v>
      </x:c>
      <x:c r="V408" s="4" t="n">
        <x:f t="shared" si="43">IF($P408="","",$P408*$S408)</x:f>
        <x:v>37051.2</x:v>
      </x:c>
      <x:c r="W408" s="4" t="n">
        <x:f t="shared" si="44">IF($Q408="","",$Q408*$T408)</x:f>
        <x:v>26351</x:v>
      </x:c>
      <x:c r="X408" s="4" t="n">
        <x:f>IFERROR(INDEX('参数'!$B$5:$B$7,MATCH($N408,'参数'!$A$5:$A$7,0)),"")</x:f>
        <x:v>1.25</x:v>
      </x:c>
      <x:c r="Y408" s="4" t="n">
        <x:f>IFERROR(INDEX('参数'!$C$5:$C$7,MATCH($N408,'参数'!$A$5:$A$7,0)),"")</x:f>
        <x:v>1</x:v>
      </x:c>
      <x:c r="Z408" s="4" t="n">
        <x:f>IFERROR(INDEX('参数'!$D$5:$D$7,MATCH($N408,'参数'!$A$5:$A$7,0)),"")</x:f>
        <x:v>1.25</x:v>
      </x:c>
      <x:c r="AA408" s="4" t="n">
        <x:f>IFERROR(INDEX('楼层配置'!$E$5:$E$104,MATCH($K408,'楼层配置'!$B$5:$B$104,0)),1)</x:f>
        <x:v>1.135169034600586</x:v>
      </x:c>
      <x:c r="AB408" s="4" t="n">
        <x:f>IFERROR(INDEX('楼层配置'!$F$5:$F$104,MATCH($K408,'楼层配置'!$B$5:$B$104,0)),1)</x:f>
        <x:v>0.7106888446246099</x:v>
      </x:c>
      <x:c r="AC408" s="4" t="n">
        <x:f>IFERROR(INDEX('楼层配置'!$G$5:$G$104,MATCH($K408,'楼层配置'!$B$5:$B$104,0)),1)</x:f>
        <x:v>1</x:v>
      </x:c>
      <x:c r="AD408" s="6" t="n">
        <x:f t="shared" si="45">IFERROR($D408/$G408-1,"")</x:f>
        <x:v>-0.465878733276165</x:v>
      </x:c>
      <x:c r="AE408" s="6" t="n">
        <x:f t="shared" si="46">IFERROR($E408/$H408-1,"")</x:f>
        <x:v>-0.302389657182218</x:v>
      </x:c>
      <x:c r="AF408" s="6" t="n">
        <x:f t="shared" si="47">IFERROR($F408/$I408-1,"")</x:f>
        <x:v>0.012697534280267986</x:v>
      </x:c>
      <x:c r="AG408" s="4" t="str">
        <x:f t="shared" si="48">IF(AND($A408&gt;=1,$L408&gt;=1,$L408&lt;=500,OR($N408="Tank",$N408="DPS",$N408="Support"),ISNUMBER($D408),ISNUMBER($E408),ISNUMBER($F408)),"有效","异常")</x:f>
        <x:v>有效</x:v>
      </x:c>
      <x:c r="AH408" t="n">
        <x:f>D408/(1-MIN(0.75,F408/(24000+F408)))</x:f>
        <x:v>4202634.375583333</x:v>
      </x:c>
    </x:row>
    <x:row r="409" ht="14.25" customHeight="1">
      <x:c r="A409" s="4">
        <x:v>405</x:v>
      </x:c>
      <x:c r="B409" s="4">
        <x:v>1008</x:v>
      </x:c>
      <x:c r="C409" s="4">
        <x:v>50</x:v>
      </x:c>
      <x:c r="D409" s="5" t="n">
        <x:f>IFERROR(ROUND($U409*$X409*$AA409*'参数'!$B$13,0),"")</x:f>
        <x:v>1417140</x:v>
      </x:c>
      <x:c r="E409" s="5" t="n">
        <x:f>IFERROR(ROUND($V409*$Y409*$AB409*'参数'!$C$13,0),"")</x:f>
        <x:v>31598</x:v>
      </x:c>
      <x:c r="F409" s="5" t="n">
        <x:f>IFERROR(ROUND($W409*$Z409*$AC409*'参数'!$D$13,0),"")</x:f>
        <x:v>26351</x:v>
      </x:c>
      <x:c r="G409" s="4">
        <x:v>2653219</x:v>
      </x:c>
      <x:c r="H409" s="4">
        <x:v>45295</x:v>
      </x:c>
      <x:c r="I409" s="4">
        <x:v>26020</x:v>
      </x:c>
      <x:c r="J409" s="4">
        <x:v>81</x:v>
      </x:c>
      <x:c r="K409" s="4">
        <x:v>81</x:v>
      </x:c>
      <x:c r="L409" s="4" t="n">
        <x:f>IFERROR(INDEX('楼层配置'!$D$5:$D$104,MATCH($K409,'楼层配置'!$B$5:$B$104,0)),"")</x:f>
        <x:v>256</x:v>
      </x:c>
      <x:c r="M409" s="4" t="str">
        <x:f>IFERROR(INDEX('_角色基线'!$B$2:$B$100,MATCH($B409,'_角色基线'!$A$2:$A$100,0)),"")</x:f>
        <x:v>薇</x:v>
      </x:c>
      <x:c r="N409" s="4" t="str">
        <x:f>IFERROR(INDEX('_角色基线'!$C$2:$C$100,MATCH($B409,'_角色基线'!$A$2:$A$100,0)),"")</x:f>
        <x:v>DPS</x:v>
      </x:c>
      <x:c r="O409" s="4" t="n">
        <x:f>IFERROR(INDEX('_怪物基线'!$B$2:$B$501,MATCH(INT($L409),'_怪物基线'!$A$2:$A$501,0)),"")</x:f>
        <x:v>312099</x:v>
      </x:c>
      <x:c r="P409" s="4" t="n">
        <x:f>IFERROR(INDEX('_怪物基线'!$C$2:$C$501,MATCH(INT($L409),'_怪物基线'!$A$2:$A$501,0)),"")</x:f>
        <x:v>30876</x:v>
      </x:c>
      <x:c r="Q409" s="4" t="n">
        <x:f>IFERROR(INDEX('_怪物基线'!$D$2:$D$501,MATCH(INT($L409),'_怪物基线'!$A$2:$A$501,0)),"")</x:f>
        <x:v>26351</x:v>
      </x:c>
      <x:c r="R409" s="4" t="n">
        <x:f>'参数'!$B$10</x:f>
        <x:v>4</x:v>
      </x:c>
      <x:c r="S409" s="4" t="n">
        <x:f>'参数'!$C$10</x:f>
        <x:v>1.2</x:v>
      </x:c>
      <x:c r="T409" s="4" t="n">
        <x:f>'参数'!$D$10</x:f>
        <x:v>1</x:v>
      </x:c>
      <x:c r="U409" s="4" t="n">
        <x:f t="shared" si="42">IF($O409="","",$O409*$R409)</x:f>
        <x:v>1248396</x:v>
      </x:c>
      <x:c r="V409" s="4" t="n">
        <x:f t="shared" si="43">IF($P409="","",$P409*$S409)</x:f>
        <x:v>37051.2</x:v>
      </x:c>
      <x:c r="W409" s="4" t="n">
        <x:f t="shared" si="44">IF($Q409="","",$Q409*$T409)</x:f>
        <x:v>26351</x:v>
      </x:c>
      <x:c r="X409" s="4" t="n">
        <x:f>IFERROR(INDEX('参数'!$B$5:$B$7,MATCH($N409,'参数'!$A$5:$A$7,0)),"")</x:f>
        <x:v>1</x:v>
      </x:c>
      <x:c r="Y409" s="4" t="n">
        <x:f>IFERROR(INDEX('参数'!$C$5:$C$7,MATCH($N409,'参数'!$A$5:$A$7,0)),"")</x:f>
        <x:v>1.2</x:v>
      </x:c>
      <x:c r="Z409" s="4" t="n">
        <x:f>IFERROR(INDEX('参数'!$D$5:$D$7,MATCH($N409,'参数'!$A$5:$A$7,0)),"")</x:f>
        <x:v>1</x:v>
      </x:c>
      <x:c r="AA409" s="4" t="n">
        <x:f>IFERROR(INDEX('楼层配置'!$E$5:$E$104,MATCH($K409,'楼层配置'!$B$5:$B$104,0)),1)</x:f>
        <x:v>1.135169034600586</x:v>
      </x:c>
      <x:c r="AB409" s="4" t="n">
        <x:f>IFERROR(INDEX('楼层配置'!$F$5:$F$104,MATCH($K409,'楼层配置'!$B$5:$B$104,0)),1)</x:f>
        <x:v>0.7106888446246099</x:v>
      </x:c>
      <x:c r="AC409" s="4" t="n">
        <x:f>IFERROR(INDEX('楼层配置'!$G$5:$G$104,MATCH($K409,'楼层配置'!$B$5:$B$104,0)),1)</x:f>
        <x:v>1</x:v>
      </x:c>
      <x:c r="AD409" s="6" t="n">
        <x:f t="shared" si="45">IFERROR($D409/$G409-1,"")</x:f>
        <x:v>-0.4658789945345635</x:v>
      </x:c>
      <x:c r="AE409" s="6" t="n">
        <x:f t="shared" si="46">IFERROR($E409/$H409-1,"")</x:f>
        <x:v>-0.30239540788166464</x:v>
      </x:c>
      <x:c r="AF409" s="6" t="n">
        <x:f t="shared" si="47">IFERROR($F409/$I409-1,"")</x:f>
        <x:v>0.012720983858570234</x:v>
      </x:c>
      <x:c r="AG409" s="4" t="str">
        <x:f t="shared" si="48">IF(AND($A409&gt;=1,$L409&gt;=1,$L409&lt;=500,OR($N409="Tank",$N409="DPS",$N409="Support"),ISNUMBER($D409),ISNUMBER($E409),ISNUMBER($F409)),"有效","异常")</x:f>
        <x:v>有效</x:v>
      </x:c>
      <x:c r="AH409" t="n">
        <x:f>D409/(1-MIN(0.75,F409/(24000+F409)))</x:f>
        <x:v>2973100.6725</x:v>
      </x:c>
    </x:row>
    <x:row r="410" ht="14.25" customHeight="1">
      <x:c r="A410" s="4">
        <x:v>406</x:v>
      </x:c>
      <x:c r="B410" s="4">
        <x:v>1003</x:v>
      </x:c>
      <x:c r="C410" s="4">
        <x:v>51</x:v>
      </x:c>
      <x:c r="D410" s="5" t="n">
        <x:f>IFERROR(ROUND($U410*$X410*$AA410*'参数'!$B$13,0),"")</x:f>
        <x:v>2183850</x:v>
      </x:c>
      <x:c r="E410" s="5" t="n">
        <x:f>IFERROR(ROUND($V410*$Y410*$AB410*'参数'!$C$13,0),"")</x:f>
        <x:v>26873</x:v>
      </x:c>
      <x:c r="F410" s="5" t="n">
        <x:f>IFERROR(ROUND($W410*$Z410*$AC410*'参数'!$D$13,0),"")</x:f>
        <x:v>39924</x:v>
      </x:c>
      <x:c r="G410" s="4">
        <x:v>4111423</x:v>
      </x:c>
      <x:c r="H410" s="4">
        <x:v>38728</x:v>
      </x:c>
      <x:c r="I410" s="4">
        <x:v>39675</x:v>
      </x:c>
      <x:c r="J410" s="4">
        <x:v>82</x:v>
      </x:c>
      <x:c r="K410" s="4">
        <x:v>82</x:v>
      </x:c>
      <x:c r="L410" s="4" t="n">
        <x:f>IFERROR(INDEX('楼层配置'!$D$5:$D$104,MATCH($K410,'楼层配置'!$B$5:$B$104,0)),"")</x:f>
        <x:v>258</x:v>
      </x:c>
      <x:c r="M410" s="4" t="str">
        <x:f>IFERROR(INDEX('_角色基线'!$B$2:$B$100,MATCH($B410,'_角色基线'!$A$2:$A$100,0)),"")</x:f>
        <x:v>塔拉夏</x:v>
      </x:c>
      <x:c r="N410" s="4" t="str">
        <x:f>IFERROR(INDEX('_角色基线'!$C$2:$C$100,MATCH($B410,'_角色基线'!$A$2:$A$100,0)),"")</x:f>
        <x:v>Tank</x:v>
      </x:c>
      <x:c r="O410" s="4" t="n">
        <x:f>IFERROR(INDEX('_怪物基线'!$B$2:$B$501,MATCH(INT($L410),'_怪物基线'!$A$2:$A$501,0)),"")</x:f>
        <x:v>318612</x:v>
      </x:c>
      <x:c r="P410" s="4" t="n">
        <x:f>IFERROR(INDEX('_怪物基线'!$C$2:$C$501,MATCH(INT($L410),'_怪物基线'!$A$2:$A$501,0)),"")</x:f>
        <x:v>31353</x:v>
      </x:c>
      <x:c r="Q410" s="4" t="n">
        <x:f>IFERROR(INDEX('_怪物基线'!$D$2:$D$501,MATCH(INT($L410),'_怪物基线'!$A$2:$A$501,0)),"")</x:f>
        <x:v>26616</x:v>
      </x:c>
      <x:c r="R410" s="4" t="n">
        <x:f>'参数'!$B$10</x:f>
        <x:v>4</x:v>
      </x:c>
      <x:c r="S410" s="4" t="n">
        <x:f>'参数'!$C$10</x:f>
        <x:v>1.2</x:v>
      </x:c>
      <x:c r="T410" s="4" t="n">
        <x:f>'参数'!$D$10</x:f>
        <x:v>1</x:v>
      </x:c>
      <x:c r="U410" s="4" t="n">
        <x:f t="shared" si="42">IF($O410="","",$O410*$R410)</x:f>
        <x:v>1274448</x:v>
      </x:c>
      <x:c r="V410" s="4" t="n">
        <x:f t="shared" si="43">IF($P410="","",$P410*$S410)</x:f>
        <x:v>37623.6</x:v>
      </x:c>
      <x:c r="W410" s="4" t="n">
        <x:f t="shared" si="44">IF($Q410="","",$Q410*$T410)</x:f>
        <x:v>26616</x:v>
      </x:c>
      <x:c r="X410" s="4" t="n">
        <x:f>IFERROR(INDEX('参数'!$B$5:$B$7,MATCH($N410,'参数'!$A$5:$A$7,0)),"")</x:f>
        <x:v>1.5</x:v>
      </x:c>
      <x:c r="Y410" s="4" t="n">
        <x:f>IFERROR(INDEX('参数'!$C$5:$C$7,MATCH($N410,'参数'!$A$5:$A$7,0)),"")</x:f>
        <x:v>1</x:v>
      </x:c>
      <x:c r="Z410" s="4" t="n">
        <x:f>IFERROR(INDEX('参数'!$D$5:$D$7,MATCH($N410,'参数'!$A$5:$A$7,0)),"")</x:f>
        <x:v>1.5</x:v>
      </x:c>
      <x:c r="AA410" s="4" t="n">
        <x:f>IFERROR(INDEX('楼层配置'!$E$5:$E$104,MATCH($K410,'楼层配置'!$B$5:$B$104,0)),1)</x:f>
        <x:v>1.1423769048009726</x:v>
      </x:c>
      <x:c r="AB410" s="4" t="n">
        <x:f>IFERROR(INDEX('楼层配置'!$F$5:$F$104,MATCH($K410,'楼层配置'!$B$5:$B$104,0)),1)</x:f>
        <x:v>0.7142610416976918</x:v>
      </x:c>
      <x:c r="AC410" s="4" t="n">
        <x:f>IFERROR(INDEX('楼层配置'!$G$5:$G$104,MATCH($K410,'楼层配置'!$B$5:$B$104,0)),1)</x:f>
        <x:v>1</x:v>
      </x:c>
      <x:c r="AD410" s="6" t="n">
        <x:f t="shared" si="45">IFERROR($D410/$G410-1,"")</x:f>
        <x:v>-0.46883354011494316</x:v>
      </x:c>
      <x:c r="AE410" s="6" t="n">
        <x:f t="shared" si="46">IFERROR($E410/$H410-1,"")</x:f>
        <x:v>-0.3061092749431935</x:v>
      </x:c>
      <x:c r="AF410" s="6" t="n">
        <x:f t="shared" si="47">IFERROR($F410/$I410-1,"")</x:f>
        <x:v>0.00627599243856336</x:v>
      </x:c>
      <x:c r="AG410" s="4" t="str">
        <x:f t="shared" si="48">IF(AND($A410&gt;=1,$L410&gt;=1,$L410&lt;=500,OR($N410="Tank",$N410="DPS",$N410="Support"),ISNUMBER($D410),ISNUMBER($E410),ISNUMBER($F410)),"有效","异常")</x:f>
        <x:v>有效</x:v>
      </x:c>
      <x:c r="AH410" t="n">
        <x:f>D410/(1-MIN(0.75,F410/(24000+F410)))</x:f>
        <x:v>5816684.475</x:v>
      </x:c>
    </x:row>
    <x:row r="411" ht="14.25" customHeight="1">
      <x:c r="A411" s="4">
        <x:v>407</x:v>
      </x:c>
      <x:c r="B411" s="4">
        <x:v>1011</x:v>
      </x:c>
      <x:c r="C411" s="4">
        <x:v>51</x:v>
      </x:c>
      <x:c r="D411" s="5" t="n">
        <x:f>IFERROR(ROUND($U411*$X411*$AA411*'参数'!$B$13,0),"")</x:f>
        <x:v>1819875</x:v>
      </x:c>
      <x:c r="E411" s="5" t="n">
        <x:f>IFERROR(ROUND($V411*$Y411*$AB411*'参数'!$C$13,0),"")</x:f>
        <x:v>26873</x:v>
      </x:c>
      <x:c r="F411" s="5" t="n">
        <x:f>IFERROR(ROUND($W411*$Z411*$AC411*'参数'!$D$13,0),"")</x:f>
        <x:v>33270</x:v>
      </x:c>
      <x:c r="G411" s="4">
        <x:v>3426186</x:v>
      </x:c>
      <x:c r="H411" s="4">
        <x:v>38728</x:v>
      </x:c>
      <x:c r="I411" s="4">
        <x:v>33063</x:v>
      </x:c>
      <x:c r="J411" s="4">
        <x:v>82</x:v>
      </x:c>
      <x:c r="K411" s="4">
        <x:v>82</x:v>
      </x:c>
      <x:c r="L411" s="4" t="n">
        <x:f>IFERROR(INDEX('楼层配置'!$D$5:$D$104,MATCH($K411,'楼层配置'!$B$5:$B$104,0)),"")</x:f>
        <x:v>258</x:v>
      </x:c>
      <x:c r="M411" s="4" t="str">
        <x:f>IFERROR(INDEX('_角色基线'!$B$2:$B$100,MATCH($B411,'_角色基线'!$A$2:$A$100,0)),"")</x:f>
        <x:v>陈双双</x:v>
      </x:c>
      <x:c r="N411" s="4" t="str">
        <x:f>IFERROR(INDEX('_角色基线'!$C$2:$C$100,MATCH($B411,'_角色基线'!$A$2:$A$100,0)),"")</x:f>
        <x:v>Support</x:v>
      </x:c>
      <x:c r="O411" s="4" t="n">
        <x:f>IFERROR(INDEX('_怪物基线'!$B$2:$B$501,MATCH(INT($L411),'_怪物基线'!$A$2:$A$501,0)),"")</x:f>
        <x:v>318612</x:v>
      </x:c>
      <x:c r="P411" s="4" t="n">
        <x:f>IFERROR(INDEX('_怪物基线'!$C$2:$C$501,MATCH(INT($L411),'_怪物基线'!$A$2:$A$501,0)),"")</x:f>
        <x:v>31353</x:v>
      </x:c>
      <x:c r="Q411" s="4" t="n">
        <x:f>IFERROR(INDEX('_怪物基线'!$D$2:$D$501,MATCH(INT($L411),'_怪物基线'!$A$2:$A$501,0)),"")</x:f>
        <x:v>26616</x:v>
      </x:c>
      <x:c r="R411" s="4" t="n">
        <x:f>'参数'!$B$10</x:f>
        <x:v>4</x:v>
      </x:c>
      <x:c r="S411" s="4" t="n">
        <x:f>'参数'!$C$10</x:f>
        <x:v>1.2</x:v>
      </x:c>
      <x:c r="T411" s="4" t="n">
        <x:f>'参数'!$D$10</x:f>
        <x:v>1</x:v>
      </x:c>
      <x:c r="U411" s="4" t="n">
        <x:f t="shared" si="42">IF($O411="","",$O411*$R411)</x:f>
        <x:v>1274448</x:v>
      </x:c>
      <x:c r="V411" s="4" t="n">
        <x:f t="shared" si="43">IF($P411="","",$P411*$S411)</x:f>
        <x:v>37623.6</x:v>
      </x:c>
      <x:c r="W411" s="4" t="n">
        <x:f t="shared" si="44">IF($Q411="","",$Q411*$T411)</x:f>
        <x:v>26616</x:v>
      </x:c>
      <x:c r="X411" s="4" t="n">
        <x:f>IFERROR(INDEX('参数'!$B$5:$B$7,MATCH($N411,'参数'!$A$5:$A$7,0)),"")</x:f>
        <x:v>1.25</x:v>
      </x:c>
      <x:c r="Y411" s="4" t="n">
        <x:f>IFERROR(INDEX('参数'!$C$5:$C$7,MATCH($N411,'参数'!$A$5:$A$7,0)),"")</x:f>
        <x:v>1</x:v>
      </x:c>
      <x:c r="Z411" s="4" t="n">
        <x:f>IFERROR(INDEX('参数'!$D$5:$D$7,MATCH($N411,'参数'!$A$5:$A$7,0)),"")</x:f>
        <x:v>1.25</x:v>
      </x:c>
      <x:c r="AA411" s="4" t="n">
        <x:f>IFERROR(INDEX('楼层配置'!$E$5:$E$104,MATCH($K411,'楼层配置'!$B$5:$B$104,0)),1)</x:f>
        <x:v>1.1423769048009726</x:v>
      </x:c>
      <x:c r="AB411" s="4" t="n">
        <x:f>IFERROR(INDEX('楼层配置'!$F$5:$F$104,MATCH($K411,'楼层配置'!$B$5:$B$104,0)),1)</x:f>
        <x:v>0.7142610416976918</x:v>
      </x:c>
      <x:c r="AC411" s="4" t="n">
        <x:f>IFERROR(INDEX('楼层配置'!$G$5:$G$104,MATCH($K411,'楼层配置'!$B$5:$B$104,0)),1)</x:f>
        <x:v>1</x:v>
      </x:c>
      <x:c r="AD411" s="6" t="n">
        <x:f t="shared" si="45">IFERROR($D411/$G411-1,"")</x:f>
        <x:v>-0.4688335659535121</x:v>
      </x:c>
      <x:c r="AE411" s="6" t="n">
        <x:f t="shared" si="46">IFERROR($E411/$H411-1,"")</x:f>
        <x:v>-0.3061092749431935</x:v>
      </x:c>
      <x:c r="AF411" s="6" t="n">
        <x:f t="shared" si="47">IFERROR($F411/$I411-1,"")</x:f>
        <x:v>0.0062607748843117594</x:v>
      </x:c>
      <x:c r="AG411" s="4" t="str">
        <x:f t="shared" si="48">IF(AND($A411&gt;=1,$L411&gt;=1,$L411&lt;=500,OR($N411="Tank",$N411="DPS",$N411="Support"),ISNUMBER($D411),ISNUMBER($E411),ISNUMBER($F411)),"有效","异常")</x:f>
        <x:v>有效</x:v>
      </x:c>
      <x:c r="AH411" t="n">
        <x:f>D411/(1-MIN(0.75,F411/(24000+F411)))</x:f>
        <x:v>4342676.71875</x:v>
      </x:c>
    </x:row>
    <x:row r="412" ht="14.25" customHeight="1">
      <x:c r="A412" s="4">
        <x:v>408</x:v>
      </x:c>
      <x:c r="B412" s="4">
        <x:v>1013</x:v>
      </x:c>
      <x:c r="C412" s="4">
        <x:v>51</x:v>
      </x:c>
      <x:c r="D412" s="5" t="n">
        <x:f>IFERROR(ROUND($U412*$X412*$AA412*'参数'!$B$13,0),"")</x:f>
        <x:v>1455900</x:v>
      </x:c>
      <x:c r="E412" s="5" t="n">
        <x:f>IFERROR(ROUND($V412*$Y412*$AB412*'参数'!$C$13,0),"")</x:f>
        <x:v>32248</x:v>
      </x:c>
      <x:c r="F412" s="5" t="n">
        <x:f>IFERROR(ROUND($W412*$Z412*$AC412*'参数'!$D$13,0),"")</x:f>
        <x:v>26616</x:v>
      </x:c>
      <x:c r="G412" s="4">
        <x:v>2740948</x:v>
      </x:c>
      <x:c r="H412" s="4">
        <x:v>46473</x:v>
      </x:c>
      <x:c r="I412" s="4">
        <x:v>26450</x:v>
      </x:c>
      <x:c r="J412" s="4">
        <x:v>82</x:v>
      </x:c>
      <x:c r="K412" s="4">
        <x:v>82</x:v>
      </x:c>
      <x:c r="L412" s="4" t="n">
        <x:f>IFERROR(INDEX('楼层配置'!$D$5:$D$104,MATCH($K412,'楼层配置'!$B$5:$B$104,0)),"")</x:f>
        <x:v>258</x:v>
      </x:c>
      <x:c r="M412" s="4" t="str">
        <x:f>IFERROR(INDEX('_角色基线'!$B$2:$B$100,MATCH($B412,'_角色基线'!$A$2:$A$100,0)),"")</x:f>
        <x:v>夏缇拉</x:v>
      </x:c>
      <x:c r="N412" s="4" t="str">
        <x:f>IFERROR(INDEX('_角色基线'!$C$2:$C$100,MATCH($B412,'_角色基线'!$A$2:$A$100,0)),"")</x:f>
        <x:v>DPS</x:v>
      </x:c>
      <x:c r="O412" s="4" t="n">
        <x:f>IFERROR(INDEX('_怪物基线'!$B$2:$B$501,MATCH(INT($L412),'_怪物基线'!$A$2:$A$501,0)),"")</x:f>
        <x:v>318612</x:v>
      </x:c>
      <x:c r="P412" s="4" t="n">
        <x:f>IFERROR(INDEX('_怪物基线'!$C$2:$C$501,MATCH(INT($L412),'_怪物基线'!$A$2:$A$501,0)),"")</x:f>
        <x:v>31353</x:v>
      </x:c>
      <x:c r="Q412" s="4" t="n">
        <x:f>IFERROR(INDEX('_怪物基线'!$D$2:$D$501,MATCH(INT($L412),'_怪物基线'!$A$2:$A$501,0)),"")</x:f>
        <x:v>26616</x:v>
      </x:c>
      <x:c r="R412" s="4" t="n">
        <x:f>'参数'!$B$10</x:f>
        <x:v>4</x:v>
      </x:c>
      <x:c r="S412" s="4" t="n">
        <x:f>'参数'!$C$10</x:f>
        <x:v>1.2</x:v>
      </x:c>
      <x:c r="T412" s="4" t="n">
        <x:f>'参数'!$D$10</x:f>
        <x:v>1</x:v>
      </x:c>
      <x:c r="U412" s="4" t="n">
        <x:f t="shared" si="42">IF($O412="","",$O412*$R412)</x:f>
        <x:v>1274448</x:v>
      </x:c>
      <x:c r="V412" s="4" t="n">
        <x:f t="shared" si="43">IF($P412="","",$P412*$S412)</x:f>
        <x:v>37623.6</x:v>
      </x:c>
      <x:c r="W412" s="4" t="n">
        <x:f t="shared" si="44">IF($Q412="","",$Q412*$T412)</x:f>
        <x:v>26616</x:v>
      </x:c>
      <x:c r="X412" s="4" t="n">
        <x:f>IFERROR(INDEX('参数'!$B$5:$B$7,MATCH($N412,'参数'!$A$5:$A$7,0)),"")</x:f>
        <x:v>1</x:v>
      </x:c>
      <x:c r="Y412" s="4" t="n">
        <x:f>IFERROR(INDEX('参数'!$C$5:$C$7,MATCH($N412,'参数'!$A$5:$A$7,0)),"")</x:f>
        <x:v>1.2</x:v>
      </x:c>
      <x:c r="Z412" s="4" t="n">
        <x:f>IFERROR(INDEX('参数'!$D$5:$D$7,MATCH($N412,'参数'!$A$5:$A$7,0)),"")</x:f>
        <x:v>1</x:v>
      </x:c>
      <x:c r="AA412" s="4" t="n">
        <x:f>IFERROR(INDEX('楼层配置'!$E$5:$E$104,MATCH($K412,'楼层配置'!$B$5:$B$104,0)),1)</x:f>
        <x:v>1.1423769048009726</x:v>
      </x:c>
      <x:c r="AB412" s="4" t="n">
        <x:f>IFERROR(INDEX('楼层配置'!$F$5:$F$104,MATCH($K412,'楼层配置'!$B$5:$B$104,0)),1)</x:f>
        <x:v>0.7142610416976918</x:v>
      </x:c>
      <x:c r="AC412" s="4" t="n">
        <x:f>IFERROR(INDEX('楼层配置'!$G$5:$G$104,MATCH($K412,'楼层配置'!$B$5:$B$104,0)),1)</x:f>
        <x:v>1</x:v>
      </x:c>
      <x:c r="AD412" s="6" t="n">
        <x:f t="shared" si="45">IFERROR($D412/$G412-1,"")</x:f>
        <x:v>-0.46883341092206055</x:v>
      </x:c>
      <x:c r="AE412" s="6" t="n">
        <x:f t="shared" si="46">IFERROR($E412/$H412-1,"")</x:f>
        <x:v>-0.30609170916446105</x:v>
      </x:c>
      <x:c r="AF412" s="6" t="n">
        <x:f t="shared" si="47">IFERROR($F412/$I412-1,"")</x:f>
        <x:v>0.00627599243856336</x:v>
      </x:c>
      <x:c r="AG412" s="4" t="str">
        <x:f t="shared" si="48">IF(AND($A412&gt;=1,$L412&gt;=1,$L412&lt;=500,OR($N412="Tank",$N412="DPS",$N412="Support"),ISNUMBER($D412),ISNUMBER($E412),ISNUMBER($F412)),"有效","异常")</x:f>
        <x:v>有效</x:v>
      </x:c>
      <x:c r="AH412" t="n">
        <x:f>D412/(1-MIN(0.75,F412/(24000+F412)))</x:f>
        <x:v>3070493.1</x:v>
      </x:c>
    </x:row>
    <x:row r="413" ht="14.25" customHeight="1">
      <x:c r="A413" s="4">
        <x:v>409</x:v>
      </x:c>
      <x:c r="B413" s="4">
        <x:v>1017</x:v>
      </x:c>
      <x:c r="C413" s="4">
        <x:v>51</x:v>
      </x:c>
      <x:c r="D413" s="5" t="n">
        <x:f>IFERROR(ROUND($U413*$X413*$AA413*'参数'!$B$13,0),"")</x:f>
        <x:v>1455900</x:v>
      </x:c>
      <x:c r="E413" s="5" t="n">
        <x:f>IFERROR(ROUND($V413*$Y413*$AB413*'参数'!$C$13,0),"")</x:f>
        <x:v>32248</x:v>
      </x:c>
      <x:c r="F413" s="5" t="n">
        <x:f>IFERROR(ROUND($W413*$Z413*$AC413*'参数'!$D$13,0),"")</x:f>
        <x:v>26616</x:v>
      </x:c>
      <x:c r="G413" s="4">
        <x:v>2740948</x:v>
      </x:c>
      <x:c r="H413" s="4">
        <x:v>46473</x:v>
      </x:c>
      <x:c r="I413" s="4">
        <x:v>26450</x:v>
      </x:c>
      <x:c r="J413" s="4">
        <x:v>82</x:v>
      </x:c>
      <x:c r="K413" s="4">
        <x:v>82</x:v>
      </x:c>
      <x:c r="L413" s="4" t="n">
        <x:f>IFERROR(INDEX('楼层配置'!$D$5:$D$104,MATCH($K413,'楼层配置'!$B$5:$B$104,0)),"")</x:f>
        <x:v>258</x:v>
      </x:c>
      <x:c r="M413" s="4" t="str">
        <x:f>IFERROR(INDEX('_角色基线'!$B$2:$B$100,MATCH($B413,'_角色基线'!$A$2:$A$100,0)),"")</x:f>
        <x:v>伊戈尔</x:v>
      </x:c>
      <x:c r="N413" s="4" t="str">
        <x:f>IFERROR(INDEX('_角色基线'!$C$2:$C$100,MATCH($B413,'_角色基线'!$A$2:$A$100,0)),"")</x:f>
        <x:v>DPS</x:v>
      </x:c>
      <x:c r="O413" s="4" t="n">
        <x:f>IFERROR(INDEX('_怪物基线'!$B$2:$B$501,MATCH(INT($L413),'_怪物基线'!$A$2:$A$501,0)),"")</x:f>
        <x:v>318612</x:v>
      </x:c>
      <x:c r="P413" s="4" t="n">
        <x:f>IFERROR(INDEX('_怪物基线'!$C$2:$C$501,MATCH(INT($L413),'_怪物基线'!$A$2:$A$501,0)),"")</x:f>
        <x:v>31353</x:v>
      </x:c>
      <x:c r="Q413" s="4" t="n">
        <x:f>IFERROR(INDEX('_怪物基线'!$D$2:$D$501,MATCH(INT($L413),'_怪物基线'!$A$2:$A$501,0)),"")</x:f>
        <x:v>26616</x:v>
      </x:c>
      <x:c r="R413" s="4" t="n">
        <x:f>'参数'!$B$10</x:f>
        <x:v>4</x:v>
      </x:c>
      <x:c r="S413" s="4" t="n">
        <x:f>'参数'!$C$10</x:f>
        <x:v>1.2</x:v>
      </x:c>
      <x:c r="T413" s="4" t="n">
        <x:f>'参数'!$D$10</x:f>
        <x:v>1</x:v>
      </x:c>
      <x:c r="U413" s="4" t="n">
        <x:f t="shared" si="42">IF($O413="","",$O413*$R413)</x:f>
        <x:v>1274448</x:v>
      </x:c>
      <x:c r="V413" s="4" t="n">
        <x:f t="shared" si="43">IF($P413="","",$P413*$S413)</x:f>
        <x:v>37623.6</x:v>
      </x:c>
      <x:c r="W413" s="4" t="n">
        <x:f t="shared" si="44">IF($Q413="","",$Q413*$T413)</x:f>
        <x:v>26616</x:v>
      </x:c>
      <x:c r="X413" s="4" t="n">
        <x:f>IFERROR(INDEX('参数'!$B$5:$B$7,MATCH($N413,'参数'!$A$5:$A$7,0)),"")</x:f>
        <x:v>1</x:v>
      </x:c>
      <x:c r="Y413" s="4" t="n">
        <x:f>IFERROR(INDEX('参数'!$C$5:$C$7,MATCH($N413,'参数'!$A$5:$A$7,0)),"")</x:f>
        <x:v>1.2</x:v>
      </x:c>
      <x:c r="Z413" s="4" t="n">
        <x:f>IFERROR(INDEX('参数'!$D$5:$D$7,MATCH($N413,'参数'!$A$5:$A$7,0)),"")</x:f>
        <x:v>1</x:v>
      </x:c>
      <x:c r="AA413" s="4" t="n">
        <x:f>IFERROR(INDEX('楼层配置'!$E$5:$E$104,MATCH($K413,'楼层配置'!$B$5:$B$104,0)),1)</x:f>
        <x:v>1.1423769048009726</x:v>
      </x:c>
      <x:c r="AB413" s="4" t="n">
        <x:f>IFERROR(INDEX('楼层配置'!$F$5:$F$104,MATCH($K413,'楼层配置'!$B$5:$B$104,0)),1)</x:f>
        <x:v>0.7142610416976918</x:v>
      </x:c>
      <x:c r="AC413" s="4" t="n">
        <x:f>IFERROR(INDEX('楼层配置'!$G$5:$G$104,MATCH($K413,'楼层配置'!$B$5:$B$104,0)),1)</x:f>
        <x:v>1</x:v>
      </x:c>
      <x:c r="AD413" s="6" t="n">
        <x:f t="shared" si="45">IFERROR($D413/$G413-1,"")</x:f>
        <x:v>-0.46883341092206055</x:v>
      </x:c>
      <x:c r="AE413" s="6" t="n">
        <x:f t="shared" si="46">IFERROR($E413/$H413-1,"")</x:f>
        <x:v>-0.30609170916446105</x:v>
      </x:c>
      <x:c r="AF413" s="6" t="n">
        <x:f t="shared" si="47">IFERROR($F413/$I413-1,"")</x:f>
        <x:v>0.00627599243856336</x:v>
      </x:c>
      <x:c r="AG413" s="4" t="str">
        <x:f t="shared" si="48">IF(AND($A413&gt;=1,$L413&gt;=1,$L413&lt;=500,OR($N413="Tank",$N413="DPS",$N413="Support"),ISNUMBER($D413),ISNUMBER($E413),ISNUMBER($F413)),"有效","异常")</x:f>
        <x:v>有效</x:v>
      </x:c>
      <x:c r="AH413" t="n">
        <x:f>D413/(1-MIN(0.75,F413/(24000+F413)))</x:f>
        <x:v>3070493.1</x:v>
      </x:c>
    </x:row>
    <x:row r="414" ht="14.25" customHeight="1">
      <x:c r="A414" s="4">
        <x:v>410</x:v>
      </x:c>
      <x:c r="B414" s="4">
        <x:v>1006</x:v>
      </x:c>
      <x:c r="C414" s="4">
        <x:v>51</x:v>
      </x:c>
      <x:c r="D414" s="5" t="n">
        <x:f>IFERROR(ROUND($U414*$X414*$AA414*'参数'!$B$13,0),"")</x:f>
        <x:v>1455900</x:v>
      </x:c>
      <x:c r="E414" s="5" t="n">
        <x:f>IFERROR(ROUND($V414*$Y414*$AB414*'参数'!$C$13,0),"")</x:f>
        <x:v>32248</x:v>
      </x:c>
      <x:c r="F414" s="5" t="n">
        <x:f>IFERROR(ROUND($W414*$Z414*$AC414*'参数'!$D$13,0),"")</x:f>
        <x:v>26616</x:v>
      </x:c>
      <x:c r="G414" s="4">
        <x:v>2740948</x:v>
      </x:c>
      <x:c r="H414" s="4">
        <x:v>46473</x:v>
      </x:c>
      <x:c r="I414" s="4">
        <x:v>26450</x:v>
      </x:c>
      <x:c r="J414" s="4">
        <x:v>82</x:v>
      </x:c>
      <x:c r="K414" s="4">
        <x:v>82</x:v>
      </x:c>
      <x:c r="L414" s="4" t="n">
        <x:f>IFERROR(INDEX('楼层配置'!$D$5:$D$104,MATCH($K414,'楼层配置'!$B$5:$B$104,0)),"")</x:f>
        <x:v>258</x:v>
      </x:c>
      <x:c r="M414" s="4" t="str">
        <x:f>IFERROR(INDEX('_角色基线'!$B$2:$B$100,MATCH($B414,'_角色基线'!$A$2:$A$100,0)),"")</x:f>
        <x:v>莉莉娅</x:v>
      </x:c>
      <x:c r="N414" s="4" t="str">
        <x:f>IFERROR(INDEX('_角色基线'!$C$2:$C$100,MATCH($B414,'_角色基线'!$A$2:$A$100,0)),"")</x:f>
        <x:v>DPS</x:v>
      </x:c>
      <x:c r="O414" s="4" t="n">
        <x:f>IFERROR(INDEX('_怪物基线'!$B$2:$B$501,MATCH(INT($L414),'_怪物基线'!$A$2:$A$501,0)),"")</x:f>
        <x:v>318612</x:v>
      </x:c>
      <x:c r="P414" s="4" t="n">
        <x:f>IFERROR(INDEX('_怪物基线'!$C$2:$C$501,MATCH(INT($L414),'_怪物基线'!$A$2:$A$501,0)),"")</x:f>
        <x:v>31353</x:v>
      </x:c>
      <x:c r="Q414" s="4" t="n">
        <x:f>IFERROR(INDEX('_怪物基线'!$D$2:$D$501,MATCH(INT($L414),'_怪物基线'!$A$2:$A$501,0)),"")</x:f>
        <x:v>26616</x:v>
      </x:c>
      <x:c r="R414" s="4" t="n">
        <x:f>'参数'!$B$10</x:f>
        <x:v>4</x:v>
      </x:c>
      <x:c r="S414" s="4" t="n">
        <x:f>'参数'!$C$10</x:f>
        <x:v>1.2</x:v>
      </x:c>
      <x:c r="T414" s="4" t="n">
        <x:f>'参数'!$D$10</x:f>
        <x:v>1</x:v>
      </x:c>
      <x:c r="U414" s="4" t="n">
        <x:f t="shared" si="42">IF($O414="","",$O414*$R414)</x:f>
        <x:v>1274448</x:v>
      </x:c>
      <x:c r="V414" s="4" t="n">
        <x:f t="shared" si="43">IF($P414="","",$P414*$S414)</x:f>
        <x:v>37623.6</x:v>
      </x:c>
      <x:c r="W414" s="4" t="n">
        <x:f t="shared" si="44">IF($Q414="","",$Q414*$T414)</x:f>
        <x:v>26616</x:v>
      </x:c>
      <x:c r="X414" s="4" t="n">
        <x:f>IFERROR(INDEX('参数'!$B$5:$B$7,MATCH($N414,'参数'!$A$5:$A$7,0)),"")</x:f>
        <x:v>1</x:v>
      </x:c>
      <x:c r="Y414" s="4" t="n">
        <x:f>IFERROR(INDEX('参数'!$C$5:$C$7,MATCH($N414,'参数'!$A$5:$A$7,0)),"")</x:f>
        <x:v>1.2</x:v>
      </x:c>
      <x:c r="Z414" s="4" t="n">
        <x:f>IFERROR(INDEX('参数'!$D$5:$D$7,MATCH($N414,'参数'!$A$5:$A$7,0)),"")</x:f>
        <x:v>1</x:v>
      </x:c>
      <x:c r="AA414" s="4" t="n">
        <x:f>IFERROR(INDEX('楼层配置'!$E$5:$E$104,MATCH($K414,'楼层配置'!$B$5:$B$104,0)),1)</x:f>
        <x:v>1.1423769048009726</x:v>
      </x:c>
      <x:c r="AB414" s="4" t="n">
        <x:f>IFERROR(INDEX('楼层配置'!$F$5:$F$104,MATCH($K414,'楼层配置'!$B$5:$B$104,0)),1)</x:f>
        <x:v>0.7142610416976918</x:v>
      </x:c>
      <x:c r="AC414" s="4" t="n">
        <x:f>IFERROR(INDEX('楼层配置'!$G$5:$G$104,MATCH($K414,'楼层配置'!$B$5:$B$104,0)),1)</x:f>
        <x:v>1</x:v>
      </x:c>
      <x:c r="AD414" s="6" t="n">
        <x:f t="shared" si="45">IFERROR($D414/$G414-1,"")</x:f>
        <x:v>-0.46883341092206055</x:v>
      </x:c>
      <x:c r="AE414" s="6" t="n">
        <x:f t="shared" si="46">IFERROR($E414/$H414-1,"")</x:f>
        <x:v>-0.30609170916446105</x:v>
      </x:c>
      <x:c r="AF414" s="6" t="n">
        <x:f t="shared" si="47">IFERROR($F414/$I414-1,"")</x:f>
        <x:v>0.00627599243856336</x:v>
      </x:c>
      <x:c r="AG414" s="4" t="str">
        <x:f t="shared" si="48">IF(AND($A414&gt;=1,$L414&gt;=1,$L414&lt;=500,OR($N414="Tank",$N414="DPS",$N414="Support"),ISNUMBER($D414),ISNUMBER($E414),ISNUMBER($F414)),"有效","异常")</x:f>
        <x:v>有效</x:v>
      </x:c>
      <x:c r="AH414" t="n">
        <x:f>D414/(1-MIN(0.75,F414/(24000+F414)))</x:f>
        <x:v>3070493.1</x:v>
      </x:c>
    </x:row>
    <x:row r="415" ht="14.25" customHeight="1">
      <x:c r="A415" s="4">
        <x:v>411</x:v>
      </x:c>
      <x:c r="B415" s="4">
        <x:v>1004</x:v>
      </x:c>
      <x:c r="C415" s="4">
        <x:v>51</x:v>
      </x:c>
      <x:c r="D415" s="5" t="n">
        <x:f>IFERROR(ROUND($U415*$X415*$AA415*'参数'!$B$13,0),"")</x:f>
        <x:v>2202717</x:v>
      </x:c>
      <x:c r="E415" s="5" t="n">
        <x:f>IFERROR(ROUND($V415*$Y415*$AB415*'参数'!$C$13,0),"")</x:f>
        <x:v>27101</x:v>
      </x:c>
      <x:c r="F415" s="5" t="n">
        <x:f>IFERROR(ROUND($W415*$Z415*$AC415*'参数'!$D$13,0),"")</x:f>
        <x:v>40124</x:v>
      </x:c>
      <x:c r="G415" s="4">
        <x:v>4246250</x:v>
      </x:c>
      <x:c r="H415" s="4">
        <x:v>39733</x:v>
      </x:c>
      <x:c r="I415" s="4">
        <x:v>40324</x:v>
      </x:c>
      <x:c r="J415" s="4">
        <x:v>83</x:v>
      </x:c>
      <x:c r="K415" s="4">
        <x:v>83</x:v>
      </x:c>
      <x:c r="L415" s="4" t="n">
        <x:f>IFERROR(INDEX('楼层配置'!$D$5:$D$104,MATCH($K415,'楼层配置'!$B$5:$B$104,0)),"")</x:f>
        <x:v>259</x:v>
      </x:c>
      <x:c r="M415" s="4" t="str">
        <x:f>IFERROR(INDEX('_角色基线'!$B$2:$B$100,MATCH($B415,'_角色基线'!$A$2:$A$100,0)),"")</x:f>
        <x:v>阿芭</x:v>
      </x:c>
      <x:c r="N415" s="4" t="str">
        <x:f>IFERROR(INDEX('_角色基线'!$C$2:$C$100,MATCH($B415,'_角色基线'!$A$2:$A$100,0)),"")</x:f>
        <x:v>Tank</x:v>
      </x:c>
      <x:c r="O415" s="4" t="n">
        <x:f>IFERROR(INDEX('_怪物基线'!$B$2:$B$501,MATCH(INT($L415),'_怪物基线'!$A$2:$A$501,0)),"")</x:f>
        <x:v>321906</x:v>
      </x:c>
      <x:c r="P415" s="4" t="n">
        <x:f>IFERROR(INDEX('_怪物基线'!$C$2:$C$501,MATCH(INT($L415),'_怪物基线'!$A$2:$A$501,0)),"")</x:f>
        <x:v>31592</x:v>
      </x:c>
      <x:c r="Q415" s="4" t="n">
        <x:f>IFERROR(INDEX('_怪物基线'!$D$2:$D$501,MATCH(INT($L415),'_怪物基线'!$A$2:$A$501,0)),"")</x:f>
        <x:v>26749</x:v>
      </x:c>
      <x:c r="R415" s="4" t="n">
        <x:f>'参数'!$B$10</x:f>
        <x:v>4</x:v>
      </x:c>
      <x:c r="S415" s="4" t="n">
        <x:f>'参数'!$C$10</x:f>
        <x:v>1.2</x:v>
      </x:c>
      <x:c r="T415" s="4" t="n">
        <x:f>'参数'!$D$10</x:f>
        <x:v>1</x:v>
      </x:c>
      <x:c r="U415" s="4" t="n">
        <x:f t="shared" si="42">IF($O415="","",$O415*$R415)</x:f>
        <x:v>1287624</x:v>
      </x:c>
      <x:c r="V415" s="4" t="n">
        <x:f t="shared" si="43">IF($P415="","",$P415*$S415)</x:f>
        <x:v>37910.4</x:v>
      </x:c>
      <x:c r="W415" s="4" t="n">
        <x:f t="shared" si="44">IF($Q415="","",$Q415*$T415)</x:f>
        <x:v>26749</x:v>
      </x:c>
      <x:c r="X415" s="4" t="n">
        <x:f>IFERROR(INDEX('参数'!$B$5:$B$7,MATCH($N415,'参数'!$A$5:$A$7,0)),"")</x:f>
        <x:v>1.5</x:v>
      </x:c>
      <x:c r="Y415" s="4" t="n">
        <x:f>IFERROR(INDEX('参数'!$C$5:$C$7,MATCH($N415,'参数'!$A$5:$A$7,0)),"")</x:f>
        <x:v>1</x:v>
      </x:c>
      <x:c r="Z415" s="4" t="n">
        <x:f>IFERROR(INDEX('参数'!$D$5:$D$7,MATCH($N415,'参数'!$A$5:$A$7,0)),"")</x:f>
        <x:v>1.5</x:v>
      </x:c>
      <x:c r="AA415" s="4" t="n">
        <x:f>IFERROR(INDEX('楼层配置'!$E$5:$E$104,MATCH($K415,'楼层配置'!$B$5:$B$104,0)),1)</x:f>
        <x:v>1.1404555873260607</x:v>
      </x:c>
      <x:c r="AB415" s="4" t="n">
        <x:f>IFERROR(INDEX('楼层配置'!$F$5:$F$104,MATCH($K415,'楼层配置'!$B$5:$B$104,0)),1)</x:f>
        <x:v>0.7148750761683098</x:v>
      </x:c>
      <x:c r="AC415" s="4" t="n">
        <x:f>IFERROR(INDEX('楼层配置'!$G$5:$G$104,MATCH($K415,'楼层配置'!$B$5:$B$104,0)),1)</x:f>
        <x:v>1</x:v>
      </x:c>
      <x:c r="AD415" s="6" t="n">
        <x:f t="shared" si="45">IFERROR($D415/$G415-1,"")</x:f>
        <x:v>-0.48125593170444514</x:v>
      </x:c>
      <x:c r="AE415" s="6" t="n">
        <x:f t="shared" si="46">IFERROR($E415/$H415-1,"")</x:f>
        <x:v>-0.31792213021921323</x:v>
      </x:c>
      <x:c r="AF415" s="6" t="n">
        <x:f t="shared" si="47">IFERROR($F415/$I415-1,"")</x:f>
        <x:v>-0.0049598254141454134</x:v>
      </x:c>
      <x:c r="AG415" s="4" t="str">
        <x:f t="shared" si="48">IF(AND($A415&gt;=1,$L415&gt;=1,$L415&lt;=500,OR($N415="Tank",$N415="DPS",$N415="Support"),ISNUMBER($D415),ISNUMBER($E415),ISNUMBER($F415)),"有效","异常")</x:f>
        <x:v>有效</x:v>
      </x:c>
      <x:c r="AH415" t="n">
        <x:f>D415/(1-MIN(0.75,F415/(24000+F415)))</x:f>
        <x:v>5885292.704500001</x:v>
      </x:c>
    </x:row>
    <x:row r="416" ht="14.25" customHeight="1">
      <x:c r="A416" s="4">
        <x:v>412</x:v>
      </x:c>
      <x:c r="B416" s="4">
        <x:v>1017</x:v>
      </x:c>
      <x:c r="C416" s="4">
        <x:v>51</x:v>
      </x:c>
      <x:c r="D416" s="5" t="n">
        <x:f>IFERROR(ROUND($U416*$X416*$AA416*'参数'!$B$13,0),"")</x:f>
        <x:v>1468478</x:v>
      </x:c>
      <x:c r="E416" s="5" t="n">
        <x:f>IFERROR(ROUND($V416*$Y416*$AB416*'参数'!$C$13,0),"")</x:f>
        <x:v>32521</x:v>
      </x:c>
      <x:c r="F416" s="5" t="n">
        <x:f>IFERROR(ROUND($W416*$Z416*$AC416*'参数'!$D$13,0),"")</x:f>
        <x:v>26749</x:v>
      </x:c>
      <x:c r="G416" s="4">
        <x:v>2830833</x:v>
      </x:c>
      <x:c r="H416" s="4">
        <x:v>47679</x:v>
      </x:c>
      <x:c r="I416" s="4">
        <x:v>26883</x:v>
      </x:c>
      <x:c r="J416" s="4">
        <x:v>83</x:v>
      </x:c>
      <x:c r="K416" s="4">
        <x:v>83</x:v>
      </x:c>
      <x:c r="L416" s="4" t="n">
        <x:f>IFERROR(INDEX('楼层配置'!$D$5:$D$104,MATCH($K416,'楼层配置'!$B$5:$B$104,0)),"")</x:f>
        <x:v>259</x:v>
      </x:c>
      <x:c r="M416" s="4" t="str">
        <x:f>IFERROR(INDEX('_角色基线'!$B$2:$B$100,MATCH($B416,'_角色基线'!$A$2:$A$100,0)),"")</x:f>
        <x:v>伊戈尔</x:v>
      </x:c>
      <x:c r="N416" s="4" t="str">
        <x:f>IFERROR(INDEX('_角色基线'!$C$2:$C$100,MATCH($B416,'_角色基线'!$A$2:$A$100,0)),"")</x:f>
        <x:v>DPS</x:v>
      </x:c>
      <x:c r="O416" s="4" t="n">
        <x:f>IFERROR(INDEX('_怪物基线'!$B$2:$B$501,MATCH(INT($L416),'_怪物基线'!$A$2:$A$501,0)),"")</x:f>
        <x:v>321906</x:v>
      </x:c>
      <x:c r="P416" s="4" t="n">
        <x:f>IFERROR(INDEX('_怪物基线'!$C$2:$C$501,MATCH(INT($L416),'_怪物基线'!$A$2:$A$501,0)),"")</x:f>
        <x:v>31592</x:v>
      </x:c>
      <x:c r="Q416" s="4" t="n">
        <x:f>IFERROR(INDEX('_怪物基线'!$D$2:$D$501,MATCH(INT($L416),'_怪物基线'!$A$2:$A$501,0)),"")</x:f>
        <x:v>26749</x:v>
      </x:c>
      <x:c r="R416" s="4" t="n">
        <x:f>'参数'!$B$10</x:f>
        <x:v>4</x:v>
      </x:c>
      <x:c r="S416" s="4" t="n">
        <x:f>'参数'!$C$10</x:f>
        <x:v>1.2</x:v>
      </x:c>
      <x:c r="T416" s="4" t="n">
        <x:f>'参数'!$D$10</x:f>
        <x:v>1</x:v>
      </x:c>
      <x:c r="U416" s="4" t="n">
        <x:f t="shared" si="42">IF($O416="","",$O416*$R416)</x:f>
        <x:v>1287624</x:v>
      </x:c>
      <x:c r="V416" s="4" t="n">
        <x:f t="shared" si="43">IF($P416="","",$P416*$S416)</x:f>
        <x:v>37910.4</x:v>
      </x:c>
      <x:c r="W416" s="4" t="n">
        <x:f t="shared" si="44">IF($Q416="","",$Q416*$T416)</x:f>
        <x:v>26749</x:v>
      </x:c>
      <x:c r="X416" s="4" t="n">
        <x:f>IFERROR(INDEX('参数'!$B$5:$B$7,MATCH($N416,'参数'!$A$5:$A$7,0)),"")</x:f>
        <x:v>1</x:v>
      </x:c>
      <x:c r="Y416" s="4" t="n">
        <x:f>IFERROR(INDEX('参数'!$C$5:$C$7,MATCH($N416,'参数'!$A$5:$A$7,0)),"")</x:f>
        <x:v>1.2</x:v>
      </x:c>
      <x:c r="Z416" s="4" t="n">
        <x:f>IFERROR(INDEX('参数'!$D$5:$D$7,MATCH($N416,'参数'!$A$5:$A$7,0)),"")</x:f>
        <x:v>1</x:v>
      </x:c>
      <x:c r="AA416" s="4" t="n">
        <x:f>IFERROR(INDEX('楼层配置'!$E$5:$E$104,MATCH($K416,'楼层配置'!$B$5:$B$104,0)),1)</x:f>
        <x:v>1.1404555873260607</x:v>
      </x:c>
      <x:c r="AB416" s="4" t="n">
        <x:f>IFERROR(INDEX('楼层配置'!$F$5:$F$104,MATCH($K416,'楼层配置'!$B$5:$B$104,0)),1)</x:f>
        <x:v>0.7148750761683098</x:v>
      </x:c>
      <x:c r="AC416" s="4" t="n">
        <x:f>IFERROR(INDEX('楼层配置'!$G$5:$G$104,MATCH($K416,'楼层配置'!$B$5:$B$104,0)),1)</x:f>
        <x:v>1</x:v>
      </x:c>
      <x:c r="AD416" s="6" t="n">
        <x:f t="shared" si="45">IFERROR($D416/$G416-1,"")</x:f>
        <x:v>-0.4812558706218276</x:v>
      </x:c>
      <x:c r="AE416" s="6" t="n">
        <x:f t="shared" si="46">IFERROR($E416/$H416-1,"")</x:f>
        <x:v>-0.3179177415633717</x:v>
      </x:c>
      <x:c r="AF416" s="6" t="n">
        <x:f t="shared" si="47">IFERROR($F416/$I416-1,"")</x:f>
        <x:v>-0.004984562734813847</x:v>
      </x:c>
      <x:c r="AG416" s="4" t="str">
        <x:f t="shared" si="48">IF(AND($A416&gt;=1,$L416&gt;=1,$L416&lt;=500,OR($N416="Tank",$N416="DPS",$N416="Support"),ISNUMBER($D416),ISNUMBER($E416),ISNUMBER($F416)),"有效","异常")</x:f>
        <x:v>有效</x:v>
      </x:c>
      <x:c r="AH416" t="n">
        <x:f>D416/(1-MIN(0.75,F416/(24000+F416)))</x:f>
        <x:v>3105157.9175833333</x:v>
      </x:c>
    </x:row>
    <x:row r="417" ht="14.25" customHeight="1">
      <x:c r="A417" s="4">
        <x:v>413</x:v>
      </x:c>
      <x:c r="B417" s="4">
        <x:v>1008</x:v>
      </x:c>
      <x:c r="C417" s="4">
        <x:v>51</x:v>
      </x:c>
      <x:c r="D417" s="5" t="n">
        <x:f>IFERROR(ROUND($U417*$X417*$AA417*'参数'!$B$13,0),"")</x:f>
        <x:v>1468478</x:v>
      </x:c>
      <x:c r="E417" s="5" t="n">
        <x:f>IFERROR(ROUND($V417*$Y417*$AB417*'参数'!$C$13,0),"")</x:f>
        <x:v>32521</x:v>
      </x:c>
      <x:c r="F417" s="5" t="n">
        <x:f>IFERROR(ROUND($W417*$Z417*$AC417*'参数'!$D$13,0),"")</x:f>
        <x:v>26749</x:v>
      </x:c>
      <x:c r="G417" s="4">
        <x:v>2830833</x:v>
      </x:c>
      <x:c r="H417" s="4">
        <x:v>47679</x:v>
      </x:c>
      <x:c r="I417" s="4">
        <x:v>26883</x:v>
      </x:c>
      <x:c r="J417" s="4">
        <x:v>83</x:v>
      </x:c>
      <x:c r="K417" s="4">
        <x:v>83</x:v>
      </x:c>
      <x:c r="L417" s="4" t="n">
        <x:f>IFERROR(INDEX('楼层配置'!$D$5:$D$104,MATCH($K417,'楼层配置'!$B$5:$B$104,0)),"")</x:f>
        <x:v>259</x:v>
      </x:c>
      <x:c r="M417" s="4" t="str">
        <x:f>IFERROR(INDEX('_角色基线'!$B$2:$B$100,MATCH($B417,'_角色基线'!$A$2:$A$100,0)),"")</x:f>
        <x:v>薇</x:v>
      </x:c>
      <x:c r="N417" s="4" t="str">
        <x:f>IFERROR(INDEX('_角色基线'!$C$2:$C$100,MATCH($B417,'_角色基线'!$A$2:$A$100,0)),"")</x:f>
        <x:v>DPS</x:v>
      </x:c>
      <x:c r="O417" s="4" t="n">
        <x:f>IFERROR(INDEX('_怪物基线'!$B$2:$B$501,MATCH(INT($L417),'_怪物基线'!$A$2:$A$501,0)),"")</x:f>
        <x:v>321906</x:v>
      </x:c>
      <x:c r="P417" s="4" t="n">
        <x:f>IFERROR(INDEX('_怪物基线'!$C$2:$C$501,MATCH(INT($L417),'_怪物基线'!$A$2:$A$501,0)),"")</x:f>
        <x:v>31592</x:v>
      </x:c>
      <x:c r="Q417" s="4" t="n">
        <x:f>IFERROR(INDEX('_怪物基线'!$D$2:$D$501,MATCH(INT($L417),'_怪物基线'!$A$2:$A$501,0)),"")</x:f>
        <x:v>26749</x:v>
      </x:c>
      <x:c r="R417" s="4" t="n">
        <x:f>'参数'!$B$10</x:f>
        <x:v>4</x:v>
      </x:c>
      <x:c r="S417" s="4" t="n">
        <x:f>'参数'!$C$10</x:f>
        <x:v>1.2</x:v>
      </x:c>
      <x:c r="T417" s="4" t="n">
        <x:f>'参数'!$D$10</x:f>
        <x:v>1</x:v>
      </x:c>
      <x:c r="U417" s="4" t="n">
        <x:f t="shared" si="42">IF($O417="","",$O417*$R417)</x:f>
        <x:v>1287624</x:v>
      </x:c>
      <x:c r="V417" s="4" t="n">
        <x:f t="shared" si="43">IF($P417="","",$P417*$S417)</x:f>
        <x:v>37910.4</x:v>
      </x:c>
      <x:c r="W417" s="4" t="n">
        <x:f t="shared" si="44">IF($Q417="","",$Q417*$T417)</x:f>
        <x:v>26749</x:v>
      </x:c>
      <x:c r="X417" s="4" t="n">
        <x:f>IFERROR(INDEX('参数'!$B$5:$B$7,MATCH($N417,'参数'!$A$5:$A$7,0)),"")</x:f>
        <x:v>1</x:v>
      </x:c>
      <x:c r="Y417" s="4" t="n">
        <x:f>IFERROR(INDEX('参数'!$C$5:$C$7,MATCH($N417,'参数'!$A$5:$A$7,0)),"")</x:f>
        <x:v>1.2</x:v>
      </x:c>
      <x:c r="Z417" s="4" t="n">
        <x:f>IFERROR(INDEX('参数'!$D$5:$D$7,MATCH($N417,'参数'!$A$5:$A$7,0)),"")</x:f>
        <x:v>1</x:v>
      </x:c>
      <x:c r="AA417" s="4" t="n">
        <x:f>IFERROR(INDEX('楼层配置'!$E$5:$E$104,MATCH($K417,'楼层配置'!$B$5:$B$104,0)),1)</x:f>
        <x:v>1.1404555873260607</x:v>
      </x:c>
      <x:c r="AB417" s="4" t="n">
        <x:f>IFERROR(INDEX('楼层配置'!$F$5:$F$104,MATCH($K417,'楼层配置'!$B$5:$B$104,0)),1)</x:f>
        <x:v>0.7148750761683098</x:v>
      </x:c>
      <x:c r="AC417" s="4" t="n">
        <x:f>IFERROR(INDEX('楼层配置'!$G$5:$G$104,MATCH($K417,'楼层配置'!$B$5:$B$104,0)),1)</x:f>
        <x:v>1</x:v>
      </x:c>
      <x:c r="AD417" s="6" t="n">
        <x:f t="shared" si="45">IFERROR($D417/$G417-1,"")</x:f>
        <x:v>-0.4812558706218276</x:v>
      </x:c>
      <x:c r="AE417" s="6" t="n">
        <x:f t="shared" si="46">IFERROR($E417/$H417-1,"")</x:f>
        <x:v>-0.3179177415633717</x:v>
      </x:c>
      <x:c r="AF417" s="6" t="n">
        <x:f t="shared" si="47">IFERROR($F417/$I417-1,"")</x:f>
        <x:v>-0.004984562734813847</x:v>
      </x:c>
      <x:c r="AG417" s="4" t="str">
        <x:f t="shared" si="48">IF(AND($A417&gt;=1,$L417&gt;=1,$L417&lt;=500,OR($N417="Tank",$N417="DPS",$N417="Support"),ISNUMBER($D417),ISNUMBER($E417),ISNUMBER($F417)),"有效","异常")</x:f>
        <x:v>有效</x:v>
      </x:c>
      <x:c r="AH417" t="n">
        <x:f>D417/(1-MIN(0.75,F417/(24000+F417)))</x:f>
        <x:v>3105157.9175833333</x:v>
      </x:c>
    </x:row>
    <x:row r="418" ht="14.25" customHeight="1">
      <x:c r="A418" s="4">
        <x:v>414</x:v>
      </x:c>
      <x:c r="B418" s="4">
        <x:v>1011</x:v>
      </x:c>
      <x:c r="C418" s="4">
        <x:v>51</x:v>
      </x:c>
      <x:c r="D418" s="5" t="n">
        <x:f>IFERROR(ROUND($U418*$X418*$AA418*'参数'!$B$13,0),"")</x:f>
        <x:v>1835597</x:v>
      </x:c>
      <x:c r="E418" s="5" t="n">
        <x:f>IFERROR(ROUND($V418*$Y418*$AB418*'参数'!$C$13,0),"")</x:f>
        <x:v>27101</x:v>
      </x:c>
      <x:c r="F418" s="5" t="n">
        <x:f>IFERROR(ROUND($W418*$Z418*$AC418*'参数'!$D$13,0),"")</x:f>
        <x:v>33436</x:v>
      </x:c>
      <x:c r="G418" s="4">
        <x:v>3538542</x:v>
      </x:c>
      <x:c r="H418" s="4">
        <x:v>39733</x:v>
      </x:c>
      <x:c r="I418" s="4">
        <x:v>33604</x:v>
      </x:c>
      <x:c r="J418" s="4">
        <x:v>83</x:v>
      </x:c>
      <x:c r="K418" s="4">
        <x:v>83</x:v>
      </x:c>
      <x:c r="L418" s="4" t="n">
        <x:f>IFERROR(INDEX('楼层配置'!$D$5:$D$104,MATCH($K418,'楼层配置'!$B$5:$B$104,0)),"")</x:f>
        <x:v>259</x:v>
      </x:c>
      <x:c r="M418" s="4" t="str">
        <x:f>IFERROR(INDEX('_角色基线'!$B$2:$B$100,MATCH($B418,'_角色基线'!$A$2:$A$100,0)),"")</x:f>
        <x:v>陈双双</x:v>
      </x:c>
      <x:c r="N418" s="4" t="str">
        <x:f>IFERROR(INDEX('_角色基线'!$C$2:$C$100,MATCH($B418,'_角色基线'!$A$2:$A$100,0)),"")</x:f>
        <x:v>Support</x:v>
      </x:c>
      <x:c r="O418" s="4" t="n">
        <x:f>IFERROR(INDEX('_怪物基线'!$B$2:$B$501,MATCH(INT($L418),'_怪物基线'!$A$2:$A$501,0)),"")</x:f>
        <x:v>321906</x:v>
      </x:c>
      <x:c r="P418" s="4" t="n">
        <x:f>IFERROR(INDEX('_怪物基线'!$C$2:$C$501,MATCH(INT($L418),'_怪物基线'!$A$2:$A$501,0)),"")</x:f>
        <x:v>31592</x:v>
      </x:c>
      <x:c r="Q418" s="4" t="n">
        <x:f>IFERROR(INDEX('_怪物基线'!$D$2:$D$501,MATCH(INT($L418),'_怪物基线'!$A$2:$A$501,0)),"")</x:f>
        <x:v>26749</x:v>
      </x:c>
      <x:c r="R418" s="4" t="n">
        <x:f>'参数'!$B$10</x:f>
        <x:v>4</x:v>
      </x:c>
      <x:c r="S418" s="4" t="n">
        <x:f>'参数'!$C$10</x:f>
        <x:v>1.2</x:v>
      </x:c>
      <x:c r="T418" s="4" t="n">
        <x:f>'参数'!$D$10</x:f>
        <x:v>1</x:v>
      </x:c>
      <x:c r="U418" s="4" t="n">
        <x:f t="shared" si="42">IF($O418="","",$O418*$R418)</x:f>
        <x:v>1287624</x:v>
      </x:c>
      <x:c r="V418" s="4" t="n">
        <x:f t="shared" si="43">IF($P418="","",$P418*$S418)</x:f>
        <x:v>37910.4</x:v>
      </x:c>
      <x:c r="W418" s="4" t="n">
        <x:f t="shared" si="44">IF($Q418="","",$Q418*$T418)</x:f>
        <x:v>26749</x:v>
      </x:c>
      <x:c r="X418" s="4" t="n">
        <x:f>IFERROR(INDEX('参数'!$B$5:$B$7,MATCH($N418,'参数'!$A$5:$A$7,0)),"")</x:f>
        <x:v>1.25</x:v>
      </x:c>
      <x:c r="Y418" s="4" t="n">
        <x:f>IFERROR(INDEX('参数'!$C$5:$C$7,MATCH($N418,'参数'!$A$5:$A$7,0)),"")</x:f>
        <x:v>1</x:v>
      </x:c>
      <x:c r="Z418" s="4" t="n">
        <x:f>IFERROR(INDEX('参数'!$D$5:$D$7,MATCH($N418,'参数'!$A$5:$A$7,0)),"")</x:f>
        <x:v>1.25</x:v>
      </x:c>
      <x:c r="AA418" s="4" t="n">
        <x:f>IFERROR(INDEX('楼层配置'!$E$5:$E$104,MATCH($K418,'楼层配置'!$B$5:$B$104,0)),1)</x:f>
        <x:v>1.1404555873260607</x:v>
      </x:c>
      <x:c r="AB418" s="4" t="n">
        <x:f>IFERROR(INDEX('楼层配置'!$F$5:$F$104,MATCH($K418,'楼层配置'!$B$5:$B$104,0)),1)</x:f>
        <x:v>0.7148750761683098</x:v>
      </x:c>
      <x:c r="AC418" s="4" t="n">
        <x:f>IFERROR(INDEX('楼层配置'!$G$5:$G$104,MATCH($K418,'楼层配置'!$B$5:$B$104,0)),1)</x:f>
        <x:v>1</x:v>
      </x:c>
      <x:c r="AD418" s="6" t="n">
        <x:f t="shared" si="45">IFERROR($D418/$G418-1,"")</x:f>
        <x:v>-0.48125612187166356</x:v>
      </x:c>
      <x:c r="AE418" s="6" t="n">
        <x:f t="shared" si="46">IFERROR($E418/$H418-1,"")</x:f>
        <x:v>-0.31792213021921323</x:v>
      </x:c>
      <x:c r="AF418" s="6" t="n">
        <x:f t="shared" si="47">IFERROR($F418/$I418-1,"")</x:f>
        <x:v>-0.004999404832757959</x:v>
      </x:c>
      <x:c r="AG418" s="4" t="str">
        <x:f t="shared" si="48">IF(AND($A418&gt;=1,$L418&gt;=1,$L418&lt;=500,OR($N418="Tank",$N418="DPS",$N418="Support"),ISNUMBER($D418),ISNUMBER($E418),ISNUMBER($F418)),"有效","异常")</x:f>
        <x:v>有效</x:v>
      </x:c>
      <x:c r="AH418" t="n">
        <x:f>D418/(1-MIN(0.75,F418/(24000+F418)))</x:f>
        <x:v>4392889.553833333</x:v>
      </x:c>
    </x:row>
    <x:row r="419" ht="14.25" customHeight="1">
      <x:c r="A419" s="4">
        <x:v>415</x:v>
      </x:c>
      <x:c r="B419" s="4">
        <x:v>1006</x:v>
      </x:c>
      <x:c r="C419" s="4">
        <x:v>51</x:v>
      </x:c>
      <x:c r="D419" s="5" t="n">
        <x:f>IFERROR(ROUND($U419*$X419*$AA419*'参数'!$B$13,0),"")</x:f>
        <x:v>1468478</x:v>
      </x:c>
      <x:c r="E419" s="5" t="n">
        <x:f>IFERROR(ROUND($V419*$Y419*$AB419*'参数'!$C$13,0),"")</x:f>
        <x:v>32521</x:v>
      </x:c>
      <x:c r="F419" s="5" t="n">
        <x:f>IFERROR(ROUND($W419*$Z419*$AC419*'参数'!$D$13,0),"")</x:f>
        <x:v>26749</x:v>
      </x:c>
      <x:c r="G419" s="4">
        <x:v>2830833</x:v>
      </x:c>
      <x:c r="H419" s="4">
        <x:v>47679</x:v>
      </x:c>
      <x:c r="I419" s="4">
        <x:v>26883</x:v>
      </x:c>
      <x:c r="J419" s="4">
        <x:v>83</x:v>
      </x:c>
      <x:c r="K419" s="4">
        <x:v>83</x:v>
      </x:c>
      <x:c r="L419" s="4" t="n">
        <x:f>IFERROR(INDEX('楼层配置'!$D$5:$D$104,MATCH($K419,'楼层配置'!$B$5:$B$104,0)),"")</x:f>
        <x:v>259</x:v>
      </x:c>
      <x:c r="M419" s="4" t="str">
        <x:f>IFERROR(INDEX('_角色基线'!$B$2:$B$100,MATCH($B419,'_角色基线'!$A$2:$A$100,0)),"")</x:f>
        <x:v>莉莉娅</x:v>
      </x:c>
      <x:c r="N419" s="4" t="str">
        <x:f>IFERROR(INDEX('_角色基线'!$C$2:$C$100,MATCH($B419,'_角色基线'!$A$2:$A$100,0)),"")</x:f>
        <x:v>DPS</x:v>
      </x:c>
      <x:c r="O419" s="4" t="n">
        <x:f>IFERROR(INDEX('_怪物基线'!$B$2:$B$501,MATCH(INT($L419),'_怪物基线'!$A$2:$A$501,0)),"")</x:f>
        <x:v>321906</x:v>
      </x:c>
      <x:c r="P419" s="4" t="n">
        <x:f>IFERROR(INDEX('_怪物基线'!$C$2:$C$501,MATCH(INT($L419),'_怪物基线'!$A$2:$A$501,0)),"")</x:f>
        <x:v>31592</x:v>
      </x:c>
      <x:c r="Q419" s="4" t="n">
        <x:f>IFERROR(INDEX('_怪物基线'!$D$2:$D$501,MATCH(INT($L419),'_怪物基线'!$A$2:$A$501,0)),"")</x:f>
        <x:v>26749</x:v>
      </x:c>
      <x:c r="R419" s="4" t="n">
        <x:f>'参数'!$B$10</x:f>
        <x:v>4</x:v>
      </x:c>
      <x:c r="S419" s="4" t="n">
        <x:f>'参数'!$C$10</x:f>
        <x:v>1.2</x:v>
      </x:c>
      <x:c r="T419" s="4" t="n">
        <x:f>'参数'!$D$10</x:f>
        <x:v>1</x:v>
      </x:c>
      <x:c r="U419" s="4" t="n">
        <x:f t="shared" si="42">IF($O419="","",$O419*$R419)</x:f>
        <x:v>1287624</x:v>
      </x:c>
      <x:c r="V419" s="4" t="n">
        <x:f t="shared" si="43">IF($P419="","",$P419*$S419)</x:f>
        <x:v>37910.4</x:v>
      </x:c>
      <x:c r="W419" s="4" t="n">
        <x:f t="shared" si="44">IF($Q419="","",$Q419*$T419)</x:f>
        <x:v>26749</x:v>
      </x:c>
      <x:c r="X419" s="4" t="n">
        <x:f>IFERROR(INDEX('参数'!$B$5:$B$7,MATCH($N419,'参数'!$A$5:$A$7,0)),"")</x:f>
        <x:v>1</x:v>
      </x:c>
      <x:c r="Y419" s="4" t="n">
        <x:f>IFERROR(INDEX('参数'!$C$5:$C$7,MATCH($N419,'参数'!$A$5:$A$7,0)),"")</x:f>
        <x:v>1.2</x:v>
      </x:c>
      <x:c r="Z419" s="4" t="n">
        <x:f>IFERROR(INDEX('参数'!$D$5:$D$7,MATCH($N419,'参数'!$A$5:$A$7,0)),"")</x:f>
        <x:v>1</x:v>
      </x:c>
      <x:c r="AA419" s="4" t="n">
        <x:f>IFERROR(INDEX('楼层配置'!$E$5:$E$104,MATCH($K419,'楼层配置'!$B$5:$B$104,0)),1)</x:f>
        <x:v>1.1404555873260607</x:v>
      </x:c>
      <x:c r="AB419" s="4" t="n">
        <x:f>IFERROR(INDEX('楼层配置'!$F$5:$F$104,MATCH($K419,'楼层配置'!$B$5:$B$104,0)),1)</x:f>
        <x:v>0.7148750761683098</x:v>
      </x:c>
      <x:c r="AC419" s="4" t="n">
        <x:f>IFERROR(INDEX('楼层配置'!$G$5:$G$104,MATCH($K419,'楼层配置'!$B$5:$B$104,0)),1)</x:f>
        <x:v>1</x:v>
      </x:c>
      <x:c r="AD419" s="6" t="n">
        <x:f t="shared" si="45">IFERROR($D419/$G419-1,"")</x:f>
        <x:v>-0.4812558706218276</x:v>
      </x:c>
      <x:c r="AE419" s="6" t="n">
        <x:f t="shared" si="46">IFERROR($E419/$H419-1,"")</x:f>
        <x:v>-0.3179177415633717</x:v>
      </x:c>
      <x:c r="AF419" s="6" t="n">
        <x:f t="shared" si="47">IFERROR($F419/$I419-1,"")</x:f>
        <x:v>-0.004984562734813847</x:v>
      </x:c>
      <x:c r="AG419" s="4" t="str">
        <x:f t="shared" si="48">IF(AND($A419&gt;=1,$L419&gt;=1,$L419&lt;=500,OR($N419="Tank",$N419="DPS",$N419="Support"),ISNUMBER($D419),ISNUMBER($E419),ISNUMBER($F419)),"有效","异常")</x:f>
        <x:v>有效</x:v>
      </x:c>
      <x:c r="AH419" t="n">
        <x:f>D419/(1-MIN(0.75,F419/(24000+F419)))</x:f>
        <x:v>3105157.9175833333</x:v>
      </x:c>
    </x:row>
    <x:row r="420" ht="14.25" customHeight="1">
      <x:c r="A420" s="4">
        <x:v>416</x:v>
      </x:c>
      <x:c r="B420" s="4">
        <x:v>1003</x:v>
      </x:c>
      <x:c r="C420" s="4">
        <x:v>52</x:v>
      </x:c>
      <x:c r="D420" s="5" t="n">
        <x:f>IFERROR(ROUND($U420*$X420*$AA420*'参数'!$B$13,0),"")</x:f>
        <x:v>2222466</x:v>
      </x:c>
      <x:c r="E420" s="5" t="n">
        <x:f>IFERROR(ROUND($V420*$Y420*$AB420*'参数'!$C$13,0),"")</x:f>
        <x:v>27339</x:v>
      </x:c>
      <x:c r="F420" s="5" t="n">
        <x:f>IFERROR(ROUND($W420*$Z420*$AC420*'参数'!$D$13,0),"")</x:f>
        <x:v>40322</x:v>
      </x:c>
      <x:c r="G420" s="4">
        <x:v>4384360</x:v>
      </x:c>
      <x:c r="H420" s="4">
        <x:v>40762</x:v>
      </x:c>
      <x:c r="I420" s="4">
        <x:v>40977</x:v>
      </x:c>
      <x:c r="J420" s="4">
        <x:v>84</x:v>
      </x:c>
      <x:c r="K420" s="4">
        <x:v>84</x:v>
      </x:c>
      <x:c r="L420" s="4" t="n">
        <x:f>IFERROR(INDEX('楼层配置'!$D$5:$D$104,MATCH($K420,'楼层配置'!$B$5:$B$104,0)),"")</x:f>
        <x:v>260</x:v>
      </x:c>
      <x:c r="M420" s="4" t="str">
        <x:f>IFERROR(INDEX('_角色基线'!$B$2:$B$100,MATCH($B420,'_角色基线'!$A$2:$A$100,0)),"")</x:f>
        <x:v>塔拉夏</x:v>
      </x:c>
      <x:c r="N420" s="4" t="str">
        <x:f>IFERROR(INDEX('_角色基线'!$C$2:$C$100,MATCH($B420,'_角色基线'!$A$2:$A$100,0)),"")</x:f>
        <x:v>Tank</x:v>
      </x:c>
      <x:c r="O420" s="4" t="n">
        <x:f>IFERROR(INDEX('_怪物基线'!$B$2:$B$501,MATCH(INT($L420),'_怪物基线'!$A$2:$A$501,0)),"")</x:f>
        <x:v>325226</x:v>
      </x:c>
      <x:c r="P420" s="4" t="n">
        <x:f>IFERROR(INDEX('_怪物基线'!$C$2:$C$501,MATCH(INT($L420),'_怪物基线'!$A$2:$A$501,0)),"")</x:f>
        <x:v>31834</x:v>
      </x:c>
      <x:c r="Q420" s="4" t="n">
        <x:f>IFERROR(INDEX('_怪物基线'!$D$2:$D$501,MATCH(INT($L420),'_怪物基线'!$A$2:$A$501,0)),"")</x:f>
        <x:v>26881</x:v>
      </x:c>
      <x:c r="R420" s="4" t="n">
        <x:f>'参数'!$B$10</x:f>
        <x:v>4</x:v>
      </x:c>
      <x:c r="S420" s="4" t="n">
        <x:f>'参数'!$C$10</x:f>
        <x:v>1.2</x:v>
      </x:c>
      <x:c r="T420" s="4" t="n">
        <x:f>'参数'!$D$10</x:f>
        <x:v>1</x:v>
      </x:c>
      <x:c r="U420" s="4" t="n">
        <x:f t="shared" si="42">IF($O420="","",$O420*$R420)</x:f>
        <x:v>1300904</x:v>
      </x:c>
      <x:c r="V420" s="4" t="n">
        <x:f t="shared" si="43">IF($P420="","",$P420*$S420)</x:f>
        <x:v>38200.799999999996</x:v>
      </x:c>
      <x:c r="W420" s="4" t="n">
        <x:f t="shared" si="44">IF($Q420="","",$Q420*$T420)</x:f>
        <x:v>26881</x:v>
      </x:c>
      <x:c r="X420" s="4" t="n">
        <x:f>IFERROR(INDEX('参数'!$B$5:$B$7,MATCH($N420,'参数'!$A$5:$A$7,0)),"")</x:f>
        <x:v>1.5</x:v>
      </x:c>
      <x:c r="Y420" s="4" t="n">
        <x:f>IFERROR(INDEX('参数'!$C$5:$C$7,MATCH($N420,'参数'!$A$5:$A$7,0)),"")</x:f>
        <x:v>1</x:v>
      </x:c>
      <x:c r="Z420" s="4" t="n">
        <x:f>IFERROR(INDEX('参数'!$D$5:$D$7,MATCH($N420,'参数'!$A$5:$A$7,0)),"")</x:f>
        <x:v>1.5</x:v>
      </x:c>
      <x:c r="AA420" s="4" t="n">
        <x:f>IFERROR(INDEX('楼层配置'!$E$5:$E$104,MATCH($K420,'楼层配置'!$B$5:$B$104,0)),1)</x:f>
        <x:v>1.1389343860164145</x:v>
      </x:c>
      <x:c r="AB420" s="4" t="n">
        <x:f>IFERROR(INDEX('楼层配置'!$F$5:$F$104,MATCH($K420,'楼层配置'!$B$5:$B$104,0)),1)</x:f>
        <x:v>0.7156532125654029</x:v>
      </x:c>
      <x:c r="AC420" s="4" t="n">
        <x:f>IFERROR(INDEX('楼层配置'!$G$5:$G$104,MATCH($K420,'楼层配置'!$B$5:$B$104,0)),1)</x:f>
        <x:v>1</x:v>
      </x:c>
      <x:c r="AD420" s="6" t="n">
        <x:f t="shared" si="45">IFERROR($D420/$G420-1,"")</x:f>
        <x:v>-0.49309226432136044</x:v>
      </x:c>
      <x:c r="AE420" s="6" t="n">
        <x:f t="shared" si="46">IFERROR($E420/$H420-1,"")</x:f>
        <x:v>-0.3293018006967273</x:v>
      </x:c>
      <x:c r="AF420" s="6" t="n">
        <x:f t="shared" si="47">IFERROR($F420/$I420-1,"")</x:f>
        <x:v>-0.015984576713766296</x:v>
      </x:c>
      <x:c r="AG420" s="4" t="str">
        <x:f t="shared" si="48">IF(AND($A420&gt;=1,$L420&gt;=1,$L420&lt;=500,OR($N420="Tank",$N420="DPS",$N420="Support"),ISNUMBER($D420),ISNUMBER($E420),ISNUMBER($F420)),"有效","异常")</x:f>
        <x:v>有效</x:v>
      </x:c>
      <x:c r="AH420" t="n">
        <x:f>D420/(1-MIN(0.75,F420/(24000+F420)))</x:f>
        <x:v>5956394.0855</x:v>
      </x:c>
    </x:row>
    <x:row r="421" ht="14.25" customHeight="1">
      <x:c r="A421" s="4">
        <x:v>417</x:v>
      </x:c>
      <x:c r="B421" s="4">
        <x:v>1008</x:v>
      </x:c>
      <x:c r="C421" s="4">
        <x:v>52</x:v>
      </x:c>
      <x:c r="D421" s="5" t="n">
        <x:f>IFERROR(ROUND($U421*$X421*$AA421*'参数'!$B$13,0),"")</x:f>
        <x:v>1481644</x:v>
      </x:c>
      <x:c r="E421" s="5" t="n">
        <x:f>IFERROR(ROUND($V421*$Y421*$AB421*'参数'!$C$13,0),"")</x:f>
        <x:v>32806</x:v>
      </x:c>
      <x:c r="F421" s="5" t="n">
        <x:f>IFERROR(ROUND($W421*$Z421*$AC421*'参数'!$D$13,0),"")</x:f>
        <x:v>26881</x:v>
      </x:c>
      <x:c r="G421" s="4">
        <x:v>2922907</x:v>
      </x:c>
      <x:c r="H421" s="4">
        <x:v>48914</x:v>
      </x:c>
      <x:c r="I421" s="4">
        <x:v>27318</x:v>
      </x:c>
      <x:c r="J421" s="4">
        <x:v>84</x:v>
      </x:c>
      <x:c r="K421" s="4">
        <x:v>84</x:v>
      </x:c>
      <x:c r="L421" s="4" t="n">
        <x:f>IFERROR(INDEX('楼层配置'!$D$5:$D$104,MATCH($K421,'楼层配置'!$B$5:$B$104,0)),"")</x:f>
        <x:v>260</x:v>
      </x:c>
      <x:c r="M421" s="4" t="str">
        <x:f>IFERROR(INDEX('_角色基线'!$B$2:$B$100,MATCH($B421,'_角色基线'!$A$2:$A$100,0)),"")</x:f>
        <x:v>薇</x:v>
      </x:c>
      <x:c r="N421" s="4" t="str">
        <x:f>IFERROR(INDEX('_角色基线'!$C$2:$C$100,MATCH($B421,'_角色基线'!$A$2:$A$100,0)),"")</x:f>
        <x:v>DPS</x:v>
      </x:c>
      <x:c r="O421" s="4" t="n">
        <x:f>IFERROR(INDEX('_怪物基线'!$B$2:$B$501,MATCH(INT($L421),'_怪物基线'!$A$2:$A$501,0)),"")</x:f>
        <x:v>325226</x:v>
      </x:c>
      <x:c r="P421" s="4" t="n">
        <x:f>IFERROR(INDEX('_怪物基线'!$C$2:$C$501,MATCH(INT($L421),'_怪物基线'!$A$2:$A$501,0)),"")</x:f>
        <x:v>31834</x:v>
      </x:c>
      <x:c r="Q421" s="4" t="n">
        <x:f>IFERROR(INDEX('_怪物基线'!$D$2:$D$501,MATCH(INT($L421),'_怪物基线'!$A$2:$A$501,0)),"")</x:f>
        <x:v>26881</x:v>
      </x:c>
      <x:c r="R421" s="4" t="n">
        <x:f>'参数'!$B$10</x:f>
        <x:v>4</x:v>
      </x:c>
      <x:c r="S421" s="4" t="n">
        <x:f>'参数'!$C$10</x:f>
        <x:v>1.2</x:v>
      </x:c>
      <x:c r="T421" s="4" t="n">
        <x:f>'参数'!$D$10</x:f>
        <x:v>1</x:v>
      </x:c>
      <x:c r="U421" s="4" t="n">
        <x:f t="shared" si="42">IF($O421="","",$O421*$R421)</x:f>
        <x:v>1300904</x:v>
      </x:c>
      <x:c r="V421" s="4" t="n">
        <x:f t="shared" si="43">IF($P421="","",$P421*$S421)</x:f>
        <x:v>38200.799999999996</x:v>
      </x:c>
      <x:c r="W421" s="4" t="n">
        <x:f t="shared" si="44">IF($Q421="","",$Q421*$T421)</x:f>
        <x:v>26881</x:v>
      </x:c>
      <x:c r="X421" s="4" t="n">
        <x:f>IFERROR(INDEX('参数'!$B$5:$B$7,MATCH($N421,'参数'!$A$5:$A$7,0)),"")</x:f>
        <x:v>1</x:v>
      </x:c>
      <x:c r="Y421" s="4" t="n">
        <x:f>IFERROR(INDEX('参数'!$C$5:$C$7,MATCH($N421,'参数'!$A$5:$A$7,0)),"")</x:f>
        <x:v>1.2</x:v>
      </x:c>
      <x:c r="Z421" s="4" t="n">
        <x:f>IFERROR(INDEX('参数'!$D$5:$D$7,MATCH($N421,'参数'!$A$5:$A$7,0)),"")</x:f>
        <x:v>1</x:v>
      </x:c>
      <x:c r="AA421" s="4" t="n">
        <x:f>IFERROR(INDEX('楼层配置'!$E$5:$E$104,MATCH($K421,'楼层配置'!$B$5:$B$104,0)),1)</x:f>
        <x:v>1.1389343860164145</x:v>
      </x:c>
      <x:c r="AB421" s="4" t="n">
        <x:f>IFERROR(INDEX('楼层配置'!$F$5:$F$104,MATCH($K421,'楼层配置'!$B$5:$B$104,0)),1)</x:f>
        <x:v>0.7156532125654029</x:v>
      </x:c>
      <x:c r="AC421" s="4" t="n">
        <x:f>IFERROR(INDEX('楼层配置'!$G$5:$G$104,MATCH($K421,'楼层配置'!$B$5:$B$104,0)),1)</x:f>
        <x:v>1</x:v>
      </x:c>
      <x:c r="AD421" s="6" t="n">
        <x:f t="shared" si="45">IFERROR($D421/$G421-1,"")</x:f>
        <x:v>-0.4930923221299891</x:v>
      </x:c>
      <x:c r="AE421" s="6" t="n">
        <x:f t="shared" si="46">IFERROR($E421/$H421-1,"")</x:f>
        <x:v>-0.329312671218874</x:v>
      </x:c>
      <x:c r="AF421" s="6" t="n">
        <x:f t="shared" si="47">IFERROR($F421/$I421-1,"")</x:f>
        <x:v>-0.015996778680723356</x:v>
      </x:c>
      <x:c r="AG421" s="4" t="str">
        <x:f t="shared" si="48">IF(AND($A421&gt;=1,$L421&gt;=1,$L421&lt;=500,OR($N421="Tank",$N421="DPS",$N421="Support"),ISNUMBER($D421),ISNUMBER($E421),ISNUMBER($F421)),"有效","异常")</x:f>
        <x:v>有效</x:v>
      </x:c>
      <x:c r="AH421" t="n">
        <x:f>D421/(1-MIN(0.75,F421/(24000+F421)))</x:f>
        <x:v>3141147.0151666664</x:v>
      </x:c>
    </x:row>
    <x:row r="422" ht="14.25" customHeight="1">
      <x:c r="A422" s="4">
        <x:v>418</x:v>
      </x:c>
      <x:c r="B422" s="4">
        <x:v>1008</x:v>
      </x:c>
      <x:c r="C422" s="4">
        <x:v>52</x:v>
      </x:c>
      <x:c r="D422" s="5" t="n">
        <x:f>IFERROR(ROUND($U422*$X422*$AA422*'参数'!$B$13,0),"")</x:f>
        <x:v>1481644</x:v>
      </x:c>
      <x:c r="E422" s="5" t="n">
        <x:f>IFERROR(ROUND($V422*$Y422*$AB422*'参数'!$C$13,0),"")</x:f>
        <x:v>32806</x:v>
      </x:c>
      <x:c r="F422" s="5" t="n">
        <x:f>IFERROR(ROUND($W422*$Z422*$AC422*'参数'!$D$13,0),"")</x:f>
        <x:v>26881</x:v>
      </x:c>
      <x:c r="G422" s="4">
        <x:v>2922907</x:v>
      </x:c>
      <x:c r="H422" s="4">
        <x:v>48914</x:v>
      </x:c>
      <x:c r="I422" s="4">
        <x:v>27318</x:v>
      </x:c>
      <x:c r="J422" s="4">
        <x:v>84</x:v>
      </x:c>
      <x:c r="K422" s="4">
        <x:v>84</x:v>
      </x:c>
      <x:c r="L422" s="4" t="n">
        <x:f>IFERROR(INDEX('楼层配置'!$D$5:$D$104,MATCH($K422,'楼层配置'!$B$5:$B$104,0)),"")</x:f>
        <x:v>260</x:v>
      </x:c>
      <x:c r="M422" s="4" t="str">
        <x:f>IFERROR(INDEX('_角色基线'!$B$2:$B$100,MATCH($B422,'_角色基线'!$A$2:$A$100,0)),"")</x:f>
        <x:v>薇</x:v>
      </x:c>
      <x:c r="N422" s="4" t="str">
        <x:f>IFERROR(INDEX('_角色基线'!$C$2:$C$100,MATCH($B422,'_角色基线'!$A$2:$A$100,0)),"")</x:f>
        <x:v>DPS</x:v>
      </x:c>
      <x:c r="O422" s="4" t="n">
        <x:f>IFERROR(INDEX('_怪物基线'!$B$2:$B$501,MATCH(INT($L422),'_怪物基线'!$A$2:$A$501,0)),"")</x:f>
        <x:v>325226</x:v>
      </x:c>
      <x:c r="P422" s="4" t="n">
        <x:f>IFERROR(INDEX('_怪物基线'!$C$2:$C$501,MATCH(INT($L422),'_怪物基线'!$A$2:$A$501,0)),"")</x:f>
        <x:v>31834</x:v>
      </x:c>
      <x:c r="Q422" s="4" t="n">
        <x:f>IFERROR(INDEX('_怪物基线'!$D$2:$D$501,MATCH(INT($L422),'_怪物基线'!$A$2:$A$501,0)),"")</x:f>
        <x:v>26881</x:v>
      </x:c>
      <x:c r="R422" s="4" t="n">
        <x:f>'参数'!$B$10</x:f>
        <x:v>4</x:v>
      </x:c>
      <x:c r="S422" s="4" t="n">
        <x:f>'参数'!$C$10</x:f>
        <x:v>1.2</x:v>
      </x:c>
      <x:c r="T422" s="4" t="n">
        <x:f>'参数'!$D$10</x:f>
        <x:v>1</x:v>
      </x:c>
      <x:c r="U422" s="4" t="n">
        <x:f t="shared" si="42">IF($O422="","",$O422*$R422)</x:f>
        <x:v>1300904</x:v>
      </x:c>
      <x:c r="V422" s="4" t="n">
        <x:f t="shared" si="43">IF($P422="","",$P422*$S422)</x:f>
        <x:v>38200.799999999996</x:v>
      </x:c>
      <x:c r="W422" s="4" t="n">
        <x:f t="shared" si="44">IF($Q422="","",$Q422*$T422)</x:f>
        <x:v>26881</x:v>
      </x:c>
      <x:c r="X422" s="4" t="n">
        <x:f>IFERROR(INDEX('参数'!$B$5:$B$7,MATCH($N422,'参数'!$A$5:$A$7,0)),"")</x:f>
        <x:v>1</x:v>
      </x:c>
      <x:c r="Y422" s="4" t="n">
        <x:f>IFERROR(INDEX('参数'!$C$5:$C$7,MATCH($N422,'参数'!$A$5:$A$7,0)),"")</x:f>
        <x:v>1.2</x:v>
      </x:c>
      <x:c r="Z422" s="4" t="n">
        <x:f>IFERROR(INDEX('参数'!$D$5:$D$7,MATCH($N422,'参数'!$A$5:$A$7,0)),"")</x:f>
        <x:v>1</x:v>
      </x:c>
      <x:c r="AA422" s="4" t="n">
        <x:f>IFERROR(INDEX('楼层配置'!$E$5:$E$104,MATCH($K422,'楼层配置'!$B$5:$B$104,0)),1)</x:f>
        <x:v>1.1389343860164145</x:v>
      </x:c>
      <x:c r="AB422" s="4" t="n">
        <x:f>IFERROR(INDEX('楼层配置'!$F$5:$F$104,MATCH($K422,'楼层配置'!$B$5:$B$104,0)),1)</x:f>
        <x:v>0.7156532125654029</x:v>
      </x:c>
      <x:c r="AC422" s="4" t="n">
        <x:f>IFERROR(INDEX('楼层配置'!$G$5:$G$104,MATCH($K422,'楼层配置'!$B$5:$B$104,0)),1)</x:f>
        <x:v>1</x:v>
      </x:c>
      <x:c r="AD422" s="6" t="n">
        <x:f t="shared" si="45">IFERROR($D422/$G422-1,"")</x:f>
        <x:v>-0.4930923221299891</x:v>
      </x:c>
      <x:c r="AE422" s="6" t="n">
        <x:f t="shared" si="46">IFERROR($E422/$H422-1,"")</x:f>
        <x:v>-0.329312671218874</x:v>
      </x:c>
      <x:c r="AF422" s="6" t="n">
        <x:f t="shared" si="47">IFERROR($F422/$I422-1,"")</x:f>
        <x:v>-0.015996778680723356</x:v>
      </x:c>
      <x:c r="AG422" s="4" t="str">
        <x:f t="shared" si="48">IF(AND($A422&gt;=1,$L422&gt;=1,$L422&lt;=500,OR($N422="Tank",$N422="DPS",$N422="Support"),ISNUMBER($D422),ISNUMBER($E422),ISNUMBER($F422)),"有效","异常")</x:f>
        <x:v>有效</x:v>
      </x:c>
      <x:c r="AH422" t="n">
        <x:f>D422/(1-MIN(0.75,F422/(24000+F422)))</x:f>
        <x:v>3141147.0151666664</x:v>
      </x:c>
    </x:row>
    <x:row r="423" ht="14.25" customHeight="1">
      <x:c r="A423" s="4">
        <x:v>419</x:v>
      </x:c>
      <x:c r="B423" s="4">
        <x:v>1007</x:v>
      </x:c>
      <x:c r="C423" s="4">
        <x:v>52</x:v>
      </x:c>
      <x:c r="D423" s="5" t="n">
        <x:f>IFERROR(ROUND($U423*$X423*$AA423*'参数'!$B$13,0),"")</x:f>
        <x:v>1852055</x:v>
      </x:c>
      <x:c r="E423" s="5" t="n">
        <x:f>IFERROR(ROUND($V423*$Y423*$AB423*'参数'!$C$13,0),"")</x:f>
        <x:v>27339</x:v>
      </x:c>
      <x:c r="F423" s="5" t="n">
        <x:f>IFERROR(ROUND($W423*$Z423*$AC423*'参数'!$D$13,0),"")</x:f>
        <x:v>33601</x:v>
      </x:c>
      <x:c r="G423" s="4">
        <x:v>3653634</x:v>
      </x:c>
      <x:c r="H423" s="4">
        <x:v>40762</x:v>
      </x:c>
      <x:c r="I423" s="4">
        <x:v>34148</x:v>
      </x:c>
      <x:c r="J423" s="4">
        <x:v>84</x:v>
      </x:c>
      <x:c r="K423" s="4">
        <x:v>84</x:v>
      </x:c>
      <x:c r="L423" s="4" t="n">
        <x:f>IFERROR(INDEX('楼层配置'!$D$5:$D$104,MATCH($K423,'楼层配置'!$B$5:$B$104,0)),"")</x:f>
        <x:v>260</x:v>
      </x:c>
      <x:c r="M423" s="4" t="str">
        <x:f>IFERROR(INDEX('_角色基线'!$B$2:$B$100,MATCH($B423,'_角色基线'!$A$2:$A$100,0)),"")</x:f>
        <x:v>萨萨莉安</x:v>
      </x:c>
      <x:c r="N423" s="4" t="str">
        <x:f>IFERROR(INDEX('_角色基线'!$C$2:$C$100,MATCH($B423,'_角色基线'!$A$2:$A$100,0)),"")</x:f>
        <x:v>Support</x:v>
      </x:c>
      <x:c r="O423" s="4" t="n">
        <x:f>IFERROR(INDEX('_怪物基线'!$B$2:$B$501,MATCH(INT($L423),'_怪物基线'!$A$2:$A$501,0)),"")</x:f>
        <x:v>325226</x:v>
      </x:c>
      <x:c r="P423" s="4" t="n">
        <x:f>IFERROR(INDEX('_怪物基线'!$C$2:$C$501,MATCH(INT($L423),'_怪物基线'!$A$2:$A$501,0)),"")</x:f>
        <x:v>31834</x:v>
      </x:c>
      <x:c r="Q423" s="4" t="n">
        <x:f>IFERROR(INDEX('_怪物基线'!$D$2:$D$501,MATCH(INT($L423),'_怪物基线'!$A$2:$A$501,0)),"")</x:f>
        <x:v>26881</x:v>
      </x:c>
      <x:c r="R423" s="4" t="n">
        <x:f>'参数'!$B$10</x:f>
        <x:v>4</x:v>
      </x:c>
      <x:c r="S423" s="4" t="n">
        <x:f>'参数'!$C$10</x:f>
        <x:v>1.2</x:v>
      </x:c>
      <x:c r="T423" s="4" t="n">
        <x:f>'参数'!$D$10</x:f>
        <x:v>1</x:v>
      </x:c>
      <x:c r="U423" s="4" t="n">
        <x:f t="shared" si="42">IF($O423="","",$O423*$R423)</x:f>
        <x:v>1300904</x:v>
      </x:c>
      <x:c r="V423" s="4" t="n">
        <x:f t="shared" si="43">IF($P423="","",$P423*$S423)</x:f>
        <x:v>38200.799999999996</x:v>
      </x:c>
      <x:c r="W423" s="4" t="n">
        <x:f t="shared" si="44">IF($Q423="","",$Q423*$T423)</x:f>
        <x:v>26881</x:v>
      </x:c>
      <x:c r="X423" s="4" t="n">
        <x:f>IFERROR(INDEX('参数'!$B$5:$B$7,MATCH($N423,'参数'!$A$5:$A$7,0)),"")</x:f>
        <x:v>1.25</x:v>
      </x:c>
      <x:c r="Y423" s="4" t="n">
        <x:f>IFERROR(INDEX('参数'!$C$5:$C$7,MATCH($N423,'参数'!$A$5:$A$7,0)),"")</x:f>
        <x:v>1</x:v>
      </x:c>
      <x:c r="Z423" s="4" t="n">
        <x:f>IFERROR(INDEX('参数'!$D$5:$D$7,MATCH($N423,'参数'!$A$5:$A$7,0)),"")</x:f>
        <x:v>1.25</x:v>
      </x:c>
      <x:c r="AA423" s="4" t="n">
        <x:f>IFERROR(INDEX('楼层配置'!$E$5:$E$104,MATCH($K423,'楼层配置'!$B$5:$B$104,0)),1)</x:f>
        <x:v>1.1389343860164145</x:v>
      </x:c>
      <x:c r="AB423" s="4" t="n">
        <x:f>IFERROR(INDEX('楼层配置'!$F$5:$F$104,MATCH($K423,'楼层配置'!$B$5:$B$104,0)),1)</x:f>
        <x:v>0.7156532125654029</x:v>
      </x:c>
      <x:c r="AC423" s="4" t="n">
        <x:f>IFERROR(INDEX('楼层配置'!$G$5:$G$104,MATCH($K423,'楼层配置'!$B$5:$B$104,0)),1)</x:f>
        <x:v>1</x:v>
      </x:c>
      <x:c r="AD423" s="6" t="n">
        <x:f t="shared" si="45">IFERROR($D423/$G423-1,"")</x:f>
        <x:v>-0.49309235681515995</x:v>
      </x:c>
      <x:c r="AE423" s="6" t="n">
        <x:f t="shared" si="46">IFERROR($E423/$H423-1,"")</x:f>
        <x:v>-0.3293018006967273</x:v>
      </x:c>
      <x:c r="AF423" s="6" t="n">
        <x:f t="shared" si="47">IFERROR($F423/$I423-1,"")</x:f>
        <x:v>-0.016018507672484472</x:v>
      </x:c>
      <x:c r="AG423" s="4" t="str">
        <x:f t="shared" si="48">IF(AND($A423&gt;=1,$L423&gt;=1,$L423&lt;=500,OR($N423="Tank",$N423="DPS",$N423="Support"),ISNUMBER($D423),ISNUMBER($E423),ISNUMBER($F423)),"有效","异常")</x:f>
        <x:v>有效</x:v>
      </x:c>
      <x:c r="AH423" t="n">
        <x:f>D423/(1-MIN(0.75,F423/(24000+F423)))</x:f>
        <x:v>4445009.168958332</x:v>
      </x:c>
    </x:row>
    <x:row r="424" ht="14.25" customHeight="1">
      <x:c r="A424" s="4">
        <x:v>420</x:v>
      </x:c>
      <x:c r="B424" s="4">
        <x:v>1017</x:v>
      </x:c>
      <x:c r="C424" s="4">
        <x:v>52</x:v>
      </x:c>
      <x:c r="D424" s="5" t="n">
        <x:f>IFERROR(ROUND($U424*$X424*$AA424*'参数'!$B$13,0),"")</x:f>
        <x:v>1481644</x:v>
      </x:c>
      <x:c r="E424" s="5" t="n">
        <x:f>IFERROR(ROUND($V424*$Y424*$AB424*'参数'!$C$13,0),"")</x:f>
        <x:v>32806</x:v>
      </x:c>
      <x:c r="F424" s="5" t="n">
        <x:f>IFERROR(ROUND($W424*$Z424*$AC424*'参数'!$D$13,0),"")</x:f>
        <x:v>26881</x:v>
      </x:c>
      <x:c r="G424" s="4">
        <x:v>2922907</x:v>
      </x:c>
      <x:c r="H424" s="4">
        <x:v>48914</x:v>
      </x:c>
      <x:c r="I424" s="4">
        <x:v>27318</x:v>
      </x:c>
      <x:c r="J424" s="4">
        <x:v>84</x:v>
      </x:c>
      <x:c r="K424" s="4">
        <x:v>84</x:v>
      </x:c>
      <x:c r="L424" s="4" t="n">
        <x:f>IFERROR(INDEX('楼层配置'!$D$5:$D$104,MATCH($K424,'楼层配置'!$B$5:$B$104,0)),"")</x:f>
        <x:v>260</x:v>
      </x:c>
      <x:c r="M424" s="4" t="str">
        <x:f>IFERROR(INDEX('_角色基线'!$B$2:$B$100,MATCH($B424,'_角色基线'!$A$2:$A$100,0)),"")</x:f>
        <x:v>伊戈尔</x:v>
      </x:c>
      <x:c r="N424" s="4" t="str">
        <x:f>IFERROR(INDEX('_角色基线'!$C$2:$C$100,MATCH($B424,'_角色基线'!$A$2:$A$100,0)),"")</x:f>
        <x:v>DPS</x:v>
      </x:c>
      <x:c r="O424" s="4" t="n">
        <x:f>IFERROR(INDEX('_怪物基线'!$B$2:$B$501,MATCH(INT($L424),'_怪物基线'!$A$2:$A$501,0)),"")</x:f>
        <x:v>325226</x:v>
      </x:c>
      <x:c r="P424" s="4" t="n">
        <x:f>IFERROR(INDEX('_怪物基线'!$C$2:$C$501,MATCH(INT($L424),'_怪物基线'!$A$2:$A$501,0)),"")</x:f>
        <x:v>31834</x:v>
      </x:c>
      <x:c r="Q424" s="4" t="n">
        <x:f>IFERROR(INDEX('_怪物基线'!$D$2:$D$501,MATCH(INT($L424),'_怪物基线'!$A$2:$A$501,0)),"")</x:f>
        <x:v>26881</x:v>
      </x:c>
      <x:c r="R424" s="4" t="n">
        <x:f>'参数'!$B$10</x:f>
        <x:v>4</x:v>
      </x:c>
      <x:c r="S424" s="4" t="n">
        <x:f>'参数'!$C$10</x:f>
        <x:v>1.2</x:v>
      </x:c>
      <x:c r="T424" s="4" t="n">
        <x:f>'参数'!$D$10</x:f>
        <x:v>1</x:v>
      </x:c>
      <x:c r="U424" s="4" t="n">
        <x:f t="shared" si="42">IF($O424="","",$O424*$R424)</x:f>
        <x:v>1300904</x:v>
      </x:c>
      <x:c r="V424" s="4" t="n">
        <x:f t="shared" si="43">IF($P424="","",$P424*$S424)</x:f>
        <x:v>38200.799999999996</x:v>
      </x:c>
      <x:c r="W424" s="4" t="n">
        <x:f t="shared" si="44">IF($Q424="","",$Q424*$T424)</x:f>
        <x:v>26881</x:v>
      </x:c>
      <x:c r="X424" s="4" t="n">
        <x:f>IFERROR(INDEX('参数'!$B$5:$B$7,MATCH($N424,'参数'!$A$5:$A$7,0)),"")</x:f>
        <x:v>1</x:v>
      </x:c>
      <x:c r="Y424" s="4" t="n">
        <x:f>IFERROR(INDEX('参数'!$C$5:$C$7,MATCH($N424,'参数'!$A$5:$A$7,0)),"")</x:f>
        <x:v>1.2</x:v>
      </x:c>
      <x:c r="Z424" s="4" t="n">
        <x:f>IFERROR(INDEX('参数'!$D$5:$D$7,MATCH($N424,'参数'!$A$5:$A$7,0)),"")</x:f>
        <x:v>1</x:v>
      </x:c>
      <x:c r="AA424" s="4" t="n">
        <x:f>IFERROR(INDEX('楼层配置'!$E$5:$E$104,MATCH($K424,'楼层配置'!$B$5:$B$104,0)),1)</x:f>
        <x:v>1.1389343860164145</x:v>
      </x:c>
      <x:c r="AB424" s="4" t="n">
        <x:f>IFERROR(INDEX('楼层配置'!$F$5:$F$104,MATCH($K424,'楼层配置'!$B$5:$B$104,0)),1)</x:f>
        <x:v>0.7156532125654029</x:v>
      </x:c>
      <x:c r="AC424" s="4" t="n">
        <x:f>IFERROR(INDEX('楼层配置'!$G$5:$G$104,MATCH($K424,'楼层配置'!$B$5:$B$104,0)),1)</x:f>
        <x:v>1</x:v>
      </x:c>
      <x:c r="AD424" s="6" t="n">
        <x:f t="shared" si="45">IFERROR($D424/$G424-1,"")</x:f>
        <x:v>-0.4930923221299891</x:v>
      </x:c>
      <x:c r="AE424" s="6" t="n">
        <x:f t="shared" si="46">IFERROR($E424/$H424-1,"")</x:f>
        <x:v>-0.329312671218874</x:v>
      </x:c>
      <x:c r="AF424" s="6" t="n">
        <x:f t="shared" si="47">IFERROR($F424/$I424-1,"")</x:f>
        <x:v>-0.015996778680723356</x:v>
      </x:c>
      <x:c r="AG424" s="4" t="str">
        <x:f t="shared" si="48">IF(AND($A424&gt;=1,$L424&gt;=1,$L424&lt;=500,OR($N424="Tank",$N424="DPS",$N424="Support"),ISNUMBER($D424),ISNUMBER($E424),ISNUMBER($F424)),"有效","异常")</x:f>
        <x:v>有效</x:v>
      </x:c>
      <x:c r="AH424" t="n">
        <x:f>D424/(1-MIN(0.75,F424/(24000+F424)))</x:f>
        <x:v>3141147.0151666664</x:v>
      </x:c>
    </x:row>
    <x:row r="425" ht="14.25" customHeight="1">
      <x:c r="A425" s="4">
        <x:v>421</x:v>
      </x:c>
      <x:c r="B425" s="4">
        <x:v>1004</x:v>
      </x:c>
      <x:c r="C425" s="4">
        <x:v>52</x:v>
      </x:c>
      <x:c r="D425" s="5" t="n">
        <x:f>IFERROR(ROUND($U425*$X425*$AA425*'参数'!$B$13,0),"")</x:f>
        <x:v>2266920</x:v>
      </x:c>
      <x:c r="E425" s="5" t="n">
        <x:f>IFERROR(ROUND($V425*$Y425*$AB425*'参数'!$C$13,0),"")</x:f>
        <x:v>27789</x:v>
      </x:c>
      <x:c r="F425" s="5" t="n">
        <x:f>IFERROR(ROUND($W425*$Z425*$AC425*'参数'!$D$13,0),"")</x:f>
        <x:v>40722</x:v>
      </x:c>
      <x:c r="G425" s="4">
        <x:v>4525812</x:v>
      </x:c>
      <x:c r="H425" s="4">
        <x:v>41816</x:v>
      </x:c>
      <x:c r="I425" s="4">
        <x:v>41635</x:v>
      </x:c>
      <x:c r="J425" s="4">
        <x:v>85</x:v>
      </x:c>
      <x:c r="K425" s="4">
        <x:v>85</x:v>
      </x:c>
      <x:c r="L425" s="4" t="n">
        <x:f>IFERROR(INDEX('楼层配置'!$D$5:$D$104,MATCH($K425,'楼层配置'!$B$5:$B$104,0)),"")</x:f>
        <x:v>262</x:v>
      </x:c>
      <x:c r="M425" s="4" t="str">
        <x:f>IFERROR(INDEX('_角色基线'!$B$2:$B$100,MATCH($B425,'_角色基线'!$A$2:$A$100,0)),"")</x:f>
        <x:v>阿芭</x:v>
      </x:c>
      <x:c r="N425" s="4" t="str">
        <x:f>IFERROR(INDEX('_角色基线'!$C$2:$C$100,MATCH($B425,'_角色基线'!$A$2:$A$100,0)),"")</x:f>
        <x:v>Tank</x:v>
      </x:c>
      <x:c r="O425" s="4" t="n">
        <x:f>IFERROR(INDEX('_怪物基线'!$B$2:$B$501,MATCH(INT($L425),'_怪物基线'!$A$2:$A$501,0)),"")</x:f>
        <x:v>331944</x:v>
      </x:c>
      <x:c r="P425" s="4" t="n">
        <x:f>IFERROR(INDEX('_怪物基线'!$C$2:$C$501,MATCH(INT($L425),'_怪物基线'!$A$2:$A$501,0)),"")</x:f>
        <x:v>32322</x:v>
      </x:c>
      <x:c r="Q425" s="4" t="n">
        <x:f>IFERROR(INDEX('_怪物基线'!$D$2:$D$501,MATCH(INT($L425),'_怪物基线'!$A$2:$A$501,0)),"")</x:f>
        <x:v>27148</x:v>
      </x:c>
      <x:c r="R425" s="4" t="n">
        <x:f>'参数'!$B$10</x:f>
        <x:v>4</x:v>
      </x:c>
      <x:c r="S425" s="4" t="n">
        <x:f>'参数'!$C$10</x:f>
        <x:v>1.2</x:v>
      </x:c>
      <x:c r="T425" s="4" t="n">
        <x:f>'参数'!$D$10</x:f>
        <x:v>1</x:v>
      </x:c>
      <x:c r="U425" s="4" t="n">
        <x:f t="shared" si="42">IF($O425="","",$O425*$R425)</x:f>
        <x:v>1327776</x:v>
      </x:c>
      <x:c r="V425" s="4" t="n">
        <x:f t="shared" si="43">IF($P425="","",$P425*$S425)</x:f>
        <x:v>38786.4</x:v>
      </x:c>
      <x:c r="W425" s="4" t="n">
        <x:f t="shared" si="44">IF($Q425="","",$Q425*$T425)</x:f>
        <x:v>27148</x:v>
      </x:c>
      <x:c r="X425" s="4" t="n">
        <x:f>IFERROR(INDEX('参数'!$B$5:$B$7,MATCH($N425,'参数'!$A$5:$A$7,0)),"")</x:f>
        <x:v>1.5</x:v>
      </x:c>
      <x:c r="Y425" s="4" t="n">
        <x:f>IFERROR(INDEX('参数'!$C$5:$C$7,MATCH($N425,'参数'!$A$5:$A$7,0)),"")</x:f>
        <x:v>1</x:v>
      </x:c>
      <x:c r="Z425" s="4" t="n">
        <x:f>IFERROR(INDEX('参数'!$D$5:$D$7,MATCH($N425,'参数'!$A$5:$A$7,0)),"")</x:f>
        <x:v>1.5</x:v>
      </x:c>
      <x:c r="AA425" s="4" t="n">
        <x:f>IFERROR(INDEX('楼层配置'!$E$5:$E$104,MATCH($K425,'楼层配置'!$B$5:$B$104,0)),1)</x:f>
        <x:v>1.1382038794550813</x:v>
      </x:c>
      <x:c r="AB425" s="4" t="n">
        <x:f>IFERROR(INDEX('楼层配置'!$F$5:$F$104,MATCH($K425,'楼层配置'!$B$5:$B$104,0)),1)</x:f>
        <x:v>0.7164728501790963</x:v>
      </x:c>
      <x:c r="AC425" s="4" t="n">
        <x:f>IFERROR(INDEX('楼层配置'!$G$5:$G$104,MATCH($K425,'楼层配置'!$B$5:$B$104,0)),1)</x:f>
        <x:v>1</x:v>
      </x:c>
      <x:c r="AD425" s="6" t="n">
        <x:f t="shared" si="45">IFERROR($D425/$G425-1,"")</x:f>
        <x:v>-0.49911308733106896</x:v>
      </x:c>
      <x:c r="AE425" s="6" t="n">
        <x:f t="shared" si="46">IFERROR($E425/$H425-1,"")</x:f>
        <x:v>-0.3354457623876028</x:v>
      </x:c>
      <x:c r="AF425" s="6" t="n">
        <x:f t="shared" si="47">IFERROR($F425/$I425-1,"")</x:f>
        <x:v>-0.021928665785997392</x:v>
      </x:c>
      <x:c r="AG425" s="4" t="str">
        <x:f t="shared" si="48">IF(AND($A425&gt;=1,$L425&gt;=1,$L425&lt;=500,OR($N425="Tank",$N425="DPS",$N425="Support"),ISNUMBER($D425),ISNUMBER($E425),ISNUMBER($F425)),"有效","异常")</x:f>
        <x:v>有效</x:v>
      </x:c>
      <x:c r="AH425" t="n">
        <x:f>D425/(1-MIN(0.75,F425/(24000+F425)))</x:f>
        <x:v>6113316.51</x:v>
      </x:c>
    </x:row>
    <x:row r="426" ht="14.25" customHeight="1">
      <x:c r="A426" s="4">
        <x:v>422</x:v>
      </x:c>
      <x:c r="B426" s="4">
        <x:v>1005</x:v>
      </x:c>
      <x:c r="C426" s="4">
        <x:v>52</x:v>
      </x:c>
      <x:c r="D426" s="5" t="n">
        <x:f>IFERROR(ROUND($U426*$X426*$AA426*'参数'!$B$13,0),"")</x:f>
        <x:v>1511280</x:v>
      </x:c>
      <x:c r="E426" s="5" t="n">
        <x:f>IFERROR(ROUND($V426*$Y426*$AB426*'参数'!$C$13,0),"")</x:f>
        <x:v>33347</x:v>
      </x:c>
      <x:c r="F426" s="5" t="n">
        <x:f>IFERROR(ROUND($W426*$Z426*$AC426*'参数'!$D$13,0),"")</x:f>
        <x:v>27148</x:v>
      </x:c>
      <x:c r="G426" s="4">
        <x:v>3017208</x:v>
      </x:c>
      <x:c r="H426" s="4">
        <x:v>50179</x:v>
      </x:c>
      <x:c r="I426" s="4">
        <x:v>27756</x:v>
      </x:c>
      <x:c r="J426" s="4">
        <x:v>85</x:v>
      </x:c>
      <x:c r="K426" s="4">
        <x:v>85</x:v>
      </x:c>
      <x:c r="L426" s="4" t="n">
        <x:f>IFERROR(INDEX('楼层配置'!$D$5:$D$104,MATCH($K426,'楼层配置'!$B$5:$B$104,0)),"")</x:f>
        <x:v>262</x:v>
      </x:c>
      <x:c r="M426" s="4" t="str">
        <x:f>IFERROR(INDEX('_角色基线'!$B$2:$B$100,MATCH($B426,'_角色基线'!$A$2:$A$100,0)),"")</x:f>
        <x:v>陈单单</x:v>
      </x:c>
      <x:c r="N426" s="4" t="str">
        <x:f>IFERROR(INDEX('_角色基线'!$C$2:$C$100,MATCH($B426,'_角色基线'!$A$2:$A$100,0)),"")</x:f>
        <x:v>DPS</x:v>
      </x:c>
      <x:c r="O426" s="4" t="n">
        <x:f>IFERROR(INDEX('_怪物基线'!$B$2:$B$501,MATCH(INT($L426),'_怪物基线'!$A$2:$A$501,0)),"")</x:f>
        <x:v>331944</x:v>
      </x:c>
      <x:c r="P426" s="4" t="n">
        <x:f>IFERROR(INDEX('_怪物基线'!$C$2:$C$501,MATCH(INT($L426),'_怪物基线'!$A$2:$A$501,0)),"")</x:f>
        <x:v>32322</x:v>
      </x:c>
      <x:c r="Q426" s="4" t="n">
        <x:f>IFERROR(INDEX('_怪物基线'!$D$2:$D$501,MATCH(INT($L426),'_怪物基线'!$A$2:$A$501,0)),"")</x:f>
        <x:v>27148</x:v>
      </x:c>
      <x:c r="R426" s="4" t="n">
        <x:f>'参数'!$B$10</x:f>
        <x:v>4</x:v>
      </x:c>
      <x:c r="S426" s="4" t="n">
        <x:f>'参数'!$C$10</x:f>
        <x:v>1.2</x:v>
      </x:c>
      <x:c r="T426" s="4" t="n">
        <x:f>'参数'!$D$10</x:f>
        <x:v>1</x:v>
      </x:c>
      <x:c r="U426" s="4" t="n">
        <x:f t="shared" si="42">IF($O426="","",$O426*$R426)</x:f>
        <x:v>1327776</x:v>
      </x:c>
      <x:c r="V426" s="4" t="n">
        <x:f t="shared" si="43">IF($P426="","",$P426*$S426)</x:f>
        <x:v>38786.4</x:v>
      </x:c>
      <x:c r="W426" s="4" t="n">
        <x:f t="shared" si="44">IF($Q426="","",$Q426*$T426)</x:f>
        <x:v>27148</x:v>
      </x:c>
      <x:c r="X426" s="4" t="n">
        <x:f>IFERROR(INDEX('参数'!$B$5:$B$7,MATCH($N426,'参数'!$A$5:$A$7,0)),"")</x:f>
        <x:v>1</x:v>
      </x:c>
      <x:c r="Y426" s="4" t="n">
        <x:f>IFERROR(INDEX('参数'!$C$5:$C$7,MATCH($N426,'参数'!$A$5:$A$7,0)),"")</x:f>
        <x:v>1.2</x:v>
      </x:c>
      <x:c r="Z426" s="4" t="n">
        <x:f>IFERROR(INDEX('参数'!$D$5:$D$7,MATCH($N426,'参数'!$A$5:$A$7,0)),"")</x:f>
        <x:v>1</x:v>
      </x:c>
      <x:c r="AA426" s="4" t="n">
        <x:f>IFERROR(INDEX('楼层配置'!$E$5:$E$104,MATCH($K426,'楼层配置'!$B$5:$B$104,0)),1)</x:f>
        <x:v>1.1382038794550813</x:v>
      </x:c>
      <x:c r="AB426" s="4" t="n">
        <x:f>IFERROR(INDEX('楼层配置'!$F$5:$F$104,MATCH($K426,'楼层配置'!$B$5:$B$104,0)),1)</x:f>
        <x:v>0.7164728501790963</x:v>
      </x:c>
      <x:c r="AC426" s="4" t="n">
        <x:f>IFERROR(INDEX('楼层配置'!$G$5:$G$104,MATCH($K426,'楼层配置'!$B$5:$B$104,0)),1)</x:f>
        <x:v>1</x:v>
      </x:c>
      <x:c r="AD426" s="6" t="n">
        <x:f t="shared" si="45">IFERROR($D426/$G426-1,"")</x:f>
        <x:v>-0.49911308733106896</x:v>
      </x:c>
      <x:c r="AE426" s="6" t="n">
        <x:f t="shared" si="46">IFERROR($E426/$H426-1,"")</x:f>
        <x:v>-0.3354391279220391</x:v>
      </x:c>
      <x:c r="AF426" s="6" t="n">
        <x:f t="shared" si="47">IFERROR($F426/$I426-1,"")</x:f>
        <x:v>-0.021905173656146415</x:v>
      </x:c>
      <x:c r="AG426" s="4" t="str">
        <x:f t="shared" si="48">IF(AND($A426&gt;=1,$L426&gt;=1,$L426&lt;=500,OR($N426="Tank",$N426="DPS",$N426="Support"),ISNUMBER($D426),ISNUMBER($E426),ISNUMBER($F426)),"有效","异常")</x:f>
        <x:v>有效</x:v>
      </x:c>
      <x:c r="AH426" t="n">
        <x:f>D426/(1-MIN(0.75,F426/(24000+F426)))</x:f>
        <x:v>3220789.5599999996</x:v>
      </x:c>
    </x:row>
    <x:row r="427" ht="14.25" customHeight="1">
      <x:c r="A427" s="4">
        <x:v>423</x:v>
      </x:c>
      <x:c r="B427" s="4">
        <x:v>1005</x:v>
      </x:c>
      <x:c r="C427" s="4">
        <x:v>52</x:v>
      </x:c>
      <x:c r="D427" s="5" t="n">
        <x:f>IFERROR(ROUND($U427*$X427*$AA427*'参数'!$B$13,0),"")</x:f>
        <x:v>1511280</x:v>
      </x:c>
      <x:c r="E427" s="5" t="n">
        <x:f>IFERROR(ROUND($V427*$Y427*$AB427*'参数'!$C$13,0),"")</x:f>
        <x:v>33347</x:v>
      </x:c>
      <x:c r="F427" s="5" t="n">
        <x:f>IFERROR(ROUND($W427*$Z427*$AC427*'参数'!$D$13,0),"")</x:f>
        <x:v>27148</x:v>
      </x:c>
      <x:c r="G427" s="4">
        <x:v>3017208</x:v>
      </x:c>
      <x:c r="H427" s="4">
        <x:v>50179</x:v>
      </x:c>
      <x:c r="I427" s="4">
        <x:v>27756</x:v>
      </x:c>
      <x:c r="J427" s="4">
        <x:v>85</x:v>
      </x:c>
      <x:c r="K427" s="4">
        <x:v>85</x:v>
      </x:c>
      <x:c r="L427" s="4" t="n">
        <x:f>IFERROR(INDEX('楼层配置'!$D$5:$D$104,MATCH($K427,'楼层配置'!$B$5:$B$104,0)),"")</x:f>
        <x:v>262</x:v>
      </x:c>
      <x:c r="M427" s="4" t="str">
        <x:f>IFERROR(INDEX('_角色基线'!$B$2:$B$100,MATCH($B427,'_角色基线'!$A$2:$A$100,0)),"")</x:f>
        <x:v>陈单单</x:v>
      </x:c>
      <x:c r="N427" s="4" t="str">
        <x:f>IFERROR(INDEX('_角色基线'!$C$2:$C$100,MATCH($B427,'_角色基线'!$A$2:$A$100,0)),"")</x:f>
        <x:v>DPS</x:v>
      </x:c>
      <x:c r="O427" s="4" t="n">
        <x:f>IFERROR(INDEX('_怪物基线'!$B$2:$B$501,MATCH(INT($L427),'_怪物基线'!$A$2:$A$501,0)),"")</x:f>
        <x:v>331944</x:v>
      </x:c>
      <x:c r="P427" s="4" t="n">
        <x:f>IFERROR(INDEX('_怪物基线'!$C$2:$C$501,MATCH(INT($L427),'_怪物基线'!$A$2:$A$501,0)),"")</x:f>
        <x:v>32322</x:v>
      </x:c>
      <x:c r="Q427" s="4" t="n">
        <x:f>IFERROR(INDEX('_怪物基线'!$D$2:$D$501,MATCH(INT($L427),'_怪物基线'!$A$2:$A$501,0)),"")</x:f>
        <x:v>27148</x:v>
      </x:c>
      <x:c r="R427" s="4" t="n">
        <x:f>'参数'!$B$10</x:f>
        <x:v>4</x:v>
      </x:c>
      <x:c r="S427" s="4" t="n">
        <x:f>'参数'!$C$10</x:f>
        <x:v>1.2</x:v>
      </x:c>
      <x:c r="T427" s="4" t="n">
        <x:f>'参数'!$D$10</x:f>
        <x:v>1</x:v>
      </x:c>
      <x:c r="U427" s="4" t="n">
        <x:f t="shared" si="42">IF($O427="","",$O427*$R427)</x:f>
        <x:v>1327776</x:v>
      </x:c>
      <x:c r="V427" s="4" t="n">
        <x:f t="shared" si="43">IF($P427="","",$P427*$S427)</x:f>
        <x:v>38786.4</x:v>
      </x:c>
      <x:c r="W427" s="4" t="n">
        <x:f t="shared" si="44">IF($Q427="","",$Q427*$T427)</x:f>
        <x:v>27148</x:v>
      </x:c>
      <x:c r="X427" s="4" t="n">
        <x:f>IFERROR(INDEX('参数'!$B$5:$B$7,MATCH($N427,'参数'!$A$5:$A$7,0)),"")</x:f>
        <x:v>1</x:v>
      </x:c>
      <x:c r="Y427" s="4" t="n">
        <x:f>IFERROR(INDEX('参数'!$C$5:$C$7,MATCH($N427,'参数'!$A$5:$A$7,0)),"")</x:f>
        <x:v>1.2</x:v>
      </x:c>
      <x:c r="Z427" s="4" t="n">
        <x:f>IFERROR(INDEX('参数'!$D$5:$D$7,MATCH($N427,'参数'!$A$5:$A$7,0)),"")</x:f>
        <x:v>1</x:v>
      </x:c>
      <x:c r="AA427" s="4" t="n">
        <x:f>IFERROR(INDEX('楼层配置'!$E$5:$E$104,MATCH($K427,'楼层配置'!$B$5:$B$104,0)),1)</x:f>
        <x:v>1.1382038794550813</x:v>
      </x:c>
      <x:c r="AB427" s="4" t="n">
        <x:f>IFERROR(INDEX('楼层配置'!$F$5:$F$104,MATCH($K427,'楼层配置'!$B$5:$B$104,0)),1)</x:f>
        <x:v>0.7164728501790963</x:v>
      </x:c>
      <x:c r="AC427" s="4" t="n">
        <x:f>IFERROR(INDEX('楼层配置'!$G$5:$G$104,MATCH($K427,'楼层配置'!$B$5:$B$104,0)),1)</x:f>
        <x:v>1</x:v>
      </x:c>
      <x:c r="AD427" s="6" t="n">
        <x:f t="shared" si="45">IFERROR($D427/$G427-1,"")</x:f>
        <x:v>-0.49911308733106896</x:v>
      </x:c>
      <x:c r="AE427" s="6" t="n">
        <x:f t="shared" si="46">IFERROR($E427/$H427-1,"")</x:f>
        <x:v>-0.3354391279220391</x:v>
      </x:c>
      <x:c r="AF427" s="6" t="n">
        <x:f t="shared" si="47">IFERROR($F427/$I427-1,"")</x:f>
        <x:v>-0.021905173656146415</x:v>
      </x:c>
      <x:c r="AG427" s="4" t="str">
        <x:f t="shared" si="48">IF(AND($A427&gt;=1,$L427&gt;=1,$L427&lt;=500,OR($N427="Tank",$N427="DPS",$N427="Support"),ISNUMBER($D427),ISNUMBER($E427),ISNUMBER($F427)),"有效","异常")</x:f>
        <x:v>有效</x:v>
      </x:c>
      <x:c r="AH427" t="n">
        <x:f>D427/(1-MIN(0.75,F427/(24000+F427)))</x:f>
        <x:v>3220789.5599999996</x:v>
      </x:c>
    </x:row>
    <x:row r="428" ht="14.25" customHeight="1">
      <x:c r="A428" s="4">
        <x:v>424</x:v>
      </x:c>
      <x:c r="B428" s="4">
        <x:v>1007</x:v>
      </x:c>
      <x:c r="C428" s="4">
        <x:v>52</x:v>
      </x:c>
      <x:c r="D428" s="5" t="n">
        <x:f>IFERROR(ROUND($U428*$X428*$AA428*'参数'!$B$13,0),"")</x:f>
        <x:v>1889100</x:v>
      </x:c>
      <x:c r="E428" s="5" t="n">
        <x:f>IFERROR(ROUND($V428*$Y428*$AB428*'参数'!$C$13,0),"")</x:f>
        <x:v>27789</x:v>
      </x:c>
      <x:c r="F428" s="5" t="n">
        <x:f>IFERROR(ROUND($W428*$Z428*$AC428*'参数'!$D$13,0),"")</x:f>
        <x:v>33935</x:v>
      </x:c>
      <x:c r="G428" s="4">
        <x:v>3771510</x:v>
      </x:c>
      <x:c r="H428" s="4">
        <x:v>41816</x:v>
      </x:c>
      <x:c r="I428" s="4">
        <x:v>34696</x:v>
      </x:c>
      <x:c r="J428" s="4">
        <x:v>85</x:v>
      </x:c>
      <x:c r="K428" s="4">
        <x:v>85</x:v>
      </x:c>
      <x:c r="L428" s="4" t="n">
        <x:f>IFERROR(INDEX('楼层配置'!$D$5:$D$104,MATCH($K428,'楼层配置'!$B$5:$B$104,0)),"")</x:f>
        <x:v>262</x:v>
      </x:c>
      <x:c r="M428" s="4" t="str">
        <x:f>IFERROR(INDEX('_角色基线'!$B$2:$B$100,MATCH($B428,'_角色基线'!$A$2:$A$100,0)),"")</x:f>
        <x:v>萨萨莉安</x:v>
      </x:c>
      <x:c r="N428" s="4" t="str">
        <x:f>IFERROR(INDEX('_角色基线'!$C$2:$C$100,MATCH($B428,'_角色基线'!$A$2:$A$100,0)),"")</x:f>
        <x:v>Support</x:v>
      </x:c>
      <x:c r="O428" s="4" t="n">
        <x:f>IFERROR(INDEX('_怪物基线'!$B$2:$B$501,MATCH(INT($L428),'_怪物基线'!$A$2:$A$501,0)),"")</x:f>
        <x:v>331944</x:v>
      </x:c>
      <x:c r="P428" s="4" t="n">
        <x:f>IFERROR(INDEX('_怪物基线'!$C$2:$C$501,MATCH(INT($L428),'_怪物基线'!$A$2:$A$501,0)),"")</x:f>
        <x:v>32322</x:v>
      </x:c>
      <x:c r="Q428" s="4" t="n">
        <x:f>IFERROR(INDEX('_怪物基线'!$D$2:$D$501,MATCH(INT($L428),'_怪物基线'!$A$2:$A$501,0)),"")</x:f>
        <x:v>27148</x:v>
      </x:c>
      <x:c r="R428" s="4" t="n">
        <x:f>'参数'!$B$10</x:f>
        <x:v>4</x:v>
      </x:c>
      <x:c r="S428" s="4" t="n">
        <x:f>'参数'!$C$10</x:f>
        <x:v>1.2</x:v>
      </x:c>
      <x:c r="T428" s="4" t="n">
        <x:f>'参数'!$D$10</x:f>
        <x:v>1</x:v>
      </x:c>
      <x:c r="U428" s="4" t="n">
        <x:f t="shared" si="42">IF($O428="","",$O428*$R428)</x:f>
        <x:v>1327776</x:v>
      </x:c>
      <x:c r="V428" s="4" t="n">
        <x:f t="shared" si="43">IF($P428="","",$P428*$S428)</x:f>
        <x:v>38786.4</x:v>
      </x:c>
      <x:c r="W428" s="4" t="n">
        <x:f t="shared" si="44">IF($Q428="","",$Q428*$T428)</x:f>
        <x:v>27148</x:v>
      </x:c>
      <x:c r="X428" s="4" t="n">
        <x:f>IFERROR(INDEX('参数'!$B$5:$B$7,MATCH($N428,'参数'!$A$5:$A$7,0)),"")</x:f>
        <x:v>1.25</x:v>
      </x:c>
      <x:c r="Y428" s="4" t="n">
        <x:f>IFERROR(INDEX('参数'!$C$5:$C$7,MATCH($N428,'参数'!$A$5:$A$7,0)),"")</x:f>
        <x:v>1</x:v>
      </x:c>
      <x:c r="Z428" s="4" t="n">
        <x:f>IFERROR(INDEX('参数'!$D$5:$D$7,MATCH($N428,'参数'!$A$5:$A$7,0)),"")</x:f>
        <x:v>1.25</x:v>
      </x:c>
      <x:c r="AA428" s="4" t="n">
        <x:f>IFERROR(INDEX('楼层配置'!$E$5:$E$104,MATCH($K428,'楼层配置'!$B$5:$B$104,0)),1)</x:f>
        <x:v>1.1382038794550813</x:v>
      </x:c>
      <x:c r="AB428" s="4" t="n">
        <x:f>IFERROR(INDEX('楼层配置'!$F$5:$F$104,MATCH($K428,'楼层配置'!$B$5:$B$104,0)),1)</x:f>
        <x:v>0.7164728501790963</x:v>
      </x:c>
      <x:c r="AC428" s="4" t="n">
        <x:f>IFERROR(INDEX('楼层配置'!$G$5:$G$104,MATCH($K428,'楼层配置'!$B$5:$B$104,0)),1)</x:f>
        <x:v>1</x:v>
      </x:c>
      <x:c r="AD428" s="6" t="n">
        <x:f t="shared" si="45">IFERROR($D428/$G428-1,"")</x:f>
        <x:v>-0.49911308733106896</x:v>
      </x:c>
      <x:c r="AE428" s="6" t="n">
        <x:f t="shared" si="46">IFERROR($E428/$H428-1,"")</x:f>
        <x:v>-0.3354457623876028</x:v>
      </x:c>
      <x:c r="AF428" s="6" t="n">
        <x:f t="shared" si="47">IFERROR($F428/$I428-1,"")</x:f>
        <x:v>-0.021933364076550665</x:v>
      </x:c>
      <x:c r="AG428" s="4" t="str">
        <x:f t="shared" si="48">IF(AND($A428&gt;=1,$L428&gt;=1,$L428&lt;=500,OR($N428="Tank",$N428="DPS",$N428="Support"),ISNUMBER($D428),ISNUMBER($E428),ISNUMBER($F428)),"有效","异常")</x:f>
        <x:v>有效</x:v>
      </x:c>
      <x:c r="AH428" t="n">
        <x:f>D428/(1-MIN(0.75,F428/(24000+F428)))</x:f>
        <x:v>4560208.687499999</x:v>
      </x:c>
    </x:row>
    <x:row r="429" ht="14.25" customHeight="1">
      <x:c r="A429" s="4">
        <x:v>425</x:v>
      </x:c>
      <x:c r="B429" s="4">
        <x:v>1040</x:v>
      </x:c>
      <x:c r="C429" s="4">
        <x:v>52</x:v>
      </x:c>
      <x:c r="D429" s="5" t="n">
        <x:f>IFERROR(ROUND($U429*$X429*$AA429*'参数'!$B$13,0),"")</x:f>
        <x:v>1889100</x:v>
      </x:c>
      <x:c r="E429" s="5" t="n">
        <x:f>IFERROR(ROUND($V429*$Y429*$AB429*'参数'!$C$13,0),"")</x:f>
        <x:v>27789</x:v>
      </x:c>
      <x:c r="F429" s="5" t="n">
        <x:f>IFERROR(ROUND($W429*$Z429*$AC429*'参数'!$D$13,0),"")</x:f>
        <x:v>33935</x:v>
      </x:c>
      <x:c r="G429" s="4">
        <x:v>3771510</x:v>
      </x:c>
      <x:c r="H429" s="4">
        <x:v>41816</x:v>
      </x:c>
      <x:c r="I429" s="4">
        <x:v>34696</x:v>
      </x:c>
      <x:c r="J429" s="4">
        <x:v>85</x:v>
      </x:c>
      <x:c r="K429" s="4">
        <x:v>85</x:v>
      </x:c>
      <x:c r="L429" s="4" t="n">
        <x:f>IFERROR(INDEX('楼层配置'!$D$5:$D$104,MATCH($K429,'楼层配置'!$B$5:$B$104,0)),"")</x:f>
        <x:v>262</x:v>
      </x:c>
      <x:c r="M429" s="4" t="str">
        <x:f>IFERROR(INDEX('_角色基线'!$B$2:$B$100,MATCH($B429,'_角色基线'!$A$2:$A$100,0)),"")</x:f>
        <x:v>小寒</x:v>
      </x:c>
      <x:c r="N429" s="4" t="str">
        <x:f>IFERROR(INDEX('_角色基线'!$C$2:$C$100,MATCH($B429,'_角色基线'!$A$2:$A$100,0)),"")</x:f>
        <x:v>Support</x:v>
      </x:c>
      <x:c r="O429" s="4" t="n">
        <x:f>IFERROR(INDEX('_怪物基线'!$B$2:$B$501,MATCH(INT($L429),'_怪物基线'!$A$2:$A$501,0)),"")</x:f>
        <x:v>331944</x:v>
      </x:c>
      <x:c r="P429" s="4" t="n">
        <x:f>IFERROR(INDEX('_怪物基线'!$C$2:$C$501,MATCH(INT($L429),'_怪物基线'!$A$2:$A$501,0)),"")</x:f>
        <x:v>32322</x:v>
      </x:c>
      <x:c r="Q429" s="4" t="n">
        <x:f>IFERROR(INDEX('_怪物基线'!$D$2:$D$501,MATCH(INT($L429),'_怪物基线'!$A$2:$A$501,0)),"")</x:f>
        <x:v>27148</x:v>
      </x:c>
      <x:c r="R429" s="4" t="n">
        <x:f>'参数'!$B$10</x:f>
        <x:v>4</x:v>
      </x:c>
      <x:c r="S429" s="4" t="n">
        <x:f>'参数'!$C$10</x:f>
        <x:v>1.2</x:v>
      </x:c>
      <x:c r="T429" s="4" t="n">
        <x:f>'参数'!$D$10</x:f>
        <x:v>1</x:v>
      </x:c>
      <x:c r="U429" s="4" t="n">
        <x:f t="shared" si="42">IF($O429="","",$O429*$R429)</x:f>
        <x:v>1327776</x:v>
      </x:c>
      <x:c r="V429" s="4" t="n">
        <x:f t="shared" si="43">IF($P429="","",$P429*$S429)</x:f>
        <x:v>38786.4</x:v>
      </x:c>
      <x:c r="W429" s="4" t="n">
        <x:f t="shared" si="44">IF($Q429="","",$Q429*$T429)</x:f>
        <x:v>27148</x:v>
      </x:c>
      <x:c r="X429" s="4" t="n">
        <x:f>IFERROR(INDEX('参数'!$B$5:$B$7,MATCH($N429,'参数'!$A$5:$A$7,0)),"")</x:f>
        <x:v>1.25</x:v>
      </x:c>
      <x:c r="Y429" s="4" t="n">
        <x:f>IFERROR(INDEX('参数'!$C$5:$C$7,MATCH($N429,'参数'!$A$5:$A$7,0)),"")</x:f>
        <x:v>1</x:v>
      </x:c>
      <x:c r="Z429" s="4" t="n">
        <x:f>IFERROR(INDEX('参数'!$D$5:$D$7,MATCH($N429,'参数'!$A$5:$A$7,0)),"")</x:f>
        <x:v>1.25</x:v>
      </x:c>
      <x:c r="AA429" s="4" t="n">
        <x:f>IFERROR(INDEX('楼层配置'!$E$5:$E$104,MATCH($K429,'楼层配置'!$B$5:$B$104,0)),1)</x:f>
        <x:v>1.1382038794550813</x:v>
      </x:c>
      <x:c r="AB429" s="4" t="n">
        <x:f>IFERROR(INDEX('楼层配置'!$F$5:$F$104,MATCH($K429,'楼层配置'!$B$5:$B$104,0)),1)</x:f>
        <x:v>0.7164728501790963</x:v>
      </x:c>
      <x:c r="AC429" s="4" t="n">
        <x:f>IFERROR(INDEX('楼层配置'!$G$5:$G$104,MATCH($K429,'楼层配置'!$B$5:$B$104,0)),1)</x:f>
        <x:v>1</x:v>
      </x:c>
      <x:c r="AD429" s="6" t="n">
        <x:f t="shared" si="45">IFERROR($D429/$G429-1,"")</x:f>
        <x:v>-0.49911308733106896</x:v>
      </x:c>
      <x:c r="AE429" s="6" t="n">
        <x:f t="shared" si="46">IFERROR($E429/$H429-1,"")</x:f>
        <x:v>-0.3354457623876028</x:v>
      </x:c>
      <x:c r="AF429" s="6" t="n">
        <x:f t="shared" si="47">IFERROR($F429/$I429-1,"")</x:f>
        <x:v>-0.021933364076550665</x:v>
      </x:c>
      <x:c r="AG429" s="4" t="str">
        <x:f t="shared" si="48">IF(AND($A429&gt;=1,$L429&gt;=1,$L429&lt;=500,OR($N429="Tank",$N429="DPS",$N429="Support"),ISNUMBER($D429),ISNUMBER($E429),ISNUMBER($F429)),"有效","异常")</x:f>
        <x:v>有效</x:v>
      </x:c>
      <x:c r="AH429" t="n">
        <x:f>D429/(1-MIN(0.75,F429/(24000+F429)))</x:f>
        <x:v>4560208.687499999</x:v>
      </x:c>
    </x:row>
    <x:row r="430" ht="14.25" customHeight="1">
      <x:c r="A430" s="4">
        <x:v>426</x:v>
      </x:c>
      <x:c r="B430" s="4">
        <x:v>1003</x:v>
      </x:c>
      <x:c r="C430" s="4">
        <x:v>53</x:v>
      </x:c>
      <x:c r="D430" s="5" t="n">
        <x:f>IFERROR(ROUND($U430*$X430*$AA430*'参数'!$B$13,0),"")</x:f>
        <x:v>2284482</x:v>
      </x:c>
      <x:c r="E430" s="5" t="n">
        <x:f>IFERROR(ROUND($V430*$Y430*$AB430*'参数'!$C$13,0),"")</x:f>
        <x:v>28019</x:v>
      </x:c>
      <x:c r="F430" s="5" t="n">
        <x:f>IFERROR(ROUND($W430*$Z430*$AC430*'参数'!$D$13,0),"")</x:f>
        <x:v>40922</x:v>
      </x:c>
      <x:c r="G430" s="4">
        <x:v>4670668</x:v>
      </x:c>
      <x:c r="H430" s="4">
        <x:v>42895</x:v>
      </x:c>
      <x:c r="I430" s="4">
        <x:v>42297</x:v>
      </x:c>
      <x:c r="J430" s="4">
        <x:v>86</x:v>
      </x:c>
      <x:c r="K430" s="4">
        <x:v>86</x:v>
      </x:c>
      <x:c r="L430" s="4" t="n">
        <x:f>IFERROR(INDEX('楼层配置'!$D$5:$D$104,MATCH($K430,'楼层配置'!$B$5:$B$104,0)),"")</x:f>
        <x:v>263</x:v>
      </x:c>
      <x:c r="M430" s="4" t="str">
        <x:f>IFERROR(INDEX('_角色基线'!$B$2:$B$100,MATCH($B430,'_角色基线'!$A$2:$A$100,0)),"")</x:f>
        <x:v>塔拉夏</x:v>
      </x:c>
      <x:c r="N430" s="4" t="str">
        <x:f>IFERROR(INDEX('_角色基线'!$C$2:$C$100,MATCH($B430,'_角色基线'!$A$2:$A$100,0)),"")</x:f>
        <x:v>Tank</x:v>
      </x:c>
      <x:c r="O430" s="4" t="n">
        <x:f>IFERROR(INDEX('_怪物基线'!$B$2:$B$501,MATCH(INT($L430),'_怪物基线'!$A$2:$A$501,0)),"")</x:f>
        <x:v>335342</x:v>
      </x:c>
      <x:c r="P430" s="4" t="n">
        <x:f>IFERROR(INDEX('_怪物基线'!$C$2:$C$501,MATCH(INT($L430),'_怪物基线'!$A$2:$A$501,0)),"")</x:f>
        <x:v>32567</x:v>
      </x:c>
      <x:c r="Q430" s="4" t="n">
        <x:f>IFERROR(INDEX('_怪物基线'!$D$2:$D$501,MATCH(INT($L430),'_怪物基线'!$A$2:$A$501,0)),"")</x:f>
        <x:v>27281</x:v>
      </x:c>
      <x:c r="R430" s="4" t="n">
        <x:f>'参数'!$B$10</x:f>
        <x:v>4</x:v>
      </x:c>
      <x:c r="S430" s="4" t="n">
        <x:f>'参数'!$C$10</x:f>
        <x:v>1.2</x:v>
      </x:c>
      <x:c r="T430" s="4" t="n">
        <x:f>'参数'!$D$10</x:f>
        <x:v>1</x:v>
      </x:c>
      <x:c r="U430" s="4" t="n">
        <x:f t="shared" si="42">IF($O430="","",$O430*$R430)</x:f>
        <x:v>1341368</x:v>
      </x:c>
      <x:c r="V430" s="4" t="n">
        <x:f t="shared" si="43">IF($P430="","",$P430*$S430)</x:f>
        <x:v>39080.4</x:v>
      </x:c>
      <x:c r="W430" s="4" t="n">
        <x:f t="shared" si="44">IF($Q430="","",$Q430*$T430)</x:f>
        <x:v>27281</x:v>
      </x:c>
      <x:c r="X430" s="4" t="n">
        <x:f>IFERROR(INDEX('参数'!$B$5:$B$7,MATCH($N430,'参数'!$A$5:$A$7,0)),"")</x:f>
        <x:v>1.5</x:v>
      </x:c>
      <x:c r="Y430" s="4" t="n">
        <x:f>IFERROR(INDEX('参数'!$C$5:$C$7,MATCH($N430,'参数'!$A$5:$A$7,0)),"")</x:f>
        <x:v>1</x:v>
      </x:c>
      <x:c r="Z430" s="4" t="n">
        <x:f>IFERROR(INDEX('参数'!$D$5:$D$7,MATCH($N430,'参数'!$A$5:$A$7,0)),"")</x:f>
        <x:v>1.5</x:v>
      </x:c>
      <x:c r="AA430" s="4" t="n">
        <x:f>IFERROR(INDEX('楼层配置'!$E$5:$E$104,MATCH($K430,'楼层配置'!$B$5:$B$104,0)),1)</x:f>
        <x:v>1.1353989954122308</x:v>
      </x:c>
      <x:c r="AB430" s="4" t="n">
        <x:f>IFERROR(INDEX('楼层配置'!$F$5:$F$104,MATCH($K430,'楼层配置'!$B$5:$B$104,0)),1)</x:f>
        <x:v>0.7169509870843505</x:v>
      </x:c>
      <x:c r="AC430" s="4" t="n">
        <x:f>IFERROR(INDEX('楼层配置'!$G$5:$G$104,MATCH($K430,'楼层配置'!$B$5:$B$104,0)),1)</x:f>
        <x:v>1</x:v>
      </x:c>
      <x:c r="AD430" s="6" t="n">
        <x:f t="shared" si="45">IFERROR($D430/$G430-1,"")</x:f>
        <x:v>-0.5108875218705333</x:v>
      </x:c>
      <x:c r="AE430" s="6" t="n">
        <x:f t="shared" si="46">IFERROR($E430/$H430-1,"")</x:f>
        <x:v>-0.3468003263783658</x:v>
      </x:c>
      <x:c r="AF430" s="6" t="n">
        <x:f t="shared" si="47">IFERROR($F430/$I430-1,"")</x:f>
        <x:v>-0.03250821571269835</x:v>
      </x:c>
      <x:c r="AG430" s="4" t="str">
        <x:f t="shared" si="48">IF(AND($A430&gt;=1,$L430&gt;=1,$L430&lt;=500,OR($N430="Tank",$N430="DPS",$N430="Support"),ISNUMBER($D430),ISNUMBER($E430),ISNUMBER($F430)),"有效","异常")</x:f>
        <x:v>有效</x:v>
      </x:c>
      <x:c r="AH430" t="n">
        <x:f>D430/(1-MIN(0.75,F430/(24000+F430)))</x:f>
        <x:v>6179714.183499999</x:v>
      </x:c>
    </x:row>
    <x:row r="431" ht="14.25" customHeight="1">
      <x:c r="A431" s="4">
        <x:v>427</x:v>
      </x:c>
      <x:c r="B431" s="4">
        <x:v>1001</x:v>
      </x:c>
      <x:c r="C431" s="4">
        <x:v>53</x:v>
      </x:c>
      <x:c r="D431" s="5" t="n">
        <x:f>IFERROR(ROUND($U431*$X431*$AA431*'参数'!$B$13,0),"")</x:f>
        <x:v>1522988</x:v>
      </x:c>
      <x:c r="E431" s="5" t="n">
        <x:f>IFERROR(ROUND($V431*$Y431*$AB431*'参数'!$C$13,0),"")</x:f>
        <x:v>33622</x:v>
      </x:c>
      <x:c r="F431" s="5" t="n">
        <x:f>IFERROR(ROUND($W431*$Z431*$AC431*'参数'!$D$13,0),"")</x:f>
        <x:v>27281</x:v>
      </x:c>
      <x:c r="G431" s="4">
        <x:v>3113779</x:v>
      </x:c>
      <x:c r="H431" s="4">
        <x:v>51474</x:v>
      </x:c>
      <x:c r="I431" s="4">
        <x:v>28198</x:v>
      </x:c>
      <x:c r="J431" s="4">
        <x:v>86</x:v>
      </x:c>
      <x:c r="K431" s="4">
        <x:v>86</x:v>
      </x:c>
      <x:c r="L431" s="4" t="n">
        <x:f>IFERROR(INDEX('楼层配置'!$D$5:$D$104,MATCH($K431,'楼层配置'!$B$5:$B$104,0)),"")</x:f>
        <x:v>263</x:v>
      </x:c>
      <x:c r="M431" s="4" t="str">
        <x:f>IFERROR(INDEX('_角色基线'!$B$2:$B$100,MATCH($B431,'_角色基线'!$A$2:$A$100,0)),"")</x:f>
        <x:v>星海</x:v>
      </x:c>
      <x:c r="N431" s="4" t="str">
        <x:f>IFERROR(INDEX('_角色基线'!$C$2:$C$100,MATCH($B431,'_角色基线'!$A$2:$A$100,0)),"")</x:f>
        <x:v>DPS</x:v>
      </x:c>
      <x:c r="O431" s="4" t="n">
        <x:f>IFERROR(INDEX('_怪物基线'!$B$2:$B$501,MATCH(INT($L431),'_怪物基线'!$A$2:$A$501,0)),"")</x:f>
        <x:v>335342</x:v>
      </x:c>
      <x:c r="P431" s="4" t="n">
        <x:f>IFERROR(INDEX('_怪物基线'!$C$2:$C$501,MATCH(INT($L431),'_怪物基线'!$A$2:$A$501,0)),"")</x:f>
        <x:v>32567</x:v>
      </x:c>
      <x:c r="Q431" s="4" t="n">
        <x:f>IFERROR(INDEX('_怪物基线'!$D$2:$D$501,MATCH(INT($L431),'_怪物基线'!$A$2:$A$501,0)),"")</x:f>
        <x:v>27281</x:v>
      </x:c>
      <x:c r="R431" s="4" t="n">
        <x:f>'参数'!$B$10</x:f>
        <x:v>4</x:v>
      </x:c>
      <x:c r="S431" s="4" t="n">
        <x:f>'参数'!$C$10</x:f>
        <x:v>1.2</x:v>
      </x:c>
      <x:c r="T431" s="4" t="n">
        <x:f>'参数'!$D$10</x:f>
        <x:v>1</x:v>
      </x:c>
      <x:c r="U431" s="4" t="n">
        <x:f t="shared" si="42">IF($O431="","",$O431*$R431)</x:f>
        <x:v>1341368</x:v>
      </x:c>
      <x:c r="V431" s="4" t="n">
        <x:f t="shared" si="43">IF($P431="","",$P431*$S431)</x:f>
        <x:v>39080.4</x:v>
      </x:c>
      <x:c r="W431" s="4" t="n">
        <x:f t="shared" si="44">IF($Q431="","",$Q431*$T431)</x:f>
        <x:v>27281</x:v>
      </x:c>
      <x:c r="X431" s="4" t="n">
        <x:f>IFERROR(INDEX('参数'!$B$5:$B$7,MATCH($N431,'参数'!$A$5:$A$7,0)),"")</x:f>
        <x:v>1</x:v>
      </x:c>
      <x:c r="Y431" s="4" t="n">
        <x:f>IFERROR(INDEX('参数'!$C$5:$C$7,MATCH($N431,'参数'!$A$5:$A$7,0)),"")</x:f>
        <x:v>1.2</x:v>
      </x:c>
      <x:c r="Z431" s="4" t="n">
        <x:f>IFERROR(INDEX('参数'!$D$5:$D$7,MATCH($N431,'参数'!$A$5:$A$7,0)),"")</x:f>
        <x:v>1</x:v>
      </x:c>
      <x:c r="AA431" s="4" t="n">
        <x:f>IFERROR(INDEX('楼层配置'!$E$5:$E$104,MATCH($K431,'楼层配置'!$B$5:$B$104,0)),1)</x:f>
        <x:v>1.1353989954122308</x:v>
      </x:c>
      <x:c r="AB431" s="4" t="n">
        <x:f>IFERROR(INDEX('楼层配置'!$F$5:$F$104,MATCH($K431,'楼层配置'!$B$5:$B$104,0)),1)</x:f>
        <x:v>0.7169509870843505</x:v>
      </x:c>
      <x:c r="AC431" s="4" t="n">
        <x:f>IFERROR(INDEX('楼层配置'!$G$5:$G$104,MATCH($K431,'楼层配置'!$B$5:$B$104,0)),1)</x:f>
        <x:v>1</x:v>
      </x:c>
      <x:c r="AD431" s="6" t="n">
        <x:f t="shared" si="45">IFERROR($D431/$G431-1,"")</x:f>
        <x:v>-0.5108875742305411</x:v>
      </x:c>
      <x:c r="AE431" s="6" t="n">
        <x:f t="shared" si="46">IFERROR($E431/$H431-1,"")</x:f>
        <x:v>-0.3468158682053075</x:v>
      </x:c>
      <x:c r="AF431" s="6" t="n">
        <x:f t="shared" si="47">IFERROR($F431/$I431-1,"")</x:f>
        <x:v>-0.03252003688204841</x:v>
      </x:c>
      <x:c r="AG431" s="4" t="str">
        <x:f t="shared" si="48">IF(AND($A431&gt;=1,$L431&gt;=1,$L431&lt;=500,OR($N431="Tank",$N431="DPS",$N431="Support"),ISNUMBER($D431),ISNUMBER($E431),ISNUMBER($F431)),"有效","异常")</x:f>
        <x:v>有效</x:v>
      </x:c>
      <x:c r="AH431" t="n">
        <x:f>D431/(1-MIN(0.75,F431/(24000+F431)))</x:f>
        <x:v>3254181.151166667</x:v>
      </x:c>
    </x:row>
    <x:row r="432" ht="14.25" customHeight="1">
      <x:c r="A432" s="4">
        <x:v>428</x:v>
      </x:c>
      <x:c r="B432" s="4">
        <x:v>1011</x:v>
      </x:c>
      <x:c r="C432" s="4">
        <x:v>53</x:v>
      </x:c>
      <x:c r="D432" s="5" t="n">
        <x:f>IFERROR(ROUND($U432*$X432*$AA432*'参数'!$B$13,0),"")</x:f>
        <x:v>1903735</x:v>
      </x:c>
      <x:c r="E432" s="5" t="n">
        <x:f>IFERROR(ROUND($V432*$Y432*$AB432*'参数'!$C$13,0),"")</x:f>
        <x:v>28019</x:v>
      </x:c>
      <x:c r="F432" s="5" t="n">
        <x:f>IFERROR(ROUND($W432*$Z432*$AC432*'参数'!$D$13,0),"")</x:f>
        <x:v>34101</x:v>
      </x:c>
      <x:c r="G432" s="4">
        <x:v>3892224</x:v>
      </x:c>
      <x:c r="H432" s="4">
        <x:v>42895</x:v>
      </x:c>
      <x:c r="I432" s="4">
        <x:v>35248</x:v>
      </x:c>
      <x:c r="J432" s="4">
        <x:v>86</x:v>
      </x:c>
      <x:c r="K432" s="4">
        <x:v>86</x:v>
      </x:c>
      <x:c r="L432" s="4" t="n">
        <x:f>IFERROR(INDEX('楼层配置'!$D$5:$D$104,MATCH($K432,'楼层配置'!$B$5:$B$104,0)),"")</x:f>
        <x:v>263</x:v>
      </x:c>
      <x:c r="M432" s="4" t="str">
        <x:f>IFERROR(INDEX('_角色基线'!$B$2:$B$100,MATCH($B432,'_角色基线'!$A$2:$A$100,0)),"")</x:f>
        <x:v>陈双双</x:v>
      </x:c>
      <x:c r="N432" s="4" t="str">
        <x:f>IFERROR(INDEX('_角色基线'!$C$2:$C$100,MATCH($B432,'_角色基线'!$A$2:$A$100,0)),"")</x:f>
        <x:v>Support</x:v>
      </x:c>
      <x:c r="O432" s="4" t="n">
        <x:f>IFERROR(INDEX('_怪物基线'!$B$2:$B$501,MATCH(INT($L432),'_怪物基线'!$A$2:$A$501,0)),"")</x:f>
        <x:v>335342</x:v>
      </x:c>
      <x:c r="P432" s="4" t="n">
        <x:f>IFERROR(INDEX('_怪物基线'!$C$2:$C$501,MATCH(INT($L432),'_怪物基线'!$A$2:$A$501,0)),"")</x:f>
        <x:v>32567</x:v>
      </x:c>
      <x:c r="Q432" s="4" t="n">
        <x:f>IFERROR(INDEX('_怪物基线'!$D$2:$D$501,MATCH(INT($L432),'_怪物基线'!$A$2:$A$501,0)),"")</x:f>
        <x:v>27281</x:v>
      </x:c>
      <x:c r="R432" s="4" t="n">
        <x:f>'参数'!$B$10</x:f>
        <x:v>4</x:v>
      </x:c>
      <x:c r="S432" s="4" t="n">
        <x:f>'参数'!$C$10</x:f>
        <x:v>1.2</x:v>
      </x:c>
      <x:c r="T432" s="4" t="n">
        <x:f>'参数'!$D$10</x:f>
        <x:v>1</x:v>
      </x:c>
      <x:c r="U432" s="4" t="n">
        <x:f t="shared" si="42">IF($O432="","",$O432*$R432)</x:f>
        <x:v>1341368</x:v>
      </x:c>
      <x:c r="V432" s="4" t="n">
        <x:f t="shared" si="43">IF($P432="","",$P432*$S432)</x:f>
        <x:v>39080.4</x:v>
      </x:c>
      <x:c r="W432" s="4" t="n">
        <x:f t="shared" si="44">IF($Q432="","",$Q432*$T432)</x:f>
        <x:v>27281</x:v>
      </x:c>
      <x:c r="X432" s="4" t="n">
        <x:f>IFERROR(INDEX('参数'!$B$5:$B$7,MATCH($N432,'参数'!$A$5:$A$7,0)),"")</x:f>
        <x:v>1.25</x:v>
      </x:c>
      <x:c r="Y432" s="4" t="n">
        <x:f>IFERROR(INDEX('参数'!$C$5:$C$7,MATCH($N432,'参数'!$A$5:$A$7,0)),"")</x:f>
        <x:v>1</x:v>
      </x:c>
      <x:c r="Z432" s="4" t="n">
        <x:f>IFERROR(INDEX('参数'!$D$5:$D$7,MATCH($N432,'参数'!$A$5:$A$7,0)),"")</x:f>
        <x:v>1.25</x:v>
      </x:c>
      <x:c r="AA432" s="4" t="n">
        <x:f>IFERROR(INDEX('楼层配置'!$E$5:$E$104,MATCH($K432,'楼层配置'!$B$5:$B$104,0)),1)</x:f>
        <x:v>1.1353989954122308</x:v>
      </x:c>
      <x:c r="AB432" s="4" t="n">
        <x:f>IFERROR(INDEX('楼层配置'!$F$5:$F$104,MATCH($K432,'楼层配置'!$B$5:$B$104,0)),1)</x:f>
        <x:v>0.7169509870843505</x:v>
      </x:c>
      <x:c r="AC432" s="4" t="n">
        <x:f>IFERROR(INDEX('楼层配置'!$G$5:$G$104,MATCH($K432,'楼层配置'!$B$5:$B$104,0)),1)</x:f>
        <x:v>1</x:v>
      </x:c>
      <x:c r="AD432" s="6" t="n">
        <x:f t="shared" si="45">IFERROR($D432/$G432-1,"")</x:f>
        <x:v>-0.5108876056465403</x:v>
      </x:c>
      <x:c r="AE432" s="6" t="n">
        <x:f t="shared" si="46">IFERROR($E432/$H432-1,"")</x:f>
        <x:v>-0.3468003263783658</x:v>
      </x:c>
      <x:c r="AF432" s="6" t="n">
        <x:f t="shared" si="47">IFERROR($F432/$I432-1,"")</x:f>
        <x:v>-0.032540853381752166</x:v>
      </x:c>
      <x:c r="AG432" s="4" t="str">
        <x:f t="shared" si="48">IF(AND($A432&gt;=1,$L432&gt;=1,$L432&lt;=500,OR($N432="Tank",$N432="DPS",$N432="Support"),ISNUMBER($D432),ISNUMBER($E432),ISNUMBER($F432)),"有效","异常")</x:f>
        <x:v>有效</x:v>
      </x:c>
      <x:c r="AH432" t="n">
        <x:f>D432/(1-MIN(0.75,F432/(24000+F432)))</x:f>
        <x:v>4608704.468125</x:v>
      </x:c>
    </x:row>
    <x:row r="433" ht="14.25" customHeight="1">
      <x:c r="A433" s="4">
        <x:v>429</x:v>
      </x:c>
      <x:c r="B433" s="4">
        <x:v>1013</x:v>
      </x:c>
      <x:c r="C433" s="4">
        <x:v>53</x:v>
      </x:c>
      <x:c r="D433" s="5" t="n">
        <x:f>IFERROR(ROUND($U433*$X433*$AA433*'参数'!$B$13,0),"")</x:f>
        <x:v>1522988</x:v>
      </x:c>
      <x:c r="E433" s="5" t="n">
        <x:f>IFERROR(ROUND($V433*$Y433*$AB433*'参数'!$C$13,0),"")</x:f>
        <x:v>33622</x:v>
      </x:c>
      <x:c r="F433" s="5" t="n">
        <x:f>IFERROR(ROUND($W433*$Z433*$AC433*'参数'!$D$13,0),"")</x:f>
        <x:v>27281</x:v>
      </x:c>
      <x:c r="G433" s="4">
        <x:v>3113779</x:v>
      </x:c>
      <x:c r="H433" s="4">
        <x:v>51474</x:v>
      </x:c>
      <x:c r="I433" s="4">
        <x:v>28198</x:v>
      </x:c>
      <x:c r="J433" s="4">
        <x:v>86</x:v>
      </x:c>
      <x:c r="K433" s="4">
        <x:v>86</x:v>
      </x:c>
      <x:c r="L433" s="4" t="n">
        <x:f>IFERROR(INDEX('楼层配置'!$D$5:$D$104,MATCH($K433,'楼层配置'!$B$5:$B$104,0)),"")</x:f>
        <x:v>263</x:v>
      </x:c>
      <x:c r="M433" s="4" t="str">
        <x:f>IFERROR(INDEX('_角色基线'!$B$2:$B$100,MATCH($B433,'_角色基线'!$A$2:$A$100,0)),"")</x:f>
        <x:v>夏缇拉</x:v>
      </x:c>
      <x:c r="N433" s="4" t="str">
        <x:f>IFERROR(INDEX('_角色基线'!$C$2:$C$100,MATCH($B433,'_角色基线'!$A$2:$A$100,0)),"")</x:f>
        <x:v>DPS</x:v>
      </x:c>
      <x:c r="O433" s="4" t="n">
        <x:f>IFERROR(INDEX('_怪物基线'!$B$2:$B$501,MATCH(INT($L433),'_怪物基线'!$A$2:$A$501,0)),"")</x:f>
        <x:v>335342</x:v>
      </x:c>
      <x:c r="P433" s="4" t="n">
        <x:f>IFERROR(INDEX('_怪物基线'!$C$2:$C$501,MATCH(INT($L433),'_怪物基线'!$A$2:$A$501,0)),"")</x:f>
        <x:v>32567</x:v>
      </x:c>
      <x:c r="Q433" s="4" t="n">
        <x:f>IFERROR(INDEX('_怪物基线'!$D$2:$D$501,MATCH(INT($L433),'_怪物基线'!$A$2:$A$501,0)),"")</x:f>
        <x:v>27281</x:v>
      </x:c>
      <x:c r="R433" s="4" t="n">
        <x:f>'参数'!$B$10</x:f>
        <x:v>4</x:v>
      </x:c>
      <x:c r="S433" s="4" t="n">
        <x:f>'参数'!$C$10</x:f>
        <x:v>1.2</x:v>
      </x:c>
      <x:c r="T433" s="4" t="n">
        <x:f>'参数'!$D$10</x:f>
        <x:v>1</x:v>
      </x:c>
      <x:c r="U433" s="4" t="n">
        <x:f t="shared" si="42">IF($O433="","",$O433*$R433)</x:f>
        <x:v>1341368</x:v>
      </x:c>
      <x:c r="V433" s="4" t="n">
        <x:f t="shared" si="43">IF($P433="","",$P433*$S433)</x:f>
        <x:v>39080.4</x:v>
      </x:c>
      <x:c r="W433" s="4" t="n">
        <x:f t="shared" si="44">IF($Q433="","",$Q433*$T433)</x:f>
        <x:v>27281</x:v>
      </x:c>
      <x:c r="X433" s="4" t="n">
        <x:f>IFERROR(INDEX('参数'!$B$5:$B$7,MATCH($N433,'参数'!$A$5:$A$7,0)),"")</x:f>
        <x:v>1</x:v>
      </x:c>
      <x:c r="Y433" s="4" t="n">
        <x:f>IFERROR(INDEX('参数'!$C$5:$C$7,MATCH($N433,'参数'!$A$5:$A$7,0)),"")</x:f>
        <x:v>1.2</x:v>
      </x:c>
      <x:c r="Z433" s="4" t="n">
        <x:f>IFERROR(INDEX('参数'!$D$5:$D$7,MATCH($N433,'参数'!$A$5:$A$7,0)),"")</x:f>
        <x:v>1</x:v>
      </x:c>
      <x:c r="AA433" s="4" t="n">
        <x:f>IFERROR(INDEX('楼层配置'!$E$5:$E$104,MATCH($K433,'楼层配置'!$B$5:$B$104,0)),1)</x:f>
        <x:v>1.1353989954122308</x:v>
      </x:c>
      <x:c r="AB433" s="4" t="n">
        <x:f>IFERROR(INDEX('楼层配置'!$F$5:$F$104,MATCH($K433,'楼层配置'!$B$5:$B$104,0)),1)</x:f>
        <x:v>0.7169509870843505</x:v>
      </x:c>
      <x:c r="AC433" s="4" t="n">
        <x:f>IFERROR(INDEX('楼层配置'!$G$5:$G$104,MATCH($K433,'楼层配置'!$B$5:$B$104,0)),1)</x:f>
        <x:v>1</x:v>
      </x:c>
      <x:c r="AD433" s="6" t="n">
        <x:f t="shared" si="45">IFERROR($D433/$G433-1,"")</x:f>
        <x:v>-0.5108875742305411</x:v>
      </x:c>
      <x:c r="AE433" s="6" t="n">
        <x:f t="shared" si="46">IFERROR($E433/$H433-1,"")</x:f>
        <x:v>-0.3468158682053075</x:v>
      </x:c>
      <x:c r="AF433" s="6" t="n">
        <x:f t="shared" si="47">IFERROR($F433/$I433-1,"")</x:f>
        <x:v>-0.03252003688204841</x:v>
      </x:c>
      <x:c r="AG433" s="4" t="str">
        <x:f t="shared" si="48">IF(AND($A433&gt;=1,$L433&gt;=1,$L433&lt;=500,OR($N433="Tank",$N433="DPS",$N433="Support"),ISNUMBER($D433),ISNUMBER($E433),ISNUMBER($F433)),"有效","异常")</x:f>
        <x:v>有效</x:v>
      </x:c>
      <x:c r="AH433" t="n">
        <x:f>D433/(1-MIN(0.75,F433/(24000+F433)))</x:f>
        <x:v>3254181.151166667</x:v>
      </x:c>
    </x:row>
    <x:row r="434" ht="14.25" customHeight="1">
      <x:c r="A434" s="4">
        <x:v>430</x:v>
      </x:c>
      <x:c r="B434" s="4">
        <x:v>1005</x:v>
      </x:c>
      <x:c r="C434" s="4">
        <x:v>53</x:v>
      </x:c>
      <x:c r="D434" s="5" t="n">
        <x:f>IFERROR(ROUND($U434*$X434*$AA434*'参数'!$B$13,0),"")</x:f>
        <x:v>1522988</x:v>
      </x:c>
      <x:c r="E434" s="5" t="n">
        <x:f>IFERROR(ROUND($V434*$Y434*$AB434*'参数'!$C$13,0),"")</x:f>
        <x:v>33622</x:v>
      </x:c>
      <x:c r="F434" s="5" t="n">
        <x:f>IFERROR(ROUND($W434*$Z434*$AC434*'参数'!$D$13,0),"")</x:f>
        <x:v>27281</x:v>
      </x:c>
      <x:c r="G434" s="4">
        <x:v>3113779</x:v>
      </x:c>
      <x:c r="H434" s="4">
        <x:v>51474</x:v>
      </x:c>
      <x:c r="I434" s="4">
        <x:v>28198</x:v>
      </x:c>
      <x:c r="J434" s="4">
        <x:v>86</x:v>
      </x:c>
      <x:c r="K434" s="4">
        <x:v>86</x:v>
      </x:c>
      <x:c r="L434" s="4" t="n">
        <x:f>IFERROR(INDEX('楼层配置'!$D$5:$D$104,MATCH($K434,'楼层配置'!$B$5:$B$104,0)),"")</x:f>
        <x:v>263</x:v>
      </x:c>
      <x:c r="M434" s="4" t="str">
        <x:f>IFERROR(INDEX('_角色基线'!$B$2:$B$100,MATCH($B434,'_角色基线'!$A$2:$A$100,0)),"")</x:f>
        <x:v>陈单单</x:v>
      </x:c>
      <x:c r="N434" s="4" t="str">
        <x:f>IFERROR(INDEX('_角色基线'!$C$2:$C$100,MATCH($B434,'_角色基线'!$A$2:$A$100,0)),"")</x:f>
        <x:v>DPS</x:v>
      </x:c>
      <x:c r="O434" s="4" t="n">
        <x:f>IFERROR(INDEX('_怪物基线'!$B$2:$B$501,MATCH(INT($L434),'_怪物基线'!$A$2:$A$501,0)),"")</x:f>
        <x:v>335342</x:v>
      </x:c>
      <x:c r="P434" s="4" t="n">
        <x:f>IFERROR(INDEX('_怪物基线'!$C$2:$C$501,MATCH(INT($L434),'_怪物基线'!$A$2:$A$501,0)),"")</x:f>
        <x:v>32567</x:v>
      </x:c>
      <x:c r="Q434" s="4" t="n">
        <x:f>IFERROR(INDEX('_怪物基线'!$D$2:$D$501,MATCH(INT($L434),'_怪物基线'!$A$2:$A$501,0)),"")</x:f>
        <x:v>27281</x:v>
      </x:c>
      <x:c r="R434" s="4" t="n">
        <x:f>'参数'!$B$10</x:f>
        <x:v>4</x:v>
      </x:c>
      <x:c r="S434" s="4" t="n">
        <x:f>'参数'!$C$10</x:f>
        <x:v>1.2</x:v>
      </x:c>
      <x:c r="T434" s="4" t="n">
        <x:f>'参数'!$D$10</x:f>
        <x:v>1</x:v>
      </x:c>
      <x:c r="U434" s="4" t="n">
        <x:f t="shared" si="42">IF($O434="","",$O434*$R434)</x:f>
        <x:v>1341368</x:v>
      </x:c>
      <x:c r="V434" s="4" t="n">
        <x:f t="shared" si="43">IF($P434="","",$P434*$S434)</x:f>
        <x:v>39080.4</x:v>
      </x:c>
      <x:c r="W434" s="4" t="n">
        <x:f t="shared" si="44">IF($Q434="","",$Q434*$T434)</x:f>
        <x:v>27281</x:v>
      </x:c>
      <x:c r="X434" s="4" t="n">
        <x:f>IFERROR(INDEX('参数'!$B$5:$B$7,MATCH($N434,'参数'!$A$5:$A$7,0)),"")</x:f>
        <x:v>1</x:v>
      </x:c>
      <x:c r="Y434" s="4" t="n">
        <x:f>IFERROR(INDEX('参数'!$C$5:$C$7,MATCH($N434,'参数'!$A$5:$A$7,0)),"")</x:f>
        <x:v>1.2</x:v>
      </x:c>
      <x:c r="Z434" s="4" t="n">
        <x:f>IFERROR(INDEX('参数'!$D$5:$D$7,MATCH($N434,'参数'!$A$5:$A$7,0)),"")</x:f>
        <x:v>1</x:v>
      </x:c>
      <x:c r="AA434" s="4" t="n">
        <x:f>IFERROR(INDEX('楼层配置'!$E$5:$E$104,MATCH($K434,'楼层配置'!$B$5:$B$104,0)),1)</x:f>
        <x:v>1.1353989954122308</x:v>
      </x:c>
      <x:c r="AB434" s="4" t="n">
        <x:f>IFERROR(INDEX('楼层配置'!$F$5:$F$104,MATCH($K434,'楼层配置'!$B$5:$B$104,0)),1)</x:f>
        <x:v>0.7169509870843505</x:v>
      </x:c>
      <x:c r="AC434" s="4" t="n">
        <x:f>IFERROR(INDEX('楼层配置'!$G$5:$G$104,MATCH($K434,'楼层配置'!$B$5:$B$104,0)),1)</x:f>
        <x:v>1</x:v>
      </x:c>
      <x:c r="AD434" s="6" t="n">
        <x:f t="shared" si="45">IFERROR($D434/$G434-1,"")</x:f>
        <x:v>-0.5108875742305411</x:v>
      </x:c>
      <x:c r="AE434" s="6" t="n">
        <x:f t="shared" si="46">IFERROR($E434/$H434-1,"")</x:f>
        <x:v>-0.3468158682053075</x:v>
      </x:c>
      <x:c r="AF434" s="6" t="n">
        <x:f t="shared" si="47">IFERROR($F434/$I434-1,"")</x:f>
        <x:v>-0.03252003688204841</x:v>
      </x:c>
      <x:c r="AG434" s="4" t="str">
        <x:f t="shared" si="48">IF(AND($A434&gt;=1,$L434&gt;=1,$L434&lt;=500,OR($N434="Tank",$N434="DPS",$N434="Support"),ISNUMBER($D434),ISNUMBER($E434),ISNUMBER($F434)),"有效","异常")</x:f>
        <x:v>有效</x:v>
      </x:c>
      <x:c r="AH434" t="n">
        <x:f>D434/(1-MIN(0.75,F434/(24000+F434)))</x:f>
        <x:v>3254181.151166667</x:v>
      </x:c>
    </x:row>
    <x:row r="435" ht="14.25" customHeight="1">
      <x:c r="A435" s="4">
        <x:v>431</x:v>
      </x:c>
      <x:c r="B435" s="4">
        <x:v>1004</x:v>
      </x:c>
      <x:c r="C435" s="4">
        <x:v>53</x:v>
      </x:c>
      <x:c r="D435" s="5" t="n">
        <x:f>IFERROR(ROUND($U435*$X435*$AA435*'参数'!$B$13,0),"")</x:f>
        <x:v>2304153</x:v>
      </x:c>
      <x:c r="E435" s="5" t="n">
        <x:f>IFERROR(ROUND($V435*$Y435*$AB435*'参数'!$C$13,0),"")</x:f>
        <x:v>28256</x:v>
      </x:c>
      <x:c r="F435" s="5" t="n">
        <x:f>IFERROR(ROUND($W435*$Z435*$AC435*'参数'!$D$13,0),"")</x:f>
        <x:v>41123</x:v>
      </x:c>
      <x:c r="G435" s="4">
        <x:v>4818981</x:v>
      </x:c>
      <x:c r="H435" s="4">
        <x:v>43999</x:v>
      </x:c>
      <x:c r="I435" s="4">
        <x:v>42963</x:v>
      </x:c>
      <x:c r="J435" s="4">
        <x:v>87</x:v>
      </x:c>
      <x:c r="K435" s="4">
        <x:v>87</x:v>
      </x:c>
      <x:c r="L435" s="4" t="n">
        <x:f>IFERROR(INDEX('楼层配置'!$D$5:$D$104,MATCH($K435,'楼层配置'!$B$5:$B$104,0)),"")</x:f>
        <x:v>264</x:v>
      </x:c>
      <x:c r="M435" s="4" t="str">
        <x:f>IFERROR(INDEX('_角色基线'!$B$2:$B$100,MATCH($B435,'_角色基线'!$A$2:$A$100,0)),"")</x:f>
        <x:v>阿芭</x:v>
      </x:c>
      <x:c r="N435" s="4" t="str">
        <x:f>IFERROR(INDEX('_角色基线'!$C$2:$C$100,MATCH($B435,'_角色基线'!$A$2:$A$100,0)),"")</x:f>
        <x:v>Tank</x:v>
      </x:c>
      <x:c r="O435" s="4" t="n">
        <x:f>IFERROR(INDEX('_怪物基线'!$B$2:$B$501,MATCH(INT($L435),'_怪物基线'!$A$2:$A$501,0)),"")</x:f>
        <x:v>338766</x:v>
      </x:c>
      <x:c r="P435" s="4" t="n">
        <x:f>IFERROR(INDEX('_怪物基线'!$C$2:$C$501,MATCH(INT($L435),'_怪物基线'!$A$2:$A$501,0)),"")</x:f>
        <x:v>32814</x:v>
      </x:c>
      <x:c r="Q435" s="4" t="n">
        <x:f>IFERROR(INDEX('_怪物基线'!$D$2:$D$501,MATCH(INT($L435),'_怪物基线'!$A$2:$A$501,0)),"")</x:f>
        <x:v>27415</x:v>
      </x:c>
      <x:c r="R435" s="4" t="n">
        <x:f>'参数'!$B$10</x:f>
        <x:v>4</x:v>
      </x:c>
      <x:c r="S435" s="4" t="n">
        <x:f>'参数'!$C$10</x:f>
        <x:v>1.2</x:v>
      </x:c>
      <x:c r="T435" s="4" t="n">
        <x:f>'参数'!$D$10</x:f>
        <x:v>1</x:v>
      </x:c>
      <x:c r="U435" s="4" t="n">
        <x:f t="shared" si="42">IF($O435="","",$O435*$R435)</x:f>
        <x:v>1355064</x:v>
      </x:c>
      <x:c r="V435" s="4" t="n">
        <x:f t="shared" si="43">IF($P435="","",$P435*$S435)</x:f>
        <x:v>39376.799999999996</x:v>
      </x:c>
      <x:c r="W435" s="4" t="n">
        <x:f t="shared" si="44">IF($Q435="","",$Q435*$T435)</x:f>
        <x:v>27415</x:v>
      </x:c>
      <x:c r="X435" s="4" t="n">
        <x:f>IFERROR(INDEX('参数'!$B$5:$B$7,MATCH($N435,'参数'!$A$5:$A$7,0)),"")</x:f>
        <x:v>1.5</x:v>
      </x:c>
      <x:c r="Y435" s="4" t="n">
        <x:f>IFERROR(INDEX('参数'!$C$5:$C$7,MATCH($N435,'参数'!$A$5:$A$7,0)),"")</x:f>
        <x:v>1</x:v>
      </x:c>
      <x:c r="Z435" s="4" t="n">
        <x:f>IFERROR(INDEX('参数'!$D$5:$D$7,MATCH($N435,'参数'!$A$5:$A$7,0)),"")</x:f>
        <x:v>1.5</x:v>
      </x:c>
      <x:c r="AA435" s="4" t="n">
        <x:f>IFERROR(INDEX('楼层配置'!$E$5:$E$104,MATCH($K435,'楼层配置'!$B$5:$B$104,0)),1)</x:f>
        <x:v>1.133600943536387</x:v>
      </x:c>
      <x:c r="AB435" s="4" t="n">
        <x:f>IFERROR(INDEX('楼层配置'!$F$5:$F$104,MATCH($K435,'楼层配置'!$B$5:$B$104,0)),1)</x:f>
        <x:v>0.7175777777052407</x:v>
      </x:c>
      <x:c r="AC435" s="4" t="n">
        <x:f>IFERROR(INDEX('楼层配置'!$G$5:$G$104,MATCH($K435,'楼层配置'!$B$5:$B$104,0)),1)</x:f>
        <x:v>1</x:v>
      </x:c>
      <x:c r="AD435" s="6" t="n">
        <x:f t="shared" si="45">IFERROR($D435/$G435-1,"")</x:f>
        <x:v>-0.521858874313885</x:v>
      </x:c>
      <x:c r="AE435" s="6" t="n">
        <x:f t="shared" si="46">IFERROR($E435/$H435-1,"")</x:f>
        <x:v>-0.3578035864451464</x:v>
      </x:c>
      <x:c r="AF435" s="6" t="n">
        <x:f t="shared" si="47">IFERROR($F435/$I435-1,"")</x:f>
        <x:v>-0.04282754928659549</x:v>
      </x:c>
      <x:c r="AG435" s="4" t="str">
        <x:f t="shared" si="48">IF(AND($A435&gt;=1,$L435&gt;=1,$L435&lt;=500,OR($N435="Tank",$N435="DPS",$N435="Support"),ISNUMBER($D435),ISNUMBER($E435),ISNUMBER($F435)),"有效","异常")</x:f>
        <x:v>有效</x:v>
      </x:c>
      <x:c r="AH435" t="n">
        <x:f>D435/(1-MIN(0.75,F435/(24000+F435)))</x:f>
        <x:v>6252223.159125</x:v>
      </x:c>
    </x:row>
    <x:row r="436" ht="14.25" customHeight="1">
      <x:c r="A436" s="4">
        <x:v>432</x:v>
      </x:c>
      <x:c r="B436" s="4">
        <x:v>1011</x:v>
      </x:c>
      <x:c r="C436" s="4">
        <x:v>53</x:v>
      </x:c>
      <x:c r="D436" s="5" t="n">
        <x:f>IFERROR(ROUND($U436*$X436*$AA436*'参数'!$B$13,0),"")</x:f>
        <x:v>1920127</x:v>
      </x:c>
      <x:c r="E436" s="5" t="n">
        <x:f>IFERROR(ROUND($V436*$Y436*$AB436*'参数'!$C$13,0),"")</x:f>
        <x:v>28256</x:v>
      </x:c>
      <x:c r="F436" s="5" t="n">
        <x:f>IFERROR(ROUND($W436*$Z436*$AC436*'参数'!$D$13,0),"")</x:f>
        <x:v>34269</x:v>
      </x:c>
      <x:c r="G436" s="4">
        <x:v>4015818</x:v>
      </x:c>
      <x:c r="H436" s="4">
        <x:v>43999</x:v>
      </x:c>
      <x:c r="I436" s="4">
        <x:v>35803</x:v>
      </x:c>
      <x:c r="J436" s="4">
        <x:v>87</x:v>
      </x:c>
      <x:c r="K436" s="4">
        <x:v>87</x:v>
      </x:c>
      <x:c r="L436" s="4" t="n">
        <x:f>IFERROR(INDEX('楼层配置'!$D$5:$D$104,MATCH($K436,'楼层配置'!$B$5:$B$104,0)),"")</x:f>
        <x:v>264</x:v>
      </x:c>
      <x:c r="M436" s="4" t="str">
        <x:f>IFERROR(INDEX('_角色基线'!$B$2:$B$100,MATCH($B436,'_角色基线'!$A$2:$A$100,0)),"")</x:f>
        <x:v>陈双双</x:v>
      </x:c>
      <x:c r="N436" s="4" t="str">
        <x:f>IFERROR(INDEX('_角色基线'!$C$2:$C$100,MATCH($B436,'_角色基线'!$A$2:$A$100,0)),"")</x:f>
        <x:v>Support</x:v>
      </x:c>
      <x:c r="O436" s="4" t="n">
        <x:f>IFERROR(INDEX('_怪物基线'!$B$2:$B$501,MATCH(INT($L436),'_怪物基线'!$A$2:$A$501,0)),"")</x:f>
        <x:v>338766</x:v>
      </x:c>
      <x:c r="P436" s="4" t="n">
        <x:f>IFERROR(INDEX('_怪物基线'!$C$2:$C$501,MATCH(INT($L436),'_怪物基线'!$A$2:$A$501,0)),"")</x:f>
        <x:v>32814</x:v>
      </x:c>
      <x:c r="Q436" s="4" t="n">
        <x:f>IFERROR(INDEX('_怪物基线'!$D$2:$D$501,MATCH(INT($L436),'_怪物基线'!$A$2:$A$501,0)),"")</x:f>
        <x:v>27415</x:v>
      </x:c>
      <x:c r="R436" s="4" t="n">
        <x:f>'参数'!$B$10</x:f>
        <x:v>4</x:v>
      </x:c>
      <x:c r="S436" s="4" t="n">
        <x:f>'参数'!$C$10</x:f>
        <x:v>1.2</x:v>
      </x:c>
      <x:c r="T436" s="4" t="n">
        <x:f>'参数'!$D$10</x:f>
        <x:v>1</x:v>
      </x:c>
      <x:c r="U436" s="4" t="n">
        <x:f t="shared" si="42">IF($O436="","",$O436*$R436)</x:f>
        <x:v>1355064</x:v>
      </x:c>
      <x:c r="V436" s="4" t="n">
        <x:f t="shared" si="43">IF($P436="","",$P436*$S436)</x:f>
        <x:v>39376.799999999996</x:v>
      </x:c>
      <x:c r="W436" s="4" t="n">
        <x:f t="shared" si="44">IF($Q436="","",$Q436*$T436)</x:f>
        <x:v>27415</x:v>
      </x:c>
      <x:c r="X436" s="4" t="n">
        <x:f>IFERROR(INDEX('参数'!$B$5:$B$7,MATCH($N436,'参数'!$A$5:$A$7,0)),"")</x:f>
        <x:v>1.25</x:v>
      </x:c>
      <x:c r="Y436" s="4" t="n">
        <x:f>IFERROR(INDEX('参数'!$C$5:$C$7,MATCH($N436,'参数'!$A$5:$A$7,0)),"")</x:f>
        <x:v>1</x:v>
      </x:c>
      <x:c r="Z436" s="4" t="n">
        <x:f>IFERROR(INDEX('参数'!$D$5:$D$7,MATCH($N436,'参数'!$A$5:$A$7,0)),"")</x:f>
        <x:v>1.25</x:v>
      </x:c>
      <x:c r="AA436" s="4" t="n">
        <x:f>IFERROR(INDEX('楼层配置'!$E$5:$E$104,MATCH($K436,'楼层配置'!$B$5:$B$104,0)),1)</x:f>
        <x:v>1.133600943536387</x:v>
      </x:c>
      <x:c r="AB436" s="4" t="n">
        <x:f>IFERROR(INDEX('楼层配置'!$F$5:$F$104,MATCH($K436,'楼层配置'!$B$5:$B$104,0)),1)</x:f>
        <x:v>0.7175777777052407</x:v>
      </x:c>
      <x:c r="AC436" s="4" t="n">
        <x:f>IFERROR(INDEX('楼层配置'!$G$5:$G$104,MATCH($K436,'楼层配置'!$B$5:$B$104,0)),1)</x:f>
        <x:v>1</x:v>
      </x:c>
      <x:c r="AD436" s="6" t="n">
        <x:f t="shared" si="45">IFERROR($D436/$G436-1,"")</x:f>
        <x:v>-0.5218590583537401</x:v>
      </x:c>
      <x:c r="AE436" s="6" t="n">
        <x:f t="shared" si="46">IFERROR($E436/$H436-1,"")</x:f>
        <x:v>-0.3578035864451464</x:v>
      </x:c>
      <x:c r="AF436" s="6" t="n">
        <x:f t="shared" si="47">IFERROR($F436/$I436-1,"")</x:f>
        <x:v>-0.04284557160014524</x:v>
      </x:c>
      <x:c r="AG436" s="4" t="str">
        <x:f t="shared" si="48">IF(AND($A436&gt;=1,$L436&gt;=1,$L436&lt;=500,OR($N436="Tank",$N436="DPS",$N436="Support"),ISNUMBER($D436),ISNUMBER($E436),ISNUMBER($F436)),"有效","异常")</x:f>
        <x:v>有效</x:v>
      </x:c>
      <x:c r="AH436" t="n">
        <x:f>D436/(1-MIN(0.75,F436/(24000+F436)))</x:f>
        <x:v>4661828.340125</x:v>
      </x:c>
    </x:row>
    <x:row r="437" ht="14.25" customHeight="1">
      <x:c r="A437" s="4">
        <x:v>433</x:v>
      </x:c>
      <x:c r="B437" s="4">
        <x:v>1008</x:v>
      </x:c>
      <x:c r="C437" s="4">
        <x:v>53</x:v>
      </x:c>
      <x:c r="D437" s="5" t="n">
        <x:f>IFERROR(ROUND($U437*$X437*$AA437*'参数'!$B$13,0),"")</x:f>
        <x:v>1536102</x:v>
      </x:c>
      <x:c r="E437" s="5" t="n">
        <x:f>IFERROR(ROUND($V437*$Y437*$AB437*'参数'!$C$13,0),"")</x:f>
        <x:v>33907</x:v>
      </x:c>
      <x:c r="F437" s="5" t="n">
        <x:f>IFERROR(ROUND($W437*$Z437*$AC437*'参数'!$D$13,0),"")</x:f>
        <x:v>27415</x:v>
      </x:c>
      <x:c r="G437" s="4">
        <x:v>3212654</x:v>
      </x:c>
      <x:c r="H437" s="4">
        <x:v>52798</x:v>
      </x:c>
      <x:c r="I437" s="4">
        <x:v>28642</x:v>
      </x:c>
      <x:c r="J437" s="4">
        <x:v>87</x:v>
      </x:c>
      <x:c r="K437" s="4">
        <x:v>87</x:v>
      </x:c>
      <x:c r="L437" s="4" t="n">
        <x:f>IFERROR(INDEX('楼层配置'!$D$5:$D$104,MATCH($K437,'楼层配置'!$B$5:$B$104,0)),"")</x:f>
        <x:v>264</x:v>
      </x:c>
      <x:c r="M437" s="4" t="str">
        <x:f>IFERROR(INDEX('_角色基线'!$B$2:$B$100,MATCH($B437,'_角色基线'!$A$2:$A$100,0)),"")</x:f>
        <x:v>薇</x:v>
      </x:c>
      <x:c r="N437" s="4" t="str">
        <x:f>IFERROR(INDEX('_角色基线'!$C$2:$C$100,MATCH($B437,'_角色基线'!$A$2:$A$100,0)),"")</x:f>
        <x:v>DPS</x:v>
      </x:c>
      <x:c r="O437" s="4" t="n">
        <x:f>IFERROR(INDEX('_怪物基线'!$B$2:$B$501,MATCH(INT($L437),'_怪物基线'!$A$2:$A$501,0)),"")</x:f>
        <x:v>338766</x:v>
      </x:c>
      <x:c r="P437" s="4" t="n">
        <x:f>IFERROR(INDEX('_怪物基线'!$C$2:$C$501,MATCH(INT($L437),'_怪物基线'!$A$2:$A$501,0)),"")</x:f>
        <x:v>32814</x:v>
      </x:c>
      <x:c r="Q437" s="4" t="n">
        <x:f>IFERROR(INDEX('_怪物基线'!$D$2:$D$501,MATCH(INT($L437),'_怪物基线'!$A$2:$A$501,0)),"")</x:f>
        <x:v>27415</x:v>
      </x:c>
      <x:c r="R437" s="4" t="n">
        <x:f>'参数'!$B$10</x:f>
        <x:v>4</x:v>
      </x:c>
      <x:c r="S437" s="4" t="n">
        <x:f>'参数'!$C$10</x:f>
        <x:v>1.2</x:v>
      </x:c>
      <x:c r="T437" s="4" t="n">
        <x:f>'参数'!$D$10</x:f>
        <x:v>1</x:v>
      </x:c>
      <x:c r="U437" s="4" t="n">
        <x:f t="shared" si="42">IF($O437="","",$O437*$R437)</x:f>
        <x:v>1355064</x:v>
      </x:c>
      <x:c r="V437" s="4" t="n">
        <x:f t="shared" si="43">IF($P437="","",$P437*$S437)</x:f>
        <x:v>39376.799999999996</x:v>
      </x:c>
      <x:c r="W437" s="4" t="n">
        <x:f t="shared" si="44">IF($Q437="","",$Q437*$T437)</x:f>
        <x:v>27415</x:v>
      </x:c>
      <x:c r="X437" s="4" t="n">
        <x:f>IFERROR(INDEX('参数'!$B$5:$B$7,MATCH($N437,'参数'!$A$5:$A$7,0)),"")</x:f>
        <x:v>1</x:v>
      </x:c>
      <x:c r="Y437" s="4" t="n">
        <x:f>IFERROR(INDEX('参数'!$C$5:$C$7,MATCH($N437,'参数'!$A$5:$A$7,0)),"")</x:f>
        <x:v>1.2</x:v>
      </x:c>
      <x:c r="Z437" s="4" t="n">
        <x:f>IFERROR(INDEX('参数'!$D$5:$D$7,MATCH($N437,'参数'!$A$5:$A$7,0)),"")</x:f>
        <x:v>1</x:v>
      </x:c>
      <x:c r="AA437" s="4" t="n">
        <x:f>IFERROR(INDEX('楼层配置'!$E$5:$E$104,MATCH($K437,'楼层配置'!$B$5:$B$104,0)),1)</x:f>
        <x:v>1.133600943536387</x:v>
      </x:c>
      <x:c r="AB437" s="4" t="n">
        <x:f>IFERROR(INDEX('楼层配置'!$F$5:$F$104,MATCH($K437,'楼层配置'!$B$5:$B$104,0)),1)</x:f>
        <x:v>0.7175777777052407</x:v>
      </x:c>
      <x:c r="AC437" s="4" t="n">
        <x:f>IFERROR(INDEX('楼层配置'!$G$5:$G$104,MATCH($K437,'楼层配置'!$B$5:$B$104,0)),1)</x:f>
        <x:v>1</x:v>
      </x:c>
      <x:c r="AD437" s="6" t="n">
        <x:f t="shared" si="45">IFERROR($D437/$G437-1,"")</x:f>
        <x:v>-0.521858874313885</x:v>
      </x:c>
      <x:c r="AE437" s="6" t="n">
        <x:f t="shared" si="46">IFERROR($E437/$H437-1,"")</x:f>
        <x:v>-0.3577976438501458</x:v>
      </x:c>
      <x:c r="AF437" s="6" t="n">
        <x:f t="shared" si="47">IFERROR($F437/$I437-1,"")</x:f>
        <x:v>-0.042839187207597273</x:v>
      </x:c>
      <x:c r="AG437" s="4" t="str">
        <x:f t="shared" si="48">IF(AND($A437&gt;=1,$L437&gt;=1,$L437&lt;=500,OR($N437="Tank",$N437="DPS",$N437="Support"),ISNUMBER($D437),ISNUMBER($E437),ISNUMBER($F437)),"有效","异常")</x:f>
        <x:v>有效</x:v>
      </x:c>
      <x:c r="AH437" t="n">
        <x:f>D437/(1-MIN(0.75,F437/(24000+F437)))</x:f>
        <x:v>3290778.5137500004</x:v>
      </x:c>
    </x:row>
    <x:row r="438" ht="14.25" customHeight="1">
      <x:c r="A438" s="4">
        <x:v>434</x:v>
      </x:c>
      <x:c r="B438" s="4">
        <x:v>1006</x:v>
      </x:c>
      <x:c r="C438" s="4">
        <x:v>53</x:v>
      </x:c>
      <x:c r="D438" s="5" t="n">
        <x:f>IFERROR(ROUND($U438*$X438*$AA438*'参数'!$B$13,0),"")</x:f>
        <x:v>1536102</x:v>
      </x:c>
      <x:c r="E438" s="5" t="n">
        <x:f>IFERROR(ROUND($V438*$Y438*$AB438*'参数'!$C$13,0),"")</x:f>
        <x:v>33907</x:v>
      </x:c>
      <x:c r="F438" s="5" t="n">
        <x:f>IFERROR(ROUND($W438*$Z438*$AC438*'参数'!$D$13,0),"")</x:f>
        <x:v>27415</x:v>
      </x:c>
      <x:c r="G438" s="4">
        <x:v>3212654</x:v>
      </x:c>
      <x:c r="H438" s="4">
        <x:v>52798</x:v>
      </x:c>
      <x:c r="I438" s="4">
        <x:v>28642</x:v>
      </x:c>
      <x:c r="J438" s="4">
        <x:v>87</x:v>
      </x:c>
      <x:c r="K438" s="4">
        <x:v>87</x:v>
      </x:c>
      <x:c r="L438" s="4" t="n">
        <x:f>IFERROR(INDEX('楼层配置'!$D$5:$D$104,MATCH($K438,'楼层配置'!$B$5:$B$104,0)),"")</x:f>
        <x:v>264</x:v>
      </x:c>
      <x:c r="M438" s="4" t="str">
        <x:f>IFERROR(INDEX('_角色基线'!$B$2:$B$100,MATCH($B438,'_角色基线'!$A$2:$A$100,0)),"")</x:f>
        <x:v>莉莉娅</x:v>
      </x:c>
      <x:c r="N438" s="4" t="str">
        <x:f>IFERROR(INDEX('_角色基线'!$C$2:$C$100,MATCH($B438,'_角色基线'!$A$2:$A$100,0)),"")</x:f>
        <x:v>DPS</x:v>
      </x:c>
      <x:c r="O438" s="4" t="n">
        <x:f>IFERROR(INDEX('_怪物基线'!$B$2:$B$501,MATCH(INT($L438),'_怪物基线'!$A$2:$A$501,0)),"")</x:f>
        <x:v>338766</x:v>
      </x:c>
      <x:c r="P438" s="4" t="n">
        <x:f>IFERROR(INDEX('_怪物基线'!$C$2:$C$501,MATCH(INT($L438),'_怪物基线'!$A$2:$A$501,0)),"")</x:f>
        <x:v>32814</x:v>
      </x:c>
      <x:c r="Q438" s="4" t="n">
        <x:f>IFERROR(INDEX('_怪物基线'!$D$2:$D$501,MATCH(INT($L438),'_怪物基线'!$A$2:$A$501,0)),"")</x:f>
        <x:v>27415</x:v>
      </x:c>
      <x:c r="R438" s="4" t="n">
        <x:f>'参数'!$B$10</x:f>
        <x:v>4</x:v>
      </x:c>
      <x:c r="S438" s="4" t="n">
        <x:f>'参数'!$C$10</x:f>
        <x:v>1.2</x:v>
      </x:c>
      <x:c r="T438" s="4" t="n">
        <x:f>'参数'!$D$10</x:f>
        <x:v>1</x:v>
      </x:c>
      <x:c r="U438" s="4" t="n">
        <x:f t="shared" si="42">IF($O438="","",$O438*$R438)</x:f>
        <x:v>1355064</x:v>
      </x:c>
      <x:c r="V438" s="4" t="n">
        <x:f t="shared" si="43">IF($P438="","",$P438*$S438)</x:f>
        <x:v>39376.799999999996</x:v>
      </x:c>
      <x:c r="W438" s="4" t="n">
        <x:f t="shared" si="44">IF($Q438="","",$Q438*$T438)</x:f>
        <x:v>27415</x:v>
      </x:c>
      <x:c r="X438" s="4" t="n">
        <x:f>IFERROR(INDEX('参数'!$B$5:$B$7,MATCH($N438,'参数'!$A$5:$A$7,0)),"")</x:f>
        <x:v>1</x:v>
      </x:c>
      <x:c r="Y438" s="4" t="n">
        <x:f>IFERROR(INDEX('参数'!$C$5:$C$7,MATCH($N438,'参数'!$A$5:$A$7,0)),"")</x:f>
        <x:v>1.2</x:v>
      </x:c>
      <x:c r="Z438" s="4" t="n">
        <x:f>IFERROR(INDEX('参数'!$D$5:$D$7,MATCH($N438,'参数'!$A$5:$A$7,0)),"")</x:f>
        <x:v>1</x:v>
      </x:c>
      <x:c r="AA438" s="4" t="n">
        <x:f>IFERROR(INDEX('楼层配置'!$E$5:$E$104,MATCH($K438,'楼层配置'!$B$5:$B$104,0)),1)</x:f>
        <x:v>1.133600943536387</x:v>
      </x:c>
      <x:c r="AB438" s="4" t="n">
        <x:f>IFERROR(INDEX('楼层配置'!$F$5:$F$104,MATCH($K438,'楼层配置'!$B$5:$B$104,0)),1)</x:f>
        <x:v>0.7175777777052407</x:v>
      </x:c>
      <x:c r="AC438" s="4" t="n">
        <x:f>IFERROR(INDEX('楼层配置'!$G$5:$G$104,MATCH($K438,'楼层配置'!$B$5:$B$104,0)),1)</x:f>
        <x:v>1</x:v>
      </x:c>
      <x:c r="AD438" s="6" t="n">
        <x:f t="shared" si="45">IFERROR($D438/$G438-1,"")</x:f>
        <x:v>-0.521858874313885</x:v>
      </x:c>
      <x:c r="AE438" s="6" t="n">
        <x:f t="shared" si="46">IFERROR($E438/$H438-1,"")</x:f>
        <x:v>-0.3577976438501458</x:v>
      </x:c>
      <x:c r="AF438" s="6" t="n">
        <x:f t="shared" si="47">IFERROR($F438/$I438-1,"")</x:f>
        <x:v>-0.042839187207597273</x:v>
      </x:c>
      <x:c r="AG438" s="4" t="str">
        <x:f t="shared" si="48">IF(AND($A438&gt;=1,$L438&gt;=1,$L438&lt;=500,OR($N438="Tank",$N438="DPS",$N438="Support"),ISNUMBER($D438),ISNUMBER($E438),ISNUMBER($F438)),"有效","异常")</x:f>
        <x:v>有效</x:v>
      </x:c>
      <x:c r="AH438" t="n">
        <x:f>D438/(1-MIN(0.75,F438/(24000+F438)))</x:f>
        <x:v>3290778.5137500004</x:v>
      </x:c>
    </x:row>
    <x:row r="439" ht="14.25" customHeight="1">
      <x:c r="A439" s="4">
        <x:v>435</x:v>
      </x:c>
      <x:c r="B439" s="4">
        <x:v>1005</x:v>
      </x:c>
      <x:c r="C439" s="4">
        <x:v>53</x:v>
      </x:c>
      <x:c r="D439" s="5" t="n">
        <x:f>IFERROR(ROUND($U439*$X439*$AA439*'参数'!$B$13,0),"")</x:f>
        <x:v>1536102</x:v>
      </x:c>
      <x:c r="E439" s="5" t="n">
        <x:f>IFERROR(ROUND($V439*$Y439*$AB439*'参数'!$C$13,0),"")</x:f>
        <x:v>33907</x:v>
      </x:c>
      <x:c r="F439" s="5" t="n">
        <x:f>IFERROR(ROUND($W439*$Z439*$AC439*'参数'!$D$13,0),"")</x:f>
        <x:v>27415</x:v>
      </x:c>
      <x:c r="G439" s="4">
        <x:v>3212654</x:v>
      </x:c>
      <x:c r="H439" s="4">
        <x:v>52798</x:v>
      </x:c>
      <x:c r="I439" s="4">
        <x:v>28642</x:v>
      </x:c>
      <x:c r="J439" s="4">
        <x:v>87</x:v>
      </x:c>
      <x:c r="K439" s="4">
        <x:v>87</x:v>
      </x:c>
      <x:c r="L439" s="4" t="n">
        <x:f>IFERROR(INDEX('楼层配置'!$D$5:$D$104,MATCH($K439,'楼层配置'!$B$5:$B$104,0)),"")</x:f>
        <x:v>264</x:v>
      </x:c>
      <x:c r="M439" s="4" t="str">
        <x:f>IFERROR(INDEX('_角色基线'!$B$2:$B$100,MATCH($B439,'_角色基线'!$A$2:$A$100,0)),"")</x:f>
        <x:v>陈单单</x:v>
      </x:c>
      <x:c r="N439" s="4" t="str">
        <x:f>IFERROR(INDEX('_角色基线'!$C$2:$C$100,MATCH($B439,'_角色基线'!$A$2:$A$100,0)),"")</x:f>
        <x:v>DPS</x:v>
      </x:c>
      <x:c r="O439" s="4" t="n">
        <x:f>IFERROR(INDEX('_怪物基线'!$B$2:$B$501,MATCH(INT($L439),'_怪物基线'!$A$2:$A$501,0)),"")</x:f>
        <x:v>338766</x:v>
      </x:c>
      <x:c r="P439" s="4" t="n">
        <x:f>IFERROR(INDEX('_怪物基线'!$C$2:$C$501,MATCH(INT($L439),'_怪物基线'!$A$2:$A$501,0)),"")</x:f>
        <x:v>32814</x:v>
      </x:c>
      <x:c r="Q439" s="4" t="n">
        <x:f>IFERROR(INDEX('_怪物基线'!$D$2:$D$501,MATCH(INT($L439),'_怪物基线'!$A$2:$A$501,0)),"")</x:f>
        <x:v>27415</x:v>
      </x:c>
      <x:c r="R439" s="4" t="n">
        <x:f>'参数'!$B$10</x:f>
        <x:v>4</x:v>
      </x:c>
      <x:c r="S439" s="4" t="n">
        <x:f>'参数'!$C$10</x:f>
        <x:v>1.2</x:v>
      </x:c>
      <x:c r="T439" s="4" t="n">
        <x:f>'参数'!$D$10</x:f>
        <x:v>1</x:v>
      </x:c>
      <x:c r="U439" s="4" t="n">
        <x:f t="shared" si="42">IF($O439="","",$O439*$R439)</x:f>
        <x:v>1355064</x:v>
      </x:c>
      <x:c r="V439" s="4" t="n">
        <x:f t="shared" si="43">IF($P439="","",$P439*$S439)</x:f>
        <x:v>39376.799999999996</x:v>
      </x:c>
      <x:c r="W439" s="4" t="n">
        <x:f t="shared" si="44">IF($Q439="","",$Q439*$T439)</x:f>
        <x:v>27415</x:v>
      </x:c>
      <x:c r="X439" s="4" t="n">
        <x:f>IFERROR(INDEX('参数'!$B$5:$B$7,MATCH($N439,'参数'!$A$5:$A$7,0)),"")</x:f>
        <x:v>1</x:v>
      </x:c>
      <x:c r="Y439" s="4" t="n">
        <x:f>IFERROR(INDEX('参数'!$C$5:$C$7,MATCH($N439,'参数'!$A$5:$A$7,0)),"")</x:f>
        <x:v>1.2</x:v>
      </x:c>
      <x:c r="Z439" s="4" t="n">
        <x:f>IFERROR(INDEX('参数'!$D$5:$D$7,MATCH($N439,'参数'!$A$5:$A$7,0)),"")</x:f>
        <x:v>1</x:v>
      </x:c>
      <x:c r="AA439" s="4" t="n">
        <x:f>IFERROR(INDEX('楼层配置'!$E$5:$E$104,MATCH($K439,'楼层配置'!$B$5:$B$104,0)),1)</x:f>
        <x:v>1.133600943536387</x:v>
      </x:c>
      <x:c r="AB439" s="4" t="n">
        <x:f>IFERROR(INDEX('楼层配置'!$F$5:$F$104,MATCH($K439,'楼层配置'!$B$5:$B$104,0)),1)</x:f>
        <x:v>0.7175777777052407</x:v>
      </x:c>
      <x:c r="AC439" s="4" t="n">
        <x:f>IFERROR(INDEX('楼层配置'!$G$5:$G$104,MATCH($K439,'楼层配置'!$B$5:$B$104,0)),1)</x:f>
        <x:v>1</x:v>
      </x:c>
      <x:c r="AD439" s="6" t="n">
        <x:f t="shared" si="45">IFERROR($D439/$G439-1,"")</x:f>
        <x:v>-0.521858874313885</x:v>
      </x:c>
      <x:c r="AE439" s="6" t="n">
        <x:f t="shared" si="46">IFERROR($E439/$H439-1,"")</x:f>
        <x:v>-0.3577976438501458</x:v>
      </x:c>
      <x:c r="AF439" s="6" t="n">
        <x:f t="shared" si="47">IFERROR($F439/$I439-1,"")</x:f>
        <x:v>-0.042839187207597273</x:v>
      </x:c>
      <x:c r="AG439" s="4" t="str">
        <x:f t="shared" si="48">IF(AND($A439&gt;=1,$L439&gt;=1,$L439&lt;=500,OR($N439="Tank",$N439="DPS",$N439="Support"),ISNUMBER($D439),ISNUMBER($E439),ISNUMBER($F439)),"有效","异常")</x:f>
        <x:v>有效</x:v>
      </x:c>
      <x:c r="AH439" t="n">
        <x:f>D439/(1-MIN(0.75,F439/(24000+F439)))</x:f>
        <x:v>3290778.5137500004</x:v>
      </x:c>
    </x:row>
    <x:row r="440" ht="14.25" customHeight="1">
      <x:c r="A440" s="4">
        <x:v>436</x:v>
      </x:c>
      <x:c r="B440" s="4">
        <x:v>1004</x:v>
      </x:c>
      <x:c r="C440" s="4">
        <x:v>54</x:v>
      </x:c>
      <x:c r="D440" s="5" t="n">
        <x:f>IFERROR(ROUND($U440*$X440*$AA440*'参数'!$B$13,0),"")</x:f>
        <x:v>2324608</x:v>
      </x:c>
      <x:c r="E440" s="5" t="n">
        <x:f>IFERROR(ROUND($V440*$Y440*$AB440*'参数'!$C$13,0),"")</x:f>
        <x:v>28499</x:v>
      </x:c>
      <x:c r="F440" s="5" t="n">
        <x:f>IFERROR(ROUND($W440*$Z440*$AC440*'参数'!$D$13,0),"")</x:f>
        <x:v>41324</x:v>
      </x:c>
      <x:c r="G440" s="4">
        <x:v>4970808</x:v>
      </x:c>
      <x:c r="H440" s="4">
        <x:v>45131</x:v>
      </x:c>
      <x:c r="I440" s="4">
        <x:v>43634</x:v>
      </x:c>
      <x:c r="J440" s="4">
        <x:v>88</x:v>
      </x:c>
      <x:c r="K440" s="4">
        <x:v>88</x:v>
      </x:c>
      <x:c r="L440" s="4" t="n">
        <x:f>IFERROR(INDEX('楼层配置'!$D$5:$D$104,MATCH($K440,'楼层配置'!$B$5:$B$104,0)),"")</x:f>
        <x:v>265</x:v>
      </x:c>
      <x:c r="M440" s="4" t="str">
        <x:f>IFERROR(INDEX('_角色基线'!$B$2:$B$100,MATCH($B440,'_角色基线'!$A$2:$A$100,0)),"")</x:f>
        <x:v>阿芭</x:v>
      </x:c>
      <x:c r="N440" s="4" t="str">
        <x:f>IFERROR(INDEX('_角色基线'!$C$2:$C$100,MATCH($B440,'_角色基线'!$A$2:$A$100,0)),"")</x:f>
        <x:v>Tank</x:v>
      </x:c>
      <x:c r="O440" s="4" t="n">
        <x:f>IFERROR(INDEX('_怪物基线'!$B$2:$B$501,MATCH(INT($L440),'_怪物基线'!$A$2:$A$501,0)),"")</x:f>
        <x:v>342216</x:v>
      </x:c>
      <x:c r="P440" s="4" t="n">
        <x:f>IFERROR(INDEX('_怪物基线'!$C$2:$C$501,MATCH(INT($L440),'_怪物基线'!$A$2:$A$501,0)),"")</x:f>
        <x:v>33063</x:v>
      </x:c>
      <x:c r="Q440" s="4" t="n">
        <x:f>IFERROR(INDEX('_怪物基线'!$D$2:$D$501,MATCH(INT($L440),'_怪物基线'!$A$2:$A$501,0)),"")</x:f>
        <x:v>27549</x:v>
      </x:c>
      <x:c r="R440" s="4" t="n">
        <x:f>'参数'!$B$10</x:f>
        <x:v>4</x:v>
      </x:c>
      <x:c r="S440" s="4" t="n">
        <x:f>'参数'!$C$10</x:f>
        <x:v>1.2</x:v>
      </x:c>
      <x:c r="T440" s="4" t="n">
        <x:f>'参数'!$D$10</x:f>
        <x:v>1</x:v>
      </x:c>
      <x:c r="U440" s="4" t="n">
        <x:f t="shared" si="42">IF($O440="","",$O440*$R440)</x:f>
        <x:v>1368864</x:v>
      </x:c>
      <x:c r="V440" s="4" t="n">
        <x:f t="shared" si="43">IF($P440="","",$P440*$S440)</x:f>
        <x:v>39675.6</x:v>
      </x:c>
      <x:c r="W440" s="4" t="n">
        <x:f t="shared" si="44">IF($Q440="","",$Q440*$T440)</x:f>
        <x:v>27549</x:v>
      </x:c>
      <x:c r="X440" s="4" t="n">
        <x:f>IFERROR(INDEX('参数'!$B$5:$B$7,MATCH($N440,'参数'!$A$5:$A$7,0)),"")</x:f>
        <x:v>1.5</x:v>
      </x:c>
      <x:c r="Y440" s="4" t="n">
        <x:f>IFERROR(INDEX('参数'!$C$5:$C$7,MATCH($N440,'参数'!$A$5:$A$7,0)),"")</x:f>
        <x:v>1</x:v>
      </x:c>
      <x:c r="Z440" s="4" t="n">
        <x:f>IFERROR(INDEX('参数'!$D$5:$D$7,MATCH($N440,'参数'!$A$5:$A$7,0)),"")</x:f>
        <x:v>1.5</x:v>
      </x:c>
      <x:c r="AA440" s="4" t="n">
        <x:f>IFERROR(INDEX('楼层配置'!$E$5:$E$104,MATCH($K440,'楼层配置'!$B$5:$B$104,0)),1)</x:f>
        <x:v>1.1321350616593804</x:v>
      </x:c>
      <x:c r="AB440" s="4" t="n">
        <x:f>IFERROR(INDEX('楼层配置'!$F$5:$F$104,MATCH($K440,'楼层配置'!$B$5:$B$104,0)),1)</x:f>
        <x:v>0.7182974625960403</x:v>
      </x:c>
      <x:c r="AC440" s="4" t="n">
        <x:f>IFERROR(INDEX('楼层配置'!$G$5:$G$104,MATCH($K440,'楼层配置'!$B$5:$B$104,0)),1)</x:f>
        <x:v>1</x:v>
      </x:c>
      <x:c r="AD440" s="6" t="n">
        <x:f t="shared" si="45">IFERROR($D440/$G440-1,"")</x:f>
        <x:v>-0.5323480609188687</x:v>
      </x:c>
      <x:c r="AE440" s="6" t="n">
        <x:f t="shared" si="46">IFERROR($E440/$H440-1,"")</x:f>
        <x:v>-0.3685271764419136</x:v>
      </x:c>
      <x:c r="AF440" s="6" t="n">
        <x:f t="shared" si="47">IFERROR($F440/$I440-1,"")</x:f>
        <x:v>-0.052940367603245164</x:v>
      </x:c>
      <x:c r="AG440" s="4" t="str">
        <x:f t="shared" si="48">IF(AND($A440&gt;=1,$L440&gt;=1,$L440&lt;=500,OR($N440="Tank",$N440="DPS",$N440="Support"),ISNUMBER($D440),ISNUMBER($E440),ISNUMBER($F440)),"有效","异常")</x:f>
        <x:v>有效</x:v>
      </x:c>
      <x:c r="AH440" t="n">
        <x:f>D440/(1-MIN(0.75,F440/(24000+F440)))</x:f>
        <x:v>6327195.541333333</x:v>
      </x:c>
    </x:row>
    <x:row r="441" ht="14.25" customHeight="1">
      <x:c r="A441" s="4">
        <x:v>437</x:v>
      </x:c>
      <x:c r="B441" s="4">
        <x:v>1001</x:v>
      </x:c>
      <x:c r="C441" s="4">
        <x:v>54</x:v>
      </x:c>
      <x:c r="D441" s="5" t="n">
        <x:f>IFERROR(ROUND($U441*$X441*$AA441*'参数'!$B$13,0),"")</x:f>
        <x:v>1549739</x:v>
      </x:c>
      <x:c r="E441" s="5" t="n">
        <x:f>IFERROR(ROUND($V441*$Y441*$AB441*'参数'!$C$13,0),"")</x:f>
        <x:v>34199</x:v>
      </x:c>
      <x:c r="F441" s="5" t="n">
        <x:f>IFERROR(ROUND($W441*$Z441*$AC441*'参数'!$D$13,0),"")</x:f>
        <x:v>27549</x:v>
      </x:c>
      <x:c r="G441" s="4">
        <x:v>3313872</x:v>
      </x:c>
      <x:c r="H441" s="4">
        <x:v>54157</x:v>
      </x:c>
      <x:c r="I441" s="4">
        <x:v>29089</x:v>
      </x:c>
      <x:c r="J441" s="4">
        <x:v>88</x:v>
      </x:c>
      <x:c r="K441" s="4">
        <x:v>88</x:v>
      </x:c>
      <x:c r="L441" s="4" t="n">
        <x:f>IFERROR(INDEX('楼层配置'!$D$5:$D$104,MATCH($K441,'楼层配置'!$B$5:$B$104,0)),"")</x:f>
        <x:v>265</x:v>
      </x:c>
      <x:c r="M441" s="4" t="str">
        <x:f>IFERROR(INDEX('_角色基线'!$B$2:$B$100,MATCH($B441,'_角色基线'!$A$2:$A$100,0)),"")</x:f>
        <x:v>星海</x:v>
      </x:c>
      <x:c r="N441" s="4" t="str">
        <x:f>IFERROR(INDEX('_角色基线'!$C$2:$C$100,MATCH($B441,'_角色基线'!$A$2:$A$100,0)),"")</x:f>
        <x:v>DPS</x:v>
      </x:c>
      <x:c r="O441" s="4" t="n">
        <x:f>IFERROR(INDEX('_怪物基线'!$B$2:$B$501,MATCH(INT($L441),'_怪物基线'!$A$2:$A$501,0)),"")</x:f>
        <x:v>342216</x:v>
      </x:c>
      <x:c r="P441" s="4" t="n">
        <x:f>IFERROR(INDEX('_怪物基线'!$C$2:$C$501,MATCH(INT($L441),'_怪物基线'!$A$2:$A$501,0)),"")</x:f>
        <x:v>33063</x:v>
      </x:c>
      <x:c r="Q441" s="4" t="n">
        <x:f>IFERROR(INDEX('_怪物基线'!$D$2:$D$501,MATCH(INT($L441),'_怪物基线'!$A$2:$A$501,0)),"")</x:f>
        <x:v>27549</x:v>
      </x:c>
      <x:c r="R441" s="4" t="n">
        <x:f>'参数'!$B$10</x:f>
        <x:v>4</x:v>
      </x:c>
      <x:c r="S441" s="4" t="n">
        <x:f>'参数'!$C$10</x:f>
        <x:v>1.2</x:v>
      </x:c>
      <x:c r="T441" s="4" t="n">
        <x:f>'参数'!$D$10</x:f>
        <x:v>1</x:v>
      </x:c>
      <x:c r="U441" s="4" t="n">
        <x:f t="shared" si="42">IF($O441="","",$O441*$R441)</x:f>
        <x:v>1368864</x:v>
      </x:c>
      <x:c r="V441" s="4" t="n">
        <x:f t="shared" si="43">IF($P441="","",$P441*$S441)</x:f>
        <x:v>39675.6</x:v>
      </x:c>
      <x:c r="W441" s="4" t="n">
        <x:f t="shared" si="44">IF($Q441="","",$Q441*$T441)</x:f>
        <x:v>27549</x:v>
      </x:c>
      <x:c r="X441" s="4" t="n">
        <x:f>IFERROR(INDEX('参数'!$B$5:$B$7,MATCH($N441,'参数'!$A$5:$A$7,0)),"")</x:f>
        <x:v>1</x:v>
      </x:c>
      <x:c r="Y441" s="4" t="n">
        <x:f>IFERROR(INDEX('参数'!$C$5:$C$7,MATCH($N441,'参数'!$A$5:$A$7,0)),"")</x:f>
        <x:v>1.2</x:v>
      </x:c>
      <x:c r="Z441" s="4" t="n">
        <x:f>IFERROR(INDEX('参数'!$D$5:$D$7,MATCH($N441,'参数'!$A$5:$A$7,0)),"")</x:f>
        <x:v>1</x:v>
      </x:c>
      <x:c r="AA441" s="4" t="n">
        <x:f>IFERROR(INDEX('楼层配置'!$E$5:$E$104,MATCH($K441,'楼层配置'!$B$5:$B$104,0)),1)</x:f>
        <x:v>1.1321350616593804</x:v>
      </x:c>
      <x:c r="AB441" s="4" t="n">
        <x:f>IFERROR(INDEX('楼层配置'!$F$5:$F$104,MATCH($K441,'楼层配置'!$B$5:$B$104,0)),1)</x:f>
        <x:v>0.7182974625960403</x:v>
      </x:c>
      <x:c r="AC441" s="4" t="n">
        <x:f>IFERROR(INDEX('楼层配置'!$G$5:$G$104,MATCH($K441,'楼层配置'!$B$5:$B$104,0)),1)</x:f>
        <x:v>1</x:v>
      </x:c>
      <x:c r="AD441" s="6" t="n">
        <x:f t="shared" si="45">IFERROR($D441/$G441-1,"")</x:f>
        <x:v>-0.5323479603316</x:v>
      </x:c>
      <x:c r="AE441" s="6" t="n">
        <x:f t="shared" si="46">IFERROR($E441/$H441-1,"")</x:f>
        <x:v>-0.368521151467031</x:v>
      </x:c>
      <x:c r="AF441" s="6" t="n">
        <x:f t="shared" si="47">IFERROR($F441/$I441-1,"")</x:f>
        <x:v>-0.05294097425143529</x:v>
      </x:c>
      <x:c r="AG441" s="4" t="str">
        <x:f t="shared" si="48">IF(AND($A441&gt;=1,$L441&gt;=1,$L441&lt;=500,OR($N441="Tank",$N441="DPS",$N441="Support"),ISNUMBER($D441),ISNUMBER($E441),ISNUMBER($F441)),"有效","异常")</x:f>
        <x:v>有效</x:v>
      </x:c>
      <x:c r="AH441" t="n">
        <x:f>D441/(1-MIN(0.75,F441/(24000+F441)))</x:f>
        <x:v>3328645.654625</x:v>
      </x:c>
    </x:row>
    <x:row r="442" ht="14.25" customHeight="1">
      <x:c r="A442" s="4">
        <x:v>438</x:v>
      </x:c>
      <x:c r="B442" s="4">
        <x:v>1005</x:v>
      </x:c>
      <x:c r="C442" s="4">
        <x:v>54</x:v>
      </x:c>
      <x:c r="D442" s="5" t="n">
        <x:f>IFERROR(ROUND($U442*$X442*$AA442*'参数'!$B$13,0),"")</x:f>
        <x:v>1549739</x:v>
      </x:c>
      <x:c r="E442" s="5" t="n">
        <x:f>IFERROR(ROUND($V442*$Y442*$AB442*'参数'!$C$13,0),"")</x:f>
        <x:v>34199</x:v>
      </x:c>
      <x:c r="F442" s="5" t="n">
        <x:f>IFERROR(ROUND($W442*$Z442*$AC442*'参数'!$D$13,0),"")</x:f>
        <x:v>27549</x:v>
      </x:c>
      <x:c r="G442" s="4">
        <x:v>3313872</x:v>
      </x:c>
      <x:c r="H442" s="4">
        <x:v>54157</x:v>
      </x:c>
      <x:c r="I442" s="4">
        <x:v>29089</x:v>
      </x:c>
      <x:c r="J442" s="4">
        <x:v>88</x:v>
      </x:c>
      <x:c r="K442" s="4">
        <x:v>88</x:v>
      </x:c>
      <x:c r="L442" s="4" t="n">
        <x:f>IFERROR(INDEX('楼层配置'!$D$5:$D$104,MATCH($K442,'楼层配置'!$B$5:$B$104,0)),"")</x:f>
        <x:v>265</x:v>
      </x:c>
      <x:c r="M442" s="4" t="str">
        <x:f>IFERROR(INDEX('_角色基线'!$B$2:$B$100,MATCH($B442,'_角色基线'!$A$2:$A$100,0)),"")</x:f>
        <x:v>陈单单</x:v>
      </x:c>
      <x:c r="N442" s="4" t="str">
        <x:f>IFERROR(INDEX('_角色基线'!$C$2:$C$100,MATCH($B442,'_角色基线'!$A$2:$A$100,0)),"")</x:f>
        <x:v>DPS</x:v>
      </x:c>
      <x:c r="O442" s="4" t="n">
        <x:f>IFERROR(INDEX('_怪物基线'!$B$2:$B$501,MATCH(INT($L442),'_怪物基线'!$A$2:$A$501,0)),"")</x:f>
        <x:v>342216</x:v>
      </x:c>
      <x:c r="P442" s="4" t="n">
        <x:f>IFERROR(INDEX('_怪物基线'!$C$2:$C$501,MATCH(INT($L442),'_怪物基线'!$A$2:$A$501,0)),"")</x:f>
        <x:v>33063</x:v>
      </x:c>
      <x:c r="Q442" s="4" t="n">
        <x:f>IFERROR(INDEX('_怪物基线'!$D$2:$D$501,MATCH(INT($L442),'_怪物基线'!$A$2:$A$501,0)),"")</x:f>
        <x:v>27549</x:v>
      </x:c>
      <x:c r="R442" s="4" t="n">
        <x:f>'参数'!$B$10</x:f>
        <x:v>4</x:v>
      </x:c>
      <x:c r="S442" s="4" t="n">
        <x:f>'参数'!$C$10</x:f>
        <x:v>1.2</x:v>
      </x:c>
      <x:c r="T442" s="4" t="n">
        <x:f>'参数'!$D$10</x:f>
        <x:v>1</x:v>
      </x:c>
      <x:c r="U442" s="4" t="n">
        <x:f t="shared" si="42">IF($O442="","",$O442*$R442)</x:f>
        <x:v>1368864</x:v>
      </x:c>
      <x:c r="V442" s="4" t="n">
        <x:f t="shared" si="43">IF($P442="","",$P442*$S442)</x:f>
        <x:v>39675.6</x:v>
      </x:c>
      <x:c r="W442" s="4" t="n">
        <x:f t="shared" si="44">IF($Q442="","",$Q442*$T442)</x:f>
        <x:v>27549</x:v>
      </x:c>
      <x:c r="X442" s="4" t="n">
        <x:f>IFERROR(INDEX('参数'!$B$5:$B$7,MATCH($N442,'参数'!$A$5:$A$7,0)),"")</x:f>
        <x:v>1</x:v>
      </x:c>
      <x:c r="Y442" s="4" t="n">
        <x:f>IFERROR(INDEX('参数'!$C$5:$C$7,MATCH($N442,'参数'!$A$5:$A$7,0)),"")</x:f>
        <x:v>1.2</x:v>
      </x:c>
      <x:c r="Z442" s="4" t="n">
        <x:f>IFERROR(INDEX('参数'!$D$5:$D$7,MATCH($N442,'参数'!$A$5:$A$7,0)),"")</x:f>
        <x:v>1</x:v>
      </x:c>
      <x:c r="AA442" s="4" t="n">
        <x:f>IFERROR(INDEX('楼层配置'!$E$5:$E$104,MATCH($K442,'楼层配置'!$B$5:$B$104,0)),1)</x:f>
        <x:v>1.1321350616593804</x:v>
      </x:c>
      <x:c r="AB442" s="4" t="n">
        <x:f>IFERROR(INDEX('楼层配置'!$F$5:$F$104,MATCH($K442,'楼层配置'!$B$5:$B$104,0)),1)</x:f>
        <x:v>0.7182974625960403</x:v>
      </x:c>
      <x:c r="AC442" s="4" t="n">
        <x:f>IFERROR(INDEX('楼层配置'!$G$5:$G$104,MATCH($K442,'楼层配置'!$B$5:$B$104,0)),1)</x:f>
        <x:v>1</x:v>
      </x:c>
      <x:c r="AD442" s="6" t="n">
        <x:f t="shared" si="45">IFERROR($D442/$G442-1,"")</x:f>
        <x:v>-0.5323479603316</x:v>
      </x:c>
      <x:c r="AE442" s="6" t="n">
        <x:f t="shared" si="46">IFERROR($E442/$H442-1,"")</x:f>
        <x:v>-0.368521151467031</x:v>
      </x:c>
      <x:c r="AF442" s="6" t="n">
        <x:f t="shared" si="47">IFERROR($F442/$I442-1,"")</x:f>
        <x:v>-0.05294097425143529</x:v>
      </x:c>
      <x:c r="AG442" s="4" t="str">
        <x:f t="shared" si="48">IF(AND($A442&gt;=1,$L442&gt;=1,$L442&lt;=500,OR($N442="Tank",$N442="DPS",$N442="Support"),ISNUMBER($D442),ISNUMBER($E442),ISNUMBER($F442)),"有效","异常")</x:f>
        <x:v>有效</x:v>
      </x:c>
      <x:c r="AH442" t="n">
        <x:f>D442/(1-MIN(0.75,F442/(24000+F442)))</x:f>
        <x:v>3328645.654625</x:v>
      </x:c>
    </x:row>
    <x:row r="443" ht="14.25" customHeight="1">
      <x:c r="A443" s="4">
        <x:v>439</x:v>
      </x:c>
      <x:c r="B443" s="4">
        <x:v>1008</x:v>
      </x:c>
      <x:c r="C443" s="4">
        <x:v>54</x:v>
      </x:c>
      <x:c r="D443" s="5" t="n">
        <x:f>IFERROR(ROUND($U443*$X443*$AA443*'参数'!$B$13,0),"")</x:f>
        <x:v>1549739</x:v>
      </x:c>
      <x:c r="E443" s="5" t="n">
        <x:f>IFERROR(ROUND($V443*$Y443*$AB443*'参数'!$C$13,0),"")</x:f>
        <x:v>34199</x:v>
      </x:c>
      <x:c r="F443" s="5" t="n">
        <x:f>IFERROR(ROUND($W443*$Z443*$AC443*'参数'!$D$13,0),"")</x:f>
        <x:v>27549</x:v>
      </x:c>
      <x:c r="G443" s="4">
        <x:v>3313872</x:v>
      </x:c>
      <x:c r="H443" s="4">
        <x:v>54157</x:v>
      </x:c>
      <x:c r="I443" s="4">
        <x:v>29089</x:v>
      </x:c>
      <x:c r="J443" s="4">
        <x:v>88</x:v>
      </x:c>
      <x:c r="K443" s="4">
        <x:v>88</x:v>
      </x:c>
      <x:c r="L443" s="4" t="n">
        <x:f>IFERROR(INDEX('楼层配置'!$D$5:$D$104,MATCH($K443,'楼层配置'!$B$5:$B$104,0)),"")</x:f>
        <x:v>265</x:v>
      </x:c>
      <x:c r="M443" s="4" t="str">
        <x:f>IFERROR(INDEX('_角色基线'!$B$2:$B$100,MATCH($B443,'_角色基线'!$A$2:$A$100,0)),"")</x:f>
        <x:v>薇</x:v>
      </x:c>
      <x:c r="N443" s="4" t="str">
        <x:f>IFERROR(INDEX('_角色基线'!$C$2:$C$100,MATCH($B443,'_角色基线'!$A$2:$A$100,0)),"")</x:f>
        <x:v>DPS</x:v>
      </x:c>
      <x:c r="O443" s="4" t="n">
        <x:f>IFERROR(INDEX('_怪物基线'!$B$2:$B$501,MATCH(INT($L443),'_怪物基线'!$A$2:$A$501,0)),"")</x:f>
        <x:v>342216</x:v>
      </x:c>
      <x:c r="P443" s="4" t="n">
        <x:f>IFERROR(INDEX('_怪物基线'!$C$2:$C$501,MATCH(INT($L443),'_怪物基线'!$A$2:$A$501,0)),"")</x:f>
        <x:v>33063</x:v>
      </x:c>
      <x:c r="Q443" s="4" t="n">
        <x:f>IFERROR(INDEX('_怪物基线'!$D$2:$D$501,MATCH(INT($L443),'_怪物基线'!$A$2:$A$501,0)),"")</x:f>
        <x:v>27549</x:v>
      </x:c>
      <x:c r="R443" s="4" t="n">
        <x:f>'参数'!$B$10</x:f>
        <x:v>4</x:v>
      </x:c>
      <x:c r="S443" s="4" t="n">
        <x:f>'参数'!$C$10</x:f>
        <x:v>1.2</x:v>
      </x:c>
      <x:c r="T443" s="4" t="n">
        <x:f>'参数'!$D$10</x:f>
        <x:v>1</x:v>
      </x:c>
      <x:c r="U443" s="4" t="n">
        <x:f t="shared" si="42">IF($O443="","",$O443*$R443)</x:f>
        <x:v>1368864</x:v>
      </x:c>
      <x:c r="V443" s="4" t="n">
        <x:f t="shared" si="43">IF($P443="","",$P443*$S443)</x:f>
        <x:v>39675.6</x:v>
      </x:c>
      <x:c r="W443" s="4" t="n">
        <x:f t="shared" si="44">IF($Q443="","",$Q443*$T443)</x:f>
        <x:v>27549</x:v>
      </x:c>
      <x:c r="X443" s="4" t="n">
        <x:f>IFERROR(INDEX('参数'!$B$5:$B$7,MATCH($N443,'参数'!$A$5:$A$7,0)),"")</x:f>
        <x:v>1</x:v>
      </x:c>
      <x:c r="Y443" s="4" t="n">
        <x:f>IFERROR(INDEX('参数'!$C$5:$C$7,MATCH($N443,'参数'!$A$5:$A$7,0)),"")</x:f>
        <x:v>1.2</x:v>
      </x:c>
      <x:c r="Z443" s="4" t="n">
        <x:f>IFERROR(INDEX('参数'!$D$5:$D$7,MATCH($N443,'参数'!$A$5:$A$7,0)),"")</x:f>
        <x:v>1</x:v>
      </x:c>
      <x:c r="AA443" s="4" t="n">
        <x:f>IFERROR(INDEX('楼层配置'!$E$5:$E$104,MATCH($K443,'楼层配置'!$B$5:$B$104,0)),1)</x:f>
        <x:v>1.1321350616593804</x:v>
      </x:c>
      <x:c r="AB443" s="4" t="n">
        <x:f>IFERROR(INDEX('楼层配置'!$F$5:$F$104,MATCH($K443,'楼层配置'!$B$5:$B$104,0)),1)</x:f>
        <x:v>0.7182974625960403</x:v>
      </x:c>
      <x:c r="AC443" s="4" t="n">
        <x:f>IFERROR(INDEX('楼层配置'!$G$5:$G$104,MATCH($K443,'楼层配置'!$B$5:$B$104,0)),1)</x:f>
        <x:v>1</x:v>
      </x:c>
      <x:c r="AD443" s="6" t="n">
        <x:f t="shared" si="45">IFERROR($D443/$G443-1,"")</x:f>
        <x:v>-0.5323479603316</x:v>
      </x:c>
      <x:c r="AE443" s="6" t="n">
        <x:f t="shared" si="46">IFERROR($E443/$H443-1,"")</x:f>
        <x:v>-0.368521151467031</x:v>
      </x:c>
      <x:c r="AF443" s="6" t="n">
        <x:f t="shared" si="47">IFERROR($F443/$I443-1,"")</x:f>
        <x:v>-0.05294097425143529</x:v>
      </x:c>
      <x:c r="AG443" s="4" t="str">
        <x:f t="shared" si="48">IF(AND($A443&gt;=1,$L443&gt;=1,$L443&lt;=500,OR($N443="Tank",$N443="DPS",$N443="Support"),ISNUMBER($D443),ISNUMBER($E443),ISNUMBER($F443)),"有效","异常")</x:f>
        <x:v>有效</x:v>
      </x:c>
      <x:c r="AH443" t="n">
        <x:f>D443/(1-MIN(0.75,F443/(24000+F443)))</x:f>
        <x:v>3328645.654625</x:v>
      </x:c>
    </x:row>
    <x:row r="444" ht="14.25" customHeight="1">
      <x:c r="A444" s="4">
        <x:v>440</x:v>
      </x:c>
      <x:c r="B444" s="4">
        <x:v>1007</x:v>
      </x:c>
      <x:c r="C444" s="4">
        <x:v>54</x:v>
      </x:c>
      <x:c r="D444" s="5" t="n">
        <x:f>IFERROR(ROUND($U444*$X444*$AA444*'参数'!$B$13,0),"")</x:f>
        <x:v>1937174</x:v>
      </x:c>
      <x:c r="E444" s="5" t="n">
        <x:f>IFERROR(ROUND($V444*$Y444*$AB444*'参数'!$C$13,0),"")</x:f>
        <x:v>28499</x:v>
      </x:c>
      <x:c r="F444" s="5" t="n">
        <x:f>IFERROR(ROUND($W444*$Z444*$AC444*'参数'!$D$13,0),"")</x:f>
        <x:v>34436</x:v>
      </x:c>
      <x:c r="G444" s="4">
        <x:v>4142340</x:v>
      </x:c>
      <x:c r="H444" s="4">
        <x:v>45131</x:v>
      </x:c>
      <x:c r="I444" s="4">
        <x:v>36362</x:v>
      </x:c>
      <x:c r="J444" s="4">
        <x:v>88</x:v>
      </x:c>
      <x:c r="K444" s="4">
        <x:v>88</x:v>
      </x:c>
      <x:c r="L444" s="4" t="n">
        <x:f>IFERROR(INDEX('楼层配置'!$D$5:$D$104,MATCH($K444,'楼层配置'!$B$5:$B$104,0)),"")</x:f>
        <x:v>265</x:v>
      </x:c>
      <x:c r="M444" s="4" t="str">
        <x:f>IFERROR(INDEX('_角色基线'!$B$2:$B$100,MATCH($B444,'_角色基线'!$A$2:$A$100,0)),"")</x:f>
        <x:v>萨萨莉安</x:v>
      </x:c>
      <x:c r="N444" s="4" t="str">
        <x:f>IFERROR(INDEX('_角色基线'!$C$2:$C$100,MATCH($B444,'_角色基线'!$A$2:$A$100,0)),"")</x:f>
        <x:v>Support</x:v>
      </x:c>
      <x:c r="O444" s="4" t="n">
        <x:f>IFERROR(INDEX('_怪物基线'!$B$2:$B$501,MATCH(INT($L444),'_怪物基线'!$A$2:$A$501,0)),"")</x:f>
        <x:v>342216</x:v>
      </x:c>
      <x:c r="P444" s="4" t="n">
        <x:f>IFERROR(INDEX('_怪物基线'!$C$2:$C$501,MATCH(INT($L444),'_怪物基线'!$A$2:$A$501,0)),"")</x:f>
        <x:v>33063</x:v>
      </x:c>
      <x:c r="Q444" s="4" t="n">
        <x:f>IFERROR(INDEX('_怪物基线'!$D$2:$D$501,MATCH(INT($L444),'_怪物基线'!$A$2:$A$501,0)),"")</x:f>
        <x:v>27549</x:v>
      </x:c>
      <x:c r="R444" s="4" t="n">
        <x:f>'参数'!$B$10</x:f>
        <x:v>4</x:v>
      </x:c>
      <x:c r="S444" s="4" t="n">
        <x:f>'参数'!$C$10</x:f>
        <x:v>1.2</x:v>
      </x:c>
      <x:c r="T444" s="4" t="n">
        <x:f>'参数'!$D$10</x:f>
        <x:v>1</x:v>
      </x:c>
      <x:c r="U444" s="4" t="n">
        <x:f t="shared" si="42">IF($O444="","",$O444*$R444)</x:f>
        <x:v>1368864</x:v>
      </x:c>
      <x:c r="V444" s="4" t="n">
        <x:f t="shared" si="43">IF($P444="","",$P444*$S444)</x:f>
        <x:v>39675.6</x:v>
      </x:c>
      <x:c r="W444" s="4" t="n">
        <x:f t="shared" si="44">IF($Q444="","",$Q444*$T444)</x:f>
        <x:v>27549</x:v>
      </x:c>
      <x:c r="X444" s="4" t="n">
        <x:f>IFERROR(INDEX('参数'!$B$5:$B$7,MATCH($N444,'参数'!$A$5:$A$7,0)),"")</x:f>
        <x:v>1.25</x:v>
      </x:c>
      <x:c r="Y444" s="4" t="n">
        <x:f>IFERROR(INDEX('参数'!$C$5:$C$7,MATCH($N444,'参数'!$A$5:$A$7,0)),"")</x:f>
        <x:v>1</x:v>
      </x:c>
      <x:c r="Z444" s="4" t="n">
        <x:f>IFERROR(INDEX('参数'!$D$5:$D$7,MATCH($N444,'参数'!$A$5:$A$7,0)),"")</x:f>
        <x:v>1.25</x:v>
      </x:c>
      <x:c r="AA444" s="4" t="n">
        <x:f>IFERROR(INDEX('楼层配置'!$E$5:$E$104,MATCH($K444,'楼层配置'!$B$5:$B$104,0)),1)</x:f>
        <x:v>1.1321350616593804</x:v>
      </x:c>
      <x:c r="AB444" s="4" t="n">
        <x:f>IFERROR(INDEX('楼层配置'!$F$5:$F$104,MATCH($K444,'楼层配置'!$B$5:$B$104,0)),1)</x:f>
        <x:v>0.7182974625960403</x:v>
      </x:c>
      <x:c r="AC444" s="4" t="n">
        <x:f>IFERROR(INDEX('楼层配置'!$G$5:$G$104,MATCH($K444,'楼层配置'!$B$5:$B$104,0)),1)</x:f>
        <x:v>1</x:v>
      </x:c>
      <x:c r="AD444" s="6" t="n">
        <x:f t="shared" si="45">IFERROR($D444/$G444-1,"")</x:f>
        <x:v>-0.5323478999792388</x:v>
      </x:c>
      <x:c r="AE444" s="6" t="n">
        <x:f t="shared" si="46">IFERROR($E444/$H444-1,"")</x:f>
        <x:v>-0.3685271764419136</x:v>
      </x:c>
      <x:c r="AF444" s="6" t="n">
        <x:f t="shared" si="47">IFERROR($F444/$I444-1,"")</x:f>
        <x:v>-0.05296738353225894</x:v>
      </x:c>
      <x:c r="AG444" s="4" t="str">
        <x:f t="shared" si="48">IF(AND($A444&gt;=1,$L444&gt;=1,$L444&lt;=500,OR($N444="Tank",$N444="DPS",$N444="Support"),ISNUMBER($D444),ISNUMBER($E444),ISNUMBER($F444)),"有效","异常")</x:f>
        <x:v>有效</x:v>
      </x:c>
      <x:c r="AH444" t="n">
        <x:f>D444/(1-MIN(0.75,F444/(24000+F444)))</x:f>
        <x:v>4716695.827666667</x:v>
      </x:c>
    </x:row>
    <x:row r="445" ht="14.25" customHeight="1">
      <x:c r="A445" s="4">
        <x:v>441</x:v>
      </x:c>
      <x:c r="B445" s="4">
        <x:v>1003</x:v>
      </x:c>
      <x:c r="C445" s="4">
        <x:v>54</x:v>
      </x:c>
      <x:c r="D445" s="5" t="n">
        <x:f>IFERROR(ROUND($U445*$X445*$AA445*'参数'!$B$13,0),"")</x:f>
        <x:v>2369523</x:v>
      </x:c>
      <x:c r="E445" s="5" t="n">
        <x:f>IFERROR(ROUND($V445*$Y445*$AB445*'参数'!$C$13,0),"")</x:f>
        <x:v>28966</x:v>
      </x:c>
      <x:c r="F445" s="5" t="n">
        <x:f>IFERROR(ROUND($W445*$Z445*$AC445*'参数'!$D$13,0),"")</x:f>
        <x:v>41727</x:v>
      </x:c>
      <x:c r="G445" s="4">
        <x:v>5126220</x:v>
      </x:c>
      <x:c r="H445" s="4">
        <x:v>46290</x:v>
      </x:c>
      <x:c r="I445" s="4">
        <x:v>44310</x:v>
      </x:c>
      <x:c r="J445" s="4">
        <x:v>89</x:v>
      </x:c>
      <x:c r="K445" s="4">
        <x:v>89</x:v>
      </x:c>
      <x:c r="L445" s="4" t="n">
        <x:f>IFERROR(INDEX('楼层配置'!$D$5:$D$104,MATCH($K445,'楼层配置'!$B$5:$B$104,0)),"")</x:f>
        <x:v>267</x:v>
      </x:c>
      <x:c r="M445" s="4" t="str">
        <x:f>IFERROR(INDEX('_角色基线'!$B$2:$B$100,MATCH($B445,'_角色基线'!$A$2:$A$100,0)),"")</x:f>
        <x:v>塔拉夏</x:v>
      </x:c>
      <x:c r="N445" s="4" t="str">
        <x:f>IFERROR(INDEX('_角色基线'!$C$2:$C$100,MATCH($B445,'_角色基线'!$A$2:$A$100,0)),"")</x:f>
        <x:v>Tank</x:v>
      </x:c>
      <x:c r="O445" s="4" t="n">
        <x:f>IFERROR(INDEX('_怪物基线'!$B$2:$B$501,MATCH(INT($L445),'_怪物基线'!$A$2:$A$501,0)),"")</x:f>
        <x:v>349196</x:v>
      </x:c>
      <x:c r="P445" s="4" t="n">
        <x:f>IFERROR(INDEX('_怪物基线'!$C$2:$C$501,MATCH(INT($L445),'_怪物基线'!$A$2:$A$501,0)),"")</x:f>
        <x:v>33564</x:v>
      </x:c>
      <x:c r="Q445" s="4" t="n">
        <x:f>IFERROR(INDEX('_怪物基线'!$D$2:$D$501,MATCH(INT($L445),'_怪物基线'!$A$2:$A$501,0)),"")</x:f>
        <x:v>27818</x:v>
      </x:c>
      <x:c r="R445" s="4" t="n">
        <x:f>'参数'!$B$10</x:f>
        <x:v>4</x:v>
      </x:c>
      <x:c r="S445" s="4" t="n">
        <x:f>'参数'!$C$10</x:f>
        <x:v>1.2</x:v>
      </x:c>
      <x:c r="T445" s="4" t="n">
        <x:f>'参数'!$D$10</x:f>
        <x:v>1</x:v>
      </x:c>
      <x:c r="U445" s="4" t="n">
        <x:f t="shared" si="42">IF($O445="","",$O445*$R445)</x:f>
        <x:v>1396784</x:v>
      </x:c>
      <x:c r="V445" s="4" t="n">
        <x:f t="shared" si="43">IF($P445="","",$P445*$S445)</x:f>
        <x:v>40276.799999999996</x:v>
      </x:c>
      <x:c r="W445" s="4" t="n">
        <x:f t="shared" si="44">IF($Q445="","",$Q445*$T445)</x:f>
        <x:v>27818</x:v>
      </x:c>
      <x:c r="X445" s="4" t="n">
        <x:f>IFERROR(INDEX('参数'!$B$5:$B$7,MATCH($N445,'参数'!$A$5:$A$7,0)),"")</x:f>
        <x:v>1.5</x:v>
      </x:c>
      <x:c r="Y445" s="4" t="n">
        <x:f>IFERROR(INDEX('参数'!$C$5:$C$7,MATCH($N445,'参数'!$A$5:$A$7,0)),"")</x:f>
        <x:v>1</x:v>
      </x:c>
      <x:c r="Z445" s="4" t="n">
        <x:f>IFERROR(INDEX('参数'!$D$5:$D$7,MATCH($N445,'参数'!$A$5:$A$7,0)),"")</x:f>
        <x:v>1.5</x:v>
      </x:c>
      <x:c r="AA445" s="4" t="n">
        <x:f>IFERROR(INDEX('楼层配置'!$E$5:$E$104,MATCH($K445,'楼层配置'!$B$5:$B$104,0)),1)</x:f>
        <x:v>1.1309420327744137</x:v>
      </x:c>
      <x:c r="AB445" s="4" t="n">
        <x:f>IFERROR(INDEX('楼层配置'!$F$5:$F$104,MATCH($K445,'楼层配置'!$B$5:$B$104,0)),1)</x:f>
        <x:v>0.7191764066202295</x:v>
      </x:c>
      <x:c r="AC445" s="4" t="n">
        <x:f>IFERROR(INDEX('楼层配置'!$G$5:$G$104,MATCH($K445,'楼层配置'!$B$5:$B$104,0)),1)</x:f>
        <x:v>1</x:v>
      </x:c>
      <x:c r="AD445" s="6" t="n">
        <x:f t="shared" si="45">IFERROR($D445/$G445-1,"")</x:f>
        <x:v>-0.5377640834767139</x:v>
      </x:c>
      <x:c r="AE445" s="6" t="n">
        <x:f t="shared" si="46">IFERROR($E445/$H445-1,"")</x:f>
        <x:v>-0.374249297904515</x:v>
      </x:c>
      <x:c r="AF445" s="6" t="n">
        <x:f t="shared" si="47">IFERROR($F445/$I445-1,"")</x:f>
        <x:v>-0.05829383886255923</x:v>
      </x:c>
      <x:c r="AG445" s="4" t="str">
        <x:f t="shared" si="48">IF(AND($A445&gt;=1,$L445&gt;=1,$L445&lt;=500,OR($N445="Tank",$N445="DPS",$N445="Support"),ISNUMBER($D445),ISNUMBER($E445),ISNUMBER($F445)),"有效","异常")</x:f>
        <x:v>有效</x:v>
      </x:c>
      <x:c r="AH445" t="n">
        <x:f>D445/(1-MIN(0.75,F445/(24000+F445)))</x:f>
        <x:v>6489234.925875</x:v>
      </x:c>
    </x:row>
    <x:row r="446" ht="14.25" customHeight="1">
      <x:c r="A446" s="4">
        <x:v>442</x:v>
      </x:c>
      <x:c r="B446" s="4">
        <x:v>1013</x:v>
      </x:c>
      <x:c r="C446" s="4">
        <x:v>54</x:v>
      </x:c>
      <x:c r="D446" s="5" t="n">
        <x:f>IFERROR(ROUND($U446*$X446*$AA446*'参数'!$B$13,0),"")</x:f>
        <x:v>1579682</x:v>
      </x:c>
      <x:c r="E446" s="5" t="n">
        <x:f>IFERROR(ROUND($V446*$Y446*$AB446*'参数'!$C$13,0),"")</x:f>
        <x:v>34759</x:v>
      </x:c>
      <x:c r="F446" s="5" t="n">
        <x:f>IFERROR(ROUND($W446*$Z446*$AC446*'参数'!$D$13,0),"")</x:f>
        <x:v>27818</x:v>
      </x:c>
      <x:c r="G446" s="4">
        <x:v>3417480</x:v>
      </x:c>
      <x:c r="H446" s="4">
        <x:v>55548</x:v>
      </x:c>
      <x:c r="I446" s="4">
        <x:v>29540</x:v>
      </x:c>
      <x:c r="J446" s="4">
        <x:v>89</x:v>
      </x:c>
      <x:c r="K446" s="4">
        <x:v>89</x:v>
      </x:c>
      <x:c r="L446" s="4" t="n">
        <x:f>IFERROR(INDEX('楼层配置'!$D$5:$D$104,MATCH($K446,'楼层配置'!$B$5:$B$104,0)),"")</x:f>
        <x:v>267</x:v>
      </x:c>
      <x:c r="M446" s="4" t="str">
        <x:f>IFERROR(INDEX('_角色基线'!$B$2:$B$100,MATCH($B446,'_角色基线'!$A$2:$A$100,0)),"")</x:f>
        <x:v>夏缇拉</x:v>
      </x:c>
      <x:c r="N446" s="4" t="str">
        <x:f>IFERROR(INDEX('_角色基线'!$C$2:$C$100,MATCH($B446,'_角色基线'!$A$2:$A$100,0)),"")</x:f>
        <x:v>DPS</x:v>
      </x:c>
      <x:c r="O446" s="4" t="n">
        <x:f>IFERROR(INDEX('_怪物基线'!$B$2:$B$501,MATCH(INT($L446),'_怪物基线'!$A$2:$A$501,0)),"")</x:f>
        <x:v>349196</x:v>
      </x:c>
      <x:c r="P446" s="4" t="n">
        <x:f>IFERROR(INDEX('_怪物基线'!$C$2:$C$501,MATCH(INT($L446),'_怪物基线'!$A$2:$A$501,0)),"")</x:f>
        <x:v>33564</x:v>
      </x:c>
      <x:c r="Q446" s="4" t="n">
        <x:f>IFERROR(INDEX('_怪物基线'!$D$2:$D$501,MATCH(INT($L446),'_怪物基线'!$A$2:$A$501,0)),"")</x:f>
        <x:v>27818</x:v>
      </x:c>
      <x:c r="R446" s="4" t="n">
        <x:f>'参数'!$B$10</x:f>
        <x:v>4</x:v>
      </x:c>
      <x:c r="S446" s="4" t="n">
        <x:f>'参数'!$C$10</x:f>
        <x:v>1.2</x:v>
      </x:c>
      <x:c r="T446" s="4" t="n">
        <x:f>'参数'!$D$10</x:f>
        <x:v>1</x:v>
      </x:c>
      <x:c r="U446" s="4" t="n">
        <x:f t="shared" si="42">IF($O446="","",$O446*$R446)</x:f>
        <x:v>1396784</x:v>
      </x:c>
      <x:c r="V446" s="4" t="n">
        <x:f t="shared" si="43">IF($P446="","",$P446*$S446)</x:f>
        <x:v>40276.799999999996</x:v>
      </x:c>
      <x:c r="W446" s="4" t="n">
        <x:f t="shared" si="44">IF($Q446="","",$Q446*$T446)</x:f>
        <x:v>27818</x:v>
      </x:c>
      <x:c r="X446" s="4" t="n">
        <x:f>IFERROR(INDEX('参数'!$B$5:$B$7,MATCH($N446,'参数'!$A$5:$A$7,0)),"")</x:f>
        <x:v>1</x:v>
      </x:c>
      <x:c r="Y446" s="4" t="n">
        <x:f>IFERROR(INDEX('参数'!$C$5:$C$7,MATCH($N446,'参数'!$A$5:$A$7,0)),"")</x:f>
        <x:v>1.2</x:v>
      </x:c>
      <x:c r="Z446" s="4" t="n">
        <x:f>IFERROR(INDEX('参数'!$D$5:$D$7,MATCH($N446,'参数'!$A$5:$A$7,0)),"")</x:f>
        <x:v>1</x:v>
      </x:c>
      <x:c r="AA446" s="4" t="n">
        <x:f>IFERROR(INDEX('楼层配置'!$E$5:$E$104,MATCH($K446,'楼层配置'!$B$5:$B$104,0)),1)</x:f>
        <x:v>1.1309420327744137</x:v>
      </x:c>
      <x:c r="AB446" s="4" t="n">
        <x:f>IFERROR(INDEX('楼层配置'!$F$5:$F$104,MATCH($K446,'楼层配置'!$B$5:$B$104,0)),1)</x:f>
        <x:v>0.7191764066202295</x:v>
      </x:c>
      <x:c r="AC446" s="4" t="n">
        <x:f>IFERROR(INDEX('楼层配置'!$G$5:$G$104,MATCH($K446,'楼层配置'!$B$5:$B$104,0)),1)</x:f>
        <x:v>1</x:v>
      </x:c>
      <x:c r="AD446" s="6" t="n">
        <x:f t="shared" si="45">IFERROR($D446/$G446-1,"")</x:f>
        <x:v>-0.5377640834767139</x:v>
      </x:c>
      <x:c r="AE446" s="6" t="n">
        <x:f t="shared" si="46">IFERROR($E446/$H446-1,"")</x:f>
        <x:v>-0.37425289839418163</x:v>
      </x:c>
      <x:c r="AF446" s="6" t="n">
        <x:f t="shared" si="47">IFERROR($F446/$I446-1,"")</x:f>
        <x:v>-0.05829383886255923</x:v>
      </x:c>
      <x:c r="AG446" s="4" t="str">
        <x:f t="shared" si="48">IF(AND($A446&gt;=1,$L446&gt;=1,$L446&lt;=500,OR($N446="Tank",$N446="DPS",$N446="Support"),ISNUMBER($D446),ISNUMBER($E446),ISNUMBER($F446)),"有效","异常")</x:f>
        <x:v>有效</x:v>
      </x:c>
      <x:c r="AH446" t="n">
        <x:f>D446/(1-MIN(0.75,F446/(24000+F446)))</x:f>
        <x:v>3410665.0781666664</x:v>
      </x:c>
    </x:row>
    <x:row r="447" ht="14.25" customHeight="1">
      <x:c r="A447" s="4">
        <x:v>443</x:v>
      </x:c>
      <x:c r="B447" s="4">
        <x:v>1001</x:v>
      </x:c>
      <x:c r="C447" s="4">
        <x:v>54</x:v>
      </x:c>
      <x:c r="D447" s="5" t="n">
        <x:f>IFERROR(ROUND($U447*$X447*$AA447*'参数'!$B$13,0),"")</x:f>
        <x:v>1579682</x:v>
      </x:c>
      <x:c r="E447" s="5" t="n">
        <x:f>IFERROR(ROUND($V447*$Y447*$AB447*'参数'!$C$13,0),"")</x:f>
        <x:v>34759</x:v>
      </x:c>
      <x:c r="F447" s="5" t="n">
        <x:f>IFERROR(ROUND($W447*$Z447*$AC447*'参数'!$D$13,0),"")</x:f>
        <x:v>27818</x:v>
      </x:c>
      <x:c r="G447" s="4">
        <x:v>3417480</x:v>
      </x:c>
      <x:c r="H447" s="4">
        <x:v>55548</x:v>
      </x:c>
      <x:c r="I447" s="4">
        <x:v>29540</x:v>
      </x:c>
      <x:c r="J447" s="4">
        <x:v>89</x:v>
      </x:c>
      <x:c r="K447" s="4">
        <x:v>89</x:v>
      </x:c>
      <x:c r="L447" s="4" t="n">
        <x:f>IFERROR(INDEX('楼层配置'!$D$5:$D$104,MATCH($K447,'楼层配置'!$B$5:$B$104,0)),"")</x:f>
        <x:v>267</x:v>
      </x:c>
      <x:c r="M447" s="4" t="str">
        <x:f>IFERROR(INDEX('_角色基线'!$B$2:$B$100,MATCH($B447,'_角色基线'!$A$2:$A$100,0)),"")</x:f>
        <x:v>星海</x:v>
      </x:c>
      <x:c r="N447" s="4" t="str">
        <x:f>IFERROR(INDEX('_角色基线'!$C$2:$C$100,MATCH($B447,'_角色基线'!$A$2:$A$100,0)),"")</x:f>
        <x:v>DPS</x:v>
      </x:c>
      <x:c r="O447" s="4" t="n">
        <x:f>IFERROR(INDEX('_怪物基线'!$B$2:$B$501,MATCH(INT($L447),'_怪物基线'!$A$2:$A$501,0)),"")</x:f>
        <x:v>349196</x:v>
      </x:c>
      <x:c r="P447" s="4" t="n">
        <x:f>IFERROR(INDEX('_怪物基线'!$C$2:$C$501,MATCH(INT($L447),'_怪物基线'!$A$2:$A$501,0)),"")</x:f>
        <x:v>33564</x:v>
      </x:c>
      <x:c r="Q447" s="4" t="n">
        <x:f>IFERROR(INDEX('_怪物基线'!$D$2:$D$501,MATCH(INT($L447),'_怪物基线'!$A$2:$A$501,0)),"")</x:f>
        <x:v>27818</x:v>
      </x:c>
      <x:c r="R447" s="4" t="n">
        <x:f>'参数'!$B$10</x:f>
        <x:v>4</x:v>
      </x:c>
      <x:c r="S447" s="4" t="n">
        <x:f>'参数'!$C$10</x:f>
        <x:v>1.2</x:v>
      </x:c>
      <x:c r="T447" s="4" t="n">
        <x:f>'参数'!$D$10</x:f>
        <x:v>1</x:v>
      </x:c>
      <x:c r="U447" s="4" t="n">
        <x:f t="shared" si="42">IF($O447="","",$O447*$R447)</x:f>
        <x:v>1396784</x:v>
      </x:c>
      <x:c r="V447" s="4" t="n">
        <x:f t="shared" si="43">IF($P447="","",$P447*$S447)</x:f>
        <x:v>40276.799999999996</x:v>
      </x:c>
      <x:c r="W447" s="4" t="n">
        <x:f t="shared" si="44">IF($Q447="","",$Q447*$T447)</x:f>
        <x:v>27818</x:v>
      </x:c>
      <x:c r="X447" s="4" t="n">
        <x:f>IFERROR(INDEX('参数'!$B$5:$B$7,MATCH($N447,'参数'!$A$5:$A$7,0)),"")</x:f>
        <x:v>1</x:v>
      </x:c>
      <x:c r="Y447" s="4" t="n">
        <x:f>IFERROR(INDEX('参数'!$C$5:$C$7,MATCH($N447,'参数'!$A$5:$A$7,0)),"")</x:f>
        <x:v>1.2</x:v>
      </x:c>
      <x:c r="Z447" s="4" t="n">
        <x:f>IFERROR(INDEX('参数'!$D$5:$D$7,MATCH($N447,'参数'!$A$5:$A$7,0)),"")</x:f>
        <x:v>1</x:v>
      </x:c>
      <x:c r="AA447" s="4" t="n">
        <x:f>IFERROR(INDEX('楼层配置'!$E$5:$E$104,MATCH($K447,'楼层配置'!$B$5:$B$104,0)),1)</x:f>
        <x:v>1.1309420327744137</x:v>
      </x:c>
      <x:c r="AB447" s="4" t="n">
        <x:f>IFERROR(INDEX('楼层配置'!$F$5:$F$104,MATCH($K447,'楼层配置'!$B$5:$B$104,0)),1)</x:f>
        <x:v>0.7191764066202295</x:v>
      </x:c>
      <x:c r="AC447" s="4" t="n">
        <x:f>IFERROR(INDEX('楼层配置'!$G$5:$G$104,MATCH($K447,'楼层配置'!$B$5:$B$104,0)),1)</x:f>
        <x:v>1</x:v>
      </x:c>
      <x:c r="AD447" s="6" t="n">
        <x:f t="shared" si="45">IFERROR($D447/$G447-1,"")</x:f>
        <x:v>-0.5377640834767139</x:v>
      </x:c>
      <x:c r="AE447" s="6" t="n">
        <x:f t="shared" si="46">IFERROR($E447/$H447-1,"")</x:f>
        <x:v>-0.37425289839418163</x:v>
      </x:c>
      <x:c r="AF447" s="6" t="n">
        <x:f t="shared" si="47">IFERROR($F447/$I447-1,"")</x:f>
        <x:v>-0.05829383886255923</x:v>
      </x:c>
      <x:c r="AG447" s="4" t="str">
        <x:f t="shared" si="48">IF(AND($A447&gt;=1,$L447&gt;=1,$L447&lt;=500,OR($N447="Tank",$N447="DPS",$N447="Support"),ISNUMBER($D447),ISNUMBER($E447),ISNUMBER($F447)),"有效","异常")</x:f>
        <x:v>有效</x:v>
      </x:c>
      <x:c r="AH447" t="n">
        <x:f>D447/(1-MIN(0.75,F447/(24000+F447)))</x:f>
        <x:v>3410665.0781666664</x:v>
      </x:c>
    </x:row>
    <x:row r="448" ht="14.25" customHeight="1">
      <x:c r="A448" s="4">
        <x:v>444</x:v>
      </x:c>
      <x:c r="B448" s="4">
        <x:v>1006</x:v>
      </x:c>
      <x:c r="C448" s="4">
        <x:v>54</x:v>
      </x:c>
      <x:c r="D448" s="5" t="n">
        <x:f>IFERROR(ROUND($U448*$X448*$AA448*'参数'!$B$13,0),"")</x:f>
        <x:v>1579682</x:v>
      </x:c>
      <x:c r="E448" s="5" t="n">
        <x:f>IFERROR(ROUND($V448*$Y448*$AB448*'参数'!$C$13,0),"")</x:f>
        <x:v>34759</x:v>
      </x:c>
      <x:c r="F448" s="5" t="n">
        <x:f>IFERROR(ROUND($W448*$Z448*$AC448*'参数'!$D$13,0),"")</x:f>
        <x:v>27818</x:v>
      </x:c>
      <x:c r="G448" s="4">
        <x:v>3417480</x:v>
      </x:c>
      <x:c r="H448" s="4">
        <x:v>55548</x:v>
      </x:c>
      <x:c r="I448" s="4">
        <x:v>29540</x:v>
      </x:c>
      <x:c r="J448" s="4">
        <x:v>89</x:v>
      </x:c>
      <x:c r="K448" s="4">
        <x:v>89</x:v>
      </x:c>
      <x:c r="L448" s="4" t="n">
        <x:f>IFERROR(INDEX('楼层配置'!$D$5:$D$104,MATCH($K448,'楼层配置'!$B$5:$B$104,0)),"")</x:f>
        <x:v>267</x:v>
      </x:c>
      <x:c r="M448" s="4" t="str">
        <x:f>IFERROR(INDEX('_角色基线'!$B$2:$B$100,MATCH($B448,'_角色基线'!$A$2:$A$100,0)),"")</x:f>
        <x:v>莉莉娅</x:v>
      </x:c>
      <x:c r="N448" s="4" t="str">
        <x:f>IFERROR(INDEX('_角色基线'!$C$2:$C$100,MATCH($B448,'_角色基线'!$A$2:$A$100,0)),"")</x:f>
        <x:v>DPS</x:v>
      </x:c>
      <x:c r="O448" s="4" t="n">
        <x:f>IFERROR(INDEX('_怪物基线'!$B$2:$B$501,MATCH(INT($L448),'_怪物基线'!$A$2:$A$501,0)),"")</x:f>
        <x:v>349196</x:v>
      </x:c>
      <x:c r="P448" s="4" t="n">
        <x:f>IFERROR(INDEX('_怪物基线'!$C$2:$C$501,MATCH(INT($L448),'_怪物基线'!$A$2:$A$501,0)),"")</x:f>
        <x:v>33564</x:v>
      </x:c>
      <x:c r="Q448" s="4" t="n">
        <x:f>IFERROR(INDEX('_怪物基线'!$D$2:$D$501,MATCH(INT($L448),'_怪物基线'!$A$2:$A$501,0)),"")</x:f>
        <x:v>27818</x:v>
      </x:c>
      <x:c r="R448" s="4" t="n">
        <x:f>'参数'!$B$10</x:f>
        <x:v>4</x:v>
      </x:c>
      <x:c r="S448" s="4" t="n">
        <x:f>'参数'!$C$10</x:f>
        <x:v>1.2</x:v>
      </x:c>
      <x:c r="T448" s="4" t="n">
        <x:f>'参数'!$D$10</x:f>
        <x:v>1</x:v>
      </x:c>
      <x:c r="U448" s="4" t="n">
        <x:f t="shared" si="42">IF($O448="","",$O448*$R448)</x:f>
        <x:v>1396784</x:v>
      </x:c>
      <x:c r="V448" s="4" t="n">
        <x:f t="shared" si="43">IF($P448="","",$P448*$S448)</x:f>
        <x:v>40276.799999999996</x:v>
      </x:c>
      <x:c r="W448" s="4" t="n">
        <x:f t="shared" si="44">IF($Q448="","",$Q448*$T448)</x:f>
        <x:v>27818</x:v>
      </x:c>
      <x:c r="X448" s="4" t="n">
        <x:f>IFERROR(INDEX('参数'!$B$5:$B$7,MATCH($N448,'参数'!$A$5:$A$7,0)),"")</x:f>
        <x:v>1</x:v>
      </x:c>
      <x:c r="Y448" s="4" t="n">
        <x:f>IFERROR(INDEX('参数'!$C$5:$C$7,MATCH($N448,'参数'!$A$5:$A$7,0)),"")</x:f>
        <x:v>1.2</x:v>
      </x:c>
      <x:c r="Z448" s="4" t="n">
        <x:f>IFERROR(INDEX('参数'!$D$5:$D$7,MATCH($N448,'参数'!$A$5:$A$7,0)),"")</x:f>
        <x:v>1</x:v>
      </x:c>
      <x:c r="AA448" s="4" t="n">
        <x:f>IFERROR(INDEX('楼层配置'!$E$5:$E$104,MATCH($K448,'楼层配置'!$B$5:$B$104,0)),1)</x:f>
        <x:v>1.1309420327744137</x:v>
      </x:c>
      <x:c r="AB448" s="4" t="n">
        <x:f>IFERROR(INDEX('楼层配置'!$F$5:$F$104,MATCH($K448,'楼层配置'!$B$5:$B$104,0)),1)</x:f>
        <x:v>0.7191764066202295</x:v>
      </x:c>
      <x:c r="AC448" s="4" t="n">
        <x:f>IFERROR(INDEX('楼层配置'!$G$5:$G$104,MATCH($K448,'楼层配置'!$B$5:$B$104,0)),1)</x:f>
        <x:v>1</x:v>
      </x:c>
      <x:c r="AD448" s="6" t="n">
        <x:f t="shared" si="45">IFERROR($D448/$G448-1,"")</x:f>
        <x:v>-0.5377640834767139</x:v>
      </x:c>
      <x:c r="AE448" s="6" t="n">
        <x:f t="shared" si="46">IFERROR($E448/$H448-1,"")</x:f>
        <x:v>-0.37425289839418163</x:v>
      </x:c>
      <x:c r="AF448" s="6" t="n">
        <x:f t="shared" si="47">IFERROR($F448/$I448-1,"")</x:f>
        <x:v>-0.05829383886255923</x:v>
      </x:c>
      <x:c r="AG448" s="4" t="str">
        <x:f t="shared" si="48">IF(AND($A448&gt;=1,$L448&gt;=1,$L448&lt;=500,OR($N448="Tank",$N448="DPS",$N448="Support"),ISNUMBER($D448),ISNUMBER($E448),ISNUMBER($F448)),"有效","异常")</x:f>
        <x:v>有效</x:v>
      </x:c>
      <x:c r="AH448" t="n">
        <x:f>D448/(1-MIN(0.75,F448/(24000+F448)))</x:f>
        <x:v>3410665.0781666664</x:v>
      </x:c>
    </x:row>
    <x:row r="449" ht="14.25" customHeight="1">
      <x:c r="A449" s="4">
        <x:v>445</x:v>
      </x:c>
      <x:c r="B449" s="4">
        <x:v>1011</x:v>
      </x:c>
      <x:c r="C449" s="4">
        <x:v>54</x:v>
      </x:c>
      <x:c r="D449" s="5" t="n">
        <x:f>IFERROR(ROUND($U449*$X449*$AA449*'参数'!$B$13,0),"")</x:f>
        <x:v>1974602</x:v>
      </x:c>
      <x:c r="E449" s="5" t="n">
        <x:f>IFERROR(ROUND($V449*$Y449*$AB449*'参数'!$C$13,0),"")</x:f>
        <x:v>28966</x:v>
      </x:c>
      <x:c r="F449" s="5" t="n">
        <x:f>IFERROR(ROUND($W449*$Z449*$AC449*'参数'!$D$13,0),"")</x:f>
        <x:v>34773</x:v>
      </x:c>
      <x:c r="G449" s="4">
        <x:v>4271850</x:v>
      </x:c>
      <x:c r="H449" s="4">
        <x:v>46290</x:v>
      </x:c>
      <x:c r="I449" s="4">
        <x:v>36925</x:v>
      </x:c>
      <x:c r="J449" s="4">
        <x:v>89</x:v>
      </x:c>
      <x:c r="K449" s="4">
        <x:v>89</x:v>
      </x:c>
      <x:c r="L449" s="4" t="n">
        <x:f>IFERROR(INDEX('楼层配置'!$D$5:$D$104,MATCH($K449,'楼层配置'!$B$5:$B$104,0)),"")</x:f>
        <x:v>267</x:v>
      </x:c>
      <x:c r="M449" s="4" t="str">
        <x:f>IFERROR(INDEX('_角色基线'!$B$2:$B$100,MATCH($B449,'_角色基线'!$A$2:$A$100,0)),"")</x:f>
        <x:v>陈双双</x:v>
      </x:c>
      <x:c r="N449" s="4" t="str">
        <x:f>IFERROR(INDEX('_角色基线'!$C$2:$C$100,MATCH($B449,'_角色基线'!$A$2:$A$100,0)),"")</x:f>
        <x:v>Support</x:v>
      </x:c>
      <x:c r="O449" s="4" t="n">
        <x:f>IFERROR(INDEX('_怪物基线'!$B$2:$B$501,MATCH(INT($L449),'_怪物基线'!$A$2:$A$501,0)),"")</x:f>
        <x:v>349196</x:v>
      </x:c>
      <x:c r="P449" s="4" t="n">
        <x:f>IFERROR(INDEX('_怪物基线'!$C$2:$C$501,MATCH(INT($L449),'_怪物基线'!$A$2:$A$501,0)),"")</x:f>
        <x:v>33564</x:v>
      </x:c>
      <x:c r="Q449" s="4" t="n">
        <x:f>IFERROR(INDEX('_怪物基线'!$D$2:$D$501,MATCH(INT($L449),'_怪物基线'!$A$2:$A$501,0)),"")</x:f>
        <x:v>27818</x:v>
      </x:c>
      <x:c r="R449" s="4" t="n">
        <x:f>'参数'!$B$10</x:f>
        <x:v>4</x:v>
      </x:c>
      <x:c r="S449" s="4" t="n">
        <x:f>'参数'!$C$10</x:f>
        <x:v>1.2</x:v>
      </x:c>
      <x:c r="T449" s="4" t="n">
        <x:f>'参数'!$D$10</x:f>
        <x:v>1</x:v>
      </x:c>
      <x:c r="U449" s="4" t="n">
        <x:f t="shared" si="42">IF($O449="","",$O449*$R449)</x:f>
        <x:v>1396784</x:v>
      </x:c>
      <x:c r="V449" s="4" t="n">
        <x:f t="shared" si="43">IF($P449="","",$P449*$S449)</x:f>
        <x:v>40276.799999999996</x:v>
      </x:c>
      <x:c r="W449" s="4" t="n">
        <x:f t="shared" si="44">IF($Q449="","",$Q449*$T449)</x:f>
        <x:v>27818</x:v>
      </x:c>
      <x:c r="X449" s="4" t="n">
        <x:f>IFERROR(INDEX('参数'!$B$5:$B$7,MATCH($N449,'参数'!$A$5:$A$7,0)),"")</x:f>
        <x:v>1.25</x:v>
      </x:c>
      <x:c r="Y449" s="4" t="n">
        <x:f>IFERROR(INDEX('参数'!$C$5:$C$7,MATCH($N449,'参数'!$A$5:$A$7,0)),"")</x:f>
        <x:v>1</x:v>
      </x:c>
      <x:c r="Z449" s="4" t="n">
        <x:f>IFERROR(INDEX('参数'!$D$5:$D$7,MATCH($N449,'参数'!$A$5:$A$7,0)),"")</x:f>
        <x:v>1.25</x:v>
      </x:c>
      <x:c r="AA449" s="4" t="n">
        <x:f>IFERROR(INDEX('楼层配置'!$E$5:$E$104,MATCH($K449,'楼层配置'!$B$5:$B$104,0)),1)</x:f>
        <x:v>1.1309420327744137</x:v>
      </x:c>
      <x:c r="AB449" s="4" t="n">
        <x:f>IFERROR(INDEX('楼层配置'!$F$5:$F$104,MATCH($K449,'楼层配置'!$B$5:$B$104,0)),1)</x:f>
        <x:v>0.7191764066202295</x:v>
      </x:c>
      <x:c r="AC449" s="4" t="n">
        <x:f>IFERROR(INDEX('楼层配置'!$G$5:$G$104,MATCH($K449,'楼层配置'!$B$5:$B$104,0)),1)</x:f>
        <x:v>1</x:v>
      </x:c>
      <x:c r="AD449" s="6" t="n">
        <x:f t="shared" si="45">IFERROR($D449/$G449-1,"")</x:f>
        <x:v>-0.537764200522022</x:v>
      </x:c>
      <x:c r="AE449" s="6" t="n">
        <x:f t="shared" si="46">IFERROR($E449/$H449-1,"")</x:f>
        <x:v>-0.374249297904515</x:v>
      </x:c>
      <x:c r="AF449" s="6" t="n">
        <x:f t="shared" si="47">IFERROR($F449/$I449-1,"")</x:f>
        <x:v>-0.05828029790115097</x:v>
      </x:c>
      <x:c r="AG449" s="4" t="str">
        <x:f t="shared" si="48">IF(AND($A449&gt;=1,$L449&gt;=1,$L449&lt;=500,OR($N449="Tank",$N449="DPS",$N449="Support"),ISNUMBER($D449),ISNUMBER($E449),ISNUMBER($F449)),"有效","异常")</x:f>
        <x:v>有效</x:v>
      </x:c>
      <x:c r="AH449" t="n">
        <x:f>D449/(1-MIN(0.75,F449/(24000+F449)))</x:f>
        <x:v>4835553.472750001</x:v>
      </x:c>
    </x:row>
    <x:row r="450" ht="14.25" customHeight="1">
      <x:c r="A450" s="4">
        <x:v>446</x:v>
      </x:c>
      <x:c r="B450" s="4">
        <x:v>1004</x:v>
      </x:c>
      <x:c r="C450" s="4">
        <x:v>55</x:v>
      </x:c>
      <x:c r="D450" s="5" t="n">
        <x:f>IFERROR(ROUND($U450*$X450*$AA450*'参数'!$B$13,0),"")</x:f>
        <x:v>2417174</x:v>
      </x:c>
      <x:c r="E450" s="5" t="n">
        <x:f>IFERROR(ROUND($V450*$Y450*$AB450*'参数'!$C$13,0),"")</x:f>
        <x:v>29407</x:v>
      </x:c>
      <x:c r="F450" s="5" t="n">
        <x:f>IFERROR(ROUND($W450*$Z450*$AC450*'参数'!$D$13,0),"")</x:f>
        <x:v>41928</x:v>
      </x:c>
      <x:c r="G450" s="4">
        <x:v>5285275</x:v>
      </x:c>
      <x:c r="H450" s="4">
        <x:v>47477</x:v>
      </x:c>
      <x:c r="I450" s="4">
        <x:v>44989</x:v>
      </x:c>
      <x:c r="J450" s="4">
        <x:v>90</x:v>
      </x:c>
      <x:c r="K450" s="4">
        <x:v>90</x:v>
      </x:c>
      <x:c r="L450" s="4" t="n">
        <x:f>IFERROR(INDEX('楼层配置'!$D$5:$D$104,MATCH($K450,'楼层配置'!$B$5:$B$104,0)),"")</x:f>
        <x:v>268</x:v>
      </x:c>
      <x:c r="M450" s="4" t="str">
        <x:f>IFERROR(INDEX('_角色基线'!$B$2:$B$100,MATCH($B450,'_角色基线'!$A$2:$A$100,0)),"")</x:f>
        <x:v>阿芭</x:v>
      </x:c>
      <x:c r="N450" s="4" t="str">
        <x:f>IFERROR(INDEX('_角色基线'!$C$2:$C$100,MATCH($B450,'_角色基线'!$A$2:$A$100,0)),"")</x:f>
        <x:v>Tank</x:v>
      </x:c>
      <x:c r="O450" s="4" t="n">
        <x:f>IFERROR(INDEX('_怪物基线'!$B$2:$B$501,MATCH(INT($L450),'_怪物基线'!$A$2:$A$501,0)),"")</x:f>
        <x:v>352727</x:v>
      </x:c>
      <x:c r="P450" s="4" t="n">
        <x:f>IFERROR(INDEX('_怪物基线'!$C$2:$C$501,MATCH(INT($L450),'_怪物基线'!$A$2:$A$501,0)),"")</x:f>
        <x:v>33817</x:v>
      </x:c>
      <x:c r="Q450" s="4" t="n">
        <x:f>IFERROR(INDEX('_怪物基线'!$D$2:$D$501,MATCH(INT($L450),'_怪物基线'!$A$2:$A$501,0)),"")</x:f>
        <x:v>27952</x:v>
      </x:c>
      <x:c r="R450" s="4" t="n">
        <x:f>'参数'!$B$10</x:f>
        <x:v>4</x:v>
      </x:c>
      <x:c r="S450" s="4" t="n">
        <x:f>'参数'!$C$10</x:f>
        <x:v>1.2</x:v>
      </x:c>
      <x:c r="T450" s="4" t="n">
        <x:f>'参数'!$D$10</x:f>
        <x:v>1</x:v>
      </x:c>
      <x:c r="U450" s="4" t="n">
        <x:f t="shared" si="42">IF($O450="","",$O450*$R450)</x:f>
        <x:v>1410908</x:v>
      </x:c>
      <x:c r="V450" s="4" t="n">
        <x:f t="shared" si="43">IF($P450="","",$P450*$S450)</x:f>
        <x:v>40580.4</x:v>
      </x:c>
      <x:c r="W450" s="4" t="n">
        <x:f t="shared" si="44">IF($Q450="","",$Q450*$T450)</x:f>
        <x:v>27952</x:v>
      </x:c>
      <x:c r="X450" s="4" t="n">
        <x:f>IFERROR(INDEX('参数'!$B$5:$B$7,MATCH($N450,'参数'!$A$5:$A$7,0)),"")</x:f>
        <x:v>1.5</x:v>
      </x:c>
      <x:c r="Y450" s="4" t="n">
        <x:f>IFERROR(INDEX('参数'!$C$5:$C$7,MATCH($N450,'参数'!$A$5:$A$7,0)),"")</x:f>
        <x:v>1</x:v>
      </x:c>
      <x:c r="Z450" s="4" t="n">
        <x:f>IFERROR(INDEX('参数'!$D$5:$D$7,MATCH($N450,'参数'!$A$5:$A$7,0)),"")</x:f>
        <x:v>1.5</x:v>
      </x:c>
      <x:c r="AA450" s="4" t="n">
        <x:f>IFERROR(INDEX('楼层配置'!$E$5:$E$104,MATCH($K450,'楼层配置'!$B$5:$B$104,0)),1)</x:f>
        <x:v>1.1421363210661606</x:v>
      </x:c>
      <x:c r="AB450" s="4" t="n">
        <x:f>IFERROR(INDEX('楼层配置'!$F$5:$F$104,MATCH($K450,'楼层配置'!$B$5:$B$104,0)),1)</x:f>
        <x:v>0.7246547449298928</x:v>
      </x:c>
      <x:c r="AC450" s="4" t="n">
        <x:f>IFERROR(INDEX('楼层配置'!$G$5:$G$104,MATCH($K450,'楼层配置'!$B$5:$B$104,0)),1)</x:f>
        <x:v>1</x:v>
      </x:c>
      <x:c r="AD450" s="6" t="n">
        <x:f t="shared" si="45">IFERROR($D450/$G450-1,"")</x:f>
        <x:v>-0.5426588020490892</x:v>
      </x:c>
      <x:c r="AE450" s="6" t="n">
        <x:f t="shared" si="46">IFERROR($E450/$H450-1,"")</x:f>
        <x:v>-0.3806053457463614</x:v>
      </x:c>
      <x:c r="AF450" s="6" t="n">
        <x:f t="shared" si="47">IFERROR($F450/$I450-1,"")</x:f>
        <x:v>-0.06803885394207476</x:v>
      </x:c>
      <x:c r="AG450" s="4" t="str">
        <x:f t="shared" si="48">IF(AND($A450&gt;=1,$L450&gt;=1,$L450&lt;=500,OR($N450="Tank",$N450="DPS",$N450="Support"),ISNUMBER($D450),ISNUMBER($E450),ISNUMBER($F450)),"有效","异常")</x:f>
        <x:v>有效</x:v>
      </x:c>
      <x:c r="AH450" t="n">
        <x:f>D450/(1-MIN(0.75,F450/(24000+F450)))</x:f>
        <x:v>6639976.978</x:v>
      </x:c>
    </x:row>
    <x:row r="451" ht="14.25" customHeight="1">
      <x:c r="A451" s="4">
        <x:v>447</x:v>
      </x:c>
      <x:c r="B451" s="4">
        <x:v>1005</x:v>
      </x:c>
      <x:c r="C451" s="4">
        <x:v>55</x:v>
      </x:c>
      <x:c r="D451" s="5" t="n">
        <x:f>IFERROR(ROUND($U451*$X451*$AA451*'参数'!$B$13,0),"")</x:f>
        <x:v>1611449</x:v>
      </x:c>
      <x:c r="E451" s="5" t="n">
        <x:f>IFERROR(ROUND($V451*$Y451*$AB451*'参数'!$C$13,0),"")</x:f>
        <x:v>35288</x:v>
      </x:c>
      <x:c r="F451" s="5" t="n">
        <x:f>IFERROR(ROUND($W451*$Z451*$AC451*'参数'!$D$13,0),"")</x:f>
        <x:v>27952</x:v>
      </x:c>
      <x:c r="G451" s="4">
        <x:v>3523516</x:v>
      </x:c>
      <x:c r="H451" s="4">
        <x:v>56972</x:v>
      </x:c>
      <x:c r="I451" s="4">
        <x:v>29992</x:v>
      </x:c>
      <x:c r="J451" s="4">
        <x:v>90</x:v>
      </x:c>
      <x:c r="K451" s="4">
        <x:v>90</x:v>
      </x:c>
      <x:c r="L451" s="4" t="n">
        <x:f>IFERROR(INDEX('楼层配置'!$D$5:$D$104,MATCH($K451,'楼层配置'!$B$5:$B$104,0)),"")</x:f>
        <x:v>268</x:v>
      </x:c>
      <x:c r="M451" s="4" t="str">
        <x:f>IFERROR(INDEX('_角色基线'!$B$2:$B$100,MATCH($B451,'_角色基线'!$A$2:$A$100,0)),"")</x:f>
        <x:v>陈单单</x:v>
      </x:c>
      <x:c r="N451" s="4" t="str">
        <x:f>IFERROR(INDEX('_角色基线'!$C$2:$C$100,MATCH($B451,'_角色基线'!$A$2:$A$100,0)),"")</x:f>
        <x:v>DPS</x:v>
      </x:c>
      <x:c r="O451" s="4" t="n">
        <x:f>IFERROR(INDEX('_怪物基线'!$B$2:$B$501,MATCH(INT($L451),'_怪物基线'!$A$2:$A$501,0)),"")</x:f>
        <x:v>352727</x:v>
      </x:c>
      <x:c r="P451" s="4" t="n">
        <x:f>IFERROR(INDEX('_怪物基线'!$C$2:$C$501,MATCH(INT($L451),'_怪物基线'!$A$2:$A$501,0)),"")</x:f>
        <x:v>33817</x:v>
      </x:c>
      <x:c r="Q451" s="4" t="n">
        <x:f>IFERROR(INDEX('_怪物基线'!$D$2:$D$501,MATCH(INT($L451),'_怪物基线'!$A$2:$A$501,0)),"")</x:f>
        <x:v>27952</x:v>
      </x:c>
      <x:c r="R451" s="4" t="n">
        <x:f>'参数'!$B$10</x:f>
        <x:v>4</x:v>
      </x:c>
      <x:c r="S451" s="4" t="n">
        <x:f>'参数'!$C$10</x:f>
        <x:v>1.2</x:v>
      </x:c>
      <x:c r="T451" s="4" t="n">
        <x:f>'参数'!$D$10</x:f>
        <x:v>1</x:v>
      </x:c>
      <x:c r="U451" s="4" t="n">
        <x:f t="shared" si="42">IF($O451="","",$O451*$R451)</x:f>
        <x:v>1410908</x:v>
      </x:c>
      <x:c r="V451" s="4" t="n">
        <x:f t="shared" si="43">IF($P451="","",$P451*$S451)</x:f>
        <x:v>40580.4</x:v>
      </x:c>
      <x:c r="W451" s="4" t="n">
        <x:f t="shared" si="44">IF($Q451="","",$Q451*$T451)</x:f>
        <x:v>27952</x:v>
      </x:c>
      <x:c r="X451" s="4" t="n">
        <x:f>IFERROR(INDEX('参数'!$B$5:$B$7,MATCH($N451,'参数'!$A$5:$A$7,0)),"")</x:f>
        <x:v>1</x:v>
      </x:c>
      <x:c r="Y451" s="4" t="n">
        <x:f>IFERROR(INDEX('参数'!$C$5:$C$7,MATCH($N451,'参数'!$A$5:$A$7,0)),"")</x:f>
        <x:v>1.2</x:v>
      </x:c>
      <x:c r="Z451" s="4" t="n">
        <x:f>IFERROR(INDEX('参数'!$D$5:$D$7,MATCH($N451,'参数'!$A$5:$A$7,0)),"")</x:f>
        <x:v>1</x:v>
      </x:c>
      <x:c r="AA451" s="4" t="n">
        <x:f>IFERROR(INDEX('楼层配置'!$E$5:$E$104,MATCH($K451,'楼层配置'!$B$5:$B$104,0)),1)</x:f>
        <x:v>1.1421363210661606</x:v>
      </x:c>
      <x:c r="AB451" s="4" t="n">
        <x:f>IFERROR(INDEX('楼层配置'!$F$5:$F$104,MATCH($K451,'楼层配置'!$B$5:$B$104,0)),1)</x:f>
        <x:v>0.7246547449298928</x:v>
      </x:c>
      <x:c r="AC451" s="4" t="n">
        <x:f>IFERROR(INDEX('楼层配置'!$G$5:$G$104,MATCH($K451,'楼层配置'!$B$5:$B$104,0)),1)</x:f>
        <x:v>1</x:v>
      </x:c>
      <x:c r="AD451" s="6" t="n">
        <x:f t="shared" si="45">IFERROR($D451/$G451-1,"")</x:f>
        <x:v>-0.5426588101203458</x:v>
      </x:c>
      <x:c r="AE451" s="6" t="n">
        <x:f t="shared" si="46">IFERROR($E451/$H451-1,"")</x:f>
        <x:v>-0.38060801797374144</x:v>
      </x:c>
      <x:c r="AF451" s="6" t="n">
        <x:f t="shared" si="47">IFERROR($F451/$I451-1,"")</x:f>
        <x:v>-0.06801813817017877</x:v>
      </x:c>
      <x:c r="AG451" s="4" t="str">
        <x:f t="shared" si="48">IF(AND($A451&gt;=1,$L451&gt;=1,$L451&lt;=500,OR($N451="Tank",$N451="DPS",$N451="Support"),ISNUMBER($D451),ISNUMBER($E451),ISNUMBER($F451)),"有效","异常")</x:f>
        <x:v>有效</x:v>
      </x:c>
      <x:c r="AH451" t="n">
        <x:f>D451/(1-MIN(0.75,F451/(24000+F451)))</x:f>
        <x:v>3488249.935333333</x:v>
      </x:c>
    </x:row>
    <x:row r="452" ht="14.25" customHeight="1">
      <x:c r="A452" s="4">
        <x:v>448</x:v>
      </x:c>
      <x:c r="B452" s="4">
        <x:v>1005</x:v>
      </x:c>
      <x:c r="C452" s="4">
        <x:v>55</x:v>
      </x:c>
      <x:c r="D452" s="5" t="n">
        <x:f>IFERROR(ROUND($U452*$X452*$AA452*'参数'!$B$13,0),"")</x:f>
        <x:v>1611449</x:v>
      </x:c>
      <x:c r="E452" s="5" t="n">
        <x:f>IFERROR(ROUND($V452*$Y452*$AB452*'参数'!$C$13,0),"")</x:f>
        <x:v>35288</x:v>
      </x:c>
      <x:c r="F452" s="5" t="n">
        <x:f>IFERROR(ROUND($W452*$Z452*$AC452*'参数'!$D$13,0),"")</x:f>
        <x:v>27952</x:v>
      </x:c>
      <x:c r="G452" s="4">
        <x:v>3523516</x:v>
      </x:c>
      <x:c r="H452" s="4">
        <x:v>56972</x:v>
      </x:c>
      <x:c r="I452" s="4">
        <x:v>29992</x:v>
      </x:c>
      <x:c r="J452" s="4">
        <x:v>90</x:v>
      </x:c>
      <x:c r="K452" s="4">
        <x:v>90</x:v>
      </x:c>
      <x:c r="L452" s="4" t="n">
        <x:f>IFERROR(INDEX('楼层配置'!$D$5:$D$104,MATCH($K452,'楼层配置'!$B$5:$B$104,0)),"")</x:f>
        <x:v>268</x:v>
      </x:c>
      <x:c r="M452" s="4" t="str">
        <x:f>IFERROR(INDEX('_角色基线'!$B$2:$B$100,MATCH($B452,'_角色基线'!$A$2:$A$100,0)),"")</x:f>
        <x:v>陈单单</x:v>
      </x:c>
      <x:c r="N452" s="4" t="str">
        <x:f>IFERROR(INDEX('_角色基线'!$C$2:$C$100,MATCH($B452,'_角色基线'!$A$2:$A$100,0)),"")</x:f>
        <x:v>DPS</x:v>
      </x:c>
      <x:c r="O452" s="4" t="n">
        <x:f>IFERROR(INDEX('_怪物基线'!$B$2:$B$501,MATCH(INT($L452),'_怪物基线'!$A$2:$A$501,0)),"")</x:f>
        <x:v>352727</x:v>
      </x:c>
      <x:c r="P452" s="4" t="n">
        <x:f>IFERROR(INDEX('_怪物基线'!$C$2:$C$501,MATCH(INT($L452),'_怪物基线'!$A$2:$A$501,0)),"")</x:f>
        <x:v>33817</x:v>
      </x:c>
      <x:c r="Q452" s="4" t="n">
        <x:f>IFERROR(INDEX('_怪物基线'!$D$2:$D$501,MATCH(INT($L452),'_怪物基线'!$A$2:$A$501,0)),"")</x:f>
        <x:v>27952</x:v>
      </x:c>
      <x:c r="R452" s="4" t="n">
        <x:f>'参数'!$B$10</x:f>
        <x:v>4</x:v>
      </x:c>
      <x:c r="S452" s="4" t="n">
        <x:f>'参数'!$C$10</x:f>
        <x:v>1.2</x:v>
      </x:c>
      <x:c r="T452" s="4" t="n">
        <x:f>'参数'!$D$10</x:f>
        <x:v>1</x:v>
      </x:c>
      <x:c r="U452" s="4" t="n">
        <x:f t="shared" si="42">IF($O452="","",$O452*$R452)</x:f>
        <x:v>1410908</x:v>
      </x:c>
      <x:c r="V452" s="4" t="n">
        <x:f t="shared" si="43">IF($P452="","",$P452*$S452)</x:f>
        <x:v>40580.4</x:v>
      </x:c>
      <x:c r="W452" s="4" t="n">
        <x:f t="shared" si="44">IF($Q452="","",$Q452*$T452)</x:f>
        <x:v>27952</x:v>
      </x:c>
      <x:c r="X452" s="4" t="n">
        <x:f>IFERROR(INDEX('参数'!$B$5:$B$7,MATCH($N452,'参数'!$A$5:$A$7,0)),"")</x:f>
        <x:v>1</x:v>
      </x:c>
      <x:c r="Y452" s="4" t="n">
        <x:f>IFERROR(INDEX('参数'!$C$5:$C$7,MATCH($N452,'参数'!$A$5:$A$7,0)),"")</x:f>
        <x:v>1.2</x:v>
      </x:c>
      <x:c r="Z452" s="4" t="n">
        <x:f>IFERROR(INDEX('参数'!$D$5:$D$7,MATCH($N452,'参数'!$A$5:$A$7,0)),"")</x:f>
        <x:v>1</x:v>
      </x:c>
      <x:c r="AA452" s="4" t="n">
        <x:f>IFERROR(INDEX('楼层配置'!$E$5:$E$104,MATCH($K452,'楼层配置'!$B$5:$B$104,0)),1)</x:f>
        <x:v>1.1421363210661606</x:v>
      </x:c>
      <x:c r="AB452" s="4" t="n">
        <x:f>IFERROR(INDEX('楼层配置'!$F$5:$F$104,MATCH($K452,'楼层配置'!$B$5:$B$104,0)),1)</x:f>
        <x:v>0.7246547449298928</x:v>
      </x:c>
      <x:c r="AC452" s="4" t="n">
        <x:f>IFERROR(INDEX('楼层配置'!$G$5:$G$104,MATCH($K452,'楼层配置'!$B$5:$B$104,0)),1)</x:f>
        <x:v>1</x:v>
      </x:c>
      <x:c r="AD452" s="6" t="n">
        <x:f t="shared" si="45">IFERROR($D452/$G452-1,"")</x:f>
        <x:v>-0.5426588101203458</x:v>
      </x:c>
      <x:c r="AE452" s="6" t="n">
        <x:f t="shared" si="46">IFERROR($E452/$H452-1,"")</x:f>
        <x:v>-0.38060801797374144</x:v>
      </x:c>
      <x:c r="AF452" s="6" t="n">
        <x:f t="shared" si="47">IFERROR($F452/$I452-1,"")</x:f>
        <x:v>-0.06801813817017877</x:v>
      </x:c>
      <x:c r="AG452" s="4" t="str">
        <x:f t="shared" si="48">IF(AND($A452&gt;=1,$L452&gt;=1,$L452&lt;=500,OR($N452="Tank",$N452="DPS",$N452="Support"),ISNUMBER($D452),ISNUMBER($E452),ISNUMBER($F452)),"有效","异常")</x:f>
        <x:v>有效</x:v>
      </x:c>
      <x:c r="AH452" t="n">
        <x:f>D452/(1-MIN(0.75,F452/(24000+F452)))</x:f>
        <x:v>3488249.935333333</x:v>
      </x:c>
    </x:row>
    <x:row r="453" ht="14.25" customHeight="1">
      <x:c r="A453" s="4">
        <x:v>449</x:v>
      </x:c>
      <x:c r="B453" s="4">
        <x:v>1029</x:v>
      </x:c>
      <x:c r="C453" s="4">
        <x:v>55</x:v>
      </x:c>
      <x:c r="D453" s="5" t="n">
        <x:f>IFERROR(ROUND($U453*$X453*$AA453*'参数'!$B$13,0),"")</x:f>
        <x:v>2014312</x:v>
      </x:c>
      <x:c r="E453" s="5" t="n">
        <x:f>IFERROR(ROUND($V453*$Y453*$AB453*'参数'!$C$13,0),"")</x:f>
        <x:v>29407</x:v>
      </x:c>
      <x:c r="F453" s="5" t="n">
        <x:f>IFERROR(ROUND($W453*$Z453*$AC453*'参数'!$D$13,0),"")</x:f>
        <x:v>34940</x:v>
      </x:c>
      <x:c r="G453" s="4">
        <x:v>4404396</x:v>
      </x:c>
      <x:c r="H453" s="4">
        <x:v>47477</x:v>
      </x:c>
      <x:c r="I453" s="4">
        <x:v>37491</x:v>
      </x:c>
      <x:c r="J453" s="4">
        <x:v>90</x:v>
      </x:c>
      <x:c r="K453" s="4">
        <x:v>90</x:v>
      </x:c>
      <x:c r="L453" s="4" t="n">
        <x:f>IFERROR(INDEX('楼层配置'!$D$5:$D$104,MATCH($K453,'楼层配置'!$B$5:$B$104,0)),"")</x:f>
        <x:v>268</x:v>
      </x:c>
      <x:c r="M453" s="4" t="str">
        <x:f>IFERROR(INDEX('_角色基线'!$B$2:$B$100,MATCH($B453,'_角色基线'!$A$2:$A$100,0)),"")</x:f>
        <x:v>凯兰</x:v>
      </x:c>
      <x:c r="N453" s="4" t="str">
        <x:f>IFERROR(INDEX('_角色基线'!$C$2:$C$100,MATCH($B453,'_角色基线'!$A$2:$A$100,0)),"")</x:f>
        <x:v>Support</x:v>
      </x:c>
      <x:c r="O453" s="4" t="n">
        <x:f>IFERROR(INDEX('_怪物基线'!$B$2:$B$501,MATCH(INT($L453),'_怪物基线'!$A$2:$A$501,0)),"")</x:f>
        <x:v>352727</x:v>
      </x:c>
      <x:c r="P453" s="4" t="n">
        <x:f>IFERROR(INDEX('_怪物基线'!$C$2:$C$501,MATCH(INT($L453),'_怪物基线'!$A$2:$A$501,0)),"")</x:f>
        <x:v>33817</x:v>
      </x:c>
      <x:c r="Q453" s="4" t="n">
        <x:f>IFERROR(INDEX('_怪物基线'!$D$2:$D$501,MATCH(INT($L453),'_怪物基线'!$A$2:$A$501,0)),"")</x:f>
        <x:v>27952</x:v>
      </x:c>
      <x:c r="R453" s="4" t="n">
        <x:f>'参数'!$B$10</x:f>
        <x:v>4</x:v>
      </x:c>
      <x:c r="S453" s="4" t="n">
        <x:f>'参数'!$C$10</x:f>
        <x:v>1.2</x:v>
      </x:c>
      <x:c r="T453" s="4" t="n">
        <x:f>'参数'!$D$10</x:f>
        <x:v>1</x:v>
      </x:c>
      <x:c r="U453" s="4" t="n">
        <x:f t="shared" ref="U453:U504" si="49">IF($O453="","",$O453*$R453)</x:f>
        <x:v>1410908</x:v>
      </x:c>
      <x:c r="V453" s="4" t="n">
        <x:f t="shared" ref="V453:V504" si="50">IF($P453="","",$P453*$S453)</x:f>
        <x:v>40580.4</x:v>
      </x:c>
      <x:c r="W453" s="4" t="n">
        <x:f t="shared" ref="W453:W504" si="51">IF($Q453="","",$Q453*$T453)</x:f>
        <x:v>27952</x:v>
      </x:c>
      <x:c r="X453" s="4" t="n">
        <x:f>IFERROR(INDEX('参数'!$B$5:$B$7,MATCH($N453,'参数'!$A$5:$A$7,0)),"")</x:f>
        <x:v>1.25</x:v>
      </x:c>
      <x:c r="Y453" s="4" t="n">
        <x:f>IFERROR(INDEX('参数'!$C$5:$C$7,MATCH($N453,'参数'!$A$5:$A$7,0)),"")</x:f>
        <x:v>1</x:v>
      </x:c>
      <x:c r="Z453" s="4" t="n">
        <x:f>IFERROR(INDEX('参数'!$D$5:$D$7,MATCH($N453,'参数'!$A$5:$A$7,0)),"")</x:f>
        <x:v>1.25</x:v>
      </x:c>
      <x:c r="AA453" s="4" t="n">
        <x:f>IFERROR(INDEX('楼层配置'!$E$5:$E$104,MATCH($K453,'楼层配置'!$B$5:$B$104,0)),1)</x:f>
        <x:v>1.1421363210661606</x:v>
      </x:c>
      <x:c r="AB453" s="4" t="n">
        <x:f>IFERROR(INDEX('楼层配置'!$F$5:$F$104,MATCH($K453,'楼层配置'!$B$5:$B$104,0)),1)</x:f>
        <x:v>0.7246547449298928</x:v>
      </x:c>
      <x:c r="AC453" s="4" t="n">
        <x:f>IFERROR(INDEX('楼层配置'!$G$5:$G$104,MATCH($K453,'楼层配置'!$B$5:$B$104,0)),1)</x:f>
        <x:v>1</x:v>
      </x:c>
      <x:c r="AD453" s="6" t="n">
        <x:f t="shared" ref="AD453:AD504" si="52">IFERROR($D453/$G453-1,"")</x:f>
        <x:v>-0.5426587436733663</x:v>
      </x:c>
      <x:c r="AE453" s="6" t="n">
        <x:f t="shared" ref="AE453:AE504" si="53">IFERROR($E453/$H453-1,"")</x:f>
        <x:v>-0.3806053457463614</x:v>
      </x:c>
      <x:c r="AF453" s="6" t="n">
        <x:f t="shared" ref="AF453:AF504" si="54">IFERROR($F453/$I453-1,"")</x:f>
        <x:v>-0.0680429969859433</x:v>
      </x:c>
      <x:c r="AG453" s="4" t="str">
        <x:f t="shared" ref="AG453:AG504" si="55">IF(AND($A453&gt;=1,$L453&gt;=1,$L453&lt;=500,OR($N453="Tank",$N453="DPS",$N453="Support"),ISNUMBER($D453),ISNUMBER($E453),ISNUMBER($F453)),"有效","异常")</x:f>
        <x:v>有效</x:v>
      </x:c>
      <x:c r="AH453" t="n">
        <x:f>D453/(1-MIN(0.75,F453/(24000+F453)))</x:f>
        <x:v>4946814.553333334</x:v>
      </x:c>
    </x:row>
    <x:row r="454" ht="14.25" customHeight="1">
      <x:c r="A454" s="4">
        <x:v>450</x:v>
      </x:c>
      <x:c r="B454" s="4">
        <x:v>1007</x:v>
      </x:c>
      <x:c r="C454" s="4">
        <x:v>55</x:v>
      </x:c>
      <x:c r="D454" s="5" t="n">
        <x:f>IFERROR(ROUND($U454*$X454*$AA454*'参数'!$B$13,0),"")</x:f>
        <x:v>2014312</x:v>
      </x:c>
      <x:c r="E454" s="5" t="n">
        <x:f>IFERROR(ROUND($V454*$Y454*$AB454*'参数'!$C$13,0),"")</x:f>
        <x:v>29407</x:v>
      </x:c>
      <x:c r="F454" s="5" t="n">
        <x:f>IFERROR(ROUND($W454*$Z454*$AC454*'参数'!$D$13,0),"")</x:f>
        <x:v>34940</x:v>
      </x:c>
      <x:c r="G454" s="4">
        <x:v>4404396</x:v>
      </x:c>
      <x:c r="H454" s="4">
        <x:v>47477</x:v>
      </x:c>
      <x:c r="I454" s="4">
        <x:v>37491</x:v>
      </x:c>
      <x:c r="J454" s="4">
        <x:v>90</x:v>
      </x:c>
      <x:c r="K454" s="4">
        <x:v>90</x:v>
      </x:c>
      <x:c r="L454" s="4" t="n">
        <x:f>IFERROR(INDEX('楼层配置'!$D$5:$D$104,MATCH($K454,'楼层配置'!$B$5:$B$104,0)),"")</x:f>
        <x:v>268</x:v>
      </x:c>
      <x:c r="M454" s="4" t="str">
        <x:f>IFERROR(INDEX('_角色基线'!$B$2:$B$100,MATCH($B454,'_角色基线'!$A$2:$A$100,0)),"")</x:f>
        <x:v>萨萨莉安</x:v>
      </x:c>
      <x:c r="N454" s="4" t="str">
        <x:f>IFERROR(INDEX('_角色基线'!$C$2:$C$100,MATCH($B454,'_角色基线'!$A$2:$A$100,0)),"")</x:f>
        <x:v>Support</x:v>
      </x:c>
      <x:c r="O454" s="4" t="n">
        <x:f>IFERROR(INDEX('_怪物基线'!$B$2:$B$501,MATCH(INT($L454),'_怪物基线'!$A$2:$A$501,0)),"")</x:f>
        <x:v>352727</x:v>
      </x:c>
      <x:c r="P454" s="4" t="n">
        <x:f>IFERROR(INDEX('_怪物基线'!$C$2:$C$501,MATCH(INT($L454),'_怪物基线'!$A$2:$A$501,0)),"")</x:f>
        <x:v>33817</x:v>
      </x:c>
      <x:c r="Q454" s="4" t="n">
        <x:f>IFERROR(INDEX('_怪物基线'!$D$2:$D$501,MATCH(INT($L454),'_怪物基线'!$A$2:$A$501,0)),"")</x:f>
        <x:v>27952</x:v>
      </x:c>
      <x:c r="R454" s="4" t="n">
        <x:f>'参数'!$B$10</x:f>
        <x:v>4</x:v>
      </x:c>
      <x:c r="S454" s="4" t="n">
        <x:f>'参数'!$C$10</x:f>
        <x:v>1.2</x:v>
      </x:c>
      <x:c r="T454" s="4" t="n">
        <x:f>'参数'!$D$10</x:f>
        <x:v>1</x:v>
      </x:c>
      <x:c r="U454" s="4" t="n">
        <x:f t="shared" si="49">IF($O454="","",$O454*$R454)</x:f>
        <x:v>1410908</x:v>
      </x:c>
      <x:c r="V454" s="4" t="n">
        <x:f t="shared" si="50">IF($P454="","",$P454*$S454)</x:f>
        <x:v>40580.4</x:v>
      </x:c>
      <x:c r="W454" s="4" t="n">
        <x:f t="shared" si="51">IF($Q454="","",$Q454*$T454)</x:f>
        <x:v>27952</x:v>
      </x:c>
      <x:c r="X454" s="4" t="n">
        <x:f>IFERROR(INDEX('参数'!$B$5:$B$7,MATCH($N454,'参数'!$A$5:$A$7,0)),"")</x:f>
        <x:v>1.25</x:v>
      </x:c>
      <x:c r="Y454" s="4" t="n">
        <x:f>IFERROR(INDEX('参数'!$C$5:$C$7,MATCH($N454,'参数'!$A$5:$A$7,0)),"")</x:f>
        <x:v>1</x:v>
      </x:c>
      <x:c r="Z454" s="4" t="n">
        <x:f>IFERROR(INDEX('参数'!$D$5:$D$7,MATCH($N454,'参数'!$A$5:$A$7,0)),"")</x:f>
        <x:v>1.25</x:v>
      </x:c>
      <x:c r="AA454" s="4" t="n">
        <x:f>IFERROR(INDEX('楼层配置'!$E$5:$E$104,MATCH($K454,'楼层配置'!$B$5:$B$104,0)),1)</x:f>
        <x:v>1.1421363210661606</x:v>
      </x:c>
      <x:c r="AB454" s="4" t="n">
        <x:f>IFERROR(INDEX('楼层配置'!$F$5:$F$104,MATCH($K454,'楼层配置'!$B$5:$B$104,0)),1)</x:f>
        <x:v>0.7246547449298928</x:v>
      </x:c>
      <x:c r="AC454" s="4" t="n">
        <x:f>IFERROR(INDEX('楼层配置'!$G$5:$G$104,MATCH($K454,'楼层配置'!$B$5:$B$104,0)),1)</x:f>
        <x:v>1</x:v>
      </x:c>
      <x:c r="AD454" s="6" t="n">
        <x:f t="shared" si="52">IFERROR($D454/$G454-1,"")</x:f>
        <x:v>-0.5426587436733663</x:v>
      </x:c>
      <x:c r="AE454" s="6" t="n">
        <x:f t="shared" si="53">IFERROR($E454/$H454-1,"")</x:f>
        <x:v>-0.3806053457463614</x:v>
      </x:c>
      <x:c r="AF454" s="6" t="n">
        <x:f t="shared" si="54">IFERROR($F454/$I454-1,"")</x:f>
        <x:v>-0.0680429969859433</x:v>
      </x:c>
      <x:c r="AG454" s="4" t="str">
        <x:f t="shared" si="55">IF(AND($A454&gt;=1,$L454&gt;=1,$L454&lt;=500,OR($N454="Tank",$N454="DPS",$N454="Support"),ISNUMBER($D454),ISNUMBER($E454),ISNUMBER($F454)),"有效","异常")</x:f>
        <x:v>有效</x:v>
      </x:c>
      <x:c r="AH454" t="n">
        <x:f>D454/(1-MIN(0.75,F454/(24000+F454)))</x:f>
        <x:v>4946814.553333334</x:v>
      </x:c>
    </x:row>
    <x:row r="455" ht="14.25" customHeight="1">
      <x:c r="A455" s="4">
        <x:v>451</x:v>
      </x:c>
      <x:c r="B455" s="4">
        <x:v>1003</x:v>
      </x:c>
      <x:c r="C455" s="4">
        <x:v>55</x:v>
      </x:c>
      <x:c r="D455" s="5" t="n">
        <x:f>IFERROR(ROUND($U455*$X455*$AA455*'参数'!$B$13,0),"")</x:f>
        <x:v>2437024</x:v>
      </x:c>
      <x:c r="E455" s="5" t="n">
        <x:f>IFERROR(ROUND($V455*$Y455*$AB455*'参数'!$C$13,0),"")</x:f>
        <x:v>29653</x:v>
      </x:c>
      <x:c r="F455" s="5" t="n">
        <x:f>IFERROR(ROUND($W455*$Z455*$AC455*'参数'!$D$13,0),"")</x:f>
        <x:v>42131</x:v>
      </x:c>
      <x:c r="G455" s="4">
        <x:v>5448031</x:v>
      </x:c>
      <x:c r="H455" s="4">
        <x:v>48692</x:v>
      </x:c>
      <x:c r="I455" s="4">
        <x:v>45673</x:v>
      </x:c>
      <x:c r="J455" s="4">
        <x:v>91</x:v>
      </x:c>
      <x:c r="K455" s="4">
        <x:v>91</x:v>
      </x:c>
      <x:c r="L455" s="4" t="n">
        <x:f>IFERROR(INDEX('楼层配置'!$D$5:$D$104,MATCH($K455,'楼层配置'!$B$5:$B$104,0)),"")</x:f>
        <x:v>269</x:v>
      </x:c>
      <x:c r="M455" s="4" t="str">
        <x:f>IFERROR(INDEX('_角色基线'!$B$2:$B$100,MATCH($B455,'_角色基线'!$A$2:$A$100,0)),"")</x:f>
        <x:v>塔拉夏</x:v>
      </x:c>
      <x:c r="N455" s="4" t="str">
        <x:f>IFERROR(INDEX('_角色基线'!$C$2:$C$100,MATCH($B455,'_角色基线'!$A$2:$A$100,0)),"")</x:f>
        <x:v>Tank</x:v>
      </x:c>
      <x:c r="O455" s="4" t="n">
        <x:f>IFERROR(INDEX('_怪物基线'!$B$2:$B$501,MATCH(INT($L455),'_怪物基线'!$A$2:$A$501,0)),"")</x:f>
        <x:v>356284</x:v>
      </x:c>
      <x:c r="P455" s="4" t="n">
        <x:f>IFERROR(INDEX('_怪物基线'!$C$2:$C$501,MATCH(INT($L455),'_怪物基线'!$A$2:$A$501,0)),"")</x:f>
        <x:v>34070</x:v>
      </x:c>
      <x:c r="Q455" s="4" t="n">
        <x:f>IFERROR(INDEX('_怪物基线'!$D$2:$D$501,MATCH(INT($L455),'_怪物基线'!$A$2:$A$501,0)),"")</x:f>
        <x:v>28087</x:v>
      </x:c>
      <x:c r="R455" s="4" t="n">
        <x:f>'参数'!$B$10</x:f>
        <x:v>4</x:v>
      </x:c>
      <x:c r="S455" s="4" t="n">
        <x:f>'参数'!$C$10</x:f>
        <x:v>1.2</x:v>
      </x:c>
      <x:c r="T455" s="4" t="n">
        <x:f>'参数'!$D$10</x:f>
        <x:v>1</x:v>
      </x:c>
      <x:c r="U455" s="4" t="n">
        <x:f t="shared" si="49">IF($O455="","",$O455*$R455)</x:f>
        <x:v>1425136</x:v>
      </x:c>
      <x:c r="V455" s="4" t="n">
        <x:f t="shared" si="50">IF($P455="","",$P455*$S455)</x:f>
        <x:v>40884</x:v>
      </x:c>
      <x:c r="W455" s="4" t="n">
        <x:f t="shared" si="51">IF($Q455="","",$Q455*$T455)</x:f>
        <x:v>28087</x:v>
      </x:c>
      <x:c r="X455" s="4" t="n">
        <x:f>IFERROR(INDEX('参数'!$B$5:$B$7,MATCH($N455,'参数'!$A$5:$A$7,0)),"")</x:f>
        <x:v>1.5</x:v>
      </x:c>
      <x:c r="Y455" s="4" t="n">
        <x:f>IFERROR(INDEX('参数'!$C$5:$C$7,MATCH($N455,'参数'!$A$5:$A$7,0)),"")</x:f>
        <x:v>1</x:v>
      </x:c>
      <x:c r="Z455" s="4" t="n">
        <x:f>IFERROR(INDEX('参数'!$D$5:$D$7,MATCH($N455,'参数'!$A$5:$A$7,0)),"")</x:f>
        <x:v>1.5</x:v>
      </x:c>
      <x:c r="AA455" s="4" t="n">
        <x:f>IFERROR(INDEX('楼层配置'!$E$5:$E$104,MATCH($K455,'楼层配置'!$B$5:$B$104,0)),1)</x:f>
        <x:v>1.1400191646142122</x:v>
      </x:c>
      <x:c r="AB455" s="4" t="n">
        <x:f>IFERROR(INDEX('楼层配置'!$F$5:$F$104,MATCH($K455,'楼层配置'!$B$5:$B$104,0)),1)</x:f>
        <x:v>0.7252876553040836</x:v>
      </x:c>
      <x:c r="AC455" s="4" t="n">
        <x:f>IFERROR(INDEX('楼层配置'!$G$5:$G$104,MATCH($K455,'楼层配置'!$B$5:$B$104,0)),1)</x:f>
        <x:v>1</x:v>
      </x:c>
      <x:c r="AD455" s="6" t="n">
        <x:f t="shared" si="52">IFERROR($D455/$G455-1,"")</x:f>
        <x:v>-0.55267802257366</x:v>
      </x:c>
      <x:c r="AE455" s="6" t="n">
        <x:f t="shared" si="53">IFERROR($E455/$H455-1,"")</x:f>
        <x:v>-0.39100878994496013</x:v>
      </x:c>
      <x:c r="AF455" s="6" t="n">
        <x:f t="shared" si="54">IFERROR($F455/$I455-1,"")</x:f>
        <x:v>-0.07755128850743331</x:v>
      </x:c>
      <x:c r="AG455" s="4" t="str">
        <x:f t="shared" si="55">IF(AND($A455&gt;=1,$L455&gt;=1,$L455&lt;=500,OR($N455="Tank",$N455="DPS",$N455="Support"),ISNUMBER($D455),ISNUMBER($E455),ISNUMBER($F455)),"有效","异常")</x:f>
        <x:v>有效</x:v>
      </x:c>
      <x:c r="AH455" t="n">
        <x:f>D455/(1-MIN(0.75,F455/(24000+F455)))</x:f>
        <x:v>6715118.089333334</x:v>
      </x:c>
    </x:row>
    <x:row r="456" ht="14.25" customHeight="1">
      <x:c r="A456" s="4">
        <x:v>452</x:v>
      </x:c>
      <x:c r="B456" s="4">
        <x:v>1007</x:v>
      </x:c>
      <x:c r="C456" s="4">
        <x:v>55</x:v>
      </x:c>
      <x:c r="D456" s="5" t="n">
        <x:f>IFERROR(ROUND($U456*$X456*$AA456*'参数'!$B$13,0),"")</x:f>
        <x:v>2030853</x:v>
      </x:c>
      <x:c r="E456" s="5" t="n">
        <x:f>IFERROR(ROUND($V456*$Y456*$AB456*'参数'!$C$13,0),"")</x:f>
        <x:v>29653</x:v>
      </x:c>
      <x:c r="F456" s="5" t="n">
        <x:f>IFERROR(ROUND($W456*$Z456*$AC456*'参数'!$D$13,0),"")</x:f>
        <x:v>35109</x:v>
      </x:c>
      <x:c r="G456" s="4">
        <x:v>4540026</x:v>
      </x:c>
      <x:c r="H456" s="4">
        <x:v>48692</x:v>
      </x:c>
      <x:c r="I456" s="4">
        <x:v>38061</x:v>
      </x:c>
      <x:c r="J456" s="4">
        <x:v>91</x:v>
      </x:c>
      <x:c r="K456" s="4">
        <x:v>91</x:v>
      </x:c>
      <x:c r="L456" s="4" t="n">
        <x:f>IFERROR(INDEX('楼层配置'!$D$5:$D$104,MATCH($K456,'楼层配置'!$B$5:$B$104,0)),"")</x:f>
        <x:v>269</x:v>
      </x:c>
      <x:c r="M456" s="4" t="str">
        <x:f>IFERROR(INDEX('_角色基线'!$B$2:$B$100,MATCH($B456,'_角色基线'!$A$2:$A$100,0)),"")</x:f>
        <x:v>萨萨莉安</x:v>
      </x:c>
      <x:c r="N456" s="4" t="str">
        <x:f>IFERROR(INDEX('_角色基线'!$C$2:$C$100,MATCH($B456,'_角色基线'!$A$2:$A$100,0)),"")</x:f>
        <x:v>Support</x:v>
      </x:c>
      <x:c r="O456" s="4" t="n">
        <x:f>IFERROR(INDEX('_怪物基线'!$B$2:$B$501,MATCH(INT($L456),'_怪物基线'!$A$2:$A$501,0)),"")</x:f>
        <x:v>356284</x:v>
      </x:c>
      <x:c r="P456" s="4" t="n">
        <x:f>IFERROR(INDEX('_怪物基线'!$C$2:$C$501,MATCH(INT($L456),'_怪物基线'!$A$2:$A$501,0)),"")</x:f>
        <x:v>34070</x:v>
      </x:c>
      <x:c r="Q456" s="4" t="n">
        <x:f>IFERROR(INDEX('_怪物基线'!$D$2:$D$501,MATCH(INT($L456),'_怪物基线'!$A$2:$A$501,0)),"")</x:f>
        <x:v>28087</x:v>
      </x:c>
      <x:c r="R456" s="4" t="n">
        <x:f>'参数'!$B$10</x:f>
        <x:v>4</x:v>
      </x:c>
      <x:c r="S456" s="4" t="n">
        <x:f>'参数'!$C$10</x:f>
        <x:v>1.2</x:v>
      </x:c>
      <x:c r="T456" s="4" t="n">
        <x:f>'参数'!$D$10</x:f>
        <x:v>1</x:v>
      </x:c>
      <x:c r="U456" s="4" t="n">
        <x:f t="shared" si="49">IF($O456="","",$O456*$R456)</x:f>
        <x:v>1425136</x:v>
      </x:c>
      <x:c r="V456" s="4" t="n">
        <x:f t="shared" si="50">IF($P456="","",$P456*$S456)</x:f>
        <x:v>40884</x:v>
      </x:c>
      <x:c r="W456" s="4" t="n">
        <x:f t="shared" si="51">IF($Q456="","",$Q456*$T456)</x:f>
        <x:v>28087</x:v>
      </x:c>
      <x:c r="X456" s="4" t="n">
        <x:f>IFERROR(INDEX('参数'!$B$5:$B$7,MATCH($N456,'参数'!$A$5:$A$7,0)),"")</x:f>
        <x:v>1.25</x:v>
      </x:c>
      <x:c r="Y456" s="4" t="n">
        <x:f>IFERROR(INDEX('参数'!$C$5:$C$7,MATCH($N456,'参数'!$A$5:$A$7,0)),"")</x:f>
        <x:v>1</x:v>
      </x:c>
      <x:c r="Z456" s="4" t="n">
        <x:f>IFERROR(INDEX('参数'!$D$5:$D$7,MATCH($N456,'参数'!$A$5:$A$7,0)),"")</x:f>
        <x:v>1.25</x:v>
      </x:c>
      <x:c r="AA456" s="4" t="n">
        <x:f>IFERROR(INDEX('楼层配置'!$E$5:$E$104,MATCH($K456,'楼层配置'!$B$5:$B$104,0)),1)</x:f>
        <x:v>1.1400191646142122</x:v>
      </x:c>
      <x:c r="AB456" s="4" t="n">
        <x:f>IFERROR(INDEX('楼层配置'!$F$5:$F$104,MATCH($K456,'楼层配置'!$B$5:$B$104,0)),1)</x:f>
        <x:v>0.7252876553040836</x:v>
      </x:c>
      <x:c r="AC456" s="4" t="n">
        <x:f>IFERROR(INDEX('楼层配置'!$G$5:$G$104,MATCH($K456,'楼层配置'!$B$5:$B$104,0)),1)</x:f>
        <x:v>1</x:v>
      </x:c>
      <x:c r="AD456" s="6" t="n">
        <x:f t="shared" si="52">IFERROR($D456/$G456-1,"")</x:f>
        <x:v>-0.5526781124160963</x:v>
      </x:c>
      <x:c r="AE456" s="6" t="n">
        <x:f t="shared" si="53">IFERROR($E456/$H456-1,"")</x:f>
        <x:v>-0.39100878994496013</x:v>
      </x:c>
      <x:c r="AF456" s="6" t="n">
        <x:f t="shared" si="54">IFERROR($F456/$I456-1,"")</x:f>
        <x:v>-0.07755970678647439</x:v>
      </x:c>
      <x:c r="AG456" s="4" t="str">
        <x:f t="shared" si="55">IF(AND($A456&gt;=1,$L456&gt;=1,$L456&lt;=500,OR($N456="Tank",$N456="DPS",$N456="Support"),ISNUMBER($D456),ISNUMBER($E456),ISNUMBER($F456)),"有效","异常")</x:f>
        <x:v>有效</x:v>
      </x:c>
      <x:c r="AH456" t="n">
        <x:f>D456/(1-MIN(0.75,F456/(24000+F456)))</x:f>
        <x:v>5001737.082374999</x:v>
      </x:c>
    </x:row>
    <x:row r="457" ht="14.25" customHeight="1">
      <x:c r="A457" s="4">
        <x:v>453</x:v>
      </x:c>
      <x:c r="B457" s="4">
        <x:v>1006</x:v>
      </x:c>
      <x:c r="C457" s="4">
        <x:v>55</x:v>
      </x:c>
      <x:c r="D457" s="5" t="n">
        <x:f>IFERROR(ROUND($U457*$X457*$AA457*'参数'!$B$13,0),"")</x:f>
        <x:v>1624682</x:v>
      </x:c>
      <x:c r="E457" s="5" t="n">
        <x:f>IFERROR(ROUND($V457*$Y457*$AB457*'参数'!$C$13,0),"")</x:f>
        <x:v>35583</x:v>
      </x:c>
      <x:c r="F457" s="5" t="n">
        <x:f>IFERROR(ROUND($W457*$Z457*$AC457*'参数'!$D$13,0),"")</x:f>
        <x:v>28087</x:v>
      </x:c>
      <x:c r="G457" s="4">
        <x:v>3632020</x:v>
      </x:c>
      <x:c r="H457" s="4">
        <x:v>58430</x:v>
      </x:c>
      <x:c r="I457" s="4">
        <x:v>30448</x:v>
      </x:c>
      <x:c r="J457" s="4">
        <x:v>91</x:v>
      </x:c>
      <x:c r="K457" s="4">
        <x:v>91</x:v>
      </x:c>
      <x:c r="L457" s="4" t="n">
        <x:f>IFERROR(INDEX('楼层配置'!$D$5:$D$104,MATCH($K457,'楼层配置'!$B$5:$B$104,0)),"")</x:f>
        <x:v>269</x:v>
      </x:c>
      <x:c r="M457" s="4" t="str">
        <x:f>IFERROR(INDEX('_角色基线'!$B$2:$B$100,MATCH($B457,'_角色基线'!$A$2:$A$100,0)),"")</x:f>
        <x:v>莉莉娅</x:v>
      </x:c>
      <x:c r="N457" s="4" t="str">
        <x:f>IFERROR(INDEX('_角色基线'!$C$2:$C$100,MATCH($B457,'_角色基线'!$A$2:$A$100,0)),"")</x:f>
        <x:v>DPS</x:v>
      </x:c>
      <x:c r="O457" s="4" t="n">
        <x:f>IFERROR(INDEX('_怪物基线'!$B$2:$B$501,MATCH(INT($L457),'_怪物基线'!$A$2:$A$501,0)),"")</x:f>
        <x:v>356284</x:v>
      </x:c>
      <x:c r="P457" s="4" t="n">
        <x:f>IFERROR(INDEX('_怪物基线'!$C$2:$C$501,MATCH(INT($L457),'_怪物基线'!$A$2:$A$501,0)),"")</x:f>
        <x:v>34070</x:v>
      </x:c>
      <x:c r="Q457" s="4" t="n">
        <x:f>IFERROR(INDEX('_怪物基线'!$D$2:$D$501,MATCH(INT($L457),'_怪物基线'!$A$2:$A$501,0)),"")</x:f>
        <x:v>28087</x:v>
      </x:c>
      <x:c r="R457" s="4" t="n">
        <x:f>'参数'!$B$10</x:f>
        <x:v>4</x:v>
      </x:c>
      <x:c r="S457" s="4" t="n">
        <x:f>'参数'!$C$10</x:f>
        <x:v>1.2</x:v>
      </x:c>
      <x:c r="T457" s="4" t="n">
        <x:f>'参数'!$D$10</x:f>
        <x:v>1</x:v>
      </x:c>
      <x:c r="U457" s="4" t="n">
        <x:f t="shared" si="49">IF($O457="","",$O457*$R457)</x:f>
        <x:v>1425136</x:v>
      </x:c>
      <x:c r="V457" s="4" t="n">
        <x:f t="shared" si="50">IF($P457="","",$P457*$S457)</x:f>
        <x:v>40884</x:v>
      </x:c>
      <x:c r="W457" s="4" t="n">
        <x:f t="shared" si="51">IF($Q457="","",$Q457*$T457)</x:f>
        <x:v>28087</x:v>
      </x:c>
      <x:c r="X457" s="4" t="n">
        <x:f>IFERROR(INDEX('参数'!$B$5:$B$7,MATCH($N457,'参数'!$A$5:$A$7,0)),"")</x:f>
        <x:v>1</x:v>
      </x:c>
      <x:c r="Y457" s="4" t="n">
        <x:f>IFERROR(INDEX('参数'!$C$5:$C$7,MATCH($N457,'参数'!$A$5:$A$7,0)),"")</x:f>
        <x:v>1.2</x:v>
      </x:c>
      <x:c r="Z457" s="4" t="n">
        <x:f>IFERROR(INDEX('参数'!$D$5:$D$7,MATCH($N457,'参数'!$A$5:$A$7,0)),"")</x:f>
        <x:v>1</x:v>
      </x:c>
      <x:c r="AA457" s="4" t="n">
        <x:f>IFERROR(INDEX('楼层配置'!$E$5:$E$104,MATCH($K457,'楼层配置'!$B$5:$B$104,0)),1)</x:f>
        <x:v>1.1400191646142122</x:v>
      </x:c>
      <x:c r="AB457" s="4" t="n">
        <x:f>IFERROR(INDEX('楼层配置'!$F$5:$F$104,MATCH($K457,'楼层配置'!$B$5:$B$104,0)),1)</x:f>
        <x:v>0.7252876553040836</x:v>
      </x:c>
      <x:c r="AC457" s="4" t="n">
        <x:f>IFERROR(INDEX('楼层配置'!$G$5:$G$104,MATCH($K457,'楼层配置'!$B$5:$B$104,0)),1)</x:f>
        <x:v>1</x:v>
      </x:c>
      <x:c r="AD457" s="6" t="n">
        <x:f t="shared" si="52">IFERROR($D457/$G457-1,"")</x:f>
        <x:v>-0.5526781240191408</x:v>
      </x:c>
      <x:c r="AE457" s="6" t="n">
        <x:f t="shared" si="53">IFERROR($E457/$H457-1,"")</x:f>
        <x:v>-0.391014889611501</x:v>
      </x:c>
      <x:c r="AF457" s="6" t="n">
        <x:f t="shared" si="54">IFERROR($F457/$I457-1,"")</x:f>
        <x:v>-0.07754203888596956</x:v>
      </x:c>
      <x:c r="AG457" s="4" t="str">
        <x:f t="shared" si="55">IF(AND($A457&gt;=1,$L457&gt;=1,$L457&lt;=500,OR($N457="Tank",$N457="DPS",$N457="Support"),ISNUMBER($D457),ISNUMBER($E457),ISNUMBER($F457)),"有效","异常")</x:f>
        <x:v>有效</x:v>
      </x:c>
      <x:c r="AH457" t="n">
        <x:f>D457/(1-MIN(0.75,F457/(24000+F457)))</x:f>
        <x:v>3526033.805583333</x:v>
      </x:c>
    </x:row>
    <x:row r="458" ht="14.25" customHeight="1">
      <x:c r="A458" s="4">
        <x:v>454</x:v>
      </x:c>
      <x:c r="B458" s="4">
        <x:v>1017</x:v>
      </x:c>
      <x:c r="C458" s="4">
        <x:v>55</x:v>
      </x:c>
      <x:c r="D458" s="5" t="n">
        <x:f>IFERROR(ROUND($U458*$X458*$AA458*'参数'!$B$13,0),"")</x:f>
        <x:v>1624682</x:v>
      </x:c>
      <x:c r="E458" s="5" t="n">
        <x:f>IFERROR(ROUND($V458*$Y458*$AB458*'参数'!$C$13,0),"")</x:f>
        <x:v>35583</x:v>
      </x:c>
      <x:c r="F458" s="5" t="n">
        <x:f>IFERROR(ROUND($W458*$Z458*$AC458*'参数'!$D$13,0),"")</x:f>
        <x:v>28087</x:v>
      </x:c>
      <x:c r="G458" s="4">
        <x:v>3632020</x:v>
      </x:c>
      <x:c r="H458" s="4">
        <x:v>58430</x:v>
      </x:c>
      <x:c r="I458" s="4">
        <x:v>30448</x:v>
      </x:c>
      <x:c r="J458" s="4">
        <x:v>91</x:v>
      </x:c>
      <x:c r="K458" s="4">
        <x:v>91</x:v>
      </x:c>
      <x:c r="L458" s="4" t="n">
        <x:f>IFERROR(INDEX('楼层配置'!$D$5:$D$104,MATCH($K458,'楼层配置'!$B$5:$B$104,0)),"")</x:f>
        <x:v>269</x:v>
      </x:c>
      <x:c r="M458" s="4" t="str">
        <x:f>IFERROR(INDEX('_角色基线'!$B$2:$B$100,MATCH($B458,'_角色基线'!$A$2:$A$100,0)),"")</x:f>
        <x:v>伊戈尔</x:v>
      </x:c>
      <x:c r="N458" s="4" t="str">
        <x:f>IFERROR(INDEX('_角色基线'!$C$2:$C$100,MATCH($B458,'_角色基线'!$A$2:$A$100,0)),"")</x:f>
        <x:v>DPS</x:v>
      </x:c>
      <x:c r="O458" s="4" t="n">
        <x:f>IFERROR(INDEX('_怪物基线'!$B$2:$B$501,MATCH(INT($L458),'_怪物基线'!$A$2:$A$501,0)),"")</x:f>
        <x:v>356284</x:v>
      </x:c>
      <x:c r="P458" s="4" t="n">
        <x:f>IFERROR(INDEX('_怪物基线'!$C$2:$C$501,MATCH(INT($L458),'_怪物基线'!$A$2:$A$501,0)),"")</x:f>
        <x:v>34070</x:v>
      </x:c>
      <x:c r="Q458" s="4" t="n">
        <x:f>IFERROR(INDEX('_怪物基线'!$D$2:$D$501,MATCH(INT($L458),'_怪物基线'!$A$2:$A$501,0)),"")</x:f>
        <x:v>28087</x:v>
      </x:c>
      <x:c r="R458" s="4" t="n">
        <x:f>'参数'!$B$10</x:f>
        <x:v>4</x:v>
      </x:c>
      <x:c r="S458" s="4" t="n">
        <x:f>'参数'!$C$10</x:f>
        <x:v>1.2</x:v>
      </x:c>
      <x:c r="T458" s="4" t="n">
        <x:f>'参数'!$D$10</x:f>
        <x:v>1</x:v>
      </x:c>
      <x:c r="U458" s="4" t="n">
        <x:f t="shared" si="49">IF($O458="","",$O458*$R458)</x:f>
        <x:v>1425136</x:v>
      </x:c>
      <x:c r="V458" s="4" t="n">
        <x:f t="shared" si="50">IF($P458="","",$P458*$S458)</x:f>
        <x:v>40884</x:v>
      </x:c>
      <x:c r="W458" s="4" t="n">
        <x:f t="shared" si="51">IF($Q458="","",$Q458*$T458)</x:f>
        <x:v>28087</x:v>
      </x:c>
      <x:c r="X458" s="4" t="n">
        <x:f>IFERROR(INDEX('参数'!$B$5:$B$7,MATCH($N458,'参数'!$A$5:$A$7,0)),"")</x:f>
        <x:v>1</x:v>
      </x:c>
      <x:c r="Y458" s="4" t="n">
        <x:f>IFERROR(INDEX('参数'!$C$5:$C$7,MATCH($N458,'参数'!$A$5:$A$7,0)),"")</x:f>
        <x:v>1.2</x:v>
      </x:c>
      <x:c r="Z458" s="4" t="n">
        <x:f>IFERROR(INDEX('参数'!$D$5:$D$7,MATCH($N458,'参数'!$A$5:$A$7,0)),"")</x:f>
        <x:v>1</x:v>
      </x:c>
      <x:c r="AA458" s="4" t="n">
        <x:f>IFERROR(INDEX('楼层配置'!$E$5:$E$104,MATCH($K458,'楼层配置'!$B$5:$B$104,0)),1)</x:f>
        <x:v>1.1400191646142122</x:v>
      </x:c>
      <x:c r="AB458" s="4" t="n">
        <x:f>IFERROR(INDEX('楼层配置'!$F$5:$F$104,MATCH($K458,'楼层配置'!$B$5:$B$104,0)),1)</x:f>
        <x:v>0.7252876553040836</x:v>
      </x:c>
      <x:c r="AC458" s="4" t="n">
        <x:f>IFERROR(INDEX('楼层配置'!$G$5:$G$104,MATCH($K458,'楼层配置'!$B$5:$B$104,0)),1)</x:f>
        <x:v>1</x:v>
      </x:c>
      <x:c r="AD458" s="6" t="n">
        <x:f t="shared" si="52">IFERROR($D458/$G458-1,"")</x:f>
        <x:v>-0.5526781240191408</x:v>
      </x:c>
      <x:c r="AE458" s="6" t="n">
        <x:f t="shared" si="53">IFERROR($E458/$H458-1,"")</x:f>
        <x:v>-0.391014889611501</x:v>
      </x:c>
      <x:c r="AF458" s="6" t="n">
        <x:f t="shared" si="54">IFERROR($F458/$I458-1,"")</x:f>
        <x:v>-0.07754203888596956</x:v>
      </x:c>
      <x:c r="AG458" s="4" t="str">
        <x:f t="shared" si="55">IF(AND($A458&gt;=1,$L458&gt;=1,$L458&lt;=500,OR($N458="Tank",$N458="DPS",$N458="Support"),ISNUMBER($D458),ISNUMBER($E458),ISNUMBER($F458)),"有效","异常")</x:f>
        <x:v>有效</x:v>
      </x:c>
      <x:c r="AH458" t="n">
        <x:f>D458/(1-MIN(0.75,F458/(24000+F458)))</x:f>
        <x:v>3526033.805583333</x:v>
      </x:c>
    </x:row>
    <x:row r="459" ht="14.25" customHeight="1">
      <x:c r="A459" s="4">
        <x:v>455</x:v>
      </x:c>
      <x:c r="B459" s="4">
        <x:v>1013</x:v>
      </x:c>
      <x:c r="C459" s="4">
        <x:v>55</x:v>
      </x:c>
      <x:c r="D459" s="5" t="n">
        <x:f>IFERROR(ROUND($U459*$X459*$AA459*'参数'!$B$13,0),"")</x:f>
        <x:v>1624682</x:v>
      </x:c>
      <x:c r="E459" s="5" t="n">
        <x:f>IFERROR(ROUND($V459*$Y459*$AB459*'参数'!$C$13,0),"")</x:f>
        <x:v>35583</x:v>
      </x:c>
      <x:c r="F459" s="5" t="n">
        <x:f>IFERROR(ROUND($W459*$Z459*$AC459*'参数'!$D$13,0),"")</x:f>
        <x:v>28087</x:v>
      </x:c>
      <x:c r="G459" s="4">
        <x:v>3632020</x:v>
      </x:c>
      <x:c r="H459" s="4">
        <x:v>58430</x:v>
      </x:c>
      <x:c r="I459" s="4">
        <x:v>30448</x:v>
      </x:c>
      <x:c r="J459" s="4">
        <x:v>91</x:v>
      </x:c>
      <x:c r="K459" s="4">
        <x:v>91</x:v>
      </x:c>
      <x:c r="L459" s="4" t="n">
        <x:f>IFERROR(INDEX('楼层配置'!$D$5:$D$104,MATCH($K459,'楼层配置'!$B$5:$B$104,0)),"")</x:f>
        <x:v>269</x:v>
      </x:c>
      <x:c r="M459" s="4" t="str">
        <x:f>IFERROR(INDEX('_角色基线'!$B$2:$B$100,MATCH($B459,'_角色基线'!$A$2:$A$100,0)),"")</x:f>
        <x:v>夏缇拉</x:v>
      </x:c>
      <x:c r="N459" s="4" t="str">
        <x:f>IFERROR(INDEX('_角色基线'!$C$2:$C$100,MATCH($B459,'_角色基线'!$A$2:$A$100,0)),"")</x:f>
        <x:v>DPS</x:v>
      </x:c>
      <x:c r="O459" s="4" t="n">
        <x:f>IFERROR(INDEX('_怪物基线'!$B$2:$B$501,MATCH(INT($L459),'_怪物基线'!$A$2:$A$501,0)),"")</x:f>
        <x:v>356284</x:v>
      </x:c>
      <x:c r="P459" s="4" t="n">
        <x:f>IFERROR(INDEX('_怪物基线'!$C$2:$C$501,MATCH(INT($L459),'_怪物基线'!$A$2:$A$501,0)),"")</x:f>
        <x:v>34070</x:v>
      </x:c>
      <x:c r="Q459" s="4" t="n">
        <x:f>IFERROR(INDEX('_怪物基线'!$D$2:$D$501,MATCH(INT($L459),'_怪物基线'!$A$2:$A$501,0)),"")</x:f>
        <x:v>28087</x:v>
      </x:c>
      <x:c r="R459" s="4" t="n">
        <x:f>'参数'!$B$10</x:f>
        <x:v>4</x:v>
      </x:c>
      <x:c r="S459" s="4" t="n">
        <x:f>'参数'!$C$10</x:f>
        <x:v>1.2</x:v>
      </x:c>
      <x:c r="T459" s="4" t="n">
        <x:f>'参数'!$D$10</x:f>
        <x:v>1</x:v>
      </x:c>
      <x:c r="U459" s="4" t="n">
        <x:f t="shared" si="49">IF($O459="","",$O459*$R459)</x:f>
        <x:v>1425136</x:v>
      </x:c>
      <x:c r="V459" s="4" t="n">
        <x:f t="shared" si="50">IF($P459="","",$P459*$S459)</x:f>
        <x:v>40884</x:v>
      </x:c>
      <x:c r="W459" s="4" t="n">
        <x:f t="shared" si="51">IF($Q459="","",$Q459*$T459)</x:f>
        <x:v>28087</x:v>
      </x:c>
      <x:c r="X459" s="4" t="n">
        <x:f>IFERROR(INDEX('参数'!$B$5:$B$7,MATCH($N459,'参数'!$A$5:$A$7,0)),"")</x:f>
        <x:v>1</x:v>
      </x:c>
      <x:c r="Y459" s="4" t="n">
        <x:f>IFERROR(INDEX('参数'!$C$5:$C$7,MATCH($N459,'参数'!$A$5:$A$7,0)),"")</x:f>
        <x:v>1.2</x:v>
      </x:c>
      <x:c r="Z459" s="4" t="n">
        <x:f>IFERROR(INDEX('参数'!$D$5:$D$7,MATCH($N459,'参数'!$A$5:$A$7,0)),"")</x:f>
        <x:v>1</x:v>
      </x:c>
      <x:c r="AA459" s="4" t="n">
        <x:f>IFERROR(INDEX('楼层配置'!$E$5:$E$104,MATCH($K459,'楼层配置'!$B$5:$B$104,0)),1)</x:f>
        <x:v>1.1400191646142122</x:v>
      </x:c>
      <x:c r="AB459" s="4" t="n">
        <x:f>IFERROR(INDEX('楼层配置'!$F$5:$F$104,MATCH($K459,'楼层配置'!$B$5:$B$104,0)),1)</x:f>
        <x:v>0.7252876553040836</x:v>
      </x:c>
      <x:c r="AC459" s="4" t="n">
        <x:f>IFERROR(INDEX('楼层配置'!$G$5:$G$104,MATCH($K459,'楼层配置'!$B$5:$B$104,0)),1)</x:f>
        <x:v>1</x:v>
      </x:c>
      <x:c r="AD459" s="6" t="n">
        <x:f t="shared" si="52">IFERROR($D459/$G459-1,"")</x:f>
        <x:v>-0.5526781240191408</x:v>
      </x:c>
      <x:c r="AE459" s="6" t="n">
        <x:f t="shared" si="53">IFERROR($E459/$H459-1,"")</x:f>
        <x:v>-0.391014889611501</x:v>
      </x:c>
      <x:c r="AF459" s="6" t="n">
        <x:f t="shared" si="54">IFERROR($F459/$I459-1,"")</x:f>
        <x:v>-0.07754203888596956</x:v>
      </x:c>
      <x:c r="AG459" s="4" t="str">
        <x:f t="shared" si="55">IF(AND($A459&gt;=1,$L459&gt;=1,$L459&lt;=500,OR($N459="Tank",$N459="DPS",$N459="Support"),ISNUMBER($D459),ISNUMBER($E459),ISNUMBER($F459)),"有效","异常")</x:f>
        <x:v>有效</x:v>
      </x:c>
      <x:c r="AH459" t="n">
        <x:f>D459/(1-MIN(0.75,F459/(24000+F459)))</x:f>
        <x:v>3526033.805583333</x:v>
      </x:c>
    </x:row>
    <x:row r="460" ht="14.25" customHeight="1">
      <x:c r="A460" s="4">
        <x:v>456</x:v>
      </x:c>
      <x:c r="B460" s="4">
        <x:v>1004</x:v>
      </x:c>
      <x:c r="C460" s="4">
        <x:v>56</x:v>
      </x:c>
      <x:c r="D460" s="5" t="n">
        <x:f>IFERROR(ROUND($U460*$X460*$AA460*'参数'!$B$13,0),"")</x:f>
        <x:v>2452155</x:v>
      </x:c>
      <x:c r="E460" s="5" t="n">
        <x:f>IFERROR(ROUND($V460*$Y460*$AB460*'参数'!$C$13,0),"")</x:f>
        <x:v>29838</x:v>
      </x:c>
      <x:c r="F460" s="5" t="n">
        <x:f>IFERROR(ROUND($W460*$Z460*$AC460*'参数'!$D$13,0),"")</x:f>
        <x:v>42333</x:v>
      </x:c>
      <x:c r="G460" s="4">
        <x:v>5614552</x:v>
      </x:c>
      <x:c r="H460" s="4">
        <x:v>49938</x:v>
      </x:c>
      <x:c r="I460" s="4">
        <x:v>46360</x:v>
      </x:c>
      <x:c r="J460" s="4">
        <x:v>92</x:v>
      </x:c>
      <x:c r="K460" s="4">
        <x:v>92</x:v>
      </x:c>
      <x:c r="L460" s="4" t="n">
        <x:f>IFERROR(INDEX('楼层配置'!$D$5:$D$104,MATCH($K460,'楼层配置'!$B$5:$B$104,0)),"")</x:f>
        <x:v>270</x:v>
      </x:c>
      <x:c r="M460" s="4" t="str">
        <x:f>IFERROR(INDEX('_角色基线'!$B$2:$B$100,MATCH($B460,'_角色基线'!$A$2:$A$100,0)),"")</x:f>
        <x:v>阿芭</x:v>
      </x:c>
      <x:c r="N460" s="4" t="str">
        <x:f>IFERROR(INDEX('_角色基线'!$C$2:$C$100,MATCH($B460,'_角色基线'!$A$2:$A$100,0)),"")</x:f>
        <x:v>Tank</x:v>
      </x:c>
      <x:c r="O460" s="4" t="n">
        <x:f>IFERROR(INDEX('_怪物基线'!$B$2:$B$501,MATCH(INT($L460),'_怪物基线'!$A$2:$A$501,0)),"")</x:f>
        <x:v>359868</x:v>
      </x:c>
      <x:c r="P460" s="4" t="n">
        <x:f>IFERROR(INDEX('_怪物基线'!$C$2:$C$501,MATCH(INT($L460),'_怪物基线'!$A$2:$A$501,0)),"")</x:f>
        <x:v>34326</x:v>
      </x:c>
      <x:c r="Q460" s="4" t="n">
        <x:f>IFERROR(INDEX('_怪物基线'!$D$2:$D$501,MATCH(INT($L460),'_怪物基线'!$A$2:$A$501,0)),"")</x:f>
        <x:v>28222</x:v>
      </x:c>
      <x:c r="R460" s="4" t="n">
        <x:f>'参数'!$B$10</x:f>
        <x:v>4</x:v>
      </x:c>
      <x:c r="S460" s="4" t="n">
        <x:f>'参数'!$C$10</x:f>
        <x:v>1.2</x:v>
      </x:c>
      <x:c r="T460" s="4" t="n">
        <x:f>'参数'!$D$10</x:f>
        <x:v>1</x:v>
      </x:c>
      <x:c r="U460" s="4" t="n">
        <x:f t="shared" si="49">IF($O460="","",$O460*$R460)</x:f>
        <x:v>1439472</x:v>
      </x:c>
      <x:c r="V460" s="4" t="n">
        <x:f t="shared" si="50">IF($P460="","",$P460*$S460)</x:f>
        <x:v>41191.2</x:v>
      </x:c>
      <x:c r="W460" s="4" t="n">
        <x:f t="shared" si="51">IF($Q460="","",$Q460*$T460)</x:f>
        <x:v>28222</x:v>
      </x:c>
      <x:c r="X460" s="4" t="n">
        <x:f>IFERROR(INDEX('参数'!$B$5:$B$7,MATCH($N460,'参数'!$A$5:$A$7,0)),"")</x:f>
        <x:v>1.5</x:v>
      </x:c>
      <x:c r="Y460" s="4" t="n">
        <x:f>IFERROR(INDEX('参数'!$C$5:$C$7,MATCH($N460,'参数'!$A$5:$A$7,0)),"")</x:f>
        <x:v>1</x:v>
      </x:c>
      <x:c r="Z460" s="4" t="n">
        <x:f>IFERROR(INDEX('参数'!$D$5:$D$7,MATCH($N460,'参数'!$A$5:$A$7,0)),"")</x:f>
        <x:v>1.5</x:v>
      </x:c>
      <x:c r="AA460" s="4" t="n">
        <x:f>IFERROR(INDEX('楼层配置'!$E$5:$E$104,MATCH($K460,'楼层配置'!$B$5:$B$104,0)),1)</x:f>
        <x:v>1.1356732067437425</x:v>
      </x:c>
      <x:c r="AB460" s="4" t="n">
        <x:f>IFERROR(INDEX('楼层配置'!$F$5:$F$104,MATCH($K460,'楼层配置'!$B$5:$B$104,0)),1)</x:f>
        <x:v>0.7243791953727152</x:v>
      </x:c>
      <x:c r="AC460" s="4" t="n">
        <x:f>IFERROR(INDEX('楼层配置'!$G$5:$G$104,MATCH($K460,'楼层配置'!$B$5:$B$104,0)),1)</x:f>
        <x:v>1</x:v>
      </x:c>
      <x:c r="AD460" s="6" t="n">
        <x:f t="shared" si="52">IFERROR($D460/$G460-1,"")</x:f>
        <x:v>-0.56325010437164</x:v>
      </x:c>
      <x:c r="AE460" s="6" t="n">
        <x:f t="shared" si="53">IFERROR($E460/$H460-1,"")</x:f>
        <x:v>-0.4024990988826145</x:v>
      </x:c>
      <x:c r="AF460" s="6" t="n">
        <x:f t="shared" si="54">IFERROR($F460/$I460-1,"")</x:f>
        <x:v>-0.0868636755823986</x:v>
      </x:c>
      <x:c r="AG460" s="4" t="str">
        <x:f t="shared" si="55">IF(AND($A460&gt;=1,$L460&gt;=1,$L460&lt;=500,OR($N460="Tank",$N460="DPS",$N460="Support"),ISNUMBER($D460),ISNUMBER($E460),ISNUMBER($F460)),"有效","异常")</x:f>
        <x:v>有效</x:v>
      </x:c>
      <x:c r="AH460" t="n">
        <x:f>D460/(1-MIN(0.75,F460/(24000+F460)))</x:f>
        <x:v>6777449.900625</x:v>
      </x:c>
    </x:row>
    <x:row r="461" ht="14.25" customHeight="1">
      <x:c r="A461" s="4">
        <x:v>457</x:v>
      </x:c>
      <x:c r="B461" s="4">
        <x:v>1013</x:v>
      </x:c>
      <x:c r="C461" s="4">
        <x:v>56</x:v>
      </x:c>
      <x:c r="D461" s="5" t="n">
        <x:f>IFERROR(ROUND($U461*$X461*$AA461*'参数'!$B$13,0),"")</x:f>
        <x:v>1634770</x:v>
      </x:c>
      <x:c r="E461" s="5" t="n">
        <x:f>IFERROR(ROUND($V461*$Y461*$AB461*'参数'!$C$13,0),"")</x:f>
        <x:v>35806</x:v>
      </x:c>
      <x:c r="F461" s="5" t="n">
        <x:f>IFERROR(ROUND($W461*$Z461*$AC461*'参数'!$D$13,0),"")</x:f>
        <x:v>28222</x:v>
      </x:c>
      <x:c r="G461" s="4">
        <x:v>3743035</x:v>
      </x:c>
      <x:c r="H461" s="4">
        <x:v>59925</x:v>
      </x:c>
      <x:c r="I461" s="4">
        <x:v>30907</x:v>
      </x:c>
      <x:c r="J461" s="4">
        <x:v>92</x:v>
      </x:c>
      <x:c r="K461" s="4">
        <x:v>92</x:v>
      </x:c>
      <x:c r="L461" s="4" t="n">
        <x:f>IFERROR(INDEX('楼层配置'!$D$5:$D$104,MATCH($K461,'楼层配置'!$B$5:$B$104,0)),"")</x:f>
        <x:v>270</x:v>
      </x:c>
      <x:c r="M461" s="4" t="str">
        <x:f>IFERROR(INDEX('_角色基线'!$B$2:$B$100,MATCH($B461,'_角色基线'!$A$2:$A$100,0)),"")</x:f>
        <x:v>夏缇拉</x:v>
      </x:c>
      <x:c r="N461" s="4" t="str">
        <x:f>IFERROR(INDEX('_角色基线'!$C$2:$C$100,MATCH($B461,'_角色基线'!$A$2:$A$100,0)),"")</x:f>
        <x:v>DPS</x:v>
      </x:c>
      <x:c r="O461" s="4" t="n">
        <x:f>IFERROR(INDEX('_怪物基线'!$B$2:$B$501,MATCH(INT($L461),'_怪物基线'!$A$2:$A$501,0)),"")</x:f>
        <x:v>359868</x:v>
      </x:c>
      <x:c r="P461" s="4" t="n">
        <x:f>IFERROR(INDEX('_怪物基线'!$C$2:$C$501,MATCH(INT($L461),'_怪物基线'!$A$2:$A$501,0)),"")</x:f>
        <x:v>34326</x:v>
      </x:c>
      <x:c r="Q461" s="4" t="n">
        <x:f>IFERROR(INDEX('_怪物基线'!$D$2:$D$501,MATCH(INT($L461),'_怪物基线'!$A$2:$A$501,0)),"")</x:f>
        <x:v>28222</x:v>
      </x:c>
      <x:c r="R461" s="4" t="n">
        <x:f>'参数'!$B$10</x:f>
        <x:v>4</x:v>
      </x:c>
      <x:c r="S461" s="4" t="n">
        <x:f>'参数'!$C$10</x:f>
        <x:v>1.2</x:v>
      </x:c>
      <x:c r="T461" s="4" t="n">
        <x:f>'参数'!$D$10</x:f>
        <x:v>1</x:v>
      </x:c>
      <x:c r="U461" s="4" t="n">
        <x:f t="shared" si="49">IF($O461="","",$O461*$R461)</x:f>
        <x:v>1439472</x:v>
      </x:c>
      <x:c r="V461" s="4" t="n">
        <x:f t="shared" si="50">IF($P461="","",$P461*$S461)</x:f>
        <x:v>41191.2</x:v>
      </x:c>
      <x:c r="W461" s="4" t="n">
        <x:f t="shared" si="51">IF($Q461="","",$Q461*$T461)</x:f>
        <x:v>28222</x:v>
      </x:c>
      <x:c r="X461" s="4" t="n">
        <x:f>IFERROR(INDEX('参数'!$B$5:$B$7,MATCH($N461,'参数'!$A$5:$A$7,0)),"")</x:f>
        <x:v>1</x:v>
      </x:c>
      <x:c r="Y461" s="4" t="n">
        <x:f>IFERROR(INDEX('参数'!$C$5:$C$7,MATCH($N461,'参数'!$A$5:$A$7,0)),"")</x:f>
        <x:v>1.2</x:v>
      </x:c>
      <x:c r="Z461" s="4" t="n">
        <x:f>IFERROR(INDEX('参数'!$D$5:$D$7,MATCH($N461,'参数'!$A$5:$A$7,0)),"")</x:f>
        <x:v>1</x:v>
      </x:c>
      <x:c r="AA461" s="4" t="n">
        <x:f>IFERROR(INDEX('楼层配置'!$E$5:$E$104,MATCH($K461,'楼层配置'!$B$5:$B$104,0)),1)</x:f>
        <x:v>1.1356732067437425</x:v>
      </x:c>
      <x:c r="AB461" s="4" t="n">
        <x:f>IFERROR(INDEX('楼层配置'!$F$5:$F$104,MATCH($K461,'楼层配置'!$B$5:$B$104,0)),1)</x:f>
        <x:v>0.7243791953727152</x:v>
      </x:c>
      <x:c r="AC461" s="4" t="n">
        <x:f>IFERROR(INDEX('楼层配置'!$G$5:$G$104,MATCH($K461,'楼层配置'!$B$5:$B$104,0)),1)</x:f>
        <x:v>1</x:v>
      </x:c>
      <x:c r="AD461" s="6" t="n">
        <x:f t="shared" si="52">IFERROR($D461/$G461-1,"")</x:f>
        <x:v>-0.5632501432660929</x:v>
      </x:c>
      <x:c r="AE461" s="6" t="n">
        <x:f t="shared" si="53">IFERROR($E461/$H461-1,"")</x:f>
        <x:v>-0.4024864413850646</x:v>
      </x:c>
      <x:c r="AF461" s="6" t="n">
        <x:f t="shared" si="54">IFERROR($F461/$I461-1,"")</x:f>
        <x:v>-0.08687352379719804</x:v>
      </x:c>
      <x:c r="AG461" s="4" t="str">
        <x:f t="shared" si="55">IF(AND($A461&gt;=1,$L461&gt;=1,$L461&lt;=500,OR($N461="Tank",$N461="DPS",$N461="Support"),ISNUMBER($D461),ISNUMBER($E461),ISNUMBER($F461)),"有效","异常")</x:f>
        <x:v>有效</x:v>
      </x:c>
      <x:c r="AH461" t="n">
        <x:f>D461/(1-MIN(0.75,F461/(24000+F461)))</x:f>
        <x:v>3557123.289166666</x:v>
      </x:c>
    </x:row>
    <x:row r="462" ht="14.25" customHeight="1">
      <x:c r="A462" s="4">
        <x:v>458</x:v>
      </x:c>
      <x:c r="B462" s="4">
        <x:v>1007</x:v>
      </x:c>
      <x:c r="C462" s="4">
        <x:v>56</x:v>
      </x:c>
      <x:c r="D462" s="5" t="n">
        <x:f>IFERROR(ROUND($U462*$X462*$AA462*'参数'!$B$13,0),"")</x:f>
        <x:v>2043462</x:v>
      </x:c>
      <x:c r="E462" s="5" t="n">
        <x:f>IFERROR(ROUND($V462*$Y462*$AB462*'参数'!$C$13,0),"")</x:f>
        <x:v>29838</x:v>
      </x:c>
      <x:c r="F462" s="5" t="n">
        <x:f>IFERROR(ROUND($W462*$Z462*$AC462*'参数'!$D$13,0),"")</x:f>
        <x:v>35278</x:v>
      </x:c>
      <x:c r="G462" s="4">
        <x:v>4678794</x:v>
      </x:c>
      <x:c r="H462" s="4">
        <x:v>49938</x:v>
      </x:c>
      <x:c r="I462" s="4">
        <x:v>38634</x:v>
      </x:c>
      <x:c r="J462" s="4">
        <x:v>92</x:v>
      </x:c>
      <x:c r="K462" s="4">
        <x:v>92</x:v>
      </x:c>
      <x:c r="L462" s="4" t="n">
        <x:f>IFERROR(INDEX('楼层配置'!$D$5:$D$104,MATCH($K462,'楼层配置'!$B$5:$B$104,0)),"")</x:f>
        <x:v>270</x:v>
      </x:c>
      <x:c r="M462" s="4" t="str">
        <x:f>IFERROR(INDEX('_角色基线'!$B$2:$B$100,MATCH($B462,'_角色基线'!$A$2:$A$100,0)),"")</x:f>
        <x:v>萨萨莉安</x:v>
      </x:c>
      <x:c r="N462" s="4" t="str">
        <x:f>IFERROR(INDEX('_角色基线'!$C$2:$C$100,MATCH($B462,'_角色基线'!$A$2:$A$100,0)),"")</x:f>
        <x:v>Support</x:v>
      </x:c>
      <x:c r="O462" s="4" t="n">
        <x:f>IFERROR(INDEX('_怪物基线'!$B$2:$B$501,MATCH(INT($L462),'_怪物基线'!$A$2:$A$501,0)),"")</x:f>
        <x:v>359868</x:v>
      </x:c>
      <x:c r="P462" s="4" t="n">
        <x:f>IFERROR(INDEX('_怪物基线'!$C$2:$C$501,MATCH(INT($L462),'_怪物基线'!$A$2:$A$501,0)),"")</x:f>
        <x:v>34326</x:v>
      </x:c>
      <x:c r="Q462" s="4" t="n">
        <x:f>IFERROR(INDEX('_怪物基线'!$D$2:$D$501,MATCH(INT($L462),'_怪物基线'!$A$2:$A$501,0)),"")</x:f>
        <x:v>28222</x:v>
      </x:c>
      <x:c r="R462" s="4" t="n">
        <x:f>'参数'!$B$10</x:f>
        <x:v>4</x:v>
      </x:c>
      <x:c r="S462" s="4" t="n">
        <x:f>'参数'!$C$10</x:f>
        <x:v>1.2</x:v>
      </x:c>
      <x:c r="T462" s="4" t="n">
        <x:f>'参数'!$D$10</x:f>
        <x:v>1</x:v>
      </x:c>
      <x:c r="U462" s="4" t="n">
        <x:f t="shared" si="49">IF($O462="","",$O462*$R462)</x:f>
        <x:v>1439472</x:v>
      </x:c>
      <x:c r="V462" s="4" t="n">
        <x:f t="shared" si="50">IF($P462="","",$P462*$S462)</x:f>
        <x:v>41191.2</x:v>
      </x:c>
      <x:c r="W462" s="4" t="n">
        <x:f t="shared" si="51">IF($Q462="","",$Q462*$T462)</x:f>
        <x:v>28222</x:v>
      </x:c>
      <x:c r="X462" s="4" t="n">
        <x:f>IFERROR(INDEX('参数'!$B$5:$B$7,MATCH($N462,'参数'!$A$5:$A$7,0)),"")</x:f>
        <x:v>1.25</x:v>
      </x:c>
      <x:c r="Y462" s="4" t="n">
        <x:f>IFERROR(INDEX('参数'!$C$5:$C$7,MATCH($N462,'参数'!$A$5:$A$7,0)),"")</x:f>
        <x:v>1</x:v>
      </x:c>
      <x:c r="Z462" s="4" t="n">
        <x:f>IFERROR(INDEX('参数'!$D$5:$D$7,MATCH($N462,'参数'!$A$5:$A$7,0)),"")</x:f>
        <x:v>1.25</x:v>
      </x:c>
      <x:c r="AA462" s="4" t="n">
        <x:f>IFERROR(INDEX('楼层配置'!$E$5:$E$104,MATCH($K462,'楼层配置'!$B$5:$B$104,0)),1)</x:f>
        <x:v>1.1356732067437425</x:v>
      </x:c>
      <x:c r="AB462" s="4" t="n">
        <x:f>IFERROR(INDEX('楼层配置'!$F$5:$F$104,MATCH($K462,'楼层配置'!$B$5:$B$104,0)),1)</x:f>
        <x:v>0.7243791953727152</x:v>
      </x:c>
      <x:c r="AC462" s="4" t="n">
        <x:f>IFERROR(INDEX('楼层配置'!$G$5:$G$104,MATCH($K462,'楼层配置'!$B$5:$B$104,0)),1)</x:f>
        <x:v>1</x:v>
      </x:c>
      <x:c r="AD462" s="6" t="n">
        <x:f t="shared" si="52">IFERROR($D462/$G462-1,"")</x:f>
        <x:v>-0.5632502734679065</x:v>
      </x:c>
      <x:c r="AE462" s="6" t="n">
        <x:f t="shared" si="53">IFERROR($E462/$H462-1,"")</x:f>
        <x:v>-0.4024990988826145</x:v>
      </x:c>
      <x:c r="AF462" s="6" t="n">
        <x:f t="shared" si="54">IFERROR($F462/$I462-1,"")</x:f>
        <x:v>-0.08686649065589891</x:v>
      </x:c>
      <x:c r="AG462" s="4" t="str">
        <x:f t="shared" si="55">IF(AND($A462&gt;=1,$L462&gt;=1,$L462&lt;=500,OR($N462="Tank",$N462="DPS",$N462="Support"),ISNUMBER($D462),ISNUMBER($E462),ISNUMBER($F462)),"有效","异常")</x:f>
        <x:v>有效</x:v>
      </x:c>
      <x:c r="AH462" t="n">
        <x:f>D462/(1-MIN(0.75,F462/(24000+F462)))</x:f>
        <x:v>5047180.8515</x:v>
      </x:c>
    </x:row>
    <x:row r="463" ht="14.25" customHeight="1">
      <x:c r="A463" s="4">
        <x:v>459</x:v>
      </x:c>
      <x:c r="B463" s="4">
        <x:v>1005</x:v>
      </x:c>
      <x:c r="C463" s="4">
        <x:v>56</x:v>
      </x:c>
      <x:c r="D463" s="5" t="n">
        <x:f>IFERROR(ROUND($U463*$X463*$AA463*'参数'!$B$13,0),"")</x:f>
        <x:v>1634770</x:v>
      </x:c>
      <x:c r="E463" s="5" t="n">
        <x:f>IFERROR(ROUND($V463*$Y463*$AB463*'参数'!$C$13,0),"")</x:f>
        <x:v>35806</x:v>
      </x:c>
      <x:c r="F463" s="5" t="n">
        <x:f>IFERROR(ROUND($W463*$Z463*$AC463*'参数'!$D$13,0),"")</x:f>
        <x:v>28222</x:v>
      </x:c>
      <x:c r="G463" s="4">
        <x:v>3743035</x:v>
      </x:c>
      <x:c r="H463" s="4">
        <x:v>59925</x:v>
      </x:c>
      <x:c r="I463" s="4">
        <x:v>30907</x:v>
      </x:c>
      <x:c r="J463" s="4">
        <x:v>92</x:v>
      </x:c>
      <x:c r="K463" s="4">
        <x:v>92</x:v>
      </x:c>
      <x:c r="L463" s="4" t="n">
        <x:f>IFERROR(INDEX('楼层配置'!$D$5:$D$104,MATCH($K463,'楼层配置'!$B$5:$B$104,0)),"")</x:f>
        <x:v>270</x:v>
      </x:c>
      <x:c r="M463" s="4" t="str">
        <x:f>IFERROR(INDEX('_角色基线'!$B$2:$B$100,MATCH($B463,'_角色基线'!$A$2:$A$100,0)),"")</x:f>
        <x:v>陈单单</x:v>
      </x:c>
      <x:c r="N463" s="4" t="str">
        <x:f>IFERROR(INDEX('_角色基线'!$C$2:$C$100,MATCH($B463,'_角色基线'!$A$2:$A$100,0)),"")</x:f>
        <x:v>DPS</x:v>
      </x:c>
      <x:c r="O463" s="4" t="n">
        <x:f>IFERROR(INDEX('_怪物基线'!$B$2:$B$501,MATCH(INT($L463),'_怪物基线'!$A$2:$A$501,0)),"")</x:f>
        <x:v>359868</x:v>
      </x:c>
      <x:c r="P463" s="4" t="n">
        <x:f>IFERROR(INDEX('_怪物基线'!$C$2:$C$501,MATCH(INT($L463),'_怪物基线'!$A$2:$A$501,0)),"")</x:f>
        <x:v>34326</x:v>
      </x:c>
      <x:c r="Q463" s="4" t="n">
        <x:f>IFERROR(INDEX('_怪物基线'!$D$2:$D$501,MATCH(INT($L463),'_怪物基线'!$A$2:$A$501,0)),"")</x:f>
        <x:v>28222</x:v>
      </x:c>
      <x:c r="R463" s="4" t="n">
        <x:f>'参数'!$B$10</x:f>
        <x:v>4</x:v>
      </x:c>
      <x:c r="S463" s="4" t="n">
        <x:f>'参数'!$C$10</x:f>
        <x:v>1.2</x:v>
      </x:c>
      <x:c r="T463" s="4" t="n">
        <x:f>'参数'!$D$10</x:f>
        <x:v>1</x:v>
      </x:c>
      <x:c r="U463" s="4" t="n">
        <x:f t="shared" si="49">IF($O463="","",$O463*$R463)</x:f>
        <x:v>1439472</x:v>
      </x:c>
      <x:c r="V463" s="4" t="n">
        <x:f t="shared" si="50">IF($P463="","",$P463*$S463)</x:f>
        <x:v>41191.2</x:v>
      </x:c>
      <x:c r="W463" s="4" t="n">
        <x:f t="shared" si="51">IF($Q463="","",$Q463*$T463)</x:f>
        <x:v>28222</x:v>
      </x:c>
      <x:c r="X463" s="4" t="n">
        <x:f>IFERROR(INDEX('参数'!$B$5:$B$7,MATCH($N463,'参数'!$A$5:$A$7,0)),"")</x:f>
        <x:v>1</x:v>
      </x:c>
      <x:c r="Y463" s="4" t="n">
        <x:f>IFERROR(INDEX('参数'!$C$5:$C$7,MATCH($N463,'参数'!$A$5:$A$7,0)),"")</x:f>
        <x:v>1.2</x:v>
      </x:c>
      <x:c r="Z463" s="4" t="n">
        <x:f>IFERROR(INDEX('参数'!$D$5:$D$7,MATCH($N463,'参数'!$A$5:$A$7,0)),"")</x:f>
        <x:v>1</x:v>
      </x:c>
      <x:c r="AA463" s="4" t="n">
        <x:f>IFERROR(INDEX('楼层配置'!$E$5:$E$104,MATCH($K463,'楼层配置'!$B$5:$B$104,0)),1)</x:f>
        <x:v>1.1356732067437425</x:v>
      </x:c>
      <x:c r="AB463" s="4" t="n">
        <x:f>IFERROR(INDEX('楼层配置'!$F$5:$F$104,MATCH($K463,'楼层配置'!$B$5:$B$104,0)),1)</x:f>
        <x:v>0.7243791953727152</x:v>
      </x:c>
      <x:c r="AC463" s="4" t="n">
        <x:f>IFERROR(INDEX('楼层配置'!$G$5:$G$104,MATCH($K463,'楼层配置'!$B$5:$B$104,0)),1)</x:f>
        <x:v>1</x:v>
      </x:c>
      <x:c r="AD463" s="6" t="n">
        <x:f t="shared" si="52">IFERROR($D463/$G463-1,"")</x:f>
        <x:v>-0.5632501432660929</x:v>
      </x:c>
      <x:c r="AE463" s="6" t="n">
        <x:f t="shared" si="53">IFERROR($E463/$H463-1,"")</x:f>
        <x:v>-0.4024864413850646</x:v>
      </x:c>
      <x:c r="AF463" s="6" t="n">
        <x:f t="shared" si="54">IFERROR($F463/$I463-1,"")</x:f>
        <x:v>-0.08687352379719804</x:v>
      </x:c>
      <x:c r="AG463" s="4" t="str">
        <x:f t="shared" si="55">IF(AND($A463&gt;=1,$L463&gt;=1,$L463&lt;=500,OR($N463="Tank",$N463="DPS",$N463="Support"),ISNUMBER($D463),ISNUMBER($E463),ISNUMBER($F463)),"有效","异常")</x:f>
        <x:v>有效</x:v>
      </x:c>
      <x:c r="AH463" t="n">
        <x:f>D463/(1-MIN(0.75,F463/(24000+F463)))</x:f>
        <x:v>3557123.289166666</x:v>
      </x:c>
    </x:row>
    <x:row r="464" ht="14.25" customHeight="1">
      <x:c r="A464" s="4">
        <x:v>460</x:v>
      </x:c>
      <x:c r="B464" s="4">
        <x:v>1013</x:v>
      </x:c>
      <x:c r="C464" s="4">
        <x:v>56</x:v>
      </x:c>
      <x:c r="D464" s="5" t="n">
        <x:f>IFERROR(ROUND($U464*$X464*$AA464*'参数'!$B$13,0),"")</x:f>
        <x:v>1634770</x:v>
      </x:c>
      <x:c r="E464" s="5" t="n">
        <x:f>IFERROR(ROUND($V464*$Y464*$AB464*'参数'!$C$13,0),"")</x:f>
        <x:v>35806</x:v>
      </x:c>
      <x:c r="F464" s="5" t="n">
        <x:f>IFERROR(ROUND($W464*$Z464*$AC464*'参数'!$D$13,0),"")</x:f>
        <x:v>28222</x:v>
      </x:c>
      <x:c r="G464" s="4">
        <x:v>3743035</x:v>
      </x:c>
      <x:c r="H464" s="4">
        <x:v>59925</x:v>
      </x:c>
      <x:c r="I464" s="4">
        <x:v>30907</x:v>
      </x:c>
      <x:c r="J464" s="4">
        <x:v>92</x:v>
      </x:c>
      <x:c r="K464" s="4">
        <x:v>92</x:v>
      </x:c>
      <x:c r="L464" s="4" t="n">
        <x:f>IFERROR(INDEX('楼层配置'!$D$5:$D$104,MATCH($K464,'楼层配置'!$B$5:$B$104,0)),"")</x:f>
        <x:v>270</x:v>
      </x:c>
      <x:c r="M464" s="4" t="str">
        <x:f>IFERROR(INDEX('_角色基线'!$B$2:$B$100,MATCH($B464,'_角色基线'!$A$2:$A$100,0)),"")</x:f>
        <x:v>夏缇拉</x:v>
      </x:c>
      <x:c r="N464" s="4" t="str">
        <x:f>IFERROR(INDEX('_角色基线'!$C$2:$C$100,MATCH($B464,'_角色基线'!$A$2:$A$100,0)),"")</x:f>
        <x:v>DPS</x:v>
      </x:c>
      <x:c r="O464" s="4" t="n">
        <x:f>IFERROR(INDEX('_怪物基线'!$B$2:$B$501,MATCH(INT($L464),'_怪物基线'!$A$2:$A$501,0)),"")</x:f>
        <x:v>359868</x:v>
      </x:c>
      <x:c r="P464" s="4" t="n">
        <x:f>IFERROR(INDEX('_怪物基线'!$C$2:$C$501,MATCH(INT($L464),'_怪物基线'!$A$2:$A$501,0)),"")</x:f>
        <x:v>34326</x:v>
      </x:c>
      <x:c r="Q464" s="4" t="n">
        <x:f>IFERROR(INDEX('_怪物基线'!$D$2:$D$501,MATCH(INT($L464),'_怪物基线'!$A$2:$A$501,0)),"")</x:f>
        <x:v>28222</x:v>
      </x:c>
      <x:c r="R464" s="4" t="n">
        <x:f>'参数'!$B$10</x:f>
        <x:v>4</x:v>
      </x:c>
      <x:c r="S464" s="4" t="n">
        <x:f>'参数'!$C$10</x:f>
        <x:v>1.2</x:v>
      </x:c>
      <x:c r="T464" s="4" t="n">
        <x:f>'参数'!$D$10</x:f>
        <x:v>1</x:v>
      </x:c>
      <x:c r="U464" s="4" t="n">
        <x:f t="shared" si="49">IF($O464="","",$O464*$R464)</x:f>
        <x:v>1439472</x:v>
      </x:c>
      <x:c r="V464" s="4" t="n">
        <x:f t="shared" si="50">IF($P464="","",$P464*$S464)</x:f>
        <x:v>41191.2</x:v>
      </x:c>
      <x:c r="W464" s="4" t="n">
        <x:f t="shared" si="51">IF($Q464="","",$Q464*$T464)</x:f>
        <x:v>28222</x:v>
      </x:c>
      <x:c r="X464" s="4" t="n">
        <x:f>IFERROR(INDEX('参数'!$B$5:$B$7,MATCH($N464,'参数'!$A$5:$A$7,0)),"")</x:f>
        <x:v>1</x:v>
      </x:c>
      <x:c r="Y464" s="4" t="n">
        <x:f>IFERROR(INDEX('参数'!$C$5:$C$7,MATCH($N464,'参数'!$A$5:$A$7,0)),"")</x:f>
        <x:v>1.2</x:v>
      </x:c>
      <x:c r="Z464" s="4" t="n">
        <x:f>IFERROR(INDEX('参数'!$D$5:$D$7,MATCH($N464,'参数'!$A$5:$A$7,0)),"")</x:f>
        <x:v>1</x:v>
      </x:c>
      <x:c r="AA464" s="4" t="n">
        <x:f>IFERROR(INDEX('楼层配置'!$E$5:$E$104,MATCH($K464,'楼层配置'!$B$5:$B$104,0)),1)</x:f>
        <x:v>1.1356732067437425</x:v>
      </x:c>
      <x:c r="AB464" s="4" t="n">
        <x:f>IFERROR(INDEX('楼层配置'!$F$5:$F$104,MATCH($K464,'楼层配置'!$B$5:$B$104,0)),1)</x:f>
        <x:v>0.7243791953727152</x:v>
      </x:c>
      <x:c r="AC464" s="4" t="n">
        <x:f>IFERROR(INDEX('楼层配置'!$G$5:$G$104,MATCH($K464,'楼层配置'!$B$5:$B$104,0)),1)</x:f>
        <x:v>1</x:v>
      </x:c>
      <x:c r="AD464" s="6" t="n">
        <x:f t="shared" si="52">IFERROR($D464/$G464-1,"")</x:f>
        <x:v>-0.5632501432660929</x:v>
      </x:c>
      <x:c r="AE464" s="6" t="n">
        <x:f t="shared" si="53">IFERROR($E464/$H464-1,"")</x:f>
        <x:v>-0.4024864413850646</x:v>
      </x:c>
      <x:c r="AF464" s="6" t="n">
        <x:f t="shared" si="54">IFERROR($F464/$I464-1,"")</x:f>
        <x:v>-0.08687352379719804</x:v>
      </x:c>
      <x:c r="AG464" s="4" t="str">
        <x:f t="shared" si="55">IF(AND($A464&gt;=1,$L464&gt;=1,$L464&lt;=500,OR($N464="Tank",$N464="DPS",$N464="Support"),ISNUMBER($D464),ISNUMBER($E464),ISNUMBER($F464)),"有效","异常")</x:f>
        <x:v>有效</x:v>
      </x:c>
      <x:c r="AH464" t="n">
        <x:f>D464/(1-MIN(0.75,F464/(24000+F464)))</x:f>
        <x:v>3557123.289166666</x:v>
      </x:c>
    </x:row>
    <x:row r="465" ht="14.25" customHeight="1">
      <x:c r="A465" s="4">
        <x:v>461</x:v>
      </x:c>
      <x:c r="B465" s="4">
        <x:v>1004</x:v>
      </x:c>
      <x:c r="C465" s="4">
        <x:v>56</x:v>
      </x:c>
      <x:c r="D465" s="5" t="n">
        <x:f>IFERROR(ROUND($U465*$X465*$AA465*'参数'!$B$13,0),"")</x:f>
        <x:v>2495233</x:v>
      </x:c>
      <x:c r="E465" s="5" t="n">
        <x:f>IFERROR(ROUND($V465*$Y465*$AB465*'参数'!$C$13,0),"")</x:f>
        <x:v>30303</x:v>
      </x:c>
      <x:c r="F465" s="5" t="n">
        <x:f>IFERROR(ROUND($W465*$Z465*$AC465*'参数'!$D$13,0),"")</x:f>
        <x:v>42740</x:v>
      </x:c>
      <x:c r="G465" s="4">
        <x:v>5784912</x:v>
      </x:c>
      <x:c r="H465" s="4">
        <x:v>51214</x:v>
      </x:c>
      <x:c r="I465" s="4">
        <x:v>47054</x:v>
      </x:c>
      <x:c r="J465" s="4">
        <x:v>93</x:v>
      </x:c>
      <x:c r="K465" s="4">
        <x:v>93</x:v>
      </x:c>
      <x:c r="L465" s="4" t="n">
        <x:f>IFERROR(INDEX('楼层配置'!$D$5:$D$104,MATCH($K465,'楼层配置'!$B$5:$B$104,0)),"")</x:f>
        <x:v>272</x:v>
      </x:c>
      <x:c r="M465" s="4" t="str">
        <x:f>IFERROR(INDEX('_角色基线'!$B$2:$B$100,MATCH($B465,'_角色基线'!$A$2:$A$100,0)),"")</x:f>
        <x:v>阿芭</x:v>
      </x:c>
      <x:c r="N465" s="4" t="str">
        <x:f>IFERROR(INDEX('_角色基线'!$C$2:$C$100,MATCH($B465,'_角色基线'!$A$2:$A$100,0)),"")</x:f>
        <x:v>Tank</x:v>
      </x:c>
      <x:c r="O465" s="4" t="n">
        <x:f>IFERROR(INDEX('_怪物基线'!$B$2:$B$501,MATCH(INT($L465),'_怪物基线'!$A$2:$A$501,0)),"")</x:f>
        <x:v>367119</x:v>
      </x:c>
      <x:c r="P465" s="4" t="n">
        <x:f>IFERROR(INDEX('_怪物基线'!$C$2:$C$501,MATCH(INT($L465),'_怪物基线'!$A$2:$A$501,0)),"")</x:f>
        <x:v>34841</x:v>
      </x:c>
      <x:c r="Q465" s="4" t="n">
        <x:f>IFERROR(INDEX('_怪物基线'!$D$2:$D$501,MATCH(INT($L465),'_怪物基线'!$A$2:$A$501,0)),"")</x:f>
        <x:v>28493</x:v>
      </x:c>
      <x:c r="R465" s="4" t="n">
        <x:f>'参数'!$B$10</x:f>
        <x:v>4</x:v>
      </x:c>
      <x:c r="S465" s="4" t="n">
        <x:f>'参数'!$C$10</x:f>
        <x:v>1.2</x:v>
      </x:c>
      <x:c r="T465" s="4" t="n">
        <x:f>'参数'!$D$10</x:f>
        <x:v>1</x:v>
      </x:c>
      <x:c r="U465" s="4" t="n">
        <x:f t="shared" si="49">IF($O465="","",$O465*$R465)</x:f>
        <x:v>1468476</x:v>
      </x:c>
      <x:c r="V465" s="4" t="n">
        <x:f t="shared" si="50">IF($P465="","",$P465*$S465)</x:f>
        <x:v>41809.2</x:v>
      </x:c>
      <x:c r="W465" s="4" t="n">
        <x:f t="shared" si="51">IF($Q465="","",$Q465*$T465)</x:f>
        <x:v>28493</x:v>
      </x:c>
      <x:c r="X465" s="4" t="n">
        <x:f>IFERROR(INDEX('参数'!$B$5:$B$7,MATCH($N465,'参数'!$A$5:$A$7,0)),"")</x:f>
        <x:v>1.5</x:v>
      </x:c>
      <x:c r="Y465" s="4" t="n">
        <x:f>IFERROR(INDEX('参数'!$C$5:$C$7,MATCH($N465,'参数'!$A$5:$A$7,0)),"")</x:f>
        <x:v>1</x:v>
      </x:c>
      <x:c r="Z465" s="4" t="n">
        <x:f>IFERROR(INDEX('参数'!$D$5:$D$7,MATCH($N465,'参数'!$A$5:$A$7,0)),"")</x:f>
        <x:v>1.5</x:v>
      </x:c>
      <x:c r="AA465" s="4" t="n">
        <x:f>IFERROR(INDEX('楼层配置'!$E$5:$E$104,MATCH($K465,'楼层配置'!$B$5:$B$104,0)),1)</x:f>
        <x:v>1.1327994344874648</x:v>
      </x:c>
      <x:c r="AB465" s="4" t="n">
        <x:f>IFERROR(INDEX('楼层配置'!$F$5:$F$104,MATCH($K465,'楼层配置'!$B$5:$B$104,0)),1)</x:f>
        <x:v>0.7247811335478753</x:v>
      </x:c>
      <x:c r="AC465" s="4" t="n">
        <x:f>IFERROR(INDEX('楼层配置'!$G$5:$G$104,MATCH($K465,'楼层配置'!$B$5:$B$104,0)),1)</x:f>
        <x:v>1</x:v>
      </x:c>
      <x:c r="AD465" s="6" t="n">
        <x:f t="shared" si="52">IFERROR($D465/$G465-1,"")</x:f>
        <x:v>-0.5686653487555213</x:v>
      </x:c>
      <x:c r="AE465" s="6" t="n">
        <x:f t="shared" si="53">IFERROR($E465/$H465-1,"")</x:f>
        <x:v>-0.40830632248994414</x:v>
      </x:c>
      <x:c r="AF465" s="6" t="n">
        <x:f t="shared" si="54">IFERROR($F465/$I465-1,"")</x:f>
        <x:v>-0.09168189739448296</x:v>
      </x:c>
      <x:c r="AG465" s="4" t="str">
        <x:f t="shared" si="55">IF(AND($A465&gt;=1,$L465&gt;=1,$L465&lt;=500,OR($N465="Tank",$N465="DPS",$N465="Support"),ISNUMBER($D465),ISNUMBER($E465),ISNUMBER($F465)),"有效","异常")</x:f>
        <x:v>有效</x:v>
      </x:c>
      <x:c r="AH465" t="n">
        <x:f>D465/(1-MIN(0.75,F465/(24000+F465)))</x:f>
        <x:v>6938827.100833333</x:v>
      </x:c>
    </x:row>
    <x:row r="466" ht="14.25" customHeight="1">
      <x:c r="A466" s="4">
        <x:v>462</x:v>
      </x:c>
      <x:c r="B466" s="4">
        <x:v>1006</x:v>
      </x:c>
      <x:c r="C466" s="4">
        <x:v>56</x:v>
      </x:c>
      <x:c r="D466" s="5" t="n">
        <x:f>IFERROR(ROUND($U466*$X466*$AA466*'参数'!$B$13,0),"")</x:f>
        <x:v>1663489</x:v>
      </x:c>
      <x:c r="E466" s="5" t="n">
        <x:f>IFERROR(ROUND($V466*$Y466*$AB466*'参数'!$C$13,0),"")</x:f>
        <x:v>36363</x:v>
      </x:c>
      <x:c r="F466" s="5" t="n">
        <x:f>IFERROR(ROUND($W466*$Z466*$AC466*'参数'!$D$13,0),"")</x:f>
        <x:v>28493</x:v>
      </x:c>
      <x:c r="G466" s="4">
        <x:v>3856608</x:v>
      </x:c>
      <x:c r="H466" s="4">
        <x:v>61456</x:v>
      </x:c>
      <x:c r="I466" s="4">
        <x:v>31369</x:v>
      </x:c>
      <x:c r="J466" s="4">
        <x:v>93</x:v>
      </x:c>
      <x:c r="K466" s="4">
        <x:v>93</x:v>
      </x:c>
      <x:c r="L466" s="4" t="n">
        <x:f>IFERROR(INDEX('楼层配置'!$D$5:$D$104,MATCH($K466,'楼层配置'!$B$5:$B$104,0)),"")</x:f>
        <x:v>272</x:v>
      </x:c>
      <x:c r="M466" s="4" t="str">
        <x:f>IFERROR(INDEX('_角色基线'!$B$2:$B$100,MATCH($B466,'_角色基线'!$A$2:$A$100,0)),"")</x:f>
        <x:v>莉莉娅</x:v>
      </x:c>
      <x:c r="N466" s="4" t="str">
        <x:f>IFERROR(INDEX('_角色基线'!$C$2:$C$100,MATCH($B466,'_角色基线'!$A$2:$A$100,0)),"")</x:f>
        <x:v>DPS</x:v>
      </x:c>
      <x:c r="O466" s="4" t="n">
        <x:f>IFERROR(INDEX('_怪物基线'!$B$2:$B$501,MATCH(INT($L466),'_怪物基线'!$A$2:$A$501,0)),"")</x:f>
        <x:v>367119</x:v>
      </x:c>
      <x:c r="P466" s="4" t="n">
        <x:f>IFERROR(INDEX('_怪物基线'!$C$2:$C$501,MATCH(INT($L466),'_怪物基线'!$A$2:$A$501,0)),"")</x:f>
        <x:v>34841</x:v>
      </x:c>
      <x:c r="Q466" s="4" t="n">
        <x:f>IFERROR(INDEX('_怪物基线'!$D$2:$D$501,MATCH(INT($L466),'_怪物基线'!$A$2:$A$501,0)),"")</x:f>
        <x:v>28493</x:v>
      </x:c>
      <x:c r="R466" s="4" t="n">
        <x:f>'参数'!$B$10</x:f>
        <x:v>4</x:v>
      </x:c>
      <x:c r="S466" s="4" t="n">
        <x:f>'参数'!$C$10</x:f>
        <x:v>1.2</x:v>
      </x:c>
      <x:c r="T466" s="4" t="n">
        <x:f>'参数'!$D$10</x:f>
        <x:v>1</x:v>
      </x:c>
      <x:c r="U466" s="4" t="n">
        <x:f t="shared" si="49">IF($O466="","",$O466*$R466)</x:f>
        <x:v>1468476</x:v>
      </x:c>
      <x:c r="V466" s="4" t="n">
        <x:f t="shared" si="50">IF($P466="","",$P466*$S466)</x:f>
        <x:v>41809.2</x:v>
      </x:c>
      <x:c r="W466" s="4" t="n">
        <x:f t="shared" si="51">IF($Q466="","",$Q466*$T466)</x:f>
        <x:v>28493</x:v>
      </x:c>
      <x:c r="X466" s="4" t="n">
        <x:f>IFERROR(INDEX('参数'!$B$5:$B$7,MATCH($N466,'参数'!$A$5:$A$7,0)),"")</x:f>
        <x:v>1</x:v>
      </x:c>
      <x:c r="Y466" s="4" t="n">
        <x:f>IFERROR(INDEX('参数'!$C$5:$C$7,MATCH($N466,'参数'!$A$5:$A$7,0)),"")</x:f>
        <x:v>1.2</x:v>
      </x:c>
      <x:c r="Z466" s="4" t="n">
        <x:f>IFERROR(INDEX('参数'!$D$5:$D$7,MATCH($N466,'参数'!$A$5:$A$7,0)),"")</x:f>
        <x:v>1</x:v>
      </x:c>
      <x:c r="AA466" s="4" t="n">
        <x:f>IFERROR(INDEX('楼层配置'!$E$5:$E$104,MATCH($K466,'楼层配置'!$B$5:$B$104,0)),1)</x:f>
        <x:v>1.1327994344874648</x:v>
      </x:c>
      <x:c r="AB466" s="4" t="n">
        <x:f>IFERROR(INDEX('楼层配置'!$F$5:$F$104,MATCH($K466,'楼层配置'!$B$5:$B$104,0)),1)</x:f>
        <x:v>0.7247811335478753</x:v>
      </x:c>
      <x:c r="AC466" s="4" t="n">
        <x:f>IFERROR(INDEX('楼层配置'!$G$5:$G$104,MATCH($K466,'楼层配置'!$B$5:$B$104,0)),1)</x:f>
        <x:v>1</x:v>
      </x:c>
      <x:c r="AD466" s="6" t="n">
        <x:f t="shared" si="52">IFERROR($D466/$G466-1,"")</x:f>
        <x:v>-0.5686652623237829</x:v>
      </x:c>
      <x:c r="AE466" s="6" t="n">
        <x:f t="shared" si="53">IFERROR($E466/$H466-1,"")</x:f>
        <x:v>-0.4083083832335329</x:v>
      </x:c>
      <x:c r="AF466" s="6" t="n">
        <x:f t="shared" si="54">IFERROR($F466/$I466-1,"")</x:f>
        <x:v>-0.09168287162485256</x:v>
      </x:c>
      <x:c r="AG466" s="4" t="str">
        <x:f t="shared" si="55">IF(AND($A466&gt;=1,$L466&gt;=1,$L466&lt;=500,OR($N466="Tank",$N466="DPS",$N466="Support"),ISNUMBER($D466),ISNUMBER($E466),ISNUMBER($F466)),"有效","异常")</x:f>
        <x:v>有效</x:v>
      </x:c>
      <x:c r="AH466" t="n">
        <x:f>D466/(1-MIN(0.75,F466/(24000+F466)))</x:f>
        <x:v>3638397.0032083336</x:v>
      </x:c>
    </x:row>
    <x:row r="467" ht="14.25" customHeight="1">
      <x:c r="A467" s="4">
        <x:v>463</x:v>
      </x:c>
      <x:c r="B467" s="4">
        <x:v>1017</x:v>
      </x:c>
      <x:c r="C467" s="4">
        <x:v>56</x:v>
      </x:c>
      <x:c r="D467" s="5" t="n">
        <x:f>IFERROR(ROUND($U467*$X467*$AA467*'参数'!$B$13,0),"")</x:f>
        <x:v>1663489</x:v>
      </x:c>
      <x:c r="E467" s="5" t="n">
        <x:f>IFERROR(ROUND($V467*$Y467*$AB467*'参数'!$C$13,0),"")</x:f>
        <x:v>36363</x:v>
      </x:c>
      <x:c r="F467" s="5" t="n">
        <x:f>IFERROR(ROUND($W467*$Z467*$AC467*'参数'!$D$13,0),"")</x:f>
        <x:v>28493</x:v>
      </x:c>
      <x:c r="G467" s="4">
        <x:v>3856608</x:v>
      </x:c>
      <x:c r="H467" s="4">
        <x:v>61456</x:v>
      </x:c>
      <x:c r="I467" s="4">
        <x:v>31369</x:v>
      </x:c>
      <x:c r="J467" s="4">
        <x:v>93</x:v>
      </x:c>
      <x:c r="K467" s="4">
        <x:v>93</x:v>
      </x:c>
      <x:c r="L467" s="4" t="n">
        <x:f>IFERROR(INDEX('楼层配置'!$D$5:$D$104,MATCH($K467,'楼层配置'!$B$5:$B$104,0)),"")</x:f>
        <x:v>272</x:v>
      </x:c>
      <x:c r="M467" s="4" t="str">
        <x:f>IFERROR(INDEX('_角色基线'!$B$2:$B$100,MATCH($B467,'_角色基线'!$A$2:$A$100,0)),"")</x:f>
        <x:v>伊戈尔</x:v>
      </x:c>
      <x:c r="N467" s="4" t="str">
        <x:f>IFERROR(INDEX('_角色基线'!$C$2:$C$100,MATCH($B467,'_角色基线'!$A$2:$A$100,0)),"")</x:f>
        <x:v>DPS</x:v>
      </x:c>
      <x:c r="O467" s="4" t="n">
        <x:f>IFERROR(INDEX('_怪物基线'!$B$2:$B$501,MATCH(INT($L467),'_怪物基线'!$A$2:$A$501,0)),"")</x:f>
        <x:v>367119</x:v>
      </x:c>
      <x:c r="P467" s="4" t="n">
        <x:f>IFERROR(INDEX('_怪物基线'!$C$2:$C$501,MATCH(INT($L467),'_怪物基线'!$A$2:$A$501,0)),"")</x:f>
        <x:v>34841</x:v>
      </x:c>
      <x:c r="Q467" s="4" t="n">
        <x:f>IFERROR(INDEX('_怪物基线'!$D$2:$D$501,MATCH(INT($L467),'_怪物基线'!$A$2:$A$501,0)),"")</x:f>
        <x:v>28493</x:v>
      </x:c>
      <x:c r="R467" s="4" t="n">
        <x:f>'参数'!$B$10</x:f>
        <x:v>4</x:v>
      </x:c>
      <x:c r="S467" s="4" t="n">
        <x:f>'参数'!$C$10</x:f>
        <x:v>1.2</x:v>
      </x:c>
      <x:c r="T467" s="4" t="n">
        <x:f>'参数'!$D$10</x:f>
        <x:v>1</x:v>
      </x:c>
      <x:c r="U467" s="4" t="n">
        <x:f t="shared" si="49">IF($O467="","",$O467*$R467)</x:f>
        <x:v>1468476</x:v>
      </x:c>
      <x:c r="V467" s="4" t="n">
        <x:f t="shared" si="50">IF($P467="","",$P467*$S467)</x:f>
        <x:v>41809.2</x:v>
      </x:c>
      <x:c r="W467" s="4" t="n">
        <x:f t="shared" si="51">IF($Q467="","",$Q467*$T467)</x:f>
        <x:v>28493</x:v>
      </x:c>
      <x:c r="X467" s="4" t="n">
        <x:f>IFERROR(INDEX('参数'!$B$5:$B$7,MATCH($N467,'参数'!$A$5:$A$7,0)),"")</x:f>
        <x:v>1</x:v>
      </x:c>
      <x:c r="Y467" s="4" t="n">
        <x:f>IFERROR(INDEX('参数'!$C$5:$C$7,MATCH($N467,'参数'!$A$5:$A$7,0)),"")</x:f>
        <x:v>1.2</x:v>
      </x:c>
      <x:c r="Z467" s="4" t="n">
        <x:f>IFERROR(INDEX('参数'!$D$5:$D$7,MATCH($N467,'参数'!$A$5:$A$7,0)),"")</x:f>
        <x:v>1</x:v>
      </x:c>
      <x:c r="AA467" s="4" t="n">
        <x:f>IFERROR(INDEX('楼层配置'!$E$5:$E$104,MATCH($K467,'楼层配置'!$B$5:$B$104,0)),1)</x:f>
        <x:v>1.1327994344874648</x:v>
      </x:c>
      <x:c r="AB467" s="4" t="n">
        <x:f>IFERROR(INDEX('楼层配置'!$F$5:$F$104,MATCH($K467,'楼层配置'!$B$5:$B$104,0)),1)</x:f>
        <x:v>0.7247811335478753</x:v>
      </x:c>
      <x:c r="AC467" s="4" t="n">
        <x:f>IFERROR(INDEX('楼层配置'!$G$5:$G$104,MATCH($K467,'楼层配置'!$B$5:$B$104,0)),1)</x:f>
        <x:v>1</x:v>
      </x:c>
      <x:c r="AD467" s="6" t="n">
        <x:f t="shared" si="52">IFERROR($D467/$G467-1,"")</x:f>
        <x:v>-0.5686652623237829</x:v>
      </x:c>
      <x:c r="AE467" s="6" t="n">
        <x:f t="shared" si="53">IFERROR($E467/$H467-1,"")</x:f>
        <x:v>-0.4083083832335329</x:v>
      </x:c>
      <x:c r="AF467" s="6" t="n">
        <x:f t="shared" si="54">IFERROR($F467/$I467-1,"")</x:f>
        <x:v>-0.09168287162485256</x:v>
      </x:c>
      <x:c r="AG467" s="4" t="str">
        <x:f t="shared" si="55">IF(AND($A467&gt;=1,$L467&gt;=1,$L467&lt;=500,OR($N467="Tank",$N467="DPS",$N467="Support"),ISNUMBER($D467),ISNUMBER($E467),ISNUMBER($F467)),"有效","异常")</x:f>
        <x:v>有效</x:v>
      </x:c>
      <x:c r="AH467" t="n">
        <x:f>D467/(1-MIN(0.75,F467/(24000+F467)))</x:f>
        <x:v>3638397.0032083336</x:v>
      </x:c>
    </x:row>
    <x:row r="468" ht="14.25" customHeight="1">
      <x:c r="A468" s="4">
        <x:v>464</x:v>
      </x:c>
      <x:c r="B468" s="4">
        <x:v>1007</x:v>
      </x:c>
      <x:c r="C468" s="4">
        <x:v>56</x:v>
      </x:c>
      <x:c r="D468" s="5" t="n">
        <x:f>IFERROR(ROUND($U468*$X468*$AA468*'参数'!$B$13,0),"")</x:f>
        <x:v>2079361</x:v>
      </x:c>
      <x:c r="E468" s="5" t="n">
        <x:f>IFERROR(ROUND($V468*$Y468*$AB468*'参数'!$C$13,0),"")</x:f>
        <x:v>30303</x:v>
      </x:c>
      <x:c r="F468" s="5" t="n">
        <x:f>IFERROR(ROUND($W468*$Z468*$AC468*'参数'!$D$13,0),"")</x:f>
        <x:v>35616</x:v>
      </x:c>
      <x:c r="G468" s="4">
        <x:v>4820760</x:v>
      </x:c>
      <x:c r="H468" s="4">
        <x:v>51214</x:v>
      </x:c>
      <x:c r="I468" s="4">
        <x:v>39212</x:v>
      </x:c>
      <x:c r="J468" s="4">
        <x:v>93</x:v>
      </x:c>
      <x:c r="K468" s="4">
        <x:v>93</x:v>
      </x:c>
      <x:c r="L468" s="4" t="n">
        <x:f>IFERROR(INDEX('楼层配置'!$D$5:$D$104,MATCH($K468,'楼层配置'!$B$5:$B$104,0)),"")</x:f>
        <x:v>272</x:v>
      </x:c>
      <x:c r="M468" s="4" t="str">
        <x:f>IFERROR(INDEX('_角色基线'!$B$2:$B$100,MATCH($B468,'_角色基线'!$A$2:$A$100,0)),"")</x:f>
        <x:v>萨萨莉安</x:v>
      </x:c>
      <x:c r="N468" s="4" t="str">
        <x:f>IFERROR(INDEX('_角色基线'!$C$2:$C$100,MATCH($B468,'_角色基线'!$A$2:$A$100,0)),"")</x:f>
        <x:v>Support</x:v>
      </x:c>
      <x:c r="O468" s="4" t="n">
        <x:f>IFERROR(INDEX('_怪物基线'!$B$2:$B$501,MATCH(INT($L468),'_怪物基线'!$A$2:$A$501,0)),"")</x:f>
        <x:v>367119</x:v>
      </x:c>
      <x:c r="P468" s="4" t="n">
        <x:f>IFERROR(INDEX('_怪物基线'!$C$2:$C$501,MATCH(INT($L468),'_怪物基线'!$A$2:$A$501,0)),"")</x:f>
        <x:v>34841</x:v>
      </x:c>
      <x:c r="Q468" s="4" t="n">
        <x:f>IFERROR(INDEX('_怪物基线'!$D$2:$D$501,MATCH(INT($L468),'_怪物基线'!$A$2:$A$501,0)),"")</x:f>
        <x:v>28493</x:v>
      </x:c>
      <x:c r="R468" s="4" t="n">
        <x:f>'参数'!$B$10</x:f>
        <x:v>4</x:v>
      </x:c>
      <x:c r="S468" s="4" t="n">
        <x:f>'参数'!$C$10</x:f>
        <x:v>1.2</x:v>
      </x:c>
      <x:c r="T468" s="4" t="n">
        <x:f>'参数'!$D$10</x:f>
        <x:v>1</x:v>
      </x:c>
      <x:c r="U468" s="4" t="n">
        <x:f t="shared" si="49">IF($O468="","",$O468*$R468)</x:f>
        <x:v>1468476</x:v>
      </x:c>
      <x:c r="V468" s="4" t="n">
        <x:f t="shared" si="50">IF($P468="","",$P468*$S468)</x:f>
        <x:v>41809.2</x:v>
      </x:c>
      <x:c r="W468" s="4" t="n">
        <x:f t="shared" si="51">IF($Q468="","",$Q468*$T468)</x:f>
        <x:v>28493</x:v>
      </x:c>
      <x:c r="X468" s="4" t="n">
        <x:f>IFERROR(INDEX('参数'!$B$5:$B$7,MATCH($N468,'参数'!$A$5:$A$7,0)),"")</x:f>
        <x:v>1.25</x:v>
      </x:c>
      <x:c r="Y468" s="4" t="n">
        <x:f>IFERROR(INDEX('参数'!$C$5:$C$7,MATCH($N468,'参数'!$A$5:$A$7,0)),"")</x:f>
        <x:v>1</x:v>
      </x:c>
      <x:c r="Z468" s="4" t="n">
        <x:f>IFERROR(INDEX('参数'!$D$5:$D$7,MATCH($N468,'参数'!$A$5:$A$7,0)),"")</x:f>
        <x:v>1.25</x:v>
      </x:c>
      <x:c r="AA468" s="4" t="n">
        <x:f>IFERROR(INDEX('楼层配置'!$E$5:$E$104,MATCH($K468,'楼层配置'!$B$5:$B$104,0)),1)</x:f>
        <x:v>1.1327994344874648</x:v>
      </x:c>
      <x:c r="AB468" s="4" t="n">
        <x:f>IFERROR(INDEX('楼层配置'!$F$5:$F$104,MATCH($K468,'楼层配置'!$B$5:$B$104,0)),1)</x:f>
        <x:v>0.7247811335478753</x:v>
      </x:c>
      <x:c r="AC468" s="4" t="n">
        <x:f>IFERROR(INDEX('楼层配置'!$G$5:$G$104,MATCH($K468,'楼层配置'!$B$5:$B$104,0)),1)</x:f>
        <x:v>1</x:v>
      </x:c>
      <x:c r="AD468" s="6" t="n">
        <x:f t="shared" si="52">IFERROR($D468/$G468-1,"")</x:f>
        <x:v>-0.568665314182826</x:v>
      </x:c>
      <x:c r="AE468" s="6" t="n">
        <x:f t="shared" si="53">IFERROR($E468/$H468-1,"")</x:f>
        <x:v>-0.40830632248994414</x:v>
      </x:c>
      <x:c r="AF468" s="6" t="n">
        <x:f t="shared" si="54">IFERROR($F468/$I468-1,"")</x:f>
        <x:v>-0.0917066204223197</x:v>
      </x:c>
      <x:c r="AG468" s="4" t="str">
        <x:f t="shared" si="55">IF(AND($A468&gt;=1,$L468&gt;=1,$L468&lt;=500,OR($N468="Tank",$N468="DPS",$N468="Support"),ISNUMBER($D468),ISNUMBER($E468),ISNUMBER($F468)),"有效","异常")</x:f>
        <x:v>有效</x:v>
      </x:c>
      <x:c r="AH468" t="n">
        <x:f>D468/(1-MIN(0.75,F468/(24000+F468)))</x:f>
        <x:v>5165132.723999999</x:v>
      </x:c>
    </x:row>
    <x:row r="469" ht="14.25" customHeight="1">
      <x:c r="A469" s="4">
        <x:v>465</x:v>
      </x:c>
      <x:c r="B469" s="4">
        <x:v>1013</x:v>
      </x:c>
      <x:c r="C469" s="4">
        <x:v>56</x:v>
      </x:c>
      <x:c r="D469" s="5" t="n">
        <x:f>IFERROR(ROUND($U469*$X469*$AA469*'参数'!$B$13,0),"")</x:f>
        <x:v>1663489</x:v>
      </x:c>
      <x:c r="E469" s="5" t="n">
        <x:f>IFERROR(ROUND($V469*$Y469*$AB469*'参数'!$C$13,0),"")</x:f>
        <x:v>36363</x:v>
      </x:c>
      <x:c r="F469" s="5" t="n">
        <x:f>IFERROR(ROUND($W469*$Z469*$AC469*'参数'!$D$13,0),"")</x:f>
        <x:v>28493</x:v>
      </x:c>
      <x:c r="G469" s="4">
        <x:v>3856608</x:v>
      </x:c>
      <x:c r="H469" s="4">
        <x:v>61456</x:v>
      </x:c>
      <x:c r="I469" s="4">
        <x:v>31369</x:v>
      </x:c>
      <x:c r="J469" s="4">
        <x:v>93</x:v>
      </x:c>
      <x:c r="K469" s="4">
        <x:v>93</x:v>
      </x:c>
      <x:c r="L469" s="4" t="n">
        <x:f>IFERROR(INDEX('楼层配置'!$D$5:$D$104,MATCH($K469,'楼层配置'!$B$5:$B$104,0)),"")</x:f>
        <x:v>272</x:v>
      </x:c>
      <x:c r="M469" s="4" t="str">
        <x:f>IFERROR(INDEX('_角色基线'!$B$2:$B$100,MATCH($B469,'_角色基线'!$A$2:$A$100,0)),"")</x:f>
        <x:v>夏缇拉</x:v>
      </x:c>
      <x:c r="N469" s="4" t="str">
        <x:f>IFERROR(INDEX('_角色基线'!$C$2:$C$100,MATCH($B469,'_角色基线'!$A$2:$A$100,0)),"")</x:f>
        <x:v>DPS</x:v>
      </x:c>
      <x:c r="O469" s="4" t="n">
        <x:f>IFERROR(INDEX('_怪物基线'!$B$2:$B$501,MATCH(INT($L469),'_怪物基线'!$A$2:$A$501,0)),"")</x:f>
        <x:v>367119</x:v>
      </x:c>
      <x:c r="P469" s="4" t="n">
        <x:f>IFERROR(INDEX('_怪物基线'!$C$2:$C$501,MATCH(INT($L469),'_怪物基线'!$A$2:$A$501,0)),"")</x:f>
        <x:v>34841</x:v>
      </x:c>
      <x:c r="Q469" s="4" t="n">
        <x:f>IFERROR(INDEX('_怪物基线'!$D$2:$D$501,MATCH(INT($L469),'_怪物基线'!$A$2:$A$501,0)),"")</x:f>
        <x:v>28493</x:v>
      </x:c>
      <x:c r="R469" s="4" t="n">
        <x:f>'参数'!$B$10</x:f>
        <x:v>4</x:v>
      </x:c>
      <x:c r="S469" s="4" t="n">
        <x:f>'参数'!$C$10</x:f>
        <x:v>1.2</x:v>
      </x:c>
      <x:c r="T469" s="4" t="n">
        <x:f>'参数'!$D$10</x:f>
        <x:v>1</x:v>
      </x:c>
      <x:c r="U469" s="4" t="n">
        <x:f t="shared" si="49">IF($O469="","",$O469*$R469)</x:f>
        <x:v>1468476</x:v>
      </x:c>
      <x:c r="V469" s="4" t="n">
        <x:f t="shared" si="50">IF($P469="","",$P469*$S469)</x:f>
        <x:v>41809.2</x:v>
      </x:c>
      <x:c r="W469" s="4" t="n">
        <x:f t="shared" si="51">IF($Q469="","",$Q469*$T469)</x:f>
        <x:v>28493</x:v>
      </x:c>
      <x:c r="X469" s="4" t="n">
        <x:f>IFERROR(INDEX('参数'!$B$5:$B$7,MATCH($N469,'参数'!$A$5:$A$7,0)),"")</x:f>
        <x:v>1</x:v>
      </x:c>
      <x:c r="Y469" s="4" t="n">
        <x:f>IFERROR(INDEX('参数'!$C$5:$C$7,MATCH($N469,'参数'!$A$5:$A$7,0)),"")</x:f>
        <x:v>1.2</x:v>
      </x:c>
      <x:c r="Z469" s="4" t="n">
        <x:f>IFERROR(INDEX('参数'!$D$5:$D$7,MATCH($N469,'参数'!$A$5:$A$7,0)),"")</x:f>
        <x:v>1</x:v>
      </x:c>
      <x:c r="AA469" s="4" t="n">
        <x:f>IFERROR(INDEX('楼层配置'!$E$5:$E$104,MATCH($K469,'楼层配置'!$B$5:$B$104,0)),1)</x:f>
        <x:v>1.1327994344874648</x:v>
      </x:c>
      <x:c r="AB469" s="4" t="n">
        <x:f>IFERROR(INDEX('楼层配置'!$F$5:$F$104,MATCH($K469,'楼层配置'!$B$5:$B$104,0)),1)</x:f>
        <x:v>0.7247811335478753</x:v>
      </x:c>
      <x:c r="AC469" s="4" t="n">
        <x:f>IFERROR(INDEX('楼层配置'!$G$5:$G$104,MATCH($K469,'楼层配置'!$B$5:$B$104,0)),1)</x:f>
        <x:v>1</x:v>
      </x:c>
      <x:c r="AD469" s="6" t="n">
        <x:f t="shared" si="52">IFERROR($D469/$G469-1,"")</x:f>
        <x:v>-0.5686652623237829</x:v>
      </x:c>
      <x:c r="AE469" s="6" t="n">
        <x:f t="shared" si="53">IFERROR($E469/$H469-1,"")</x:f>
        <x:v>-0.4083083832335329</x:v>
      </x:c>
      <x:c r="AF469" s="6" t="n">
        <x:f t="shared" si="54">IFERROR($F469/$I469-1,"")</x:f>
        <x:v>-0.09168287162485256</x:v>
      </x:c>
      <x:c r="AG469" s="4" t="str">
        <x:f t="shared" si="55">IF(AND($A469&gt;=1,$L469&gt;=1,$L469&lt;=500,OR($N469="Tank",$N469="DPS",$N469="Support"),ISNUMBER($D469),ISNUMBER($E469),ISNUMBER($F469)),"有效","异常")</x:f>
        <x:v>有效</x:v>
      </x:c>
      <x:c r="AH469" t="n">
        <x:f>D469/(1-MIN(0.75,F469/(24000+F469)))</x:f>
        <x:v>3638397.0032083336</x:v>
      </x:c>
    </x:row>
    <x:row r="470" ht="14.25" customHeight="1">
      <x:c r="A470" s="4">
        <x:v>466</x:v>
      </x:c>
      <x:c r="B470" s="4">
        <x:v>1004</x:v>
      </x:c>
      <x:c r="C470" s="4">
        <x:v>57</x:v>
      </x:c>
      <x:c r="D470" s="5" t="n">
        <x:f>IFERROR(ROUND($U470*$X470*$AA470*'参数'!$B$13,0),"")</x:f>
        <x:v>2517976</x:v>
      </x:c>
      <x:c r="E470" s="5" t="n">
        <x:f>IFERROR(ROUND($V470*$Y470*$AB470*'参数'!$C$13,0),"")</x:f>
        <x:v>30567</x:v>
      </x:c>
      <x:c r="F470" s="5" t="n">
        <x:f>IFERROR(ROUND($W470*$Z470*$AC470*'参数'!$D$13,0),"")</x:f>
        <x:v>42944</x:v>
      </x:c>
      <x:c r="G470" s="4">
        <x:v>5959159</x:v>
      </x:c>
      <x:c r="H470" s="4">
        <x:v>52520</x:v>
      </x:c>
      <x:c r="I470" s="4">
        <x:v>47750</x:v>
      </x:c>
      <x:c r="J470" s="4">
        <x:v>94</x:v>
      </x:c>
      <x:c r="K470" s="4">
        <x:v>94</x:v>
      </x:c>
      <x:c r="L470" s="4" t="n">
        <x:f>IFERROR(INDEX('楼层配置'!$D$5:$D$104,MATCH($K470,'楼层配置'!$B$5:$B$104,0)),"")</x:f>
        <x:v>273</x:v>
      </x:c>
      <x:c r="M470" s="4" t="str">
        <x:f>IFERROR(INDEX('_角色基线'!$B$2:$B$100,MATCH($B470,'_角色基线'!$A$2:$A$100,0)),"")</x:f>
        <x:v>阿芭</x:v>
      </x:c>
      <x:c r="N470" s="4" t="str">
        <x:f>IFERROR(INDEX('_角色基线'!$C$2:$C$100,MATCH($B470,'_角色基线'!$A$2:$A$100,0)),"")</x:f>
        <x:v>Tank</x:v>
      </x:c>
      <x:c r="O470" s="4" t="n">
        <x:f>IFERROR(INDEX('_怪物基线'!$B$2:$B$501,MATCH(INT($L470),'_怪物基线'!$A$2:$A$501,0)),"")</x:f>
        <x:v>370785</x:v>
      </x:c>
      <x:c r="P470" s="4" t="n">
        <x:f>IFERROR(INDEX('_怪物基线'!$C$2:$C$501,MATCH(INT($L470),'_怪物基线'!$A$2:$A$501,0)),"")</x:f>
        <x:v>35101</x:v>
      </x:c>
      <x:c r="Q470" s="4" t="n">
        <x:f>IFERROR(INDEX('_怪物基线'!$D$2:$D$501,MATCH(INT($L470),'_怪物基线'!$A$2:$A$501,0)),"")</x:f>
        <x:v>28629</x:v>
      </x:c>
      <x:c r="R470" s="4" t="n">
        <x:f>'参数'!$B$10</x:f>
        <x:v>4</x:v>
      </x:c>
      <x:c r="S470" s="4" t="n">
        <x:f>'参数'!$C$10</x:f>
        <x:v>1.2</x:v>
      </x:c>
      <x:c r="T470" s="4" t="n">
        <x:f>'参数'!$D$10</x:f>
        <x:v>1</x:v>
      </x:c>
      <x:c r="U470" s="4" t="n">
        <x:f t="shared" si="49">IF($O470="","",$O470*$R470)</x:f>
        <x:v>1483140</x:v>
      </x:c>
      <x:c r="V470" s="4" t="n">
        <x:f t="shared" si="50">IF($P470="","",$P470*$S470)</x:f>
        <x:v>42121.2</x:v>
      </x:c>
      <x:c r="W470" s="4" t="n">
        <x:f t="shared" si="51">IF($Q470="","",$Q470*$T470)</x:f>
        <x:v>28629</x:v>
      </x:c>
      <x:c r="X470" s="4" t="n">
        <x:f>IFERROR(INDEX('参数'!$B$5:$B$7,MATCH($N470,'参数'!$A$5:$A$7,0)),"")</x:f>
        <x:v>1.5</x:v>
      </x:c>
      <x:c r="Y470" s="4" t="n">
        <x:f>IFERROR(INDEX('参数'!$C$5:$C$7,MATCH($N470,'参数'!$A$5:$A$7,0)),"")</x:f>
        <x:v>1</x:v>
      </x:c>
      <x:c r="Z470" s="4" t="n">
        <x:f>IFERROR(INDEX('参数'!$D$5:$D$7,MATCH($N470,'参数'!$A$5:$A$7,0)),"")</x:f>
        <x:v>1.5</x:v>
      </x:c>
      <x:c r="AA470" s="4" t="n">
        <x:f>IFERROR(INDEX('楼层配置'!$E$5:$E$104,MATCH($K470,'楼层配置'!$B$5:$B$104,0)),1)</x:f>
        <x:v>1.1318222688423305</x:v>
      </x:c>
      <x:c r="AB470" s="4" t="n">
        <x:f>IFERROR(INDEX('楼层配置'!$F$5:$F$104,MATCH($K470,'楼层配置'!$B$5:$B$104,0)),1)</x:f>
        <x:v>0.7256966948681817</x:v>
      </x:c>
      <x:c r="AC470" s="4" t="n">
        <x:f>IFERROR(INDEX('楼层配置'!$G$5:$G$104,MATCH($K470,'楼层配置'!$B$5:$B$104,0)),1)</x:f>
        <x:v>1</x:v>
      </x:c>
      <x:c r="AD470" s="6" t="n">
        <x:f t="shared" si="52">IFERROR($D470/$G470-1,"")</x:f>
        <x:v>-0.5774611820224969</x:v>
      </x:c>
      <x:c r="AE470" s="6" t="n">
        <x:f t="shared" si="53">IFERROR($E470/$H470-1,"")</x:f>
        <x:v>-0.41799314546839295</x:v>
      </x:c>
      <x:c r="AF470" s="6" t="n">
        <x:f t="shared" si="54">IFERROR($F470/$I470-1,"")</x:f>
        <x:v>-0.1006492146596859</x:v>
      </x:c>
      <x:c r="AG470" s="4" t="str">
        <x:f t="shared" si="55">IF(AND($A470&gt;=1,$L470&gt;=1,$L470&lt;=500,OR($N470="Tank",$N470="DPS",$N470="Support"),ISNUMBER($D470),ISNUMBER($E470),ISNUMBER($F470)),"有效","异常")</x:f>
        <x:v>有效</x:v>
      </x:c>
      <x:c r="AH470" t="n">
        <x:f>D470/(1-MIN(0.75,F470/(24000+F470)))</x:f>
        <x:v>7023474.389333333</x:v>
      </x:c>
    </x:row>
    <x:row r="471" ht="14.25" customHeight="1">
      <x:c r="A471" s="4">
        <x:v>467</x:v>
      </x:c>
      <x:c r="B471" s="4">
        <x:v>1008</x:v>
      </x:c>
      <x:c r="C471" s="4">
        <x:v>57</x:v>
      </x:c>
      <x:c r="D471" s="5" t="n">
        <x:f>IFERROR(ROUND($U471*$X471*$AA471*'参数'!$B$13,0),"")</x:f>
        <x:v>1678651</x:v>
      </x:c>
      <x:c r="E471" s="5" t="n">
        <x:f>IFERROR(ROUND($V471*$Y471*$AB471*'参数'!$C$13,0),"")</x:f>
        <x:v>36681</x:v>
      </x:c>
      <x:c r="F471" s="5" t="n">
        <x:f>IFERROR(ROUND($W471*$Z471*$AC471*'参数'!$D$13,0),"")</x:f>
        <x:v>28629</x:v>
      </x:c>
      <x:c r="G471" s="4">
        <x:v>3972772</x:v>
      </x:c>
      <x:c r="H471" s="4">
        <x:v>63024</x:v>
      </x:c>
      <x:c r="I471" s="4">
        <x:v>31833</x:v>
      </x:c>
      <x:c r="J471" s="4">
        <x:v>94</x:v>
      </x:c>
      <x:c r="K471" s="4">
        <x:v>94</x:v>
      </x:c>
      <x:c r="L471" s="4" t="n">
        <x:f>IFERROR(INDEX('楼层配置'!$D$5:$D$104,MATCH($K471,'楼层配置'!$B$5:$B$104,0)),"")</x:f>
        <x:v>273</x:v>
      </x:c>
      <x:c r="M471" s="4" t="str">
        <x:f>IFERROR(INDEX('_角色基线'!$B$2:$B$100,MATCH($B471,'_角色基线'!$A$2:$A$100,0)),"")</x:f>
        <x:v>薇</x:v>
      </x:c>
      <x:c r="N471" s="4" t="str">
        <x:f>IFERROR(INDEX('_角色基线'!$C$2:$C$100,MATCH($B471,'_角色基线'!$A$2:$A$100,0)),"")</x:f>
        <x:v>DPS</x:v>
      </x:c>
      <x:c r="O471" s="4" t="n">
        <x:f>IFERROR(INDEX('_怪物基线'!$B$2:$B$501,MATCH(INT($L471),'_怪物基线'!$A$2:$A$501,0)),"")</x:f>
        <x:v>370785</x:v>
      </x:c>
      <x:c r="P471" s="4" t="n">
        <x:f>IFERROR(INDEX('_怪物基线'!$C$2:$C$501,MATCH(INT($L471),'_怪物基线'!$A$2:$A$501,0)),"")</x:f>
        <x:v>35101</x:v>
      </x:c>
      <x:c r="Q471" s="4" t="n">
        <x:f>IFERROR(INDEX('_怪物基线'!$D$2:$D$501,MATCH(INT($L471),'_怪物基线'!$A$2:$A$501,0)),"")</x:f>
        <x:v>28629</x:v>
      </x:c>
      <x:c r="R471" s="4" t="n">
        <x:f>'参数'!$B$10</x:f>
        <x:v>4</x:v>
      </x:c>
      <x:c r="S471" s="4" t="n">
        <x:f>'参数'!$C$10</x:f>
        <x:v>1.2</x:v>
      </x:c>
      <x:c r="T471" s="4" t="n">
        <x:f>'参数'!$D$10</x:f>
        <x:v>1</x:v>
      </x:c>
      <x:c r="U471" s="4" t="n">
        <x:f t="shared" si="49">IF($O471="","",$O471*$R471)</x:f>
        <x:v>1483140</x:v>
      </x:c>
      <x:c r="V471" s="4" t="n">
        <x:f t="shared" si="50">IF($P471="","",$P471*$S471)</x:f>
        <x:v>42121.2</x:v>
      </x:c>
      <x:c r="W471" s="4" t="n">
        <x:f t="shared" si="51">IF($Q471="","",$Q471*$T471)</x:f>
        <x:v>28629</x:v>
      </x:c>
      <x:c r="X471" s="4" t="n">
        <x:f>IFERROR(INDEX('参数'!$B$5:$B$7,MATCH($N471,'参数'!$A$5:$A$7,0)),"")</x:f>
        <x:v>1</x:v>
      </x:c>
      <x:c r="Y471" s="4" t="n">
        <x:f>IFERROR(INDEX('参数'!$C$5:$C$7,MATCH($N471,'参数'!$A$5:$A$7,0)),"")</x:f>
        <x:v>1.2</x:v>
      </x:c>
      <x:c r="Z471" s="4" t="n">
        <x:f>IFERROR(INDEX('参数'!$D$5:$D$7,MATCH($N471,'参数'!$A$5:$A$7,0)),"")</x:f>
        <x:v>1</x:v>
      </x:c>
      <x:c r="AA471" s="4" t="n">
        <x:f>IFERROR(INDEX('楼层配置'!$E$5:$E$104,MATCH($K471,'楼层配置'!$B$5:$B$104,0)),1)</x:f>
        <x:v>1.1318222688423305</x:v>
      </x:c>
      <x:c r="AB471" s="4" t="n">
        <x:f>IFERROR(INDEX('楼层配置'!$F$5:$F$104,MATCH($K471,'楼层配置'!$B$5:$B$104,0)),1)</x:f>
        <x:v>0.7256966948681817</x:v>
      </x:c>
      <x:c r="AC471" s="4" t="n">
        <x:f>IFERROR(INDEX('楼层配置'!$G$5:$G$104,MATCH($K471,'楼层配置'!$B$5:$B$104,0)),1)</x:f>
        <x:v>1</x:v>
      </x:c>
      <x:c r="AD471" s="6" t="n">
        <x:f t="shared" si="52">IFERROR($D471/$G471-1,"")</x:f>
        <x:v>-0.5774610272122337</x:v>
      </x:c>
      <x:c r="AE471" s="6" t="n">
        <x:f t="shared" si="53">IFERROR($E471/$H471-1,"")</x:f>
        <x:v>-0.4179836252856055</x:v>
      </x:c>
      <x:c r="AF471" s="6" t="n">
        <x:f t="shared" si="54">IFERROR($F471/$I471-1,"")</x:f>
        <x:v>-0.1006502685891999</x:v>
      </x:c>
      <x:c r="AG471" s="4" t="str">
        <x:f t="shared" si="55">IF(AND($A471&gt;=1,$L471&gt;=1,$L471&lt;=500,OR($N471="Tank",$N471="DPS",$N471="Support"),ISNUMBER($D471),ISNUMBER($E471),ISNUMBER($F471)),"有效","异常")</x:f>
        <x:v>有效</x:v>
      </x:c>
      <x:c r="AH471" t="n">
        <x:f>D471/(1-MIN(0.75,F471/(24000+F471)))</x:f>
        <x:v>3681071.8116249996</x:v>
      </x:c>
    </x:row>
    <x:row r="472" ht="14.25" customHeight="1">
      <x:c r="A472" s="4">
        <x:v>468</x:v>
      </x:c>
      <x:c r="B472" s="4">
        <x:v>1006</x:v>
      </x:c>
      <x:c r="C472" s="4">
        <x:v>57</x:v>
      </x:c>
      <x:c r="D472" s="5" t="n">
        <x:f>IFERROR(ROUND($U472*$X472*$AA472*'参数'!$B$13,0),"")</x:f>
        <x:v>1678651</x:v>
      </x:c>
      <x:c r="E472" s="5" t="n">
        <x:f>IFERROR(ROUND($V472*$Y472*$AB472*'参数'!$C$13,0),"")</x:f>
        <x:v>36681</x:v>
      </x:c>
      <x:c r="F472" s="5" t="n">
        <x:f>IFERROR(ROUND($W472*$Z472*$AC472*'参数'!$D$13,0),"")</x:f>
        <x:v>28629</x:v>
      </x:c>
      <x:c r="G472" s="4">
        <x:v>3972772</x:v>
      </x:c>
      <x:c r="H472" s="4">
        <x:v>63024</x:v>
      </x:c>
      <x:c r="I472" s="4">
        <x:v>31833</x:v>
      </x:c>
      <x:c r="J472" s="4">
        <x:v>94</x:v>
      </x:c>
      <x:c r="K472" s="4">
        <x:v>94</x:v>
      </x:c>
      <x:c r="L472" s="4" t="n">
        <x:f>IFERROR(INDEX('楼层配置'!$D$5:$D$104,MATCH($K472,'楼层配置'!$B$5:$B$104,0)),"")</x:f>
        <x:v>273</x:v>
      </x:c>
      <x:c r="M472" s="4" t="str">
        <x:f>IFERROR(INDEX('_角色基线'!$B$2:$B$100,MATCH($B472,'_角色基线'!$A$2:$A$100,0)),"")</x:f>
        <x:v>莉莉娅</x:v>
      </x:c>
      <x:c r="N472" s="4" t="str">
        <x:f>IFERROR(INDEX('_角色基线'!$C$2:$C$100,MATCH($B472,'_角色基线'!$A$2:$A$100,0)),"")</x:f>
        <x:v>DPS</x:v>
      </x:c>
      <x:c r="O472" s="4" t="n">
        <x:f>IFERROR(INDEX('_怪物基线'!$B$2:$B$501,MATCH(INT($L472),'_怪物基线'!$A$2:$A$501,0)),"")</x:f>
        <x:v>370785</x:v>
      </x:c>
      <x:c r="P472" s="4" t="n">
        <x:f>IFERROR(INDEX('_怪物基线'!$C$2:$C$501,MATCH(INT($L472),'_怪物基线'!$A$2:$A$501,0)),"")</x:f>
        <x:v>35101</x:v>
      </x:c>
      <x:c r="Q472" s="4" t="n">
        <x:f>IFERROR(INDEX('_怪物基线'!$D$2:$D$501,MATCH(INT($L472),'_怪物基线'!$A$2:$A$501,0)),"")</x:f>
        <x:v>28629</x:v>
      </x:c>
      <x:c r="R472" s="4" t="n">
        <x:f>'参数'!$B$10</x:f>
        <x:v>4</x:v>
      </x:c>
      <x:c r="S472" s="4" t="n">
        <x:f>'参数'!$C$10</x:f>
        <x:v>1.2</x:v>
      </x:c>
      <x:c r="T472" s="4" t="n">
        <x:f>'参数'!$D$10</x:f>
        <x:v>1</x:v>
      </x:c>
      <x:c r="U472" s="4" t="n">
        <x:f t="shared" si="49">IF($O472="","",$O472*$R472)</x:f>
        <x:v>1483140</x:v>
      </x:c>
      <x:c r="V472" s="4" t="n">
        <x:f t="shared" si="50">IF($P472="","",$P472*$S472)</x:f>
        <x:v>42121.2</x:v>
      </x:c>
      <x:c r="W472" s="4" t="n">
        <x:f t="shared" si="51">IF($Q472="","",$Q472*$T472)</x:f>
        <x:v>28629</x:v>
      </x:c>
      <x:c r="X472" s="4" t="n">
        <x:f>IFERROR(INDEX('参数'!$B$5:$B$7,MATCH($N472,'参数'!$A$5:$A$7,0)),"")</x:f>
        <x:v>1</x:v>
      </x:c>
      <x:c r="Y472" s="4" t="n">
        <x:f>IFERROR(INDEX('参数'!$C$5:$C$7,MATCH($N472,'参数'!$A$5:$A$7,0)),"")</x:f>
        <x:v>1.2</x:v>
      </x:c>
      <x:c r="Z472" s="4" t="n">
        <x:f>IFERROR(INDEX('参数'!$D$5:$D$7,MATCH($N472,'参数'!$A$5:$A$7,0)),"")</x:f>
        <x:v>1</x:v>
      </x:c>
      <x:c r="AA472" s="4" t="n">
        <x:f>IFERROR(INDEX('楼层配置'!$E$5:$E$104,MATCH($K472,'楼层配置'!$B$5:$B$104,0)),1)</x:f>
        <x:v>1.1318222688423305</x:v>
      </x:c>
      <x:c r="AB472" s="4" t="n">
        <x:f>IFERROR(INDEX('楼层配置'!$F$5:$F$104,MATCH($K472,'楼层配置'!$B$5:$B$104,0)),1)</x:f>
        <x:v>0.7256966948681817</x:v>
      </x:c>
      <x:c r="AC472" s="4" t="n">
        <x:f>IFERROR(INDEX('楼层配置'!$G$5:$G$104,MATCH($K472,'楼层配置'!$B$5:$B$104,0)),1)</x:f>
        <x:v>1</x:v>
      </x:c>
      <x:c r="AD472" s="6" t="n">
        <x:f t="shared" si="52">IFERROR($D472/$G472-1,"")</x:f>
        <x:v>-0.5774610272122337</x:v>
      </x:c>
      <x:c r="AE472" s="6" t="n">
        <x:f t="shared" si="53">IFERROR($E472/$H472-1,"")</x:f>
        <x:v>-0.4179836252856055</x:v>
      </x:c>
      <x:c r="AF472" s="6" t="n">
        <x:f t="shared" si="54">IFERROR($F472/$I472-1,"")</x:f>
        <x:v>-0.1006502685891999</x:v>
      </x:c>
      <x:c r="AG472" s="4" t="str">
        <x:f t="shared" si="55">IF(AND($A472&gt;=1,$L472&gt;=1,$L472&lt;=500,OR($N472="Tank",$N472="DPS",$N472="Support"),ISNUMBER($D472),ISNUMBER($E472),ISNUMBER($F472)),"有效","异常")</x:f>
        <x:v>有效</x:v>
      </x:c>
      <x:c r="AH472" t="n">
        <x:f>D472/(1-MIN(0.75,F472/(24000+F472)))</x:f>
        <x:v>3681071.8116249996</x:v>
      </x:c>
    </x:row>
    <x:row r="473" ht="14.25" customHeight="1">
      <x:c r="A473" s="4">
        <x:v>469</x:v>
      </x:c>
      <x:c r="B473" s="4">
        <x:v>1005</x:v>
      </x:c>
      <x:c r="C473" s="4">
        <x:v>57</x:v>
      </x:c>
      <x:c r="D473" s="5" t="n">
        <x:f>IFERROR(ROUND($U473*$X473*$AA473*'参数'!$B$13,0),"")</x:f>
        <x:v>1678651</x:v>
      </x:c>
      <x:c r="E473" s="5" t="n">
        <x:f>IFERROR(ROUND($V473*$Y473*$AB473*'参数'!$C$13,0),"")</x:f>
        <x:v>36681</x:v>
      </x:c>
      <x:c r="F473" s="5" t="n">
        <x:f>IFERROR(ROUND($W473*$Z473*$AC473*'参数'!$D$13,0),"")</x:f>
        <x:v>28629</x:v>
      </x:c>
      <x:c r="G473" s="4">
        <x:v>3972772</x:v>
      </x:c>
      <x:c r="H473" s="4">
        <x:v>63024</x:v>
      </x:c>
      <x:c r="I473" s="4">
        <x:v>31833</x:v>
      </x:c>
      <x:c r="J473" s="4">
        <x:v>94</x:v>
      </x:c>
      <x:c r="K473" s="4">
        <x:v>94</x:v>
      </x:c>
      <x:c r="L473" s="4" t="n">
        <x:f>IFERROR(INDEX('楼层配置'!$D$5:$D$104,MATCH($K473,'楼层配置'!$B$5:$B$104,0)),"")</x:f>
        <x:v>273</x:v>
      </x:c>
      <x:c r="M473" s="4" t="str">
        <x:f>IFERROR(INDEX('_角色基线'!$B$2:$B$100,MATCH($B473,'_角色基线'!$A$2:$A$100,0)),"")</x:f>
        <x:v>陈单单</x:v>
      </x:c>
      <x:c r="N473" s="4" t="str">
        <x:f>IFERROR(INDEX('_角色基线'!$C$2:$C$100,MATCH($B473,'_角色基线'!$A$2:$A$100,0)),"")</x:f>
        <x:v>DPS</x:v>
      </x:c>
      <x:c r="O473" s="4" t="n">
        <x:f>IFERROR(INDEX('_怪物基线'!$B$2:$B$501,MATCH(INT($L473),'_怪物基线'!$A$2:$A$501,0)),"")</x:f>
        <x:v>370785</x:v>
      </x:c>
      <x:c r="P473" s="4" t="n">
        <x:f>IFERROR(INDEX('_怪物基线'!$C$2:$C$501,MATCH(INT($L473),'_怪物基线'!$A$2:$A$501,0)),"")</x:f>
        <x:v>35101</x:v>
      </x:c>
      <x:c r="Q473" s="4" t="n">
        <x:f>IFERROR(INDEX('_怪物基线'!$D$2:$D$501,MATCH(INT($L473),'_怪物基线'!$A$2:$A$501,0)),"")</x:f>
        <x:v>28629</x:v>
      </x:c>
      <x:c r="R473" s="4" t="n">
        <x:f>'参数'!$B$10</x:f>
        <x:v>4</x:v>
      </x:c>
      <x:c r="S473" s="4" t="n">
        <x:f>'参数'!$C$10</x:f>
        <x:v>1.2</x:v>
      </x:c>
      <x:c r="T473" s="4" t="n">
        <x:f>'参数'!$D$10</x:f>
        <x:v>1</x:v>
      </x:c>
      <x:c r="U473" s="4" t="n">
        <x:f t="shared" si="49">IF($O473="","",$O473*$R473)</x:f>
        <x:v>1483140</x:v>
      </x:c>
      <x:c r="V473" s="4" t="n">
        <x:f t="shared" si="50">IF($P473="","",$P473*$S473)</x:f>
        <x:v>42121.2</x:v>
      </x:c>
      <x:c r="W473" s="4" t="n">
        <x:f t="shared" si="51">IF($Q473="","",$Q473*$T473)</x:f>
        <x:v>28629</x:v>
      </x:c>
      <x:c r="X473" s="4" t="n">
        <x:f>IFERROR(INDEX('参数'!$B$5:$B$7,MATCH($N473,'参数'!$A$5:$A$7,0)),"")</x:f>
        <x:v>1</x:v>
      </x:c>
      <x:c r="Y473" s="4" t="n">
        <x:f>IFERROR(INDEX('参数'!$C$5:$C$7,MATCH($N473,'参数'!$A$5:$A$7,0)),"")</x:f>
        <x:v>1.2</x:v>
      </x:c>
      <x:c r="Z473" s="4" t="n">
        <x:f>IFERROR(INDEX('参数'!$D$5:$D$7,MATCH($N473,'参数'!$A$5:$A$7,0)),"")</x:f>
        <x:v>1</x:v>
      </x:c>
      <x:c r="AA473" s="4" t="n">
        <x:f>IFERROR(INDEX('楼层配置'!$E$5:$E$104,MATCH($K473,'楼层配置'!$B$5:$B$104,0)),1)</x:f>
        <x:v>1.1318222688423305</x:v>
      </x:c>
      <x:c r="AB473" s="4" t="n">
        <x:f>IFERROR(INDEX('楼层配置'!$F$5:$F$104,MATCH($K473,'楼层配置'!$B$5:$B$104,0)),1)</x:f>
        <x:v>0.7256966948681817</x:v>
      </x:c>
      <x:c r="AC473" s="4" t="n">
        <x:f>IFERROR(INDEX('楼层配置'!$G$5:$G$104,MATCH($K473,'楼层配置'!$B$5:$B$104,0)),1)</x:f>
        <x:v>1</x:v>
      </x:c>
      <x:c r="AD473" s="6" t="n">
        <x:f t="shared" si="52">IFERROR($D473/$G473-1,"")</x:f>
        <x:v>-0.5774610272122337</x:v>
      </x:c>
      <x:c r="AE473" s="6" t="n">
        <x:f t="shared" si="53">IFERROR($E473/$H473-1,"")</x:f>
        <x:v>-0.4179836252856055</x:v>
      </x:c>
      <x:c r="AF473" s="6" t="n">
        <x:f t="shared" si="54">IFERROR($F473/$I473-1,"")</x:f>
        <x:v>-0.1006502685891999</x:v>
      </x:c>
      <x:c r="AG473" s="4" t="str">
        <x:f t="shared" si="55">IF(AND($A473&gt;=1,$L473&gt;=1,$L473&lt;=500,OR($N473="Tank",$N473="DPS",$N473="Support"),ISNUMBER($D473),ISNUMBER($E473),ISNUMBER($F473)),"有效","异常")</x:f>
        <x:v>有效</x:v>
      </x:c>
      <x:c r="AH473" t="n">
        <x:f>D473/(1-MIN(0.75,F473/(24000+F473)))</x:f>
        <x:v>3681071.8116249996</x:v>
      </x:c>
    </x:row>
    <x:row r="474" ht="14.25" customHeight="1">
      <x:c r="A474" s="4">
        <x:v>470</x:v>
      </x:c>
      <x:c r="B474" s="4">
        <x:v>1007</x:v>
      </x:c>
      <x:c r="C474" s="4">
        <x:v>57</x:v>
      </x:c>
      <x:c r="D474" s="5" t="n">
        <x:f>IFERROR(ROUND($U474*$X474*$AA474*'参数'!$B$13,0),"")</x:f>
        <x:v>2098314</x:v>
      </x:c>
      <x:c r="E474" s="5" t="n">
        <x:f>IFERROR(ROUND($V474*$Y474*$AB474*'参数'!$C$13,0),"")</x:f>
        <x:v>30567</x:v>
      </x:c>
      <x:c r="F474" s="5" t="n">
        <x:f>IFERROR(ROUND($W474*$Z474*$AC474*'参数'!$D$13,0),"")</x:f>
        <x:v>35786</x:v>
      </x:c>
      <x:c r="G474" s="4">
        <x:v>4965966</x:v>
      </x:c>
      <x:c r="H474" s="4">
        <x:v>52520</x:v>
      </x:c>
      <x:c r="I474" s="4">
        <x:v>39792</x:v>
      </x:c>
      <x:c r="J474" s="4">
        <x:v>94</x:v>
      </x:c>
      <x:c r="K474" s="4">
        <x:v>94</x:v>
      </x:c>
      <x:c r="L474" s="4" t="n">
        <x:f>IFERROR(INDEX('楼层配置'!$D$5:$D$104,MATCH($K474,'楼层配置'!$B$5:$B$104,0)),"")</x:f>
        <x:v>273</x:v>
      </x:c>
      <x:c r="M474" s="4" t="str">
        <x:f>IFERROR(INDEX('_角色基线'!$B$2:$B$100,MATCH($B474,'_角色基线'!$A$2:$A$100,0)),"")</x:f>
        <x:v>萨萨莉安</x:v>
      </x:c>
      <x:c r="N474" s="4" t="str">
        <x:f>IFERROR(INDEX('_角色基线'!$C$2:$C$100,MATCH($B474,'_角色基线'!$A$2:$A$100,0)),"")</x:f>
        <x:v>Support</x:v>
      </x:c>
      <x:c r="O474" s="4" t="n">
        <x:f>IFERROR(INDEX('_怪物基线'!$B$2:$B$501,MATCH(INT($L474),'_怪物基线'!$A$2:$A$501,0)),"")</x:f>
        <x:v>370785</x:v>
      </x:c>
      <x:c r="P474" s="4" t="n">
        <x:f>IFERROR(INDEX('_怪物基线'!$C$2:$C$501,MATCH(INT($L474),'_怪物基线'!$A$2:$A$501,0)),"")</x:f>
        <x:v>35101</x:v>
      </x:c>
      <x:c r="Q474" s="4" t="n">
        <x:f>IFERROR(INDEX('_怪物基线'!$D$2:$D$501,MATCH(INT($L474),'_怪物基线'!$A$2:$A$501,0)),"")</x:f>
        <x:v>28629</x:v>
      </x:c>
      <x:c r="R474" s="4" t="n">
        <x:f>'参数'!$B$10</x:f>
        <x:v>4</x:v>
      </x:c>
      <x:c r="S474" s="4" t="n">
        <x:f>'参数'!$C$10</x:f>
        <x:v>1.2</x:v>
      </x:c>
      <x:c r="T474" s="4" t="n">
        <x:f>'参数'!$D$10</x:f>
        <x:v>1</x:v>
      </x:c>
      <x:c r="U474" s="4" t="n">
        <x:f t="shared" si="49">IF($O474="","",$O474*$R474)</x:f>
        <x:v>1483140</x:v>
      </x:c>
      <x:c r="V474" s="4" t="n">
        <x:f t="shared" si="50">IF($P474="","",$P474*$S474)</x:f>
        <x:v>42121.2</x:v>
      </x:c>
      <x:c r="W474" s="4" t="n">
        <x:f t="shared" si="51">IF($Q474="","",$Q474*$T474)</x:f>
        <x:v>28629</x:v>
      </x:c>
      <x:c r="X474" s="4" t="n">
        <x:f>IFERROR(INDEX('参数'!$B$5:$B$7,MATCH($N474,'参数'!$A$5:$A$7,0)),"")</x:f>
        <x:v>1.25</x:v>
      </x:c>
      <x:c r="Y474" s="4" t="n">
        <x:f>IFERROR(INDEX('参数'!$C$5:$C$7,MATCH($N474,'参数'!$A$5:$A$7,0)),"")</x:f>
        <x:v>1</x:v>
      </x:c>
      <x:c r="Z474" s="4" t="n">
        <x:f>IFERROR(INDEX('参数'!$D$5:$D$7,MATCH($N474,'参数'!$A$5:$A$7,0)),"")</x:f>
        <x:v>1.25</x:v>
      </x:c>
      <x:c r="AA474" s="4" t="n">
        <x:f>IFERROR(INDEX('楼层配置'!$E$5:$E$104,MATCH($K474,'楼层配置'!$B$5:$B$104,0)),1)</x:f>
        <x:v>1.1318222688423305</x:v>
      </x:c>
      <x:c r="AB474" s="4" t="n">
        <x:f>IFERROR(INDEX('楼层配置'!$F$5:$F$104,MATCH($K474,'楼层配置'!$B$5:$B$104,0)),1)</x:f>
        <x:v>0.7256966948681817</x:v>
      </x:c>
      <x:c r="AC474" s="4" t="n">
        <x:f>IFERROR(INDEX('楼层配置'!$G$5:$G$104,MATCH($K474,'楼层配置'!$B$5:$B$104,0)),1)</x:f>
        <x:v>1</x:v>
      </x:c>
      <x:c r="AD474" s="6" t="n">
        <x:f t="shared" si="52">IFERROR($D474/$G474-1,"")</x:f>
        <x:v>-0.5774610619565257</x:v>
      </x:c>
      <x:c r="AE474" s="6" t="n">
        <x:f t="shared" si="53">IFERROR($E474/$H474-1,"")</x:f>
        <x:v>-0.41799314546839295</x:v>
      </x:c>
      <x:c r="AF474" s="6" t="n">
        <x:f t="shared" si="54">IFERROR($F474/$I474-1,"")</x:f>
        <x:v>-0.10067350221149984</x:v>
      </x:c>
      <x:c r="AG474" s="4" t="str">
        <x:f t="shared" si="55">IF(AND($A474&gt;=1,$L474&gt;=1,$L474&lt;=500,OR($N474="Tank",$N474="DPS",$N474="Support"),ISNUMBER($D474),ISNUMBER($E474),ISNUMBER($F474)),"有效","异常")</x:f>
        <x:v>有效</x:v>
      </x:c>
      <x:c r="AH474" t="n">
        <x:f>D474/(1-MIN(0.75,F474/(24000+F474)))</x:f>
        <x:v>5227075.0335</x:v>
      </x:c>
    </x:row>
    <x:row r="475" ht="14.25" customHeight="1">
      <x:c r="A475" s="4">
        <x:v>471</x:v>
      </x:c>
      <x:c r="B475" s="4">
        <x:v>1003</x:v>
      </x:c>
      <x:c r="C475" s="4">
        <x:v>57</x:v>
      </x:c>
      <x:c r="D475" s="5" t="n">
        <x:f>IFERROR(ROUND($U475*$X475*$AA475*'参数'!$B$13,0),"")</x:f>
        <x:v>2541395</x:v>
      </x:c>
      <x:c r="E475" s="5" t="n">
        <x:f>IFERROR(ROUND($V475*$Y475*$AB475*'参数'!$C$13,0),"")</x:f>
        <x:v>30836</x:v>
      </x:c>
      <x:c r="F475" s="5" t="n">
        <x:f>IFERROR(ROUND($W475*$Z475*$AC475*'参数'!$D$13,0),"")</x:f>
        <x:v>43148</x:v>
      </x:c>
      <x:c r="G475" s="4">
        <x:v>6137373</x:v>
      </x:c>
      <x:c r="H475" s="4">
        <x:v>53860</x:v>
      </x:c>
      <x:c r="I475" s="4">
        <x:v>48452</x:v>
      </x:c>
      <x:c r="J475" s="4">
        <x:v>95</x:v>
      </x:c>
      <x:c r="K475" s="4">
        <x:v>95</x:v>
      </x:c>
      <x:c r="L475" s="4" t="n">
        <x:f>IFERROR(INDEX('楼层配置'!$D$5:$D$104,MATCH($K475,'楼层配置'!$B$5:$B$104,0)),"")</x:f>
        <x:v>274</x:v>
      </x:c>
      <x:c r="M475" s="4" t="str">
        <x:f>IFERROR(INDEX('_角色基线'!$B$2:$B$100,MATCH($B475,'_角色基线'!$A$2:$A$100,0)),"")</x:f>
        <x:v>塔拉夏</x:v>
      </x:c>
      <x:c r="N475" s="4" t="str">
        <x:f>IFERROR(INDEX('_角色基线'!$C$2:$C$100,MATCH($B475,'_角色基线'!$A$2:$A$100,0)),"")</x:f>
        <x:v>Tank</x:v>
      </x:c>
      <x:c r="O475" s="4" t="n">
        <x:f>IFERROR(INDEX('_怪物基线'!$B$2:$B$501,MATCH(INT($L475),'_怪物基线'!$A$2:$A$501,0)),"")</x:f>
        <x:v>374479</x:v>
      </x:c>
      <x:c r="P475" s="4" t="n">
        <x:f>IFERROR(INDEX('_怪物基线'!$C$2:$C$501,MATCH(INT($L475),'_怪物基线'!$A$2:$A$501,0)),"")</x:f>
        <x:v>35362</x:v>
      </x:c>
      <x:c r="Q475" s="4" t="n">
        <x:f>IFERROR(INDEX('_怪物基线'!$D$2:$D$501,MATCH(INT($L475),'_怪物基线'!$A$2:$A$501,0)),"")</x:f>
        <x:v>28765</x:v>
      </x:c>
      <x:c r="R475" s="4" t="n">
        <x:f>'参数'!$B$10</x:f>
        <x:v>4</x:v>
      </x:c>
      <x:c r="S475" s="4" t="n">
        <x:f>'参数'!$C$10</x:f>
        <x:v>1.2</x:v>
      </x:c>
      <x:c r="T475" s="4" t="n">
        <x:f>'参数'!$D$10</x:f>
        <x:v>1</x:v>
      </x:c>
      <x:c r="U475" s="4" t="n">
        <x:f t="shared" si="49">IF($O475="","",$O475*$R475)</x:f>
        <x:v>1497916</x:v>
      </x:c>
      <x:c r="V475" s="4" t="n">
        <x:f t="shared" si="50">IF($P475="","",$P475*$S475)</x:f>
        <x:v>42434.4</x:v>
      </x:c>
      <x:c r="W475" s="4" t="n">
        <x:f t="shared" si="51">IF($Q475="","",$Q475*$T475)</x:f>
        <x:v>28765</x:v>
      </x:c>
      <x:c r="X475" s="4" t="n">
        <x:f>IFERROR(INDEX('参数'!$B$5:$B$7,MATCH($N475,'参数'!$A$5:$A$7,0)),"")</x:f>
        <x:v>1.5</x:v>
      </x:c>
      <x:c r="Y475" s="4" t="n">
        <x:f>IFERROR(INDEX('参数'!$C$5:$C$7,MATCH($N475,'参数'!$A$5:$A$7,0)),"")</x:f>
        <x:v>1</x:v>
      </x:c>
      <x:c r="Z475" s="4" t="n">
        <x:f>IFERROR(INDEX('参数'!$D$5:$D$7,MATCH($N475,'参数'!$A$5:$A$7,0)),"")</x:f>
        <x:v>1.5</x:v>
      </x:c>
      <x:c r="AA475" s="4" t="n">
        <x:f>IFERROR(INDEX('楼层配置'!$E$5:$E$104,MATCH($K475,'楼层配置'!$B$5:$B$104,0)),1)</x:f>
        <x:v>1.1310801559129262</x:v>
      </x:c>
      <x:c r="AB475" s="4" t="n">
        <x:f>IFERROR(INDEX('楼层配置'!$F$5:$F$104,MATCH($K475,'楼层配置'!$B$5:$B$104,0)),1)</x:f>
        <x:v>0.7266793097845781</x:v>
      </x:c>
      <x:c r="AC475" s="4" t="n">
        <x:f>IFERROR(INDEX('楼层配置'!$G$5:$G$104,MATCH($K475,'楼层配置'!$B$5:$B$104,0)),1)</x:f>
        <x:v>1</x:v>
      </x:c>
      <x:c r="AD475" s="6" t="n">
        <x:f t="shared" si="52">IFERROR($D475/$G475-1,"")</x:f>
        <x:v>-0.5859148531464521</x:v>
      </x:c>
      <x:c r="AE475" s="6" t="n">
        <x:f t="shared" si="53">IFERROR($E475/$H475-1,"")</x:f>
        <x:v>-0.42747864834756777</x:v>
      </x:c>
      <x:c r="AF475" s="6" t="n">
        <x:f t="shared" si="54">IFERROR($F475/$I475-1,"")</x:f>
        <x:v>-0.1094691653595311</x:v>
      </x:c>
      <x:c r="AG475" s="4" t="str">
        <x:f t="shared" si="55">IF(AND($A475&gt;=1,$L475&gt;=1,$L475&lt;=500,OR($N475="Tank",$N475="DPS",$N475="Support"),ISNUMBER($D475),ISNUMBER($E475),ISNUMBER($F475)),"有效","异常")</x:f>
        <x:v>有效</x:v>
      </x:c>
      <x:c r="AH475" t="n">
        <x:f>D475/(1-MIN(0.75,F475/(24000+F475)))</x:f>
        <x:v>7110399.644166666</x:v>
      </x:c>
    </x:row>
    <x:row r="476" ht="14.25" customHeight="1">
      <x:c r="A476" s="4">
        <x:v>472</x:v>
      </x:c>
      <x:c r="B476" s="4">
        <x:v>1017</x:v>
      </x:c>
      <x:c r="C476" s="4">
        <x:v>57</x:v>
      </x:c>
      <x:c r="D476" s="5" t="n">
        <x:f>IFERROR(ROUND($U476*$X476*$AA476*'参数'!$B$13,0),"")</x:f>
        <x:v>1694263</x:v>
      </x:c>
      <x:c r="E476" s="5" t="n">
        <x:f>IFERROR(ROUND($V476*$Y476*$AB476*'参数'!$C$13,0),"")</x:f>
        <x:v>37003</x:v>
      </x:c>
      <x:c r="F476" s="5" t="n">
        <x:f>IFERROR(ROUND($W476*$Z476*$AC476*'参数'!$D$13,0),"")</x:f>
        <x:v>28765</x:v>
      </x:c>
      <x:c r="G476" s="4">
        <x:v>4091582</x:v>
      </x:c>
      <x:c r="H476" s="4">
        <x:v>64632</x:v>
      </x:c>
      <x:c r="I476" s="4">
        <x:v>32301</x:v>
      </x:c>
      <x:c r="J476" s="4">
        <x:v>95</x:v>
      </x:c>
      <x:c r="K476" s="4">
        <x:v>95</x:v>
      </x:c>
      <x:c r="L476" s="4" t="n">
        <x:f>IFERROR(INDEX('楼层配置'!$D$5:$D$104,MATCH($K476,'楼层配置'!$B$5:$B$104,0)),"")</x:f>
        <x:v>274</x:v>
      </x:c>
      <x:c r="M476" s="4" t="str">
        <x:f>IFERROR(INDEX('_角色基线'!$B$2:$B$100,MATCH($B476,'_角色基线'!$A$2:$A$100,0)),"")</x:f>
        <x:v>伊戈尔</x:v>
      </x:c>
      <x:c r="N476" s="4" t="str">
        <x:f>IFERROR(INDEX('_角色基线'!$C$2:$C$100,MATCH($B476,'_角色基线'!$A$2:$A$100,0)),"")</x:f>
        <x:v>DPS</x:v>
      </x:c>
      <x:c r="O476" s="4" t="n">
        <x:f>IFERROR(INDEX('_怪物基线'!$B$2:$B$501,MATCH(INT($L476),'_怪物基线'!$A$2:$A$501,0)),"")</x:f>
        <x:v>374479</x:v>
      </x:c>
      <x:c r="P476" s="4" t="n">
        <x:f>IFERROR(INDEX('_怪物基线'!$C$2:$C$501,MATCH(INT($L476),'_怪物基线'!$A$2:$A$501,0)),"")</x:f>
        <x:v>35362</x:v>
      </x:c>
      <x:c r="Q476" s="4" t="n">
        <x:f>IFERROR(INDEX('_怪物基线'!$D$2:$D$501,MATCH(INT($L476),'_怪物基线'!$A$2:$A$501,0)),"")</x:f>
        <x:v>28765</x:v>
      </x:c>
      <x:c r="R476" s="4" t="n">
        <x:f>'参数'!$B$10</x:f>
        <x:v>4</x:v>
      </x:c>
      <x:c r="S476" s="4" t="n">
        <x:f>'参数'!$C$10</x:f>
        <x:v>1.2</x:v>
      </x:c>
      <x:c r="T476" s="4" t="n">
        <x:f>'参数'!$D$10</x:f>
        <x:v>1</x:v>
      </x:c>
      <x:c r="U476" s="4" t="n">
        <x:f t="shared" si="49">IF($O476="","",$O476*$R476)</x:f>
        <x:v>1497916</x:v>
      </x:c>
      <x:c r="V476" s="4" t="n">
        <x:f t="shared" si="50">IF($P476="","",$P476*$S476)</x:f>
        <x:v>42434.4</x:v>
      </x:c>
      <x:c r="W476" s="4" t="n">
        <x:f t="shared" si="51">IF($Q476="","",$Q476*$T476)</x:f>
        <x:v>28765</x:v>
      </x:c>
      <x:c r="X476" s="4" t="n">
        <x:f>IFERROR(INDEX('参数'!$B$5:$B$7,MATCH($N476,'参数'!$A$5:$A$7,0)),"")</x:f>
        <x:v>1</x:v>
      </x:c>
      <x:c r="Y476" s="4" t="n">
        <x:f>IFERROR(INDEX('参数'!$C$5:$C$7,MATCH($N476,'参数'!$A$5:$A$7,0)),"")</x:f>
        <x:v>1.2</x:v>
      </x:c>
      <x:c r="Z476" s="4" t="n">
        <x:f>IFERROR(INDEX('参数'!$D$5:$D$7,MATCH($N476,'参数'!$A$5:$A$7,0)),"")</x:f>
        <x:v>1</x:v>
      </x:c>
      <x:c r="AA476" s="4" t="n">
        <x:f>IFERROR(INDEX('楼层配置'!$E$5:$E$104,MATCH($K476,'楼层配置'!$B$5:$B$104,0)),1)</x:f>
        <x:v>1.1310801559129262</x:v>
      </x:c>
      <x:c r="AB476" s="4" t="n">
        <x:f>IFERROR(INDEX('楼层配置'!$F$5:$F$104,MATCH($K476,'楼层配置'!$B$5:$B$104,0)),1)</x:f>
        <x:v>0.7266793097845781</x:v>
      </x:c>
      <x:c r="AC476" s="4" t="n">
        <x:f>IFERROR(INDEX('楼层配置'!$G$5:$G$104,MATCH($K476,'楼层配置'!$B$5:$B$104,0)),1)</x:f>
        <x:v>1</x:v>
      </x:c>
      <x:c r="AD476" s="6" t="n">
        <x:f t="shared" si="52">IFERROR($D476/$G476-1,"")</x:f>
        <x:v>-0.5859149346145329</x:v>
      </x:c>
      <x:c r="AE476" s="6" t="n">
        <x:f t="shared" si="53">IFERROR($E476/$H476-1,"")</x:f>
        <x:v>-0.4274817427899492</x:v>
      </x:c>
      <x:c r="AF476" s="6" t="n">
        <x:f t="shared" si="54">IFERROR($F476/$I476-1,"")</x:f>
        <x:v>-0.10947029503730532</x:v>
      </x:c>
      <x:c r="AG476" s="4" t="str">
        <x:f t="shared" si="55">IF(AND($A476&gt;=1,$L476&gt;=1,$L476&lt;=500,OR($N476="Tank",$N476="DPS",$N476="Support"),ISNUMBER($D476),ISNUMBER($E476),ISNUMBER($F476)),"有效","异常")</x:f>
        <x:v>有效</x:v>
      </x:c>
      <x:c r="AH476" t="n">
        <x:f>D476/(1-MIN(0.75,F476/(24000+F476)))</x:f>
        <x:v>3724907.7997916667</x:v>
      </x:c>
    </x:row>
    <x:row r="477" ht="14.25" customHeight="1">
      <x:c r="A477" s="4">
        <x:v>473</x:v>
      </x:c>
      <x:c r="B477" s="4">
        <x:v>1017</x:v>
      </x:c>
      <x:c r="C477" s="4">
        <x:v>57</x:v>
      </x:c>
      <x:c r="D477" s="5" t="n">
        <x:f>IFERROR(ROUND($U477*$X477*$AA477*'参数'!$B$13,0),"")</x:f>
        <x:v>1694263</x:v>
      </x:c>
      <x:c r="E477" s="5" t="n">
        <x:f>IFERROR(ROUND($V477*$Y477*$AB477*'参数'!$C$13,0),"")</x:f>
        <x:v>37003</x:v>
      </x:c>
      <x:c r="F477" s="5" t="n">
        <x:f>IFERROR(ROUND($W477*$Z477*$AC477*'参数'!$D$13,0),"")</x:f>
        <x:v>28765</x:v>
      </x:c>
      <x:c r="G477" s="4">
        <x:v>4091582</x:v>
      </x:c>
      <x:c r="H477" s="4">
        <x:v>64632</x:v>
      </x:c>
      <x:c r="I477" s="4">
        <x:v>32301</x:v>
      </x:c>
      <x:c r="J477" s="4">
        <x:v>95</x:v>
      </x:c>
      <x:c r="K477" s="4">
        <x:v>95</x:v>
      </x:c>
      <x:c r="L477" s="4" t="n">
        <x:f>IFERROR(INDEX('楼层配置'!$D$5:$D$104,MATCH($K477,'楼层配置'!$B$5:$B$104,0)),"")</x:f>
        <x:v>274</x:v>
      </x:c>
      <x:c r="M477" s="4" t="str">
        <x:f>IFERROR(INDEX('_角色基线'!$B$2:$B$100,MATCH($B477,'_角色基线'!$A$2:$A$100,0)),"")</x:f>
        <x:v>伊戈尔</x:v>
      </x:c>
      <x:c r="N477" s="4" t="str">
        <x:f>IFERROR(INDEX('_角色基线'!$C$2:$C$100,MATCH($B477,'_角色基线'!$A$2:$A$100,0)),"")</x:f>
        <x:v>DPS</x:v>
      </x:c>
      <x:c r="O477" s="4" t="n">
        <x:f>IFERROR(INDEX('_怪物基线'!$B$2:$B$501,MATCH(INT($L477),'_怪物基线'!$A$2:$A$501,0)),"")</x:f>
        <x:v>374479</x:v>
      </x:c>
      <x:c r="P477" s="4" t="n">
        <x:f>IFERROR(INDEX('_怪物基线'!$C$2:$C$501,MATCH(INT($L477),'_怪物基线'!$A$2:$A$501,0)),"")</x:f>
        <x:v>35362</x:v>
      </x:c>
      <x:c r="Q477" s="4" t="n">
        <x:f>IFERROR(INDEX('_怪物基线'!$D$2:$D$501,MATCH(INT($L477),'_怪物基线'!$A$2:$A$501,0)),"")</x:f>
        <x:v>28765</x:v>
      </x:c>
      <x:c r="R477" s="4" t="n">
        <x:f>'参数'!$B$10</x:f>
        <x:v>4</x:v>
      </x:c>
      <x:c r="S477" s="4" t="n">
        <x:f>'参数'!$C$10</x:f>
        <x:v>1.2</x:v>
      </x:c>
      <x:c r="T477" s="4" t="n">
        <x:f>'参数'!$D$10</x:f>
        <x:v>1</x:v>
      </x:c>
      <x:c r="U477" s="4" t="n">
        <x:f t="shared" si="49">IF($O477="","",$O477*$R477)</x:f>
        <x:v>1497916</x:v>
      </x:c>
      <x:c r="V477" s="4" t="n">
        <x:f t="shared" si="50">IF($P477="","",$P477*$S477)</x:f>
        <x:v>42434.4</x:v>
      </x:c>
      <x:c r="W477" s="4" t="n">
        <x:f t="shared" si="51">IF($Q477="","",$Q477*$T477)</x:f>
        <x:v>28765</x:v>
      </x:c>
      <x:c r="X477" s="4" t="n">
        <x:f>IFERROR(INDEX('参数'!$B$5:$B$7,MATCH($N477,'参数'!$A$5:$A$7,0)),"")</x:f>
        <x:v>1</x:v>
      </x:c>
      <x:c r="Y477" s="4" t="n">
        <x:f>IFERROR(INDEX('参数'!$C$5:$C$7,MATCH($N477,'参数'!$A$5:$A$7,0)),"")</x:f>
        <x:v>1.2</x:v>
      </x:c>
      <x:c r="Z477" s="4" t="n">
        <x:f>IFERROR(INDEX('参数'!$D$5:$D$7,MATCH($N477,'参数'!$A$5:$A$7,0)),"")</x:f>
        <x:v>1</x:v>
      </x:c>
      <x:c r="AA477" s="4" t="n">
        <x:f>IFERROR(INDEX('楼层配置'!$E$5:$E$104,MATCH($K477,'楼层配置'!$B$5:$B$104,0)),1)</x:f>
        <x:v>1.1310801559129262</x:v>
      </x:c>
      <x:c r="AB477" s="4" t="n">
        <x:f>IFERROR(INDEX('楼层配置'!$F$5:$F$104,MATCH($K477,'楼层配置'!$B$5:$B$104,0)),1)</x:f>
        <x:v>0.7266793097845781</x:v>
      </x:c>
      <x:c r="AC477" s="4" t="n">
        <x:f>IFERROR(INDEX('楼层配置'!$G$5:$G$104,MATCH($K477,'楼层配置'!$B$5:$B$104,0)),1)</x:f>
        <x:v>1</x:v>
      </x:c>
      <x:c r="AD477" s="6" t="n">
        <x:f t="shared" si="52">IFERROR($D477/$G477-1,"")</x:f>
        <x:v>-0.5859149346145329</x:v>
      </x:c>
      <x:c r="AE477" s="6" t="n">
        <x:f t="shared" si="53">IFERROR($E477/$H477-1,"")</x:f>
        <x:v>-0.4274817427899492</x:v>
      </x:c>
      <x:c r="AF477" s="6" t="n">
        <x:f t="shared" si="54">IFERROR($F477/$I477-1,"")</x:f>
        <x:v>-0.10947029503730532</x:v>
      </x:c>
      <x:c r="AG477" s="4" t="str">
        <x:f t="shared" si="55">IF(AND($A477&gt;=1,$L477&gt;=1,$L477&lt;=500,OR($N477="Tank",$N477="DPS",$N477="Support"),ISNUMBER($D477),ISNUMBER($E477),ISNUMBER($F477)),"有效","异常")</x:f>
        <x:v>有效</x:v>
      </x:c>
      <x:c r="AH477" t="n">
        <x:f>D477/(1-MIN(0.75,F477/(24000+F477)))</x:f>
        <x:v>3724907.7997916667</x:v>
      </x:c>
    </x:row>
    <x:row r="478" ht="14.25" customHeight="1">
      <x:c r="A478" s="4">
        <x:v>474</x:v>
      </x:c>
      <x:c r="B478" s="4">
        <x:v>1017</x:v>
      </x:c>
      <x:c r="C478" s="4">
        <x:v>57</x:v>
      </x:c>
      <x:c r="D478" s="5" t="n">
        <x:f>IFERROR(ROUND($U478*$X478*$AA478*'参数'!$B$13,0),"")</x:f>
        <x:v>1694263</x:v>
      </x:c>
      <x:c r="E478" s="5" t="n">
        <x:f>IFERROR(ROUND($V478*$Y478*$AB478*'参数'!$C$13,0),"")</x:f>
        <x:v>37003</x:v>
      </x:c>
      <x:c r="F478" s="5" t="n">
        <x:f>IFERROR(ROUND($W478*$Z478*$AC478*'参数'!$D$13,0),"")</x:f>
        <x:v>28765</x:v>
      </x:c>
      <x:c r="G478" s="4">
        <x:v>4091582</x:v>
      </x:c>
      <x:c r="H478" s="4">
        <x:v>64632</x:v>
      </x:c>
      <x:c r="I478" s="4">
        <x:v>32301</x:v>
      </x:c>
      <x:c r="J478" s="4">
        <x:v>95</x:v>
      </x:c>
      <x:c r="K478" s="4">
        <x:v>95</x:v>
      </x:c>
      <x:c r="L478" s="4" t="n">
        <x:f>IFERROR(INDEX('楼层配置'!$D$5:$D$104,MATCH($K478,'楼层配置'!$B$5:$B$104,0)),"")</x:f>
        <x:v>274</x:v>
      </x:c>
      <x:c r="M478" s="4" t="str">
        <x:f>IFERROR(INDEX('_角色基线'!$B$2:$B$100,MATCH($B478,'_角色基线'!$A$2:$A$100,0)),"")</x:f>
        <x:v>伊戈尔</x:v>
      </x:c>
      <x:c r="N478" s="4" t="str">
        <x:f>IFERROR(INDEX('_角色基线'!$C$2:$C$100,MATCH($B478,'_角色基线'!$A$2:$A$100,0)),"")</x:f>
        <x:v>DPS</x:v>
      </x:c>
      <x:c r="O478" s="4" t="n">
        <x:f>IFERROR(INDEX('_怪物基线'!$B$2:$B$501,MATCH(INT($L478),'_怪物基线'!$A$2:$A$501,0)),"")</x:f>
        <x:v>374479</x:v>
      </x:c>
      <x:c r="P478" s="4" t="n">
        <x:f>IFERROR(INDEX('_怪物基线'!$C$2:$C$501,MATCH(INT($L478),'_怪物基线'!$A$2:$A$501,0)),"")</x:f>
        <x:v>35362</x:v>
      </x:c>
      <x:c r="Q478" s="4" t="n">
        <x:f>IFERROR(INDEX('_怪物基线'!$D$2:$D$501,MATCH(INT($L478),'_怪物基线'!$A$2:$A$501,0)),"")</x:f>
        <x:v>28765</x:v>
      </x:c>
      <x:c r="R478" s="4" t="n">
        <x:f>'参数'!$B$10</x:f>
        <x:v>4</x:v>
      </x:c>
      <x:c r="S478" s="4" t="n">
        <x:f>'参数'!$C$10</x:f>
        <x:v>1.2</x:v>
      </x:c>
      <x:c r="T478" s="4" t="n">
        <x:f>'参数'!$D$10</x:f>
        <x:v>1</x:v>
      </x:c>
      <x:c r="U478" s="4" t="n">
        <x:f t="shared" si="49">IF($O478="","",$O478*$R478)</x:f>
        <x:v>1497916</x:v>
      </x:c>
      <x:c r="V478" s="4" t="n">
        <x:f t="shared" si="50">IF($P478="","",$P478*$S478)</x:f>
        <x:v>42434.4</x:v>
      </x:c>
      <x:c r="W478" s="4" t="n">
        <x:f t="shared" si="51">IF($Q478="","",$Q478*$T478)</x:f>
        <x:v>28765</x:v>
      </x:c>
      <x:c r="X478" s="4" t="n">
        <x:f>IFERROR(INDEX('参数'!$B$5:$B$7,MATCH($N478,'参数'!$A$5:$A$7,0)),"")</x:f>
        <x:v>1</x:v>
      </x:c>
      <x:c r="Y478" s="4" t="n">
        <x:f>IFERROR(INDEX('参数'!$C$5:$C$7,MATCH($N478,'参数'!$A$5:$A$7,0)),"")</x:f>
        <x:v>1.2</x:v>
      </x:c>
      <x:c r="Z478" s="4" t="n">
        <x:f>IFERROR(INDEX('参数'!$D$5:$D$7,MATCH($N478,'参数'!$A$5:$A$7,0)),"")</x:f>
        <x:v>1</x:v>
      </x:c>
      <x:c r="AA478" s="4" t="n">
        <x:f>IFERROR(INDEX('楼层配置'!$E$5:$E$104,MATCH($K478,'楼层配置'!$B$5:$B$104,0)),1)</x:f>
        <x:v>1.1310801559129262</x:v>
      </x:c>
      <x:c r="AB478" s="4" t="n">
        <x:f>IFERROR(INDEX('楼层配置'!$F$5:$F$104,MATCH($K478,'楼层配置'!$B$5:$B$104,0)),1)</x:f>
        <x:v>0.7266793097845781</x:v>
      </x:c>
      <x:c r="AC478" s="4" t="n">
        <x:f>IFERROR(INDEX('楼层配置'!$G$5:$G$104,MATCH($K478,'楼层配置'!$B$5:$B$104,0)),1)</x:f>
        <x:v>1</x:v>
      </x:c>
      <x:c r="AD478" s="6" t="n">
        <x:f t="shared" si="52">IFERROR($D478/$G478-1,"")</x:f>
        <x:v>-0.5859149346145329</x:v>
      </x:c>
      <x:c r="AE478" s="6" t="n">
        <x:f t="shared" si="53">IFERROR($E478/$H478-1,"")</x:f>
        <x:v>-0.4274817427899492</x:v>
      </x:c>
      <x:c r="AF478" s="6" t="n">
        <x:f t="shared" si="54">IFERROR($F478/$I478-1,"")</x:f>
        <x:v>-0.10947029503730532</x:v>
      </x:c>
      <x:c r="AG478" s="4" t="str">
        <x:f t="shared" si="55">IF(AND($A478&gt;=1,$L478&gt;=1,$L478&lt;=500,OR($N478="Tank",$N478="DPS",$N478="Support"),ISNUMBER($D478),ISNUMBER($E478),ISNUMBER($F478)),"有效","异常")</x:f>
        <x:v>有效</x:v>
      </x:c>
      <x:c r="AH478" t="n">
        <x:f>D478/(1-MIN(0.75,F478/(24000+F478)))</x:f>
        <x:v>3724907.7997916667</x:v>
      </x:c>
    </x:row>
    <x:row r="479" ht="14.25" customHeight="1">
      <x:c r="A479" s="4">
        <x:v>475</x:v>
      </x:c>
      <x:c r="B479" s="4">
        <x:v>1007</x:v>
      </x:c>
      <x:c r="C479" s="4">
        <x:v>57</x:v>
      </x:c>
      <x:c r="D479" s="5" t="n">
        <x:f>IFERROR(ROUND($U479*$X479*$AA479*'参数'!$B$13,0),"")</x:f>
        <x:v>2117829</x:v>
      </x:c>
      <x:c r="E479" s="5" t="n">
        <x:f>IFERROR(ROUND($V479*$Y479*$AB479*'参数'!$C$13,0),"")</x:f>
        <x:v>30836</x:v>
      </x:c>
      <x:c r="F479" s="5" t="n">
        <x:f>IFERROR(ROUND($W479*$Z479*$AC479*'参数'!$D$13,0),"")</x:f>
        <x:v>35956</x:v>
      </x:c>
      <x:c r="G479" s="4">
        <x:v>5114478</x:v>
      </x:c>
      <x:c r="H479" s="4">
        <x:v>53860</x:v>
      </x:c>
      <x:c r="I479" s="4">
        <x:v>40377</x:v>
      </x:c>
      <x:c r="J479" s="4">
        <x:v>95</x:v>
      </x:c>
      <x:c r="K479" s="4">
        <x:v>95</x:v>
      </x:c>
      <x:c r="L479" s="4" t="n">
        <x:f>IFERROR(INDEX('楼层配置'!$D$5:$D$104,MATCH($K479,'楼层配置'!$B$5:$B$104,0)),"")</x:f>
        <x:v>274</x:v>
      </x:c>
      <x:c r="M479" s="4" t="str">
        <x:f>IFERROR(INDEX('_角色基线'!$B$2:$B$100,MATCH($B479,'_角色基线'!$A$2:$A$100,0)),"")</x:f>
        <x:v>萨萨莉安</x:v>
      </x:c>
      <x:c r="N479" s="4" t="str">
        <x:f>IFERROR(INDEX('_角色基线'!$C$2:$C$100,MATCH($B479,'_角色基线'!$A$2:$A$100,0)),"")</x:f>
        <x:v>Support</x:v>
      </x:c>
      <x:c r="O479" s="4" t="n">
        <x:f>IFERROR(INDEX('_怪物基线'!$B$2:$B$501,MATCH(INT($L479),'_怪物基线'!$A$2:$A$501,0)),"")</x:f>
        <x:v>374479</x:v>
      </x:c>
      <x:c r="P479" s="4" t="n">
        <x:f>IFERROR(INDEX('_怪物基线'!$C$2:$C$501,MATCH(INT($L479),'_怪物基线'!$A$2:$A$501,0)),"")</x:f>
        <x:v>35362</x:v>
      </x:c>
      <x:c r="Q479" s="4" t="n">
        <x:f>IFERROR(INDEX('_怪物基线'!$D$2:$D$501,MATCH(INT($L479),'_怪物基线'!$A$2:$A$501,0)),"")</x:f>
        <x:v>28765</x:v>
      </x:c>
      <x:c r="R479" s="4" t="n">
        <x:f>'参数'!$B$10</x:f>
        <x:v>4</x:v>
      </x:c>
      <x:c r="S479" s="4" t="n">
        <x:f>'参数'!$C$10</x:f>
        <x:v>1.2</x:v>
      </x:c>
      <x:c r="T479" s="4" t="n">
        <x:f>'参数'!$D$10</x:f>
        <x:v>1</x:v>
      </x:c>
      <x:c r="U479" s="4" t="n">
        <x:f t="shared" si="49">IF($O479="","",$O479*$R479)</x:f>
        <x:v>1497916</x:v>
      </x:c>
      <x:c r="V479" s="4" t="n">
        <x:f t="shared" si="50">IF($P479="","",$P479*$S479)</x:f>
        <x:v>42434.4</x:v>
      </x:c>
      <x:c r="W479" s="4" t="n">
        <x:f t="shared" si="51">IF($Q479="","",$Q479*$T479)</x:f>
        <x:v>28765</x:v>
      </x:c>
      <x:c r="X479" s="4" t="n">
        <x:f>IFERROR(INDEX('参数'!$B$5:$B$7,MATCH($N479,'参数'!$A$5:$A$7,0)),"")</x:f>
        <x:v>1.25</x:v>
      </x:c>
      <x:c r="Y479" s="4" t="n">
        <x:f>IFERROR(INDEX('参数'!$C$5:$C$7,MATCH($N479,'参数'!$A$5:$A$7,0)),"")</x:f>
        <x:v>1</x:v>
      </x:c>
      <x:c r="Z479" s="4" t="n">
        <x:f>IFERROR(INDEX('参数'!$D$5:$D$7,MATCH($N479,'参数'!$A$5:$A$7,0)),"")</x:f>
        <x:v>1.25</x:v>
      </x:c>
      <x:c r="AA479" s="4" t="n">
        <x:f>IFERROR(INDEX('楼层配置'!$E$5:$E$104,MATCH($K479,'楼层配置'!$B$5:$B$104,0)),1)</x:f>
        <x:v>1.1310801559129262</x:v>
      </x:c>
      <x:c r="AB479" s="4" t="n">
        <x:f>IFERROR(INDEX('楼层配置'!$F$5:$F$104,MATCH($K479,'楼层配置'!$B$5:$B$104,0)),1)</x:f>
        <x:v>0.7266793097845781</x:v>
      </x:c>
      <x:c r="AC479" s="4" t="n">
        <x:f>IFERROR(INDEX('楼层配置'!$G$5:$G$104,MATCH($K479,'楼层配置'!$B$5:$B$104,0)),1)</x:f>
        <x:v>1</x:v>
      </x:c>
      <x:c r="AD479" s="6" t="n">
        <x:f t="shared" si="52">IFERROR($D479/$G479-1,"")</x:f>
        <x:v>-0.585914926215344</x:v>
      </x:c>
      <x:c r="AE479" s="6" t="n">
        <x:f t="shared" si="53">IFERROR($E479/$H479-1,"")</x:f>
        <x:v>-0.42747864834756777</x:v>
      </x:c>
      <x:c r="AF479" s="6" t="n">
        <x:f t="shared" si="54">IFERROR($F479/$I479-1,"")</x:f>
        <x:v>-0.10949302820912898</x:v>
      </x:c>
      <x:c r="AG479" s="4" t="str">
        <x:f t="shared" si="55">IF(AND($A479&gt;=1,$L479&gt;=1,$L479&lt;=500,OR($N479="Tank",$N479="DPS",$N479="Support"),ISNUMBER($D479),ISNUMBER($E479),ISNUMBER($F479)),"有效","异常")</x:f>
        <x:v>有效</x:v>
      </x:c>
      <x:c r="AH479" t="n">
        <x:f>D479/(1-MIN(0.75,F479/(24000+F479)))</x:f>
        <x:v>5290689.8135</x:v>
      </x:c>
    </x:row>
    <x:row r="480" ht="14.25" customHeight="1">
      <x:c r="A480" s="4">
        <x:v>476</x:v>
      </x:c>
      <x:c r="B480" s="4">
        <x:v>1003</x:v>
      </x:c>
      <x:c r="C480" s="4">
        <x:v>58</x:v>
      </x:c>
      <x:c r="D480" s="5" t="n">
        <x:f>IFERROR(ROUND($U480*$X480*$AA480*'参数'!$B$13,0),"")</x:f>
        <x:v>2564024</x:v>
      </x:c>
      <x:c r="E480" s="5" t="n">
        <x:f>IFERROR(ROUND($V480*$Y480*$AB480*'参数'!$C$13,0),"")</x:f>
        <x:v>31098</x:v>
      </x:c>
      <x:c r="F480" s="5" t="n">
        <x:f>IFERROR(ROUND($W480*$Z480*$AC480*'参数'!$D$13,0),"")</x:f>
        <x:v>43352</x:v>
      </x:c>
      <x:c r="G480" s="4">
        <x:v>6319612</x:v>
      </x:c>
      <x:c r="H480" s="4">
        <x:v>55231</x:v>
      </x:c>
      <x:c r="I480" s="4">
        <x:v>49158</x:v>
      </x:c>
      <x:c r="J480" s="4">
        <x:v>96</x:v>
      </x:c>
      <x:c r="K480" s="4">
        <x:v>96</x:v>
      </x:c>
      <x:c r="L480" s="4" t="n">
        <x:f>IFERROR(INDEX('楼层配置'!$D$5:$D$104,MATCH($K480,'楼层配置'!$B$5:$B$104,0)),"")</x:f>
        <x:v>275</x:v>
      </x:c>
      <x:c r="M480" s="4" t="str">
        <x:f>IFERROR(INDEX('_角色基线'!$B$2:$B$100,MATCH($B480,'_角色基线'!$A$2:$A$100,0)),"")</x:f>
        <x:v>塔拉夏</x:v>
      </x:c>
      <x:c r="N480" s="4" t="str">
        <x:f>IFERROR(INDEX('_角色基线'!$C$2:$C$100,MATCH($B480,'_角色基线'!$A$2:$A$100,0)),"")</x:f>
        <x:v>Tank</x:v>
      </x:c>
      <x:c r="O480" s="4" t="n">
        <x:f>IFERROR(INDEX('_怪物基线'!$B$2:$B$501,MATCH(INT($L480),'_怪物基线'!$A$2:$A$501,0)),"")</x:f>
        <x:v>378201</x:v>
      </x:c>
      <x:c r="P480" s="4" t="n">
        <x:f>IFERROR(INDEX('_怪物基线'!$C$2:$C$501,MATCH(INT($L480),'_怪物基线'!$A$2:$A$501,0)),"")</x:f>
        <x:v>35624</x:v>
      </x:c>
      <x:c r="Q480" s="4" t="n">
        <x:f>IFERROR(INDEX('_怪物基线'!$D$2:$D$501,MATCH(INT($L480),'_怪物基线'!$A$2:$A$501,0)),"")</x:f>
        <x:v>28901</x:v>
      </x:c>
      <x:c r="R480" s="4" t="n">
        <x:f>'参数'!$B$10</x:f>
        <x:v>4</x:v>
      </x:c>
      <x:c r="S480" s="4" t="n">
        <x:f>'参数'!$C$10</x:f>
        <x:v>1.2</x:v>
      </x:c>
      <x:c r="T480" s="4" t="n">
        <x:f>'参数'!$D$10</x:f>
        <x:v>1</x:v>
      </x:c>
      <x:c r="U480" s="4" t="n">
        <x:f t="shared" si="49">IF($O480="","",$O480*$R480)</x:f>
        <x:v>1512804</x:v>
      </x:c>
      <x:c r="V480" s="4" t="n">
        <x:f t="shared" si="50">IF($P480="","",$P480*$S480)</x:f>
        <x:v>42748.799999999996</x:v>
      </x:c>
      <x:c r="W480" s="4" t="n">
        <x:f t="shared" si="51">IF($Q480="","",$Q480*$T480)</x:f>
        <x:v>28901</x:v>
      </x:c>
      <x:c r="X480" s="4" t="n">
        <x:f>IFERROR(INDEX('参数'!$B$5:$B$7,MATCH($N480,'参数'!$A$5:$A$7,0)),"")</x:f>
        <x:v>1.5</x:v>
      </x:c>
      <x:c r="Y480" s="4" t="n">
        <x:f>IFERROR(INDEX('参数'!$C$5:$C$7,MATCH($N480,'参数'!$A$5:$A$7,0)),"")</x:f>
        <x:v>1</x:v>
      </x:c>
      <x:c r="Z480" s="4" t="n">
        <x:f>IFERROR(INDEX('参数'!$D$5:$D$7,MATCH($N480,'参数'!$A$5:$A$7,0)),"")</x:f>
        <x:v>1.5</x:v>
      </x:c>
      <x:c r="AA480" s="4" t="n">
        <x:f>IFERROR(INDEX('楼层配置'!$E$5:$E$104,MATCH($K480,'楼层配置'!$B$5:$B$104,0)),1)</x:f>
        <x:v>1.1299211537371108</x:v>
      </x:c>
      <x:c r="AB480" s="4" t="n">
        <x:f>IFERROR(INDEX('楼层配置'!$F$5:$F$104,MATCH($K480,'楼层配置'!$B$5:$B$104,0)),1)</x:f>
        <x:v>0.7274696328129534</x:v>
      </x:c>
      <x:c r="AC480" s="4" t="n">
        <x:f>IFERROR(INDEX('楼层配置'!$G$5:$G$104,MATCH($K480,'楼层配置'!$B$5:$B$104,0)),1)</x:f>
        <x:v>1</x:v>
      </x:c>
      <x:c r="AD480" s="6" t="n">
        <x:f t="shared" si="52">IFERROR($D480/$G480-1,"")</x:f>
        <x:v>-0.5942750915720776</x:v>
      </x:c>
      <x:c r="AE480" s="6" t="n">
        <x:f t="shared" si="53">IFERROR($E480/$H480-1,"")</x:f>
        <x:v>-0.4369466422842244</x:v>
      </x:c>
      <x:c r="AF480" s="6" t="n">
        <x:f t="shared" si="54">IFERROR($F480/$I480-1,"")</x:f>
        <x:v>-0.118108954798812</x:v>
      </x:c>
      <x:c r="AG480" s="4" t="str">
        <x:f t="shared" si="55">IF(AND($A480&gt;=1,$L480&gt;=1,$L480&lt;=500,OR($N480="Tank",$N480="DPS",$N480="Support"),ISNUMBER($D480),ISNUMBER($E480),ISNUMBER($F480)),"有效","异常")</x:f>
        <x:v>有效</x:v>
      </x:c>
      <x:c r="AH480" t="n">
        <x:f>D480/(1-MIN(0.75,F480/(24000+F480)))</x:f>
        <x:v>7195506.018666667</x:v>
      </x:c>
    </x:row>
    <x:row r="481" ht="14.25" customHeight="1">
      <x:c r="A481" s="4">
        <x:v>477</x:v>
      </x:c>
      <x:c r="B481" s="4">
        <x:v>1017</x:v>
      </x:c>
      <x:c r="C481" s="4">
        <x:v>58</x:v>
      </x:c>
      <x:c r="D481" s="5" t="n">
        <x:f>IFERROR(ROUND($U481*$X481*$AA481*'参数'!$B$13,0),"")</x:f>
        <x:v>1709349</x:v>
      </x:c>
      <x:c r="E481" s="5" t="n">
        <x:f>IFERROR(ROUND($V481*$Y481*$AB481*'参数'!$C$13,0),"")</x:f>
        <x:v>37318</x:v>
      </x:c>
      <x:c r="F481" s="5" t="n">
        <x:f>IFERROR(ROUND($W481*$Z481*$AC481*'参数'!$D$13,0),"")</x:f>
        <x:v>28901</x:v>
      </x:c>
      <x:c r="G481" s="4">
        <x:v>4213075</x:v>
      </x:c>
      <x:c r="H481" s="4">
        <x:v>66277</x:v>
      </x:c>
      <x:c r="I481" s="4">
        <x:v>32772</x:v>
      </x:c>
      <x:c r="J481" s="4">
        <x:v>96</x:v>
      </x:c>
      <x:c r="K481" s="4">
        <x:v>96</x:v>
      </x:c>
      <x:c r="L481" s="4" t="n">
        <x:f>IFERROR(INDEX('楼层配置'!$D$5:$D$104,MATCH($K481,'楼层配置'!$B$5:$B$104,0)),"")</x:f>
        <x:v>275</x:v>
      </x:c>
      <x:c r="M481" s="4" t="str">
        <x:f>IFERROR(INDEX('_角色基线'!$B$2:$B$100,MATCH($B481,'_角色基线'!$A$2:$A$100,0)),"")</x:f>
        <x:v>伊戈尔</x:v>
      </x:c>
      <x:c r="N481" s="4" t="str">
        <x:f>IFERROR(INDEX('_角色基线'!$C$2:$C$100,MATCH($B481,'_角色基线'!$A$2:$A$100,0)),"")</x:f>
        <x:v>DPS</x:v>
      </x:c>
      <x:c r="O481" s="4" t="n">
        <x:f>IFERROR(INDEX('_怪物基线'!$B$2:$B$501,MATCH(INT($L481),'_怪物基线'!$A$2:$A$501,0)),"")</x:f>
        <x:v>378201</x:v>
      </x:c>
      <x:c r="P481" s="4" t="n">
        <x:f>IFERROR(INDEX('_怪物基线'!$C$2:$C$501,MATCH(INT($L481),'_怪物基线'!$A$2:$A$501,0)),"")</x:f>
        <x:v>35624</x:v>
      </x:c>
      <x:c r="Q481" s="4" t="n">
        <x:f>IFERROR(INDEX('_怪物基线'!$D$2:$D$501,MATCH(INT($L481),'_怪物基线'!$A$2:$A$501,0)),"")</x:f>
        <x:v>28901</x:v>
      </x:c>
      <x:c r="R481" s="4" t="n">
        <x:f>'参数'!$B$10</x:f>
        <x:v>4</x:v>
      </x:c>
      <x:c r="S481" s="4" t="n">
        <x:f>'参数'!$C$10</x:f>
        <x:v>1.2</x:v>
      </x:c>
      <x:c r="T481" s="4" t="n">
        <x:f>'参数'!$D$10</x:f>
        <x:v>1</x:v>
      </x:c>
      <x:c r="U481" s="4" t="n">
        <x:f t="shared" si="49">IF($O481="","",$O481*$R481)</x:f>
        <x:v>1512804</x:v>
      </x:c>
      <x:c r="V481" s="4" t="n">
        <x:f t="shared" si="50">IF($P481="","",$P481*$S481)</x:f>
        <x:v>42748.799999999996</x:v>
      </x:c>
      <x:c r="W481" s="4" t="n">
        <x:f t="shared" si="51">IF($Q481="","",$Q481*$T481)</x:f>
        <x:v>28901</x:v>
      </x:c>
      <x:c r="X481" s="4" t="n">
        <x:f>IFERROR(INDEX('参数'!$B$5:$B$7,MATCH($N481,'参数'!$A$5:$A$7,0)),"")</x:f>
        <x:v>1</x:v>
      </x:c>
      <x:c r="Y481" s="4" t="n">
        <x:f>IFERROR(INDEX('参数'!$C$5:$C$7,MATCH($N481,'参数'!$A$5:$A$7,0)),"")</x:f>
        <x:v>1.2</x:v>
      </x:c>
      <x:c r="Z481" s="4" t="n">
        <x:f>IFERROR(INDEX('参数'!$D$5:$D$7,MATCH($N481,'参数'!$A$5:$A$7,0)),"")</x:f>
        <x:v>1</x:v>
      </x:c>
      <x:c r="AA481" s="4" t="n">
        <x:f>IFERROR(INDEX('楼层配置'!$E$5:$E$104,MATCH($K481,'楼层配置'!$B$5:$B$104,0)),1)</x:f>
        <x:v>1.1299211537371108</x:v>
      </x:c>
      <x:c r="AB481" s="4" t="n">
        <x:f>IFERROR(INDEX('楼层配置'!$F$5:$F$104,MATCH($K481,'楼层配置'!$B$5:$B$104,0)),1)</x:f>
        <x:v>0.7274696328129534</x:v>
      </x:c>
      <x:c r="AC481" s="4" t="n">
        <x:f>IFERROR(INDEX('楼层配置'!$G$5:$G$104,MATCH($K481,'楼层配置'!$B$5:$B$104,0)),1)</x:f>
        <x:v>1</x:v>
      </x:c>
      <x:c r="AD481" s="6" t="n">
        <x:f t="shared" si="52">IFERROR($D481/$G481-1,"")</x:f>
        <x:v>-0.5942752027913104</x:v>
      </x:c>
      <x:c r="AE481" s="6" t="n">
        <x:f t="shared" si="53">IFERROR($E481/$H481-1,"")</x:f>
        <x:v>-0.4369389079167736</x:v>
      </x:c>
      <x:c r="AF481" s="6" t="n">
        <x:f t="shared" si="54">IFERROR($F481/$I481-1,"")</x:f>
        <x:v>-0.11811912608324182</x:v>
      </x:c>
      <x:c r="AG481" s="4" t="str">
        <x:f t="shared" si="55">IF(AND($A481&gt;=1,$L481&gt;=1,$L481&lt;=500,OR($N481="Tank",$N481="DPS",$N481="Support"),ISNUMBER($D481),ISNUMBER($E481),ISNUMBER($F481)),"有效","异常")</x:f>
        <x:v>有效</x:v>
      </x:c>
      <x:c r="AH481" t="n">
        <x:f>D481/(1-MIN(0.75,F481/(24000+F481)))</x:f>
        <x:v>3767761.3103750004</x:v>
      </x:c>
    </x:row>
    <x:row r="482" ht="14.25" customHeight="1">
      <x:c r="A482" s="4">
        <x:v>478</x:v>
      </x:c>
      <x:c r="B482" s="4">
        <x:v>1008</x:v>
      </x:c>
      <x:c r="C482" s="4">
        <x:v>58</x:v>
      </x:c>
      <x:c r="D482" s="5" t="n">
        <x:f>IFERROR(ROUND($U482*$X482*$AA482*'参数'!$B$13,0),"")</x:f>
        <x:v>1709349</x:v>
      </x:c>
      <x:c r="E482" s="5" t="n">
        <x:f>IFERROR(ROUND($V482*$Y482*$AB482*'参数'!$C$13,0),"")</x:f>
        <x:v>37318</x:v>
      </x:c>
      <x:c r="F482" s="5" t="n">
        <x:f>IFERROR(ROUND($W482*$Z482*$AC482*'参数'!$D$13,0),"")</x:f>
        <x:v>28901</x:v>
      </x:c>
      <x:c r="G482" s="4">
        <x:v>4213075</x:v>
      </x:c>
      <x:c r="H482" s="4">
        <x:v>66277</x:v>
      </x:c>
      <x:c r="I482" s="4">
        <x:v>32772</x:v>
      </x:c>
      <x:c r="J482" s="4">
        <x:v>96</x:v>
      </x:c>
      <x:c r="K482" s="4">
        <x:v>96</x:v>
      </x:c>
      <x:c r="L482" s="4" t="n">
        <x:f>IFERROR(INDEX('楼层配置'!$D$5:$D$104,MATCH($K482,'楼层配置'!$B$5:$B$104,0)),"")</x:f>
        <x:v>275</x:v>
      </x:c>
      <x:c r="M482" s="4" t="str">
        <x:f>IFERROR(INDEX('_角色基线'!$B$2:$B$100,MATCH($B482,'_角色基线'!$A$2:$A$100,0)),"")</x:f>
        <x:v>薇</x:v>
      </x:c>
      <x:c r="N482" s="4" t="str">
        <x:f>IFERROR(INDEX('_角色基线'!$C$2:$C$100,MATCH($B482,'_角色基线'!$A$2:$A$100,0)),"")</x:f>
        <x:v>DPS</x:v>
      </x:c>
      <x:c r="O482" s="4" t="n">
        <x:f>IFERROR(INDEX('_怪物基线'!$B$2:$B$501,MATCH(INT($L482),'_怪物基线'!$A$2:$A$501,0)),"")</x:f>
        <x:v>378201</x:v>
      </x:c>
      <x:c r="P482" s="4" t="n">
        <x:f>IFERROR(INDEX('_怪物基线'!$C$2:$C$501,MATCH(INT($L482),'_怪物基线'!$A$2:$A$501,0)),"")</x:f>
        <x:v>35624</x:v>
      </x:c>
      <x:c r="Q482" s="4" t="n">
        <x:f>IFERROR(INDEX('_怪物基线'!$D$2:$D$501,MATCH(INT($L482),'_怪物基线'!$A$2:$A$501,0)),"")</x:f>
        <x:v>28901</x:v>
      </x:c>
      <x:c r="R482" s="4" t="n">
        <x:f>'参数'!$B$10</x:f>
        <x:v>4</x:v>
      </x:c>
      <x:c r="S482" s="4" t="n">
        <x:f>'参数'!$C$10</x:f>
        <x:v>1.2</x:v>
      </x:c>
      <x:c r="T482" s="4" t="n">
        <x:f>'参数'!$D$10</x:f>
        <x:v>1</x:v>
      </x:c>
      <x:c r="U482" s="4" t="n">
        <x:f t="shared" si="49">IF($O482="","",$O482*$R482)</x:f>
        <x:v>1512804</x:v>
      </x:c>
      <x:c r="V482" s="4" t="n">
        <x:f t="shared" si="50">IF($P482="","",$P482*$S482)</x:f>
        <x:v>42748.799999999996</x:v>
      </x:c>
      <x:c r="W482" s="4" t="n">
        <x:f t="shared" si="51">IF($Q482="","",$Q482*$T482)</x:f>
        <x:v>28901</x:v>
      </x:c>
      <x:c r="X482" s="4" t="n">
        <x:f>IFERROR(INDEX('参数'!$B$5:$B$7,MATCH($N482,'参数'!$A$5:$A$7,0)),"")</x:f>
        <x:v>1</x:v>
      </x:c>
      <x:c r="Y482" s="4" t="n">
        <x:f>IFERROR(INDEX('参数'!$C$5:$C$7,MATCH($N482,'参数'!$A$5:$A$7,0)),"")</x:f>
        <x:v>1.2</x:v>
      </x:c>
      <x:c r="Z482" s="4" t="n">
        <x:f>IFERROR(INDEX('参数'!$D$5:$D$7,MATCH($N482,'参数'!$A$5:$A$7,0)),"")</x:f>
        <x:v>1</x:v>
      </x:c>
      <x:c r="AA482" s="4" t="n">
        <x:f>IFERROR(INDEX('楼层配置'!$E$5:$E$104,MATCH($K482,'楼层配置'!$B$5:$B$104,0)),1)</x:f>
        <x:v>1.1299211537371108</x:v>
      </x:c>
      <x:c r="AB482" s="4" t="n">
        <x:f>IFERROR(INDEX('楼层配置'!$F$5:$F$104,MATCH($K482,'楼层配置'!$B$5:$B$104,0)),1)</x:f>
        <x:v>0.7274696328129534</x:v>
      </x:c>
      <x:c r="AC482" s="4" t="n">
        <x:f>IFERROR(INDEX('楼层配置'!$G$5:$G$104,MATCH($K482,'楼层配置'!$B$5:$B$104,0)),1)</x:f>
        <x:v>1</x:v>
      </x:c>
      <x:c r="AD482" s="6" t="n">
        <x:f t="shared" si="52">IFERROR($D482/$G482-1,"")</x:f>
        <x:v>-0.5942752027913104</x:v>
      </x:c>
      <x:c r="AE482" s="6" t="n">
        <x:f t="shared" si="53">IFERROR($E482/$H482-1,"")</x:f>
        <x:v>-0.4369389079167736</x:v>
      </x:c>
      <x:c r="AF482" s="6" t="n">
        <x:f t="shared" si="54">IFERROR($F482/$I482-1,"")</x:f>
        <x:v>-0.11811912608324182</x:v>
      </x:c>
      <x:c r="AG482" s="4" t="str">
        <x:f t="shared" si="55">IF(AND($A482&gt;=1,$L482&gt;=1,$L482&lt;=500,OR($N482="Tank",$N482="DPS",$N482="Support"),ISNUMBER($D482),ISNUMBER($E482),ISNUMBER($F482)),"有效","异常")</x:f>
        <x:v>有效</x:v>
      </x:c>
      <x:c r="AH482" t="n">
        <x:f>D482/(1-MIN(0.75,F482/(24000+F482)))</x:f>
        <x:v>3767761.3103750004</x:v>
      </x:c>
    </x:row>
    <x:row r="483" ht="14.25" customHeight="1">
      <x:c r="A483" s="4">
        <x:v>479</x:v>
      </x:c>
      <x:c r="B483" s="4">
        <x:v>1007</x:v>
      </x:c>
      <x:c r="C483" s="4">
        <x:v>58</x:v>
      </x:c>
      <x:c r="D483" s="5" t="n">
        <x:f>IFERROR(ROUND($U483*$X483*$AA483*'参数'!$B$13,0),"")</x:f>
        <x:v>2136687</x:v>
      </x:c>
      <x:c r="E483" s="5" t="n">
        <x:f>IFERROR(ROUND($V483*$Y483*$AB483*'参数'!$C$13,0),"")</x:f>
        <x:v>31098</x:v>
      </x:c>
      <x:c r="F483" s="5" t="n">
        <x:f>IFERROR(ROUND($W483*$Z483*$AC483*'参数'!$D$13,0),"")</x:f>
        <x:v>36126</x:v>
      </x:c>
      <x:c r="G483" s="4">
        <x:v>5266344</x:v>
      </x:c>
      <x:c r="H483" s="4">
        <x:v>55231</x:v>
      </x:c>
      <x:c r="I483" s="4">
        <x:v>40965</x:v>
      </x:c>
      <x:c r="J483" s="4">
        <x:v>96</x:v>
      </x:c>
      <x:c r="K483" s="4">
        <x:v>96</x:v>
      </x:c>
      <x:c r="L483" s="4" t="n">
        <x:f>IFERROR(INDEX('楼层配置'!$D$5:$D$104,MATCH($K483,'楼层配置'!$B$5:$B$104,0)),"")</x:f>
        <x:v>275</x:v>
      </x:c>
      <x:c r="M483" s="4" t="str">
        <x:f>IFERROR(INDEX('_角色基线'!$B$2:$B$100,MATCH($B483,'_角色基线'!$A$2:$A$100,0)),"")</x:f>
        <x:v>萨萨莉安</x:v>
      </x:c>
      <x:c r="N483" s="4" t="str">
        <x:f>IFERROR(INDEX('_角色基线'!$C$2:$C$100,MATCH($B483,'_角色基线'!$A$2:$A$100,0)),"")</x:f>
        <x:v>Support</x:v>
      </x:c>
      <x:c r="O483" s="4" t="n">
        <x:f>IFERROR(INDEX('_怪物基线'!$B$2:$B$501,MATCH(INT($L483),'_怪物基线'!$A$2:$A$501,0)),"")</x:f>
        <x:v>378201</x:v>
      </x:c>
      <x:c r="P483" s="4" t="n">
        <x:f>IFERROR(INDEX('_怪物基线'!$C$2:$C$501,MATCH(INT($L483),'_怪物基线'!$A$2:$A$501,0)),"")</x:f>
        <x:v>35624</x:v>
      </x:c>
      <x:c r="Q483" s="4" t="n">
        <x:f>IFERROR(INDEX('_怪物基线'!$D$2:$D$501,MATCH(INT($L483),'_怪物基线'!$A$2:$A$501,0)),"")</x:f>
        <x:v>28901</x:v>
      </x:c>
      <x:c r="R483" s="4" t="n">
        <x:f>'参数'!$B$10</x:f>
        <x:v>4</x:v>
      </x:c>
      <x:c r="S483" s="4" t="n">
        <x:f>'参数'!$C$10</x:f>
        <x:v>1.2</x:v>
      </x:c>
      <x:c r="T483" s="4" t="n">
        <x:f>'参数'!$D$10</x:f>
        <x:v>1</x:v>
      </x:c>
      <x:c r="U483" s="4" t="n">
        <x:f t="shared" si="49">IF($O483="","",$O483*$R483)</x:f>
        <x:v>1512804</x:v>
      </x:c>
      <x:c r="V483" s="4" t="n">
        <x:f t="shared" si="50">IF($P483="","",$P483*$S483)</x:f>
        <x:v>42748.799999999996</x:v>
      </x:c>
      <x:c r="W483" s="4" t="n">
        <x:f t="shared" si="51">IF($Q483="","",$Q483*$T483)</x:f>
        <x:v>28901</x:v>
      </x:c>
      <x:c r="X483" s="4" t="n">
        <x:f>IFERROR(INDEX('参数'!$B$5:$B$7,MATCH($N483,'参数'!$A$5:$A$7,0)),"")</x:f>
        <x:v>1.25</x:v>
      </x:c>
      <x:c r="Y483" s="4" t="n">
        <x:f>IFERROR(INDEX('参数'!$C$5:$C$7,MATCH($N483,'参数'!$A$5:$A$7,0)),"")</x:f>
        <x:v>1</x:v>
      </x:c>
      <x:c r="Z483" s="4" t="n">
        <x:f>IFERROR(INDEX('参数'!$D$5:$D$7,MATCH($N483,'参数'!$A$5:$A$7,0)),"")</x:f>
        <x:v>1.25</x:v>
      </x:c>
      <x:c r="AA483" s="4" t="n">
        <x:f>IFERROR(INDEX('楼层配置'!$E$5:$E$104,MATCH($K483,'楼层配置'!$B$5:$B$104,0)),1)</x:f>
        <x:v>1.1299211537371108</x:v>
      </x:c>
      <x:c r="AB483" s="4" t="n">
        <x:f>IFERROR(INDEX('楼层配置'!$F$5:$F$104,MATCH($K483,'楼层配置'!$B$5:$B$104,0)),1)</x:f>
        <x:v>0.7274696328129534</x:v>
      </x:c>
      <x:c r="AC483" s="4" t="n">
        <x:f>IFERROR(INDEX('楼层配置'!$G$5:$G$104,MATCH($K483,'楼层配置'!$B$5:$B$104,0)),1)</x:f>
        <x:v>1</x:v>
      </x:c>
      <x:c r="AD483" s="6" t="n">
        <x:f t="shared" si="52">IFERROR($D483/$G483-1,"")</x:f>
        <x:v>-0.5942750796377905</x:v>
      </x:c>
      <x:c r="AE483" s="6" t="n">
        <x:f t="shared" si="53">IFERROR($E483/$H483-1,"")</x:f>
        <x:v>-0.4369466422842244</x:v>
      </x:c>
      <x:c r="AF483" s="6" t="n">
        <x:f t="shared" si="54">IFERROR($F483/$I483-1,"")</x:f>
        <x:v>-0.11812522885389964</x:v>
      </x:c>
      <x:c r="AG483" s="4" t="str">
        <x:f t="shared" si="55">IF(AND($A483&gt;=1,$L483&gt;=1,$L483&lt;=500,OR($N483="Tank",$N483="DPS",$N483="Support"),ISNUMBER($D483),ISNUMBER($E483),ISNUMBER($F483)),"有效","异常")</x:f>
        <x:v>有效</x:v>
      </x:c>
      <x:c r="AH483" t="n">
        <x:f>D483/(1-MIN(0.75,F483/(24000+F483)))</x:f>
        <x:v>5352935.10675</x:v>
      </x:c>
    </x:row>
    <x:row r="484" ht="14.25" customHeight="1">
      <x:c r="A484" s="4">
        <x:v>480</x:v>
      </x:c>
      <x:c r="B484" s="4">
        <x:v>1005</x:v>
      </x:c>
      <x:c r="C484" s="4">
        <x:v>58</x:v>
      </x:c>
      <x:c r="D484" s="5" t="n">
        <x:f>IFERROR(ROUND($U484*$X484*$AA484*'参数'!$B$13,0),"")</x:f>
        <x:v>1709349</x:v>
      </x:c>
      <x:c r="E484" s="5" t="n">
        <x:f>IFERROR(ROUND($V484*$Y484*$AB484*'参数'!$C$13,0),"")</x:f>
        <x:v>37318</x:v>
      </x:c>
      <x:c r="F484" s="5" t="n">
        <x:f>IFERROR(ROUND($W484*$Z484*$AC484*'参数'!$D$13,0),"")</x:f>
        <x:v>28901</x:v>
      </x:c>
      <x:c r="G484" s="4">
        <x:v>4213075</x:v>
      </x:c>
      <x:c r="H484" s="4">
        <x:v>66277</x:v>
      </x:c>
      <x:c r="I484" s="4">
        <x:v>32772</x:v>
      </x:c>
      <x:c r="J484" s="4">
        <x:v>96</x:v>
      </x:c>
      <x:c r="K484" s="4">
        <x:v>96</x:v>
      </x:c>
      <x:c r="L484" s="4" t="n">
        <x:f>IFERROR(INDEX('楼层配置'!$D$5:$D$104,MATCH($K484,'楼层配置'!$B$5:$B$104,0)),"")</x:f>
        <x:v>275</x:v>
      </x:c>
      <x:c r="M484" s="4" t="str">
        <x:f>IFERROR(INDEX('_角色基线'!$B$2:$B$100,MATCH($B484,'_角色基线'!$A$2:$A$100,0)),"")</x:f>
        <x:v>陈单单</x:v>
      </x:c>
      <x:c r="N484" s="4" t="str">
        <x:f>IFERROR(INDEX('_角色基线'!$C$2:$C$100,MATCH($B484,'_角色基线'!$A$2:$A$100,0)),"")</x:f>
        <x:v>DPS</x:v>
      </x:c>
      <x:c r="O484" s="4" t="n">
        <x:f>IFERROR(INDEX('_怪物基线'!$B$2:$B$501,MATCH(INT($L484),'_怪物基线'!$A$2:$A$501,0)),"")</x:f>
        <x:v>378201</x:v>
      </x:c>
      <x:c r="P484" s="4" t="n">
        <x:f>IFERROR(INDEX('_怪物基线'!$C$2:$C$501,MATCH(INT($L484),'_怪物基线'!$A$2:$A$501,0)),"")</x:f>
        <x:v>35624</x:v>
      </x:c>
      <x:c r="Q484" s="4" t="n">
        <x:f>IFERROR(INDEX('_怪物基线'!$D$2:$D$501,MATCH(INT($L484),'_怪物基线'!$A$2:$A$501,0)),"")</x:f>
        <x:v>28901</x:v>
      </x:c>
      <x:c r="R484" s="4" t="n">
        <x:f>'参数'!$B$10</x:f>
        <x:v>4</x:v>
      </x:c>
      <x:c r="S484" s="4" t="n">
        <x:f>'参数'!$C$10</x:f>
        <x:v>1.2</x:v>
      </x:c>
      <x:c r="T484" s="4" t="n">
        <x:f>'参数'!$D$10</x:f>
        <x:v>1</x:v>
      </x:c>
      <x:c r="U484" s="4" t="n">
        <x:f t="shared" si="49">IF($O484="","",$O484*$R484)</x:f>
        <x:v>1512804</x:v>
      </x:c>
      <x:c r="V484" s="4" t="n">
        <x:f t="shared" si="50">IF($P484="","",$P484*$S484)</x:f>
        <x:v>42748.799999999996</x:v>
      </x:c>
      <x:c r="W484" s="4" t="n">
        <x:f t="shared" si="51">IF($Q484="","",$Q484*$T484)</x:f>
        <x:v>28901</x:v>
      </x:c>
      <x:c r="X484" s="4" t="n">
        <x:f>IFERROR(INDEX('参数'!$B$5:$B$7,MATCH($N484,'参数'!$A$5:$A$7,0)),"")</x:f>
        <x:v>1</x:v>
      </x:c>
      <x:c r="Y484" s="4" t="n">
        <x:f>IFERROR(INDEX('参数'!$C$5:$C$7,MATCH($N484,'参数'!$A$5:$A$7,0)),"")</x:f>
        <x:v>1.2</x:v>
      </x:c>
      <x:c r="Z484" s="4" t="n">
        <x:f>IFERROR(INDEX('参数'!$D$5:$D$7,MATCH($N484,'参数'!$A$5:$A$7,0)),"")</x:f>
        <x:v>1</x:v>
      </x:c>
      <x:c r="AA484" s="4" t="n">
        <x:f>IFERROR(INDEX('楼层配置'!$E$5:$E$104,MATCH($K484,'楼层配置'!$B$5:$B$104,0)),1)</x:f>
        <x:v>1.1299211537371108</x:v>
      </x:c>
      <x:c r="AB484" s="4" t="n">
        <x:f>IFERROR(INDEX('楼层配置'!$F$5:$F$104,MATCH($K484,'楼层配置'!$B$5:$B$104,0)),1)</x:f>
        <x:v>0.7274696328129534</x:v>
      </x:c>
      <x:c r="AC484" s="4" t="n">
        <x:f>IFERROR(INDEX('楼层配置'!$G$5:$G$104,MATCH($K484,'楼层配置'!$B$5:$B$104,0)),1)</x:f>
        <x:v>1</x:v>
      </x:c>
      <x:c r="AD484" s="6" t="n">
        <x:f t="shared" si="52">IFERROR($D484/$G484-1,"")</x:f>
        <x:v>-0.5942752027913104</x:v>
      </x:c>
      <x:c r="AE484" s="6" t="n">
        <x:f t="shared" si="53">IFERROR($E484/$H484-1,"")</x:f>
        <x:v>-0.4369389079167736</x:v>
      </x:c>
      <x:c r="AF484" s="6" t="n">
        <x:f t="shared" si="54">IFERROR($F484/$I484-1,"")</x:f>
        <x:v>-0.11811912608324182</x:v>
      </x:c>
      <x:c r="AG484" s="4" t="str">
        <x:f t="shared" si="55">IF(AND($A484&gt;=1,$L484&gt;=1,$L484&lt;=500,OR($N484="Tank",$N484="DPS",$N484="Support"),ISNUMBER($D484),ISNUMBER($E484),ISNUMBER($F484)),"有效","异常")</x:f>
        <x:v>有效</x:v>
      </x:c>
      <x:c r="AH484" t="n">
        <x:f>D484/(1-MIN(0.75,F484/(24000+F484)))</x:f>
        <x:v>3767761.3103750004</x:v>
      </x:c>
    </x:row>
    <x:row r="485" ht="14.25" customHeight="1">
      <x:c r="A485" s="4">
        <x:v>481</x:v>
      </x:c>
      <x:c r="B485" s="4">
        <x:v>1004</x:v>
      </x:c>
      <x:c r="C485" s="4">
        <x:v>58</x:v>
      </x:c>
      <x:c r="D485" s="5" t="n">
        <x:f>IFERROR(ROUND($U485*$X485*$AA485*'参数'!$B$13,0),"")</x:f>
        <x:v>2586965</x:v>
      </x:c>
      <x:c r="E485" s="5" t="n">
        <x:f>IFERROR(ROUND($V485*$Y485*$AB485*'参数'!$C$13,0),"")</x:f>
        <x:v>31365</x:v>
      </x:c>
      <x:c r="F485" s="5" t="n">
        <x:f>IFERROR(ROUND($W485*$Z485*$AC485*'参数'!$D$13,0),"")</x:f>
        <x:v>43557</x:v>
      </x:c>
      <x:c r="G485" s="4">
        <x:v>6505956</x:v>
      </x:c>
      <x:c r="H485" s="4">
        <x:v>56638</x:v>
      </x:c>
      <x:c r="I485" s="4">
        <x:v>49868</x:v>
      </x:c>
      <x:c r="J485" s="4">
        <x:v>97</x:v>
      </x:c>
      <x:c r="K485" s="4">
        <x:v>97</x:v>
      </x:c>
      <x:c r="L485" s="4" t="n">
        <x:f>IFERROR(INDEX('楼层配置'!$D$5:$D$104,MATCH($K485,'楼层配置'!$B$5:$B$104,0)),"")</x:f>
        <x:v>276</x:v>
      </x:c>
      <x:c r="M485" s="4" t="str">
        <x:f>IFERROR(INDEX('_角色基线'!$B$2:$B$100,MATCH($B485,'_角色基线'!$A$2:$A$100,0)),"")</x:f>
        <x:v>阿芭</x:v>
      </x:c>
      <x:c r="N485" s="4" t="str">
        <x:f>IFERROR(INDEX('_角色基线'!$C$2:$C$100,MATCH($B485,'_角色基线'!$A$2:$A$100,0)),"")</x:f>
        <x:v>Tank</x:v>
      </x:c>
      <x:c r="O485" s="4" t="n">
        <x:f>IFERROR(INDEX('_怪物基线'!$B$2:$B$501,MATCH(INT($L485),'_怪物基线'!$A$2:$A$501,0)),"")</x:f>
        <x:v>381951</x:v>
      </x:c>
      <x:c r="P485" s="4" t="n">
        <x:f>IFERROR(INDEX('_怪物基线'!$C$2:$C$501,MATCH(INT($L485),'_怪物基线'!$A$2:$A$501,0)),"")</x:f>
        <x:v>35889</x:v>
      </x:c>
      <x:c r="Q485" s="4" t="n">
        <x:f>IFERROR(INDEX('_怪物基线'!$D$2:$D$501,MATCH(INT($L485),'_怪物基线'!$A$2:$A$501,0)),"")</x:f>
        <x:v>29038</x:v>
      </x:c>
      <x:c r="R485" s="4" t="n">
        <x:f>'参数'!$B$10</x:f>
        <x:v>4</x:v>
      </x:c>
      <x:c r="S485" s="4" t="n">
        <x:f>'参数'!$C$10</x:f>
        <x:v>1.2</x:v>
      </x:c>
      <x:c r="T485" s="4" t="n">
        <x:f>'参数'!$D$10</x:f>
        <x:v>1</x:v>
      </x:c>
      <x:c r="U485" s="4" t="n">
        <x:f t="shared" si="49">IF($O485="","",$O485*$R485)</x:f>
        <x:v>1527804</x:v>
      </x:c>
      <x:c r="V485" s="4" t="n">
        <x:f t="shared" si="50">IF($P485="","",$P485*$S485)</x:f>
        <x:v>43066.799999999996</x:v>
      </x:c>
      <x:c r="W485" s="4" t="n">
        <x:f t="shared" si="51">IF($Q485="","",$Q485*$T485)</x:f>
        <x:v>29038</x:v>
      </x:c>
      <x:c r="X485" s="4" t="n">
        <x:f>IFERROR(INDEX('参数'!$B$5:$B$7,MATCH($N485,'参数'!$A$5:$A$7,0)),"")</x:f>
        <x:v>1.5</x:v>
      </x:c>
      <x:c r="Y485" s="4" t="n">
        <x:f>IFERROR(INDEX('参数'!$C$5:$C$7,MATCH($N485,'参数'!$A$5:$A$7,0)),"")</x:f>
        <x:v>1</x:v>
      </x:c>
      <x:c r="Z485" s="4" t="n">
        <x:f>IFERROR(INDEX('参数'!$D$5:$D$7,MATCH($N485,'参数'!$A$5:$A$7,0)),"")</x:f>
        <x:v>1.5</x:v>
      </x:c>
      <x:c r="AA485" s="4" t="n">
        <x:f>IFERROR(INDEX('楼层配置'!$E$5:$E$104,MATCH($K485,'楼层配置'!$B$5:$B$104,0)),1)</x:f>
        <x:v>1.1288380999626304</x:v>
      </x:c>
      <x:c r="AB485" s="4" t="n">
        <x:f>IFERROR(INDEX('楼层配置'!$F$5:$F$104,MATCH($K485,'楼层配置'!$B$5:$B$104,0)),1)</x:f>
        <x:v>0.7282933103589967</x:v>
      </x:c>
      <x:c r="AC485" s="4" t="n">
        <x:f>IFERROR(INDEX('楼层配置'!$G$5:$G$104,MATCH($K485,'楼层配置'!$B$5:$B$104,0)),1)</x:f>
        <x:v>1</x:v>
      </x:c>
      <x:c r="AD485" s="6" t="n">
        <x:f t="shared" si="52">IFERROR($D485/$G485-1,"")</x:f>
        <x:v>-0.6023697362847212</x:v>
      </x:c>
      <x:c r="AE485" s="6" t="n">
        <x:f t="shared" si="53">IFERROR($E485/$H485-1,"")</x:f>
        <x:v>-0.4462198523959179</x:v>
      </x:c>
      <x:c r="AF485" s="6" t="n">
        <x:f t="shared" si="54">IFERROR($F485/$I485-1,"")</x:f>
        <x:v>-0.12655410283147506</x:v>
      </x:c>
      <x:c r="AG485" s="4" t="str">
        <x:f t="shared" si="55">IF(AND($A485&gt;=1,$L485&gt;=1,$L485&lt;=500,OR($N485="Tank",$N485="DPS",$N485="Support"),ISNUMBER($D485),ISNUMBER($E485),ISNUMBER($F485)),"有效","异常")</x:f>
        <x:v>有效</x:v>
      </x:c>
      <x:c r="AH485" t="n">
        <x:f>D485/(1-MIN(0.75,F485/(24000+F485)))</x:f>
        <x:v>7281983.104375001</x:v>
      </x:c>
    </x:row>
    <x:row r="486" ht="14.25" customHeight="1">
      <x:c r="A486" s="4">
        <x:v>482</x:v>
      </x:c>
      <x:c r="B486" s="4">
        <x:v>1017</x:v>
      </x:c>
      <x:c r="C486" s="4">
        <x:v>58</x:v>
      </x:c>
      <x:c r="D486" s="5" t="n">
        <x:f>IFERROR(ROUND($U486*$X486*$AA486*'参数'!$B$13,0),"")</x:f>
        <x:v>1724643</x:v>
      </x:c>
      <x:c r="E486" s="5" t="n">
        <x:f>IFERROR(ROUND($V486*$Y486*$AB486*'参数'!$C$13,0),"")</x:f>
        <x:v>37638</x:v>
      </x:c>
      <x:c r="F486" s="5" t="n">
        <x:f>IFERROR(ROUND($W486*$Z486*$AC486*'参数'!$D$13,0),"")</x:f>
        <x:v>29038</x:v>
      </x:c>
      <x:c r="G486" s="4">
        <x:v>4337304</x:v>
      </x:c>
      <x:c r="H486" s="4">
        <x:v>67965</x:v>
      </x:c>
      <x:c r="I486" s="4">
        <x:v>33245</x:v>
      </x:c>
      <x:c r="J486" s="4">
        <x:v>97</x:v>
      </x:c>
      <x:c r="K486" s="4">
        <x:v>97</x:v>
      </x:c>
      <x:c r="L486" s="4" t="n">
        <x:f>IFERROR(INDEX('楼层配置'!$D$5:$D$104,MATCH($K486,'楼层配置'!$B$5:$B$104,0)),"")</x:f>
        <x:v>276</x:v>
      </x:c>
      <x:c r="M486" s="4" t="str">
        <x:f>IFERROR(INDEX('_角色基线'!$B$2:$B$100,MATCH($B486,'_角色基线'!$A$2:$A$100,0)),"")</x:f>
        <x:v>伊戈尔</x:v>
      </x:c>
      <x:c r="N486" s="4" t="str">
        <x:f>IFERROR(INDEX('_角色基线'!$C$2:$C$100,MATCH($B486,'_角色基线'!$A$2:$A$100,0)),"")</x:f>
        <x:v>DPS</x:v>
      </x:c>
      <x:c r="O486" s="4" t="n">
        <x:f>IFERROR(INDEX('_怪物基线'!$B$2:$B$501,MATCH(INT($L486),'_怪物基线'!$A$2:$A$501,0)),"")</x:f>
        <x:v>381951</x:v>
      </x:c>
      <x:c r="P486" s="4" t="n">
        <x:f>IFERROR(INDEX('_怪物基线'!$C$2:$C$501,MATCH(INT($L486),'_怪物基线'!$A$2:$A$501,0)),"")</x:f>
        <x:v>35889</x:v>
      </x:c>
      <x:c r="Q486" s="4" t="n">
        <x:f>IFERROR(INDEX('_怪物基线'!$D$2:$D$501,MATCH(INT($L486),'_怪物基线'!$A$2:$A$501,0)),"")</x:f>
        <x:v>29038</x:v>
      </x:c>
      <x:c r="R486" s="4" t="n">
        <x:f>'参数'!$B$10</x:f>
        <x:v>4</x:v>
      </x:c>
      <x:c r="S486" s="4" t="n">
        <x:f>'参数'!$C$10</x:f>
        <x:v>1.2</x:v>
      </x:c>
      <x:c r="T486" s="4" t="n">
        <x:f>'参数'!$D$10</x:f>
        <x:v>1</x:v>
      </x:c>
      <x:c r="U486" s="4" t="n">
        <x:f t="shared" si="49">IF($O486="","",$O486*$R486)</x:f>
        <x:v>1527804</x:v>
      </x:c>
      <x:c r="V486" s="4" t="n">
        <x:f t="shared" si="50">IF($P486="","",$P486*$S486)</x:f>
        <x:v>43066.799999999996</x:v>
      </x:c>
      <x:c r="W486" s="4" t="n">
        <x:f t="shared" si="51">IF($Q486="","",$Q486*$T486)</x:f>
        <x:v>29038</x:v>
      </x:c>
      <x:c r="X486" s="4" t="n">
        <x:f>IFERROR(INDEX('参数'!$B$5:$B$7,MATCH($N486,'参数'!$A$5:$A$7,0)),"")</x:f>
        <x:v>1</x:v>
      </x:c>
      <x:c r="Y486" s="4" t="n">
        <x:f>IFERROR(INDEX('参数'!$C$5:$C$7,MATCH($N486,'参数'!$A$5:$A$7,0)),"")</x:f>
        <x:v>1.2</x:v>
      </x:c>
      <x:c r="Z486" s="4" t="n">
        <x:f>IFERROR(INDEX('参数'!$D$5:$D$7,MATCH($N486,'参数'!$A$5:$A$7,0)),"")</x:f>
        <x:v>1</x:v>
      </x:c>
      <x:c r="AA486" s="4" t="n">
        <x:f>IFERROR(INDEX('楼层配置'!$E$5:$E$104,MATCH($K486,'楼层配置'!$B$5:$B$104,0)),1)</x:f>
        <x:v>1.1288380999626304</x:v>
      </x:c>
      <x:c r="AB486" s="4" t="n">
        <x:f>IFERROR(INDEX('楼层配置'!$F$5:$F$104,MATCH($K486,'楼层配置'!$B$5:$B$104,0)),1)</x:f>
        <x:v>0.7282933103589967</x:v>
      </x:c>
      <x:c r="AC486" s="4" t="n">
        <x:f>IFERROR(INDEX('楼层配置'!$G$5:$G$104,MATCH($K486,'楼层配置'!$B$5:$B$104,0)),1)</x:f>
        <x:v>1</x:v>
      </x:c>
      <x:c r="AD486" s="6" t="n">
        <x:f t="shared" si="52">IFERROR($D486/$G486-1,"")</x:f>
        <x:v>-0.6023698131373776</x:v>
      </x:c>
      <x:c r="AE486" s="6" t="n">
        <x:f t="shared" si="53">IFERROR($E486/$H486-1,"")</x:f>
        <x:v>-0.44621496358419777</x:v>
      </x:c>
      <x:c r="AF486" s="6" t="n">
        <x:f t="shared" si="54">IFERROR($F486/$I486-1,"")</x:f>
        <x:v>-0.1265453451646864</x:v>
      </x:c>
      <x:c r="AG486" s="4" t="str">
        <x:f t="shared" si="55">IF(AND($A486&gt;=1,$L486&gt;=1,$L486&lt;=500,OR($N486="Tank",$N486="DPS",$N486="Support"),ISNUMBER($D486),ISNUMBER($E486),ISNUMBER($F486)),"有效","异常")</x:f>
        <x:v>有效</x:v>
      </x:c>
      <x:c r="AH486" t="n">
        <x:f>D486/(1-MIN(0.75,F486/(24000+F486)))</x:f>
        <x:v>3811317.3097499995</x:v>
      </x:c>
    </x:row>
    <x:row r="487" ht="14.25" customHeight="1">
      <x:c r="A487" s="4">
        <x:v>483</x:v>
      </x:c>
      <x:c r="B487" s="4">
        <x:v>1007</x:v>
      </x:c>
      <x:c r="C487" s="4">
        <x:v>58</x:v>
      </x:c>
      <x:c r="D487" s="5" t="n">
        <x:f>IFERROR(ROUND($U487*$X487*$AA487*'参数'!$B$13,0),"")</x:f>
        <x:v>2155804</x:v>
      </x:c>
      <x:c r="E487" s="5" t="n">
        <x:f>IFERROR(ROUND($V487*$Y487*$AB487*'参数'!$C$13,0),"")</x:f>
        <x:v>31365</x:v>
      </x:c>
      <x:c r="F487" s="5" t="n">
        <x:f>IFERROR(ROUND($W487*$Z487*$AC487*'参数'!$D$13,0),"")</x:f>
        <x:v>36298</x:v>
      </x:c>
      <x:c r="G487" s="4">
        <x:v>5421630</x:v>
      </x:c>
      <x:c r="H487" s="4">
        <x:v>56638</x:v>
      </x:c>
      <x:c r="I487" s="4">
        <x:v>41557</x:v>
      </x:c>
      <x:c r="J487" s="4">
        <x:v>97</x:v>
      </x:c>
      <x:c r="K487" s="4">
        <x:v>97</x:v>
      </x:c>
      <x:c r="L487" s="4" t="n">
        <x:f>IFERROR(INDEX('楼层配置'!$D$5:$D$104,MATCH($K487,'楼层配置'!$B$5:$B$104,0)),"")</x:f>
        <x:v>276</x:v>
      </x:c>
      <x:c r="M487" s="4" t="str">
        <x:f>IFERROR(INDEX('_角色基线'!$B$2:$B$100,MATCH($B487,'_角色基线'!$A$2:$A$100,0)),"")</x:f>
        <x:v>萨萨莉安</x:v>
      </x:c>
      <x:c r="N487" s="4" t="str">
        <x:f>IFERROR(INDEX('_角色基线'!$C$2:$C$100,MATCH($B487,'_角色基线'!$A$2:$A$100,0)),"")</x:f>
        <x:v>Support</x:v>
      </x:c>
      <x:c r="O487" s="4" t="n">
        <x:f>IFERROR(INDEX('_怪物基线'!$B$2:$B$501,MATCH(INT($L487),'_怪物基线'!$A$2:$A$501,0)),"")</x:f>
        <x:v>381951</x:v>
      </x:c>
      <x:c r="P487" s="4" t="n">
        <x:f>IFERROR(INDEX('_怪物基线'!$C$2:$C$501,MATCH(INT($L487),'_怪物基线'!$A$2:$A$501,0)),"")</x:f>
        <x:v>35889</x:v>
      </x:c>
      <x:c r="Q487" s="4" t="n">
        <x:f>IFERROR(INDEX('_怪物基线'!$D$2:$D$501,MATCH(INT($L487),'_怪物基线'!$A$2:$A$501,0)),"")</x:f>
        <x:v>29038</x:v>
      </x:c>
      <x:c r="R487" s="4" t="n">
        <x:f>'参数'!$B$10</x:f>
        <x:v>4</x:v>
      </x:c>
      <x:c r="S487" s="4" t="n">
        <x:f>'参数'!$C$10</x:f>
        <x:v>1.2</x:v>
      </x:c>
      <x:c r="T487" s="4" t="n">
        <x:f>'参数'!$D$10</x:f>
        <x:v>1</x:v>
      </x:c>
      <x:c r="U487" s="4" t="n">
        <x:f t="shared" si="49">IF($O487="","",$O487*$R487)</x:f>
        <x:v>1527804</x:v>
      </x:c>
      <x:c r="V487" s="4" t="n">
        <x:f t="shared" si="50">IF($P487="","",$P487*$S487)</x:f>
        <x:v>43066.799999999996</x:v>
      </x:c>
      <x:c r="W487" s="4" t="n">
        <x:f t="shared" si="51">IF($Q487="","",$Q487*$T487)</x:f>
        <x:v>29038</x:v>
      </x:c>
      <x:c r="X487" s="4" t="n">
        <x:f>IFERROR(INDEX('参数'!$B$5:$B$7,MATCH($N487,'参数'!$A$5:$A$7,0)),"")</x:f>
        <x:v>1.25</x:v>
      </x:c>
      <x:c r="Y487" s="4" t="n">
        <x:f>IFERROR(INDEX('参数'!$C$5:$C$7,MATCH($N487,'参数'!$A$5:$A$7,0)),"")</x:f>
        <x:v>1</x:v>
      </x:c>
      <x:c r="Z487" s="4" t="n">
        <x:f>IFERROR(INDEX('参数'!$D$5:$D$7,MATCH($N487,'参数'!$A$5:$A$7,0)),"")</x:f>
        <x:v>1.25</x:v>
      </x:c>
      <x:c r="AA487" s="4" t="n">
        <x:f>IFERROR(INDEX('楼层配置'!$E$5:$E$104,MATCH($K487,'楼层配置'!$B$5:$B$104,0)),1)</x:f>
        <x:v>1.1288380999626304</x:v>
      </x:c>
      <x:c r="AB487" s="4" t="n">
        <x:f>IFERROR(INDEX('楼层配置'!$F$5:$F$104,MATCH($K487,'楼层配置'!$B$5:$B$104,0)),1)</x:f>
        <x:v>0.7282933103589967</x:v>
      </x:c>
      <x:c r="AC487" s="4" t="n">
        <x:f>IFERROR(INDEX('楼层配置'!$G$5:$G$104,MATCH($K487,'楼层配置'!$B$5:$B$104,0)),1)</x:f>
        <x:v>1</x:v>
      </x:c>
      <x:c r="AD487" s="6" t="n">
        <x:f t="shared" si="52">IFERROR($D487/$G487-1,"")</x:f>
        <x:v>-0.6023697670257837</x:v>
      </x:c>
      <x:c r="AE487" s="6" t="n">
        <x:f t="shared" si="53">IFERROR($E487/$H487-1,"")</x:f>
        <x:v>-0.4462198523959179</x:v>
      </x:c>
      <x:c r="AF487" s="6" t="n">
        <x:f t="shared" si="54">IFERROR($F487/$I487-1,"")</x:f>
        <x:v>-0.1265490771711144</x:v>
      </x:c>
      <x:c r="AG487" s="4" t="str">
        <x:f t="shared" si="55">IF(AND($A487&gt;=1,$L487&gt;=1,$L487&lt;=500,OR($N487="Tank",$N487="DPS",$N487="Support"),ISNUMBER($D487),ISNUMBER($E487),ISNUMBER($F487)),"有效","异常")</x:f>
        <x:v>有效</x:v>
      </x:c>
      <x:c r="AH487" t="n">
        <x:f>D487/(1-MIN(0.75,F487/(24000+F487)))</x:f>
        <x:v>5416277.899666667</x:v>
      </x:c>
    </x:row>
    <x:row r="488" ht="14.25" customHeight="1">
      <x:c r="A488" s="4">
        <x:v>484</x:v>
      </x:c>
      <x:c r="B488" s="4">
        <x:v>1017</x:v>
      </x:c>
      <x:c r="C488" s="4">
        <x:v>58</x:v>
      </x:c>
      <x:c r="D488" s="5" t="n">
        <x:f>IFERROR(ROUND($U488*$X488*$AA488*'参数'!$B$13,0),"")</x:f>
        <x:v>1724643</x:v>
      </x:c>
      <x:c r="E488" s="5" t="n">
        <x:f>IFERROR(ROUND($V488*$Y488*$AB488*'参数'!$C$13,0),"")</x:f>
        <x:v>37638</x:v>
      </x:c>
      <x:c r="F488" s="5" t="n">
        <x:f>IFERROR(ROUND($W488*$Z488*$AC488*'参数'!$D$13,0),"")</x:f>
        <x:v>29038</x:v>
      </x:c>
      <x:c r="G488" s="4">
        <x:v>4337304</x:v>
      </x:c>
      <x:c r="H488" s="4">
        <x:v>67965</x:v>
      </x:c>
      <x:c r="I488" s="4">
        <x:v>33245</x:v>
      </x:c>
      <x:c r="J488" s="4">
        <x:v>97</x:v>
      </x:c>
      <x:c r="K488" s="4">
        <x:v>97</x:v>
      </x:c>
      <x:c r="L488" s="4" t="n">
        <x:f>IFERROR(INDEX('楼层配置'!$D$5:$D$104,MATCH($K488,'楼层配置'!$B$5:$B$104,0)),"")</x:f>
        <x:v>276</x:v>
      </x:c>
      <x:c r="M488" s="4" t="str">
        <x:f>IFERROR(INDEX('_角色基线'!$B$2:$B$100,MATCH($B488,'_角色基线'!$A$2:$A$100,0)),"")</x:f>
        <x:v>伊戈尔</x:v>
      </x:c>
      <x:c r="N488" s="4" t="str">
        <x:f>IFERROR(INDEX('_角色基线'!$C$2:$C$100,MATCH($B488,'_角色基线'!$A$2:$A$100,0)),"")</x:f>
        <x:v>DPS</x:v>
      </x:c>
      <x:c r="O488" s="4" t="n">
        <x:f>IFERROR(INDEX('_怪物基线'!$B$2:$B$501,MATCH(INT($L488),'_怪物基线'!$A$2:$A$501,0)),"")</x:f>
        <x:v>381951</x:v>
      </x:c>
      <x:c r="P488" s="4" t="n">
        <x:f>IFERROR(INDEX('_怪物基线'!$C$2:$C$501,MATCH(INT($L488),'_怪物基线'!$A$2:$A$501,0)),"")</x:f>
        <x:v>35889</x:v>
      </x:c>
      <x:c r="Q488" s="4" t="n">
        <x:f>IFERROR(INDEX('_怪物基线'!$D$2:$D$501,MATCH(INT($L488),'_怪物基线'!$A$2:$A$501,0)),"")</x:f>
        <x:v>29038</x:v>
      </x:c>
      <x:c r="R488" s="4" t="n">
        <x:f>'参数'!$B$10</x:f>
        <x:v>4</x:v>
      </x:c>
      <x:c r="S488" s="4" t="n">
        <x:f>'参数'!$C$10</x:f>
        <x:v>1.2</x:v>
      </x:c>
      <x:c r="T488" s="4" t="n">
        <x:f>'参数'!$D$10</x:f>
        <x:v>1</x:v>
      </x:c>
      <x:c r="U488" s="4" t="n">
        <x:f t="shared" si="49">IF($O488="","",$O488*$R488)</x:f>
        <x:v>1527804</x:v>
      </x:c>
      <x:c r="V488" s="4" t="n">
        <x:f t="shared" si="50">IF($P488="","",$P488*$S488)</x:f>
        <x:v>43066.799999999996</x:v>
      </x:c>
      <x:c r="W488" s="4" t="n">
        <x:f t="shared" si="51">IF($Q488="","",$Q488*$T488)</x:f>
        <x:v>29038</x:v>
      </x:c>
      <x:c r="X488" s="4" t="n">
        <x:f>IFERROR(INDEX('参数'!$B$5:$B$7,MATCH($N488,'参数'!$A$5:$A$7,0)),"")</x:f>
        <x:v>1</x:v>
      </x:c>
      <x:c r="Y488" s="4" t="n">
        <x:f>IFERROR(INDEX('参数'!$C$5:$C$7,MATCH($N488,'参数'!$A$5:$A$7,0)),"")</x:f>
        <x:v>1.2</x:v>
      </x:c>
      <x:c r="Z488" s="4" t="n">
        <x:f>IFERROR(INDEX('参数'!$D$5:$D$7,MATCH($N488,'参数'!$A$5:$A$7,0)),"")</x:f>
        <x:v>1</x:v>
      </x:c>
      <x:c r="AA488" s="4" t="n">
        <x:f>IFERROR(INDEX('楼层配置'!$E$5:$E$104,MATCH($K488,'楼层配置'!$B$5:$B$104,0)),1)</x:f>
        <x:v>1.1288380999626304</x:v>
      </x:c>
      <x:c r="AB488" s="4" t="n">
        <x:f>IFERROR(INDEX('楼层配置'!$F$5:$F$104,MATCH($K488,'楼层配置'!$B$5:$B$104,0)),1)</x:f>
        <x:v>0.7282933103589967</x:v>
      </x:c>
      <x:c r="AC488" s="4" t="n">
        <x:f>IFERROR(INDEX('楼层配置'!$G$5:$G$104,MATCH($K488,'楼层配置'!$B$5:$B$104,0)),1)</x:f>
        <x:v>1</x:v>
      </x:c>
      <x:c r="AD488" s="6" t="n">
        <x:f t="shared" si="52">IFERROR($D488/$G488-1,"")</x:f>
        <x:v>-0.6023698131373776</x:v>
      </x:c>
      <x:c r="AE488" s="6" t="n">
        <x:f t="shared" si="53">IFERROR($E488/$H488-1,"")</x:f>
        <x:v>-0.44621496358419777</x:v>
      </x:c>
      <x:c r="AF488" s="6" t="n">
        <x:f t="shared" si="54">IFERROR($F488/$I488-1,"")</x:f>
        <x:v>-0.1265453451646864</x:v>
      </x:c>
      <x:c r="AG488" s="4" t="str">
        <x:f t="shared" si="55">IF(AND($A488&gt;=1,$L488&gt;=1,$L488&lt;=500,OR($N488="Tank",$N488="DPS",$N488="Support"),ISNUMBER($D488),ISNUMBER($E488),ISNUMBER($F488)),"有效","异常")</x:f>
        <x:v>有效</x:v>
      </x:c>
      <x:c r="AH488" t="n">
        <x:f>D488/(1-MIN(0.75,F488/(24000+F488)))</x:f>
        <x:v>3811317.3097499995</x:v>
      </x:c>
    </x:row>
    <x:row r="489" ht="14.25" customHeight="1">
      <x:c r="A489" s="4">
        <x:v>485</x:v>
      </x:c>
      <x:c r="B489" s="4">
        <x:v>1013</x:v>
      </x:c>
      <x:c r="C489" s="4">
        <x:v>58</x:v>
      </x:c>
      <x:c r="D489" s="5" t="n">
        <x:f>IFERROR(ROUND($U489*$X489*$AA489*'参数'!$B$13,0),"")</x:f>
        <x:v>1724643</x:v>
      </x:c>
      <x:c r="E489" s="5" t="n">
        <x:f>IFERROR(ROUND($V489*$Y489*$AB489*'参数'!$C$13,0),"")</x:f>
        <x:v>37638</x:v>
      </x:c>
      <x:c r="F489" s="5" t="n">
        <x:f>IFERROR(ROUND($W489*$Z489*$AC489*'参数'!$D$13,0),"")</x:f>
        <x:v>29038</x:v>
      </x:c>
      <x:c r="G489" s="4">
        <x:v>4337304</x:v>
      </x:c>
      <x:c r="H489" s="4">
        <x:v>67965</x:v>
      </x:c>
      <x:c r="I489" s="4">
        <x:v>33245</x:v>
      </x:c>
      <x:c r="J489" s="4">
        <x:v>97</x:v>
      </x:c>
      <x:c r="K489" s="4">
        <x:v>97</x:v>
      </x:c>
      <x:c r="L489" s="4" t="n">
        <x:f>IFERROR(INDEX('楼层配置'!$D$5:$D$104,MATCH($K489,'楼层配置'!$B$5:$B$104,0)),"")</x:f>
        <x:v>276</x:v>
      </x:c>
      <x:c r="M489" s="4" t="str">
        <x:f>IFERROR(INDEX('_角色基线'!$B$2:$B$100,MATCH($B489,'_角色基线'!$A$2:$A$100,0)),"")</x:f>
        <x:v>夏缇拉</x:v>
      </x:c>
      <x:c r="N489" s="4" t="str">
        <x:f>IFERROR(INDEX('_角色基线'!$C$2:$C$100,MATCH($B489,'_角色基线'!$A$2:$A$100,0)),"")</x:f>
        <x:v>DPS</x:v>
      </x:c>
      <x:c r="O489" s="4" t="n">
        <x:f>IFERROR(INDEX('_怪物基线'!$B$2:$B$501,MATCH(INT($L489),'_怪物基线'!$A$2:$A$501,0)),"")</x:f>
        <x:v>381951</x:v>
      </x:c>
      <x:c r="P489" s="4" t="n">
        <x:f>IFERROR(INDEX('_怪物基线'!$C$2:$C$501,MATCH(INT($L489),'_怪物基线'!$A$2:$A$501,0)),"")</x:f>
        <x:v>35889</x:v>
      </x:c>
      <x:c r="Q489" s="4" t="n">
        <x:f>IFERROR(INDEX('_怪物基线'!$D$2:$D$501,MATCH(INT($L489),'_怪物基线'!$A$2:$A$501,0)),"")</x:f>
        <x:v>29038</x:v>
      </x:c>
      <x:c r="R489" s="4" t="n">
        <x:f>'参数'!$B$10</x:f>
        <x:v>4</x:v>
      </x:c>
      <x:c r="S489" s="4" t="n">
        <x:f>'参数'!$C$10</x:f>
        <x:v>1.2</x:v>
      </x:c>
      <x:c r="T489" s="4" t="n">
        <x:f>'参数'!$D$10</x:f>
        <x:v>1</x:v>
      </x:c>
      <x:c r="U489" s="4" t="n">
        <x:f t="shared" si="49">IF($O489="","",$O489*$R489)</x:f>
        <x:v>1527804</x:v>
      </x:c>
      <x:c r="V489" s="4" t="n">
        <x:f t="shared" si="50">IF($P489="","",$P489*$S489)</x:f>
        <x:v>43066.799999999996</x:v>
      </x:c>
      <x:c r="W489" s="4" t="n">
        <x:f t="shared" si="51">IF($Q489="","",$Q489*$T489)</x:f>
        <x:v>29038</x:v>
      </x:c>
      <x:c r="X489" s="4" t="n">
        <x:f>IFERROR(INDEX('参数'!$B$5:$B$7,MATCH($N489,'参数'!$A$5:$A$7,0)),"")</x:f>
        <x:v>1</x:v>
      </x:c>
      <x:c r="Y489" s="4" t="n">
        <x:f>IFERROR(INDEX('参数'!$C$5:$C$7,MATCH($N489,'参数'!$A$5:$A$7,0)),"")</x:f>
        <x:v>1.2</x:v>
      </x:c>
      <x:c r="Z489" s="4" t="n">
        <x:f>IFERROR(INDEX('参数'!$D$5:$D$7,MATCH($N489,'参数'!$A$5:$A$7,0)),"")</x:f>
        <x:v>1</x:v>
      </x:c>
      <x:c r="AA489" s="4" t="n">
        <x:f>IFERROR(INDEX('楼层配置'!$E$5:$E$104,MATCH($K489,'楼层配置'!$B$5:$B$104,0)),1)</x:f>
        <x:v>1.1288380999626304</x:v>
      </x:c>
      <x:c r="AB489" s="4" t="n">
        <x:f>IFERROR(INDEX('楼层配置'!$F$5:$F$104,MATCH($K489,'楼层配置'!$B$5:$B$104,0)),1)</x:f>
        <x:v>0.7282933103589967</x:v>
      </x:c>
      <x:c r="AC489" s="4" t="n">
        <x:f>IFERROR(INDEX('楼层配置'!$G$5:$G$104,MATCH($K489,'楼层配置'!$B$5:$B$104,0)),1)</x:f>
        <x:v>1</x:v>
      </x:c>
      <x:c r="AD489" s="6" t="n">
        <x:f t="shared" si="52">IFERROR($D489/$G489-1,"")</x:f>
        <x:v>-0.6023698131373776</x:v>
      </x:c>
      <x:c r="AE489" s="6" t="n">
        <x:f t="shared" si="53">IFERROR($E489/$H489-1,"")</x:f>
        <x:v>-0.44621496358419777</x:v>
      </x:c>
      <x:c r="AF489" s="6" t="n">
        <x:f t="shared" si="54">IFERROR($F489/$I489-1,"")</x:f>
        <x:v>-0.1265453451646864</x:v>
      </x:c>
      <x:c r="AG489" s="4" t="str">
        <x:f t="shared" si="55">IF(AND($A489&gt;=1,$L489&gt;=1,$L489&lt;=500,OR($N489="Tank",$N489="DPS",$N489="Support"),ISNUMBER($D489),ISNUMBER($E489),ISNUMBER($F489)),"有效","异常")</x:f>
        <x:v>有效</x:v>
      </x:c>
      <x:c r="AH489" t="n">
        <x:f>D489/(1-MIN(0.75,F489/(24000+F489)))</x:f>
        <x:v>3811317.3097499995</x:v>
      </x:c>
    </x:row>
    <x:row r="490" ht="14.25" customHeight="1">
      <x:c r="A490" s="4">
        <x:v>486</x:v>
      </x:c>
      <x:c r="B490" s="4">
        <x:v>1003</x:v>
      </x:c>
      <x:c r="C490" s="4">
        <x:v>59</x:v>
      </x:c>
      <x:c r="D490" s="5" t="n">
        <x:f>IFERROR(ROUND($U490*$X490*$AA490*'参数'!$B$13,0),"")</x:f>
        <x:v>2636273</x:v>
      </x:c>
      <x:c r="E490" s="5" t="n">
        <x:f>IFERROR(ROUND($V490*$Y490*$AB490*'参数'!$C$13,0),"")</x:f>
        <x:v>31871</x:v>
      </x:c>
      <x:c r="F490" s="5" t="n">
        <x:f>IFERROR(ROUND($W490*$Z490*$AC490*'参数'!$D$13,0),"")</x:f>
        <x:v>43967</x:v>
      </x:c>
      <x:c r="G490" s="4">
        <x:v>6696453</x:v>
      </x:c>
      <x:c r="H490" s="4">
        <x:v>58078</x:v>
      </x:c>
      <x:c r="I490" s="4">
        <x:v>50582</x:v>
      </x:c>
      <x:c r="J490" s="4">
        <x:v>98</x:v>
      </x:c>
      <x:c r="K490" s="4">
        <x:v>98</x:v>
      </x:c>
      <x:c r="L490" s="4" t="n">
        <x:f>IFERROR(INDEX('楼层配置'!$D$5:$D$104,MATCH($K490,'楼层配置'!$B$5:$B$104,0)),"")</x:f>
        <x:v>278</x:v>
      </x:c>
      <x:c r="M490" s="4" t="str">
        <x:f>IFERROR(INDEX('_角色基线'!$B$2:$B$100,MATCH($B490,'_角色基线'!$A$2:$A$100,0)),"")</x:f>
        <x:v>塔拉夏</x:v>
      </x:c>
      <x:c r="N490" s="4" t="str">
        <x:f>IFERROR(INDEX('_角色基线'!$C$2:$C$100,MATCH($B490,'_角色基线'!$A$2:$A$100,0)),"")</x:f>
        <x:v>Tank</x:v>
      </x:c>
      <x:c r="O490" s="4" t="n">
        <x:f>IFERROR(INDEX('_怪物基线'!$B$2:$B$501,MATCH(INT($L490),'_怪物基线'!$A$2:$A$501,0)),"")</x:f>
        <x:v>389536</x:v>
      </x:c>
      <x:c r="P490" s="4" t="n">
        <x:f>IFERROR(INDEX('_怪物基线'!$C$2:$C$501,MATCH(INT($L490),'_怪物基线'!$A$2:$A$501,0)),"")</x:f>
        <x:v>36421</x:v>
      </x:c>
      <x:c r="Q490" s="4" t="n">
        <x:f>IFERROR(INDEX('_怪物基线'!$D$2:$D$501,MATCH(INT($L490),'_怪物基线'!$A$2:$A$501,0)),"")</x:f>
        <x:v>29311</x:v>
      </x:c>
      <x:c r="R490" s="4" t="n">
        <x:f>'参数'!$B$10</x:f>
        <x:v>4</x:v>
      </x:c>
      <x:c r="S490" s="4" t="n">
        <x:f>'参数'!$C$10</x:f>
        <x:v>1.2</x:v>
      </x:c>
      <x:c r="T490" s="4" t="n">
        <x:f>'参数'!$D$10</x:f>
        <x:v>1</x:v>
      </x:c>
      <x:c r="U490" s="4" t="n">
        <x:f t="shared" si="49">IF($O490="","",$O490*$R490)</x:f>
        <x:v>1558144</x:v>
      </x:c>
      <x:c r="V490" s="4" t="n">
        <x:f t="shared" si="50">IF($P490="","",$P490*$S490)</x:f>
        <x:v>43705.2</x:v>
      </x:c>
      <x:c r="W490" s="4" t="n">
        <x:f t="shared" si="51">IF($Q490="","",$Q490*$T490)</x:f>
        <x:v>29311</x:v>
      </x:c>
      <x:c r="X490" s="4" t="n">
        <x:f>IFERROR(INDEX('参数'!$B$5:$B$7,MATCH($N490,'参数'!$A$5:$A$7,0)),"")</x:f>
        <x:v>1.5</x:v>
      </x:c>
      <x:c r="Y490" s="4" t="n">
        <x:f>IFERROR(INDEX('参数'!$C$5:$C$7,MATCH($N490,'参数'!$A$5:$A$7,0)),"")</x:f>
        <x:v>1</x:v>
      </x:c>
      <x:c r="Z490" s="4" t="n">
        <x:f>IFERROR(INDEX('参数'!$D$5:$D$7,MATCH($N490,'参数'!$A$5:$A$7,0)),"")</x:f>
        <x:v>1.5</x:v>
      </x:c>
      <x:c r="AA490" s="4" t="n">
        <x:f>IFERROR(INDEX('楼层配置'!$E$5:$E$104,MATCH($K490,'楼层配置'!$B$5:$B$104,0)),1)</x:f>
        <x:v>1.1279541801684885</x:v>
      </x:c>
      <x:c r="AB490" s="4" t="n">
        <x:f>IFERROR(INDEX('楼层配置'!$F$5:$F$104,MATCH($K490,'楼层配置'!$B$5:$B$104,0)),1)</x:f>
        <x:v>0.7292239834691082</x:v>
      </x:c>
      <x:c r="AC490" s="4" t="n">
        <x:f>IFERROR(INDEX('楼层配置'!$G$5:$G$104,MATCH($K490,'楼层配置'!$B$5:$B$104,0)),1)</x:f>
        <x:v>1</x:v>
      </x:c>
      <x:c r="AD490" s="6" t="n">
        <x:f t="shared" si="52">IFERROR($D490/$G490-1,"")</x:f>
        <x:v>-0.6063180014852639</x:v>
      </x:c>
      <x:c r="AE490" s="6" t="n">
        <x:f t="shared" si="53">IFERROR($E490/$H490-1,"")</x:f>
        <x:v>-0.45123799028892175</x:v>
      </x:c>
      <x:c r="AF490" s="6" t="n">
        <x:f t="shared" si="54">IFERROR($F490/$I490-1,"")</x:f>
        <x:v>-0.1307777470246333</x:v>
      </x:c>
      <x:c r="AG490" s="4" t="str">
        <x:f t="shared" si="55">IF(AND($A490&gt;=1,$L490&gt;=1,$L490&lt;=500,OR($N490="Tank",$N490="DPS",$N490="Support"),ISNUMBER($D490),ISNUMBER($E490),ISNUMBER($F490)),"有效","异常")</x:f>
        <x:v>有效</x:v>
      </x:c>
      <x:c r="AH490" t="n">
        <x:f>D490/(1-MIN(0.75,F490/(24000+F490)))</x:f>
        <x:v>7465815.291291666</x:v>
      </x:c>
    </x:row>
    <x:row r="491" ht="14.25" customHeight="1">
      <x:c r="A491" s="4">
        <x:v>487</x:v>
      </x:c>
      <x:c r="B491" s="4">
        <x:v>1005</x:v>
      </x:c>
      <x:c r="C491" s="4">
        <x:v>59</x:v>
      </x:c>
      <x:c r="D491" s="5" t="n">
        <x:f>IFERROR(ROUND($U491*$X491*$AA491*'参数'!$B$13,0),"")</x:f>
        <x:v>1757515</x:v>
      </x:c>
      <x:c r="E491" s="5" t="n">
        <x:f>IFERROR(ROUND($V491*$Y491*$AB491*'参数'!$C$13,0),"")</x:f>
        <x:v>38245</x:v>
      </x:c>
      <x:c r="F491" s="5" t="n">
        <x:f>IFERROR(ROUND($W491*$Z491*$AC491*'参数'!$D$13,0),"")</x:f>
        <x:v>29311</x:v>
      </x:c>
      <x:c r="G491" s="4">
        <x:v>4464302</x:v>
      </x:c>
      <x:c r="H491" s="4">
        <x:v>69693</x:v>
      </x:c>
      <x:c r="I491" s="4">
        <x:v>33721</x:v>
      </x:c>
      <x:c r="J491" s="4">
        <x:v>98</x:v>
      </x:c>
      <x:c r="K491" s="4">
        <x:v>98</x:v>
      </x:c>
      <x:c r="L491" s="4" t="n">
        <x:f>IFERROR(INDEX('楼层配置'!$D$5:$D$104,MATCH($K491,'楼层配置'!$B$5:$B$104,0)),"")</x:f>
        <x:v>278</x:v>
      </x:c>
      <x:c r="M491" s="4" t="str">
        <x:f>IFERROR(INDEX('_角色基线'!$B$2:$B$100,MATCH($B491,'_角色基线'!$A$2:$A$100,0)),"")</x:f>
        <x:v>陈单单</x:v>
      </x:c>
      <x:c r="N491" s="4" t="str">
        <x:f>IFERROR(INDEX('_角色基线'!$C$2:$C$100,MATCH($B491,'_角色基线'!$A$2:$A$100,0)),"")</x:f>
        <x:v>DPS</x:v>
      </x:c>
      <x:c r="O491" s="4" t="n">
        <x:f>IFERROR(INDEX('_怪物基线'!$B$2:$B$501,MATCH(INT($L491),'_怪物基线'!$A$2:$A$501,0)),"")</x:f>
        <x:v>389536</x:v>
      </x:c>
      <x:c r="P491" s="4" t="n">
        <x:f>IFERROR(INDEX('_怪物基线'!$C$2:$C$501,MATCH(INT($L491),'_怪物基线'!$A$2:$A$501,0)),"")</x:f>
        <x:v>36421</x:v>
      </x:c>
      <x:c r="Q491" s="4" t="n">
        <x:f>IFERROR(INDEX('_怪物基线'!$D$2:$D$501,MATCH(INT($L491),'_怪物基线'!$A$2:$A$501,0)),"")</x:f>
        <x:v>29311</x:v>
      </x:c>
      <x:c r="R491" s="4" t="n">
        <x:f>'参数'!$B$10</x:f>
        <x:v>4</x:v>
      </x:c>
      <x:c r="S491" s="4" t="n">
        <x:f>'参数'!$C$10</x:f>
        <x:v>1.2</x:v>
      </x:c>
      <x:c r="T491" s="4" t="n">
        <x:f>'参数'!$D$10</x:f>
        <x:v>1</x:v>
      </x:c>
      <x:c r="U491" s="4" t="n">
        <x:f t="shared" si="49">IF($O491="","",$O491*$R491)</x:f>
        <x:v>1558144</x:v>
      </x:c>
      <x:c r="V491" s="4" t="n">
        <x:f t="shared" si="50">IF($P491="","",$P491*$S491)</x:f>
        <x:v>43705.2</x:v>
      </x:c>
      <x:c r="W491" s="4" t="n">
        <x:f t="shared" si="51">IF($Q491="","",$Q491*$T491)</x:f>
        <x:v>29311</x:v>
      </x:c>
      <x:c r="X491" s="4" t="n">
        <x:f>IFERROR(INDEX('参数'!$B$5:$B$7,MATCH($N491,'参数'!$A$5:$A$7,0)),"")</x:f>
        <x:v>1</x:v>
      </x:c>
      <x:c r="Y491" s="4" t="n">
        <x:f>IFERROR(INDEX('参数'!$C$5:$C$7,MATCH($N491,'参数'!$A$5:$A$7,0)),"")</x:f>
        <x:v>1.2</x:v>
      </x:c>
      <x:c r="Z491" s="4" t="n">
        <x:f>IFERROR(INDEX('参数'!$D$5:$D$7,MATCH($N491,'参数'!$A$5:$A$7,0)),"")</x:f>
        <x:v>1</x:v>
      </x:c>
      <x:c r="AA491" s="4" t="n">
        <x:f>IFERROR(INDEX('楼层配置'!$E$5:$E$104,MATCH($K491,'楼层配置'!$B$5:$B$104,0)),1)</x:f>
        <x:v>1.1279541801684885</x:v>
      </x:c>
      <x:c r="AB491" s="4" t="n">
        <x:f>IFERROR(INDEX('楼层配置'!$F$5:$F$104,MATCH($K491,'楼层配置'!$B$5:$B$104,0)),1)</x:f>
        <x:v>0.7292239834691082</x:v>
      </x:c>
      <x:c r="AC491" s="4" t="n">
        <x:f>IFERROR(INDEX('楼层配置'!$G$5:$G$104,MATCH($K491,'楼层配置'!$B$5:$B$104,0)),1)</x:f>
        <x:v>1</x:v>
      </x:c>
      <x:c r="AD491" s="6" t="n">
        <x:f t="shared" si="52">IFERROR($D491/$G491-1,"")</x:f>
        <x:v>-0.6063180761516582</x:v>
      </x:c>
      <x:c r="AE491" s="6" t="n">
        <x:f t="shared" si="53">IFERROR($E491/$H491-1,"")</x:f>
        <x:v>-0.45123613562337683</x:v>
      </x:c>
      <x:c r="AF491" s="6" t="n">
        <x:f t="shared" si="54">IFERROR($F491/$I491-1,"")</x:f>
        <x:v>-0.13077903976750394</x:v>
      </x:c>
      <x:c r="AG491" s="4" t="str">
        <x:f t="shared" si="55">IF(AND($A491&gt;=1,$L491&gt;=1,$L491&lt;=500,OR($N491="Tank",$N491="DPS",$N491="Support"),ISNUMBER($D491),ISNUMBER($E491),ISNUMBER($F491)),"有效","异常")</x:f>
        <x:v>有效</x:v>
      </x:c>
      <x:c r="AH491" t="n">
        <x:f>D491/(1-MIN(0.75,F491/(24000+F491)))</x:f>
        <x:v>3903953.4235416665</x:v>
      </x:c>
    </x:row>
    <x:row r="492" ht="14.25" customHeight="1">
      <x:c r="A492" s="4">
        <x:v>488</x:v>
      </x:c>
      <x:c r="B492" s="4">
        <x:v>1005</x:v>
      </x:c>
      <x:c r="C492" s="4">
        <x:v>59</x:v>
      </x:c>
      <x:c r="D492" s="5" t="n">
        <x:f>IFERROR(ROUND($U492*$X492*$AA492*'参数'!$B$13,0),"")</x:f>
        <x:v>1757515</x:v>
      </x:c>
      <x:c r="E492" s="5" t="n">
        <x:f>IFERROR(ROUND($V492*$Y492*$AB492*'参数'!$C$13,0),"")</x:f>
        <x:v>38245</x:v>
      </x:c>
      <x:c r="F492" s="5" t="n">
        <x:f>IFERROR(ROUND($W492*$Z492*$AC492*'参数'!$D$13,0),"")</x:f>
        <x:v>29311</x:v>
      </x:c>
      <x:c r="G492" s="4">
        <x:v>4464302</x:v>
      </x:c>
      <x:c r="H492" s="4">
        <x:v>69693</x:v>
      </x:c>
      <x:c r="I492" s="4">
        <x:v>33721</x:v>
      </x:c>
      <x:c r="J492" s="4">
        <x:v>98</x:v>
      </x:c>
      <x:c r="K492" s="4">
        <x:v>98</x:v>
      </x:c>
      <x:c r="L492" s="4" t="n">
        <x:f>IFERROR(INDEX('楼层配置'!$D$5:$D$104,MATCH($K492,'楼层配置'!$B$5:$B$104,0)),"")</x:f>
        <x:v>278</x:v>
      </x:c>
      <x:c r="M492" s="4" t="str">
        <x:f>IFERROR(INDEX('_角色基线'!$B$2:$B$100,MATCH($B492,'_角色基线'!$A$2:$A$100,0)),"")</x:f>
        <x:v>陈单单</x:v>
      </x:c>
      <x:c r="N492" s="4" t="str">
        <x:f>IFERROR(INDEX('_角色基线'!$C$2:$C$100,MATCH($B492,'_角色基线'!$A$2:$A$100,0)),"")</x:f>
        <x:v>DPS</x:v>
      </x:c>
      <x:c r="O492" s="4" t="n">
        <x:f>IFERROR(INDEX('_怪物基线'!$B$2:$B$501,MATCH(INT($L492),'_怪物基线'!$A$2:$A$501,0)),"")</x:f>
        <x:v>389536</x:v>
      </x:c>
      <x:c r="P492" s="4" t="n">
        <x:f>IFERROR(INDEX('_怪物基线'!$C$2:$C$501,MATCH(INT($L492),'_怪物基线'!$A$2:$A$501,0)),"")</x:f>
        <x:v>36421</x:v>
      </x:c>
      <x:c r="Q492" s="4" t="n">
        <x:f>IFERROR(INDEX('_怪物基线'!$D$2:$D$501,MATCH(INT($L492),'_怪物基线'!$A$2:$A$501,0)),"")</x:f>
        <x:v>29311</x:v>
      </x:c>
      <x:c r="R492" s="4" t="n">
        <x:f>'参数'!$B$10</x:f>
        <x:v>4</x:v>
      </x:c>
      <x:c r="S492" s="4" t="n">
        <x:f>'参数'!$C$10</x:f>
        <x:v>1.2</x:v>
      </x:c>
      <x:c r="T492" s="4" t="n">
        <x:f>'参数'!$D$10</x:f>
        <x:v>1</x:v>
      </x:c>
      <x:c r="U492" s="4" t="n">
        <x:f t="shared" si="49">IF($O492="","",$O492*$R492)</x:f>
        <x:v>1558144</x:v>
      </x:c>
      <x:c r="V492" s="4" t="n">
        <x:f t="shared" si="50">IF($P492="","",$P492*$S492)</x:f>
        <x:v>43705.2</x:v>
      </x:c>
      <x:c r="W492" s="4" t="n">
        <x:f t="shared" si="51">IF($Q492="","",$Q492*$T492)</x:f>
        <x:v>29311</x:v>
      </x:c>
      <x:c r="X492" s="4" t="n">
        <x:f>IFERROR(INDEX('参数'!$B$5:$B$7,MATCH($N492,'参数'!$A$5:$A$7,0)),"")</x:f>
        <x:v>1</x:v>
      </x:c>
      <x:c r="Y492" s="4" t="n">
        <x:f>IFERROR(INDEX('参数'!$C$5:$C$7,MATCH($N492,'参数'!$A$5:$A$7,0)),"")</x:f>
        <x:v>1.2</x:v>
      </x:c>
      <x:c r="Z492" s="4" t="n">
        <x:f>IFERROR(INDEX('参数'!$D$5:$D$7,MATCH($N492,'参数'!$A$5:$A$7,0)),"")</x:f>
        <x:v>1</x:v>
      </x:c>
      <x:c r="AA492" s="4" t="n">
        <x:f>IFERROR(INDEX('楼层配置'!$E$5:$E$104,MATCH($K492,'楼层配置'!$B$5:$B$104,0)),1)</x:f>
        <x:v>1.1279541801684885</x:v>
      </x:c>
      <x:c r="AB492" s="4" t="n">
        <x:f>IFERROR(INDEX('楼层配置'!$F$5:$F$104,MATCH($K492,'楼层配置'!$B$5:$B$104,0)),1)</x:f>
        <x:v>0.7292239834691082</x:v>
      </x:c>
      <x:c r="AC492" s="4" t="n">
        <x:f>IFERROR(INDEX('楼层配置'!$G$5:$G$104,MATCH($K492,'楼层配置'!$B$5:$B$104,0)),1)</x:f>
        <x:v>1</x:v>
      </x:c>
      <x:c r="AD492" s="6" t="n">
        <x:f t="shared" si="52">IFERROR($D492/$G492-1,"")</x:f>
        <x:v>-0.6063180761516582</x:v>
      </x:c>
      <x:c r="AE492" s="6" t="n">
        <x:f t="shared" si="53">IFERROR($E492/$H492-1,"")</x:f>
        <x:v>-0.45123613562337683</x:v>
      </x:c>
      <x:c r="AF492" s="6" t="n">
        <x:f t="shared" si="54">IFERROR($F492/$I492-1,"")</x:f>
        <x:v>-0.13077903976750394</x:v>
      </x:c>
      <x:c r="AG492" s="4" t="str">
        <x:f t="shared" si="55">IF(AND($A492&gt;=1,$L492&gt;=1,$L492&lt;=500,OR($N492="Tank",$N492="DPS",$N492="Support"),ISNUMBER($D492),ISNUMBER($E492),ISNUMBER($F492)),"有效","异常")</x:f>
        <x:v>有效</x:v>
      </x:c>
      <x:c r="AH492" t="n">
        <x:f>D492/(1-MIN(0.75,F492/(24000+F492)))</x:f>
        <x:v>3903953.4235416665</x:v>
      </x:c>
    </x:row>
    <x:row r="493" ht="14.25" customHeight="1">
      <x:c r="A493" s="4">
        <x:v>489</x:v>
      </x:c>
      <x:c r="B493" s="4">
        <x:v>1017</x:v>
      </x:c>
      <x:c r="C493" s="4">
        <x:v>59</x:v>
      </x:c>
      <x:c r="D493" s="5" t="n">
        <x:f>IFERROR(ROUND($U493*$X493*$AA493*'参数'!$B$13,0),"")</x:f>
        <x:v>1757515</x:v>
      </x:c>
      <x:c r="E493" s="5" t="n">
        <x:f>IFERROR(ROUND($V493*$Y493*$AB493*'参数'!$C$13,0),"")</x:f>
        <x:v>38245</x:v>
      </x:c>
      <x:c r="F493" s="5" t="n">
        <x:f>IFERROR(ROUND($W493*$Z493*$AC493*'参数'!$D$13,0),"")</x:f>
        <x:v>29311</x:v>
      </x:c>
      <x:c r="G493" s="4">
        <x:v>4464302</x:v>
      </x:c>
      <x:c r="H493" s="4">
        <x:v>69693</x:v>
      </x:c>
      <x:c r="I493" s="4">
        <x:v>33721</x:v>
      </x:c>
      <x:c r="J493" s="4">
        <x:v>98</x:v>
      </x:c>
      <x:c r="K493" s="4">
        <x:v>98</x:v>
      </x:c>
      <x:c r="L493" s="4" t="n">
        <x:f>IFERROR(INDEX('楼层配置'!$D$5:$D$104,MATCH($K493,'楼层配置'!$B$5:$B$104,0)),"")</x:f>
        <x:v>278</x:v>
      </x:c>
      <x:c r="M493" s="4" t="str">
        <x:f>IFERROR(INDEX('_角色基线'!$B$2:$B$100,MATCH($B493,'_角色基线'!$A$2:$A$100,0)),"")</x:f>
        <x:v>伊戈尔</x:v>
      </x:c>
      <x:c r="N493" s="4" t="str">
        <x:f>IFERROR(INDEX('_角色基线'!$C$2:$C$100,MATCH($B493,'_角色基线'!$A$2:$A$100,0)),"")</x:f>
        <x:v>DPS</x:v>
      </x:c>
      <x:c r="O493" s="4" t="n">
        <x:f>IFERROR(INDEX('_怪物基线'!$B$2:$B$501,MATCH(INT($L493),'_怪物基线'!$A$2:$A$501,0)),"")</x:f>
        <x:v>389536</x:v>
      </x:c>
      <x:c r="P493" s="4" t="n">
        <x:f>IFERROR(INDEX('_怪物基线'!$C$2:$C$501,MATCH(INT($L493),'_怪物基线'!$A$2:$A$501,0)),"")</x:f>
        <x:v>36421</x:v>
      </x:c>
      <x:c r="Q493" s="4" t="n">
        <x:f>IFERROR(INDEX('_怪物基线'!$D$2:$D$501,MATCH(INT($L493),'_怪物基线'!$A$2:$A$501,0)),"")</x:f>
        <x:v>29311</x:v>
      </x:c>
      <x:c r="R493" s="4" t="n">
        <x:f>'参数'!$B$10</x:f>
        <x:v>4</x:v>
      </x:c>
      <x:c r="S493" s="4" t="n">
        <x:f>'参数'!$C$10</x:f>
        <x:v>1.2</x:v>
      </x:c>
      <x:c r="T493" s="4" t="n">
        <x:f>'参数'!$D$10</x:f>
        <x:v>1</x:v>
      </x:c>
      <x:c r="U493" s="4" t="n">
        <x:f t="shared" si="49">IF($O493="","",$O493*$R493)</x:f>
        <x:v>1558144</x:v>
      </x:c>
      <x:c r="V493" s="4" t="n">
        <x:f t="shared" si="50">IF($P493="","",$P493*$S493)</x:f>
        <x:v>43705.2</x:v>
      </x:c>
      <x:c r="W493" s="4" t="n">
        <x:f t="shared" si="51">IF($Q493="","",$Q493*$T493)</x:f>
        <x:v>29311</x:v>
      </x:c>
      <x:c r="X493" s="4" t="n">
        <x:f>IFERROR(INDEX('参数'!$B$5:$B$7,MATCH($N493,'参数'!$A$5:$A$7,0)),"")</x:f>
        <x:v>1</x:v>
      </x:c>
      <x:c r="Y493" s="4" t="n">
        <x:f>IFERROR(INDEX('参数'!$C$5:$C$7,MATCH($N493,'参数'!$A$5:$A$7,0)),"")</x:f>
        <x:v>1.2</x:v>
      </x:c>
      <x:c r="Z493" s="4" t="n">
        <x:f>IFERROR(INDEX('参数'!$D$5:$D$7,MATCH($N493,'参数'!$A$5:$A$7,0)),"")</x:f>
        <x:v>1</x:v>
      </x:c>
      <x:c r="AA493" s="4" t="n">
        <x:f>IFERROR(INDEX('楼层配置'!$E$5:$E$104,MATCH($K493,'楼层配置'!$B$5:$B$104,0)),1)</x:f>
        <x:v>1.1279541801684885</x:v>
      </x:c>
      <x:c r="AB493" s="4" t="n">
        <x:f>IFERROR(INDEX('楼层配置'!$F$5:$F$104,MATCH($K493,'楼层配置'!$B$5:$B$104,0)),1)</x:f>
        <x:v>0.7292239834691082</x:v>
      </x:c>
      <x:c r="AC493" s="4" t="n">
        <x:f>IFERROR(INDEX('楼层配置'!$G$5:$G$104,MATCH($K493,'楼层配置'!$B$5:$B$104,0)),1)</x:f>
        <x:v>1</x:v>
      </x:c>
      <x:c r="AD493" s="6" t="n">
        <x:f t="shared" si="52">IFERROR($D493/$G493-1,"")</x:f>
        <x:v>-0.6063180761516582</x:v>
      </x:c>
      <x:c r="AE493" s="6" t="n">
        <x:f t="shared" si="53">IFERROR($E493/$H493-1,"")</x:f>
        <x:v>-0.45123613562337683</x:v>
      </x:c>
      <x:c r="AF493" s="6" t="n">
        <x:f t="shared" si="54">IFERROR($F493/$I493-1,"")</x:f>
        <x:v>-0.13077903976750394</x:v>
      </x:c>
      <x:c r="AG493" s="4" t="str">
        <x:f t="shared" si="55">IF(AND($A493&gt;=1,$L493&gt;=1,$L493&lt;=500,OR($N493="Tank",$N493="DPS",$N493="Support"),ISNUMBER($D493),ISNUMBER($E493),ISNUMBER($F493)),"有效","异常")</x:f>
        <x:v>有效</x:v>
      </x:c>
      <x:c r="AH493" t="n">
        <x:f>D493/(1-MIN(0.75,F493/(24000+F493)))</x:f>
        <x:v>3903953.4235416665</x:v>
      </x:c>
    </x:row>
    <x:row r="494" ht="14.25" customHeight="1">
      <x:c r="A494" s="4">
        <x:v>490</x:v>
      </x:c>
      <x:c r="B494" s="4">
        <x:v>1007</x:v>
      </x:c>
      <x:c r="C494" s="4">
        <x:v>59</x:v>
      </x:c>
      <x:c r="D494" s="5" t="n">
        <x:f>IFERROR(ROUND($U494*$X494*$AA494*'参数'!$B$13,0),"")</x:f>
        <x:v>2196894</x:v>
      </x:c>
      <x:c r="E494" s="5" t="n">
        <x:f>IFERROR(ROUND($V494*$Y494*$AB494*'参数'!$C$13,0),"")</x:f>
        <x:v>31871</x:v>
      </x:c>
      <x:c r="F494" s="5" t="n">
        <x:f>IFERROR(ROUND($W494*$Z494*$AC494*'参数'!$D$13,0),"")</x:f>
        <x:v>36639</x:v>
      </x:c>
      <x:c r="G494" s="4">
        <x:v>5580378</x:v>
      </x:c>
      <x:c r="H494" s="4">
        <x:v>58078</x:v>
      </x:c>
      <x:c r="I494" s="4">
        <x:v>42152</x:v>
      </x:c>
      <x:c r="J494" s="4">
        <x:v>98</x:v>
      </x:c>
      <x:c r="K494" s="4">
        <x:v>98</x:v>
      </x:c>
      <x:c r="L494" s="4" t="n">
        <x:f>IFERROR(INDEX('楼层配置'!$D$5:$D$104,MATCH($K494,'楼层配置'!$B$5:$B$104,0)),"")</x:f>
        <x:v>278</x:v>
      </x:c>
      <x:c r="M494" s="4" t="str">
        <x:f>IFERROR(INDEX('_角色基线'!$B$2:$B$100,MATCH($B494,'_角色基线'!$A$2:$A$100,0)),"")</x:f>
        <x:v>萨萨莉安</x:v>
      </x:c>
      <x:c r="N494" s="4" t="str">
        <x:f>IFERROR(INDEX('_角色基线'!$C$2:$C$100,MATCH($B494,'_角色基线'!$A$2:$A$100,0)),"")</x:f>
        <x:v>Support</x:v>
      </x:c>
      <x:c r="O494" s="4" t="n">
        <x:f>IFERROR(INDEX('_怪物基线'!$B$2:$B$501,MATCH(INT($L494),'_怪物基线'!$A$2:$A$501,0)),"")</x:f>
        <x:v>389536</x:v>
      </x:c>
      <x:c r="P494" s="4" t="n">
        <x:f>IFERROR(INDEX('_怪物基线'!$C$2:$C$501,MATCH(INT($L494),'_怪物基线'!$A$2:$A$501,0)),"")</x:f>
        <x:v>36421</x:v>
      </x:c>
      <x:c r="Q494" s="4" t="n">
        <x:f>IFERROR(INDEX('_怪物基线'!$D$2:$D$501,MATCH(INT($L494),'_怪物基线'!$A$2:$A$501,0)),"")</x:f>
        <x:v>29311</x:v>
      </x:c>
      <x:c r="R494" s="4" t="n">
        <x:f>'参数'!$B$10</x:f>
        <x:v>4</x:v>
      </x:c>
      <x:c r="S494" s="4" t="n">
        <x:f>'参数'!$C$10</x:f>
        <x:v>1.2</x:v>
      </x:c>
      <x:c r="T494" s="4" t="n">
        <x:f>'参数'!$D$10</x:f>
        <x:v>1</x:v>
      </x:c>
      <x:c r="U494" s="4" t="n">
        <x:f t="shared" si="49">IF($O494="","",$O494*$R494)</x:f>
        <x:v>1558144</x:v>
      </x:c>
      <x:c r="V494" s="4" t="n">
        <x:f t="shared" si="50">IF($P494="","",$P494*$S494)</x:f>
        <x:v>43705.2</x:v>
      </x:c>
      <x:c r="W494" s="4" t="n">
        <x:f t="shared" si="51">IF($Q494="","",$Q494*$T494)</x:f>
        <x:v>29311</x:v>
      </x:c>
      <x:c r="X494" s="4" t="n">
        <x:f>IFERROR(INDEX('参数'!$B$5:$B$7,MATCH($N494,'参数'!$A$5:$A$7,0)),"")</x:f>
        <x:v>1.25</x:v>
      </x:c>
      <x:c r="Y494" s="4" t="n">
        <x:f>IFERROR(INDEX('参数'!$C$5:$C$7,MATCH($N494,'参数'!$A$5:$A$7,0)),"")</x:f>
        <x:v>1</x:v>
      </x:c>
      <x:c r="Z494" s="4" t="n">
        <x:f>IFERROR(INDEX('参数'!$D$5:$D$7,MATCH($N494,'参数'!$A$5:$A$7,0)),"")</x:f>
        <x:v>1.25</x:v>
      </x:c>
      <x:c r="AA494" s="4" t="n">
        <x:f>IFERROR(INDEX('楼层配置'!$E$5:$E$104,MATCH($K494,'楼层配置'!$B$5:$B$104,0)),1)</x:f>
        <x:v>1.1279541801684885</x:v>
      </x:c>
      <x:c r="AB494" s="4" t="n">
        <x:f>IFERROR(INDEX('楼层配置'!$F$5:$F$104,MATCH($K494,'楼层配置'!$B$5:$B$104,0)),1)</x:f>
        <x:v>0.7292239834691082</x:v>
      </x:c>
      <x:c r="AC494" s="4" t="n">
        <x:f>IFERROR(INDEX('楼层配置'!$G$5:$G$104,MATCH($K494,'楼层配置'!$B$5:$B$104,0)),1)</x:f>
        <x:v>1</x:v>
      </x:c>
      <x:c r="AD494" s="6" t="n">
        <x:f t="shared" si="52">IFERROR($D494/$G494-1,"")</x:f>
        <x:v>-0.6063180666255942</x:v>
      </x:c>
      <x:c r="AE494" s="6" t="n">
        <x:f t="shared" si="53">IFERROR($E494/$H494-1,"")</x:f>
        <x:v>-0.45123799028892175</x:v>
      </x:c>
      <x:c r="AF494" s="6" t="n">
        <x:f t="shared" si="54">IFERROR($F494/$I494-1,"")</x:f>
        <x:v>-0.13078857468210292</x:v>
      </x:c>
      <x:c r="AG494" s="4" t="str">
        <x:f t="shared" si="55">IF(AND($A494&gt;=1,$L494&gt;=1,$L494&lt;=500,OR($N494="Tank",$N494="DPS",$N494="Support"),ISNUMBER($D494),ISNUMBER($E494),ISNUMBER($F494)),"有效","异常")</x:f>
        <x:v>有效</x:v>
      </x:c>
      <x:c r="AH494" t="n">
        <x:f>D494/(1-MIN(0.75,F494/(24000+F494)))</x:f>
        <x:v>5550727.30275</x:v>
      </x:c>
    </x:row>
    <x:row r="495" ht="14.25" customHeight="1">
      <x:c r="A495" s="4">
        <x:v>491</x:v>
      </x:c>
      <x:c r="B495" s="4">
        <x:v>1003</x:v>
      </x:c>
      <x:c r="C495" s="4">
        <x:v>59</x:v>
      </x:c>
      <x:c r="D495" s="5" t="n">
        <x:f>IFERROR(ROUND($U495*$X495*$AA495*'参数'!$B$13,0),"")</x:f>
        <x:v>2657191</x:v>
      </x:c>
      <x:c r="E495" s="5" t="n">
        <x:f>IFERROR(ROUND($V495*$Y495*$AB495*'参数'!$C$13,0),"")</x:f>
        <x:v>32133</x:v>
      </x:c>
      <x:c r="F495" s="5" t="n">
        <x:f>IFERROR(ROUND($W495*$Z495*$AC495*'参数'!$D$13,0),"")</x:f>
        <x:v>44174</x:v>
      </x:c>
      <x:c r="G495" s="4">
        <x:v>6891192</x:v>
      </x:c>
      <x:c r="H495" s="4">
        <x:v>59554</x:v>
      </x:c>
      <x:c r="I495" s="4">
        <x:v>51301</x:v>
      </x:c>
      <x:c r="J495" s="4">
        <x:v>99</x:v>
      </x:c>
      <x:c r="K495" s="4">
        <x:v>99</x:v>
      </x:c>
      <x:c r="L495" s="4" t="n">
        <x:f>IFERROR(INDEX('楼层配置'!$D$5:$D$104,MATCH($K495,'楼层配置'!$B$5:$B$104,0)),"")</x:f>
        <x:v>279</x:v>
      </x:c>
      <x:c r="M495" s="4" t="str">
        <x:f>IFERROR(INDEX('_角色基线'!$B$2:$B$100,MATCH($B495,'_角色基线'!$A$2:$A$100,0)),"")</x:f>
        <x:v>塔拉夏</x:v>
      </x:c>
      <x:c r="N495" s="4" t="str">
        <x:f>IFERROR(INDEX('_角色基线'!$C$2:$C$100,MATCH($B495,'_角色基线'!$A$2:$A$100,0)),"")</x:f>
        <x:v>Tank</x:v>
      </x:c>
      <x:c r="O495" s="4" t="n">
        <x:f>IFERROR(INDEX('_怪物基线'!$B$2:$B$501,MATCH(INT($L495),'_怪物基线'!$A$2:$A$501,0)),"")</x:f>
        <x:v>393371</x:v>
      </x:c>
      <x:c r="P495" s="4" t="n">
        <x:f>IFERROR(INDEX('_怪物基线'!$C$2:$C$501,MATCH(INT($L495),'_怪物基线'!$A$2:$A$501,0)),"")</x:f>
        <x:v>36690</x:v>
      </x:c>
      <x:c r="Q495" s="4" t="n">
        <x:f>IFERROR(INDEX('_怪物基线'!$D$2:$D$501,MATCH(INT($L495),'_怪物基线'!$A$2:$A$501,0)),"")</x:f>
        <x:v>29449</x:v>
      </x:c>
      <x:c r="R495" s="4" t="n">
        <x:f>'参数'!$B$10</x:f>
        <x:v>4</x:v>
      </x:c>
      <x:c r="S495" s="4" t="n">
        <x:f>'参数'!$C$10</x:f>
        <x:v>1.2</x:v>
      </x:c>
      <x:c r="T495" s="4" t="n">
        <x:f>'参数'!$D$10</x:f>
        <x:v>1</x:v>
      </x:c>
      <x:c r="U495" s="4" t="n">
        <x:f t="shared" si="49">IF($O495="","",$O495*$R495)</x:f>
        <x:v>1573484</x:v>
      </x:c>
      <x:c r="V495" s="4" t="n">
        <x:f t="shared" si="50">IF($P495="","",$P495*$S495)</x:f>
        <x:v>44028</x:v>
      </x:c>
      <x:c r="W495" s="4" t="n">
        <x:f t="shared" si="51">IF($Q495="","",$Q495*$T495)</x:f>
        <x:v>29449</x:v>
      </x:c>
      <x:c r="X495" s="4" t="n">
        <x:f>IFERROR(INDEX('参数'!$B$5:$B$7,MATCH($N495,'参数'!$A$5:$A$7,0)),"")</x:f>
        <x:v>1.5</x:v>
      </x:c>
      <x:c r="Y495" s="4" t="n">
        <x:f>IFERROR(INDEX('参数'!$C$5:$C$7,MATCH($N495,'参数'!$A$5:$A$7,0)),"")</x:f>
        <x:v>1</x:v>
      </x:c>
      <x:c r="Z495" s="4" t="n">
        <x:f>IFERROR(INDEX('参数'!$D$5:$D$7,MATCH($N495,'参数'!$A$5:$A$7,0)),"")</x:f>
        <x:v>1.5</x:v>
      </x:c>
      <x:c r="AA495" s="4" t="n">
        <x:f>IFERROR(INDEX('楼层配置'!$E$5:$E$104,MATCH($K495,'楼层配置'!$B$5:$B$104,0)),1)</x:f>
        <x:v>1.1258206723591904</x:v>
      </x:c>
      <x:c r="AB495" s="4" t="n">
        <x:f>IFERROR(INDEX('楼层配置'!$F$5:$F$104,MATCH($K495,'楼层配置'!$B$5:$B$104,0)),1)</x:f>
        <x:v>0.7298348913195676</x:v>
      </x:c>
      <x:c r="AC495" s="4" t="n">
        <x:f>IFERROR(INDEX('楼层配置'!$G$5:$G$104,MATCH($K495,'楼层配置'!$B$5:$B$104,0)),1)</x:f>
        <x:v>1</x:v>
      </x:c>
      <x:c r="AD495" s="6" t="n">
        <x:f t="shared" si="52">IFERROR($D495/$G495-1,"")</x:f>
        <x:v>-0.6144076380399792</x:v>
      </x:c>
      <x:c r="AE495" s="6" t="n">
        <x:f t="shared" si="53">IFERROR($E495/$H495-1,"")</x:f>
        <x:v>-0.46043926520468814</x:v>
      </x:c>
      <x:c r="AF495" s="6" t="n">
        <x:f t="shared" si="54">IFERROR($F495/$I495-1,"")</x:f>
        <x:v>-0.13892516715073777</x:v>
      </x:c>
      <x:c r="AG495" s="4" t="str">
        <x:f t="shared" si="55">IF(AND($A495&gt;=1,$L495&gt;=1,$L495&lt;=500,OR($N495="Tank",$N495="DPS",$N495="Support"),ISNUMBER($D495),ISNUMBER($E495),ISNUMBER($F495)),"有效","异常")</x:f>
        <x:v>有效</x:v>
      </x:c>
      <x:c r="AH495" t="n">
        <x:f>D495/(1-MIN(0.75,F495/(24000+F495)))</x:f>
        <x:v>7547972.468083334</x:v>
      </x:c>
    </x:row>
    <x:row r="496" ht="14.25" customHeight="1">
      <x:c r="A496" s="4">
        <x:v>492</x:v>
      </x:c>
      <x:c r="B496" s="4">
        <x:v>1017</x:v>
      </x:c>
      <x:c r="C496" s="4">
        <x:v>59</x:v>
      </x:c>
      <x:c r="D496" s="5" t="n">
        <x:f>IFERROR(ROUND($U496*$X496*$AA496*'参数'!$B$13,0),"")</x:f>
        <x:v>1771461</x:v>
      </x:c>
      <x:c r="E496" s="5" t="n">
        <x:f>IFERROR(ROUND($V496*$Y496*$AB496*'参数'!$C$13,0),"")</x:f>
        <x:v>38560</x:v>
      </x:c>
      <x:c r="F496" s="5" t="n">
        <x:f>IFERROR(ROUND($W496*$Z496*$AC496*'参数'!$D$13,0),"")</x:f>
        <x:v>29449</x:v>
      </x:c>
      <x:c r="G496" s="4">
        <x:v>4594128</x:v>
      </x:c>
      <x:c r="H496" s="4">
        <x:v>71464</x:v>
      </x:c>
      <x:c r="I496" s="4">
        <x:v>34200</x:v>
      </x:c>
      <x:c r="J496" s="4">
        <x:v>99</x:v>
      </x:c>
      <x:c r="K496" s="4">
        <x:v>99</x:v>
      </x:c>
      <x:c r="L496" s="4" t="n">
        <x:f>IFERROR(INDEX('楼层配置'!$D$5:$D$104,MATCH($K496,'楼层配置'!$B$5:$B$104,0)),"")</x:f>
        <x:v>279</x:v>
      </x:c>
      <x:c r="M496" s="4" t="str">
        <x:f>IFERROR(INDEX('_角色基线'!$B$2:$B$100,MATCH($B496,'_角色基线'!$A$2:$A$100,0)),"")</x:f>
        <x:v>伊戈尔</x:v>
      </x:c>
      <x:c r="N496" s="4" t="str">
        <x:f>IFERROR(INDEX('_角色基线'!$C$2:$C$100,MATCH($B496,'_角色基线'!$A$2:$A$100,0)),"")</x:f>
        <x:v>DPS</x:v>
      </x:c>
      <x:c r="O496" s="4" t="n">
        <x:f>IFERROR(INDEX('_怪物基线'!$B$2:$B$501,MATCH(INT($L496),'_怪物基线'!$A$2:$A$501,0)),"")</x:f>
        <x:v>393371</x:v>
      </x:c>
      <x:c r="P496" s="4" t="n">
        <x:f>IFERROR(INDEX('_怪物基线'!$C$2:$C$501,MATCH(INT($L496),'_怪物基线'!$A$2:$A$501,0)),"")</x:f>
        <x:v>36690</x:v>
      </x:c>
      <x:c r="Q496" s="4" t="n">
        <x:f>IFERROR(INDEX('_怪物基线'!$D$2:$D$501,MATCH(INT($L496),'_怪物基线'!$A$2:$A$501,0)),"")</x:f>
        <x:v>29449</x:v>
      </x:c>
      <x:c r="R496" s="4" t="n">
        <x:f>'参数'!$B$10</x:f>
        <x:v>4</x:v>
      </x:c>
      <x:c r="S496" s="4" t="n">
        <x:f>'参数'!$C$10</x:f>
        <x:v>1.2</x:v>
      </x:c>
      <x:c r="T496" s="4" t="n">
        <x:f>'参数'!$D$10</x:f>
        <x:v>1</x:v>
      </x:c>
      <x:c r="U496" s="4" t="n">
        <x:f t="shared" si="49">IF($O496="","",$O496*$R496)</x:f>
        <x:v>1573484</x:v>
      </x:c>
      <x:c r="V496" s="4" t="n">
        <x:f t="shared" si="50">IF($P496="","",$P496*$S496)</x:f>
        <x:v>44028</x:v>
      </x:c>
      <x:c r="W496" s="4" t="n">
        <x:f t="shared" si="51">IF($Q496="","",$Q496*$T496)</x:f>
        <x:v>29449</x:v>
      </x:c>
      <x:c r="X496" s="4" t="n">
        <x:f>IFERROR(INDEX('参数'!$B$5:$B$7,MATCH($N496,'参数'!$A$5:$A$7,0)),"")</x:f>
        <x:v>1</x:v>
      </x:c>
      <x:c r="Y496" s="4" t="n">
        <x:f>IFERROR(INDEX('参数'!$C$5:$C$7,MATCH($N496,'参数'!$A$5:$A$7,0)),"")</x:f>
        <x:v>1.2</x:v>
      </x:c>
      <x:c r="Z496" s="4" t="n">
        <x:f>IFERROR(INDEX('参数'!$D$5:$D$7,MATCH($N496,'参数'!$A$5:$A$7,0)),"")</x:f>
        <x:v>1</x:v>
      </x:c>
      <x:c r="AA496" s="4" t="n">
        <x:f>IFERROR(INDEX('楼层配置'!$E$5:$E$104,MATCH($K496,'楼层配置'!$B$5:$B$104,0)),1)</x:f>
        <x:v>1.1258206723591904</x:v>
      </x:c>
      <x:c r="AB496" s="4" t="n">
        <x:f>IFERROR(INDEX('楼层配置'!$F$5:$F$104,MATCH($K496,'楼层配置'!$B$5:$B$104,0)),1)</x:f>
        <x:v>0.7298348913195676</x:v>
      </x:c>
      <x:c r="AC496" s="4" t="n">
        <x:f>IFERROR(INDEX('楼层配置'!$G$5:$G$104,MATCH($K496,'楼层配置'!$B$5:$B$104,0)),1)</x:f>
        <x:v>1</x:v>
      </x:c>
      <x:c r="AD496" s="6" t="n">
        <x:f t="shared" si="52">IFERROR($D496/$G496-1,"")</x:f>
        <x:v>-0.6144075654835912</x:v>
      </x:c>
      <x:c r="AE496" s="6" t="n">
        <x:f t="shared" si="53">IFERROR($E496/$H496-1,"")</x:f>
        <x:v>-0.46042762789656333</x:v>
      </x:c>
      <x:c r="AF496" s="6" t="n">
        <x:f t="shared" si="54">IFERROR($F496/$I496-1,"")</x:f>
        <x:v>-0.13891812865497077</x:v>
      </x:c>
      <x:c r="AG496" s="4" t="str">
        <x:f t="shared" si="55">IF(AND($A496&gt;=1,$L496&gt;=1,$L496&lt;=500,OR($N496="Tank",$N496="DPS",$N496="Support"),ISNUMBER($D496),ISNUMBER($E496),ISNUMBER($F496)),"有效","异常")</x:f>
        <x:v>有效</x:v>
      </x:c>
      <x:c r="AH496" t="n">
        <x:f>D496/(1-MIN(0.75,F496/(24000+F496)))</x:f>
        <x:v>3945117.457875</x:v>
      </x:c>
    </x:row>
    <x:row r="497" ht="14.25" customHeight="1">
      <x:c r="A497" s="4">
        <x:v>493</x:v>
      </x:c>
      <x:c r="B497" s="4">
        <x:v>1017</x:v>
      </x:c>
      <x:c r="C497" s="4">
        <x:v>59</x:v>
      </x:c>
      <x:c r="D497" s="5" t="n">
        <x:f>IFERROR(ROUND($U497*$X497*$AA497*'参数'!$B$13,0),"")</x:f>
        <x:v>1771461</x:v>
      </x:c>
      <x:c r="E497" s="5" t="n">
        <x:f>IFERROR(ROUND($V497*$Y497*$AB497*'参数'!$C$13,0),"")</x:f>
        <x:v>38560</x:v>
      </x:c>
      <x:c r="F497" s="5" t="n">
        <x:f>IFERROR(ROUND($W497*$Z497*$AC497*'参数'!$D$13,0),"")</x:f>
        <x:v>29449</x:v>
      </x:c>
      <x:c r="G497" s="4">
        <x:v>4594128</x:v>
      </x:c>
      <x:c r="H497" s="4">
        <x:v>71464</x:v>
      </x:c>
      <x:c r="I497" s="4">
        <x:v>34200</x:v>
      </x:c>
      <x:c r="J497" s="4">
        <x:v>99</x:v>
      </x:c>
      <x:c r="K497" s="4">
        <x:v>99</x:v>
      </x:c>
      <x:c r="L497" s="4" t="n">
        <x:f>IFERROR(INDEX('楼层配置'!$D$5:$D$104,MATCH($K497,'楼层配置'!$B$5:$B$104,0)),"")</x:f>
        <x:v>279</x:v>
      </x:c>
      <x:c r="M497" s="4" t="str">
        <x:f>IFERROR(INDEX('_角色基线'!$B$2:$B$100,MATCH($B497,'_角色基线'!$A$2:$A$100,0)),"")</x:f>
        <x:v>伊戈尔</x:v>
      </x:c>
      <x:c r="N497" s="4" t="str">
        <x:f>IFERROR(INDEX('_角色基线'!$C$2:$C$100,MATCH($B497,'_角色基线'!$A$2:$A$100,0)),"")</x:f>
        <x:v>DPS</x:v>
      </x:c>
      <x:c r="O497" s="4" t="n">
        <x:f>IFERROR(INDEX('_怪物基线'!$B$2:$B$501,MATCH(INT($L497),'_怪物基线'!$A$2:$A$501,0)),"")</x:f>
        <x:v>393371</x:v>
      </x:c>
      <x:c r="P497" s="4" t="n">
        <x:f>IFERROR(INDEX('_怪物基线'!$C$2:$C$501,MATCH(INT($L497),'_怪物基线'!$A$2:$A$501,0)),"")</x:f>
        <x:v>36690</x:v>
      </x:c>
      <x:c r="Q497" s="4" t="n">
        <x:f>IFERROR(INDEX('_怪物基线'!$D$2:$D$501,MATCH(INT($L497),'_怪物基线'!$A$2:$A$501,0)),"")</x:f>
        <x:v>29449</x:v>
      </x:c>
      <x:c r="R497" s="4" t="n">
        <x:f>'参数'!$B$10</x:f>
        <x:v>4</x:v>
      </x:c>
      <x:c r="S497" s="4" t="n">
        <x:f>'参数'!$C$10</x:f>
        <x:v>1.2</x:v>
      </x:c>
      <x:c r="T497" s="4" t="n">
        <x:f>'参数'!$D$10</x:f>
        <x:v>1</x:v>
      </x:c>
      <x:c r="U497" s="4" t="n">
        <x:f t="shared" si="49">IF($O497="","",$O497*$R497)</x:f>
        <x:v>1573484</x:v>
      </x:c>
      <x:c r="V497" s="4" t="n">
        <x:f t="shared" si="50">IF($P497="","",$P497*$S497)</x:f>
        <x:v>44028</x:v>
      </x:c>
      <x:c r="W497" s="4" t="n">
        <x:f t="shared" si="51">IF($Q497="","",$Q497*$T497)</x:f>
        <x:v>29449</x:v>
      </x:c>
      <x:c r="X497" s="4" t="n">
        <x:f>IFERROR(INDEX('参数'!$B$5:$B$7,MATCH($N497,'参数'!$A$5:$A$7,0)),"")</x:f>
        <x:v>1</x:v>
      </x:c>
      <x:c r="Y497" s="4" t="n">
        <x:f>IFERROR(INDEX('参数'!$C$5:$C$7,MATCH($N497,'参数'!$A$5:$A$7,0)),"")</x:f>
        <x:v>1.2</x:v>
      </x:c>
      <x:c r="Z497" s="4" t="n">
        <x:f>IFERROR(INDEX('参数'!$D$5:$D$7,MATCH($N497,'参数'!$A$5:$A$7,0)),"")</x:f>
        <x:v>1</x:v>
      </x:c>
      <x:c r="AA497" s="4" t="n">
        <x:f>IFERROR(INDEX('楼层配置'!$E$5:$E$104,MATCH($K497,'楼层配置'!$B$5:$B$104,0)),1)</x:f>
        <x:v>1.1258206723591904</x:v>
      </x:c>
      <x:c r="AB497" s="4" t="n">
        <x:f>IFERROR(INDEX('楼层配置'!$F$5:$F$104,MATCH($K497,'楼层配置'!$B$5:$B$104,0)),1)</x:f>
        <x:v>0.7298348913195676</x:v>
      </x:c>
      <x:c r="AC497" s="4" t="n">
        <x:f>IFERROR(INDEX('楼层配置'!$G$5:$G$104,MATCH($K497,'楼层配置'!$B$5:$B$104,0)),1)</x:f>
        <x:v>1</x:v>
      </x:c>
      <x:c r="AD497" s="6" t="n">
        <x:f t="shared" si="52">IFERROR($D497/$G497-1,"")</x:f>
        <x:v>-0.6144075654835912</x:v>
      </x:c>
      <x:c r="AE497" s="6" t="n">
        <x:f t="shared" si="53">IFERROR($E497/$H497-1,"")</x:f>
        <x:v>-0.46042762789656333</x:v>
      </x:c>
      <x:c r="AF497" s="6" t="n">
        <x:f t="shared" si="54">IFERROR($F497/$I497-1,"")</x:f>
        <x:v>-0.13891812865497077</x:v>
      </x:c>
      <x:c r="AG497" s="4" t="str">
        <x:f t="shared" si="55">IF(AND($A497&gt;=1,$L497&gt;=1,$L497&lt;=500,OR($N497="Tank",$N497="DPS",$N497="Support"),ISNUMBER($D497),ISNUMBER($E497),ISNUMBER($F497)),"有效","异常")</x:f>
        <x:v>有效</x:v>
      </x:c>
      <x:c r="AH497" t="n">
        <x:f>D497/(1-MIN(0.75,F497/(24000+F497)))</x:f>
        <x:v>3945117.457875</x:v>
      </x:c>
    </x:row>
    <x:row r="498" ht="14.25" customHeight="1">
      <x:c r="A498" s="4">
        <x:v>494</x:v>
      </x:c>
      <x:c r="B498" s="4">
        <x:v>1008</x:v>
      </x:c>
      <x:c r="C498" s="4">
        <x:v>59</x:v>
      </x:c>
      <x:c r="D498" s="5" t="n">
        <x:f>IFERROR(ROUND($U498*$X498*$AA498*'参数'!$B$13,0),"")</x:f>
        <x:v>1771461</x:v>
      </x:c>
      <x:c r="E498" s="5" t="n">
        <x:f>IFERROR(ROUND($V498*$Y498*$AB498*'参数'!$C$13,0),"")</x:f>
        <x:v>38560</x:v>
      </x:c>
      <x:c r="F498" s="5" t="n">
        <x:f>IFERROR(ROUND($W498*$Z498*$AC498*'参数'!$D$13,0),"")</x:f>
        <x:v>29449</x:v>
      </x:c>
      <x:c r="G498" s="4">
        <x:v>4594128</x:v>
      </x:c>
      <x:c r="H498" s="4">
        <x:v>71464</x:v>
      </x:c>
      <x:c r="I498" s="4">
        <x:v>34200</x:v>
      </x:c>
      <x:c r="J498" s="4">
        <x:v>99</x:v>
      </x:c>
      <x:c r="K498" s="4">
        <x:v>99</x:v>
      </x:c>
      <x:c r="L498" s="4" t="n">
        <x:f>IFERROR(INDEX('楼层配置'!$D$5:$D$104,MATCH($K498,'楼层配置'!$B$5:$B$104,0)),"")</x:f>
        <x:v>279</x:v>
      </x:c>
      <x:c r="M498" s="4" t="str">
        <x:f>IFERROR(INDEX('_角色基线'!$B$2:$B$100,MATCH($B498,'_角色基线'!$A$2:$A$100,0)),"")</x:f>
        <x:v>薇</x:v>
      </x:c>
      <x:c r="N498" s="4" t="str">
        <x:f>IFERROR(INDEX('_角色基线'!$C$2:$C$100,MATCH($B498,'_角色基线'!$A$2:$A$100,0)),"")</x:f>
        <x:v>DPS</x:v>
      </x:c>
      <x:c r="O498" s="4" t="n">
        <x:f>IFERROR(INDEX('_怪物基线'!$B$2:$B$501,MATCH(INT($L498),'_怪物基线'!$A$2:$A$501,0)),"")</x:f>
        <x:v>393371</x:v>
      </x:c>
      <x:c r="P498" s="4" t="n">
        <x:f>IFERROR(INDEX('_怪物基线'!$C$2:$C$501,MATCH(INT($L498),'_怪物基线'!$A$2:$A$501,0)),"")</x:f>
        <x:v>36690</x:v>
      </x:c>
      <x:c r="Q498" s="4" t="n">
        <x:f>IFERROR(INDEX('_怪物基线'!$D$2:$D$501,MATCH(INT($L498),'_怪物基线'!$A$2:$A$501,0)),"")</x:f>
        <x:v>29449</x:v>
      </x:c>
      <x:c r="R498" s="4" t="n">
        <x:f>'参数'!$B$10</x:f>
        <x:v>4</x:v>
      </x:c>
      <x:c r="S498" s="4" t="n">
        <x:f>'参数'!$C$10</x:f>
        <x:v>1.2</x:v>
      </x:c>
      <x:c r="T498" s="4" t="n">
        <x:f>'参数'!$D$10</x:f>
        <x:v>1</x:v>
      </x:c>
      <x:c r="U498" s="4" t="n">
        <x:f t="shared" si="49">IF($O498="","",$O498*$R498)</x:f>
        <x:v>1573484</x:v>
      </x:c>
      <x:c r="V498" s="4" t="n">
        <x:f t="shared" si="50">IF($P498="","",$P498*$S498)</x:f>
        <x:v>44028</x:v>
      </x:c>
      <x:c r="W498" s="4" t="n">
        <x:f t="shared" si="51">IF($Q498="","",$Q498*$T498)</x:f>
        <x:v>29449</x:v>
      </x:c>
      <x:c r="X498" s="4" t="n">
        <x:f>IFERROR(INDEX('参数'!$B$5:$B$7,MATCH($N498,'参数'!$A$5:$A$7,0)),"")</x:f>
        <x:v>1</x:v>
      </x:c>
      <x:c r="Y498" s="4" t="n">
        <x:f>IFERROR(INDEX('参数'!$C$5:$C$7,MATCH($N498,'参数'!$A$5:$A$7,0)),"")</x:f>
        <x:v>1.2</x:v>
      </x:c>
      <x:c r="Z498" s="4" t="n">
        <x:f>IFERROR(INDEX('参数'!$D$5:$D$7,MATCH($N498,'参数'!$A$5:$A$7,0)),"")</x:f>
        <x:v>1</x:v>
      </x:c>
      <x:c r="AA498" s="4" t="n">
        <x:f>IFERROR(INDEX('楼层配置'!$E$5:$E$104,MATCH($K498,'楼层配置'!$B$5:$B$104,0)),1)</x:f>
        <x:v>1.1258206723591904</x:v>
      </x:c>
      <x:c r="AB498" s="4" t="n">
        <x:f>IFERROR(INDEX('楼层配置'!$F$5:$F$104,MATCH($K498,'楼层配置'!$B$5:$B$104,0)),1)</x:f>
        <x:v>0.7298348913195676</x:v>
      </x:c>
      <x:c r="AC498" s="4" t="n">
        <x:f>IFERROR(INDEX('楼层配置'!$G$5:$G$104,MATCH($K498,'楼层配置'!$B$5:$B$104,0)),1)</x:f>
        <x:v>1</x:v>
      </x:c>
      <x:c r="AD498" s="6" t="n">
        <x:f t="shared" si="52">IFERROR($D498/$G498-1,"")</x:f>
        <x:v>-0.6144075654835912</x:v>
      </x:c>
      <x:c r="AE498" s="6" t="n">
        <x:f t="shared" si="53">IFERROR($E498/$H498-1,"")</x:f>
        <x:v>-0.46042762789656333</x:v>
      </x:c>
      <x:c r="AF498" s="6" t="n">
        <x:f t="shared" si="54">IFERROR($F498/$I498-1,"")</x:f>
        <x:v>-0.13891812865497077</x:v>
      </x:c>
      <x:c r="AG498" s="4" t="str">
        <x:f t="shared" si="55">IF(AND($A498&gt;=1,$L498&gt;=1,$L498&lt;=500,OR($N498="Tank",$N498="DPS",$N498="Support"),ISNUMBER($D498),ISNUMBER($E498),ISNUMBER($F498)),"有效","异常")</x:f>
        <x:v>有效</x:v>
      </x:c>
      <x:c r="AH498" t="n">
        <x:f>D498/(1-MIN(0.75,F498/(24000+F498)))</x:f>
        <x:v>3945117.457875</x:v>
      </x:c>
    </x:row>
    <x:row r="499" ht="14.25" customHeight="1">
      <x:c r="A499" s="4">
        <x:v>495</x:v>
      </x:c>
      <x:c r="B499" s="4">
        <x:v>1007</x:v>
      </x:c>
      <x:c r="C499" s="4">
        <x:v>59</x:v>
      </x:c>
      <x:c r="D499" s="5" t="n">
        <x:f>IFERROR(ROUND($U499*$X499*$AA499*'参数'!$B$13,0),"")</x:f>
        <x:v>2214326</x:v>
      </x:c>
      <x:c r="E499" s="5" t="n">
        <x:f>IFERROR(ROUND($V499*$Y499*$AB499*'参数'!$C$13,0),"")</x:f>
        <x:v>32133</x:v>
      </x:c>
      <x:c r="F499" s="5" t="n">
        <x:f>IFERROR(ROUND($W499*$Z499*$AC499*'参数'!$D$13,0),"")</x:f>
        <x:v>36811</x:v>
      </x:c>
      <x:c r="G499" s="4">
        <x:v>5742660</x:v>
      </x:c>
      <x:c r="H499" s="4">
        <x:v>59554</x:v>
      </x:c>
      <x:c r="I499" s="4">
        <x:v>42751</x:v>
      </x:c>
      <x:c r="J499" s="4">
        <x:v>99</x:v>
      </x:c>
      <x:c r="K499" s="4">
        <x:v>99</x:v>
      </x:c>
      <x:c r="L499" s="4" t="n">
        <x:f>IFERROR(INDEX('楼层配置'!$D$5:$D$104,MATCH($K499,'楼层配置'!$B$5:$B$104,0)),"")</x:f>
        <x:v>279</x:v>
      </x:c>
      <x:c r="M499" s="4" t="str">
        <x:f>IFERROR(INDEX('_角色基线'!$B$2:$B$100,MATCH($B499,'_角色基线'!$A$2:$A$100,0)),"")</x:f>
        <x:v>萨萨莉安</x:v>
      </x:c>
      <x:c r="N499" s="4" t="str">
        <x:f>IFERROR(INDEX('_角色基线'!$C$2:$C$100,MATCH($B499,'_角色基线'!$A$2:$A$100,0)),"")</x:f>
        <x:v>Support</x:v>
      </x:c>
      <x:c r="O499" s="4" t="n">
        <x:f>IFERROR(INDEX('_怪物基线'!$B$2:$B$501,MATCH(INT($L499),'_怪物基线'!$A$2:$A$501,0)),"")</x:f>
        <x:v>393371</x:v>
      </x:c>
      <x:c r="P499" s="4" t="n">
        <x:f>IFERROR(INDEX('_怪物基线'!$C$2:$C$501,MATCH(INT($L499),'_怪物基线'!$A$2:$A$501,0)),"")</x:f>
        <x:v>36690</x:v>
      </x:c>
      <x:c r="Q499" s="4" t="n">
        <x:f>IFERROR(INDEX('_怪物基线'!$D$2:$D$501,MATCH(INT($L499),'_怪物基线'!$A$2:$A$501,0)),"")</x:f>
        <x:v>29449</x:v>
      </x:c>
      <x:c r="R499" s="4" t="n">
        <x:f>'参数'!$B$10</x:f>
        <x:v>4</x:v>
      </x:c>
      <x:c r="S499" s="4" t="n">
        <x:f>'参数'!$C$10</x:f>
        <x:v>1.2</x:v>
      </x:c>
      <x:c r="T499" s="4" t="n">
        <x:f>'参数'!$D$10</x:f>
        <x:v>1</x:v>
      </x:c>
      <x:c r="U499" s="4" t="n">
        <x:f t="shared" si="49">IF($O499="","",$O499*$R499)</x:f>
        <x:v>1573484</x:v>
      </x:c>
      <x:c r="V499" s="4" t="n">
        <x:f t="shared" si="50">IF($P499="","",$P499*$S499)</x:f>
        <x:v>44028</x:v>
      </x:c>
      <x:c r="W499" s="4" t="n">
        <x:f t="shared" si="51">IF($Q499="","",$Q499*$T499)</x:f>
        <x:v>29449</x:v>
      </x:c>
      <x:c r="X499" s="4" t="n">
        <x:f>IFERROR(INDEX('参数'!$B$5:$B$7,MATCH($N499,'参数'!$A$5:$A$7,0)),"")</x:f>
        <x:v>1.25</x:v>
      </x:c>
      <x:c r="Y499" s="4" t="n">
        <x:f>IFERROR(INDEX('参数'!$C$5:$C$7,MATCH($N499,'参数'!$A$5:$A$7,0)),"")</x:f>
        <x:v>1</x:v>
      </x:c>
      <x:c r="Z499" s="4" t="n">
        <x:f>IFERROR(INDEX('参数'!$D$5:$D$7,MATCH($N499,'参数'!$A$5:$A$7,0)),"")</x:f>
        <x:v>1.25</x:v>
      </x:c>
      <x:c r="AA499" s="4" t="n">
        <x:f>IFERROR(INDEX('楼层配置'!$E$5:$E$104,MATCH($K499,'楼层配置'!$B$5:$B$104,0)),1)</x:f>
        <x:v>1.1258206723591904</x:v>
      </x:c>
      <x:c r="AB499" s="4" t="n">
        <x:f>IFERROR(INDEX('楼层配置'!$F$5:$F$104,MATCH($K499,'楼层配置'!$B$5:$B$104,0)),1)</x:f>
        <x:v>0.7298348913195676</x:v>
      </x:c>
      <x:c r="AC499" s="4" t="n">
        <x:f>IFERROR(INDEX('楼层配置'!$G$5:$G$104,MATCH($K499,'楼层配置'!$B$5:$B$104,0)),1)</x:f>
        <x:v>1</x:v>
      </x:c>
      <x:c r="AD499" s="6" t="n">
        <x:f t="shared" si="52">IFERROR($D499/$G499-1,"")</x:f>
        <x:v>-0.614407609017424</x:v>
      </x:c>
      <x:c r="AE499" s="6" t="n">
        <x:f t="shared" si="53">IFERROR($E499/$H499-1,"")</x:f>
        <x:v>-0.46043926520468814</x:v>
      </x:c>
      <x:c r="AF499" s="6" t="n">
        <x:f t="shared" si="54">IFERROR($F499/$I499-1,"")</x:f>
        <x:v>-0.13894411826623942</x:v>
      </x:c>
      <x:c r="AG499" s="4" t="str">
        <x:f t="shared" si="55">IF(AND($A499&gt;=1,$L499&gt;=1,$L499&lt;=500,OR($N499="Tank",$N499="DPS",$N499="Support"),ISNUMBER($D499),ISNUMBER($E499),ISNUMBER($F499)),"有效","异常")</x:f>
        <x:v>有效</x:v>
      </x:c>
      <x:c r="AH499" t="n">
        <x:f>D499/(1-MIN(0.75,F499/(24000+F499)))</x:f>
        <x:v>5610640.766083333</x:v>
      </x:c>
    </x:row>
    <x:row r="500" ht="14.25" customHeight="1">
      <x:c r="A500" s="4">
        <x:v>496</x:v>
      </x:c>
      <x:c r="B500" s="4">
        <x:v>1003</x:v>
      </x:c>
      <x:c r="C500" s="4">
        <x:v>60</x:v>
      </x:c>
      <x:c r="D500" s="5" t="n">
        <x:f>IFERROR(ROUND($U500*$X500*$AA500*'参数'!$B$13,0),"")</x:f>
        <x:v>2685426</x:v>
      </x:c>
      <x:c r="E500" s="5" t="n">
        <x:f>IFERROR(ROUND($V500*$Y500*$AB500*'参数'!$C$13,0),"")</x:f>
        <x:v>32431</x:v>
      </x:c>
      <x:c r="F500" s="5" t="n">
        <x:f>IFERROR(ROUND($W500*$Z500*$AC500*'参数'!$D$13,0),"")</x:f>
        <x:v>44379</x:v>
      </x:c>
      <x:c r="G500" s="4">
        <x:v>7140672</x:v>
      </x:c>
      <x:c r="H500" s="4">
        <x:v>61451</x:v>
      </x:c>
      <x:c r="I500" s="4">
        <x:v>52206</x:v>
      </x:c>
      <x:c r="J500" s="4">
        <x:v>100</x:v>
      </x:c>
      <x:c r="K500" s="4">
        <x:v>100</x:v>
      </x:c>
      <x:c r="L500" s="4" t="n">
        <x:f>IFERROR(INDEX('楼层配置'!$D$5:$D$104,MATCH($K500,'楼层配置'!$B$5:$B$104,0)),"")</x:f>
        <x:v>280</x:v>
      </x:c>
      <x:c r="M500" s="4" t="str">
        <x:f>IFERROR(INDEX('_角色基线'!$B$2:$B$100,MATCH($B500,'_角色基线'!$A$2:$A$100,0)),"")</x:f>
        <x:v>塔拉夏</x:v>
      </x:c>
      <x:c r="N500" s="4" t="str">
        <x:f>IFERROR(INDEX('_角色基线'!$C$2:$C$100,MATCH($B500,'_角色基线'!$A$2:$A$100,0)),"")</x:f>
        <x:v>Tank</x:v>
      </x:c>
      <x:c r="O500" s="4" t="n">
        <x:f>IFERROR(INDEX('_怪物基线'!$B$2:$B$501,MATCH(INT($L500),'_怪物基线'!$A$2:$A$501,0)),"")</x:f>
        <x:v>397235</x:v>
      </x:c>
      <x:c r="P500" s="4" t="n">
        <x:f>IFERROR(INDEX('_怪物基线'!$C$2:$C$501,MATCH(INT($L500),'_怪物基线'!$A$2:$A$501,0)),"")</x:f>
        <x:v>36960</x:v>
      </x:c>
      <x:c r="Q500" s="4" t="n">
        <x:f>IFERROR(INDEX('_怪物基线'!$D$2:$D$501,MATCH(INT($L500),'_怪物基线'!$A$2:$A$501,0)),"")</x:f>
        <x:v>29586</x:v>
      </x:c>
      <x:c r="R500" s="4" t="n">
        <x:f>'参数'!$B$10</x:f>
        <x:v>4</x:v>
      </x:c>
      <x:c r="S500" s="4" t="n">
        <x:f>'参数'!$C$10</x:f>
        <x:v>1.2</x:v>
      </x:c>
      <x:c r="T500" s="4" t="n">
        <x:f>'参数'!$D$10</x:f>
        <x:v>1</x:v>
      </x:c>
      <x:c r="U500" s="4" t="n">
        <x:f t="shared" si="49">IF($O500="","",$O500*$R500)</x:f>
        <x:v>1588940</x:v>
      </x:c>
      <x:c r="V500" s="4" t="n">
        <x:f t="shared" si="50">IF($P500="","",$P500*$S500)</x:f>
        <x:v>44352</x:v>
      </x:c>
      <x:c r="W500" s="4" t="n">
        <x:f t="shared" si="51">IF($Q500="","",$Q500*$T500)</x:f>
        <x:v>29586</x:v>
      </x:c>
      <x:c r="X500" s="4" t="n">
        <x:f>IFERROR(INDEX('参数'!$B$5:$B$7,MATCH($N500,'参数'!$A$5:$A$7,0)),"")</x:f>
        <x:v>1.5</x:v>
      </x:c>
      <x:c r="Y500" s="4" t="n">
        <x:f>IFERROR(INDEX('参数'!$C$5:$C$7,MATCH($N500,'参数'!$A$5:$A$7,0)),"")</x:f>
        <x:v>1</x:v>
      </x:c>
      <x:c r="Z500" s="4" t="n">
        <x:f>IFERROR(INDEX('参数'!$D$5:$D$7,MATCH($N500,'参数'!$A$5:$A$7,0)),"")</x:f>
        <x:v>1.5</x:v>
      </x:c>
      <x:c r="AA500" s="4" t="n">
        <x:f>IFERROR(INDEX('楼层配置'!$E$5:$E$104,MATCH($K500,'楼层配置'!$B$5:$B$104,0)),1)</x:f>
        <x:v>1.1267159241214062</x:v>
      </x:c>
      <x:c r="AB500" s="4" t="n">
        <x:f>IFERROR(INDEX('楼层配置'!$F$5:$F$104,MATCH($K500,'楼层配置'!$B$5:$B$104,0)),1)</x:f>
        <x:v>0.7312295086740545</x:v>
      </x:c>
      <x:c r="AC500" s="4" t="n">
        <x:f>IFERROR(INDEX('楼层配置'!$G$5:$G$104,MATCH($K500,'楼层配置'!$B$5:$B$104,0)),1)</x:f>
        <x:v>1</x:v>
      </x:c>
      <x:c r="AD500" s="6" t="n">
        <x:f t="shared" si="52">IFERROR($D500/$G500-1,"")</x:f>
        <x:v>-0.6239253112312119</x:v>
      </x:c>
      <x:c r="AE500" s="6" t="n">
        <x:f t="shared" si="53">IFERROR($E500/$H500-1,"")</x:f>
        <x:v>-0.472246179883159</x:v>
      </x:c>
      <x:c r="AF500" s="6" t="n">
        <x:f t="shared" si="54">IFERROR($F500/$I500-1,"")</x:f>
        <x:v>-0.14992529594299508</x:v>
      </x:c>
      <x:c r="AG500" s="4" t="str">
        <x:f t="shared" si="55">IF(AND($A500&gt;=1,$L500&gt;=1,$L500&lt;=500,OR($N500="Tank",$N500="DPS",$N500="Support"),ISNUMBER($D500),ISNUMBER($E500),ISNUMBER($F500)),"有效","异常")</x:f>
        <x:v>有效</x:v>
      </x:c>
      <x:c r="AH500" t="n">
        <x:f>D500/(1-MIN(0.75,F500/(24000+F500)))</x:f>
        <x:v>7651114.3522499995</x:v>
      </x:c>
    </x:row>
    <x:row r="501" ht="14.25" customHeight="1">
      <x:c r="A501" s="4">
        <x:v>497</x:v>
      </x:c>
      <x:c r="B501" s="4">
        <x:v>1005</x:v>
      </x:c>
      <x:c r="C501" s="4">
        <x:v>60</x:v>
      </x:c>
      <x:c r="D501" s="5" t="n">
        <x:f>IFERROR(ROUND($U501*$X501*$AA501*'参数'!$B$13,0),"")</x:f>
        <x:v>1790284</x:v>
      </x:c>
      <x:c r="E501" s="5" t="n">
        <x:f>IFERROR(ROUND($V501*$Y501*$AB501*'参数'!$C$13,0),"")</x:f>
        <x:v>38918</x:v>
      </x:c>
      <x:c r="F501" s="5" t="n">
        <x:f>IFERROR(ROUND($W501*$Z501*$AC501*'参数'!$D$13,0),"")</x:f>
        <x:v>29586</x:v>
      </x:c>
      <x:c r="G501" s="4">
        <x:v>4760448</x:v>
      </x:c>
      <x:c r="H501" s="4">
        <x:v>73741</x:v>
      </x:c>
      <x:c r="I501" s="4">
        <x:v>34804</x:v>
      </x:c>
      <x:c r="J501" s="4">
        <x:v>100</x:v>
      </x:c>
      <x:c r="K501" s="4">
        <x:v>100</x:v>
      </x:c>
      <x:c r="L501" s="4" t="n">
        <x:f>IFERROR(INDEX('楼层配置'!$D$5:$D$104,MATCH($K501,'楼层配置'!$B$5:$B$104,0)),"")</x:f>
        <x:v>280</x:v>
      </x:c>
      <x:c r="M501" s="4" t="str">
        <x:f>IFERROR(INDEX('_角色基线'!$B$2:$B$100,MATCH($B501,'_角色基线'!$A$2:$A$100,0)),"")</x:f>
        <x:v>陈单单</x:v>
      </x:c>
      <x:c r="N501" s="4" t="str">
        <x:f>IFERROR(INDEX('_角色基线'!$C$2:$C$100,MATCH($B501,'_角色基线'!$A$2:$A$100,0)),"")</x:f>
        <x:v>DPS</x:v>
      </x:c>
      <x:c r="O501" s="4" t="n">
        <x:f>IFERROR(INDEX('_怪物基线'!$B$2:$B$501,MATCH(INT($L501),'_怪物基线'!$A$2:$A$501,0)),"")</x:f>
        <x:v>397235</x:v>
      </x:c>
      <x:c r="P501" s="4" t="n">
        <x:f>IFERROR(INDEX('_怪物基线'!$C$2:$C$501,MATCH(INT($L501),'_怪物基线'!$A$2:$A$501,0)),"")</x:f>
        <x:v>36960</x:v>
      </x:c>
      <x:c r="Q501" s="4" t="n">
        <x:f>IFERROR(INDEX('_怪物基线'!$D$2:$D$501,MATCH(INT($L501),'_怪物基线'!$A$2:$A$501,0)),"")</x:f>
        <x:v>29586</x:v>
      </x:c>
      <x:c r="R501" s="4" t="n">
        <x:f>'参数'!$B$10</x:f>
        <x:v>4</x:v>
      </x:c>
      <x:c r="S501" s="4" t="n">
        <x:f>'参数'!$C$10</x:f>
        <x:v>1.2</x:v>
      </x:c>
      <x:c r="T501" s="4" t="n">
        <x:f>'参数'!$D$10</x:f>
        <x:v>1</x:v>
      </x:c>
      <x:c r="U501" s="4" t="n">
        <x:f t="shared" si="49">IF($O501="","",$O501*$R501)</x:f>
        <x:v>1588940</x:v>
      </x:c>
      <x:c r="V501" s="4" t="n">
        <x:f t="shared" si="50">IF($P501="","",$P501*$S501)</x:f>
        <x:v>44352</x:v>
      </x:c>
      <x:c r="W501" s="4" t="n">
        <x:f t="shared" si="51">IF($Q501="","",$Q501*$T501)</x:f>
        <x:v>29586</x:v>
      </x:c>
      <x:c r="X501" s="4" t="n">
        <x:f>IFERROR(INDEX('参数'!$B$5:$B$7,MATCH($N501,'参数'!$A$5:$A$7,0)),"")</x:f>
        <x:v>1</x:v>
      </x:c>
      <x:c r="Y501" s="4" t="n">
        <x:f>IFERROR(INDEX('参数'!$C$5:$C$7,MATCH($N501,'参数'!$A$5:$A$7,0)),"")</x:f>
        <x:v>1.2</x:v>
      </x:c>
      <x:c r="Z501" s="4" t="n">
        <x:f>IFERROR(INDEX('参数'!$D$5:$D$7,MATCH($N501,'参数'!$A$5:$A$7,0)),"")</x:f>
        <x:v>1</x:v>
      </x:c>
      <x:c r="AA501" s="4" t="n">
        <x:f>IFERROR(INDEX('楼层配置'!$E$5:$E$104,MATCH($K501,'楼层配置'!$B$5:$B$104,0)),1)</x:f>
        <x:v>1.1267159241214062</x:v>
      </x:c>
      <x:c r="AB501" s="4" t="n">
        <x:f>IFERROR(INDEX('楼层配置'!$F$5:$F$104,MATCH($K501,'楼层配置'!$B$5:$B$104,0)),1)</x:f>
        <x:v>0.7312295086740545</x:v>
      </x:c>
      <x:c r="AC501" s="4" t="n">
        <x:f>IFERROR(INDEX('楼层配置'!$G$5:$G$104,MATCH($K501,'楼层配置'!$B$5:$B$104,0)),1)</x:f>
        <x:v>1</x:v>
      </x:c>
      <x:c r="AD501" s="6" t="n">
        <x:f t="shared" si="52">IFERROR($D501/$G501-1,"")</x:f>
        <x:v>-0.6239253112312119</x:v>
      </x:c>
      <x:c r="AE501" s="6" t="n">
        <x:f t="shared" si="53">IFERROR($E501/$H501-1,"")</x:f>
        <x:v>-0.4722338997301365</x:v>
      </x:c>
      <x:c r="AF501" s="6" t="n">
        <x:f t="shared" si="54">IFERROR($F501/$I501-1,"")</x:f>
        <x:v>-0.14992529594299508</x:v>
      </x:c>
      <x:c r="AG501" s="4" t="str">
        <x:f t="shared" si="55">IF(AND($A501&gt;=1,$L501&gt;=1,$L501&lt;=500,OR($N501="Tank",$N501="DPS",$N501="Support"),ISNUMBER($D501),ISNUMBER($E501),ISNUMBER($F501)),"有效","异常")</x:f>
        <x:v>有效</x:v>
      </x:c>
      <x:c r="AH501" t="n">
        <x:f>D501/(1-MIN(0.75,F501/(24000+F501)))</x:f>
        <x:v>3997256.6010000003</x:v>
      </x:c>
    </x:row>
    <x:row r="502" ht="14.25" customHeight="1">
      <x:c r="A502" s="4">
        <x:v>498</x:v>
      </x:c>
      <x:c r="B502" s="4">
        <x:v>1005</x:v>
      </x:c>
      <x:c r="C502" s="4">
        <x:v>60</x:v>
      </x:c>
      <x:c r="D502" s="5" t="n">
        <x:f>IFERROR(ROUND($U502*$X502*$AA502*'参数'!$B$13,0),"")</x:f>
        <x:v>1790284</x:v>
      </x:c>
      <x:c r="E502" s="5" t="n">
        <x:f>IFERROR(ROUND($V502*$Y502*$AB502*'参数'!$C$13,0),"")</x:f>
        <x:v>38918</x:v>
      </x:c>
      <x:c r="F502" s="5" t="n">
        <x:f>IFERROR(ROUND($W502*$Z502*$AC502*'参数'!$D$13,0),"")</x:f>
        <x:v>29586</x:v>
      </x:c>
      <x:c r="G502" s="4">
        <x:v>4760448</x:v>
      </x:c>
      <x:c r="H502" s="4">
        <x:v>73741</x:v>
      </x:c>
      <x:c r="I502" s="4">
        <x:v>34804</x:v>
      </x:c>
      <x:c r="J502" s="4">
        <x:v>100</x:v>
      </x:c>
      <x:c r="K502" s="4">
        <x:v>100</x:v>
      </x:c>
      <x:c r="L502" s="4" t="n">
        <x:f>IFERROR(INDEX('楼层配置'!$D$5:$D$104,MATCH($K502,'楼层配置'!$B$5:$B$104,0)),"")</x:f>
        <x:v>280</x:v>
      </x:c>
      <x:c r="M502" s="4" t="str">
        <x:f>IFERROR(INDEX('_角色基线'!$B$2:$B$100,MATCH($B502,'_角色基线'!$A$2:$A$100,0)),"")</x:f>
        <x:v>陈单单</x:v>
      </x:c>
      <x:c r="N502" s="4" t="str">
        <x:f>IFERROR(INDEX('_角色基线'!$C$2:$C$100,MATCH($B502,'_角色基线'!$A$2:$A$100,0)),"")</x:f>
        <x:v>DPS</x:v>
      </x:c>
      <x:c r="O502" s="4" t="n">
        <x:f>IFERROR(INDEX('_怪物基线'!$B$2:$B$501,MATCH(INT($L502),'_怪物基线'!$A$2:$A$501,0)),"")</x:f>
        <x:v>397235</x:v>
      </x:c>
      <x:c r="P502" s="4" t="n">
        <x:f>IFERROR(INDEX('_怪物基线'!$C$2:$C$501,MATCH(INT($L502),'_怪物基线'!$A$2:$A$501,0)),"")</x:f>
        <x:v>36960</x:v>
      </x:c>
      <x:c r="Q502" s="4" t="n">
        <x:f>IFERROR(INDEX('_怪物基线'!$D$2:$D$501,MATCH(INT($L502),'_怪物基线'!$A$2:$A$501,0)),"")</x:f>
        <x:v>29586</x:v>
      </x:c>
      <x:c r="R502" s="4" t="n">
        <x:f>'参数'!$B$10</x:f>
        <x:v>4</x:v>
      </x:c>
      <x:c r="S502" s="4" t="n">
        <x:f>'参数'!$C$10</x:f>
        <x:v>1.2</x:v>
      </x:c>
      <x:c r="T502" s="4" t="n">
        <x:f>'参数'!$D$10</x:f>
        <x:v>1</x:v>
      </x:c>
      <x:c r="U502" s="4" t="n">
        <x:f t="shared" si="49">IF($O502="","",$O502*$R502)</x:f>
        <x:v>1588940</x:v>
      </x:c>
      <x:c r="V502" s="4" t="n">
        <x:f t="shared" si="50">IF($P502="","",$P502*$S502)</x:f>
        <x:v>44352</x:v>
      </x:c>
      <x:c r="W502" s="4" t="n">
        <x:f t="shared" si="51">IF($Q502="","",$Q502*$T502)</x:f>
        <x:v>29586</x:v>
      </x:c>
      <x:c r="X502" s="4" t="n">
        <x:f>IFERROR(INDEX('参数'!$B$5:$B$7,MATCH($N502,'参数'!$A$5:$A$7,0)),"")</x:f>
        <x:v>1</x:v>
      </x:c>
      <x:c r="Y502" s="4" t="n">
        <x:f>IFERROR(INDEX('参数'!$C$5:$C$7,MATCH($N502,'参数'!$A$5:$A$7,0)),"")</x:f>
        <x:v>1.2</x:v>
      </x:c>
      <x:c r="Z502" s="4" t="n">
        <x:f>IFERROR(INDEX('参数'!$D$5:$D$7,MATCH($N502,'参数'!$A$5:$A$7,0)),"")</x:f>
        <x:v>1</x:v>
      </x:c>
      <x:c r="AA502" s="4" t="n">
        <x:f>IFERROR(INDEX('楼层配置'!$E$5:$E$104,MATCH($K502,'楼层配置'!$B$5:$B$104,0)),1)</x:f>
        <x:v>1.1267159241214062</x:v>
      </x:c>
      <x:c r="AB502" s="4" t="n">
        <x:f>IFERROR(INDEX('楼层配置'!$F$5:$F$104,MATCH($K502,'楼层配置'!$B$5:$B$104,0)),1)</x:f>
        <x:v>0.7312295086740545</x:v>
      </x:c>
      <x:c r="AC502" s="4" t="n">
        <x:f>IFERROR(INDEX('楼层配置'!$G$5:$G$104,MATCH($K502,'楼层配置'!$B$5:$B$104,0)),1)</x:f>
        <x:v>1</x:v>
      </x:c>
      <x:c r="AD502" s="6" t="n">
        <x:f t="shared" si="52">IFERROR($D502/$G502-1,"")</x:f>
        <x:v>-0.6239253112312119</x:v>
      </x:c>
      <x:c r="AE502" s="6" t="n">
        <x:f t="shared" si="53">IFERROR($E502/$H502-1,"")</x:f>
        <x:v>-0.4722338997301365</x:v>
      </x:c>
      <x:c r="AF502" s="6" t="n">
        <x:f t="shared" si="54">IFERROR($F502/$I502-1,"")</x:f>
        <x:v>-0.14992529594299508</x:v>
      </x:c>
      <x:c r="AG502" s="4" t="str">
        <x:f t="shared" si="55">IF(AND($A502&gt;=1,$L502&gt;=1,$L502&lt;=500,OR($N502="Tank",$N502="DPS",$N502="Support"),ISNUMBER($D502),ISNUMBER($E502),ISNUMBER($F502)),"有效","异常")</x:f>
        <x:v>有效</x:v>
      </x:c>
      <x:c r="AH502" t="n">
        <x:f>D502/(1-MIN(0.75,F502/(24000+F502)))</x:f>
        <x:v>3997256.6010000003</x:v>
      </x:c>
    </x:row>
    <x:row r="503" ht="14.25" customHeight="1">
      <x:c r="A503" s="4">
        <x:v>499</x:v>
      </x:c>
      <x:c r="B503" s="4">
        <x:v>1005</x:v>
      </x:c>
      <x:c r="C503" s="4">
        <x:v>60</x:v>
      </x:c>
      <x:c r="D503" s="5" t="n">
        <x:f>IFERROR(ROUND($U503*$X503*$AA503*'参数'!$B$13,0),"")</x:f>
        <x:v>1790284</x:v>
      </x:c>
      <x:c r="E503" s="5" t="n">
        <x:f>IFERROR(ROUND($V503*$Y503*$AB503*'参数'!$C$13,0),"")</x:f>
        <x:v>38918</x:v>
      </x:c>
      <x:c r="F503" s="5" t="n">
        <x:f>IFERROR(ROUND($W503*$Z503*$AC503*'参数'!$D$13,0),"")</x:f>
        <x:v>29586</x:v>
      </x:c>
      <x:c r="G503" s="4">
        <x:v>4760448</x:v>
      </x:c>
      <x:c r="H503" s="4">
        <x:v>73741</x:v>
      </x:c>
      <x:c r="I503" s="4">
        <x:v>34804</x:v>
      </x:c>
      <x:c r="J503" s="4">
        <x:v>100</x:v>
      </x:c>
      <x:c r="K503" s="4">
        <x:v>100</x:v>
      </x:c>
      <x:c r="L503" s="4" t="n">
        <x:f>IFERROR(INDEX('楼层配置'!$D$5:$D$104,MATCH($K503,'楼层配置'!$B$5:$B$104,0)),"")</x:f>
        <x:v>280</x:v>
      </x:c>
      <x:c r="M503" s="4" t="str">
        <x:f>IFERROR(INDEX('_角色基线'!$B$2:$B$100,MATCH($B503,'_角色基线'!$A$2:$A$100,0)),"")</x:f>
        <x:v>陈单单</x:v>
      </x:c>
      <x:c r="N503" s="4" t="str">
        <x:f>IFERROR(INDEX('_角色基线'!$C$2:$C$100,MATCH($B503,'_角色基线'!$A$2:$A$100,0)),"")</x:f>
        <x:v>DPS</x:v>
      </x:c>
      <x:c r="O503" s="4" t="n">
        <x:f>IFERROR(INDEX('_怪物基线'!$B$2:$B$501,MATCH(INT($L503),'_怪物基线'!$A$2:$A$501,0)),"")</x:f>
        <x:v>397235</x:v>
      </x:c>
      <x:c r="P503" s="4" t="n">
        <x:f>IFERROR(INDEX('_怪物基线'!$C$2:$C$501,MATCH(INT($L503),'_怪物基线'!$A$2:$A$501,0)),"")</x:f>
        <x:v>36960</x:v>
      </x:c>
      <x:c r="Q503" s="4" t="n">
        <x:f>IFERROR(INDEX('_怪物基线'!$D$2:$D$501,MATCH(INT($L503),'_怪物基线'!$A$2:$A$501,0)),"")</x:f>
        <x:v>29586</x:v>
      </x:c>
      <x:c r="R503" s="4" t="n">
        <x:f>'参数'!$B$10</x:f>
        <x:v>4</x:v>
      </x:c>
      <x:c r="S503" s="4" t="n">
        <x:f>'参数'!$C$10</x:f>
        <x:v>1.2</x:v>
      </x:c>
      <x:c r="T503" s="4" t="n">
        <x:f>'参数'!$D$10</x:f>
        <x:v>1</x:v>
      </x:c>
      <x:c r="U503" s="4" t="n">
        <x:f t="shared" si="49">IF($O503="","",$O503*$R503)</x:f>
        <x:v>1588940</x:v>
      </x:c>
      <x:c r="V503" s="4" t="n">
        <x:f t="shared" si="50">IF($P503="","",$P503*$S503)</x:f>
        <x:v>44352</x:v>
      </x:c>
      <x:c r="W503" s="4" t="n">
        <x:f t="shared" si="51">IF($Q503="","",$Q503*$T503)</x:f>
        <x:v>29586</x:v>
      </x:c>
      <x:c r="X503" s="4" t="n">
        <x:f>IFERROR(INDEX('参数'!$B$5:$B$7,MATCH($N503,'参数'!$A$5:$A$7,0)),"")</x:f>
        <x:v>1</x:v>
      </x:c>
      <x:c r="Y503" s="4" t="n">
        <x:f>IFERROR(INDEX('参数'!$C$5:$C$7,MATCH($N503,'参数'!$A$5:$A$7,0)),"")</x:f>
        <x:v>1.2</x:v>
      </x:c>
      <x:c r="Z503" s="4" t="n">
        <x:f>IFERROR(INDEX('参数'!$D$5:$D$7,MATCH($N503,'参数'!$A$5:$A$7,0)),"")</x:f>
        <x:v>1</x:v>
      </x:c>
      <x:c r="AA503" s="4" t="n">
        <x:f>IFERROR(INDEX('楼层配置'!$E$5:$E$104,MATCH($K503,'楼层配置'!$B$5:$B$104,0)),1)</x:f>
        <x:v>1.1267159241214062</x:v>
      </x:c>
      <x:c r="AB503" s="4" t="n">
        <x:f>IFERROR(INDEX('楼层配置'!$F$5:$F$104,MATCH($K503,'楼层配置'!$B$5:$B$104,0)),1)</x:f>
        <x:v>0.7312295086740545</x:v>
      </x:c>
      <x:c r="AC503" s="4" t="n">
        <x:f>IFERROR(INDEX('楼层配置'!$G$5:$G$104,MATCH($K503,'楼层配置'!$B$5:$B$104,0)),1)</x:f>
        <x:v>1</x:v>
      </x:c>
      <x:c r="AD503" s="6" t="n">
        <x:f t="shared" si="52">IFERROR($D503/$G503-1,"")</x:f>
        <x:v>-0.6239253112312119</x:v>
      </x:c>
      <x:c r="AE503" s="6" t="n">
        <x:f t="shared" si="53">IFERROR($E503/$H503-1,"")</x:f>
        <x:v>-0.4722338997301365</x:v>
      </x:c>
      <x:c r="AF503" s="6" t="n">
        <x:f t="shared" si="54">IFERROR($F503/$I503-1,"")</x:f>
        <x:v>-0.14992529594299508</x:v>
      </x:c>
      <x:c r="AG503" s="4" t="str">
        <x:f t="shared" si="55">IF(AND($A503&gt;=1,$L503&gt;=1,$L503&lt;=500,OR($N503="Tank",$N503="DPS",$N503="Support"),ISNUMBER($D503),ISNUMBER($E503),ISNUMBER($F503)),"有效","异常")</x:f>
        <x:v>有效</x:v>
      </x:c>
      <x:c r="AH503" t="n">
        <x:f>D503/(1-MIN(0.75,F503/(24000+F503)))</x:f>
        <x:v>3997256.6010000003</x:v>
      </x:c>
    </x:row>
    <x:row r="504" ht="14.25" customHeight="1">
      <x:c r="A504" s="4">
        <x:v>500</x:v>
      </x:c>
      <x:c r="B504" s="4">
        <x:v>1029</x:v>
      </x:c>
      <x:c r="C504" s="4">
        <x:v>60</x:v>
      </x:c>
      <x:c r="D504" s="5" t="n">
        <x:f>IFERROR(ROUND($U504*$X504*$AA504*'参数'!$B$13,0),"")</x:f>
        <x:v>2237855</x:v>
      </x:c>
      <x:c r="E504" s="5" t="n">
        <x:f>IFERROR(ROUND($V504*$Y504*$AB504*'参数'!$C$13,0),"")</x:f>
        <x:v>32431</x:v>
      </x:c>
      <x:c r="F504" s="5" t="n">
        <x:f>IFERROR(ROUND($W504*$Z504*$AC504*'参数'!$D$13,0),"")</x:f>
        <x:v>36983</x:v>
      </x:c>
      <x:c r="G504" s="4">
        <x:v>5950560</x:v>
      </x:c>
      <x:c r="H504" s="4">
        <x:v>61451</x:v>
      </x:c>
      <x:c r="I504" s="4">
        <x:v>43505</x:v>
      </x:c>
      <x:c r="J504" s="4">
        <x:v>100</x:v>
      </x:c>
      <x:c r="K504" s="4">
        <x:v>100</x:v>
      </x:c>
      <x:c r="L504" s="4" t="n">
        <x:f>IFERROR(INDEX('楼层配置'!$D$5:$D$104,MATCH($K504,'楼层配置'!$B$5:$B$104,0)),"")</x:f>
        <x:v>280</x:v>
      </x:c>
      <x:c r="M504" s="4" t="str">
        <x:f>IFERROR(INDEX('_角色基线'!$B$2:$B$100,MATCH($B504,'_角色基线'!$A$2:$A$100,0)),"")</x:f>
        <x:v>凯兰</x:v>
      </x:c>
      <x:c r="N504" s="4" t="str">
        <x:f>IFERROR(INDEX('_角色基线'!$C$2:$C$100,MATCH($B504,'_角色基线'!$A$2:$A$100,0)),"")</x:f>
        <x:v>Support</x:v>
      </x:c>
      <x:c r="O504" s="4" t="n">
        <x:f>IFERROR(INDEX('_怪物基线'!$B$2:$B$501,MATCH(INT($L504),'_怪物基线'!$A$2:$A$501,0)),"")</x:f>
        <x:v>397235</x:v>
      </x:c>
      <x:c r="P504" s="4" t="n">
        <x:f>IFERROR(INDEX('_怪物基线'!$C$2:$C$501,MATCH(INT($L504),'_怪物基线'!$A$2:$A$501,0)),"")</x:f>
        <x:v>36960</x:v>
      </x:c>
      <x:c r="Q504" s="4" t="n">
        <x:f>IFERROR(INDEX('_怪物基线'!$D$2:$D$501,MATCH(INT($L504),'_怪物基线'!$A$2:$A$501,0)),"")</x:f>
        <x:v>29586</x:v>
      </x:c>
      <x:c r="R504" s="4" t="n">
        <x:f>'参数'!$B$10</x:f>
        <x:v>4</x:v>
      </x:c>
      <x:c r="S504" s="4" t="n">
        <x:f>'参数'!$C$10</x:f>
        <x:v>1.2</x:v>
      </x:c>
      <x:c r="T504" s="4" t="n">
        <x:f>'参数'!$D$10</x:f>
        <x:v>1</x:v>
      </x:c>
      <x:c r="U504" s="4" t="n">
        <x:f t="shared" si="49">IF($O504="","",$O504*$R504)</x:f>
        <x:v>1588940</x:v>
      </x:c>
      <x:c r="V504" s="4" t="n">
        <x:f t="shared" si="50">IF($P504="","",$P504*$S504)</x:f>
        <x:v>44352</x:v>
      </x:c>
      <x:c r="W504" s="4" t="n">
        <x:f t="shared" si="51">IF($Q504="","",$Q504*$T504)</x:f>
        <x:v>29586</x:v>
      </x:c>
      <x:c r="X504" s="4" t="n">
        <x:f>IFERROR(INDEX('参数'!$B$5:$B$7,MATCH($N504,'参数'!$A$5:$A$7,0)),"")</x:f>
        <x:v>1.25</x:v>
      </x:c>
      <x:c r="Y504" s="4" t="n">
        <x:f>IFERROR(INDEX('参数'!$C$5:$C$7,MATCH($N504,'参数'!$A$5:$A$7,0)),"")</x:f>
        <x:v>1</x:v>
      </x:c>
      <x:c r="Z504" s="4" t="n">
        <x:f>IFERROR(INDEX('参数'!$D$5:$D$7,MATCH($N504,'参数'!$A$5:$A$7,0)),"")</x:f>
        <x:v>1.25</x:v>
      </x:c>
      <x:c r="AA504" s="4" t="n">
        <x:f>IFERROR(INDEX('楼层配置'!$E$5:$E$104,MATCH($K504,'楼层配置'!$B$5:$B$104,0)),1)</x:f>
        <x:v>1.1267159241214062</x:v>
      </x:c>
      <x:c r="AB504" s="4" t="n">
        <x:f>IFERROR(INDEX('楼层配置'!$F$5:$F$104,MATCH($K504,'楼层配置'!$B$5:$B$104,0)),1)</x:f>
        <x:v>0.7312295086740545</x:v>
      </x:c>
      <x:c r="AC504" s="4" t="n">
        <x:f>IFERROR(INDEX('楼层配置'!$G$5:$G$104,MATCH($K504,'楼层配置'!$B$5:$B$104,0)),1)</x:f>
        <x:v>1</x:v>
      </x:c>
      <x:c r="AD504" s="6" t="n">
        <x:f t="shared" si="52">IFERROR($D504/$G504-1,"")</x:f>
        <x:v>-0.6239253112312119</x:v>
      </x:c>
      <x:c r="AE504" s="6" t="n">
        <x:f t="shared" si="53">IFERROR($E504/$H504-1,"")</x:f>
        <x:v>-0.472246179883159</x:v>
      </x:c>
      <x:c r="AF504" s="6" t="n">
        <x:f t="shared" si="54">IFERROR($F504/$I504-1,"")</x:f>
        <x:v>-0.1499138030111481</x:v>
      </x:c>
      <x:c r="AG504" s="4" t="str">
        <x:f t="shared" si="55">IF(AND($A504&gt;=1,$L504&gt;=1,$L504&lt;=500,OR($N504="Tank",$N504="DPS",$N504="Support"),ISNUMBER($D504),ISNUMBER($E504),ISNUMBER($F504)),"有效","异常")</x:f>
        <x:v>有效</x:v>
      </x:c>
      <x:c r="AH504" t="n">
        <x:f>D504/(1-MIN(0.75,F504/(24000+F504)))</x:f>
        <x:v>5686296.311041667</x:v>
      </x:c>
    </x:row>
  </x:sheetData>
  <x:mergeCells>
    <x:mergeCell ref="A1:AG1"/>
    <x:mergeCell ref="A2:AG2"/>
  </x:mergeCells>
  <x:conditionalFormatting sqref="AG5:AG504">
    <x:cfRule type="expression" dxfId="0" priority="1">
      <x:formula>$AG5="异常"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5B9BD5"/>
  </x:sheetPr>
  <x:sheetViews>
    <x:sheetView showGridLines="0" workbookViewId="0"/>
  </x:sheetViews>
  <x:sheetFormatPr defaultColWidth="9" defaultRowHeight="13.5"/>
  <x:cols>
    <x:col min="1" max="3" width="14" customWidth="1"/>
    <x:col min="4" max="6" width="16" customWidth="1"/>
    <x:col min="7" max="7" width="12" customWidth="1"/>
    <x:col min="8" max="8" width="14" customWidth="1"/>
    <x:col min="9" max="10" width="16" customWidth="1"/>
  </x:cols>
  <x:sheetData>
    <x:row r="1" ht="30" customHeight="1">
      <x:c r="A1" s="1" t="s">
        <x:v>126</x:v>
      </x:c>
    </x:row>
    <x:row r="2" ht="32" customHeight="1">
      <x:c r="A2" s="2" t="s">
        <x:v>127</x:v>
      </x:c>
    </x:row>
    <x:row r="4" ht="38" customHeight="1">
      <x:c r="A4" s="3" t="s">
        <x:v>101</x:v>
      </x:c>
      <x:c r="B4" s="3" t="s">
        <x:v>128</x:v>
      </x:c>
      <x:c r="C4" s="3" t="s">
        <x:v>129</x:v>
      </x:c>
      <x:c r="D4" s="3" t="s">
        <x:v>130</x:v>
      </x:c>
      <x:c r="E4" s="3" t="s">
        <x:v>131</x:v>
      </x:c>
      <x:c r="F4" s="3" t="s">
        <x:v>132</x:v>
      </x:c>
      <x:c r="G4" s="3" t="s">
        <x:v>125</x:v>
      </x:c>
      <x:c r="H4" s="3" t="s">
        <x:v>107</x:v>
      </x:c>
      <x:c r="I4" s="3" t="s">
        <x:v>108</x:v>
      </x:c>
      <x:c r="J4" s="3" t="s">
        <x:v>109</x:v>
      </x:c>
    </x:row>
    <x:row r="5" ht="14.25" customHeight="1">
      <x:c r="A5" s="4" t="n">
        <x:f>'TeamHero生成'!A5</x:f>
        <x:v>1</x:v>
      </x:c>
      <x:c r="B5" s="4" t="n">
        <x:f>'TeamHero生成'!B5</x:f>
        <x:v>1002</x:v>
      </x:c>
      <x:c r="C5" s="4" t="n">
        <x:f>'TeamHero生成'!C5</x:f>
        <x:v>10</x:v>
      </x:c>
      <x:c r="D5" s="5" t="n">
        <x:f>'TeamHero生成'!D5</x:f>
        <x:v>12925</x:v>
      </x:c>
      <x:c r="E5" s="5" t="n">
        <x:f>'TeamHero生成'!E5</x:f>
        <x:v>743</x:v>
      </x:c>
      <x:c r="F5" s="5" t="n">
        <x:f>'TeamHero生成'!F5</x:f>
        <x:v>1700</x:v>
      </x:c>
      <x:c r="G5" s="4" t="str">
        <x:f>'TeamHero生成'!AG5</x:f>
        <x:v>有效</x:v>
      </x:c>
      <x:c r="H5" s="4" t="n">
        <x:f>'TeamHero生成'!G5</x:f>
        <x:v>17474</x:v>
      </x:c>
      <x:c r="I5" s="4" t="n">
        <x:f>'TeamHero生成'!H5</x:f>
        <x:v>847</x:v>
      </x:c>
      <x:c r="J5" s="4" t="n">
        <x:f>'TeamHero生成'!I5</x:f>
        <x:v>1394</x:v>
      </x:c>
    </x:row>
    <x:row r="6" ht="14.25" customHeight="1">
      <x:c r="A6" s="4" t="n">
        <x:f>'TeamHero生成'!A6</x:f>
        <x:v>2</x:v>
      </x:c>
      <x:c r="B6" s="4" t="n">
        <x:f>'TeamHero生成'!B6</x:f>
        <x:v>1001</x:v>
      </x:c>
      <x:c r="C6" s="4" t="n">
        <x:f>'TeamHero生成'!C6</x:f>
        <x:v>10</x:v>
      </x:c>
      <x:c r="D6" s="5" t="n">
        <x:f>'TeamHero生成'!D6</x:f>
        <x:v>8617</x:v>
      </x:c>
      <x:c r="E6" s="5" t="n">
        <x:f>'TeamHero生成'!E6</x:f>
        <x:v>892</x:v>
      </x:c>
      <x:c r="F6" s="5" t="n">
        <x:f>'TeamHero生成'!F6</x:f>
        <x:v>1133</x:v>
      </x:c>
      <x:c r="G6" s="4" t="str">
        <x:f>'TeamHero生成'!AG6</x:f>
        <x:v>有效</x:v>
      </x:c>
      <x:c r="H6" s="4" t="n">
        <x:f>'TeamHero生成'!G6</x:f>
        <x:v>11649</x:v>
      </x:c>
      <x:c r="I6" s="4" t="n">
        <x:f>'TeamHero生成'!H6</x:f>
        <x:v>1016</x:v>
      </x:c>
      <x:c r="J6" s="4" t="n">
        <x:f>'TeamHero生成'!I6</x:f>
        <x:v>929</x:v>
      </x:c>
    </x:row>
    <x:row r="7" ht="14.25" customHeight="1">
      <x:c r="A7" s="4" t="n">
        <x:f>'TeamHero生成'!A7</x:f>
        <x:v>3</x:v>
      </x:c>
      <x:c r="B7" s="4" t="n">
        <x:f>'TeamHero生成'!B7</x:f>
        <x:v>1001</x:v>
      </x:c>
      <x:c r="C7" s="4" t="n">
        <x:f>'TeamHero生成'!C7</x:f>
        <x:v>10</x:v>
      </x:c>
      <x:c r="D7" s="5" t="n">
        <x:f>'TeamHero生成'!D7</x:f>
        <x:v>8617</x:v>
      </x:c>
      <x:c r="E7" s="5" t="n">
        <x:f>'TeamHero生成'!E7</x:f>
        <x:v>892</x:v>
      </x:c>
      <x:c r="F7" s="5" t="n">
        <x:f>'TeamHero生成'!F7</x:f>
        <x:v>1133</x:v>
      </x:c>
      <x:c r="G7" s="4" t="str">
        <x:f>'TeamHero生成'!AG7</x:f>
        <x:v>有效</x:v>
      </x:c>
      <x:c r="H7" s="4" t="n">
        <x:f>'TeamHero生成'!G7</x:f>
        <x:v>11649</x:v>
      </x:c>
      <x:c r="I7" s="4" t="n">
        <x:f>'TeamHero生成'!H7</x:f>
        <x:v>1016</x:v>
      </x:c>
      <x:c r="J7" s="4" t="n">
        <x:f>'TeamHero生成'!I7</x:f>
        <x:v>929</x:v>
      </x:c>
    </x:row>
    <x:row r="8" ht="14.25" customHeight="1">
      <x:c r="A8" s="4" t="n">
        <x:f>'TeamHero生成'!A8</x:f>
        <x:v>4</x:v>
      </x:c>
      <x:c r="B8" s="4" t="n">
        <x:f>'TeamHero生成'!B8</x:f>
        <x:v>1001</x:v>
      </x:c>
      <x:c r="C8" s="4" t="n">
        <x:f>'TeamHero生成'!C8</x:f>
        <x:v>10</x:v>
      </x:c>
      <x:c r="D8" s="5" t="n">
        <x:f>'TeamHero生成'!D8</x:f>
        <x:v>8617</x:v>
      </x:c>
      <x:c r="E8" s="5" t="n">
        <x:f>'TeamHero生成'!E8</x:f>
        <x:v>892</x:v>
      </x:c>
      <x:c r="F8" s="5" t="n">
        <x:f>'TeamHero生成'!F8</x:f>
        <x:v>1133</x:v>
      </x:c>
      <x:c r="G8" s="4" t="str">
        <x:f>'TeamHero生成'!AG8</x:f>
        <x:v>有效</x:v>
      </x:c>
      <x:c r="H8" s="4" t="n">
        <x:f>'TeamHero生成'!G8</x:f>
        <x:v>11649</x:v>
      </x:c>
      <x:c r="I8" s="4" t="n">
        <x:f>'TeamHero生成'!H8</x:f>
        <x:v>1016</x:v>
      </x:c>
      <x:c r="J8" s="4" t="n">
        <x:f>'TeamHero生成'!I8</x:f>
        <x:v>929</x:v>
      </x:c>
    </x:row>
    <x:row r="9" ht="14.25" customHeight="1">
      <x:c r="A9" s="4" t="n">
        <x:f>'TeamHero生成'!A9</x:f>
        <x:v>5</x:v>
      </x:c>
      <x:c r="B9" s="4" t="n">
        <x:f>'TeamHero生成'!B9</x:f>
        <x:v>1040</x:v>
      </x:c>
      <x:c r="C9" s="4" t="n">
        <x:f>'TeamHero生成'!C9</x:f>
        <x:v>10</x:v>
      </x:c>
      <x:c r="D9" s="5" t="n">
        <x:f>'TeamHero生成'!D9</x:f>
        <x:v>10771</x:v>
      </x:c>
      <x:c r="E9" s="5" t="n">
        <x:f>'TeamHero生成'!E9</x:f>
        <x:v>743</x:v>
      </x:c>
      <x:c r="F9" s="5" t="n">
        <x:f>'TeamHero生成'!F9</x:f>
        <x:v>1416</x:v>
      </x:c>
      <x:c r="G9" s="4" t="str">
        <x:f>'TeamHero生成'!AG9</x:f>
        <x:v>有效</x:v>
      </x:c>
      <x:c r="H9" s="4" t="n">
        <x:f>'TeamHero生成'!G9</x:f>
        <x:v>14562</x:v>
      </x:c>
      <x:c r="I9" s="4" t="n">
        <x:f>'TeamHero生成'!H9</x:f>
        <x:v>847</x:v>
      </x:c>
      <x:c r="J9" s="4" t="n">
        <x:f>'TeamHero生成'!I9</x:f>
        <x:v>1162</x:v>
      </x:c>
    </x:row>
    <x:row r="10" ht="14.25" customHeight="1">
      <x:c r="A10" s="4" t="n">
        <x:f>'TeamHero生成'!A10</x:f>
        <x:v>6</x:v>
      </x:c>
      <x:c r="B10" s="4" t="n">
        <x:f>'TeamHero生成'!B10</x:f>
        <x:v>1038</x:v>
      </x:c>
      <x:c r="C10" s="4" t="n">
        <x:f>'TeamHero生成'!C10</x:f>
        <x:v>11</x:v>
      </x:c>
      <x:c r="D10" s="5" t="n">
        <x:f>'TeamHero生成'!D10</x:f>
        <x:v>16789</x:v>
      </x:c>
      <x:c r="E10" s="5" t="n">
        <x:f>'TeamHero生成'!E10</x:f>
        <x:v>907</x:v>
      </x:c>
      <x:c r="F10" s="5" t="n">
        <x:f>'TeamHero生成'!F10</x:f>
        <x:v>2049</x:v>
      </x:c>
      <x:c r="G10" s="4" t="str">
        <x:f>'TeamHero生成'!AG10</x:f>
        <x:v>有效</x:v>
      </x:c>
      <x:c r="H10" s="4" t="n">
        <x:f>'TeamHero生成'!G10</x:f>
        <x:v>22442</x:v>
      </x:c>
      <x:c r="I10" s="4" t="n">
        <x:f>'TeamHero生成'!H10</x:f>
        <x:v>1028</x:v>
      </x:c>
      <x:c r="J10" s="4" t="n">
        <x:f>'TeamHero生成'!I10</x:f>
        <x:v>1686</x:v>
      </x:c>
    </x:row>
    <x:row r="11" ht="14.25" customHeight="1">
      <x:c r="A11" s="4" t="n">
        <x:f>'TeamHero生成'!A11</x:f>
        <x:v>7</x:v>
      </x:c>
      <x:c r="B11" s="4" t="n">
        <x:f>'TeamHero生成'!B11</x:f>
        <x:v>1035</x:v>
      </x:c>
      <x:c r="C11" s="4" t="n">
        <x:f>'TeamHero生成'!C11</x:f>
        <x:v>11</x:v>
      </x:c>
      <x:c r="D11" s="5" t="n">
        <x:f>'TeamHero生成'!D11</x:f>
        <x:v>11193</x:v>
      </x:c>
      <x:c r="E11" s="5" t="n">
        <x:f>'TeamHero生成'!E11</x:f>
        <x:v>1088</x:v>
      </x:c>
      <x:c r="F11" s="5" t="n">
        <x:f>'TeamHero生成'!F11</x:f>
        <x:v>1366</x:v>
      </x:c>
      <x:c r="G11" s="4" t="str">
        <x:f>'TeamHero生成'!AG11</x:f>
        <x:v>有效</x:v>
      </x:c>
      <x:c r="H11" s="4" t="n">
        <x:f>'TeamHero生成'!G11</x:f>
        <x:v>14961</x:v>
      </x:c>
      <x:c r="I11" s="4" t="n">
        <x:f>'TeamHero生成'!H11</x:f>
        <x:v>1233</x:v>
      </x:c>
      <x:c r="J11" s="4" t="n">
        <x:f>'TeamHero生成'!I11</x:f>
        <x:v>1124</x:v>
      </x:c>
    </x:row>
    <x:row r="12" ht="14.25" customHeight="1">
      <x:c r="A12" s="4" t="n">
        <x:f>'TeamHero生成'!A12</x:f>
        <x:v>8</x:v>
      </x:c>
      <x:c r="B12" s="4" t="n">
        <x:f>'TeamHero生成'!B12</x:f>
        <x:v>1035</x:v>
      </x:c>
      <x:c r="C12" s="4" t="n">
        <x:f>'TeamHero生成'!C12</x:f>
        <x:v>11</x:v>
      </x:c>
      <x:c r="D12" s="5" t="n">
        <x:f>'TeamHero生成'!D12</x:f>
        <x:v>11193</x:v>
      </x:c>
      <x:c r="E12" s="5" t="n">
        <x:f>'TeamHero生成'!E12</x:f>
        <x:v>1088</x:v>
      </x:c>
      <x:c r="F12" s="5" t="n">
        <x:f>'TeamHero生成'!F12</x:f>
        <x:v>1366</x:v>
      </x:c>
      <x:c r="G12" s="4" t="str">
        <x:f>'TeamHero生成'!AG12</x:f>
        <x:v>有效</x:v>
      </x:c>
      <x:c r="H12" s="4" t="n">
        <x:f>'TeamHero生成'!G12</x:f>
        <x:v>14961</x:v>
      </x:c>
      <x:c r="I12" s="4" t="n">
        <x:f>'TeamHero生成'!H12</x:f>
        <x:v>1233</x:v>
      </x:c>
      <x:c r="J12" s="4" t="n">
        <x:f>'TeamHero生成'!I12</x:f>
        <x:v>1124</x:v>
      </x:c>
    </x:row>
    <x:row r="13" ht="14.25" customHeight="1">
      <x:c r="A13" s="4" t="n">
        <x:f>'TeamHero生成'!A13</x:f>
        <x:v>9</x:v>
      </x:c>
      <x:c r="B13" s="4" t="n">
        <x:f>'TeamHero生成'!B13</x:f>
        <x:v>1035</x:v>
      </x:c>
      <x:c r="C13" s="4" t="n">
        <x:f>'TeamHero生成'!C13</x:f>
        <x:v>11</x:v>
      </x:c>
      <x:c r="D13" s="5" t="n">
        <x:f>'TeamHero生成'!D13</x:f>
        <x:v>11193</x:v>
      </x:c>
      <x:c r="E13" s="5" t="n">
        <x:f>'TeamHero生成'!E13</x:f>
        <x:v>1088</x:v>
      </x:c>
      <x:c r="F13" s="5" t="n">
        <x:f>'TeamHero生成'!F13</x:f>
        <x:v>1366</x:v>
      </x:c>
      <x:c r="G13" s="4" t="str">
        <x:f>'TeamHero生成'!AG13</x:f>
        <x:v>有效</x:v>
      </x:c>
      <x:c r="H13" s="4" t="n">
        <x:f>'TeamHero生成'!G13</x:f>
        <x:v>14961</x:v>
      </x:c>
      <x:c r="I13" s="4" t="n">
        <x:f>'TeamHero生成'!H13</x:f>
        <x:v>1233</x:v>
      </x:c>
      <x:c r="J13" s="4" t="n">
        <x:f>'TeamHero生成'!I13</x:f>
        <x:v>1124</x:v>
      </x:c>
    </x:row>
    <x:row r="14" ht="14.25" customHeight="1">
      <x:c r="A14" s="4" t="n">
        <x:f>'TeamHero生成'!A14</x:f>
        <x:v>10</x:v>
      </x:c>
      <x:c r="B14" s="4" t="n">
        <x:f>'TeamHero生成'!B14</x:f>
        <x:v>1036</x:v>
      </x:c>
      <x:c r="C14" s="4" t="n">
        <x:f>'TeamHero生成'!C14</x:f>
        <x:v>11</x:v>
      </x:c>
      <x:c r="D14" s="5" t="n">
        <x:f>'TeamHero生成'!D14</x:f>
        <x:v>11193</x:v>
      </x:c>
      <x:c r="E14" s="5" t="n">
        <x:f>'TeamHero生成'!E14</x:f>
        <x:v>1088</x:v>
      </x:c>
      <x:c r="F14" s="5" t="n">
        <x:f>'TeamHero生成'!F14</x:f>
        <x:v>1366</x:v>
      </x:c>
      <x:c r="G14" s="4" t="str">
        <x:f>'TeamHero生成'!AG14</x:f>
        <x:v>有效</x:v>
      </x:c>
      <x:c r="H14" s="4" t="n">
        <x:f>'TeamHero生成'!G14</x:f>
        <x:v>14961</x:v>
      </x:c>
      <x:c r="I14" s="4" t="n">
        <x:f>'TeamHero生成'!H14</x:f>
        <x:v>1233</x:v>
      </x:c>
      <x:c r="J14" s="4" t="n">
        <x:f>'TeamHero生成'!I14</x:f>
        <x:v>1124</x:v>
      </x:c>
    </x:row>
    <x:row r="15" ht="14.25" customHeight="1">
      <x:c r="A15" s="4" t="n">
        <x:f>'TeamHero生成'!A15</x:f>
        <x:v>11</x:v>
      </x:c>
      <x:c r="B15" s="4" t="n">
        <x:f>'TeamHero生成'!B15</x:f>
        <x:v>1002</x:v>
      </x:c>
      <x:c r="C15" s="4" t="n">
        <x:f>'TeamHero生成'!C15</x:f>
        <x:v>11</x:v>
      </x:c>
      <x:c r="D15" s="5" t="n">
        <x:f>'TeamHero生成'!D15</x:f>
        <x:v>21843</x:v>
      </x:c>
      <x:c r="E15" s="5" t="n">
        <x:f>'TeamHero生成'!E15</x:f>
        <x:v>1105</x:v>
      </x:c>
      <x:c r="F15" s="5" t="n">
        <x:f>'TeamHero生成'!F15</x:f>
        <x:v>2519</x:v>
      </x:c>
      <x:c r="G15" s="4" t="str">
        <x:f>'TeamHero生成'!AG15</x:f>
        <x:v>有效</x:v>
      </x:c>
      <x:c r="H15" s="4" t="n">
        <x:f>'TeamHero生成'!G15</x:f>
        <x:v>27900</x:v>
      </x:c>
      <x:c r="I15" s="4" t="n">
        <x:f>'TeamHero生成'!H15</x:f>
        <x:v>1213</x:v>
      </x:c>
      <x:c r="J15" s="4" t="n">
        <x:f>'TeamHero生成'!I15</x:f>
        <x:v>1982</x:v>
      </x:c>
    </x:row>
    <x:row r="16" ht="14.25" customHeight="1">
      <x:c r="A16" s="4" t="n">
        <x:f>'TeamHero生成'!A16</x:f>
        <x:v>12</x:v>
      </x:c>
      <x:c r="B16" s="4" t="n">
        <x:f>'TeamHero生成'!B16</x:f>
        <x:v>1002</x:v>
      </x:c>
      <x:c r="C16" s="4" t="n">
        <x:f>'TeamHero生成'!C16</x:f>
        <x:v>11</x:v>
      </x:c>
      <x:c r="D16" s="5" t="n">
        <x:f>'TeamHero生成'!D16</x:f>
        <x:v>21843</x:v>
      </x:c>
      <x:c r="E16" s="5" t="n">
        <x:f>'TeamHero生成'!E16</x:f>
        <x:v>1105</x:v>
      </x:c>
      <x:c r="F16" s="5" t="n">
        <x:f>'TeamHero生成'!F16</x:f>
        <x:v>2519</x:v>
      </x:c>
      <x:c r="G16" s="4" t="str">
        <x:f>'TeamHero生成'!AG16</x:f>
        <x:v>有效</x:v>
      </x:c>
      <x:c r="H16" s="4" t="n">
        <x:f>'TeamHero生成'!G16</x:f>
        <x:v>27900</x:v>
      </x:c>
      <x:c r="I16" s="4" t="n">
        <x:f>'TeamHero生成'!H16</x:f>
        <x:v>1213</x:v>
      </x:c>
      <x:c r="J16" s="4" t="n">
        <x:f>'TeamHero生成'!I16</x:f>
        <x:v>1982</x:v>
      </x:c>
    </x:row>
    <x:row r="17" ht="14.25" customHeight="1">
      <x:c r="A17" s="4" t="n">
        <x:f>'TeamHero生成'!A17</x:f>
        <x:v>13</x:v>
      </x:c>
      <x:c r="B17" s="4" t="n">
        <x:f>'TeamHero生成'!B17</x:f>
        <x:v>1002</x:v>
      </x:c>
      <x:c r="C17" s="4" t="n">
        <x:f>'TeamHero生成'!C17</x:f>
        <x:v>11</x:v>
      </x:c>
      <x:c r="D17" s="5" t="n">
        <x:f>'TeamHero生成'!D17</x:f>
        <x:v>21843</x:v>
      </x:c>
      <x:c r="E17" s="5" t="n">
        <x:f>'TeamHero生成'!E17</x:f>
        <x:v>1105</x:v>
      </x:c>
      <x:c r="F17" s="5" t="n">
        <x:f>'TeamHero生成'!F17</x:f>
        <x:v>2519</x:v>
      </x:c>
      <x:c r="G17" s="4" t="str">
        <x:f>'TeamHero生成'!AG17</x:f>
        <x:v>有效</x:v>
      </x:c>
      <x:c r="H17" s="4" t="n">
        <x:f>'TeamHero生成'!G17</x:f>
        <x:v>27900</x:v>
      </x:c>
      <x:c r="I17" s="4" t="n">
        <x:f>'TeamHero生成'!H17</x:f>
        <x:v>1213</x:v>
      </x:c>
      <x:c r="J17" s="4" t="n">
        <x:f>'TeamHero生成'!I17</x:f>
        <x:v>1982</x:v>
      </x:c>
    </x:row>
    <x:row r="18" ht="14.25" customHeight="1">
      <x:c r="A18" s="4" t="n">
        <x:f>'TeamHero生成'!A18</x:f>
        <x:v>14</x:v>
      </x:c>
      <x:c r="B18" s="4" t="n">
        <x:f>'TeamHero生成'!B18</x:f>
        <x:v>1011</x:v>
      </x:c>
      <x:c r="C18" s="4" t="n">
        <x:f>'TeamHero生成'!C18</x:f>
        <x:v>11</x:v>
      </x:c>
      <x:c r="D18" s="5" t="n">
        <x:f>'TeamHero生成'!D18</x:f>
        <x:v>18203</x:v>
      </x:c>
      <x:c r="E18" s="5" t="n">
        <x:f>'TeamHero生成'!E18</x:f>
        <x:v>1105</x:v>
      </x:c>
      <x:c r="F18" s="5" t="n">
        <x:f>'TeamHero生成'!F18</x:f>
        <x:v>2099</x:v>
      </x:c>
      <x:c r="G18" s="4" t="str">
        <x:f>'TeamHero生成'!AG18</x:f>
        <x:v>有效</x:v>
      </x:c>
      <x:c r="H18" s="4" t="n">
        <x:f>'TeamHero生成'!G18</x:f>
        <x:v>23250</x:v>
      </x:c>
      <x:c r="I18" s="4" t="n">
        <x:f>'TeamHero生成'!H18</x:f>
        <x:v>1213</x:v>
      </x:c>
      <x:c r="J18" s="4" t="n">
        <x:f>'TeamHero生成'!I18</x:f>
        <x:v>1652</x:v>
      </x:c>
    </x:row>
    <x:row r="19" ht="14.25" customHeight="1">
      <x:c r="A19" s="4" t="n">
        <x:f>'TeamHero生成'!A19</x:f>
        <x:v>15</x:v>
      </x:c>
      <x:c r="B19" s="4" t="n">
        <x:f>'TeamHero生成'!B19</x:f>
        <x:v>1015</x:v>
      </x:c>
      <x:c r="C19" s="4" t="n">
        <x:f>'TeamHero生成'!C19</x:f>
        <x:v>11</x:v>
      </x:c>
      <x:c r="D19" s="5" t="n">
        <x:f>'TeamHero生成'!D19</x:f>
        <x:v>18203</x:v>
      </x:c>
      <x:c r="E19" s="5" t="n">
        <x:f>'TeamHero生成'!E19</x:f>
        <x:v>1105</x:v>
      </x:c>
      <x:c r="F19" s="5" t="n">
        <x:f>'TeamHero生成'!F19</x:f>
        <x:v>2099</x:v>
      </x:c>
      <x:c r="G19" s="4" t="str">
        <x:f>'TeamHero生成'!AG19</x:f>
        <x:v>有效</x:v>
      </x:c>
      <x:c r="H19" s="4" t="n">
        <x:f>'TeamHero生成'!G19</x:f>
        <x:v>23250</x:v>
      </x:c>
      <x:c r="I19" s="4" t="n">
        <x:f>'TeamHero生成'!H19</x:f>
        <x:v>1213</x:v>
      </x:c>
      <x:c r="J19" s="4" t="n">
        <x:f>'TeamHero生成'!I19</x:f>
        <x:v>1652</x:v>
      </x:c>
    </x:row>
    <x:row r="20" ht="14.25" customHeight="1">
      <x:c r="A20" s="4" t="n">
        <x:f>'TeamHero生成'!A20</x:f>
        <x:v>16</x:v>
      </x:c>
      <x:c r="B20" s="4" t="n">
        <x:f>'TeamHero生成'!B20</x:f>
        <x:v>1035</x:v>
      </x:c>
      <x:c r="C20" s="4" t="n">
        <x:f>'TeamHero生成'!C20</x:f>
        <x:v>12</x:v>
      </x:c>
      <x:c r="D20" s="5" t="n">
        <x:f>'TeamHero生成'!D20</x:f>
        <x:v>17861</x:v>
      </x:c>
      <x:c r="E20" s="5" t="n">
        <x:f>'TeamHero生成'!E20</x:f>
        <x:v>1530</x:v>
      </x:c>
      <x:c r="F20" s="5" t="n">
        <x:f>'TeamHero生成'!F20</x:f>
        <x:v>1917</x:v>
      </x:c>
      <x:c r="G20" s="4" t="str">
        <x:f>'TeamHero生成'!AG20</x:f>
        <x:v>有效</x:v>
      </x:c>
      <x:c r="H20" s="4" t="n">
        <x:f>'TeamHero生成'!G20</x:f>
        <x:v>22555</x:v>
      </x:c>
      <x:c r="I20" s="4" t="n">
        <x:f>'TeamHero生成'!H20</x:f>
        <x:v>1680</x:v>
      </x:c>
      <x:c r="J20" s="4" t="n">
        <x:f>'TeamHero生成'!I20</x:f>
        <x:v>1522</x:v>
      </x:c>
    </x:row>
    <x:row r="21" ht="14.25" customHeight="1">
      <x:c r="A21" s="4" t="n">
        <x:f>'TeamHero生成'!A21</x:f>
        <x:v>17</x:v>
      </x:c>
      <x:c r="B21" s="4" t="n">
        <x:f>'TeamHero生成'!B21</x:f>
        <x:v>1037</x:v>
      </x:c>
      <x:c r="C21" s="4" t="n">
        <x:f>'TeamHero生成'!C21</x:f>
        <x:v>12</x:v>
      </x:c>
      <x:c r="D21" s="5" t="n">
        <x:f>'TeamHero生成'!D21</x:f>
        <x:v>17861</x:v>
      </x:c>
      <x:c r="E21" s="5" t="n">
        <x:f>'TeamHero生成'!E21</x:f>
        <x:v>1530</x:v>
      </x:c>
      <x:c r="F21" s="5" t="n">
        <x:f>'TeamHero生成'!F21</x:f>
        <x:v>1917</x:v>
      </x:c>
      <x:c r="G21" s="4" t="str">
        <x:f>'TeamHero生成'!AG21</x:f>
        <x:v>有效</x:v>
      </x:c>
      <x:c r="H21" s="4" t="n">
        <x:f>'TeamHero生成'!G21</x:f>
        <x:v>22555</x:v>
      </x:c>
      <x:c r="I21" s="4" t="n">
        <x:f>'TeamHero生成'!H21</x:f>
        <x:v>1680</x:v>
      </x:c>
      <x:c r="J21" s="4" t="n">
        <x:f>'TeamHero生成'!I21</x:f>
        <x:v>1522</x:v>
      </x:c>
    </x:row>
    <x:row r="22" ht="14.25" customHeight="1">
      <x:c r="A22" s="4" t="n">
        <x:f>'TeamHero生成'!A22</x:f>
        <x:v>18</x:v>
      </x:c>
      <x:c r="B22" s="4" t="n">
        <x:f>'TeamHero生成'!B22</x:f>
        <x:v>1014</x:v>
      </x:c>
      <x:c r="C22" s="4" t="n">
        <x:f>'TeamHero生成'!C22</x:f>
        <x:v>12</x:v>
      </x:c>
      <x:c r="D22" s="5" t="n">
        <x:f>'TeamHero生成'!D22</x:f>
        <x:v>17861</x:v>
      </x:c>
      <x:c r="E22" s="5" t="n">
        <x:f>'TeamHero生成'!E22</x:f>
        <x:v>1530</x:v>
      </x:c>
      <x:c r="F22" s="5" t="n">
        <x:f>'TeamHero生成'!F22</x:f>
        <x:v>1917</x:v>
      </x:c>
      <x:c r="G22" s="4" t="str">
        <x:f>'TeamHero生成'!AG22</x:f>
        <x:v>有效</x:v>
      </x:c>
      <x:c r="H22" s="4" t="n">
        <x:f>'TeamHero生成'!G22</x:f>
        <x:v>22555</x:v>
      </x:c>
      <x:c r="I22" s="4" t="n">
        <x:f>'TeamHero生成'!H22</x:f>
        <x:v>1680</x:v>
      </x:c>
      <x:c r="J22" s="4" t="n">
        <x:f>'TeamHero生成'!I22</x:f>
        <x:v>1522</x:v>
      </x:c>
    </x:row>
    <x:row r="23" ht="14.25" customHeight="1">
      <x:c r="A23" s="4" t="n">
        <x:f>'TeamHero生成'!A23</x:f>
        <x:v>19</x:v>
      </x:c>
      <x:c r="B23" s="4" t="n">
        <x:f>'TeamHero生成'!B23</x:f>
        <x:v>1036</x:v>
      </x:c>
      <x:c r="C23" s="4" t="n">
        <x:f>'TeamHero生成'!C23</x:f>
        <x:v>12</x:v>
      </x:c>
      <x:c r="D23" s="5" t="n">
        <x:f>'TeamHero生成'!D23</x:f>
        <x:v>17861</x:v>
      </x:c>
      <x:c r="E23" s="5" t="n">
        <x:f>'TeamHero生成'!E23</x:f>
        <x:v>1530</x:v>
      </x:c>
      <x:c r="F23" s="5" t="n">
        <x:f>'TeamHero生成'!F23</x:f>
        <x:v>1917</x:v>
      </x:c>
      <x:c r="G23" s="4" t="str">
        <x:f>'TeamHero生成'!AG23</x:f>
        <x:v>有效</x:v>
      </x:c>
      <x:c r="H23" s="4" t="n">
        <x:f>'TeamHero生成'!G23</x:f>
        <x:v>22555</x:v>
      </x:c>
      <x:c r="I23" s="4" t="n">
        <x:f>'TeamHero生成'!H23</x:f>
        <x:v>1680</x:v>
      </x:c>
      <x:c r="J23" s="4" t="n">
        <x:f>'TeamHero生成'!I23</x:f>
        <x:v>1522</x:v>
      </x:c>
    </x:row>
    <x:row r="24" ht="14.25" customHeight="1">
      <x:c r="A24" s="4" t="n">
        <x:f>'TeamHero生成'!A24</x:f>
        <x:v>20</x:v>
      </x:c>
      <x:c r="B24" s="4" t="n">
        <x:f>'TeamHero生成'!B24</x:f>
        <x:v>1015</x:v>
      </x:c>
      <x:c r="C24" s="4" t="n">
        <x:f>'TeamHero生成'!C24</x:f>
        <x:v>12</x:v>
      </x:c>
      <x:c r="D24" s="5" t="n">
        <x:f>'TeamHero生成'!D24</x:f>
        <x:v>22326</x:v>
      </x:c>
      <x:c r="E24" s="5" t="n">
        <x:f>'TeamHero生成'!E24</x:f>
        <x:v>1275</x:v>
      </x:c>
      <x:c r="F24" s="5" t="n">
        <x:f>'TeamHero生成'!F24</x:f>
        <x:v>2396</x:v>
      </x:c>
      <x:c r="G24" s="4" t="str">
        <x:f>'TeamHero生成'!AG24</x:f>
        <x:v>有效</x:v>
      </x:c>
      <x:c r="H24" s="4" t="n">
        <x:f>'TeamHero生成'!G24</x:f>
        <x:v>28194</x:v>
      </x:c>
      <x:c r="I24" s="4" t="n">
        <x:f>'TeamHero生成'!H24</x:f>
        <x:v>1400</x:v>
      </x:c>
      <x:c r="J24" s="4" t="n">
        <x:f>'TeamHero生成'!I24</x:f>
        <x:v>1903</x:v>
      </x:c>
    </x:row>
    <x:row r="25" ht="14.25" customHeight="1">
      <x:c r="A25" s="4" t="n">
        <x:f>'TeamHero生成'!A25</x:f>
        <x:v>21</x:v>
      </x:c>
      <x:c r="B25" s="4" t="n">
        <x:f>'TeamHero生成'!B25</x:f>
        <x:v>1002</x:v>
      </x:c>
      <x:c r="C25" s="4" t="n">
        <x:f>'TeamHero生成'!C25</x:f>
        <x:v>12</x:v>
      </x:c>
      <x:c r="D25" s="5" t="n">
        <x:f>'TeamHero生成'!D25</x:f>
        <x:v>30866</x:v>
      </x:c>
      <x:c r="E25" s="5" t="n">
        <x:f>'TeamHero生成'!E25</x:f>
        <x:v>1412</x:v>
      </x:c>
      <x:c r="F25" s="5" t="n">
        <x:f>'TeamHero生成'!F25</x:f>
        <x:v>3234</x:v>
      </x:c>
      <x:c r="G25" s="4" t="str">
        <x:f>'TeamHero生成'!AG25</x:f>
        <x:v>有效</x:v>
      </x:c>
      <x:c r="H25" s="4" t="n">
        <x:f>'TeamHero生成'!G25</x:f>
        <x:v>40262</x:v>
      </x:c>
      <x:c r="I25" s="4" t="n">
        <x:f>'TeamHero生成'!H25</x:f>
        <x:v>1594</x:v>
      </x:c>
      <x:c r="J25" s="4" t="n">
        <x:f>'TeamHero生成'!I25</x:f>
        <x:v>2588</x:v>
      </x:c>
    </x:row>
    <x:row r="26" ht="14.25" customHeight="1">
      <x:c r="A26" s="4" t="n">
        <x:f>'TeamHero生成'!A26</x:f>
        <x:v>22</x:v>
      </x:c>
      <x:c r="B26" s="4" t="n">
        <x:f>'TeamHero生成'!B26</x:f>
        <x:v>1005</x:v>
      </x:c>
      <x:c r="C26" s="4" t="n">
        <x:f>'TeamHero生成'!C26</x:f>
        <x:v>12</x:v>
      </x:c>
      <x:c r="D26" s="5" t="n">
        <x:f>'TeamHero生成'!D26</x:f>
        <x:v>20577</x:v>
      </x:c>
      <x:c r="E26" s="5" t="n">
        <x:f>'TeamHero生成'!E26</x:f>
        <x:v>1695</x:v>
      </x:c>
      <x:c r="F26" s="5" t="n">
        <x:f>'TeamHero生成'!F26</x:f>
        <x:v>2156</x:v>
      </x:c>
      <x:c r="G26" s="4" t="str">
        <x:f>'TeamHero生成'!AG26</x:f>
        <x:v>有效</x:v>
      </x:c>
      <x:c r="H26" s="4" t="n">
        <x:f>'TeamHero生成'!G26</x:f>
        <x:v>26841</x:v>
      </x:c>
      <x:c r="I26" s="4" t="n">
        <x:f>'TeamHero生成'!H26</x:f>
        <x:v>1912</x:v>
      </x:c>
      <x:c r="J26" s="4" t="n">
        <x:f>'TeamHero生成'!I26</x:f>
        <x:v>1725</x:v>
      </x:c>
    </x:row>
    <x:row r="27" ht="14.25" customHeight="1">
      <x:c r="A27" s="4" t="n">
        <x:f>'TeamHero生成'!A27</x:f>
        <x:v>23</x:v>
      </x:c>
      <x:c r="B27" s="4" t="n">
        <x:f>'TeamHero生成'!B27</x:f>
        <x:v>1029</x:v>
      </x:c>
      <x:c r="C27" s="4" t="n">
        <x:f>'TeamHero生成'!C27</x:f>
        <x:v>12</x:v>
      </x:c>
      <x:c r="D27" s="5" t="n">
        <x:f>'TeamHero生成'!D27</x:f>
        <x:v>25722</x:v>
      </x:c>
      <x:c r="E27" s="5" t="n">
        <x:f>'TeamHero生成'!E27</x:f>
        <x:v>1412</x:v>
      </x:c>
      <x:c r="F27" s="5" t="n">
        <x:f>'TeamHero生成'!F27</x:f>
        <x:v>2695</x:v>
      </x:c>
      <x:c r="G27" s="4" t="str">
        <x:f>'TeamHero生成'!AG27</x:f>
        <x:v>有效</x:v>
      </x:c>
      <x:c r="H27" s="4" t="n">
        <x:f>'TeamHero生成'!G27</x:f>
        <x:v>33552</x:v>
      </x:c>
      <x:c r="I27" s="4" t="n">
        <x:f>'TeamHero生成'!H27</x:f>
        <x:v>1594</x:v>
      </x:c>
      <x:c r="J27" s="4" t="n">
        <x:f>'TeamHero生成'!I27</x:f>
        <x:v>2157</x:v>
      </x:c>
    </x:row>
    <x:row r="28" ht="14.25" customHeight="1">
      <x:c r="A28" s="4" t="n">
        <x:f>'TeamHero生成'!A28</x:f>
        <x:v>24</x:v>
      </x:c>
      <x:c r="B28" s="4" t="n">
        <x:f>'TeamHero生成'!B28</x:f>
        <x:v>1012</x:v>
      </x:c>
      <x:c r="C28" s="4" t="n">
        <x:f>'TeamHero生成'!C28</x:f>
        <x:v>12</x:v>
      </x:c>
      <x:c r="D28" s="5" t="n">
        <x:f>'TeamHero生成'!D28</x:f>
        <x:v>25722</x:v>
      </x:c>
      <x:c r="E28" s="5" t="n">
        <x:f>'TeamHero生成'!E28</x:f>
        <x:v>1412</x:v>
      </x:c>
      <x:c r="F28" s="5" t="n">
        <x:f>'TeamHero生成'!F28</x:f>
        <x:v>2695</x:v>
      </x:c>
      <x:c r="G28" s="4" t="str">
        <x:f>'TeamHero生成'!AG28</x:f>
        <x:v>有效</x:v>
      </x:c>
      <x:c r="H28" s="4" t="n">
        <x:f>'TeamHero生成'!G28</x:f>
        <x:v>33552</x:v>
      </x:c>
      <x:c r="I28" s="4" t="n">
        <x:f>'TeamHero生成'!H28</x:f>
        <x:v>1594</x:v>
      </x:c>
      <x:c r="J28" s="4" t="n">
        <x:f>'TeamHero生成'!I28</x:f>
        <x:v>2157</x:v>
      </x:c>
    </x:row>
    <x:row r="29" ht="14.25" customHeight="1">
      <x:c r="A29" s="4" t="n">
        <x:f>'TeamHero生成'!A29</x:f>
        <x:v>25</x:v>
      </x:c>
      <x:c r="B29" s="4" t="n">
        <x:f>'TeamHero生成'!B29</x:f>
        <x:v>1011</x:v>
      </x:c>
      <x:c r="C29" s="4" t="n">
        <x:f>'TeamHero生成'!C29</x:f>
        <x:v>12</x:v>
      </x:c>
      <x:c r="D29" s="5" t="n">
        <x:f>'TeamHero生成'!D29</x:f>
        <x:v>25722</x:v>
      </x:c>
      <x:c r="E29" s="5" t="n">
        <x:f>'TeamHero生成'!E29</x:f>
        <x:v>1412</x:v>
      </x:c>
      <x:c r="F29" s="5" t="n">
        <x:f>'TeamHero生成'!F29</x:f>
        <x:v>2695</x:v>
      </x:c>
      <x:c r="G29" s="4" t="str">
        <x:f>'TeamHero生成'!AG29</x:f>
        <x:v>有效</x:v>
      </x:c>
      <x:c r="H29" s="4" t="n">
        <x:f>'TeamHero生成'!G29</x:f>
        <x:v>33552</x:v>
      </x:c>
      <x:c r="I29" s="4" t="n">
        <x:f>'TeamHero生成'!H29</x:f>
        <x:v>1594</x:v>
      </x:c>
      <x:c r="J29" s="4" t="n">
        <x:f>'TeamHero生成'!I29</x:f>
        <x:v>2157</x:v>
      </x:c>
    </x:row>
    <x:row r="30" ht="14.25" customHeight="1">
      <x:c r="A30" s="4" t="n">
        <x:f>'TeamHero生成'!A30</x:f>
        <x:v>26</x:v>
      </x:c>
      <x:c r="B30" s="4" t="n">
        <x:f>'TeamHero生成'!B30</x:f>
        <x:v>1030</x:v>
      </x:c>
      <x:c r="C30" s="4" t="n">
        <x:f>'TeamHero生成'!C30</x:f>
        <x:v>13</x:v>
      </x:c>
      <x:c r="D30" s="5" t="n">
        <x:f>'TeamHero生成'!D30</x:f>
        <x:v>38108</x:v>
      </x:c>
      <x:c r="E30" s="5" t="n">
        <x:f>'TeamHero生成'!E30</x:f>
        <x:v>1617</x:v>
      </x:c>
      <x:c r="F30" s="5" t="n">
        <x:f>'TeamHero生成'!F30</x:f>
        <x:v>3719</x:v>
      </x:c>
      <x:c r="G30" s="4" t="str">
        <x:f>'TeamHero生成'!AG30</x:f>
        <x:v>有效</x:v>
      </x:c>
      <x:c r="H30" s="4" t="n">
        <x:f>'TeamHero生成'!G30</x:f>
        <x:v>47188</x:v>
      </x:c>
      <x:c r="I30" s="4" t="n">
        <x:f>'TeamHero生成'!H30</x:f>
        <x:v>1789</x:v>
      </x:c>
      <x:c r="J30" s="4" t="n">
        <x:f>'TeamHero生成'!I30</x:f>
        <x:v>2898</x:v>
      </x:c>
    </x:row>
    <x:row r="31" ht="14.25" customHeight="1">
      <x:c r="A31" s="4" t="n">
        <x:f>'TeamHero生成'!A31</x:f>
        <x:v>27</x:v>
      </x:c>
      <x:c r="B31" s="4" t="n">
        <x:f>'TeamHero生成'!B31</x:f>
        <x:v>1021</x:v>
      </x:c>
      <x:c r="C31" s="4" t="n">
        <x:f>'TeamHero生成'!C31</x:f>
        <x:v>13</x:v>
      </x:c>
      <x:c r="D31" s="5" t="n">
        <x:f>'TeamHero生成'!D31</x:f>
        <x:v>25406</x:v>
      </x:c>
      <x:c r="E31" s="5" t="n">
        <x:f>'TeamHero生成'!E31</x:f>
        <x:v>1941</x:v>
      </x:c>
      <x:c r="F31" s="5" t="n">
        <x:f>'TeamHero生成'!F31</x:f>
        <x:v>2479</x:v>
      </x:c>
      <x:c r="G31" s="4" t="str">
        <x:f>'TeamHero生成'!AG31</x:f>
        <x:v>有效</x:v>
      </x:c>
      <x:c r="H31" s="4" t="n">
        <x:f>'TeamHero生成'!G31</x:f>
        <x:v>31459</x:v>
      </x:c>
      <x:c r="I31" s="4" t="n">
        <x:f>'TeamHero生成'!H31</x:f>
        <x:v>2146</x:v>
      </x:c>
      <x:c r="J31" s="4" t="n">
        <x:f>'TeamHero生成'!I31</x:f>
        <x:v>1932</x:v>
      </x:c>
    </x:row>
    <x:row r="32" ht="14.25" customHeight="1">
      <x:c r="A32" s="4" t="n">
        <x:f>'TeamHero生成'!A32</x:f>
        <x:v>28</x:v>
      </x:c>
      <x:c r="B32" s="4" t="n">
        <x:f>'TeamHero生成'!B32</x:f>
        <x:v>1021</x:v>
      </x:c>
      <x:c r="C32" s="4" t="n">
        <x:f>'TeamHero生成'!C32</x:f>
        <x:v>13</x:v>
      </x:c>
      <x:c r="D32" s="5" t="n">
        <x:f>'TeamHero生成'!D32</x:f>
        <x:v>25406</x:v>
      </x:c>
      <x:c r="E32" s="5" t="n">
        <x:f>'TeamHero生成'!E32</x:f>
        <x:v>1941</x:v>
      </x:c>
      <x:c r="F32" s="5" t="n">
        <x:f>'TeamHero生成'!F32</x:f>
        <x:v>2479</x:v>
      </x:c>
      <x:c r="G32" s="4" t="str">
        <x:f>'TeamHero生成'!AG32</x:f>
        <x:v>有效</x:v>
      </x:c>
      <x:c r="H32" s="4" t="n">
        <x:f>'TeamHero生成'!G32</x:f>
        <x:v>31459</x:v>
      </x:c>
      <x:c r="I32" s="4" t="n">
        <x:f>'TeamHero生成'!H32</x:f>
        <x:v>2146</x:v>
      </x:c>
      <x:c r="J32" s="4" t="n">
        <x:f>'TeamHero生成'!I32</x:f>
        <x:v>1932</x:v>
      </x:c>
    </x:row>
    <x:row r="33" ht="14.25" customHeight="1">
      <x:c r="A33" s="4" t="n">
        <x:f>'TeamHero生成'!A33</x:f>
        <x:v>29</x:v>
      </x:c>
      <x:c r="B33" s="4" t="n">
        <x:f>'TeamHero生成'!B33</x:f>
        <x:v>1021</x:v>
      </x:c>
      <x:c r="C33" s="4" t="n">
        <x:f>'TeamHero生成'!C33</x:f>
        <x:v>13</x:v>
      </x:c>
      <x:c r="D33" s="5" t="n">
        <x:f>'TeamHero生成'!D33</x:f>
        <x:v>25406</x:v>
      </x:c>
      <x:c r="E33" s="5" t="n">
        <x:f>'TeamHero生成'!E33</x:f>
        <x:v>1941</x:v>
      </x:c>
      <x:c r="F33" s="5" t="n">
        <x:f>'TeamHero生成'!F33</x:f>
        <x:v>2479</x:v>
      </x:c>
      <x:c r="G33" s="4" t="str">
        <x:f>'TeamHero生成'!AG33</x:f>
        <x:v>有效</x:v>
      </x:c>
      <x:c r="H33" s="4" t="n">
        <x:f>'TeamHero生成'!G33</x:f>
        <x:v>31459</x:v>
      </x:c>
      <x:c r="I33" s="4" t="n">
        <x:f>'TeamHero生成'!H33</x:f>
        <x:v>2146</x:v>
      </x:c>
      <x:c r="J33" s="4" t="n">
        <x:f>'TeamHero生成'!I33</x:f>
        <x:v>1932</x:v>
      </x:c>
    </x:row>
    <x:row r="34" ht="14.25" customHeight="1">
      <x:c r="A34" s="4" t="n">
        <x:f>'TeamHero生成'!A34</x:f>
        <x:v>30</x:v>
      </x:c>
      <x:c r="B34" s="4" t="n">
        <x:f>'TeamHero生成'!B34</x:f>
        <x:v>1020</x:v>
      </x:c>
      <x:c r="C34" s="4" t="n">
        <x:f>'TeamHero生成'!C34</x:f>
        <x:v>13</x:v>
      </x:c>
      <x:c r="D34" s="5" t="n">
        <x:f>'TeamHero生成'!D34</x:f>
        <x:v>31757</x:v>
      </x:c>
      <x:c r="E34" s="5" t="n">
        <x:f>'TeamHero生成'!E34</x:f>
        <x:v>1617</x:v>
      </x:c>
      <x:c r="F34" s="5" t="n">
        <x:f>'TeamHero生成'!F34</x:f>
        <x:v>3099</x:v>
      </x:c>
      <x:c r="G34" s="4" t="str">
        <x:f>'TeamHero生成'!AG34</x:f>
        <x:v>有效</x:v>
      </x:c>
      <x:c r="H34" s="4" t="n">
        <x:f>'TeamHero生成'!G34</x:f>
        <x:v>39324</x:v>
      </x:c>
      <x:c r="I34" s="4" t="n">
        <x:f>'TeamHero生成'!H34</x:f>
        <x:v>1789</x:v>
      </x:c>
      <x:c r="J34" s="4" t="n">
        <x:f>'TeamHero生成'!I34</x:f>
        <x:v>2415</x:v>
      </x:c>
    </x:row>
    <x:row r="35" ht="14.25" customHeight="1">
      <x:c r="A35" s="4" t="n">
        <x:f>'TeamHero生成'!A35</x:f>
        <x:v>31</x:v>
      </x:c>
      <x:c r="B35" s="4" t="n">
        <x:f>'TeamHero生成'!B35</x:f>
        <x:v>1030</x:v>
      </x:c>
      <x:c r="C35" s="4" t="n">
        <x:f>'TeamHero生成'!C35</x:f>
        <x:v>13</x:v>
      </x:c>
      <x:c r="D35" s="5" t="n">
        <x:f>'TeamHero生成'!D35</x:f>
        <x:v>43864</x:v>
      </x:c>
      <x:c r="E35" s="5" t="n">
        <x:f>'TeamHero生成'!E35</x:f>
        <x:v>1763</x:v>
      </x:c>
      <x:c r="F35" s="5" t="n">
        <x:f>'TeamHero生成'!F35</x:f>
        <x:v>4085</x:v>
      </x:c>
      <x:c r="G35" s="4" t="str">
        <x:f>'TeamHero生成'!AG35</x:f>
        <x:v>有效</x:v>
      </x:c>
      <x:c r="H35" s="4" t="n">
        <x:f>'TeamHero生成'!G35</x:f>
        <x:v>54633</x:v>
      </x:c>
      <x:c r="I35" s="4" t="n">
        <x:f>'TeamHero生成'!H35</x:f>
        <x:v>1990</x:v>
      </x:c>
      <x:c r="J35" s="4" t="n">
        <x:f>'TeamHero生成'!I35</x:f>
        <x:v>3211</x:v>
      </x:c>
    </x:row>
    <x:row r="36" ht="14.25" customHeight="1">
      <x:c r="A36" s="4" t="n">
        <x:f>'TeamHero生成'!A36</x:f>
        <x:v>32</x:v>
      </x:c>
      <x:c r="B36" s="4" t="n">
        <x:f>'TeamHero生成'!B36</x:f>
        <x:v>1026</x:v>
      </x:c>
      <x:c r="C36" s="4" t="n">
        <x:f>'TeamHero生成'!C36</x:f>
        <x:v>13</x:v>
      </x:c>
      <x:c r="D36" s="5" t="n">
        <x:f>'TeamHero生成'!D36</x:f>
        <x:v>29243</x:v>
      </x:c>
      <x:c r="E36" s="5" t="n">
        <x:f>'TeamHero生成'!E36</x:f>
        <x:v>2115</x:v>
      </x:c>
      <x:c r="F36" s="5" t="n">
        <x:f>'TeamHero生成'!F36</x:f>
        <x:v>2723</x:v>
      </x:c>
      <x:c r="G36" s="4" t="str">
        <x:f>'TeamHero生成'!AG36</x:f>
        <x:v>有效</x:v>
      </x:c>
      <x:c r="H36" s="4" t="n">
        <x:f>'TeamHero生成'!G36</x:f>
        <x:v>36422</x:v>
      </x:c>
      <x:c r="I36" s="4" t="n">
        <x:f>'TeamHero生成'!H36</x:f>
        <x:v>2388</x:v>
      </x:c>
      <x:c r="J36" s="4" t="n">
        <x:f>'TeamHero生成'!I36</x:f>
        <x:v>2140</x:v>
      </x:c>
    </x:row>
    <x:row r="37" ht="14.25" customHeight="1">
      <x:c r="A37" s="4" t="n">
        <x:f>'TeamHero生成'!A37</x:f>
        <x:v>33</x:v>
      </x:c>
      <x:c r="B37" s="4" t="n">
        <x:f>'TeamHero生成'!B37</x:f>
        <x:v>1015</x:v>
      </x:c>
      <x:c r="C37" s="4" t="n">
        <x:f>'TeamHero生成'!C37</x:f>
        <x:v>13</x:v>
      </x:c>
      <x:c r="D37" s="5" t="n">
        <x:f>'TeamHero生成'!D37</x:f>
        <x:v>36554</x:v>
      </x:c>
      <x:c r="E37" s="5" t="n">
        <x:f>'TeamHero生成'!E37</x:f>
        <x:v>1763</x:v>
      </x:c>
      <x:c r="F37" s="5" t="n">
        <x:f>'TeamHero生成'!F37</x:f>
        <x:v>3404</x:v>
      </x:c>
      <x:c r="G37" s="4" t="str">
        <x:f>'TeamHero生成'!AG37</x:f>
        <x:v>有效</x:v>
      </x:c>
      <x:c r="H37" s="4" t="n">
        <x:f>'TeamHero生成'!G37</x:f>
        <x:v>45528</x:v>
      </x:c>
      <x:c r="I37" s="4" t="n">
        <x:f>'TeamHero生成'!H37</x:f>
        <x:v>1990</x:v>
      </x:c>
      <x:c r="J37" s="4" t="n">
        <x:f>'TeamHero生成'!I37</x:f>
        <x:v>2676</x:v>
      </x:c>
    </x:row>
    <x:row r="38" ht="14.25" customHeight="1">
      <x:c r="A38" s="4" t="n">
        <x:f>'TeamHero生成'!A38</x:f>
        <x:v>34</x:v>
      </x:c>
      <x:c r="B38" s="4" t="n">
        <x:f>'TeamHero生成'!B38</x:f>
        <x:v>1023</x:v>
      </x:c>
      <x:c r="C38" s="4" t="n">
        <x:f>'TeamHero生成'!C38</x:f>
        <x:v>13</x:v>
      </x:c>
      <x:c r="D38" s="5" t="n">
        <x:f>'TeamHero生成'!D38</x:f>
        <x:v>36554</x:v>
      </x:c>
      <x:c r="E38" s="5" t="n">
        <x:f>'TeamHero生成'!E38</x:f>
        <x:v>1763</x:v>
      </x:c>
      <x:c r="F38" s="5" t="n">
        <x:f>'TeamHero生成'!F38</x:f>
        <x:v>3404</x:v>
      </x:c>
      <x:c r="G38" s="4" t="str">
        <x:f>'TeamHero生成'!AG38</x:f>
        <x:v>有效</x:v>
      </x:c>
      <x:c r="H38" s="4" t="n">
        <x:f>'TeamHero生成'!G38</x:f>
        <x:v>45528</x:v>
      </x:c>
      <x:c r="I38" s="4" t="n">
        <x:f>'TeamHero生成'!H38</x:f>
        <x:v>1990</x:v>
      </x:c>
      <x:c r="J38" s="4" t="n">
        <x:f>'TeamHero生成'!I38</x:f>
        <x:v>2676</x:v>
      </x:c>
    </x:row>
    <x:row r="39" ht="14.25" customHeight="1">
      <x:c r="A39" s="4" t="n">
        <x:f>'TeamHero生成'!A39</x:f>
        <x:v>35</x:v>
      </x:c>
      <x:c r="B39" s="4" t="n">
        <x:f>'TeamHero生成'!B39</x:f>
        <x:v>1035</x:v>
      </x:c>
      <x:c r="C39" s="4" t="n">
        <x:f>'TeamHero生成'!C39</x:f>
        <x:v>13</x:v>
      </x:c>
      <x:c r="D39" s="5" t="n">
        <x:f>'TeamHero生成'!D39</x:f>
        <x:v>29243</x:v>
      </x:c>
      <x:c r="E39" s="5" t="n">
        <x:f>'TeamHero生成'!E39</x:f>
        <x:v>2115</x:v>
      </x:c>
      <x:c r="F39" s="5" t="n">
        <x:f>'TeamHero生成'!F39</x:f>
        <x:v>2723</x:v>
      </x:c>
      <x:c r="G39" s="4" t="str">
        <x:f>'TeamHero生成'!AG39</x:f>
        <x:v>有效</x:v>
      </x:c>
      <x:c r="H39" s="4" t="n">
        <x:f>'TeamHero生成'!G39</x:f>
        <x:v>36422</x:v>
      </x:c>
      <x:c r="I39" s="4" t="n">
        <x:f>'TeamHero生成'!H39</x:f>
        <x:v>2388</x:v>
      </x:c>
      <x:c r="J39" s="4" t="n">
        <x:f>'TeamHero生成'!I39</x:f>
        <x:v>2140</x:v>
      </x:c>
    </x:row>
    <x:row r="40" ht="14.25" customHeight="1">
      <x:c r="A40" s="4" t="n">
        <x:f>'TeamHero生成'!A40</x:f>
        <x:v>36</x:v>
      </x:c>
      <x:c r="B40" s="4" t="n">
        <x:f>'TeamHero生成'!B40</x:f>
        <x:v>1002</x:v>
      </x:c>
      <x:c r="C40" s="4" t="n">
        <x:f>'TeamHero生成'!C40</x:f>
        <x:v>14</x:v>
      </x:c>
      <x:c r="D40" s="5" t="n">
        <x:f>'TeamHero生成'!D40</x:f>
        <x:v>48763</x:v>
      </x:c>
      <x:c r="E40" s="5" t="n">
        <x:f>'TeamHero生成'!E40</x:f>
        <x:v>1870</x:v>
      </x:c>
      <x:c r="F40" s="5" t="n">
        <x:f>'TeamHero生成'!F40</x:f>
        <x:v>4454</x:v>
      </x:c>
      <x:c r="G40" s="4" t="str">
        <x:f>'TeamHero生成'!AG40</x:f>
        <x:v>有效</x:v>
      </x:c>
      <x:c r="H40" s="4" t="n">
        <x:f>'TeamHero生成'!G40</x:f>
        <x:v>62589</x:v>
      </x:c>
      <x:c r="I40" s="4" t="n">
        <x:f>'TeamHero生成'!H40</x:f>
        <x:v>2194</x:v>
      </x:c>
      <x:c r="J40" s="4" t="n">
        <x:f>'TeamHero生成'!I40</x:f>
        <x:v>3529</x:v>
      </x:c>
    </x:row>
    <x:row r="41" ht="14.25" customHeight="1">
      <x:c r="A41" s="4" t="n">
        <x:f>'TeamHero生成'!A41</x:f>
        <x:v>37</x:v>
      </x:c>
      <x:c r="B41" s="4" t="n">
        <x:f>'TeamHero生成'!B41</x:f>
        <x:v>1011</x:v>
      </x:c>
      <x:c r="C41" s="4" t="n">
        <x:f>'TeamHero生成'!C41</x:f>
        <x:v>14</x:v>
      </x:c>
      <x:c r="D41" s="5" t="n">
        <x:f>'TeamHero生成'!D41</x:f>
        <x:v>40636</x:v>
      </x:c>
      <x:c r="E41" s="5" t="n">
        <x:f>'TeamHero生成'!E41</x:f>
        <x:v>1870</x:v>
      </x:c>
      <x:c r="F41" s="5" t="n">
        <x:f>'TeamHero生成'!F41</x:f>
        <x:v>3711</x:v>
      </x:c>
      <x:c r="G41" s="4" t="str">
        <x:f>'TeamHero生成'!AG41</x:f>
        <x:v>有效</x:v>
      </x:c>
      <x:c r="H41" s="4" t="n">
        <x:f>'TeamHero生成'!G41</x:f>
        <x:v>52158</x:v>
      </x:c>
      <x:c r="I41" s="4" t="n">
        <x:f>'TeamHero生成'!H41</x:f>
        <x:v>2194</x:v>
      </x:c>
      <x:c r="J41" s="4" t="n">
        <x:f>'TeamHero生成'!I41</x:f>
        <x:v>2941</x:v>
      </x:c>
    </x:row>
    <x:row r="42" ht="14.25" customHeight="1">
      <x:c r="A42" s="4" t="n">
        <x:f>'TeamHero生成'!A42</x:f>
        <x:v>38</x:v>
      </x:c>
      <x:c r="B42" s="4" t="n">
        <x:f>'TeamHero生成'!B42</x:f>
        <x:v>1015</x:v>
      </x:c>
      <x:c r="C42" s="4" t="n">
        <x:f>'TeamHero生成'!C42</x:f>
        <x:v>14</x:v>
      </x:c>
      <x:c r="D42" s="5" t="n">
        <x:f>'TeamHero生成'!D42</x:f>
        <x:v>40636</x:v>
      </x:c>
      <x:c r="E42" s="5" t="n">
        <x:f>'TeamHero生成'!E42</x:f>
        <x:v>1870</x:v>
      </x:c>
      <x:c r="F42" s="5" t="n">
        <x:f>'TeamHero生成'!F42</x:f>
        <x:v>3711</x:v>
      </x:c>
      <x:c r="G42" s="4" t="str">
        <x:f>'TeamHero生成'!AG42</x:f>
        <x:v>有效</x:v>
      </x:c>
      <x:c r="H42" s="4" t="n">
        <x:f>'TeamHero生成'!G42</x:f>
        <x:v>52158</x:v>
      </x:c>
      <x:c r="I42" s="4" t="n">
        <x:f>'TeamHero生成'!H42</x:f>
        <x:v>2194</x:v>
      </x:c>
      <x:c r="J42" s="4" t="n">
        <x:f>'TeamHero生成'!I42</x:f>
        <x:v>2941</x:v>
      </x:c>
    </x:row>
    <x:row r="43" ht="14.25" customHeight="1">
      <x:c r="A43" s="4" t="n">
        <x:f>'TeamHero生成'!A43</x:f>
        <x:v>39</x:v>
      </x:c>
      <x:c r="B43" s="4" t="n">
        <x:f>'TeamHero生成'!B43</x:f>
        <x:v>1018</x:v>
      </x:c>
      <x:c r="C43" s="4" t="n">
        <x:f>'TeamHero生成'!C43</x:f>
        <x:v>14</x:v>
      </x:c>
      <x:c r="D43" s="5" t="n">
        <x:f>'TeamHero生成'!D43</x:f>
        <x:v>40636</x:v>
      </x:c>
      <x:c r="E43" s="5" t="n">
        <x:f>'TeamHero生成'!E43</x:f>
        <x:v>1870</x:v>
      </x:c>
      <x:c r="F43" s="5" t="n">
        <x:f>'TeamHero生成'!F43</x:f>
        <x:v>3711</x:v>
      </x:c>
      <x:c r="G43" s="4" t="str">
        <x:f>'TeamHero生成'!AG43</x:f>
        <x:v>有效</x:v>
      </x:c>
      <x:c r="H43" s="4" t="n">
        <x:f>'TeamHero生成'!G43</x:f>
        <x:v>52158</x:v>
      </x:c>
      <x:c r="I43" s="4" t="n">
        <x:f>'TeamHero生成'!H43</x:f>
        <x:v>2194</x:v>
      </x:c>
      <x:c r="J43" s="4" t="n">
        <x:f>'TeamHero生成'!I43</x:f>
        <x:v>2941</x:v>
      </x:c>
    </x:row>
    <x:row r="44" ht="14.25" customHeight="1">
      <x:c r="A44" s="4" t="n">
        <x:f>'TeamHero生成'!A44</x:f>
        <x:v>40</x:v>
      </x:c>
      <x:c r="B44" s="4" t="n">
        <x:f>'TeamHero生成'!B44</x:f>
        <x:v>1040</x:v>
      </x:c>
      <x:c r="C44" s="4" t="n">
        <x:f>'TeamHero生成'!C44</x:f>
        <x:v>14</x:v>
      </x:c>
      <x:c r="D44" s="5" t="n">
        <x:f>'TeamHero生成'!D44</x:f>
        <x:v>40636</x:v>
      </x:c>
      <x:c r="E44" s="5" t="n">
        <x:f>'TeamHero生成'!E44</x:f>
        <x:v>1870</x:v>
      </x:c>
      <x:c r="F44" s="5" t="n">
        <x:f>'TeamHero生成'!F44</x:f>
        <x:v>3711</x:v>
      </x:c>
      <x:c r="G44" s="4" t="str">
        <x:f>'TeamHero生成'!AG44</x:f>
        <x:v>有效</x:v>
      </x:c>
      <x:c r="H44" s="4" t="n">
        <x:f>'TeamHero生成'!G44</x:f>
        <x:v>52158</x:v>
      </x:c>
      <x:c r="I44" s="4" t="n">
        <x:f>'TeamHero生成'!H44</x:f>
        <x:v>2194</x:v>
      </x:c>
      <x:c r="J44" s="4" t="n">
        <x:f>'TeamHero生成'!I44</x:f>
        <x:v>2941</x:v>
      </x:c>
    </x:row>
    <x:row r="45" ht="14.25" customHeight="1">
      <x:c r="A45" s="4" t="n">
        <x:f>'TeamHero生成'!A45</x:f>
        <x:v>41</x:v>
      </x:c>
      <x:c r="B45" s="4" t="n">
        <x:f>'TeamHero生成'!B45</x:f>
        <x:v>1038</x:v>
      </x:c>
      <x:c r="C45" s="4" t="n">
        <x:f>'TeamHero生成'!C45</x:f>
        <x:v>14</x:v>
      </x:c>
      <x:c r="D45" s="5" t="n">
        <x:f>'TeamHero生成'!D45</x:f>
        <x:v>57801</x:v>
      </x:c>
      <x:c r="E45" s="5" t="n">
        <x:f>'TeamHero生成'!E45</x:f>
        <x:v>2086</x:v>
      </x:c>
      <x:c r="F45" s="5" t="n">
        <x:f>'TeamHero生成'!F45</x:f>
        <x:v>4952</x:v>
      </x:c>
      <x:c r="G45" s="4" t="str">
        <x:f>'TeamHero生成'!AG45</x:f>
        <x:v>有效</x:v>
      </x:c>
      <x:c r="H45" s="4" t="n">
        <x:f>'TeamHero生成'!G45</x:f>
        <x:v>71092</x:v>
      </x:c>
      <x:c r="I45" s="4" t="n">
        <x:f>'TeamHero生成'!H45</x:f>
        <x:v>2402</x:v>
      </x:c>
      <x:c r="J45" s="4" t="n">
        <x:f>'TeamHero生成'!I45</x:f>
        <x:v>3852</x:v>
      </x:c>
    </x:row>
    <x:row r="46" ht="14.25" customHeight="1">
      <x:c r="A46" s="4" t="n">
        <x:f>'TeamHero生成'!A46</x:f>
        <x:v>42</x:v>
      </x:c>
      <x:c r="B46" s="4" t="n">
        <x:f>'TeamHero生成'!B46</x:f>
        <x:v>1039</x:v>
      </x:c>
      <x:c r="C46" s="4" t="n">
        <x:f>'TeamHero生成'!C46</x:f>
        <x:v>14</x:v>
      </x:c>
      <x:c r="D46" s="5" t="n">
        <x:f>'TeamHero生成'!D46</x:f>
        <x:v>38534</x:v>
      </x:c>
      <x:c r="E46" s="5" t="n">
        <x:f>'TeamHero生成'!E46</x:f>
        <x:v>2503</x:v>
      </x:c>
      <x:c r="F46" s="5" t="n">
        <x:f>'TeamHero生成'!F46</x:f>
        <x:v>3301</x:v>
      </x:c>
      <x:c r="G46" s="4" t="str">
        <x:f>'TeamHero生成'!AG46</x:f>
        <x:v>有效</x:v>
      </x:c>
      <x:c r="H46" s="4" t="n">
        <x:f>'TeamHero生成'!G46</x:f>
        <x:v>47395</x:v>
      </x:c>
      <x:c r="I46" s="4" t="n">
        <x:f>'TeamHero生成'!H46</x:f>
        <x:v>2882</x:v>
      </x:c>
      <x:c r="J46" s="4" t="n">
        <x:f>'TeamHero生成'!I46</x:f>
        <x:v>2568</x:v>
      </x:c>
    </x:row>
    <x:row r="47" ht="14.25" customHeight="1">
      <x:c r="A47" s="4" t="n">
        <x:f>'TeamHero生成'!A47</x:f>
        <x:v>43</x:v>
      </x:c>
      <x:c r="B47" s="4" t="n">
        <x:f>'TeamHero生成'!B47</x:f>
        <x:v>1020</x:v>
      </x:c>
      <x:c r="C47" s="4" t="n">
        <x:f>'TeamHero生成'!C47</x:f>
        <x:v>14</x:v>
      </x:c>
      <x:c r="D47" s="5" t="n">
        <x:f>'TeamHero生成'!D47</x:f>
        <x:v>48167</x:v>
      </x:c>
      <x:c r="E47" s="5" t="n">
        <x:f>'TeamHero生成'!E47</x:f>
        <x:v>2086</x:v>
      </x:c>
      <x:c r="F47" s="5" t="n">
        <x:f>'TeamHero生成'!F47</x:f>
        <x:v>4126</x:v>
      </x:c>
      <x:c r="G47" s="4" t="str">
        <x:f>'TeamHero生成'!AG47</x:f>
        <x:v>有效</x:v>
      </x:c>
      <x:c r="H47" s="4" t="n">
        <x:f>'TeamHero生成'!G47</x:f>
        <x:v>59244</x:v>
      </x:c>
      <x:c r="I47" s="4" t="n">
        <x:f>'TeamHero生成'!H47</x:f>
        <x:v>2402</x:v>
      </x:c>
      <x:c r="J47" s="4" t="n">
        <x:f>'TeamHero生成'!I47</x:f>
        <x:v>3210</x:v>
      </x:c>
    </x:row>
    <x:row r="48" ht="14.25" customHeight="1">
      <x:c r="A48" s="4" t="n">
        <x:f>'TeamHero生成'!A48</x:f>
        <x:v>44</x:v>
      </x:c>
      <x:c r="B48" s="4" t="n">
        <x:f>'TeamHero生成'!B48</x:f>
        <x:v>1023</x:v>
      </x:c>
      <x:c r="C48" s="4" t="n">
        <x:f>'TeamHero生成'!C48</x:f>
        <x:v>14</x:v>
      </x:c>
      <x:c r="D48" s="5" t="n">
        <x:f>'TeamHero生成'!D48</x:f>
        <x:v>48167</x:v>
      </x:c>
      <x:c r="E48" s="5" t="n">
        <x:f>'TeamHero生成'!E48</x:f>
        <x:v>2086</x:v>
      </x:c>
      <x:c r="F48" s="5" t="n">
        <x:f>'TeamHero生成'!F48</x:f>
        <x:v>4126</x:v>
      </x:c>
      <x:c r="G48" s="4" t="str">
        <x:f>'TeamHero生成'!AG48</x:f>
        <x:v>有效</x:v>
      </x:c>
      <x:c r="H48" s="4" t="n">
        <x:f>'TeamHero生成'!G48</x:f>
        <x:v>59244</x:v>
      </x:c>
      <x:c r="I48" s="4" t="n">
        <x:f>'TeamHero生成'!H48</x:f>
        <x:v>2402</x:v>
      </x:c>
      <x:c r="J48" s="4" t="n">
        <x:f>'TeamHero生成'!I48</x:f>
        <x:v>3210</x:v>
      </x:c>
    </x:row>
    <x:row r="49" ht="14.25" customHeight="1">
      <x:c r="A49" s="4" t="n">
        <x:f>'TeamHero生成'!A49</x:f>
        <x:v>45</x:v>
      </x:c>
      <x:c r="B49" s="4" t="n">
        <x:f>'TeamHero生成'!B49</x:f>
        <x:v>1024</x:v>
      </x:c>
      <x:c r="C49" s="4" t="n">
        <x:f>'TeamHero生成'!C49</x:f>
        <x:v>14</x:v>
      </x:c>
      <x:c r="D49" s="5" t="n">
        <x:f>'TeamHero生成'!D49</x:f>
        <x:v>38534</x:v>
      </x:c>
      <x:c r="E49" s="5" t="n">
        <x:f>'TeamHero生成'!E49</x:f>
        <x:v>2503</x:v>
      </x:c>
      <x:c r="F49" s="5" t="n">
        <x:f>'TeamHero生成'!F49</x:f>
        <x:v>3301</x:v>
      </x:c>
      <x:c r="G49" s="4" t="str">
        <x:f>'TeamHero生成'!AG49</x:f>
        <x:v>有效</x:v>
      </x:c>
      <x:c r="H49" s="4" t="n">
        <x:f>'TeamHero生成'!G49</x:f>
        <x:v>47395</x:v>
      </x:c>
      <x:c r="I49" s="4" t="n">
        <x:f>'TeamHero生成'!H49</x:f>
        <x:v>2882</x:v>
      </x:c>
      <x:c r="J49" s="4" t="n">
        <x:f>'TeamHero生成'!I49</x:f>
        <x:v>2568</x:v>
      </x:c>
    </x:row>
    <x:row r="50" ht="14.25" customHeight="1">
      <x:c r="A50" s="4" t="n">
        <x:f>'TeamHero生成'!A50</x:f>
        <x:v>46</x:v>
      </x:c>
      <x:c r="B50" s="4" t="n">
        <x:f>'TeamHero生成'!B50</x:f>
        <x:v>1007</x:v>
      </x:c>
      <x:c r="C50" s="4" t="n">
        <x:f>'TeamHero生成'!C50</x:f>
        <x:v>15</x:v>
      </x:c>
      <x:c r="D50" s="5" t="n">
        <x:f>'TeamHero生成'!D50</x:f>
        <x:v>54706</x:v>
      </x:c>
      <x:c r="E50" s="5" t="n">
        <x:f>'TeamHero生成'!E50</x:f>
        <x:v>2253</x:v>
      </x:c>
      <x:c r="F50" s="5" t="n">
        <x:f>'TeamHero生成'!F50</x:f>
        <x:v>4440</x:v>
      </x:c>
      <x:c r="G50" s="4" t="str">
        <x:f>'TeamHero生成'!AG50</x:f>
        <x:v>有效</x:v>
      </x:c>
      <x:c r="H50" s="4" t="n">
        <x:f>'TeamHero生成'!G50</x:f>
        <x:v>66792</x:v>
      </x:c>
      <x:c r="I50" s="4" t="n">
        <x:f>'TeamHero生成'!H50</x:f>
        <x:v>2615</x:v>
      </x:c>
      <x:c r="J50" s="4" t="n">
        <x:f>'TeamHero生成'!I50</x:f>
        <x:v>3482</x:v>
      </x:c>
    </x:row>
    <x:row r="51" ht="14.25" customHeight="1">
      <x:c r="A51" s="4" t="n">
        <x:f>'TeamHero生成'!A51</x:f>
        <x:v>47</x:v>
      </x:c>
      <x:c r="B51" s="4" t="n">
        <x:f>'TeamHero生成'!B51</x:f>
        <x:v>1005</x:v>
      </x:c>
      <x:c r="C51" s="4" t="n">
        <x:f>'TeamHero生成'!C51</x:f>
        <x:v>15</x:v>
      </x:c>
      <x:c r="D51" s="5" t="n">
        <x:f>'TeamHero生成'!D51</x:f>
        <x:v>43765</x:v>
      </x:c>
      <x:c r="E51" s="5" t="n">
        <x:f>'TeamHero生成'!E51</x:f>
        <x:v>2704</x:v>
      </x:c>
      <x:c r="F51" s="5" t="n">
        <x:f>'TeamHero生成'!F51</x:f>
        <x:v>3552</x:v>
      </x:c>
      <x:c r="G51" s="4" t="str">
        <x:f>'TeamHero生成'!AG51</x:f>
        <x:v>有效</x:v>
      </x:c>
      <x:c r="H51" s="4" t="n">
        <x:f>'TeamHero生成'!G51</x:f>
        <x:v>53433</x:v>
      </x:c>
      <x:c r="I51" s="4" t="n">
        <x:f>'TeamHero生成'!H51</x:f>
        <x:v>3138</x:v>
      </x:c>
      <x:c r="J51" s="4" t="n">
        <x:f>'TeamHero生成'!I51</x:f>
        <x:v>2785</x:v>
      </x:c>
    </x:row>
    <x:row r="52" ht="14.25" customHeight="1">
      <x:c r="A52" s="4" t="n">
        <x:f>'TeamHero生成'!A52</x:f>
        <x:v>48</x:v>
      </x:c>
      <x:c r="B52" s="4" t="n">
        <x:f>'TeamHero生成'!B52</x:f>
        <x:v>1005</x:v>
      </x:c>
      <x:c r="C52" s="4" t="n">
        <x:f>'TeamHero生成'!C52</x:f>
        <x:v>15</x:v>
      </x:c>
      <x:c r="D52" s="5" t="n">
        <x:f>'TeamHero生成'!D52</x:f>
        <x:v>43765</x:v>
      </x:c>
      <x:c r="E52" s="5" t="n">
        <x:f>'TeamHero生成'!E52</x:f>
        <x:v>2704</x:v>
      </x:c>
      <x:c r="F52" s="5" t="n">
        <x:f>'TeamHero生成'!F52</x:f>
        <x:v>3552</x:v>
      </x:c>
      <x:c r="G52" s="4" t="str">
        <x:f>'TeamHero生成'!AG52</x:f>
        <x:v>有效</x:v>
      </x:c>
      <x:c r="H52" s="4" t="n">
        <x:f>'TeamHero生成'!G52</x:f>
        <x:v>53433</x:v>
      </x:c>
      <x:c r="I52" s="4" t="n">
        <x:f>'TeamHero生成'!H52</x:f>
        <x:v>3138</x:v>
      </x:c>
      <x:c r="J52" s="4" t="n">
        <x:f>'TeamHero生成'!I52</x:f>
        <x:v>2785</x:v>
      </x:c>
    </x:row>
    <x:row r="53" ht="14.25" customHeight="1">
      <x:c r="A53" s="4" t="n">
        <x:f>'TeamHero生成'!A53</x:f>
        <x:v>49</x:v>
      </x:c>
      <x:c r="B53" s="4" t="n">
        <x:f>'TeamHero生成'!B53</x:f>
        <x:v>1005</x:v>
      </x:c>
      <x:c r="C53" s="4" t="n">
        <x:f>'TeamHero生成'!C53</x:f>
        <x:v>15</x:v>
      </x:c>
      <x:c r="D53" s="5" t="n">
        <x:f>'TeamHero生成'!D53</x:f>
        <x:v>43765</x:v>
      </x:c>
      <x:c r="E53" s="5" t="n">
        <x:f>'TeamHero生成'!E53</x:f>
        <x:v>2704</x:v>
      </x:c>
      <x:c r="F53" s="5" t="n">
        <x:f>'TeamHero生成'!F53</x:f>
        <x:v>3552</x:v>
      </x:c>
      <x:c r="G53" s="4" t="str">
        <x:f>'TeamHero生成'!AG53</x:f>
        <x:v>有效</x:v>
      </x:c>
      <x:c r="H53" s="4" t="n">
        <x:f>'TeamHero生成'!G53</x:f>
        <x:v>53433</x:v>
      </x:c>
      <x:c r="I53" s="4" t="n">
        <x:f>'TeamHero生成'!H53</x:f>
        <x:v>3138</x:v>
      </x:c>
      <x:c r="J53" s="4" t="n">
        <x:f>'TeamHero生成'!I53</x:f>
        <x:v>2785</x:v>
      </x:c>
    </x:row>
    <x:row r="54" ht="14.25" customHeight="1">
      <x:c r="A54" s="4" t="n">
        <x:f>'TeamHero生成'!A54</x:f>
        <x:v>50</x:v>
      </x:c>
      <x:c r="B54" s="4" t="n">
        <x:f>'TeamHero生成'!B54</x:f>
        <x:v>1029</x:v>
      </x:c>
      <x:c r="C54" s="4" t="n">
        <x:f>'TeamHero生成'!C54</x:f>
        <x:v>15</x:v>
      </x:c>
      <x:c r="D54" s="5" t="n">
        <x:f>'TeamHero生成'!D54</x:f>
        <x:v>54706</x:v>
      </x:c>
      <x:c r="E54" s="5" t="n">
        <x:f>'TeamHero生成'!E54</x:f>
        <x:v>2253</x:v>
      </x:c>
      <x:c r="F54" s="5" t="n">
        <x:f>'TeamHero生成'!F54</x:f>
        <x:v>4440</x:v>
      </x:c>
      <x:c r="G54" s="4" t="str">
        <x:f>'TeamHero生成'!AG54</x:f>
        <x:v>有效</x:v>
      </x:c>
      <x:c r="H54" s="4" t="n">
        <x:f>'TeamHero生成'!G54</x:f>
        <x:v>66792</x:v>
      </x:c>
      <x:c r="I54" s="4" t="n">
        <x:f>'TeamHero生成'!H54</x:f>
        <x:v>2615</x:v>
      </x:c>
      <x:c r="J54" s="4" t="n">
        <x:f>'TeamHero生成'!I54</x:f>
        <x:v>3482</x:v>
      </x:c>
    </x:row>
    <x:row r="55" ht="14.25" customHeight="1">
      <x:c r="A55" s="4" t="n">
        <x:f>'TeamHero生成'!A55</x:f>
        <x:v>51</x:v>
      </x:c>
      <x:c r="B55" s="4" t="n">
        <x:f>'TeamHero生成'!B55</x:f>
        <x:v>1012</x:v>
      </x:c>
      <x:c r="C55" s="4" t="n">
        <x:f>'TeamHero生成'!C55</x:f>
        <x:v>15</x:v>
      </x:c>
      <x:c r="D55" s="5" t="n">
        <x:f>'TeamHero生成'!D55</x:f>
        <x:v>62351</x:v>
      </x:c>
      <x:c r="E55" s="5" t="n">
        <x:f>'TeamHero生成'!E55</x:f>
        <x:v>2457</x:v>
      </x:c>
      <x:c r="F55" s="5" t="n">
        <x:f>'TeamHero生成'!F55</x:f>
        <x:v>4863</x:v>
      </x:c>
      <x:c r="G55" s="4" t="str">
        <x:f>'TeamHero生成'!AG55</x:f>
        <x:v>有效</x:v>
      </x:c>
      <x:c r="H55" s="4" t="n">
        <x:f>'TeamHero生成'!G55</x:f>
        <x:v>74820</x:v>
      </x:c>
      <x:c r="I55" s="4" t="n">
        <x:f>'TeamHero生成'!H55</x:f>
        <x:v>2832</x:v>
      </x:c>
      <x:c r="J55" s="4" t="n">
        <x:f>'TeamHero生成'!I55</x:f>
        <x:v>3758</x:v>
      </x:c>
    </x:row>
    <x:row r="56" ht="14.25" customHeight="1">
      <x:c r="A56" s="4" t="n">
        <x:f>'TeamHero生成'!A56</x:f>
        <x:v>52</x:v>
      </x:c>
      <x:c r="B56" s="4" t="n">
        <x:f>'TeamHero生成'!B56</x:f>
        <x:v>1035</x:v>
      </x:c>
      <x:c r="C56" s="4" t="n">
        <x:f>'TeamHero生成'!C56</x:f>
        <x:v>15</x:v>
      </x:c>
      <x:c r="D56" s="5" t="n">
        <x:f>'TeamHero生成'!D56</x:f>
        <x:v>49881</x:v>
      </x:c>
      <x:c r="E56" s="5" t="n">
        <x:f>'TeamHero生成'!E56</x:f>
        <x:v>2949</x:v>
      </x:c>
      <x:c r="F56" s="5" t="n">
        <x:f>'TeamHero生成'!F56</x:f>
        <x:v>3890</x:v>
      </x:c>
      <x:c r="G56" s="4" t="str">
        <x:f>'TeamHero生成'!AG56</x:f>
        <x:v>有效</x:v>
      </x:c>
      <x:c r="H56" s="4" t="n">
        <x:f>'TeamHero生成'!G56</x:f>
        <x:v>59856</x:v>
      </x:c>
      <x:c r="I56" s="4" t="n">
        <x:f>'TeamHero生成'!H56</x:f>
        <x:v>3398</x:v>
      </x:c>
      <x:c r="J56" s="4" t="n">
        <x:f>'TeamHero生成'!I56</x:f>
        <x:v>3006</x:v>
      </x:c>
    </x:row>
    <x:row r="57" ht="14.25" customHeight="1">
      <x:c r="A57" s="4" t="n">
        <x:f>'TeamHero生成'!A57</x:f>
        <x:v>53</x:v>
      </x:c>
      <x:c r="B57" s="4" t="n">
        <x:f>'TeamHero生成'!B57</x:f>
        <x:v>1036</x:v>
      </x:c>
      <x:c r="C57" s="4" t="n">
        <x:f>'TeamHero生成'!C57</x:f>
        <x:v>15</x:v>
      </x:c>
      <x:c r="D57" s="5" t="n">
        <x:f>'TeamHero生成'!D57</x:f>
        <x:v>49881</x:v>
      </x:c>
      <x:c r="E57" s="5" t="n">
        <x:f>'TeamHero生成'!E57</x:f>
        <x:v>2949</x:v>
      </x:c>
      <x:c r="F57" s="5" t="n">
        <x:f>'TeamHero生成'!F57</x:f>
        <x:v>3890</x:v>
      </x:c>
      <x:c r="G57" s="4" t="str">
        <x:f>'TeamHero生成'!AG57</x:f>
        <x:v>有效</x:v>
      </x:c>
      <x:c r="H57" s="4" t="n">
        <x:f>'TeamHero生成'!G57</x:f>
        <x:v>59856</x:v>
      </x:c>
      <x:c r="I57" s="4" t="n">
        <x:f>'TeamHero生成'!H57</x:f>
        <x:v>3398</x:v>
      </x:c>
      <x:c r="J57" s="4" t="n">
        <x:f>'TeamHero生成'!I57</x:f>
        <x:v>3006</x:v>
      </x:c>
    </x:row>
    <x:row r="58" ht="14.25" customHeight="1">
      <x:c r="A58" s="4" t="n">
        <x:f>'TeamHero生成'!A58</x:f>
        <x:v>54</x:v>
      </x:c>
      <x:c r="B58" s="4" t="n">
        <x:f>'TeamHero生成'!B58</x:f>
        <x:v>1015</x:v>
      </x:c>
      <x:c r="C58" s="4" t="n">
        <x:f>'TeamHero生成'!C58</x:f>
        <x:v>15</x:v>
      </x:c>
      <x:c r="D58" s="5" t="n">
        <x:f>'TeamHero生成'!D58</x:f>
        <x:v>62351</x:v>
      </x:c>
      <x:c r="E58" s="5" t="n">
        <x:f>'TeamHero生成'!E58</x:f>
        <x:v>2457</x:v>
      </x:c>
      <x:c r="F58" s="5" t="n">
        <x:f>'TeamHero生成'!F58</x:f>
        <x:v>4863</x:v>
      </x:c>
      <x:c r="G58" s="4" t="str">
        <x:f>'TeamHero生成'!AG58</x:f>
        <x:v>有效</x:v>
      </x:c>
      <x:c r="H58" s="4" t="n">
        <x:f>'TeamHero生成'!G58</x:f>
        <x:v>74820</x:v>
      </x:c>
      <x:c r="I58" s="4" t="n">
        <x:f>'TeamHero生成'!H58</x:f>
        <x:v>2832</x:v>
      </x:c>
      <x:c r="J58" s="4" t="n">
        <x:f>'TeamHero生成'!I58</x:f>
        <x:v>3758</x:v>
      </x:c>
    </x:row>
    <x:row r="59" ht="14.25" customHeight="1">
      <x:c r="A59" s="4" t="n">
        <x:f>'TeamHero生成'!A59</x:f>
        <x:v>55</x:v>
      </x:c>
      <x:c r="B59" s="4" t="n">
        <x:f>'TeamHero生成'!B59</x:f>
        <x:v>1036</x:v>
      </x:c>
      <x:c r="C59" s="4" t="n">
        <x:f>'TeamHero生成'!C59</x:f>
        <x:v>15</x:v>
      </x:c>
      <x:c r="D59" s="5" t="n">
        <x:f>'TeamHero生成'!D59</x:f>
        <x:v>49881</x:v>
      </x:c>
      <x:c r="E59" s="5" t="n">
        <x:f>'TeamHero生成'!E59</x:f>
        <x:v>2949</x:v>
      </x:c>
      <x:c r="F59" s="5" t="n">
        <x:f>'TeamHero生成'!F59</x:f>
        <x:v>3890</x:v>
      </x:c>
      <x:c r="G59" s="4" t="str">
        <x:f>'TeamHero生成'!AG59</x:f>
        <x:v>有效</x:v>
      </x:c>
      <x:c r="H59" s="4" t="n">
        <x:f>'TeamHero生成'!G59</x:f>
        <x:v>59856</x:v>
      </x:c>
      <x:c r="I59" s="4" t="n">
        <x:f>'TeamHero生成'!H59</x:f>
        <x:v>3398</x:v>
      </x:c>
      <x:c r="J59" s="4" t="n">
        <x:f>'TeamHero生成'!I59</x:f>
        <x:v>3006</x:v>
      </x:c>
    </x:row>
    <x:row r="60" ht="14.25" customHeight="1">
      <x:c r="A60" s="4" t="n">
        <x:f>'TeamHero生成'!A60</x:f>
        <x:v>56</x:v>
      </x:c>
      <x:c r="B60" s="4" t="n">
        <x:f>'TeamHero生成'!B60</x:f>
        <x:v>1038</x:v>
      </x:c>
      <x:c r="C60" s="4" t="n">
        <x:f>'TeamHero生成'!C60</x:f>
        <x:v>16</x:v>
      </x:c>
      <x:c r="D60" s="5" t="n">
        <x:f>'TeamHero生成'!D60</x:f>
        <x:v>82296</x:v>
      </x:c>
      <x:c r="E60" s="5" t="n">
        <x:f>'TeamHero生成'!E60</x:f>
        <x:v>2599</x:v>
      </x:c>
      <x:c r="F60" s="5" t="n">
        <x:f>'TeamHero生成'!F60</x:f>
        <x:v>6219</x:v>
      </x:c>
      <x:c r="G60" s="4" t="str">
        <x:f>'TeamHero生成'!AG60</x:f>
        <x:v>有效</x:v>
      </x:c>
      <x:c r="H60" s="4" t="n">
        <x:f>'TeamHero生成'!G60</x:f>
        <x:v>100000</x:v>
      </x:c>
      <x:c r="I60" s="4" t="n">
        <x:f>'TeamHero生成'!H60</x:f>
        <x:v>3053</x:v>
      </x:c>
      <x:c r="J60" s="4" t="n">
        <x:f>'TeamHero生成'!I60</x:f>
        <x:v>4845</x:v>
      </x:c>
    </x:row>
    <x:row r="61" ht="14.25" customHeight="1">
      <x:c r="A61" s="4" t="n">
        <x:f>'TeamHero生成'!A61</x:f>
        <x:v>57</x:v>
      </x:c>
      <x:c r="B61" s="4" t="n">
        <x:f>'TeamHero生成'!B61</x:f>
        <x:v>1036</x:v>
      </x:c>
      <x:c r="C61" s="4" t="n">
        <x:f>'TeamHero生成'!C61</x:f>
        <x:v>16</x:v>
      </x:c>
      <x:c r="D61" s="5" t="n">
        <x:f>'TeamHero生成'!D61</x:f>
        <x:v>54864</x:v>
      </x:c>
      <x:c r="E61" s="5" t="n">
        <x:f>'TeamHero生成'!E61</x:f>
        <x:v>3118</x:v>
      </x:c>
      <x:c r="F61" s="5" t="n">
        <x:f>'TeamHero生成'!F61</x:f>
        <x:v>4146</x:v>
      </x:c>
      <x:c r="G61" s="4" t="str">
        <x:f>'TeamHero生成'!AG61</x:f>
        <x:v>有效</x:v>
      </x:c>
      <x:c r="H61" s="4" t="n">
        <x:f>'TeamHero生成'!G61</x:f>
        <x:v>66667</x:v>
      </x:c>
      <x:c r="I61" s="4" t="n">
        <x:f>'TeamHero生成'!H61</x:f>
        <x:v>3663</x:v>
      </x:c>
      <x:c r="J61" s="4" t="n">
        <x:f>'TeamHero生成'!I61</x:f>
        <x:v>3230</x:v>
      </x:c>
    </x:row>
    <x:row r="62" ht="14.25" customHeight="1">
      <x:c r="A62" s="4" t="n">
        <x:f>'TeamHero生成'!A62</x:f>
        <x:v>58</x:v>
      </x:c>
      <x:c r="B62" s="4" t="n">
        <x:f>'TeamHero生成'!B62</x:f>
        <x:v>1015</x:v>
      </x:c>
      <x:c r="C62" s="4" t="n">
        <x:f>'TeamHero生成'!C62</x:f>
        <x:v>16</x:v>
      </x:c>
      <x:c r="D62" s="5" t="n">
        <x:f>'TeamHero生成'!D62</x:f>
        <x:v>68580</x:v>
      </x:c>
      <x:c r="E62" s="5" t="n">
        <x:f>'TeamHero生成'!E62</x:f>
        <x:v>2599</x:v>
      </x:c>
      <x:c r="F62" s="5" t="n">
        <x:f>'TeamHero生成'!F62</x:f>
        <x:v>5183</x:v>
      </x:c>
      <x:c r="G62" s="4" t="str">
        <x:f>'TeamHero生成'!AG62</x:f>
        <x:v>有效</x:v>
      </x:c>
      <x:c r="H62" s="4" t="n">
        <x:f>'TeamHero生成'!G62</x:f>
        <x:v>83334</x:v>
      </x:c>
      <x:c r="I62" s="4" t="n">
        <x:f>'TeamHero生成'!H62</x:f>
        <x:v>3053</x:v>
      </x:c>
      <x:c r="J62" s="4" t="n">
        <x:f>'TeamHero生成'!I62</x:f>
        <x:v>4038</x:v>
      </x:c>
    </x:row>
    <x:row r="63" ht="14.25" customHeight="1">
      <x:c r="A63" s="4" t="n">
        <x:f>'TeamHero生成'!A63</x:f>
        <x:v>59</x:v>
      </x:c>
      <x:c r="B63" s="4" t="n">
        <x:f>'TeamHero生成'!B63</x:f>
        <x:v>1018</x:v>
      </x:c>
      <x:c r="C63" s="4" t="n">
        <x:f>'TeamHero生成'!C63</x:f>
        <x:v>16</x:v>
      </x:c>
      <x:c r="D63" s="5" t="n">
        <x:f>'TeamHero生成'!D63</x:f>
        <x:v>68580</x:v>
      </x:c>
      <x:c r="E63" s="5" t="n">
        <x:f>'TeamHero生成'!E63</x:f>
        <x:v>2599</x:v>
      </x:c>
      <x:c r="F63" s="5" t="n">
        <x:f>'TeamHero生成'!F63</x:f>
        <x:v>5183</x:v>
      </x:c>
      <x:c r="G63" s="4" t="str">
        <x:f>'TeamHero生成'!AG63</x:f>
        <x:v>有效</x:v>
      </x:c>
      <x:c r="H63" s="4" t="n">
        <x:f>'TeamHero生成'!G63</x:f>
        <x:v>83334</x:v>
      </x:c>
      <x:c r="I63" s="4" t="n">
        <x:f>'TeamHero生成'!H63</x:f>
        <x:v>3053</x:v>
      </x:c>
      <x:c r="J63" s="4" t="n">
        <x:f>'TeamHero生成'!I63</x:f>
        <x:v>4038</x:v>
      </x:c>
    </x:row>
    <x:row r="64" ht="14.25" customHeight="1">
      <x:c r="A64" s="4" t="n">
        <x:f>'TeamHero生成'!A64</x:f>
        <x:v>60</x:v>
      </x:c>
      <x:c r="B64" s="4" t="n">
        <x:f>'TeamHero生成'!B64</x:f>
        <x:v>1036</x:v>
      </x:c>
      <x:c r="C64" s="4" t="n">
        <x:f>'TeamHero生成'!C64</x:f>
        <x:v>16</x:v>
      </x:c>
      <x:c r="D64" s="5" t="n">
        <x:f>'TeamHero生成'!D64</x:f>
        <x:v>54864</x:v>
      </x:c>
      <x:c r="E64" s="5" t="n">
        <x:f>'TeamHero生成'!E64</x:f>
        <x:v>3118</x:v>
      </x:c>
      <x:c r="F64" s="5" t="n">
        <x:f>'TeamHero生成'!F64</x:f>
        <x:v>4146</x:v>
      </x:c>
      <x:c r="G64" s="4" t="str">
        <x:f>'TeamHero生成'!AG64</x:f>
        <x:v>有效</x:v>
      </x:c>
      <x:c r="H64" s="4" t="n">
        <x:f>'TeamHero生成'!G64</x:f>
        <x:v>66667</x:v>
      </x:c>
      <x:c r="I64" s="4" t="n">
        <x:f>'TeamHero生成'!H64</x:f>
        <x:v>3663</x:v>
      </x:c>
      <x:c r="J64" s="4" t="n">
        <x:f>'TeamHero生成'!I64</x:f>
        <x:v>3230</x:v>
      </x:c>
    </x:row>
    <x:row r="65" ht="14.25" customHeight="1">
      <x:c r="A65" s="4" t="n">
        <x:f>'TeamHero生成'!A65</x:f>
        <x:v>61</x:v>
      </x:c>
      <x:c r="B65" s="4" t="n">
        <x:f>'TeamHero生成'!B65</x:f>
        <x:v>1037</x:v>
      </x:c>
      <x:c r="C65" s="4" t="n">
        <x:f>'TeamHero生成'!C65</x:f>
        <x:v>16</x:v>
      </x:c>
      <x:c r="D65" s="5" t="n">
        <x:f>'TeamHero生成'!D65</x:f>
        <x:v>61327</x:v>
      </x:c>
      <x:c r="E65" s="5" t="n">
        <x:f>'TeamHero生成'!E65</x:f>
        <x:v>3368</x:v>
      </x:c>
      <x:c r="F65" s="5" t="n">
        <x:f>'TeamHero生成'!F65</x:f>
        <x:v>4491</x:v>
      </x:c>
      <x:c r="G65" s="4" t="str">
        <x:f>'TeamHero生成'!AG65</x:f>
        <x:v>有效</x:v>
      </x:c>
      <x:c r="H65" s="4" t="n">
        <x:f>'TeamHero生成'!G65</x:f>
        <x:v>73891</x:v>
      </x:c>
      <x:c r="I65" s="4" t="n">
        <x:f>'TeamHero生成'!H65</x:f>
        <x:v>3936</x:v>
      </x:c>
      <x:c r="J65" s="4" t="n">
        <x:f>'TeamHero生成'!I65</x:f>
        <x:v>3456</x:v>
      </x:c>
    </x:row>
    <x:row r="66" ht="14.25" customHeight="1">
      <x:c r="A66" s="4" t="n">
        <x:f>'TeamHero生成'!A66</x:f>
        <x:v>62</x:v>
      </x:c>
      <x:c r="B66" s="4" t="n">
        <x:f>'TeamHero生成'!B66</x:f>
        <x:v>1015</x:v>
      </x:c>
      <x:c r="C66" s="4" t="n">
        <x:f>'TeamHero生成'!C66</x:f>
        <x:v>16</x:v>
      </x:c>
      <x:c r="D66" s="5" t="n">
        <x:f>'TeamHero生成'!D66</x:f>
        <x:v>76659</x:v>
      </x:c>
      <x:c r="E66" s="5" t="n">
        <x:f>'TeamHero生成'!E66</x:f>
        <x:v>2807</x:v>
      </x:c>
      <x:c r="F66" s="5" t="n">
        <x:f>'TeamHero生成'!F66</x:f>
        <x:v>5614</x:v>
      </x:c>
      <x:c r="G66" s="4" t="str">
        <x:f>'TeamHero生成'!AG66</x:f>
        <x:v>有效</x:v>
      </x:c>
      <x:c r="H66" s="4" t="n">
        <x:f>'TeamHero生成'!G66</x:f>
        <x:v>92364</x:v>
      </x:c>
      <x:c r="I66" s="4" t="n">
        <x:f>'TeamHero生成'!H66</x:f>
        <x:v>3280</x:v>
      </x:c>
      <x:c r="J66" s="4" t="n">
        <x:f>'TeamHero生成'!I66</x:f>
        <x:v>4321</x:v>
      </x:c>
    </x:row>
    <x:row r="67" ht="14.25" customHeight="1">
      <x:c r="A67" s="4" t="n">
        <x:f>'TeamHero生成'!A67</x:f>
        <x:v>63</x:v>
      </x:c>
      <x:c r="B67" s="4" t="n">
        <x:f>'TeamHero生成'!B67</x:f>
        <x:v>1036</x:v>
      </x:c>
      <x:c r="C67" s="4" t="n">
        <x:f>'TeamHero生成'!C67</x:f>
        <x:v>16</x:v>
      </x:c>
      <x:c r="D67" s="5" t="n">
        <x:f>'TeamHero生成'!D67</x:f>
        <x:v>61327</x:v>
      </x:c>
      <x:c r="E67" s="5" t="n">
        <x:f>'TeamHero生成'!E67</x:f>
        <x:v>3368</x:v>
      </x:c>
      <x:c r="F67" s="5" t="n">
        <x:f>'TeamHero生成'!F67</x:f>
        <x:v>4491</x:v>
      </x:c>
      <x:c r="G67" s="4" t="str">
        <x:f>'TeamHero生成'!AG67</x:f>
        <x:v>有效</x:v>
      </x:c>
      <x:c r="H67" s="4" t="n">
        <x:f>'TeamHero生成'!G67</x:f>
        <x:v>73891</x:v>
      </x:c>
      <x:c r="I67" s="4" t="n">
        <x:f>'TeamHero生成'!H67</x:f>
        <x:v>3936</x:v>
      </x:c>
      <x:c r="J67" s="4" t="n">
        <x:f>'TeamHero生成'!I67</x:f>
        <x:v>3456</x:v>
      </x:c>
    </x:row>
    <x:row r="68" ht="14.25" customHeight="1">
      <x:c r="A68" s="4" t="n">
        <x:f>'TeamHero生成'!A68</x:f>
        <x:v>64</x:v>
      </x:c>
      <x:c r="B68" s="4" t="n">
        <x:f>'TeamHero生成'!B68</x:f>
        <x:v>1039</x:v>
      </x:c>
      <x:c r="C68" s="4" t="n">
        <x:f>'TeamHero生成'!C68</x:f>
        <x:v>16</x:v>
      </x:c>
      <x:c r="D68" s="5" t="n">
        <x:f>'TeamHero生成'!D68</x:f>
        <x:v>61327</x:v>
      </x:c>
      <x:c r="E68" s="5" t="n">
        <x:f>'TeamHero生成'!E68</x:f>
        <x:v>3368</x:v>
      </x:c>
      <x:c r="F68" s="5" t="n">
        <x:f>'TeamHero生成'!F68</x:f>
        <x:v>4491</x:v>
      </x:c>
      <x:c r="G68" s="4" t="str">
        <x:f>'TeamHero生成'!AG68</x:f>
        <x:v>有效</x:v>
      </x:c>
      <x:c r="H68" s="4" t="n">
        <x:f>'TeamHero生成'!G68</x:f>
        <x:v>73891</x:v>
      </x:c>
      <x:c r="I68" s="4" t="n">
        <x:f>'TeamHero生成'!H68</x:f>
        <x:v>3936</x:v>
      </x:c>
      <x:c r="J68" s="4" t="n">
        <x:f>'TeamHero生成'!I68</x:f>
        <x:v>3456</x:v>
      </x:c>
    </x:row>
    <x:row r="69" ht="14.25" customHeight="1">
      <x:c r="A69" s="4" t="n">
        <x:f>'TeamHero生成'!A69</x:f>
        <x:v>65</x:v>
      </x:c>
      <x:c r="B69" s="4" t="n">
        <x:f>'TeamHero生成'!B69</x:f>
        <x:v>1035</x:v>
      </x:c>
      <x:c r="C69" s="4" t="n">
        <x:f>'TeamHero生成'!C69</x:f>
        <x:v>16</x:v>
      </x:c>
      <x:c r="D69" s="5" t="n">
        <x:f>'TeamHero生成'!D69</x:f>
        <x:v>61327</x:v>
      </x:c>
      <x:c r="E69" s="5" t="n">
        <x:f>'TeamHero生成'!E69</x:f>
        <x:v>3368</x:v>
      </x:c>
      <x:c r="F69" s="5" t="n">
        <x:f>'TeamHero生成'!F69</x:f>
        <x:v>4491</x:v>
      </x:c>
      <x:c r="G69" s="4" t="str">
        <x:f>'TeamHero生成'!AG69</x:f>
        <x:v>有效</x:v>
      </x:c>
      <x:c r="H69" s="4" t="n">
        <x:f>'TeamHero生成'!G69</x:f>
        <x:v>73891</x:v>
      </x:c>
      <x:c r="I69" s="4" t="n">
        <x:f>'TeamHero生成'!H69</x:f>
        <x:v>3936</x:v>
      </x:c>
      <x:c r="J69" s="4" t="n">
        <x:f>'TeamHero生成'!I69</x:f>
        <x:v>3456</x:v>
      </x:c>
    </x:row>
    <x:row r="70" ht="14.25" customHeight="1">
      <x:c r="A70" s="4" t="n">
        <x:f>'TeamHero生成'!A70</x:f>
        <x:v>66</x:v>
      </x:c>
      <x:c r="B70" s="4" t="n">
        <x:f>'TeamHero生成'!B70</x:f>
        <x:v>1002</x:v>
      </x:c>
      <x:c r="C70" s="4" t="n">
        <x:f>'TeamHero生成'!C70</x:f>
        <x:v>17</x:v>
      </x:c>
      <x:c r="D70" s="5" t="n">
        <x:f>'TeamHero生成'!D70</x:f>
        <x:v>99795</x:v>
      </x:c>
      <x:c r="E70" s="5" t="n">
        <x:f>'TeamHero生成'!E70</x:f>
        <x:v>2943</x:v>
      </x:c>
      <x:c r="F70" s="5" t="n">
        <x:f>'TeamHero生成'!F70</x:f>
        <x:v>7127</x:v>
      </x:c>
      <x:c r="G70" s="4" t="str">
        <x:f>'TeamHero生成'!AG70</x:f>
        <x:v>有效</x:v>
      </x:c>
      <x:c r="H70" s="4" t="n">
        <x:f>'TeamHero生成'!G70</x:f>
        <x:v>122313</x:v>
      </x:c>
      <x:c r="I70" s="4" t="n">
        <x:f>'TeamHero生成'!H70</x:f>
        <x:v>3510</x:v>
      </x:c>
      <x:c r="J70" s="4" t="n">
        <x:f>'TeamHero生成'!I70</x:f>
        <x:v>5529</x:v>
      </x:c>
    </x:row>
    <x:row r="71" ht="14.25" customHeight="1">
      <x:c r="A71" s="4" t="n">
        <x:f>'TeamHero生成'!A71</x:f>
        <x:v>67</x:v>
      </x:c>
      <x:c r="B71" s="4" t="n">
        <x:f>'TeamHero生成'!B71</x:f>
        <x:v>1015</x:v>
      </x:c>
      <x:c r="C71" s="4" t="n">
        <x:f>'TeamHero生成'!C71</x:f>
        <x:v>17</x:v>
      </x:c>
      <x:c r="D71" s="5" t="n">
        <x:f>'TeamHero生成'!D71</x:f>
        <x:v>83162</x:v>
      </x:c>
      <x:c r="E71" s="5" t="n">
        <x:f>'TeamHero生成'!E71</x:f>
        <x:v>2943</x:v>
      </x:c>
      <x:c r="F71" s="5" t="n">
        <x:f>'TeamHero生成'!F71</x:f>
        <x:v>5939</x:v>
      </x:c>
      <x:c r="G71" s="4" t="str">
        <x:f>'TeamHero生成'!AG71</x:f>
        <x:v>有效</x:v>
      </x:c>
      <x:c r="H71" s="4" t="n">
        <x:f>'TeamHero生成'!G71</x:f>
        <x:v>101928</x:v>
      </x:c>
      <x:c r="I71" s="4" t="n">
        <x:f>'TeamHero生成'!H71</x:f>
        <x:v>3510</x:v>
      </x:c>
      <x:c r="J71" s="4" t="n">
        <x:f>'TeamHero生成'!I71</x:f>
        <x:v>4608</x:v>
      </x:c>
    </x:row>
    <x:row r="72" ht="14.25" customHeight="1">
      <x:c r="A72" s="4" t="n">
        <x:f>'TeamHero生成'!A72</x:f>
        <x:v>68</x:v>
      </x:c>
      <x:c r="B72" s="4" t="n">
        <x:f>'TeamHero生成'!B72</x:f>
        <x:v>1039</x:v>
      </x:c>
      <x:c r="C72" s="4" t="n">
        <x:f>'TeamHero生成'!C72</x:f>
        <x:v>17</x:v>
      </x:c>
      <x:c r="D72" s="5" t="n">
        <x:f>'TeamHero生成'!D72</x:f>
        <x:v>66530</x:v>
      </x:c>
      <x:c r="E72" s="5" t="n">
        <x:f>'TeamHero生成'!E72</x:f>
        <x:v>3532</x:v>
      </x:c>
      <x:c r="F72" s="5" t="n">
        <x:f>'TeamHero生成'!F72</x:f>
        <x:v>4751</x:v>
      </x:c>
      <x:c r="G72" s="4" t="str">
        <x:f>'TeamHero生成'!AG72</x:f>
        <x:v>有效</x:v>
      </x:c>
      <x:c r="H72" s="4" t="n">
        <x:f>'TeamHero生成'!G72</x:f>
        <x:v>81542</x:v>
      </x:c>
      <x:c r="I72" s="4" t="n">
        <x:f>'TeamHero生成'!H72</x:f>
        <x:v>4212</x:v>
      </x:c>
      <x:c r="J72" s="4" t="n">
        <x:f>'TeamHero生成'!I72</x:f>
        <x:v>3686</x:v>
      </x:c>
    </x:row>
    <x:row r="73" ht="14.25" customHeight="1">
      <x:c r="A73" s="4" t="n">
        <x:f>'TeamHero生成'!A73</x:f>
        <x:v>69</x:v>
      </x:c>
      <x:c r="B73" s="4" t="n">
        <x:f>'TeamHero生成'!B73</x:f>
        <x:v>1012</x:v>
      </x:c>
      <x:c r="C73" s="4" t="n">
        <x:f>'TeamHero生成'!C73</x:f>
        <x:v>17</x:v>
      </x:c>
      <x:c r="D73" s="5" t="n">
        <x:f>'TeamHero生成'!D73</x:f>
        <x:v>83162</x:v>
      </x:c>
      <x:c r="E73" s="5" t="n">
        <x:f>'TeamHero生成'!E73</x:f>
        <x:v>2943</x:v>
      </x:c>
      <x:c r="F73" s="5" t="n">
        <x:f>'TeamHero生成'!F73</x:f>
        <x:v>5939</x:v>
      </x:c>
      <x:c r="G73" s="4" t="str">
        <x:f>'TeamHero生成'!AG73</x:f>
        <x:v>有效</x:v>
      </x:c>
      <x:c r="H73" s="4" t="n">
        <x:f>'TeamHero生成'!G73</x:f>
        <x:v>101928</x:v>
      </x:c>
      <x:c r="I73" s="4" t="n">
        <x:f>'TeamHero生成'!H73</x:f>
        <x:v>3510</x:v>
      </x:c>
      <x:c r="J73" s="4" t="n">
        <x:f>'TeamHero生成'!I73</x:f>
        <x:v>4608</x:v>
      </x:c>
    </x:row>
    <x:row r="74" ht="14.25" customHeight="1">
      <x:c r="A74" s="4" t="n">
        <x:f>'TeamHero生成'!A74</x:f>
        <x:v>70</x:v>
      </x:c>
      <x:c r="B74" s="4" t="n">
        <x:f>'TeamHero生成'!B74</x:f>
        <x:v>1011</x:v>
      </x:c>
      <x:c r="C74" s="4" t="n">
        <x:f>'TeamHero生成'!C74</x:f>
        <x:v>17</x:v>
      </x:c>
      <x:c r="D74" s="5" t="n">
        <x:f>'TeamHero生成'!D74</x:f>
        <x:v>83162</x:v>
      </x:c>
      <x:c r="E74" s="5" t="n">
        <x:f>'TeamHero生成'!E74</x:f>
        <x:v>2943</x:v>
      </x:c>
      <x:c r="F74" s="5" t="n">
        <x:f>'TeamHero生成'!F74</x:f>
        <x:v>5939</x:v>
      </x:c>
      <x:c r="G74" s="4" t="str">
        <x:f>'TeamHero生成'!AG74</x:f>
        <x:v>有效</x:v>
      </x:c>
      <x:c r="H74" s="4" t="n">
        <x:f>'TeamHero生成'!G74</x:f>
        <x:v>101928</x:v>
      </x:c>
      <x:c r="I74" s="4" t="n">
        <x:f>'TeamHero生成'!H74</x:f>
        <x:v>3510</x:v>
      </x:c>
      <x:c r="J74" s="4" t="n">
        <x:f>'TeamHero生成'!I74</x:f>
        <x:v>4608</x:v>
      </x:c>
    </x:row>
    <x:row r="75" ht="14.25" customHeight="1">
      <x:c r="A75" s="4" t="n">
        <x:f>'TeamHero生成'!A75</x:f>
        <x:v>71</x:v>
      </x:c>
      <x:c r="B75" s="4" t="n">
        <x:f>'TeamHero生成'!B75</x:f>
        <x:v>1003</x:v>
      </x:c>
      <x:c r="C75" s="4" t="n">
        <x:f>'TeamHero生成'!C75</x:f>
        <x:v>17</x:v>
      </x:c>
      <x:c r="D75" s="5" t="n">
        <x:f>'TeamHero生成'!D75</x:f>
        <x:v>112335</x:v>
      </x:c>
      <x:c r="E75" s="5" t="n">
        <x:f>'TeamHero生成'!E75</x:f>
        <x:v>3185</x:v>
      </x:c>
      <x:c r="F75" s="5" t="n">
        <x:f>'TeamHero生成'!F75</x:f>
        <x:v>7653</x:v>
      </x:c>
      <x:c r="G75" s="4" t="str">
        <x:f>'TeamHero生成'!AG75</x:f>
        <x:v>有效</x:v>
      </x:c>
      <x:c r="H75" s="4" t="n">
        <x:f>'TeamHero生成'!G75</x:f>
        <x:v>134438</x:v>
      </x:c>
      <x:c r="I75" s="4" t="n">
        <x:f>'TeamHero生成'!H75</x:f>
        <x:v>3744</x:v>
      </x:c>
      <x:c r="J75" s="4" t="n">
        <x:f>'TeamHero生成'!I75</x:f>
        <x:v>5878</x:v>
      </x:c>
    </x:row>
    <x:row r="76" ht="14.25" customHeight="1">
      <x:c r="A76" s="4" t="n">
        <x:f>'TeamHero生成'!A76</x:f>
        <x:v>72</x:v>
      </x:c>
      <x:c r="B76" s="4" t="n">
        <x:f>'TeamHero生成'!B76</x:f>
        <x:v>1021</x:v>
      </x:c>
      <x:c r="C76" s="4" t="n">
        <x:f>'TeamHero生成'!C76</x:f>
        <x:v>17</x:v>
      </x:c>
      <x:c r="D76" s="5" t="n">
        <x:f>'TeamHero生成'!D76</x:f>
        <x:v>74890</x:v>
      </x:c>
      <x:c r="E76" s="5" t="n">
        <x:f>'TeamHero生成'!E76</x:f>
        <x:v>3822</x:v>
      </x:c>
      <x:c r="F76" s="5" t="n">
        <x:f>'TeamHero生成'!F76</x:f>
        <x:v>5102</x:v>
      </x:c>
      <x:c r="G76" s="4" t="str">
        <x:f>'TeamHero生成'!AG76</x:f>
        <x:v>有效</x:v>
      </x:c>
      <x:c r="H76" s="4" t="n">
        <x:f>'TeamHero生成'!G76</x:f>
        <x:v>89625</x:v>
      </x:c>
      <x:c r="I76" s="4" t="n">
        <x:f>'TeamHero生成'!H76</x:f>
        <x:v>4492</x:v>
      </x:c>
      <x:c r="J76" s="4" t="n">
        <x:f>'TeamHero生成'!I76</x:f>
        <x:v>3919</x:v>
      </x:c>
    </x:row>
    <x:row r="77" ht="14.25" customHeight="1">
      <x:c r="A77" s="4" t="n">
        <x:f>'TeamHero生成'!A77</x:f>
        <x:v>73</x:v>
      </x:c>
      <x:c r="B77" s="4" t="n">
        <x:f>'TeamHero生成'!B77</x:f>
        <x:v>1007</x:v>
      </x:c>
      <x:c r="C77" s="4" t="n">
        <x:f>'TeamHero生成'!C77</x:f>
        <x:v>17</x:v>
      </x:c>
      <x:c r="D77" s="5" t="n">
        <x:f>'TeamHero生成'!D77</x:f>
        <x:v>93613</x:v>
      </x:c>
      <x:c r="E77" s="5" t="n">
        <x:f>'TeamHero生成'!E77</x:f>
        <x:v>3185</x:v>
      </x:c>
      <x:c r="F77" s="5" t="n">
        <x:f>'TeamHero生成'!F77</x:f>
        <x:v>6378</x:v>
      </x:c>
      <x:c r="G77" s="4" t="str">
        <x:f>'TeamHero生成'!AG77</x:f>
        <x:v>有效</x:v>
      </x:c>
      <x:c r="H77" s="4" t="n">
        <x:f>'TeamHero生成'!G77</x:f>
        <x:v>112032</x:v>
      </x:c>
      <x:c r="I77" s="4" t="n">
        <x:f>'TeamHero生成'!H77</x:f>
        <x:v>3744</x:v>
      </x:c>
      <x:c r="J77" s="4" t="n">
        <x:f>'TeamHero生成'!I77</x:f>
        <x:v>4899</x:v>
      </x:c>
    </x:row>
    <x:row r="78" ht="14.25" customHeight="1">
      <x:c r="A78" s="4" t="n">
        <x:f>'TeamHero生成'!A78</x:f>
        <x:v>74</x:v>
      </x:c>
      <x:c r="B78" s="4" t="n">
        <x:f>'TeamHero生成'!B78</x:f>
        <x:v>1008</x:v>
      </x:c>
      <x:c r="C78" s="4" t="n">
        <x:f>'TeamHero生成'!C78</x:f>
        <x:v>17</x:v>
      </x:c>
      <x:c r="D78" s="5" t="n">
        <x:f>'TeamHero生成'!D78</x:f>
        <x:v>74890</x:v>
      </x:c>
      <x:c r="E78" s="5" t="n">
        <x:f>'TeamHero生成'!E78</x:f>
        <x:v>3822</x:v>
      </x:c>
      <x:c r="F78" s="5" t="n">
        <x:f>'TeamHero生成'!F78</x:f>
        <x:v>5102</x:v>
      </x:c>
      <x:c r="G78" s="4" t="str">
        <x:f>'TeamHero生成'!AG78</x:f>
        <x:v>有效</x:v>
      </x:c>
      <x:c r="H78" s="4" t="n">
        <x:f>'TeamHero生成'!G78</x:f>
        <x:v>89625</x:v>
      </x:c>
      <x:c r="I78" s="4" t="n">
        <x:f>'TeamHero生成'!H78</x:f>
        <x:v>4492</x:v>
      </x:c>
      <x:c r="J78" s="4" t="n">
        <x:f>'TeamHero生成'!I78</x:f>
        <x:v>3919</x:v>
      </x:c>
    </x:row>
    <x:row r="79" ht="14.25" customHeight="1">
      <x:c r="A79" s="4" t="n">
        <x:f>'TeamHero生成'!A79</x:f>
        <x:v>75</x:v>
      </x:c>
      <x:c r="B79" s="4" t="n">
        <x:f>'TeamHero生成'!B79</x:f>
        <x:v>1029</x:v>
      </x:c>
      <x:c r="C79" s="4" t="n">
        <x:f>'TeamHero生成'!C79</x:f>
        <x:v>17</x:v>
      </x:c>
      <x:c r="D79" s="5" t="n">
        <x:f>'TeamHero生成'!D79</x:f>
        <x:v>93613</x:v>
      </x:c>
      <x:c r="E79" s="5" t="n">
        <x:f>'TeamHero生成'!E79</x:f>
        <x:v>3185</x:v>
      </x:c>
      <x:c r="F79" s="5" t="n">
        <x:f>'TeamHero生成'!F79</x:f>
        <x:v>6378</x:v>
      </x:c>
      <x:c r="G79" s="4" t="str">
        <x:f>'TeamHero生成'!AG79</x:f>
        <x:v>有效</x:v>
      </x:c>
      <x:c r="H79" s="4" t="n">
        <x:f>'TeamHero生成'!G79</x:f>
        <x:v>112032</x:v>
      </x:c>
      <x:c r="I79" s="4" t="n">
        <x:f>'TeamHero生成'!H79</x:f>
        <x:v>3744</x:v>
      </x:c>
      <x:c r="J79" s="4" t="n">
        <x:f>'TeamHero生成'!I79</x:f>
        <x:v>4899</x:v>
      </x:c>
    </x:row>
    <x:row r="80" ht="14.25" customHeight="1">
      <x:c r="A80" s="4" t="n">
        <x:f>'TeamHero生成'!A80</x:f>
        <x:v>76</x:v>
      </x:c>
      <x:c r="B80" s="4" t="n">
        <x:f>'TeamHero生成'!B80</x:f>
        <x:v>1030</x:v>
      </x:c>
      <x:c r="C80" s="4" t="n">
        <x:f>'TeamHero生成'!C80</x:f>
        <x:v>18</x:v>
      </x:c>
      <x:c r="D80" s="5" t="n">
        <x:f>'TeamHero生成'!D80</x:f>
        <x:v>122916</x:v>
      </x:c>
      <x:c r="E80" s="5" t="n">
        <x:f>'TeamHero生成'!E80</x:f>
        <x:v>3364</x:v>
      </x:c>
      <x:c r="F80" s="5" t="n">
        <x:f>'TeamHero生成'!F80</x:f>
        <x:v>8051</x:v>
      </x:c>
      <x:c r="G80" s="4" t="str">
        <x:f>'TeamHero生成'!AG80</x:f>
        <x:v>有效</x:v>
      </x:c>
      <x:c r="H80" s="4" t="n">
        <x:f>'TeamHero生成'!G80</x:f>
        <x:v>147247</x:v>
      </x:c>
      <x:c r="I80" s="4" t="n">
        <x:f>'TeamHero生成'!H80</x:f>
        <x:v>3984</x:v>
      </x:c>
      <x:c r="J80" s="4" t="n">
        <x:f>'TeamHero生成'!I80</x:f>
        <x:v>6231</x:v>
      </x:c>
    </x:row>
    <x:row r="81" ht="14.25" customHeight="1">
      <x:c r="A81" s="4" t="n">
        <x:f>'TeamHero生成'!A81</x:f>
        <x:v>77</x:v>
      </x:c>
      <x:c r="B81" s="4" t="n">
        <x:f>'TeamHero生成'!B81</x:f>
        <x:v>1002</x:v>
      </x:c>
      <x:c r="C81" s="4" t="n">
        <x:f>'TeamHero生成'!C81</x:f>
        <x:v>18</x:v>
      </x:c>
      <x:c r="D81" s="5" t="n">
        <x:f>'TeamHero生成'!D81</x:f>
        <x:v>122916</x:v>
      </x:c>
      <x:c r="E81" s="5" t="n">
        <x:f>'TeamHero生成'!E81</x:f>
        <x:v>3364</x:v>
      </x:c>
      <x:c r="F81" s="5" t="n">
        <x:f>'TeamHero生成'!F81</x:f>
        <x:v>8051</x:v>
      </x:c>
      <x:c r="G81" s="4" t="str">
        <x:f>'TeamHero生成'!AG81</x:f>
        <x:v>有效</x:v>
      </x:c>
      <x:c r="H81" s="4" t="n">
        <x:f>'TeamHero生成'!G81</x:f>
        <x:v>147247</x:v>
      </x:c>
      <x:c r="I81" s="4" t="n">
        <x:f>'TeamHero生成'!H81</x:f>
        <x:v>3984</x:v>
      </x:c>
      <x:c r="J81" s="4" t="n">
        <x:f>'TeamHero生成'!I81</x:f>
        <x:v>6231</x:v>
      </x:c>
    </x:row>
    <x:row r="82" ht="14.25" customHeight="1">
      <x:c r="A82" s="4" t="n">
        <x:f>'TeamHero生成'!A82</x:f>
        <x:v>78</x:v>
      </x:c>
      <x:c r="B82" s="4" t="n">
        <x:f>'TeamHero生成'!B82</x:f>
        <x:v>1012</x:v>
      </x:c>
      <x:c r="C82" s="4" t="n">
        <x:f>'TeamHero生成'!C82</x:f>
        <x:v>18</x:v>
      </x:c>
      <x:c r="D82" s="5" t="n">
        <x:f>'TeamHero生成'!D82</x:f>
        <x:v>102430</x:v>
      </x:c>
      <x:c r="E82" s="5" t="n">
        <x:f>'TeamHero生成'!E82</x:f>
        <x:v>3364</x:v>
      </x:c>
      <x:c r="F82" s="5" t="n">
        <x:f>'TeamHero生成'!F82</x:f>
        <x:v>6709</x:v>
      </x:c>
      <x:c r="G82" s="4" t="str">
        <x:f>'TeamHero生成'!AG82</x:f>
        <x:v>有效</x:v>
      </x:c>
      <x:c r="H82" s="4" t="n">
        <x:f>'TeamHero生成'!G82</x:f>
        <x:v>122706</x:v>
      </x:c>
      <x:c r="I82" s="4" t="n">
        <x:f>'TeamHero生成'!H82</x:f>
        <x:v>3984</x:v>
      </x:c>
      <x:c r="J82" s="4" t="n">
        <x:f>'TeamHero生成'!I82</x:f>
        <x:v>5193</x:v>
      </x:c>
    </x:row>
    <x:row r="83" ht="14.25" customHeight="1">
      <x:c r="A83" s="4" t="n">
        <x:f>'TeamHero生成'!A83</x:f>
        <x:v>79</x:v>
      </x:c>
      <x:c r="B83" s="4" t="n">
        <x:f>'TeamHero生成'!B83</x:f>
        <x:v>1035</x:v>
      </x:c>
      <x:c r="C83" s="4" t="n">
        <x:f>'TeamHero生成'!C83</x:f>
        <x:v>18</x:v>
      </x:c>
      <x:c r="D83" s="5" t="n">
        <x:f>'TeamHero生成'!D83</x:f>
        <x:v>81944</x:v>
      </x:c>
      <x:c r="E83" s="5" t="n">
        <x:f>'TeamHero生成'!E83</x:f>
        <x:v>4037</x:v>
      </x:c>
      <x:c r="F83" s="5" t="n">
        <x:f>'TeamHero生成'!F83</x:f>
        <x:v>5367</x:v>
      </x:c>
      <x:c r="G83" s="4" t="str">
        <x:f>'TeamHero生成'!AG83</x:f>
        <x:v>有效</x:v>
      </x:c>
      <x:c r="H83" s="4" t="n">
        <x:f>'TeamHero生成'!G83</x:f>
        <x:v>98164</x:v>
      </x:c>
      <x:c r="I83" s="4" t="n">
        <x:f>'TeamHero生成'!H83</x:f>
        <x:v>4780</x:v>
      </x:c>
      <x:c r="J83" s="4" t="n">
        <x:f>'TeamHero生成'!I83</x:f>
        <x:v>4154</x:v>
      </x:c>
    </x:row>
    <x:row r="84" ht="14.25" customHeight="1">
      <x:c r="A84" s="4" t="n">
        <x:f>'TeamHero生成'!A84</x:f>
        <x:v>80</x:v>
      </x:c>
      <x:c r="B84" s="4" t="n">
        <x:f>'TeamHero生成'!B84</x:f>
        <x:v>1036</x:v>
      </x:c>
      <x:c r="C84" s="4" t="n">
        <x:f>'TeamHero生成'!C84</x:f>
        <x:v>18</x:v>
      </x:c>
      <x:c r="D84" s="5" t="n">
        <x:f>'TeamHero生成'!D84</x:f>
        <x:v>81944</x:v>
      </x:c>
      <x:c r="E84" s="5" t="n">
        <x:f>'TeamHero生成'!E84</x:f>
        <x:v>4037</x:v>
      </x:c>
      <x:c r="F84" s="5" t="n">
        <x:f>'TeamHero生成'!F84</x:f>
        <x:v>5367</x:v>
      </x:c>
      <x:c r="G84" s="4" t="str">
        <x:f>'TeamHero生成'!AG84</x:f>
        <x:v>有效</x:v>
      </x:c>
      <x:c r="H84" s="4" t="n">
        <x:f>'TeamHero生成'!G84</x:f>
        <x:v>98164</x:v>
      </x:c>
      <x:c r="I84" s="4" t="n">
        <x:f>'TeamHero生成'!H84</x:f>
        <x:v>4780</x:v>
      </x:c>
      <x:c r="J84" s="4" t="n">
        <x:f>'TeamHero生成'!I84</x:f>
        <x:v>4154</x:v>
      </x:c>
    </x:row>
    <x:row r="85" ht="14.25" customHeight="1">
      <x:c r="A85" s="4" t="n">
        <x:f>'TeamHero生成'!A85</x:f>
        <x:v>81</x:v>
      </x:c>
      <x:c r="B85" s="4" t="n">
        <x:f>'TeamHero生成'!B85</x:f>
        <x:v>1038</x:v>
      </x:c>
      <x:c r="C85" s="4" t="n">
        <x:f>'TeamHero生成'!C85</x:f>
        <x:v>18</x:v>
      </x:c>
      <x:c r="D85" s="5" t="n">
        <x:f>'TeamHero生成'!D85</x:f>
        <x:v>134342</x:v>
      </x:c>
      <x:c r="E85" s="5" t="n">
        <x:f>'TeamHero生成'!E85</x:f>
        <x:v>3570</x:v>
      </x:c>
      <x:c r="F85" s="5" t="n">
        <x:f>'TeamHero生成'!F85</x:f>
        <x:v>8588</x:v>
      </x:c>
      <x:c r="G85" s="4" t="str">
        <x:f>'TeamHero生成'!AG85</x:f>
        <x:v>有效</x:v>
      </x:c>
      <x:c r="H85" s="4" t="n">
        <x:f>'TeamHero生成'!G85</x:f>
        <x:v>160761</x:v>
      </x:c>
      <x:c r="I85" s="4" t="n">
        <x:f>'TeamHero生成'!H85</x:f>
        <x:v>4229</x:v>
      </x:c>
      <x:c r="J85" s="4" t="n">
        <x:f>'TeamHero生成'!I85</x:f>
        <x:v>6589</x:v>
      </x:c>
    </x:row>
    <x:row r="86" ht="14.25" customHeight="1">
      <x:c r="A86" s="4" t="n">
        <x:f>'TeamHero生成'!A86</x:f>
        <x:v>82</x:v>
      </x:c>
      <x:c r="B86" s="4" t="n">
        <x:f>'TeamHero生成'!B86</x:f>
        <x:v>1038</x:v>
      </x:c>
      <x:c r="C86" s="4" t="n">
        <x:f>'TeamHero生成'!C86</x:f>
        <x:v>18</x:v>
      </x:c>
      <x:c r="D86" s="5" t="n">
        <x:f>'TeamHero生成'!D86</x:f>
        <x:v>134342</x:v>
      </x:c>
      <x:c r="E86" s="5" t="n">
        <x:f>'TeamHero生成'!E86</x:f>
        <x:v>3570</x:v>
      </x:c>
      <x:c r="F86" s="5" t="n">
        <x:f>'TeamHero生成'!F86</x:f>
        <x:v>8588</x:v>
      </x:c>
      <x:c r="G86" s="4" t="str">
        <x:f>'TeamHero生成'!AG86</x:f>
        <x:v>有效</x:v>
      </x:c>
      <x:c r="H86" s="4" t="n">
        <x:f>'TeamHero生成'!G86</x:f>
        <x:v>160761</x:v>
      </x:c>
      <x:c r="I86" s="4" t="n">
        <x:f>'TeamHero生成'!H86</x:f>
        <x:v>4229</x:v>
      </x:c>
      <x:c r="J86" s="4" t="n">
        <x:f>'TeamHero生成'!I86</x:f>
        <x:v>6589</x:v>
      </x:c>
    </x:row>
    <x:row r="87" ht="14.25" customHeight="1">
      <x:c r="A87" s="4" t="n">
        <x:f>'TeamHero生成'!A87</x:f>
        <x:v>83</x:v>
      </x:c>
      <x:c r="B87" s="4" t="n">
        <x:f>'TeamHero生成'!B87</x:f>
        <x:v>1039</x:v>
      </x:c>
      <x:c r="C87" s="4" t="n">
        <x:f>'TeamHero生成'!C87</x:f>
        <x:v>18</x:v>
      </x:c>
      <x:c r="D87" s="5" t="n">
        <x:f>'TeamHero生成'!D87</x:f>
        <x:v>89561</x:v>
      </x:c>
      <x:c r="E87" s="5" t="n">
        <x:f>'TeamHero生成'!E87</x:f>
        <x:v>4284</x:v>
      </x:c>
      <x:c r="F87" s="5" t="n">
        <x:f>'TeamHero生成'!F87</x:f>
        <x:v>5725</x:v>
      </x:c>
      <x:c r="G87" s="4" t="str">
        <x:f>'TeamHero生成'!AG87</x:f>
        <x:v>有效</x:v>
      </x:c>
      <x:c r="H87" s="4" t="n">
        <x:f>'TeamHero生成'!G87</x:f>
        <x:v>107174</x:v>
      </x:c>
      <x:c r="I87" s="4" t="n">
        <x:f>'TeamHero生成'!H87</x:f>
        <x:v>5074</x:v>
      </x:c>
      <x:c r="J87" s="4" t="n">
        <x:f>'TeamHero生成'!I87</x:f>
        <x:v>4392</x:v>
      </x:c>
    </x:row>
    <x:row r="88" ht="14.25" customHeight="1">
      <x:c r="A88" s="4" t="n">
        <x:f>'TeamHero生成'!A88</x:f>
        <x:v>84</x:v>
      </x:c>
      <x:c r="B88" s="4" t="n">
        <x:f>'TeamHero生成'!B88</x:f>
        <x:v>1035</x:v>
      </x:c>
      <x:c r="C88" s="4" t="n">
        <x:f>'TeamHero生成'!C88</x:f>
        <x:v>18</x:v>
      </x:c>
      <x:c r="D88" s="5" t="n">
        <x:f>'TeamHero生成'!D88</x:f>
        <x:v>89561</x:v>
      </x:c>
      <x:c r="E88" s="5" t="n">
        <x:f>'TeamHero生成'!E88</x:f>
        <x:v>4284</x:v>
      </x:c>
      <x:c r="F88" s="5" t="n">
        <x:f>'TeamHero生成'!F88</x:f>
        <x:v>5725</x:v>
      </x:c>
      <x:c r="G88" s="4" t="str">
        <x:f>'TeamHero生成'!AG88</x:f>
        <x:v>有效</x:v>
      </x:c>
      <x:c r="H88" s="4" t="n">
        <x:f>'TeamHero生成'!G88</x:f>
        <x:v>107174</x:v>
      </x:c>
      <x:c r="I88" s="4" t="n">
        <x:f>'TeamHero生成'!H88</x:f>
        <x:v>5074</x:v>
      </x:c>
      <x:c r="J88" s="4" t="n">
        <x:f>'TeamHero生成'!I88</x:f>
        <x:v>4392</x:v>
      </x:c>
    </x:row>
    <x:row r="89" ht="14.25" customHeight="1">
      <x:c r="A89" s="4" t="n">
        <x:f>'TeamHero生成'!A89</x:f>
        <x:v>85</x:v>
      </x:c>
      <x:c r="B89" s="4" t="n">
        <x:f>'TeamHero生成'!B89</x:f>
        <x:v>1015</x:v>
      </x:c>
      <x:c r="C89" s="4" t="n">
        <x:f>'TeamHero生成'!C89</x:f>
        <x:v>18</x:v>
      </x:c>
      <x:c r="D89" s="5" t="n">
        <x:f>'TeamHero生成'!D89</x:f>
        <x:v>111951</x:v>
      </x:c>
      <x:c r="E89" s="5" t="n">
        <x:f>'TeamHero生成'!E89</x:f>
        <x:v>3570</x:v>
      </x:c>
      <x:c r="F89" s="5" t="n">
        <x:f>'TeamHero生成'!F89</x:f>
        <x:v>7156</x:v>
      </x:c>
      <x:c r="G89" s="4" t="str">
        <x:f>'TeamHero生成'!AG89</x:f>
        <x:v>有效</x:v>
      </x:c>
      <x:c r="H89" s="4" t="n">
        <x:f>'TeamHero生成'!G89</x:f>
        <x:v>133968</x:v>
      </x:c>
      <x:c r="I89" s="4" t="n">
        <x:f>'TeamHero生成'!H89</x:f>
        <x:v>4229</x:v>
      </x:c>
      <x:c r="J89" s="4" t="n">
        <x:f>'TeamHero生成'!I89</x:f>
        <x:v>5491</x:v>
      </x:c>
    </x:row>
    <x:row r="90" ht="14.25" customHeight="1">
      <x:c r="A90" s="4" t="n">
        <x:f>'TeamHero生成'!A90</x:f>
        <x:v>86</x:v>
      </x:c>
      <x:c r="B90" s="4" t="n">
        <x:f>'TeamHero生成'!B90</x:f>
        <x:v>1035</x:v>
      </x:c>
      <x:c r="C90" s="4" t="n">
        <x:f>'TeamHero生成'!C90</x:f>
        <x:v>19</x:v>
      </x:c>
      <x:c r="D90" s="5" t="n">
        <x:f>'TeamHero生成'!D90</x:f>
        <x:v>97666</x:v>
      </x:c>
      <x:c r="E90" s="5" t="n">
        <x:f>'TeamHero生成'!E90</x:f>
        <x:v>4530</x:v>
      </x:c>
      <x:c r="F90" s="5" t="n">
        <x:f>'TeamHero生成'!F90</x:f>
        <x:v>5995</x:v>
      </x:c>
      <x:c r="G90" s="4" t="str">
        <x:f>'TeamHero生成'!AG90</x:f>
        <x:v>有效</x:v>
      </x:c>
      <x:c r="H90" s="4" t="n">
        <x:f>'TeamHero生成'!G90</x:f>
        <x:v>116668</x:v>
      </x:c>
      <x:c r="I90" s="4" t="n">
        <x:f>'TeamHero生成'!H90</x:f>
        <x:v>5373</x:v>
      </x:c>
      <x:c r="J90" s="4" t="n">
        <x:f>'TeamHero生成'!I90</x:f>
        <x:v>4634</x:v>
      </x:c>
    </x:row>
    <x:row r="91" ht="14.25" customHeight="1">
      <x:c r="A91" s="4" t="n">
        <x:f>'TeamHero生成'!A91</x:f>
        <x:v>87</x:v>
      </x:c>
      <x:c r="B91" s="4" t="n">
        <x:f>'TeamHero生成'!B91</x:f>
        <x:v>1015</x:v>
      </x:c>
      <x:c r="C91" s="4" t="n">
        <x:f>'TeamHero生成'!C91</x:f>
        <x:v>19</x:v>
      </x:c>
      <x:c r="D91" s="5" t="n">
        <x:f>'TeamHero生成'!D91</x:f>
        <x:v>122083</x:v>
      </x:c>
      <x:c r="E91" s="5" t="n">
        <x:f>'TeamHero生成'!E91</x:f>
        <x:v>3775</x:v>
      </x:c>
      <x:c r="F91" s="5" t="n">
        <x:f>'TeamHero生成'!F91</x:f>
        <x:v>7494</x:v>
      </x:c>
      <x:c r="G91" s="4" t="str">
        <x:f>'TeamHero生成'!AG91</x:f>
        <x:v>有效</x:v>
      </x:c>
      <x:c r="H91" s="4" t="n">
        <x:f>'TeamHero生成'!G91</x:f>
        <x:v>145836</x:v>
      </x:c>
      <x:c r="I91" s="4" t="n">
        <x:f>'TeamHero生成'!H91</x:f>
        <x:v>4478</x:v>
      </x:c>
      <x:c r="J91" s="4" t="n">
        <x:f>'TeamHero生成'!I91</x:f>
        <x:v>5793</x:v>
      </x:c>
    </x:row>
    <x:row r="92" ht="14.25" customHeight="1">
      <x:c r="A92" s="4" t="n">
        <x:f>'TeamHero生成'!A92</x:f>
        <x:v>88</x:v>
      </x:c>
      <x:c r="B92" s="4" t="n">
        <x:f>'TeamHero生成'!B92</x:f>
        <x:v>1037</x:v>
      </x:c>
      <x:c r="C92" s="4" t="n">
        <x:f>'TeamHero生成'!C92</x:f>
        <x:v>19</x:v>
      </x:c>
      <x:c r="D92" s="5" t="n">
        <x:f>'TeamHero生成'!D92</x:f>
        <x:v>97666</x:v>
      </x:c>
      <x:c r="E92" s="5" t="n">
        <x:f>'TeamHero生成'!E92</x:f>
        <x:v>4530</x:v>
      </x:c>
      <x:c r="F92" s="5" t="n">
        <x:f>'TeamHero生成'!F92</x:f>
        <x:v>5995</x:v>
      </x:c>
      <x:c r="G92" s="4" t="str">
        <x:f>'TeamHero生成'!AG92</x:f>
        <x:v>有效</x:v>
      </x:c>
      <x:c r="H92" s="4" t="n">
        <x:f>'TeamHero生成'!G92</x:f>
        <x:v>116668</x:v>
      </x:c>
      <x:c r="I92" s="4" t="n">
        <x:f>'TeamHero生成'!H92</x:f>
        <x:v>5373</x:v>
      </x:c>
      <x:c r="J92" s="4" t="n">
        <x:f>'TeamHero生成'!I92</x:f>
        <x:v>4634</x:v>
      </x:c>
    </x:row>
    <x:row r="93" ht="14.25" customHeight="1">
      <x:c r="A93" s="4" t="n">
        <x:f>'TeamHero生成'!A93</x:f>
        <x:v>89</x:v>
      </x:c>
      <x:c r="B93" s="4" t="n">
        <x:f>'TeamHero生成'!B93</x:f>
        <x:v>1018</x:v>
      </x:c>
      <x:c r="C93" s="4" t="n">
        <x:f>'TeamHero生成'!C93</x:f>
        <x:v>19</x:v>
      </x:c>
      <x:c r="D93" s="5" t="n">
        <x:f>'TeamHero生成'!D93</x:f>
        <x:v>122083</x:v>
      </x:c>
      <x:c r="E93" s="5" t="n">
        <x:f>'TeamHero生成'!E93</x:f>
        <x:v>3775</x:v>
      </x:c>
      <x:c r="F93" s="5" t="n">
        <x:f>'TeamHero生成'!F93</x:f>
        <x:v>7494</x:v>
      </x:c>
      <x:c r="G93" s="4" t="str">
        <x:f>'TeamHero生成'!AG93</x:f>
        <x:v>有效</x:v>
      </x:c>
      <x:c r="H93" s="4" t="n">
        <x:f>'TeamHero生成'!G93</x:f>
        <x:v>145836</x:v>
      </x:c>
      <x:c r="I93" s="4" t="n">
        <x:f>'TeamHero生成'!H93</x:f>
        <x:v>4478</x:v>
      </x:c>
      <x:c r="J93" s="4" t="n">
        <x:f>'TeamHero生成'!I93</x:f>
        <x:v>5793</x:v>
      </x:c>
    </x:row>
    <x:row r="94" ht="14.25" customHeight="1">
      <x:c r="A94" s="4" t="n">
        <x:f>'TeamHero生成'!A94</x:f>
        <x:v>90</x:v>
      </x:c>
      <x:c r="B94" s="4" t="n">
        <x:f>'TeamHero生成'!B94</x:f>
        <x:v>1012</x:v>
      </x:c>
      <x:c r="C94" s="4" t="n">
        <x:f>'TeamHero生成'!C94</x:f>
        <x:v>19</x:v>
      </x:c>
      <x:c r="D94" s="5" t="n">
        <x:f>'TeamHero生成'!D94</x:f>
        <x:v>122083</x:v>
      </x:c>
      <x:c r="E94" s="5" t="n">
        <x:f>'TeamHero生成'!E94</x:f>
        <x:v>3775</x:v>
      </x:c>
      <x:c r="F94" s="5" t="n">
        <x:f>'TeamHero生成'!F94</x:f>
        <x:v>7494</x:v>
      </x:c>
      <x:c r="G94" s="4" t="str">
        <x:f>'TeamHero生成'!AG94</x:f>
        <x:v>有效</x:v>
      </x:c>
      <x:c r="H94" s="4" t="n">
        <x:f>'TeamHero生成'!G94</x:f>
        <x:v>145836</x:v>
      </x:c>
      <x:c r="I94" s="4" t="n">
        <x:f>'TeamHero生成'!H94</x:f>
        <x:v>4478</x:v>
      </x:c>
      <x:c r="J94" s="4" t="n">
        <x:f>'TeamHero生成'!I94</x:f>
        <x:v>5793</x:v>
      </x:c>
    </x:row>
    <x:row r="95" ht="14.25" customHeight="1">
      <x:c r="A95" s="4" t="n">
        <x:f>'TeamHero生成'!A95</x:f>
        <x:v>91</x:v>
      </x:c>
      <x:c r="B95" s="4" t="n">
        <x:f>'TeamHero生成'!B95</x:f>
        <x:v>1002</x:v>
      </x:c>
      <x:c r="C95" s="4" t="n">
        <x:f>'TeamHero生成'!C95</x:f>
        <x:v>19</x:v>
      </x:c>
      <x:c r="D95" s="5" t="n">
        <x:f>'TeamHero生成'!D95</x:f>
        <x:v>158986</x:v>
      </x:c>
      <x:c r="E95" s="5" t="n">
        <x:f>'TeamHero生成'!E95</x:f>
        <x:v>3972</x:v>
      </x:c>
      <x:c r="F95" s="5" t="n">
        <x:f>'TeamHero生成'!F95</x:f>
        <x:v>9537</x:v>
      </x:c>
      <x:c r="G95" s="4" t="str">
        <x:f>'TeamHero生成'!AG95</x:f>
        <x:v>有效</x:v>
      </x:c>
      <x:c r="H95" s="4" t="n">
        <x:f>'TeamHero生成'!G95</x:f>
        <x:v>190000</x:v>
      </x:c>
      <x:c r="I95" s="4" t="n">
        <x:f>'TeamHero生成'!H95</x:f>
        <x:v>4733</x:v>
      </x:c>
      <x:c r="J95" s="4" t="n">
        <x:f>'TeamHero生成'!I95</x:f>
        <x:v>7317</x:v>
      </x:c>
    </x:row>
    <x:row r="96" ht="14.25" customHeight="1">
      <x:c r="A96" s="4" t="n">
        <x:f>'TeamHero生成'!A96</x:f>
        <x:v>92</x:v>
      </x:c>
      <x:c r="B96" s="4" t="n">
        <x:f>'TeamHero生成'!B96</x:f>
        <x:v>1018</x:v>
      </x:c>
      <x:c r="C96" s="4" t="n">
        <x:f>'TeamHero生成'!C96</x:f>
        <x:v>19</x:v>
      </x:c>
      <x:c r="D96" s="5" t="n">
        <x:f>'TeamHero生成'!D96</x:f>
        <x:v>132488</x:v>
      </x:c>
      <x:c r="E96" s="5" t="n">
        <x:f>'TeamHero生成'!E96</x:f>
        <x:v>3972</x:v>
      </x:c>
      <x:c r="F96" s="5" t="n">
        <x:f>'TeamHero生成'!F96</x:f>
        <x:v>7948</x:v>
      </x:c>
      <x:c r="G96" s="4" t="str">
        <x:f>'TeamHero生成'!AG96</x:f>
        <x:v>有效</x:v>
      </x:c>
      <x:c r="H96" s="4" t="n">
        <x:f>'TeamHero生成'!G96</x:f>
        <x:v>158334</x:v>
      </x:c>
      <x:c r="I96" s="4" t="n">
        <x:f>'TeamHero生成'!H96</x:f>
        <x:v>4733</x:v>
      </x:c>
      <x:c r="J96" s="4" t="n">
        <x:f>'TeamHero生成'!I96</x:f>
        <x:v>6098</x:v>
      </x:c>
    </x:row>
    <x:row r="97" ht="14.25" customHeight="1">
      <x:c r="A97" s="4" t="n">
        <x:f>'TeamHero生成'!A97</x:f>
        <x:v>93</x:v>
      </x:c>
      <x:c r="B97" s="4" t="n">
        <x:f>'TeamHero生成'!B97</x:f>
        <x:v>1018</x:v>
      </x:c>
      <x:c r="C97" s="4" t="n">
        <x:f>'TeamHero生成'!C97</x:f>
        <x:v>19</x:v>
      </x:c>
      <x:c r="D97" s="5" t="n">
        <x:f>'TeamHero生成'!D97</x:f>
        <x:v>132488</x:v>
      </x:c>
      <x:c r="E97" s="5" t="n">
        <x:f>'TeamHero生成'!E97</x:f>
        <x:v>3972</x:v>
      </x:c>
      <x:c r="F97" s="5" t="n">
        <x:f>'TeamHero生成'!F97</x:f>
        <x:v>7948</x:v>
      </x:c>
      <x:c r="G97" s="4" t="str">
        <x:f>'TeamHero生成'!AG97</x:f>
        <x:v>有效</x:v>
      </x:c>
      <x:c r="H97" s="4" t="n">
        <x:f>'TeamHero生成'!G97</x:f>
        <x:v>158334</x:v>
      </x:c>
      <x:c r="I97" s="4" t="n">
        <x:f>'TeamHero生成'!H97</x:f>
        <x:v>4733</x:v>
      </x:c>
      <x:c r="J97" s="4" t="n">
        <x:f>'TeamHero生成'!I97</x:f>
        <x:v>6098</x:v>
      </x:c>
    </x:row>
    <x:row r="98" ht="14.25" customHeight="1">
      <x:c r="A98" s="4" t="n">
        <x:f>'TeamHero生成'!A98</x:f>
        <x:v>94</x:v>
      </x:c>
      <x:c r="B98" s="4" t="n">
        <x:f>'TeamHero生成'!B98</x:f>
        <x:v>1012</x:v>
      </x:c>
      <x:c r="C98" s="4" t="n">
        <x:f>'TeamHero生成'!C98</x:f>
        <x:v>19</x:v>
      </x:c>
      <x:c r="D98" s="5" t="n">
        <x:f>'TeamHero生成'!D98</x:f>
        <x:v>132488</x:v>
      </x:c>
      <x:c r="E98" s="5" t="n">
        <x:f>'TeamHero生成'!E98</x:f>
        <x:v>3972</x:v>
      </x:c>
      <x:c r="F98" s="5" t="n">
        <x:f>'TeamHero生成'!F98</x:f>
        <x:v>7948</x:v>
      </x:c>
      <x:c r="G98" s="4" t="str">
        <x:f>'TeamHero生成'!AG98</x:f>
        <x:v>有效</x:v>
      </x:c>
      <x:c r="H98" s="4" t="n">
        <x:f>'TeamHero生成'!G98</x:f>
        <x:v>158334</x:v>
      </x:c>
      <x:c r="I98" s="4" t="n">
        <x:f>'TeamHero生成'!H98</x:f>
        <x:v>4733</x:v>
      </x:c>
      <x:c r="J98" s="4" t="n">
        <x:f>'TeamHero生成'!I98</x:f>
        <x:v>6098</x:v>
      </x:c>
    </x:row>
    <x:row r="99" ht="14.25" customHeight="1">
      <x:c r="A99" s="4" t="n">
        <x:f>'TeamHero生成'!A99</x:f>
        <x:v>95</x:v>
      </x:c>
      <x:c r="B99" s="4" t="n">
        <x:f>'TeamHero生成'!B99</x:f>
        <x:v>1036</x:v>
      </x:c>
      <x:c r="C99" s="4" t="n">
        <x:f>'TeamHero生成'!C99</x:f>
        <x:v>19</x:v>
      </x:c>
      <x:c r="D99" s="5" t="n">
        <x:f>'TeamHero生成'!D99</x:f>
        <x:v>105990</x:v>
      </x:c>
      <x:c r="E99" s="5" t="n">
        <x:f>'TeamHero生成'!E99</x:f>
        <x:v>4766</x:v>
      </x:c>
      <x:c r="F99" s="5" t="n">
        <x:f>'TeamHero生成'!F99</x:f>
        <x:v>6358</x:v>
      </x:c>
      <x:c r="G99" s="4" t="str">
        <x:f>'TeamHero生成'!AG99</x:f>
        <x:v>有效</x:v>
      </x:c>
      <x:c r="H99" s="4" t="n">
        <x:f>'TeamHero生成'!G99</x:f>
        <x:v>126667</x:v>
      </x:c>
      <x:c r="I99" s="4" t="n">
        <x:f>'TeamHero生成'!H99</x:f>
        <x:v>5679</x:v>
      </x:c>
      <x:c r="J99" s="4" t="n">
        <x:f>'TeamHero生成'!I99</x:f>
        <x:v>4878</x:v>
      </x:c>
    </x:row>
    <x:row r="100" ht="14.25" customHeight="1">
      <x:c r="A100" s="4" t="n">
        <x:f>'TeamHero生成'!A100</x:f>
        <x:v>96</x:v>
      </x:c>
      <x:c r="B100" s="4" t="n">
        <x:f>'TeamHero生成'!B100</x:f>
        <x:v>1008</x:v>
      </x:c>
      <x:c r="C100" s="4" t="n">
        <x:f>'TeamHero生成'!C100</x:f>
        <x:v>20</x:v>
      </x:c>
      <x:c r="D100" s="5" t="n">
        <x:f>'TeamHero生成'!D100</x:f>
        <x:v>113609</x:v>
      </x:c>
      <x:c r="E100" s="5" t="n">
        <x:f>'TeamHero生成'!E100</x:f>
        <x:v>4998</x:v>
      </x:c>
      <x:c r="F100" s="5" t="n">
        <x:f>'TeamHero生成'!F100</x:f>
        <x:v>6633</x:v>
      </x:c>
      <x:c r="G100" s="4" t="str">
        <x:f>'TeamHero生成'!AG100</x:f>
        <x:v>有效</x:v>
      </x:c>
      <x:c r="H100" s="4" t="n">
        <x:f>'TeamHero生成'!G100</x:f>
        <x:v>137188</x:v>
      </x:c>
      <x:c r="I100" s="4" t="n">
        <x:f>'TeamHero生成'!H100</x:f>
        <x:v>5990</x:v>
      </x:c>
      <x:c r="J100" s="4" t="n">
        <x:f>'TeamHero生成'!I100</x:f>
        <x:v>5124</x:v>
      </x:c>
    </x:row>
    <x:row r="101" ht="14.25" customHeight="1">
      <x:c r="A101" s="4" t="n">
        <x:f>'TeamHero生成'!A101</x:f>
        <x:v>97</x:v>
      </x:c>
      <x:c r="B101" s="4" t="n">
        <x:f>'TeamHero生成'!B101</x:f>
        <x:v>1008</x:v>
      </x:c>
      <x:c r="C101" s="4" t="n">
        <x:f>'TeamHero生成'!C101</x:f>
        <x:v>20</x:v>
      </x:c>
      <x:c r="D101" s="5" t="n">
        <x:f>'TeamHero生成'!D101</x:f>
        <x:v>113609</x:v>
      </x:c>
      <x:c r="E101" s="5" t="n">
        <x:f>'TeamHero生成'!E101</x:f>
        <x:v>4998</x:v>
      </x:c>
      <x:c r="F101" s="5" t="n">
        <x:f>'TeamHero生成'!F101</x:f>
        <x:v>6633</x:v>
      </x:c>
      <x:c r="G101" s="4" t="str">
        <x:f>'TeamHero生成'!AG101</x:f>
        <x:v>有效</x:v>
      </x:c>
      <x:c r="H101" s="4" t="n">
        <x:f>'TeamHero生成'!G101</x:f>
        <x:v>137188</x:v>
      </x:c>
      <x:c r="I101" s="4" t="n">
        <x:f>'TeamHero生成'!H101</x:f>
        <x:v>5990</x:v>
      </x:c>
      <x:c r="J101" s="4" t="n">
        <x:f>'TeamHero生成'!I101</x:f>
        <x:v>5124</x:v>
      </x:c>
    </x:row>
    <x:row r="102" ht="14.25" customHeight="1">
      <x:c r="A102" s="4" t="n">
        <x:f>'TeamHero生成'!A102</x:f>
        <x:v>98</x:v>
      </x:c>
      <x:c r="B102" s="4" t="n">
        <x:f>'TeamHero生成'!B102</x:f>
        <x:v>1008</x:v>
      </x:c>
      <x:c r="C102" s="4" t="n">
        <x:f>'TeamHero生成'!C102</x:f>
        <x:v>20</x:v>
      </x:c>
      <x:c r="D102" s="5" t="n">
        <x:f>'TeamHero生成'!D102</x:f>
        <x:v>113609</x:v>
      </x:c>
      <x:c r="E102" s="5" t="n">
        <x:f>'TeamHero生成'!E102</x:f>
        <x:v>4998</x:v>
      </x:c>
      <x:c r="F102" s="5" t="n">
        <x:f>'TeamHero生成'!F102</x:f>
        <x:v>6633</x:v>
      </x:c>
      <x:c r="G102" s="4" t="str">
        <x:f>'TeamHero生成'!AG102</x:f>
        <x:v>有效</x:v>
      </x:c>
      <x:c r="H102" s="4" t="n">
        <x:f>'TeamHero生成'!G102</x:f>
        <x:v>137188</x:v>
      </x:c>
      <x:c r="I102" s="4" t="n">
        <x:f>'TeamHero生成'!H102</x:f>
        <x:v>5990</x:v>
      </x:c>
      <x:c r="J102" s="4" t="n">
        <x:f>'TeamHero生成'!I102</x:f>
        <x:v>5124</x:v>
      </x:c>
    </x:row>
    <x:row r="103" ht="14.25" customHeight="1">
      <x:c r="A103" s="4" t="n">
        <x:f>'TeamHero生成'!A103</x:f>
        <x:v>99</x:v>
      </x:c>
      <x:c r="B103" s="4" t="n">
        <x:f>'TeamHero生成'!B103</x:f>
        <x:v>1007</x:v>
      </x:c>
      <x:c r="C103" s="4" t="n">
        <x:f>'TeamHero生成'!C103</x:f>
        <x:v>20</x:v>
      </x:c>
      <x:c r="D103" s="5" t="n">
        <x:f>'TeamHero生成'!D103</x:f>
        <x:v>142011</x:v>
      </x:c>
      <x:c r="E103" s="5" t="n">
        <x:f>'TeamHero生成'!E103</x:f>
        <x:v>4165</x:v>
      </x:c>
      <x:c r="F103" s="5" t="n">
        <x:f>'TeamHero生成'!F103</x:f>
        <x:v>8291</x:v>
      </x:c>
      <x:c r="G103" s="4" t="str">
        <x:f>'TeamHero生成'!AG103</x:f>
        <x:v>有效</x:v>
      </x:c>
      <x:c r="H103" s="4" t="n">
        <x:f>'TeamHero生成'!G103</x:f>
        <x:v>171486</x:v>
      </x:c>
      <x:c r="I103" s="4" t="n">
        <x:f>'TeamHero生成'!H103</x:f>
        <x:v>4992</x:v>
      </x:c>
      <x:c r="J103" s="4" t="n">
        <x:f>'TeamHero生成'!I103</x:f>
        <x:v>6406</x:v>
      </x:c>
    </x:row>
    <x:row r="104" ht="14.25" customHeight="1">
      <x:c r="A104" s="4" t="n">
        <x:f>'TeamHero生成'!A104</x:f>
        <x:v>100</x:v>
      </x:c>
      <x:c r="B104" s="4" t="n">
        <x:f>'TeamHero生成'!B104</x:f>
        <x:v>1007</x:v>
      </x:c>
      <x:c r="C104" s="4" t="n">
        <x:f>'TeamHero生成'!C104</x:f>
        <x:v>20</x:v>
      </x:c>
      <x:c r="D104" s="5" t="n">
        <x:f>'TeamHero生成'!D104</x:f>
        <x:v>142011</x:v>
      </x:c>
      <x:c r="E104" s="5" t="n">
        <x:f>'TeamHero生成'!E104</x:f>
        <x:v>4165</x:v>
      </x:c>
      <x:c r="F104" s="5" t="n">
        <x:f>'TeamHero生成'!F104</x:f>
        <x:v>8291</x:v>
      </x:c>
      <x:c r="G104" s="4" t="str">
        <x:f>'TeamHero生成'!AG104</x:f>
        <x:v>有效</x:v>
      </x:c>
      <x:c r="H104" s="4" t="n">
        <x:f>'TeamHero生成'!G104</x:f>
        <x:v>171486</x:v>
      </x:c>
      <x:c r="I104" s="4" t="n">
        <x:f>'TeamHero生成'!H104</x:f>
        <x:v>4992</x:v>
      </x:c>
      <x:c r="J104" s="4" t="n">
        <x:f>'TeamHero生成'!I104</x:f>
        <x:v>6406</x:v>
      </x:c>
    </x:row>
    <x:row r="105" ht="14.25" customHeight="1">
      <x:c r="A105" s="4" t="n">
        <x:f>'TeamHero生成'!A105</x:f>
        <x:v>101</x:v>
      </x:c>
      <x:c r="B105" s="4" t="n">
        <x:f>'TeamHero生成'!B105</x:f>
        <x:v>1038</x:v>
      </x:c>
      <x:c r="C105" s="4" t="n">
        <x:f>'TeamHero生成'!C105</x:f>
        <x:v>20</x:v>
      </x:c>
      <x:c r="D105" s="5" t="n">
        <x:f>'TeamHero生成'!D105</x:f>
        <x:v>188492</x:v>
      </x:c>
      <x:c r="E105" s="5" t="n">
        <x:f>'TeamHero生成'!E105</x:f>
        <x:v>4425</x:v>
      </x:c>
      <x:c r="F105" s="5" t="n">
        <x:f>'TeamHero生成'!F105</x:f>
        <x:v>10505</x:v>
      </x:c>
      <x:c r="G105" s="4" t="str">
        <x:f>'TeamHero生成'!AG105</x:f>
        <x:v>有效</x:v>
      </x:c>
      <x:c r="H105" s="4" t="n">
        <x:f>'TeamHero生成'!G105</x:f>
        <x:v>222364</x:v>
      </x:c>
      <x:c r="I105" s="4" t="n">
        <x:f>'TeamHero生成'!H105</x:f>
        <x:v>5257</x:v>
      </x:c>
      <x:c r="J105" s="4" t="n">
        <x:f>'TeamHero生成'!I105</x:f>
        <x:v>8062</x:v>
      </x:c>
    </x:row>
    <x:row r="106" ht="14.25" customHeight="1">
      <x:c r="A106" s="4" t="n">
        <x:f>'TeamHero生成'!A106</x:f>
        <x:v>102</x:v>
      </x:c>
      <x:c r="B106" s="4" t="n">
        <x:f>'TeamHero生成'!B106</x:f>
        <x:v>1030</x:v>
      </x:c>
      <x:c r="C106" s="4" t="n">
        <x:f>'TeamHero生成'!C106</x:f>
        <x:v>20</x:v>
      </x:c>
      <x:c r="D106" s="5" t="n">
        <x:f>'TeamHero生成'!D106</x:f>
        <x:v>188492</x:v>
      </x:c>
      <x:c r="E106" s="5" t="n">
        <x:f>'TeamHero生成'!E106</x:f>
        <x:v>4425</x:v>
      </x:c>
      <x:c r="F106" s="5" t="n">
        <x:f>'TeamHero生成'!F106</x:f>
        <x:v>10505</x:v>
      </x:c>
      <x:c r="G106" s="4" t="str">
        <x:f>'TeamHero生成'!AG106</x:f>
        <x:v>有效</x:v>
      </x:c>
      <x:c r="H106" s="4" t="n">
        <x:f>'TeamHero生成'!G106</x:f>
        <x:v>222364</x:v>
      </x:c>
      <x:c r="I106" s="4" t="n">
        <x:f>'TeamHero生成'!H106</x:f>
        <x:v>5257</x:v>
      </x:c>
      <x:c r="J106" s="4" t="n">
        <x:f>'TeamHero生成'!I106</x:f>
        <x:v>8062</x:v>
      </x:c>
    </x:row>
    <x:row r="107" ht="14.25" customHeight="1">
      <x:c r="A107" s="4" t="n">
        <x:f>'TeamHero生成'!A107</x:f>
        <x:v>103</x:v>
      </x:c>
      <x:c r="B107" s="4" t="n">
        <x:f>'TeamHero生成'!B107</x:f>
        <x:v>1020</x:v>
      </x:c>
      <x:c r="C107" s="4" t="n">
        <x:f>'TeamHero生成'!C107</x:f>
        <x:v>20</x:v>
      </x:c>
      <x:c r="D107" s="5" t="n">
        <x:f>'TeamHero生成'!D107</x:f>
        <x:v>157077</x:v>
      </x:c>
      <x:c r="E107" s="5" t="n">
        <x:f>'TeamHero生成'!E107</x:f>
        <x:v>4425</x:v>
      </x:c>
      <x:c r="F107" s="5" t="n">
        <x:f>'TeamHero生成'!F107</x:f>
        <x:v>8754</x:v>
      </x:c>
      <x:c r="G107" s="4" t="str">
        <x:f>'TeamHero生成'!AG107</x:f>
        <x:v>有效</x:v>
      </x:c>
      <x:c r="H107" s="4" t="n">
        <x:f>'TeamHero生成'!G107</x:f>
        <x:v>185304</x:v>
      </x:c>
      <x:c r="I107" s="4" t="n">
        <x:f>'TeamHero生成'!H107</x:f>
        <x:v>5257</x:v>
      </x:c>
      <x:c r="J107" s="4" t="n">
        <x:f>'TeamHero生成'!I107</x:f>
        <x:v>6719</x:v>
      </x:c>
    </x:row>
    <x:row r="108" ht="14.25" customHeight="1">
      <x:c r="A108" s="4" t="n">
        <x:f>'TeamHero生成'!A108</x:f>
        <x:v>104</x:v>
      </x:c>
      <x:c r="B108" s="4" t="n">
        <x:f>'TeamHero生成'!B108</x:f>
        <x:v>1036</x:v>
      </x:c>
      <x:c r="C108" s="4" t="n">
        <x:f>'TeamHero生成'!C108</x:f>
        <x:v>20</x:v>
      </x:c>
      <x:c r="D108" s="5" t="n">
        <x:f>'TeamHero生成'!D108</x:f>
        <x:v>125661</x:v>
      </x:c>
      <x:c r="E108" s="5" t="n">
        <x:f>'TeamHero生成'!E108</x:f>
        <x:v>5310</x:v>
      </x:c>
      <x:c r="F108" s="5" t="n">
        <x:f>'TeamHero生成'!F108</x:f>
        <x:v>7003</x:v>
      </x:c>
      <x:c r="G108" s="4" t="str">
        <x:f>'TeamHero生成'!AG108</x:f>
        <x:v>有效</x:v>
      </x:c>
      <x:c r="H108" s="4" t="n">
        <x:f>'TeamHero生成'!G108</x:f>
        <x:v>148243</x:v>
      </x:c>
      <x:c r="I108" s="4" t="n">
        <x:f>'TeamHero生成'!H108</x:f>
        <x:v>6308</x:v>
      </x:c>
      <x:c r="J108" s="4" t="n">
        <x:f>'TeamHero生成'!I108</x:f>
        <x:v>5375</x:v>
      </x:c>
    </x:row>
    <x:row r="109" ht="14.25" customHeight="1">
      <x:c r="A109" s="4" t="n">
        <x:f>'TeamHero生成'!A109</x:f>
        <x:v>105</x:v>
      </x:c>
      <x:c r="B109" s="4" t="n">
        <x:f>'TeamHero生成'!B109</x:f>
        <x:v>1026</x:v>
      </x:c>
      <x:c r="C109" s="4" t="n">
        <x:f>'TeamHero生成'!C109</x:f>
        <x:v>20</x:v>
      </x:c>
      <x:c r="D109" s="5" t="n">
        <x:f>'TeamHero生成'!D109</x:f>
        <x:v>125661</x:v>
      </x:c>
      <x:c r="E109" s="5" t="n">
        <x:f>'TeamHero生成'!E109</x:f>
        <x:v>5310</x:v>
      </x:c>
      <x:c r="F109" s="5" t="n">
        <x:f>'TeamHero生成'!F109</x:f>
        <x:v>7003</x:v>
      </x:c>
      <x:c r="G109" s="4" t="str">
        <x:f>'TeamHero生成'!AG109</x:f>
        <x:v>有效</x:v>
      </x:c>
      <x:c r="H109" s="4" t="n">
        <x:f>'TeamHero生成'!G109</x:f>
        <x:v>148243</x:v>
      </x:c>
      <x:c r="I109" s="4" t="n">
        <x:f>'TeamHero生成'!H109</x:f>
        <x:v>6308</x:v>
      </x:c>
      <x:c r="J109" s="4" t="n">
        <x:f>'TeamHero生成'!I109</x:f>
        <x:v>5375</x:v>
      </x:c>
    </x:row>
    <x:row r="110" ht="14.25" customHeight="1">
      <x:c r="A110" s="4" t="n">
        <x:f>'TeamHero生成'!A110</x:f>
        <x:v>106</x:v>
      </x:c>
      <x:c r="B110" s="4" t="n">
        <x:f>'TeamHero生成'!B110</x:f>
        <x:v>1002</x:v>
      </x:c>
      <x:c r="C110" s="4" t="n">
        <x:f>'TeamHero生成'!C110</x:f>
        <x:v>21</x:v>
      </x:c>
      <x:c r="D110" s="5" t="n">
        <x:f>'TeamHero生成'!D110</x:f>
        <x:v>206539</x:v>
      </x:c>
      <x:c r="E110" s="5" t="n">
        <x:f>'TeamHero生成'!E110</x:f>
        <x:v>4698</x:v>
      </x:c>
      <x:c r="F110" s="5" t="n">
        <x:f>'TeamHero生成'!F110</x:f>
        <x:v>11066</x:v>
      </x:c>
      <x:c r="G110" s="4" t="str">
        <x:f>'TeamHero生成'!AG110</x:f>
        <x:v>有效</x:v>
      </x:c>
      <x:c r="H110" s="4" t="n">
        <x:f>'TeamHero生成'!G110</x:f>
        <x:v>239781</x:v>
      </x:c>
      <x:c r="I110" s="4" t="n">
        <x:f>'TeamHero生成'!H110</x:f>
        <x:v>5527</x:v>
      </x:c>
      <x:c r="J110" s="4" t="n">
        <x:f>'TeamHero生成'!I110</x:f>
        <x:v>8442</x:v>
      </x:c>
    </x:row>
    <x:row r="111" ht="14.25" customHeight="1">
      <x:c r="A111" s="4" t="n">
        <x:f>'TeamHero生成'!A111</x:f>
        <x:v>107</x:v>
      </x:c>
      <x:c r="B111" s="4" t="n">
        <x:f>'TeamHero生成'!B111</x:f>
        <x:v>1002</x:v>
      </x:c>
      <x:c r="C111" s="4" t="n">
        <x:f>'TeamHero生成'!C111</x:f>
        <x:v>21</x:v>
      </x:c>
      <x:c r="D111" s="5" t="n">
        <x:f>'TeamHero生成'!D111</x:f>
        <x:v>206539</x:v>
      </x:c>
      <x:c r="E111" s="5" t="n">
        <x:f>'TeamHero生成'!E111</x:f>
        <x:v>4698</x:v>
      </x:c>
      <x:c r="F111" s="5" t="n">
        <x:f>'TeamHero生成'!F111</x:f>
        <x:v>11066</x:v>
      </x:c>
      <x:c r="G111" s="4" t="str">
        <x:f>'TeamHero生成'!AG111</x:f>
        <x:v>有效</x:v>
      </x:c>
      <x:c r="H111" s="4" t="n">
        <x:f>'TeamHero生成'!G111</x:f>
        <x:v>239781</x:v>
      </x:c>
      <x:c r="I111" s="4" t="n">
        <x:f>'TeamHero生成'!H111</x:f>
        <x:v>5527</x:v>
      </x:c>
      <x:c r="J111" s="4" t="n">
        <x:f>'TeamHero生成'!I111</x:f>
        <x:v>8442</x:v>
      </x:c>
    </x:row>
    <x:row r="112" ht="14.25" customHeight="1">
      <x:c r="A112" s="4" t="n">
        <x:f>'TeamHero生成'!A112</x:f>
        <x:v>108</x:v>
      </x:c>
      <x:c r="B112" s="4" t="n">
        <x:f>'TeamHero生成'!B112</x:f>
        <x:v>1036</x:v>
      </x:c>
      <x:c r="C112" s="4" t="n">
        <x:f>'TeamHero生成'!C112</x:f>
        <x:v>21</x:v>
      </x:c>
      <x:c r="D112" s="5" t="n">
        <x:f>'TeamHero生成'!D112</x:f>
        <x:v>137692</x:v>
      </x:c>
      <x:c r="E112" s="5" t="n">
        <x:f>'TeamHero生成'!E112</x:f>
        <x:v>5637</x:v>
      </x:c>
      <x:c r="F112" s="5" t="n">
        <x:f>'TeamHero生成'!F112</x:f>
        <x:v>7377</x:v>
      </x:c>
      <x:c r="G112" s="4" t="str">
        <x:f>'TeamHero生成'!AG112</x:f>
        <x:v>有效</x:v>
      </x:c>
      <x:c r="H112" s="4" t="n">
        <x:f>'TeamHero生成'!G112</x:f>
        <x:v>159854</x:v>
      </x:c>
      <x:c r="I112" s="4" t="n">
        <x:f>'TeamHero生成'!H112</x:f>
        <x:v>6632</x:v>
      </x:c>
      <x:c r="J112" s="4" t="n">
        <x:f>'TeamHero生成'!I112</x:f>
        <x:v>5628</x:v>
      </x:c>
    </x:row>
    <x:row r="113" ht="14.25" customHeight="1">
      <x:c r="A113" s="4" t="n">
        <x:f>'TeamHero生成'!A113</x:f>
        <x:v>109</x:v>
      </x:c>
      <x:c r="B113" s="4" t="n">
        <x:f>'TeamHero生成'!B113</x:f>
        <x:v>1026</x:v>
      </x:c>
      <x:c r="C113" s="4" t="n">
        <x:f>'TeamHero生成'!C113</x:f>
        <x:v>21</x:v>
      </x:c>
      <x:c r="D113" s="5" t="n">
        <x:f>'TeamHero生成'!D113</x:f>
        <x:v>137692</x:v>
      </x:c>
      <x:c r="E113" s="5" t="n">
        <x:f>'TeamHero生成'!E113</x:f>
        <x:v>5637</x:v>
      </x:c>
      <x:c r="F113" s="5" t="n">
        <x:f>'TeamHero生成'!F113</x:f>
        <x:v>7377</x:v>
      </x:c>
      <x:c r="G113" s="4" t="str">
        <x:f>'TeamHero生成'!AG113</x:f>
        <x:v>有效</x:v>
      </x:c>
      <x:c r="H113" s="4" t="n">
        <x:f>'TeamHero生成'!G113</x:f>
        <x:v>159854</x:v>
      </x:c>
      <x:c r="I113" s="4" t="n">
        <x:f>'TeamHero生成'!H113</x:f>
        <x:v>6632</x:v>
      </x:c>
      <x:c r="J113" s="4" t="n">
        <x:f>'TeamHero生成'!I113</x:f>
        <x:v>5628</x:v>
      </x:c>
    </x:row>
    <x:row r="114" ht="14.25" customHeight="1">
      <x:c r="A114" s="4" t="n">
        <x:f>'TeamHero生成'!A114</x:f>
        <x:v>110</x:v>
      </x:c>
      <x:c r="B114" s="4" t="n">
        <x:f>'TeamHero生成'!B114</x:f>
        <x:v>1014</x:v>
      </x:c>
      <x:c r="C114" s="4" t="n">
        <x:f>'TeamHero生成'!C114</x:f>
        <x:v>21</x:v>
      </x:c>
      <x:c r="D114" s="5" t="n">
        <x:f>'TeamHero生成'!D114</x:f>
        <x:v>137692</x:v>
      </x:c>
      <x:c r="E114" s="5" t="n">
        <x:f>'TeamHero生成'!E114</x:f>
        <x:v>5637</x:v>
      </x:c>
      <x:c r="F114" s="5" t="n">
        <x:f>'TeamHero生成'!F114</x:f>
        <x:v>7377</x:v>
      </x:c>
      <x:c r="G114" s="4" t="str">
        <x:f>'TeamHero生成'!AG114</x:f>
        <x:v>有效</x:v>
      </x:c>
      <x:c r="H114" s="4" t="n">
        <x:f>'TeamHero生成'!G114</x:f>
        <x:v>159854</x:v>
      </x:c>
      <x:c r="I114" s="4" t="n">
        <x:f>'TeamHero生成'!H114</x:f>
        <x:v>6632</x:v>
      </x:c>
      <x:c r="J114" s="4" t="n">
        <x:f>'TeamHero生成'!I114</x:f>
        <x:v>5628</x:v>
      </x:c>
    </x:row>
    <x:row r="115" ht="14.25" customHeight="1">
      <x:c r="A115" s="4" t="n">
        <x:f>'TeamHero生成'!A115</x:f>
        <x:v>111</x:v>
      </x:c>
      <x:c r="B115" s="4" t="n">
        <x:f>'TeamHero生成'!B115</x:f>
        <x:v>1038</x:v>
      </x:c>
      <x:c r="C115" s="4" t="n">
        <x:f>'TeamHero生成'!C115</x:f>
        <x:v>21</x:v>
      </x:c>
      <x:c r="D115" s="5" t="n">
        <x:f>'TeamHero生成'!D115</x:f>
        <x:v>220482</x:v>
      </x:c>
      <x:c r="E115" s="5" t="n">
        <x:f>'TeamHero生成'!E115</x:f>
        <x:v>4910</x:v>
      </x:c>
      <x:c r="F115" s="5" t="n">
        <x:f>'TeamHero生成'!F115</x:f>
        <x:v>11631</x:v>
      </x:c>
      <x:c r="G115" s="4" t="str">
        <x:f>'TeamHero生成'!AG115</x:f>
        <x:v>有效</x:v>
      </x:c>
      <x:c r="H115" s="4" t="n">
        <x:f>'TeamHero生成'!G115</x:f>
        <x:v>258062</x:v>
      </x:c>
      <x:c r="I115" s="4" t="n">
        <x:f>'TeamHero生成'!H115</x:f>
        <x:v>5802</x:v>
      </x:c>
      <x:c r="J115" s="4" t="n">
        <x:f>'TeamHero生成'!I115</x:f>
        <x:v>8826</x:v>
      </x:c>
    </x:row>
    <x:row r="116" ht="14.25" customHeight="1">
      <x:c r="A116" s="4" t="n">
        <x:f>'TeamHero生成'!A116</x:f>
        <x:v>112</x:v>
      </x:c>
      <x:c r="B116" s="4" t="n">
        <x:f>'TeamHero生成'!B116</x:f>
        <x:v>1002</x:v>
      </x:c>
      <x:c r="C116" s="4" t="n">
        <x:f>'TeamHero生成'!C116</x:f>
        <x:v>21</x:v>
      </x:c>
      <x:c r="D116" s="5" t="n">
        <x:f>'TeamHero生成'!D116</x:f>
        <x:v>220482</x:v>
      </x:c>
      <x:c r="E116" s="5" t="n">
        <x:f>'TeamHero生成'!E116</x:f>
        <x:v>4910</x:v>
      </x:c>
      <x:c r="F116" s="5" t="n">
        <x:f>'TeamHero生成'!F116</x:f>
        <x:v>11631</x:v>
      </x:c>
      <x:c r="G116" s="4" t="str">
        <x:f>'TeamHero生成'!AG116</x:f>
        <x:v>有效</x:v>
      </x:c>
      <x:c r="H116" s="4" t="n">
        <x:f>'TeamHero生成'!G116</x:f>
        <x:v>258062</x:v>
      </x:c>
      <x:c r="I116" s="4" t="n">
        <x:f>'TeamHero生成'!H116</x:f>
        <x:v>5802</x:v>
      </x:c>
      <x:c r="J116" s="4" t="n">
        <x:f>'TeamHero生成'!I116</x:f>
        <x:v>8826</x:v>
      </x:c>
    </x:row>
    <x:row r="117" ht="14.25" customHeight="1">
      <x:c r="A117" s="4" t="n">
        <x:f>'TeamHero生成'!A117</x:f>
        <x:v>113</x:v>
      </x:c>
      <x:c r="B117" s="4" t="n">
        <x:f>'TeamHero生成'!B117</x:f>
        <x:v>1020</x:v>
      </x:c>
      <x:c r="C117" s="4" t="n">
        <x:f>'TeamHero生成'!C117</x:f>
        <x:v>21</x:v>
      </x:c>
      <x:c r="D117" s="5" t="n">
        <x:f>'TeamHero生成'!D117</x:f>
        <x:v>183735</x:v>
      </x:c>
      <x:c r="E117" s="5" t="n">
        <x:f>'TeamHero生成'!E117</x:f>
        <x:v>4910</x:v>
      </x:c>
      <x:c r="F117" s="5" t="n">
        <x:f>'TeamHero生成'!F117</x:f>
        <x:v>9693</x:v>
      </x:c>
      <x:c r="G117" s="4" t="str">
        <x:f>'TeamHero生成'!AG117</x:f>
        <x:v>有效</x:v>
      </x:c>
      <x:c r="H117" s="4" t="n">
        <x:f>'TeamHero生成'!G117</x:f>
        <x:v>215052</x:v>
      </x:c>
      <x:c r="I117" s="4" t="n">
        <x:f>'TeamHero生成'!H117</x:f>
        <x:v>5802</x:v>
      </x:c>
      <x:c r="J117" s="4" t="n">
        <x:f>'TeamHero生成'!I117</x:f>
        <x:v>7355</x:v>
      </x:c>
    </x:row>
    <x:row r="118" ht="14.25" customHeight="1">
      <x:c r="A118" s="4" t="n">
        <x:f>'TeamHero生成'!A118</x:f>
        <x:v>114</x:v>
      </x:c>
      <x:c r="B118" s="4" t="n">
        <x:f>'TeamHero生成'!B118</x:f>
        <x:v>1001</x:v>
      </x:c>
      <x:c r="C118" s="4" t="n">
        <x:f>'TeamHero生成'!C118</x:f>
        <x:v>21</x:v>
      </x:c>
      <x:c r="D118" s="5" t="n">
        <x:f>'TeamHero生成'!D118</x:f>
        <x:v>146988</x:v>
      </x:c>
      <x:c r="E118" s="5" t="n">
        <x:f>'TeamHero生成'!E118</x:f>
        <x:v>5892</x:v>
      </x:c>
      <x:c r="F118" s="5" t="n">
        <x:f>'TeamHero生成'!F118</x:f>
        <x:v>7754</x:v>
      </x:c>
      <x:c r="G118" s="4" t="str">
        <x:f>'TeamHero生成'!AG118</x:f>
        <x:v>有效</x:v>
      </x:c>
      <x:c r="H118" s="4" t="n">
        <x:f>'TeamHero生成'!G118</x:f>
        <x:v>172041</x:v>
      </x:c>
      <x:c r="I118" s="4" t="n">
        <x:f>'TeamHero生成'!H118</x:f>
        <x:v>6962</x:v>
      </x:c>
      <x:c r="J118" s="4" t="n">
        <x:f>'TeamHero生成'!I118</x:f>
        <x:v>5884</x:v>
      </x:c>
    </x:row>
    <x:row r="119" ht="14.25" customHeight="1">
      <x:c r="A119" s="4" t="n">
        <x:f>'TeamHero生成'!A119</x:f>
        <x:v>115</x:v>
      </x:c>
      <x:c r="B119" s="4" t="n">
        <x:f>'TeamHero生成'!B119</x:f>
        <x:v>1012</x:v>
      </x:c>
      <x:c r="C119" s="4" t="n">
        <x:f>'TeamHero生成'!C119</x:f>
        <x:v>21</x:v>
      </x:c>
      <x:c r="D119" s="5" t="n">
        <x:f>'TeamHero生成'!D119</x:f>
        <x:v>183735</x:v>
      </x:c>
      <x:c r="E119" s="5" t="n">
        <x:f>'TeamHero生成'!E119</x:f>
        <x:v>4910</x:v>
      </x:c>
      <x:c r="F119" s="5" t="n">
        <x:f>'TeamHero生成'!F119</x:f>
        <x:v>9693</x:v>
      </x:c>
      <x:c r="G119" s="4" t="str">
        <x:f>'TeamHero生成'!AG119</x:f>
        <x:v>有效</x:v>
      </x:c>
      <x:c r="H119" s="4" t="n">
        <x:f>'TeamHero生成'!G119</x:f>
        <x:v>215052</x:v>
      </x:c>
      <x:c r="I119" s="4" t="n">
        <x:f>'TeamHero生成'!H119</x:f>
        <x:v>5802</x:v>
      </x:c>
      <x:c r="J119" s="4" t="n">
        <x:f>'TeamHero生成'!I119</x:f>
        <x:v>7355</x:v>
      </x:c>
    </x:row>
    <x:row r="120" ht="14.25" customHeight="1">
      <x:c r="A120" s="4" t="n">
        <x:f>'TeamHero生成'!A120</x:f>
        <x:v>116</x:v>
      </x:c>
      <x:c r="B120" s="4" t="n">
        <x:f>'TeamHero生成'!B120</x:f>
        <x:v>1002</x:v>
      </x:c>
      <x:c r="C120" s="4" t="n">
        <x:f>'TeamHero生成'!C120</x:f>
        <x:v>22</x:v>
      </x:c>
      <x:c r="D120" s="5" t="n">
        <x:f>'TeamHero生成'!D120</x:f>
        <x:v>242233</x:v>
      </x:c>
      <x:c r="E120" s="5" t="n">
        <x:f>'TeamHero生成'!E120</x:f>
        <x:v>5202</x:v>
      </x:c>
      <x:c r="F120" s="5" t="n">
        <x:f>'TeamHero生成'!F120</x:f>
        <x:v>12203</x:v>
      </x:c>
      <x:c r="G120" s="4" t="str">
        <x:f>'TeamHero生成'!AG120</x:f>
        <x:v>有效</x:v>
      </x:c>
      <x:c r="H120" s="4" t="n">
        <x:f>'TeamHero生成'!G120</x:f>
        <x:v>277228</x:v>
      </x:c>
      <x:c r="I120" s="4" t="n">
        <x:f>'TeamHero生成'!H120</x:f>
        <x:v>6083</x:v>
      </x:c>
      <x:c r="J120" s="4" t="n">
        <x:f>'TeamHero生成'!I120</x:f>
        <x:v>9213</x:v>
      </x:c>
    </x:row>
    <x:row r="121" ht="14.25" customHeight="1">
      <x:c r="A121" s="4" t="n">
        <x:f>'TeamHero生成'!A121</x:f>
        <x:v>117</x:v>
      </x:c>
      <x:c r="B121" s="4" t="n">
        <x:f>'TeamHero生成'!B121</x:f>
        <x:v>1018</x:v>
      </x:c>
      <x:c r="C121" s="4" t="n">
        <x:f>'TeamHero生成'!C121</x:f>
        <x:v>22</x:v>
      </x:c>
      <x:c r="D121" s="5" t="n">
        <x:f>'TeamHero生成'!D121</x:f>
        <x:v>201861</x:v>
      </x:c>
      <x:c r="E121" s="5" t="n">
        <x:f>'TeamHero生成'!E121</x:f>
        <x:v>5202</x:v>
      </x:c>
      <x:c r="F121" s="5" t="n">
        <x:f>'TeamHero生成'!F121</x:f>
        <x:v>10169</x:v>
      </x:c>
      <x:c r="G121" s="4" t="str">
        <x:f>'TeamHero生成'!AG121</x:f>
        <x:v>有效</x:v>
      </x:c>
      <x:c r="H121" s="4" t="n">
        <x:f>'TeamHero生成'!G121</x:f>
        <x:v>231024</x:v>
      </x:c>
      <x:c r="I121" s="4" t="n">
        <x:f>'TeamHero生成'!H121</x:f>
        <x:v>6083</x:v>
      </x:c>
      <x:c r="J121" s="4" t="n">
        <x:f>'TeamHero生成'!I121</x:f>
        <x:v>7678</x:v>
      </x:c>
    </x:row>
    <x:row r="122" ht="14.25" customHeight="1">
      <x:c r="A122" s="4" t="n">
        <x:f>'TeamHero生成'!A122</x:f>
        <x:v>118</x:v>
      </x:c>
      <x:c r="B122" s="4" t="n">
        <x:f>'TeamHero生成'!B122</x:f>
        <x:v>1015</x:v>
      </x:c>
      <x:c r="C122" s="4" t="n">
        <x:f>'TeamHero生成'!C122</x:f>
        <x:v>22</x:v>
      </x:c>
      <x:c r="D122" s="5" t="n">
        <x:f>'TeamHero生成'!D122</x:f>
        <x:v>201861</x:v>
      </x:c>
      <x:c r="E122" s="5" t="n">
        <x:f>'TeamHero生成'!E122</x:f>
        <x:v>5202</x:v>
      </x:c>
      <x:c r="F122" s="5" t="n">
        <x:f>'TeamHero生成'!F122</x:f>
        <x:v>10169</x:v>
      </x:c>
      <x:c r="G122" s="4" t="str">
        <x:f>'TeamHero生成'!AG122</x:f>
        <x:v>有效</x:v>
      </x:c>
      <x:c r="H122" s="4" t="n">
        <x:f>'TeamHero生成'!G122</x:f>
        <x:v>231024</x:v>
      </x:c>
      <x:c r="I122" s="4" t="n">
        <x:f>'TeamHero生成'!H122</x:f>
        <x:v>6083</x:v>
      </x:c>
      <x:c r="J122" s="4" t="n">
        <x:f>'TeamHero生成'!I122</x:f>
        <x:v>7678</x:v>
      </x:c>
    </x:row>
    <x:row r="123" ht="14.25" customHeight="1">
      <x:c r="A123" s="4" t="n">
        <x:f>'TeamHero生成'!A123</x:f>
        <x:v>119</x:v>
      </x:c>
      <x:c r="B123" s="4" t="n">
        <x:f>'TeamHero生成'!B123</x:f>
        <x:v>1018</x:v>
      </x:c>
      <x:c r="C123" s="4" t="n">
        <x:f>'TeamHero生成'!C123</x:f>
        <x:v>22</x:v>
      </x:c>
      <x:c r="D123" s="5" t="n">
        <x:f>'TeamHero生成'!D123</x:f>
        <x:v>201861</x:v>
      </x:c>
      <x:c r="E123" s="5" t="n">
        <x:f>'TeamHero生成'!E123</x:f>
        <x:v>5202</x:v>
      </x:c>
      <x:c r="F123" s="5" t="n">
        <x:f>'TeamHero生成'!F123</x:f>
        <x:v>10169</x:v>
      </x:c>
      <x:c r="G123" s="4" t="str">
        <x:f>'TeamHero生成'!AG123</x:f>
        <x:v>有效</x:v>
      </x:c>
      <x:c r="H123" s="4" t="n">
        <x:f>'TeamHero生成'!G123</x:f>
        <x:v>231024</x:v>
      </x:c>
      <x:c r="I123" s="4" t="n">
        <x:f>'TeamHero生成'!H123</x:f>
        <x:v>6083</x:v>
      </x:c>
      <x:c r="J123" s="4" t="n">
        <x:f>'TeamHero生成'!I123</x:f>
        <x:v>7678</x:v>
      </x:c>
    </x:row>
    <x:row r="124" ht="14.25" customHeight="1">
      <x:c r="A124" s="4" t="n">
        <x:f>'TeamHero生成'!A124</x:f>
        <x:v>120</x:v>
      </x:c>
      <x:c r="B124" s="4" t="n">
        <x:f>'TeamHero生成'!B124</x:f>
        <x:v>1012</x:v>
      </x:c>
      <x:c r="C124" s="4" t="n">
        <x:f>'TeamHero生成'!C124</x:f>
        <x:v>22</x:v>
      </x:c>
      <x:c r="D124" s="5" t="n">
        <x:f>'TeamHero生成'!D124</x:f>
        <x:v>201861</x:v>
      </x:c>
      <x:c r="E124" s="5" t="n">
        <x:f>'TeamHero生成'!E124</x:f>
        <x:v>5202</x:v>
      </x:c>
      <x:c r="F124" s="5" t="n">
        <x:f>'TeamHero生成'!F124</x:f>
        <x:v>10169</x:v>
      </x:c>
      <x:c r="G124" s="4" t="str">
        <x:f>'TeamHero生成'!AG124</x:f>
        <x:v>有效</x:v>
      </x:c>
      <x:c r="H124" s="4" t="n">
        <x:f>'TeamHero生成'!G124</x:f>
        <x:v>231024</x:v>
      </x:c>
      <x:c r="I124" s="4" t="n">
        <x:f>'TeamHero生成'!H124</x:f>
        <x:v>6083</x:v>
      </x:c>
      <x:c r="J124" s="4" t="n">
        <x:f>'TeamHero生成'!I124</x:f>
        <x:v>7678</x:v>
      </x:c>
    </x:row>
    <x:row r="125" ht="14.25" customHeight="1">
      <x:c r="A125" s="4" t="n">
        <x:f>'TeamHero生成'!A125</x:f>
        <x:v>121</x:v>
      </x:c>
      <x:c r="B125" s="4" t="n">
        <x:f>'TeamHero生成'!B125</x:f>
        <x:v>1002</x:v>
      </x:c>
      <x:c r="C125" s="4" t="n">
        <x:f>'TeamHero生成'!C125</x:f>
        <x:v>22</x:v>
      </x:c>
      <x:c r="D125" s="5" t="n">
        <x:f>'TeamHero生成'!D125</x:f>
        <x:v>258695</x:v>
      </x:c>
      <x:c r="E125" s="5" t="n">
        <x:f>'TeamHero生成'!E125</x:f>
        <x:v>5437</x:v>
      </x:c>
      <x:c r="F125" s="5" t="n">
        <x:f>'TeamHero生成'!F125</x:f>
        <x:v>12779</x:v>
      </x:c>
      <x:c r="G125" s="4" t="str">
        <x:f>'TeamHero生成'!AG125</x:f>
        <x:v>有效</x:v>
      </x:c>
      <x:c r="H125" s="4" t="n">
        <x:f>'TeamHero生成'!G125</x:f>
        <x:v>297316</x:v>
      </x:c>
      <x:c r="I125" s="4" t="n">
        <x:f>'TeamHero生成'!H125</x:f>
        <x:v>6370</x:v>
      </x:c>
      <x:c r="J125" s="4" t="n">
        <x:f>'TeamHero生成'!I125</x:f>
        <x:v>9606</x:v>
      </x:c>
    </x:row>
    <x:row r="126" ht="14.25" customHeight="1">
      <x:c r="A126" s="4" t="n">
        <x:f>'TeamHero生成'!A126</x:f>
        <x:v>122</x:v>
      </x:c>
      <x:c r="B126" s="4" t="n">
        <x:f>'TeamHero生成'!B126</x:f>
        <x:v>1014</x:v>
      </x:c>
      <x:c r="C126" s="4" t="n">
        <x:f>'TeamHero生成'!C126</x:f>
        <x:v>22</x:v>
      </x:c>
      <x:c r="D126" s="5" t="n">
        <x:f>'TeamHero生成'!D126</x:f>
        <x:v>172463</x:v>
      </x:c>
      <x:c r="E126" s="5" t="n">
        <x:f>'TeamHero生成'!E126</x:f>
        <x:v>6525</x:v>
      </x:c>
      <x:c r="F126" s="5" t="n">
        <x:f>'TeamHero生成'!F126</x:f>
        <x:v>8519</x:v>
      </x:c>
      <x:c r="G126" s="4" t="str">
        <x:f>'TeamHero生成'!AG126</x:f>
        <x:v>有效</x:v>
      </x:c>
      <x:c r="H126" s="4" t="n">
        <x:f>'TeamHero生成'!G126</x:f>
        <x:v>198211</x:v>
      </x:c>
      <x:c r="I126" s="4" t="n">
        <x:f>'TeamHero生成'!H126</x:f>
        <x:v>7644</x:v>
      </x:c>
      <x:c r="J126" s="4" t="n">
        <x:f>'TeamHero生成'!I126</x:f>
        <x:v>6404</x:v>
      </x:c>
    </x:row>
    <x:row r="127" ht="14.25" customHeight="1">
      <x:c r="A127" s="4" t="n">
        <x:f>'TeamHero生成'!A127</x:f>
        <x:v>123</x:v>
      </x:c>
      <x:c r="B127" s="4" t="n">
        <x:f>'TeamHero生成'!B127</x:f>
        <x:v>1029</x:v>
      </x:c>
      <x:c r="C127" s="4" t="n">
        <x:f>'TeamHero生成'!C127</x:f>
        <x:v>22</x:v>
      </x:c>
      <x:c r="D127" s="5" t="n">
        <x:f>'TeamHero生成'!D127</x:f>
        <x:v>215579</x:v>
      </x:c>
      <x:c r="E127" s="5" t="n">
        <x:f>'TeamHero生成'!E127</x:f>
        <x:v>5437</x:v>
      </x:c>
      <x:c r="F127" s="5" t="n">
        <x:f>'TeamHero生成'!F127</x:f>
        <x:v>10649</x:v>
      </x:c>
      <x:c r="G127" s="4" t="str">
        <x:f>'TeamHero生成'!AG127</x:f>
        <x:v>有效</x:v>
      </x:c>
      <x:c r="H127" s="4" t="n">
        <x:f>'TeamHero生成'!G127</x:f>
        <x:v>247764</x:v>
      </x:c>
      <x:c r="I127" s="4" t="n">
        <x:f>'TeamHero生成'!H127</x:f>
        <x:v>6370</x:v>
      </x:c>
      <x:c r="J127" s="4" t="n">
        <x:f>'TeamHero生成'!I127</x:f>
        <x:v>8005</x:v>
      </x:c>
    </x:row>
    <x:row r="128" ht="14.25" customHeight="1">
      <x:c r="A128" s="4" t="n">
        <x:f>'TeamHero生成'!A128</x:f>
        <x:v>124</x:v>
      </x:c>
      <x:c r="B128" s="4" t="n">
        <x:f>'TeamHero生成'!B128</x:f>
        <x:v>1018</x:v>
      </x:c>
      <x:c r="C128" s="4" t="n">
        <x:f>'TeamHero生成'!C128</x:f>
        <x:v>22</x:v>
      </x:c>
      <x:c r="D128" s="5" t="n">
        <x:f>'TeamHero生成'!D128</x:f>
        <x:v>215579</x:v>
      </x:c>
      <x:c r="E128" s="5" t="n">
        <x:f>'TeamHero生成'!E128</x:f>
        <x:v>5437</x:v>
      </x:c>
      <x:c r="F128" s="5" t="n">
        <x:f>'TeamHero生成'!F128</x:f>
        <x:v>10649</x:v>
      </x:c>
      <x:c r="G128" s="4" t="str">
        <x:f>'TeamHero生成'!AG128</x:f>
        <x:v>有效</x:v>
      </x:c>
      <x:c r="H128" s="4" t="n">
        <x:f>'TeamHero生成'!G128</x:f>
        <x:v>247764</x:v>
      </x:c>
      <x:c r="I128" s="4" t="n">
        <x:f>'TeamHero生成'!H128</x:f>
        <x:v>6370</x:v>
      </x:c>
      <x:c r="J128" s="4" t="n">
        <x:f>'TeamHero生成'!I128</x:f>
        <x:v>8005</x:v>
      </x:c>
    </x:row>
    <x:row r="129" ht="14.25" customHeight="1">
      <x:c r="A129" s="4" t="n">
        <x:f>'TeamHero生成'!A129</x:f>
        <x:v>125</x:v>
      </x:c>
      <x:c r="B129" s="4" t="n">
        <x:f>'TeamHero生成'!B129</x:f>
        <x:v>1012</x:v>
      </x:c>
      <x:c r="C129" s="4" t="n">
        <x:f>'TeamHero生成'!C129</x:f>
        <x:v>22</x:v>
      </x:c>
      <x:c r="D129" s="5" t="n">
        <x:f>'TeamHero生成'!D129</x:f>
        <x:v>215579</x:v>
      </x:c>
      <x:c r="E129" s="5" t="n">
        <x:f>'TeamHero生成'!E129</x:f>
        <x:v>5437</x:v>
      </x:c>
      <x:c r="F129" s="5" t="n">
        <x:f>'TeamHero生成'!F129</x:f>
        <x:v>10649</x:v>
      </x:c>
      <x:c r="G129" s="4" t="str">
        <x:f>'TeamHero生成'!AG129</x:f>
        <x:v>有效</x:v>
      </x:c>
      <x:c r="H129" s="4" t="n">
        <x:f>'TeamHero生成'!G129</x:f>
        <x:v>247764</x:v>
      </x:c>
      <x:c r="I129" s="4" t="n">
        <x:f>'TeamHero生成'!H129</x:f>
        <x:v>6370</x:v>
      </x:c>
      <x:c r="J129" s="4" t="n">
        <x:f>'TeamHero生成'!I129</x:f>
        <x:v>8005</x:v>
      </x:c>
    </x:row>
    <x:row r="130" ht="14.25" customHeight="1">
      <x:c r="A130" s="4" t="n">
        <x:f>'TeamHero生成'!A130</x:f>
        <x:v>126</x:v>
      </x:c>
      <x:c r="B130" s="4" t="n">
        <x:f>'TeamHero生成'!B130</x:f>
        <x:v>1038</x:v>
      </x:c>
      <x:c r="C130" s="4" t="n">
        <x:f>'TeamHero生成'!C130</x:f>
        <x:v>23</x:v>
      </x:c>
      <x:c r="D130" s="5" t="n">
        <x:f>'TeamHero生成'!D130</x:f>
        <x:v>283107</x:v>
      </x:c>
      <x:c r="E130" s="5" t="n">
        <x:f>'TeamHero生成'!E130</x:f>
        <x:v>5788</x:v>
      </x:c>
      <x:c r="F130" s="5" t="n">
        <x:f>'TeamHero生成'!F130</x:f>
        <x:v>13361</x:v>
      </x:c>
      <x:c r="G130" s="4" t="str">
        <x:f>'TeamHero生成'!AG130</x:f>
        <x:v>有效</x:v>
      </x:c>
      <x:c r="H130" s="4" t="n">
        <x:f>'TeamHero生成'!G130</x:f>
        <x:v>323748</x:v>
      </x:c>
      <x:c r="I130" s="4" t="n">
        <x:f>'TeamHero生成'!H130</x:f>
        <x:v>6736</x:v>
      </x:c>
      <x:c r="J130" s="4" t="n">
        <x:f>'TeamHero生成'!I130</x:f>
        <x:v>10102</x:v>
      </x:c>
    </x:row>
    <x:row r="131" ht="14.25" customHeight="1">
      <x:c r="A131" s="4" t="n">
        <x:f>'TeamHero生成'!A131</x:f>
        <x:v>127</x:v>
      </x:c>
      <x:c r="B131" s="4" t="n">
        <x:f>'TeamHero生成'!B131</x:f>
        <x:v>1014</x:v>
      </x:c>
      <x:c r="C131" s="4" t="n">
        <x:f>'TeamHero生成'!C131</x:f>
        <x:v>23</x:v>
      </x:c>
      <x:c r="D131" s="5" t="n">
        <x:f>'TeamHero生成'!D131</x:f>
        <x:v>188738</x:v>
      </x:c>
      <x:c r="E131" s="5" t="n">
        <x:f>'TeamHero生成'!E131</x:f>
        <x:v>6945</x:v>
      </x:c>
      <x:c r="F131" s="5" t="n">
        <x:f>'TeamHero生成'!F131</x:f>
        <x:v>8907</x:v>
      </x:c>
      <x:c r="G131" s="4" t="str">
        <x:f>'TeamHero生成'!AG131</x:f>
        <x:v>有效</x:v>
      </x:c>
      <x:c r="H131" s="4" t="n">
        <x:f>'TeamHero生成'!G131</x:f>
        <x:v>215832</x:v>
      </x:c>
      <x:c r="I131" s="4" t="n">
        <x:f>'TeamHero生成'!H131</x:f>
        <x:v>8083</x:v>
      </x:c>
      <x:c r="J131" s="4" t="n">
        <x:f>'TeamHero生成'!I131</x:f>
        <x:v>6735</x:v>
      </x:c>
    </x:row>
    <x:row r="132" ht="14.25" customHeight="1">
      <x:c r="A132" s="4" t="n">
        <x:f>'TeamHero生成'!A132</x:f>
        <x:v>128</x:v>
      </x:c>
      <x:c r="B132" s="4" t="n">
        <x:f>'TeamHero生成'!B132</x:f>
        <x:v>1021</x:v>
      </x:c>
      <x:c r="C132" s="4" t="n">
        <x:f>'TeamHero生成'!C132</x:f>
        <x:v>23</x:v>
      </x:c>
      <x:c r="D132" s="5" t="n">
        <x:f>'TeamHero生成'!D132</x:f>
        <x:v>188738</x:v>
      </x:c>
      <x:c r="E132" s="5" t="n">
        <x:f>'TeamHero生成'!E132</x:f>
        <x:v>6945</x:v>
      </x:c>
      <x:c r="F132" s="5" t="n">
        <x:f>'TeamHero生成'!F132</x:f>
        <x:v>8907</x:v>
      </x:c>
      <x:c r="G132" s="4" t="str">
        <x:f>'TeamHero生成'!AG132</x:f>
        <x:v>有效</x:v>
      </x:c>
      <x:c r="H132" s="4" t="n">
        <x:f>'TeamHero生成'!G132</x:f>
        <x:v>215832</x:v>
      </x:c>
      <x:c r="I132" s="4" t="n">
        <x:f>'TeamHero生成'!H132</x:f>
        <x:v>8083</x:v>
      </x:c>
      <x:c r="J132" s="4" t="n">
        <x:f>'TeamHero生成'!I132</x:f>
        <x:v>6735</x:v>
      </x:c>
    </x:row>
    <x:row r="133" ht="14.25" customHeight="1">
      <x:c r="A133" s="4" t="n">
        <x:f>'TeamHero生成'!A133</x:f>
        <x:v>129</x:v>
      </x:c>
      <x:c r="B133" s="4" t="n">
        <x:f>'TeamHero生成'!B133</x:f>
        <x:v>1026</x:v>
      </x:c>
      <x:c r="C133" s="4" t="n">
        <x:f>'TeamHero生成'!C133</x:f>
        <x:v>23</x:v>
      </x:c>
      <x:c r="D133" s="5" t="n">
        <x:f>'TeamHero生成'!D133</x:f>
        <x:v>188738</x:v>
      </x:c>
      <x:c r="E133" s="5" t="n">
        <x:f>'TeamHero生成'!E133</x:f>
        <x:v>6945</x:v>
      </x:c>
      <x:c r="F133" s="5" t="n">
        <x:f>'TeamHero生成'!F133</x:f>
        <x:v>8907</x:v>
      </x:c>
      <x:c r="G133" s="4" t="str">
        <x:f>'TeamHero生成'!AG133</x:f>
        <x:v>有效</x:v>
      </x:c>
      <x:c r="H133" s="4" t="n">
        <x:f>'TeamHero生成'!G133</x:f>
        <x:v>215832</x:v>
      </x:c>
      <x:c r="I133" s="4" t="n">
        <x:f>'TeamHero生成'!H133</x:f>
        <x:v>8083</x:v>
      </x:c>
      <x:c r="J133" s="4" t="n">
        <x:f>'TeamHero生成'!I133</x:f>
        <x:v>6735</x:v>
      </x:c>
    </x:row>
    <x:row r="134" ht="14.25" customHeight="1">
      <x:c r="A134" s="4" t="n">
        <x:f>'TeamHero生成'!A134</x:f>
        <x:v>130</x:v>
      </x:c>
      <x:c r="B134" s="4" t="n">
        <x:f>'TeamHero生成'!B134</x:f>
        <x:v>1012</x:v>
      </x:c>
      <x:c r="C134" s="4" t="n">
        <x:f>'TeamHero生成'!C134</x:f>
        <x:v>23</x:v>
      </x:c>
      <x:c r="D134" s="5" t="n">
        <x:f>'TeamHero生成'!D134</x:f>
        <x:v>235923</x:v>
      </x:c>
      <x:c r="E134" s="5" t="n">
        <x:f>'TeamHero生成'!E134</x:f>
        <x:v>5788</x:v>
      </x:c>
      <x:c r="F134" s="5" t="n">
        <x:f>'TeamHero生成'!F134</x:f>
        <x:v>11134</x:v>
      </x:c>
      <x:c r="G134" s="4" t="str">
        <x:f>'TeamHero生成'!AG134</x:f>
        <x:v>有效</x:v>
      </x:c>
      <x:c r="H134" s="4" t="n">
        <x:f>'TeamHero生成'!G134</x:f>
        <x:v>269790</x:v>
      </x:c>
      <x:c r="I134" s="4" t="n">
        <x:f>'TeamHero生成'!H134</x:f>
        <x:v>6736</x:v>
      </x:c>
      <x:c r="J134" s="4" t="n">
        <x:f>'TeamHero生成'!I134</x:f>
        <x:v>8419</x:v>
      </x:c>
    </x:row>
    <x:row r="135" ht="14.25" customHeight="1">
      <x:c r="A135" s="4" t="n">
        <x:f>'TeamHero生成'!A135</x:f>
        <x:v>131</x:v>
      </x:c>
      <x:c r="B135" s="4" t="n">
        <x:f>'TeamHero生成'!B135</x:f>
        <x:v>1038</x:v>
      </x:c>
      <x:c r="C135" s="4" t="n">
        <x:f>'TeamHero生成'!C135</x:f>
        <x:v>23</x:v>
      </x:c>
      <x:c r="D135" s="5" t="n">
        <x:f>'TeamHero生成'!D135</x:f>
        <x:v>303481</x:v>
      </x:c>
      <x:c r="E135" s="5" t="n">
        <x:f>'TeamHero生成'!E135</x:f>
        <x:v>6035</x:v>
      </x:c>
      <x:c r="F135" s="5" t="n">
        <x:f>'TeamHero生成'!F135</x:f>
        <x:v>13949</x:v>
      </x:c>
      <x:c r="G135" s="4" t="str">
        <x:f>'TeamHero生成'!AG135</x:f>
        <x:v>有效</x:v>
      </x:c>
      <x:c r="H135" s="4" t="n">
        <x:f>'TeamHero生成'!G135</x:f>
        <x:v>345996</x:v>
      </x:c>
      <x:c r="I135" s="4" t="n">
        <x:f>'TeamHero生成'!H135</x:f>
        <x:v>7036</x:v>
      </x:c>
      <x:c r="J135" s="4" t="n">
        <x:f>'TeamHero生成'!I135</x:f>
        <x:v>10504</x:v>
      </x:c>
    </x:row>
    <x:row r="136" ht="14.25" customHeight="1">
      <x:c r="A136" s="4" t="n">
        <x:f>'TeamHero生成'!A136</x:f>
        <x:v>132</x:v>
      </x:c>
      <x:c r="B136" s="4" t="n">
        <x:f>'TeamHero生成'!B136</x:f>
        <x:v>1002</x:v>
      </x:c>
      <x:c r="C136" s="4" t="n">
        <x:f>'TeamHero生成'!C136</x:f>
        <x:v>23</x:v>
      </x:c>
      <x:c r="D136" s="5" t="n">
        <x:f>'TeamHero生成'!D136</x:f>
        <x:v>303481</x:v>
      </x:c>
      <x:c r="E136" s="5" t="n">
        <x:f>'TeamHero生成'!E136</x:f>
        <x:v>6035</x:v>
      </x:c>
      <x:c r="F136" s="5" t="n">
        <x:f>'TeamHero生成'!F136</x:f>
        <x:v>13949</x:v>
      </x:c>
      <x:c r="G136" s="4" t="str">
        <x:f>'TeamHero生成'!AG136</x:f>
        <x:v>有效</x:v>
      </x:c>
      <x:c r="H136" s="4" t="n">
        <x:f>'TeamHero生成'!G136</x:f>
        <x:v>345996</x:v>
      </x:c>
      <x:c r="I136" s="4" t="n">
        <x:f>'TeamHero生成'!H136</x:f>
        <x:v>7036</x:v>
      </x:c>
      <x:c r="J136" s="4" t="n">
        <x:f>'TeamHero生成'!I136</x:f>
        <x:v>10504</x:v>
      </x:c>
    </x:row>
    <x:row r="137" ht="14.25" customHeight="1">
      <x:c r="A137" s="4" t="n">
        <x:f>'TeamHero生成'!A137</x:f>
        <x:v>133</x:v>
      </x:c>
      <x:c r="B137" s="4" t="n">
        <x:f>'TeamHero生成'!B137</x:f>
        <x:v>1018</x:v>
      </x:c>
      <x:c r="C137" s="4" t="n">
        <x:f>'TeamHero生成'!C137</x:f>
        <x:v>23</x:v>
      </x:c>
      <x:c r="D137" s="5" t="n">
        <x:f>'TeamHero生成'!D137</x:f>
        <x:v>252901</x:v>
      </x:c>
      <x:c r="E137" s="5" t="n">
        <x:f>'TeamHero生成'!E137</x:f>
        <x:v>6035</x:v>
      </x:c>
      <x:c r="F137" s="5" t="n">
        <x:f>'TeamHero生成'!F137</x:f>
        <x:v>11624</x:v>
      </x:c>
      <x:c r="G137" s="4" t="str">
        <x:f>'TeamHero生成'!AG137</x:f>
        <x:v>有效</x:v>
      </x:c>
      <x:c r="H137" s="4" t="n">
        <x:f>'TeamHero生成'!G137</x:f>
        <x:v>288330</x:v>
      </x:c>
      <x:c r="I137" s="4" t="n">
        <x:f>'TeamHero生成'!H137</x:f>
        <x:v>7036</x:v>
      </x:c>
      <x:c r="J137" s="4" t="n">
        <x:f>'TeamHero生成'!I137</x:f>
        <x:v>8754</x:v>
      </x:c>
    </x:row>
    <x:row r="138" ht="14.25" customHeight="1">
      <x:c r="A138" s="4" t="n">
        <x:f>'TeamHero生成'!A138</x:f>
        <x:v>134</x:v>
      </x:c>
      <x:c r="B138" s="4" t="n">
        <x:f>'TeamHero生成'!B138</x:f>
        <x:v>1021</x:v>
      </x:c>
      <x:c r="C138" s="4" t="n">
        <x:f>'TeamHero生成'!C138</x:f>
        <x:v>23</x:v>
      </x:c>
      <x:c r="D138" s="5" t="n">
        <x:f>'TeamHero生成'!D138</x:f>
        <x:v>202321</x:v>
      </x:c>
      <x:c r="E138" s="5" t="n">
        <x:f>'TeamHero生成'!E138</x:f>
        <x:v>7242</x:v>
      </x:c>
      <x:c r="F138" s="5" t="n">
        <x:f>'TeamHero生成'!F138</x:f>
        <x:v>9299</x:v>
      </x:c>
      <x:c r="G138" s="4" t="str">
        <x:f>'TeamHero生成'!AG138</x:f>
        <x:v>有效</x:v>
      </x:c>
      <x:c r="H138" s="4" t="n">
        <x:f>'TeamHero生成'!G138</x:f>
        <x:v>230664</x:v>
      </x:c>
      <x:c r="I138" s="4" t="n">
        <x:f>'TeamHero生成'!H138</x:f>
        <x:v>8443</x:v>
      </x:c>
      <x:c r="J138" s="4" t="n">
        <x:f>'TeamHero生成'!I138</x:f>
        <x:v>7003</x:v>
      </x:c>
    </x:row>
    <x:row r="139" ht="14.25" customHeight="1">
      <x:c r="A139" s="4" t="n">
        <x:f>'TeamHero生成'!A139</x:f>
        <x:v>135</x:v>
      </x:c>
      <x:c r="B139" s="4" t="n">
        <x:f>'TeamHero生成'!B139</x:f>
        <x:v>1011</x:v>
      </x:c>
      <x:c r="C139" s="4" t="n">
        <x:f>'TeamHero生成'!C139</x:f>
        <x:v>23</x:v>
      </x:c>
      <x:c r="D139" s="5" t="n">
        <x:f>'TeamHero生成'!D139</x:f>
        <x:v>252901</x:v>
      </x:c>
      <x:c r="E139" s="5" t="n">
        <x:f>'TeamHero生成'!E139</x:f>
        <x:v>6035</x:v>
      </x:c>
      <x:c r="F139" s="5" t="n">
        <x:f>'TeamHero生成'!F139</x:f>
        <x:v>11624</x:v>
      </x:c>
      <x:c r="G139" s="4" t="str">
        <x:f>'TeamHero生成'!AG139</x:f>
        <x:v>有效</x:v>
      </x:c>
      <x:c r="H139" s="4" t="n">
        <x:f>'TeamHero生成'!G139</x:f>
        <x:v>288330</x:v>
      </x:c>
      <x:c r="I139" s="4" t="n">
        <x:f>'TeamHero生成'!H139</x:f>
        <x:v>7036</x:v>
      </x:c>
      <x:c r="J139" s="4" t="n">
        <x:f>'TeamHero生成'!I139</x:f>
        <x:v>8754</x:v>
      </x:c>
    </x:row>
    <x:row r="140" ht="14.25" customHeight="1">
      <x:c r="A140" s="4" t="n">
        <x:f>'TeamHero生成'!A140</x:f>
        <x:v>136</x:v>
      </x:c>
      <x:c r="B140" s="4" t="n">
        <x:f>'TeamHero生成'!B140</x:f>
        <x:v>1038</x:v>
      </x:c>
      <x:c r="C140" s="4" t="n">
        <x:f>'TeamHero生成'!C140</x:f>
        <x:v>24</x:v>
      </x:c>
      <x:c r="D140" s="5" t="n">
        <x:f>'TeamHero生成'!D140</x:f>
        <x:v>326882</x:v>
      </x:c>
      <x:c r="E140" s="5" t="n">
        <x:f>'TeamHero生成'!E140</x:f>
        <x:v>6348</x:v>
      </x:c>
      <x:c r="F140" s="5" t="n">
        <x:f>'TeamHero生成'!F140</x:f>
        <x:v>14541</x:v>
      </x:c>
      <x:c r="G140" s="4" t="str">
        <x:f>'TeamHero生成'!AG140</x:f>
        <x:v>有效</x:v>
      </x:c>
      <x:c r="H140" s="4" t="n">
        <x:f>'TeamHero生成'!G140</x:f>
        <x:v>369252</x:v>
      </x:c>
      <x:c r="I140" s="4" t="n">
        <x:f>'TeamHero生成'!H140</x:f>
        <x:v>7342</x:v>
      </x:c>
      <x:c r="J140" s="4" t="n">
        <x:f>'TeamHero生成'!I140</x:f>
        <x:v>10911</x:v>
      </x:c>
    </x:row>
    <x:row r="141" ht="14.25" customHeight="1">
      <x:c r="A141" s="4" t="n">
        <x:f>'TeamHero生成'!A141</x:f>
        <x:v>137</x:v>
      </x:c>
      <x:c r="B141" s="4" t="n">
        <x:f>'TeamHero生成'!B141</x:f>
        <x:v>1030</x:v>
      </x:c>
      <x:c r="C141" s="4" t="n">
        <x:f>'TeamHero生成'!C141</x:f>
        <x:v>24</x:v>
      </x:c>
      <x:c r="D141" s="5" t="n">
        <x:f>'TeamHero生成'!D141</x:f>
        <x:v>326882</x:v>
      </x:c>
      <x:c r="E141" s="5" t="n">
        <x:f>'TeamHero生成'!E141</x:f>
        <x:v>6348</x:v>
      </x:c>
      <x:c r="F141" s="5" t="n">
        <x:f>'TeamHero生成'!F141</x:f>
        <x:v>14541</x:v>
      </x:c>
      <x:c r="G141" s="4" t="str">
        <x:f>'TeamHero生成'!AG141</x:f>
        <x:v>有效</x:v>
      </x:c>
      <x:c r="H141" s="4" t="n">
        <x:f>'TeamHero生成'!G141</x:f>
        <x:v>369252</x:v>
      </x:c>
      <x:c r="I141" s="4" t="n">
        <x:f>'TeamHero生成'!H141</x:f>
        <x:v>7342</x:v>
      </x:c>
      <x:c r="J141" s="4" t="n">
        <x:f>'TeamHero生成'!I141</x:f>
        <x:v>10911</x:v>
      </x:c>
    </x:row>
    <x:row r="142" ht="14.25" customHeight="1">
      <x:c r="A142" s="4" t="n">
        <x:f>'TeamHero生成'!A142</x:f>
        <x:v>138</x:v>
      </x:c>
      <x:c r="B142" s="4" t="n">
        <x:f>'TeamHero生成'!B142</x:f>
        <x:v>1002</x:v>
      </x:c>
      <x:c r="C142" s="4" t="n">
        <x:f>'TeamHero生成'!C142</x:f>
        <x:v>24</x:v>
      </x:c>
      <x:c r="D142" s="5" t="n">
        <x:f>'TeamHero生成'!D142</x:f>
        <x:v>326882</x:v>
      </x:c>
      <x:c r="E142" s="5" t="n">
        <x:f>'TeamHero生成'!E142</x:f>
        <x:v>6348</x:v>
      </x:c>
      <x:c r="F142" s="5" t="n">
        <x:f>'TeamHero生成'!F142</x:f>
        <x:v>14541</x:v>
      </x:c>
      <x:c r="G142" s="4" t="str">
        <x:f>'TeamHero生成'!AG142</x:f>
        <x:v>有效</x:v>
      </x:c>
      <x:c r="H142" s="4" t="n">
        <x:f>'TeamHero生成'!G142</x:f>
        <x:v>369252</x:v>
      </x:c>
      <x:c r="I142" s="4" t="n">
        <x:f>'TeamHero生成'!H142</x:f>
        <x:v>7342</x:v>
      </x:c>
      <x:c r="J142" s="4" t="n">
        <x:f>'TeamHero生成'!I142</x:f>
        <x:v>10911</x:v>
      </x:c>
    </x:row>
    <x:row r="143" ht="14.25" customHeight="1">
      <x:c r="A143" s="4" t="n">
        <x:f>'TeamHero生成'!A143</x:f>
        <x:v>139</x:v>
      </x:c>
      <x:c r="B143" s="4" t="n">
        <x:f>'TeamHero生成'!B143</x:f>
        <x:v>1014</x:v>
      </x:c>
      <x:c r="C143" s="4" t="n">
        <x:f>'TeamHero生成'!C143</x:f>
        <x:v>24</x:v>
      </x:c>
      <x:c r="D143" s="5" t="n">
        <x:f>'TeamHero生成'!D143</x:f>
        <x:v>217921</x:v>
      </x:c>
      <x:c r="E143" s="5" t="n">
        <x:f>'TeamHero生成'!E143</x:f>
        <x:v>7618</x:v>
      </x:c>
      <x:c r="F143" s="5" t="n">
        <x:f>'TeamHero生成'!F143</x:f>
        <x:v>9694</x:v>
      </x:c>
      <x:c r="G143" s="4" t="str">
        <x:f>'TeamHero生成'!AG143</x:f>
        <x:v>有效</x:v>
      </x:c>
      <x:c r="H143" s="4" t="n">
        <x:f>'TeamHero生成'!G143</x:f>
        <x:v>246168</x:v>
      </x:c>
      <x:c r="I143" s="4" t="n">
        <x:f>'TeamHero生成'!H143</x:f>
        <x:v>8810</x:v>
      </x:c>
      <x:c r="J143" s="4" t="n">
        <x:f>'TeamHero生成'!I143</x:f>
        <x:v>7274</x:v>
      </x:c>
    </x:row>
    <x:row r="144" ht="14.25" customHeight="1">
      <x:c r="A144" s="4" t="n">
        <x:f>'TeamHero生成'!A144</x:f>
        <x:v>140</x:v>
      </x:c>
      <x:c r="B144" s="4" t="n">
        <x:f>'TeamHero生成'!B144</x:f>
        <x:v>1021</x:v>
      </x:c>
      <x:c r="C144" s="4" t="n">
        <x:f>'TeamHero生成'!C144</x:f>
        <x:v>24</x:v>
      </x:c>
      <x:c r="D144" s="5" t="n">
        <x:f>'TeamHero生成'!D144</x:f>
        <x:v>217921</x:v>
      </x:c>
      <x:c r="E144" s="5" t="n">
        <x:f>'TeamHero生成'!E144</x:f>
        <x:v>7618</x:v>
      </x:c>
      <x:c r="F144" s="5" t="n">
        <x:f>'TeamHero生成'!F144</x:f>
        <x:v>9694</x:v>
      </x:c>
      <x:c r="G144" s="4" t="str">
        <x:f>'TeamHero生成'!AG144</x:f>
        <x:v>有效</x:v>
      </x:c>
      <x:c r="H144" s="4" t="n">
        <x:f>'TeamHero生成'!G144</x:f>
        <x:v>246168</x:v>
      </x:c>
      <x:c r="I144" s="4" t="n">
        <x:f>'TeamHero生成'!H144</x:f>
        <x:v>8810</x:v>
      </x:c>
      <x:c r="J144" s="4" t="n">
        <x:f>'TeamHero生成'!I144</x:f>
        <x:v>7274</x:v>
      </x:c>
    </x:row>
    <x:row r="145" ht="14.25" customHeight="1">
      <x:c r="A145" s="4" t="n">
        <x:f>'TeamHero生成'!A145</x:f>
        <x:v>141</x:v>
      </x:c>
      <x:c r="B145" s="4" t="n">
        <x:f>'TeamHero生成'!B145</x:f>
        <x:v>1038</x:v>
      </x:c>
      <x:c r="C145" s="4" t="n">
        <x:f>'TeamHero生成'!C145</x:f>
        <x:v>24</x:v>
      </x:c>
      <x:c r="D145" s="5" t="n">
        <x:f>'TeamHero生成'!D145</x:f>
        <x:v>349410</x:v>
      </x:c>
      <x:c r="E145" s="5" t="n">
        <x:f>'TeamHero生成'!E145</x:f>
        <x:v>6669</x:v>
      </x:c>
      <x:c r="F145" s="5" t="n">
        <x:f>'TeamHero生成'!F145</x:f>
        <x:v>15140</x:v>
      </x:c>
      <x:c r="G145" s="4" t="str">
        <x:f>'TeamHero生成'!AG145</x:f>
        <x:v>有效</x:v>
      </x:c>
      <x:c r="H145" s="4" t="n">
        <x:f>'TeamHero生成'!G145</x:f>
        <x:v>393537</x:v>
      </x:c>
      <x:c r="I145" s="4" t="n">
        <x:f>'TeamHero生成'!H145</x:f>
        <x:v>7652</x:v>
      </x:c>
      <x:c r="J145" s="4" t="n">
        <x:f>'TeamHero生成'!I145</x:f>
        <x:v>11322</x:v>
      </x:c>
    </x:row>
    <x:row r="146" ht="14.25" customHeight="1">
      <x:c r="A146" s="4" t="n">
        <x:f>'TeamHero生成'!A146</x:f>
        <x:v>142</x:v>
      </x:c>
      <x:c r="B146" s="4" t="n">
        <x:f>'TeamHero生成'!B146</x:f>
        <x:v>1038</x:v>
      </x:c>
      <x:c r="C146" s="4" t="n">
        <x:f>'TeamHero生成'!C146</x:f>
        <x:v>24</x:v>
      </x:c>
      <x:c r="D146" s="5" t="n">
        <x:f>'TeamHero生成'!D146</x:f>
        <x:v>349410</x:v>
      </x:c>
      <x:c r="E146" s="5" t="n">
        <x:f>'TeamHero生成'!E146</x:f>
        <x:v>6669</x:v>
      </x:c>
      <x:c r="F146" s="5" t="n">
        <x:f>'TeamHero生成'!F146</x:f>
        <x:v>15140</x:v>
      </x:c>
      <x:c r="G146" s="4" t="str">
        <x:f>'TeamHero生成'!AG146</x:f>
        <x:v>有效</x:v>
      </x:c>
      <x:c r="H146" s="4" t="n">
        <x:f>'TeamHero生成'!G146</x:f>
        <x:v>393537</x:v>
      </x:c>
      <x:c r="I146" s="4" t="n">
        <x:f>'TeamHero生成'!H146</x:f>
        <x:v>7652</x:v>
      </x:c>
      <x:c r="J146" s="4" t="n">
        <x:f>'TeamHero生成'!I146</x:f>
        <x:v>11322</x:v>
      </x:c>
    </x:row>
    <x:row r="147" ht="14.25" customHeight="1">
      <x:c r="A147" s="4" t="n">
        <x:f>'TeamHero生成'!A147</x:f>
        <x:v>143</x:v>
      </x:c>
      <x:c r="B147" s="4" t="n">
        <x:f>'TeamHero生成'!B147</x:f>
        <x:v>1014</x:v>
      </x:c>
      <x:c r="C147" s="4" t="n">
        <x:f>'TeamHero生成'!C147</x:f>
        <x:v>24</x:v>
      </x:c>
      <x:c r="D147" s="5" t="n">
        <x:f>'TeamHero生成'!D147</x:f>
        <x:v>232940</x:v>
      </x:c>
      <x:c r="E147" s="5" t="n">
        <x:f>'TeamHero生成'!E147</x:f>
        <x:v>8003</x:v>
      </x:c>
      <x:c r="F147" s="5" t="n">
        <x:f>'TeamHero生成'!F147</x:f>
        <x:v>10093</x:v>
      </x:c>
      <x:c r="G147" s="4" t="str">
        <x:f>'TeamHero生成'!AG147</x:f>
        <x:v>有效</x:v>
      </x:c>
      <x:c r="H147" s="4" t="n">
        <x:f>'TeamHero生成'!G147</x:f>
        <x:v>262358</x:v>
      </x:c>
      <x:c r="I147" s="4" t="n">
        <x:f>'TeamHero生成'!H147</x:f>
        <x:v>9182</x:v>
      </x:c>
      <x:c r="J147" s="4" t="n">
        <x:f>'TeamHero生成'!I147</x:f>
        <x:v>7548</x:v>
      </x:c>
    </x:row>
    <x:row r="148" ht="14.25" customHeight="1">
      <x:c r="A148" s="4" t="n">
        <x:f>'TeamHero生成'!A148</x:f>
        <x:v>144</x:v>
      </x:c>
      <x:c r="B148" s="4" t="n">
        <x:f>'TeamHero生成'!B148</x:f>
        <x:v>1021</x:v>
      </x:c>
      <x:c r="C148" s="4" t="n">
        <x:f>'TeamHero生成'!C148</x:f>
        <x:v>24</x:v>
      </x:c>
      <x:c r="D148" s="5" t="n">
        <x:f>'TeamHero生成'!D148</x:f>
        <x:v>232940</x:v>
      </x:c>
      <x:c r="E148" s="5" t="n">
        <x:f>'TeamHero生成'!E148</x:f>
        <x:v>8003</x:v>
      </x:c>
      <x:c r="F148" s="5" t="n">
        <x:f>'TeamHero生成'!F148</x:f>
        <x:v>10093</x:v>
      </x:c>
      <x:c r="G148" s="4" t="str">
        <x:f>'TeamHero生成'!AG148</x:f>
        <x:v>有效</x:v>
      </x:c>
      <x:c r="H148" s="4" t="n">
        <x:f>'TeamHero生成'!G148</x:f>
        <x:v>262358</x:v>
      </x:c>
      <x:c r="I148" s="4" t="n">
        <x:f>'TeamHero生成'!H148</x:f>
        <x:v>9182</x:v>
      </x:c>
      <x:c r="J148" s="4" t="n">
        <x:f>'TeamHero生成'!I148</x:f>
        <x:v>7548</x:v>
      </x:c>
    </x:row>
    <x:row r="149" ht="14.25" customHeight="1">
      <x:c r="A149" s="4" t="n">
        <x:f>'TeamHero生成'!A149</x:f>
        <x:v>145</x:v>
      </x:c>
      <x:c r="B149" s="4" t="n">
        <x:f>'TeamHero生成'!B149</x:f>
        <x:v>1026</x:v>
      </x:c>
      <x:c r="C149" s="4" t="n">
        <x:f>'TeamHero生成'!C149</x:f>
        <x:v>24</x:v>
      </x:c>
      <x:c r="D149" s="5" t="n">
        <x:f>'TeamHero生成'!D149</x:f>
        <x:v>232940</x:v>
      </x:c>
      <x:c r="E149" s="5" t="n">
        <x:f>'TeamHero生成'!E149</x:f>
        <x:v>8003</x:v>
      </x:c>
      <x:c r="F149" s="5" t="n">
        <x:f>'TeamHero生成'!F149</x:f>
        <x:v>10093</x:v>
      </x:c>
      <x:c r="G149" s="4" t="str">
        <x:f>'TeamHero生成'!AG149</x:f>
        <x:v>有效</x:v>
      </x:c>
      <x:c r="H149" s="4" t="n">
        <x:f>'TeamHero生成'!G149</x:f>
        <x:v>262358</x:v>
      </x:c>
      <x:c r="I149" s="4" t="n">
        <x:f>'TeamHero生成'!H149</x:f>
        <x:v>9182</x:v>
      </x:c>
      <x:c r="J149" s="4" t="n">
        <x:f>'TeamHero生成'!I149</x:f>
        <x:v>7548</x:v>
      </x:c>
    </x:row>
    <x:row r="150" ht="14.25" customHeight="1">
      <x:c r="A150" s="4" t="n">
        <x:f>'TeamHero生成'!A150</x:f>
        <x:v>146</x:v>
      </x:c>
      <x:c r="B150" s="4" t="n">
        <x:f>'TeamHero生成'!B150</x:f>
        <x:v>1030</x:v>
      </x:c>
      <x:c r="C150" s="4" t="n">
        <x:f>'TeamHero生成'!C150</x:f>
        <x:v>25</x:v>
      </x:c>
      <x:c r="D150" s="5" t="n">
        <x:f>'TeamHero生成'!D150</x:f>
        <x:v>372479</x:v>
      </x:c>
      <x:c r="E150" s="5" t="n">
        <x:f>'TeamHero生成'!E150</x:f>
        <x:v>6967</x:v>
      </x:c>
      <x:c r="F150" s="5" t="n">
        <x:f>'TeamHero生成'!F150</x:f>
        <x:v>15744</x:v>
      </x:c>
      <x:c r="G150" s="4" t="str">
        <x:f>'TeamHero生成'!AG150</x:f>
        <x:v>有效</x:v>
      </x:c>
      <x:c r="H150" s="4" t="n">
        <x:f>'TeamHero生成'!G150</x:f>
        <x:v>418896</x:v>
      </x:c>
      <x:c r="I150" s="4" t="n">
        <x:f>'TeamHero生成'!H150</x:f>
        <x:v>7970</x:v>
      </x:c>
      <x:c r="J150" s="4" t="n">
        <x:f>'TeamHero生成'!I150</x:f>
        <x:v>11738</x:v>
      </x:c>
    </x:row>
    <x:row r="151" ht="14.25" customHeight="1">
      <x:c r="A151" s="4" t="n">
        <x:f>'TeamHero生成'!A151</x:f>
        <x:v>147</x:v>
      </x:c>
      <x:c r="B151" s="4" t="n">
        <x:f>'TeamHero生成'!B151</x:f>
        <x:v>1001</x:v>
      </x:c>
      <x:c r="C151" s="4" t="n">
        <x:f>'TeamHero生成'!C151</x:f>
        <x:v>25</x:v>
      </x:c>
      <x:c r="D151" s="5" t="n">
        <x:f>'TeamHero生成'!D151</x:f>
        <x:v>248319</x:v>
      </x:c>
      <x:c r="E151" s="5" t="n">
        <x:f>'TeamHero生成'!E151</x:f>
        <x:v>8360</x:v>
      </x:c>
      <x:c r="F151" s="5" t="n">
        <x:f>'TeamHero生成'!F151</x:f>
        <x:v>10496</x:v>
      </x:c>
      <x:c r="G151" s="4" t="str">
        <x:f>'TeamHero生成'!AG151</x:f>
        <x:v>有效</x:v>
      </x:c>
      <x:c r="H151" s="4" t="n">
        <x:f>'TeamHero生成'!G151</x:f>
        <x:v>279264</x:v>
      </x:c>
      <x:c r="I151" s="4" t="n">
        <x:f>'TeamHero生成'!H151</x:f>
        <x:v>9564</x:v>
      </x:c>
      <x:c r="J151" s="4" t="n">
        <x:f>'TeamHero生成'!I151</x:f>
        <x:v>7825</x:v>
      </x:c>
    </x:row>
    <x:row r="152" ht="14.25" customHeight="1">
      <x:c r="A152" s="4" t="n">
        <x:f>'TeamHero生成'!A152</x:f>
        <x:v>148</x:v>
      </x:c>
      <x:c r="B152" s="4" t="n">
        <x:f>'TeamHero生成'!B152</x:f>
        <x:v>1021</x:v>
      </x:c>
      <x:c r="C152" s="4" t="n">
        <x:f>'TeamHero生成'!C152</x:f>
        <x:v>25</x:v>
      </x:c>
      <x:c r="D152" s="5" t="n">
        <x:f>'TeamHero生成'!D152</x:f>
        <x:v>248319</x:v>
      </x:c>
      <x:c r="E152" s="5" t="n">
        <x:f>'TeamHero生成'!E152</x:f>
        <x:v>8360</x:v>
      </x:c>
      <x:c r="F152" s="5" t="n">
        <x:f>'TeamHero生成'!F152</x:f>
        <x:v>10496</x:v>
      </x:c>
      <x:c r="G152" s="4" t="str">
        <x:f>'TeamHero生成'!AG152</x:f>
        <x:v>有效</x:v>
      </x:c>
      <x:c r="H152" s="4" t="n">
        <x:f>'TeamHero生成'!G152</x:f>
        <x:v>279264</x:v>
      </x:c>
      <x:c r="I152" s="4" t="n">
        <x:f>'TeamHero生成'!H152</x:f>
        <x:v>9564</x:v>
      </x:c>
      <x:c r="J152" s="4" t="n">
        <x:f>'TeamHero生成'!I152</x:f>
        <x:v>7825</x:v>
      </x:c>
    </x:row>
    <x:row r="153" ht="14.25" customHeight="1">
      <x:c r="A153" s="4" t="n">
        <x:f>'TeamHero生成'!A153</x:f>
        <x:v>149</x:v>
      </x:c>
      <x:c r="B153" s="4" t="n">
        <x:f>'TeamHero生成'!B153</x:f>
        <x:v>1020</x:v>
      </x:c>
      <x:c r="C153" s="4" t="n">
        <x:f>'TeamHero生成'!C153</x:f>
        <x:v>25</x:v>
      </x:c>
      <x:c r="D153" s="5" t="n">
        <x:f>'TeamHero生成'!D153</x:f>
        <x:v>310399</x:v>
      </x:c>
      <x:c r="E153" s="5" t="n">
        <x:f>'TeamHero生成'!E153</x:f>
        <x:v>6967</x:v>
      </x:c>
      <x:c r="F153" s="5" t="n">
        <x:f>'TeamHero生成'!F153</x:f>
        <x:v>13120</x:v>
      </x:c>
      <x:c r="G153" s="4" t="str">
        <x:f>'TeamHero生成'!AG153</x:f>
        <x:v>有效</x:v>
      </x:c>
      <x:c r="H153" s="4" t="n">
        <x:f>'TeamHero生成'!G153</x:f>
        <x:v>349080</x:v>
      </x:c>
      <x:c r="I153" s="4" t="n">
        <x:f>'TeamHero生成'!H153</x:f>
        <x:v>7970</x:v>
      </x:c>
      <x:c r="J153" s="4" t="n">
        <x:f>'TeamHero生成'!I153</x:f>
        <x:v>9782</x:v>
      </x:c>
    </x:row>
    <x:row r="154" ht="14.25" customHeight="1">
      <x:c r="A154" s="4" t="n">
        <x:f>'TeamHero生成'!A154</x:f>
        <x:v>150</x:v>
      </x:c>
      <x:c r="B154" s="4" t="n">
        <x:f>'TeamHero生成'!B154</x:f>
        <x:v>1011</x:v>
      </x:c>
      <x:c r="C154" s="4" t="n">
        <x:f>'TeamHero生成'!C154</x:f>
        <x:v>25</x:v>
      </x:c>
      <x:c r="D154" s="5" t="n">
        <x:f>'TeamHero生成'!D154</x:f>
        <x:v>310399</x:v>
      </x:c>
      <x:c r="E154" s="5" t="n">
        <x:f>'TeamHero生成'!E154</x:f>
        <x:v>6967</x:v>
      </x:c>
      <x:c r="F154" s="5" t="n">
        <x:f>'TeamHero生成'!F154</x:f>
        <x:v>13120</x:v>
      </x:c>
      <x:c r="G154" s="4" t="str">
        <x:f>'TeamHero生成'!AG154</x:f>
        <x:v>有效</x:v>
      </x:c>
      <x:c r="H154" s="4" t="n">
        <x:f>'TeamHero生成'!G154</x:f>
        <x:v>349080</x:v>
      </x:c>
      <x:c r="I154" s="4" t="n">
        <x:f>'TeamHero生成'!H154</x:f>
        <x:v>7970</x:v>
      </x:c>
      <x:c r="J154" s="4" t="n">
        <x:f>'TeamHero生成'!I154</x:f>
        <x:v>9782</x:v>
      </x:c>
    </x:row>
    <x:row r="155" ht="14.25" customHeight="1">
      <x:c r="A155" s="4" t="n">
        <x:f>'TeamHero生成'!A155</x:f>
        <x:v>151</x:v>
      </x:c>
      <x:c r="B155" s="4" t="n">
        <x:f>'TeamHero生成'!B155</x:f>
        <x:v>1030</x:v>
      </x:c>
      <x:c r="C155" s="4" t="n">
        <x:f>'TeamHero生成'!C155</x:f>
        <x:v>25</x:v>
      </x:c>
      <x:c r="D155" s="5" t="n">
        <x:f>'TeamHero生成'!D155</x:f>
        <x:v>402226</x:v>
      </x:c>
      <x:c r="E155" s="5" t="n">
        <x:f>'TeamHero生成'!E155</x:f>
        <x:v>7322</x:v>
      </x:c>
      <x:c r="F155" s="5" t="n">
        <x:f>'TeamHero生成'!F155</x:f>
        <x:v>16353</x:v>
      </x:c>
      <x:c r="G155" s="4" t="str">
        <x:f>'TeamHero生成'!AG155</x:f>
        <x:v>有效</x:v>
      </x:c>
      <x:c r="H155" s="4" t="n">
        <x:f>'TeamHero生成'!G155</x:f>
        <x:v>445348</x:v>
      </x:c>
      <x:c r="I155" s="4" t="n">
        <x:f>'TeamHero生成'!H155</x:f>
        <x:v>8296</x:v>
      </x:c>
      <x:c r="J155" s="4" t="n">
        <x:f>'TeamHero生成'!I155</x:f>
        <x:v>12157</x:v>
      </x:c>
    </x:row>
    <x:row r="156" ht="14.25" customHeight="1">
      <x:c r="A156" s="4" t="n">
        <x:f>'TeamHero生成'!A156</x:f>
        <x:v>152</x:v>
      </x:c>
      <x:c r="B156" s="4" t="n">
        <x:f>'TeamHero生成'!B156</x:f>
        <x:v>1035</x:v>
      </x:c>
      <x:c r="C156" s="4" t="n">
        <x:f>'TeamHero生成'!C156</x:f>
        <x:v>25</x:v>
      </x:c>
      <x:c r="D156" s="5" t="n">
        <x:f>'TeamHero生成'!D156</x:f>
        <x:v>268151</x:v>
      </x:c>
      <x:c r="E156" s="5" t="n">
        <x:f>'TeamHero生成'!E156</x:f>
        <x:v>8786</x:v>
      </x:c>
      <x:c r="F156" s="5" t="n">
        <x:f>'TeamHero生成'!F156</x:f>
        <x:v>10902</x:v>
      </x:c>
      <x:c r="G156" s="4" t="str">
        <x:f>'TeamHero生成'!AG156</x:f>
        <x:v>有效</x:v>
      </x:c>
      <x:c r="H156" s="4" t="n">
        <x:f>'TeamHero生成'!G156</x:f>
        <x:v>296899</x:v>
      </x:c>
      <x:c r="I156" s="4" t="n">
        <x:f>'TeamHero生成'!H156</x:f>
        <x:v>9955</x:v>
      </x:c>
      <x:c r="J156" s="4" t="n">
        <x:f>'TeamHero生成'!I156</x:f>
        <x:v>8104</x:v>
      </x:c>
    </x:row>
    <x:row r="157" ht="14.25" customHeight="1">
      <x:c r="A157" s="4" t="n">
        <x:f>'TeamHero生成'!A157</x:f>
        <x:v>153</x:v>
      </x:c>
      <x:c r="B157" s="4" t="n">
        <x:f>'TeamHero生成'!B157</x:f>
        <x:v>1026</x:v>
      </x:c>
      <x:c r="C157" s="4" t="n">
        <x:f>'TeamHero生成'!C157</x:f>
        <x:v>25</x:v>
      </x:c>
      <x:c r="D157" s="5" t="n">
        <x:f>'TeamHero生成'!D157</x:f>
        <x:v>268151</x:v>
      </x:c>
      <x:c r="E157" s="5" t="n">
        <x:f>'TeamHero生成'!E157</x:f>
        <x:v>8786</x:v>
      </x:c>
      <x:c r="F157" s="5" t="n">
        <x:f>'TeamHero生成'!F157</x:f>
        <x:v>10902</x:v>
      </x:c>
      <x:c r="G157" s="4" t="str">
        <x:f>'TeamHero生成'!AG157</x:f>
        <x:v>有效</x:v>
      </x:c>
      <x:c r="H157" s="4" t="n">
        <x:f>'TeamHero生成'!G157</x:f>
        <x:v>296899</x:v>
      </x:c>
      <x:c r="I157" s="4" t="n">
        <x:f>'TeamHero生成'!H157</x:f>
        <x:v>9955</x:v>
      </x:c>
      <x:c r="J157" s="4" t="n">
        <x:f>'TeamHero生成'!I157</x:f>
        <x:v>8104</x:v>
      </x:c>
    </x:row>
    <x:row r="158" ht="14.25" customHeight="1">
      <x:c r="A158" s="4" t="n">
        <x:f>'TeamHero生成'!A158</x:f>
        <x:v>154</x:v>
      </x:c>
      <x:c r="B158" s="4" t="n">
        <x:f>'TeamHero生成'!B158</x:f>
        <x:v>1011</x:v>
      </x:c>
      <x:c r="C158" s="4" t="n">
        <x:f>'TeamHero生成'!C158</x:f>
        <x:v>25</x:v>
      </x:c>
      <x:c r="D158" s="5" t="n">
        <x:f>'TeamHero生成'!D158</x:f>
        <x:v>335189</x:v>
      </x:c>
      <x:c r="E158" s="5" t="n">
        <x:f>'TeamHero生成'!E158</x:f>
        <x:v>7322</x:v>
      </x:c>
      <x:c r="F158" s="5" t="n">
        <x:f>'TeamHero生成'!F158</x:f>
        <x:v>13628</x:v>
      </x:c>
      <x:c r="G158" s="4" t="str">
        <x:f>'TeamHero生成'!AG158</x:f>
        <x:v>有效</x:v>
      </x:c>
      <x:c r="H158" s="4" t="n">
        <x:f>'TeamHero生成'!G158</x:f>
        <x:v>371124</x:v>
      </x:c>
      <x:c r="I158" s="4" t="n">
        <x:f>'TeamHero生成'!H158</x:f>
        <x:v>8296</x:v>
      </x:c>
      <x:c r="J158" s="4" t="n">
        <x:f>'TeamHero生成'!I158</x:f>
        <x:v>10131</x:v>
      </x:c>
    </x:row>
    <x:row r="159" ht="14.25" customHeight="1">
      <x:c r="A159" s="4" t="n">
        <x:f>'TeamHero生成'!A159</x:f>
        <x:v>155</x:v>
      </x:c>
      <x:c r="B159" s="4" t="n">
        <x:f>'TeamHero生成'!B159</x:f>
        <x:v>1023</x:v>
      </x:c>
      <x:c r="C159" s="4" t="n">
        <x:f>'TeamHero生成'!C159</x:f>
        <x:v>25</x:v>
      </x:c>
      <x:c r="D159" s="5" t="n">
        <x:f>'TeamHero生成'!D159</x:f>
        <x:v>335189</x:v>
      </x:c>
      <x:c r="E159" s="5" t="n">
        <x:f>'TeamHero生成'!E159</x:f>
        <x:v>7322</x:v>
      </x:c>
      <x:c r="F159" s="5" t="n">
        <x:f>'TeamHero生成'!F159</x:f>
        <x:v>13628</x:v>
      </x:c>
      <x:c r="G159" s="4" t="str">
        <x:f>'TeamHero生成'!AG159</x:f>
        <x:v>有效</x:v>
      </x:c>
      <x:c r="H159" s="4" t="n">
        <x:f>'TeamHero生成'!G159</x:f>
        <x:v>371124</x:v>
      </x:c>
      <x:c r="I159" s="4" t="n">
        <x:f>'TeamHero生成'!H159</x:f>
        <x:v>8296</x:v>
      </x:c>
      <x:c r="J159" s="4" t="n">
        <x:f>'TeamHero生成'!I159</x:f>
        <x:v>10131</x:v>
      </x:c>
    </x:row>
    <x:row r="160" ht="14.25" customHeight="1">
      <x:c r="A160" s="4" t="n">
        <x:f>'TeamHero生成'!A160</x:f>
        <x:v>156</x:v>
      </x:c>
      <x:c r="B160" s="4" t="n">
        <x:f>'TeamHero生成'!B160</x:f>
        <x:v>1002</x:v>
      </x:c>
      <x:c r="C160" s="4" t="n">
        <x:f>'TeamHero生成'!C160</x:f>
        <x:v>26</x:v>
      </x:c>
      <x:c r="D160" s="5" t="n">
        <x:f>'TeamHero生成'!D160</x:f>
        <x:v>430969</x:v>
      </x:c>
      <x:c r="E160" s="5" t="n">
        <x:f>'TeamHero生成'!E160</x:f>
        <x:v>7665</x:v>
      </x:c>
      <x:c r="F160" s="5" t="n">
        <x:f>'TeamHero生成'!F160</x:f>
        <x:v>16968</x:v>
      </x:c>
      <x:c r="G160" s="4" t="str">
        <x:f>'TeamHero生成'!AG160</x:f>
        <x:v>有效</x:v>
      </x:c>
      <x:c r="H160" s="4" t="n">
        <x:f>'TeamHero生成'!G160</x:f>
        <x:v>472932</x:v>
      </x:c>
      <x:c r="I160" s="4" t="n">
        <x:f>'TeamHero生成'!H160</x:f>
        <x:v>8626</x:v>
      </x:c>
      <x:c r="J160" s="4" t="n">
        <x:f>'TeamHero生成'!I160</x:f>
        <x:v>12582</x:v>
      </x:c>
    </x:row>
    <x:row r="161" ht="14.25" customHeight="1">
      <x:c r="A161" s="4" t="n">
        <x:f>'TeamHero生成'!A161</x:f>
        <x:v>157</x:v>
      </x:c>
      <x:c r="B161" s="4" t="n">
        <x:f>'TeamHero生成'!B161</x:f>
        <x:v>1023</x:v>
      </x:c>
      <x:c r="C161" s="4" t="n">
        <x:f>'TeamHero生成'!C161</x:f>
        <x:v>26</x:v>
      </x:c>
      <x:c r="D161" s="5" t="n">
        <x:f>'TeamHero生成'!D161</x:f>
        <x:v>359141</x:v>
      </x:c>
      <x:c r="E161" s="5" t="n">
        <x:f>'TeamHero生成'!E161</x:f>
        <x:v>7665</x:v>
      </x:c>
      <x:c r="F161" s="5" t="n">
        <x:f>'TeamHero生成'!F161</x:f>
        <x:v>14140</x:v>
      </x:c>
      <x:c r="G161" s="4" t="str">
        <x:f>'TeamHero生成'!AG161</x:f>
        <x:v>有效</x:v>
      </x:c>
      <x:c r="H161" s="4" t="n">
        <x:f>'TeamHero生成'!G161</x:f>
        <x:v>394110</x:v>
      </x:c>
      <x:c r="I161" s="4" t="n">
        <x:f>'TeamHero生成'!H161</x:f>
        <x:v>8626</x:v>
      </x:c>
      <x:c r="J161" s="4" t="n">
        <x:f>'TeamHero生成'!I161</x:f>
        <x:v>10485</x:v>
      </x:c>
    </x:row>
    <x:row r="162" ht="14.25" customHeight="1">
      <x:c r="A162" s="4" t="n">
        <x:f>'TeamHero生成'!A162</x:f>
        <x:v>158</x:v>
      </x:c>
      <x:c r="B162" s="4" t="n">
        <x:f>'TeamHero生成'!B162</x:f>
        <x:v>1001</x:v>
      </x:c>
      <x:c r="C162" s="4" t="n">
        <x:f>'TeamHero生成'!C162</x:f>
        <x:v>26</x:v>
      </x:c>
      <x:c r="D162" s="5" t="n">
        <x:f>'TeamHero生成'!D162</x:f>
        <x:v>287313</x:v>
      </x:c>
      <x:c r="E162" s="5" t="n">
        <x:f>'TeamHero生成'!E162</x:f>
        <x:v>9198</x:v>
      </x:c>
      <x:c r="F162" s="5" t="n">
        <x:f>'TeamHero生成'!F162</x:f>
        <x:v>11312</x:v>
      </x:c>
      <x:c r="G162" s="4" t="str">
        <x:f>'TeamHero生成'!AG162</x:f>
        <x:v>有效</x:v>
      </x:c>
      <x:c r="H162" s="4" t="n">
        <x:f>'TeamHero生成'!G162</x:f>
        <x:v>315288</x:v>
      </x:c>
      <x:c r="I162" s="4" t="n">
        <x:f>'TeamHero生成'!H162</x:f>
        <x:v>10351</x:v>
      </x:c>
      <x:c r="J162" s="4" t="n">
        <x:f>'TeamHero生成'!I162</x:f>
        <x:v>8388</x:v>
      </x:c>
    </x:row>
    <x:row r="163" ht="14.25" customHeight="1">
      <x:c r="A163" s="4" t="n">
        <x:f>'TeamHero生成'!A163</x:f>
        <x:v>159</x:v>
      </x:c>
      <x:c r="B163" s="4" t="n">
        <x:f>'TeamHero生成'!B163</x:f>
        <x:v>1023</x:v>
      </x:c>
      <x:c r="C163" s="4" t="n">
        <x:f>'TeamHero生成'!C163</x:f>
        <x:v>26</x:v>
      </x:c>
      <x:c r="D163" s="5" t="n">
        <x:f>'TeamHero生成'!D163</x:f>
        <x:v>359141</x:v>
      </x:c>
      <x:c r="E163" s="5" t="n">
        <x:f>'TeamHero生成'!E163</x:f>
        <x:v>7665</x:v>
      </x:c>
      <x:c r="F163" s="5" t="n">
        <x:f>'TeamHero生成'!F163</x:f>
        <x:v>14140</x:v>
      </x:c>
      <x:c r="G163" s="4" t="str">
        <x:f>'TeamHero生成'!AG163</x:f>
        <x:v>有效</x:v>
      </x:c>
      <x:c r="H163" s="4" t="n">
        <x:f>'TeamHero生成'!G163</x:f>
        <x:v>394110</x:v>
      </x:c>
      <x:c r="I163" s="4" t="n">
        <x:f>'TeamHero生成'!H163</x:f>
        <x:v>8626</x:v>
      </x:c>
      <x:c r="J163" s="4" t="n">
        <x:f>'TeamHero生成'!I163</x:f>
        <x:v>10485</x:v>
      </x:c>
    </x:row>
    <x:row r="164" ht="14.25" customHeight="1">
      <x:c r="A164" s="4" t="n">
        <x:f>'TeamHero生成'!A164</x:f>
        <x:v>160</x:v>
      </x:c>
      <x:c r="B164" s="4" t="n">
        <x:f>'TeamHero生成'!B164</x:f>
        <x:v>1011</x:v>
      </x:c>
      <x:c r="C164" s="4" t="n">
        <x:f>'TeamHero生成'!C164</x:f>
        <x:v>26</x:v>
      </x:c>
      <x:c r="D164" s="5" t="n">
        <x:f>'TeamHero生成'!D164</x:f>
        <x:v>359141</x:v>
      </x:c>
      <x:c r="E164" s="5" t="n">
        <x:f>'TeamHero生成'!E164</x:f>
        <x:v>7665</x:v>
      </x:c>
      <x:c r="F164" s="5" t="n">
        <x:f>'TeamHero生成'!F164</x:f>
        <x:v>14140</x:v>
      </x:c>
      <x:c r="G164" s="4" t="str">
        <x:f>'TeamHero生成'!AG164</x:f>
        <x:v>有效</x:v>
      </x:c>
      <x:c r="H164" s="4" t="n">
        <x:f>'TeamHero生成'!G164</x:f>
        <x:v>394110</x:v>
      </x:c>
      <x:c r="I164" s="4" t="n">
        <x:f>'TeamHero生成'!H164</x:f>
        <x:v>8626</x:v>
      </x:c>
      <x:c r="J164" s="4" t="n">
        <x:f>'TeamHero生成'!I164</x:f>
        <x:v>10485</x:v>
      </x:c>
    </x:row>
    <x:row r="165" ht="14.25" customHeight="1">
      <x:c r="A165" s="4" t="n">
        <x:f>'TeamHero生成'!A165</x:f>
        <x:v>161</x:v>
      </x:c>
      <x:c r="B165" s="4" t="n">
        <x:f>'TeamHero生成'!B165</x:f>
        <x:v>1002</x:v>
      </x:c>
      <x:c r="C165" s="4" t="n">
        <x:f>'TeamHero生成'!C165</x:f>
        <x:v>26</x:v>
      </x:c>
      <x:c r="D165" s="5" t="n">
        <x:f>'TeamHero生成'!D165</x:f>
        <x:v>457900</x:v>
      </x:c>
      <x:c r="E165" s="5" t="n">
        <x:f>'TeamHero生成'!E165</x:f>
        <x:v>8000</x:v>
      </x:c>
      <x:c r="F165" s="5" t="n">
        <x:f>'TeamHero生成'!F165</x:f>
        <x:v>17589</x:v>
      </x:c>
      <x:c r="G165" s="4" t="str">
        <x:f>'TeamHero生成'!AG165</x:f>
        <x:v>有效</x:v>
      </x:c>
      <x:c r="H165" s="4" t="n">
        <x:f>'TeamHero生成'!G165</x:f>
        <x:v>501660</x:v>
      </x:c>
      <x:c r="I165" s="4" t="n">
        <x:f>'TeamHero生成'!H165</x:f>
        <x:v>8964</x:v>
      </x:c>
      <x:c r="J165" s="4" t="n">
        <x:f>'TeamHero生成'!I165</x:f>
        <x:v>13010</x:v>
      </x:c>
    </x:row>
    <x:row r="166" ht="14.25" customHeight="1">
      <x:c r="A166" s="4" t="n">
        <x:f>'TeamHero生成'!A166</x:f>
        <x:v>162</x:v>
      </x:c>
      <x:c r="B166" s="4" t="n">
        <x:f>'TeamHero生成'!B166</x:f>
        <x:v>1001</x:v>
      </x:c>
      <x:c r="C166" s="4" t="n">
        <x:f>'TeamHero生成'!C166</x:f>
        <x:v>26</x:v>
      </x:c>
      <x:c r="D166" s="5" t="n">
        <x:f>'TeamHero生成'!D166</x:f>
        <x:v>305267</x:v>
      </x:c>
      <x:c r="E166" s="5" t="n">
        <x:f>'TeamHero生成'!E166</x:f>
        <x:v>9600</x:v>
      </x:c>
      <x:c r="F166" s="5" t="n">
        <x:f>'TeamHero生成'!F166</x:f>
        <x:v>11726</x:v>
      </x:c>
      <x:c r="G166" s="4" t="str">
        <x:f>'TeamHero生成'!AG166</x:f>
        <x:v>有效</x:v>
      </x:c>
      <x:c r="H166" s="4" t="n">
        <x:f>'TeamHero生成'!G166</x:f>
        <x:v>334440</x:v>
      </x:c>
      <x:c r="I166" s="4" t="n">
        <x:f>'TeamHero生成'!H166</x:f>
        <x:v>10756</x:v>
      </x:c>
      <x:c r="J166" s="4" t="n">
        <x:f>'TeamHero生成'!I166</x:f>
        <x:v>8673</x:v>
      </x:c>
    </x:row>
    <x:row r="167" ht="14.25" customHeight="1">
      <x:c r="A167" s="4" t="n">
        <x:f>'TeamHero生成'!A167</x:f>
        <x:v>163</x:v>
      </x:c>
      <x:c r="B167" s="4" t="n">
        <x:f>'TeamHero生成'!B167</x:f>
        <x:v>1035</x:v>
      </x:c>
      <x:c r="C167" s="4" t="n">
        <x:f>'TeamHero生成'!C167</x:f>
        <x:v>26</x:v>
      </x:c>
      <x:c r="D167" s="5" t="n">
        <x:f>'TeamHero生成'!D167</x:f>
        <x:v>305267</x:v>
      </x:c>
      <x:c r="E167" s="5" t="n">
        <x:f>'TeamHero生成'!E167</x:f>
        <x:v>9600</x:v>
      </x:c>
      <x:c r="F167" s="5" t="n">
        <x:f>'TeamHero生成'!F167</x:f>
        <x:v>11726</x:v>
      </x:c>
      <x:c r="G167" s="4" t="str">
        <x:f>'TeamHero生成'!AG167</x:f>
        <x:v>有效</x:v>
      </x:c>
      <x:c r="H167" s="4" t="n">
        <x:f>'TeamHero生成'!G167</x:f>
        <x:v>334440</x:v>
      </x:c>
      <x:c r="I167" s="4" t="n">
        <x:f>'TeamHero生成'!H167</x:f>
        <x:v>10756</x:v>
      </x:c>
      <x:c r="J167" s="4" t="n">
        <x:f>'TeamHero生成'!I167</x:f>
        <x:v>8673</x:v>
      </x:c>
    </x:row>
    <x:row r="168" ht="14.25" customHeight="1">
      <x:c r="A168" s="4" t="n">
        <x:f>'TeamHero生成'!A168</x:f>
        <x:v>164</x:v>
      </x:c>
      <x:c r="B168" s="4" t="n">
        <x:f>'TeamHero生成'!B168</x:f>
        <x:v>1018</x:v>
      </x:c>
      <x:c r="C168" s="4" t="n">
        <x:f>'TeamHero生成'!C168</x:f>
        <x:v>26</x:v>
      </x:c>
      <x:c r="D168" s="5" t="n">
        <x:f>'TeamHero生成'!D168</x:f>
        <x:v>381583</x:v>
      </x:c>
      <x:c r="E168" s="5" t="n">
        <x:f>'TeamHero生成'!E168</x:f>
        <x:v>8000</x:v>
      </x:c>
      <x:c r="F168" s="5" t="n">
        <x:f>'TeamHero生成'!F168</x:f>
        <x:v>14658</x:v>
      </x:c>
      <x:c r="G168" s="4" t="str">
        <x:f>'TeamHero生成'!AG168</x:f>
        <x:v>有效</x:v>
      </x:c>
      <x:c r="H168" s="4" t="n">
        <x:f>'TeamHero生成'!G168</x:f>
        <x:v>418050</x:v>
      </x:c>
      <x:c r="I168" s="4" t="n">
        <x:f>'TeamHero生成'!H168</x:f>
        <x:v>8964</x:v>
      </x:c>
      <x:c r="J168" s="4" t="n">
        <x:f>'TeamHero生成'!I168</x:f>
        <x:v>10842</x:v>
      </x:c>
    </x:row>
    <x:row r="169" ht="14.25" customHeight="1">
      <x:c r="A169" s="4" t="n">
        <x:f>'TeamHero生成'!A169</x:f>
        <x:v>165</x:v>
      </x:c>
      <x:c r="B169" s="4" t="n">
        <x:f>'TeamHero生成'!B169</x:f>
        <x:v>1012</x:v>
      </x:c>
      <x:c r="C169" s="4" t="n">
        <x:f>'TeamHero生成'!C169</x:f>
        <x:v>26</x:v>
      </x:c>
      <x:c r="D169" s="5" t="n">
        <x:f>'TeamHero生成'!D169</x:f>
        <x:v>381583</x:v>
      </x:c>
      <x:c r="E169" s="5" t="n">
        <x:f>'TeamHero生成'!E169</x:f>
        <x:v>8000</x:v>
      </x:c>
      <x:c r="F169" s="5" t="n">
        <x:f>'TeamHero生成'!F169</x:f>
        <x:v>14658</x:v>
      </x:c>
      <x:c r="G169" s="4" t="str">
        <x:f>'TeamHero生成'!AG169</x:f>
        <x:v>有效</x:v>
      </x:c>
      <x:c r="H169" s="4" t="n">
        <x:f>'TeamHero生成'!G169</x:f>
        <x:v>418050</x:v>
      </x:c>
      <x:c r="I169" s="4" t="n">
        <x:f>'TeamHero生成'!H169</x:f>
        <x:v>8964</x:v>
      </x:c>
      <x:c r="J169" s="4" t="n">
        <x:f>'TeamHero生成'!I169</x:f>
        <x:v>10842</x:v>
      </x:c>
    </x:row>
    <x:row r="170" ht="14.25" customHeight="1">
      <x:c r="A170" s="4" t="n">
        <x:f>'TeamHero生成'!A170</x:f>
        <x:v>166</x:v>
      </x:c>
      <x:c r="B170" s="4" t="n">
        <x:f>'TeamHero生成'!B170</x:f>
        <x:v>1002</x:v>
      </x:c>
      <x:c r="C170" s="4" t="n">
        <x:f>'TeamHero生成'!C170</x:f>
        <x:v>27</x:v>
      </x:c>
      <x:c r="D170" s="5" t="n">
        <x:f>'TeamHero生成'!D170</x:f>
        <x:v>490200</x:v>
      </x:c>
      <x:c r="E170" s="5" t="n">
        <x:f>'TeamHero生成'!E170</x:f>
        <x:v>8385</x:v>
      </x:c>
      <x:c r="F170" s="5" t="n">
        <x:f>'TeamHero生成'!F170</x:f>
        <x:v>18215</x:v>
      </x:c>
      <x:c r="G170" s="4" t="str">
        <x:f>'TeamHero生成'!AG170</x:f>
        <x:v>有效</x:v>
      </x:c>
      <x:c r="H170" s="4" t="n">
        <x:f>'TeamHero生成'!G170</x:f>
        <x:v>531583</x:v>
      </x:c>
      <x:c r="I170" s="4" t="n">
        <x:f>'TeamHero生成'!H170</x:f>
        <x:v>9308</x:v>
      </x:c>
      <x:c r="J170" s="4" t="n">
        <x:f>'TeamHero生成'!I170</x:f>
        <x:v>13442</x:v>
      </x:c>
    </x:row>
    <x:row r="171" ht="14.25" customHeight="1">
      <x:c r="A171" s="4" t="n">
        <x:f>'TeamHero生成'!A171</x:f>
        <x:v>167</x:v>
      </x:c>
      <x:c r="B171" s="4" t="n">
        <x:f>'TeamHero生成'!B171</x:f>
        <x:v>1021</x:v>
      </x:c>
      <x:c r="C171" s="4" t="n">
        <x:f>'TeamHero生成'!C171</x:f>
        <x:v>27</x:v>
      </x:c>
      <x:c r="D171" s="5" t="n">
        <x:f>'TeamHero生成'!D171</x:f>
        <x:v>326800</x:v>
      </x:c>
      <x:c r="E171" s="5" t="n">
        <x:f>'TeamHero生成'!E171</x:f>
        <x:v>10062</x:v>
      </x:c>
      <x:c r="F171" s="5" t="n">
        <x:f>'TeamHero生成'!F171</x:f>
        <x:v>12143</x:v>
      </x:c>
      <x:c r="G171" s="4" t="str">
        <x:f>'TeamHero生成'!AG171</x:f>
        <x:v>有效</x:v>
      </x:c>
      <x:c r="H171" s="4" t="n">
        <x:f>'TeamHero生成'!G171</x:f>
        <x:v>354388</x:v>
      </x:c>
      <x:c r="I171" s="4" t="n">
        <x:f>'TeamHero生成'!H171</x:f>
        <x:v>11169</x:v>
      </x:c>
      <x:c r="J171" s="4" t="n">
        <x:f>'TeamHero生成'!I171</x:f>
        <x:v>8961</x:v>
      </x:c>
    </x:row>
    <x:row r="172" ht="14.25" customHeight="1">
      <x:c r="A172" s="4" t="n">
        <x:f>'TeamHero生成'!A172</x:f>
        <x:v>168</x:v>
      </x:c>
      <x:c r="B172" s="4" t="n">
        <x:f>'TeamHero生成'!B172</x:f>
        <x:v>1020</x:v>
      </x:c>
      <x:c r="C172" s="4" t="n">
        <x:f>'TeamHero生成'!C172</x:f>
        <x:v>27</x:v>
      </x:c>
      <x:c r="D172" s="5" t="n">
        <x:f>'TeamHero生成'!D172</x:f>
        <x:v>408500</x:v>
      </x:c>
      <x:c r="E172" s="5" t="n">
        <x:f>'TeamHero生成'!E172</x:f>
        <x:v>8385</x:v>
      </x:c>
      <x:c r="F172" s="5" t="n">
        <x:f>'TeamHero生成'!F172</x:f>
        <x:v>15179</x:v>
      </x:c>
      <x:c r="G172" s="4" t="str">
        <x:f>'TeamHero生成'!AG172</x:f>
        <x:v>有效</x:v>
      </x:c>
      <x:c r="H172" s="4" t="n">
        <x:f>'TeamHero生成'!G172</x:f>
        <x:v>442986</x:v>
      </x:c>
      <x:c r="I172" s="4" t="n">
        <x:f>'TeamHero生成'!H172</x:f>
        <x:v>9308</x:v>
      </x:c>
      <x:c r="J172" s="4" t="n">
        <x:f>'TeamHero生成'!I172</x:f>
        <x:v>11202</x:v>
      </x:c>
    </x:row>
    <x:row r="173" ht="14.25" customHeight="1">
      <x:c r="A173" s="4" t="n">
        <x:f>'TeamHero生成'!A173</x:f>
        <x:v>169</x:v>
      </x:c>
      <x:c r="B173" s="4" t="n">
        <x:f>'TeamHero生成'!B173</x:f>
        <x:v>1015</x:v>
      </x:c>
      <x:c r="C173" s="4" t="n">
        <x:f>'TeamHero生成'!C173</x:f>
        <x:v>27</x:v>
      </x:c>
      <x:c r="D173" s="5" t="n">
        <x:f>'TeamHero生成'!D173</x:f>
        <x:v>408500</x:v>
      </x:c>
      <x:c r="E173" s="5" t="n">
        <x:f>'TeamHero生成'!E173</x:f>
        <x:v>8385</x:v>
      </x:c>
      <x:c r="F173" s="5" t="n">
        <x:f>'TeamHero生成'!F173</x:f>
        <x:v>15179</x:v>
      </x:c>
      <x:c r="G173" s="4" t="str">
        <x:f>'TeamHero生成'!AG173</x:f>
        <x:v>有效</x:v>
      </x:c>
      <x:c r="H173" s="4" t="n">
        <x:f>'TeamHero生成'!G173</x:f>
        <x:v>442986</x:v>
      </x:c>
      <x:c r="I173" s="4" t="n">
        <x:f>'TeamHero生成'!H173</x:f>
        <x:v>9308</x:v>
      </x:c>
      <x:c r="J173" s="4" t="n">
        <x:f>'TeamHero生成'!I173</x:f>
        <x:v>11202</x:v>
      </x:c>
    </x:row>
    <x:row r="174" ht="14.25" customHeight="1">
      <x:c r="A174" s="4" t="n">
        <x:f>'TeamHero生成'!A174</x:f>
        <x:v>170</x:v>
      </x:c>
      <x:c r="B174" s="4" t="n">
        <x:f>'TeamHero生成'!B174</x:f>
        <x:v>1024</x:v>
      </x:c>
      <x:c r="C174" s="4" t="n">
        <x:f>'TeamHero生成'!C174</x:f>
        <x:v>27</x:v>
      </x:c>
      <x:c r="D174" s="5" t="n">
        <x:f>'TeamHero生成'!D174</x:f>
        <x:v>326800</x:v>
      </x:c>
      <x:c r="E174" s="5" t="n">
        <x:f>'TeamHero生成'!E174</x:f>
        <x:v>10062</x:v>
      </x:c>
      <x:c r="F174" s="5" t="n">
        <x:f>'TeamHero生成'!F174</x:f>
        <x:v>12143</x:v>
      </x:c>
      <x:c r="G174" s="4" t="str">
        <x:f>'TeamHero生成'!AG174</x:f>
        <x:v>有效</x:v>
      </x:c>
      <x:c r="H174" s="4" t="n">
        <x:f>'TeamHero生成'!G174</x:f>
        <x:v>354388</x:v>
      </x:c>
      <x:c r="I174" s="4" t="n">
        <x:f>'TeamHero生成'!H174</x:f>
        <x:v>11169</x:v>
      </x:c>
      <x:c r="J174" s="4" t="n">
        <x:f>'TeamHero生成'!I174</x:f>
        <x:v>8961</x:v>
      </x:c>
    </x:row>
    <x:row r="175" ht="14.25" customHeight="1">
      <x:c r="A175" s="4" t="n">
        <x:f>'TeamHero生成'!A175</x:f>
        <x:v>171</x:v>
      </x:c>
      <x:c r="B175" s="4" t="n">
        <x:f>'TeamHero生成'!B175</x:f>
        <x:v>1030</x:v>
      </x:c>
      <x:c r="C175" s="4" t="n">
        <x:f>'TeamHero生成'!C175</x:f>
        <x:v>27</x:v>
      </x:c>
      <x:c r="D175" s="5" t="n">
        <x:f>'TeamHero生成'!D175</x:f>
        <x:v>515540</x:v>
      </x:c>
      <x:c r="E175" s="5" t="n">
        <x:f>'TeamHero生成'!E175</x:f>
        <x:v>8690</x:v>
      </x:c>
      <x:c r="F175" s="5" t="n">
        <x:f>'TeamHero生成'!F175</x:f>
        <x:v>18846</x:v>
      </x:c>
      <x:c r="G175" s="4" t="str">
        <x:f>'TeamHero生成'!AG175</x:f>
        <x:v>有效</x:v>
      </x:c>
      <x:c r="H175" s="4" t="n">
        <x:f>'TeamHero生成'!G175</x:f>
        <x:v>562716</x:v>
      </x:c>
      <x:c r="I175" s="4" t="n">
        <x:f>'TeamHero生成'!H175</x:f>
        <x:v>9659</x:v>
      </x:c>
      <x:c r="J175" s="4" t="n">
        <x:f>'TeamHero生成'!I175</x:f>
        <x:v>13880</x:v>
      </x:c>
    </x:row>
    <x:row r="176" ht="14.25" customHeight="1">
      <x:c r="A176" s="4" t="n">
        <x:f>'TeamHero生成'!A176</x:f>
        <x:v>172</x:v>
      </x:c>
      <x:c r="B176" s="4" t="n">
        <x:f>'TeamHero生成'!B176</x:f>
        <x:v>1021</x:v>
      </x:c>
      <x:c r="C176" s="4" t="n">
        <x:f>'TeamHero生成'!C176</x:f>
        <x:v>27</x:v>
      </x:c>
      <x:c r="D176" s="5" t="n">
        <x:f>'TeamHero生成'!D176</x:f>
        <x:v>343693</x:v>
      </x:c>
      <x:c r="E176" s="5" t="n">
        <x:f>'TeamHero生成'!E176</x:f>
        <x:v>10428</x:v>
      </x:c>
      <x:c r="F176" s="5" t="n">
        <x:f>'TeamHero生成'!F176</x:f>
        <x:v>12564</x:v>
      </x:c>
      <x:c r="G176" s="4" t="str">
        <x:f>'TeamHero生成'!AG176</x:f>
        <x:v>有效</x:v>
      </x:c>
      <x:c r="H176" s="4" t="n">
        <x:f>'TeamHero生成'!G176</x:f>
        <x:v>375144</x:v>
      </x:c>
      <x:c r="I176" s="4" t="n">
        <x:f>'TeamHero生成'!H176</x:f>
        <x:v>11590</x:v>
      </x:c>
      <x:c r="J176" s="4" t="n">
        <x:f>'TeamHero生成'!I176</x:f>
        <x:v>9253</x:v>
      </x:c>
    </x:row>
    <x:row r="177" ht="14.25" customHeight="1">
      <x:c r="A177" s="4" t="n">
        <x:f>'TeamHero生成'!A177</x:f>
        <x:v>173</x:v>
      </x:c>
      <x:c r="B177" s="4" t="n">
        <x:f>'TeamHero生成'!B177</x:f>
        <x:v>1029</x:v>
      </x:c>
      <x:c r="C177" s="4" t="n">
        <x:f>'TeamHero生成'!C177</x:f>
        <x:v>27</x:v>
      </x:c>
      <x:c r="D177" s="5" t="n">
        <x:f>'TeamHero生成'!D177</x:f>
        <x:v>429617</x:v>
      </x:c>
      <x:c r="E177" s="5" t="n">
        <x:f>'TeamHero生成'!E177</x:f>
        <x:v>8690</x:v>
      </x:c>
      <x:c r="F177" s="5" t="n">
        <x:f>'TeamHero生成'!F177</x:f>
        <x:v>15705</x:v>
      </x:c>
      <x:c r="G177" s="4" t="str">
        <x:f>'TeamHero生成'!AG177</x:f>
        <x:v>有效</x:v>
      </x:c>
      <x:c r="H177" s="4" t="n">
        <x:f>'TeamHero生成'!G177</x:f>
        <x:v>468930</x:v>
      </x:c>
      <x:c r="I177" s="4" t="n">
        <x:f>'TeamHero生成'!H177</x:f>
        <x:v>9659</x:v>
      </x:c>
      <x:c r="J177" s="4" t="n">
        <x:f>'TeamHero生成'!I177</x:f>
        <x:v>11567</x:v>
      </x:c>
    </x:row>
    <x:row r="178" ht="14.25" customHeight="1">
      <x:c r="A178" s="4" t="n">
        <x:f>'TeamHero生成'!A178</x:f>
        <x:v>174</x:v>
      </x:c>
      <x:c r="B178" s="4" t="n">
        <x:f>'TeamHero生成'!B178</x:f>
        <x:v>1020</x:v>
      </x:c>
      <x:c r="C178" s="4" t="n">
        <x:f>'TeamHero生成'!C178</x:f>
        <x:v>27</x:v>
      </x:c>
      <x:c r="D178" s="5" t="n">
        <x:f>'TeamHero生成'!D178</x:f>
        <x:v>429617</x:v>
      </x:c>
      <x:c r="E178" s="5" t="n">
        <x:f>'TeamHero生成'!E178</x:f>
        <x:v>8690</x:v>
      </x:c>
      <x:c r="F178" s="5" t="n">
        <x:f>'TeamHero生成'!F178</x:f>
        <x:v>15705</x:v>
      </x:c>
      <x:c r="G178" s="4" t="str">
        <x:f>'TeamHero生成'!AG178</x:f>
        <x:v>有效</x:v>
      </x:c>
      <x:c r="H178" s="4" t="n">
        <x:f>'TeamHero生成'!G178</x:f>
        <x:v>468930</x:v>
      </x:c>
      <x:c r="I178" s="4" t="n">
        <x:f>'TeamHero生成'!H178</x:f>
        <x:v>9659</x:v>
      </x:c>
      <x:c r="J178" s="4" t="n">
        <x:f>'TeamHero生成'!I178</x:f>
        <x:v>11567</x:v>
      </x:c>
    </x:row>
    <x:row r="179" ht="14.25" customHeight="1">
      <x:c r="A179" s="4" t="n">
        <x:f>'TeamHero生成'!A179</x:f>
        <x:v>175</x:v>
      </x:c>
      <x:c r="B179" s="4" t="n">
        <x:f>'TeamHero生成'!B179</x:f>
        <x:v>1018</x:v>
      </x:c>
      <x:c r="C179" s="4" t="n">
        <x:f>'TeamHero生成'!C179</x:f>
        <x:v>27</x:v>
      </x:c>
      <x:c r="D179" s="5" t="n">
        <x:f>'TeamHero生成'!D179</x:f>
        <x:v>429617</x:v>
      </x:c>
      <x:c r="E179" s="5" t="n">
        <x:f>'TeamHero生成'!E179</x:f>
        <x:v>8690</x:v>
      </x:c>
      <x:c r="F179" s="5" t="n">
        <x:f>'TeamHero生成'!F179</x:f>
        <x:v>15705</x:v>
      </x:c>
      <x:c r="G179" s="4" t="str">
        <x:f>'TeamHero生成'!AG179</x:f>
        <x:v>有效</x:v>
      </x:c>
      <x:c r="H179" s="4" t="n">
        <x:f>'TeamHero生成'!G179</x:f>
        <x:v>468930</x:v>
      </x:c>
      <x:c r="I179" s="4" t="n">
        <x:f>'TeamHero生成'!H179</x:f>
        <x:v>9659</x:v>
      </x:c>
      <x:c r="J179" s="4" t="n">
        <x:f>'TeamHero生成'!I179</x:f>
        <x:v>11567</x:v>
      </x:c>
    </x:row>
    <x:row r="180" ht="14.25" customHeight="1">
      <x:c r="A180" s="4" t="n">
        <x:f>'TeamHero生成'!A180</x:f>
        <x:v>176</x:v>
      </x:c>
      <x:c r="B180" s="4" t="n">
        <x:f>'TeamHero生成'!B180</x:f>
        <x:v>1030</x:v>
      </x:c>
      <x:c r="C180" s="4" t="n">
        <x:f>'TeamHero生成'!C180</x:f>
        <x:v>28</x:v>
      </x:c>
      <x:c r="D180" s="5" t="n">
        <x:f>'TeamHero生成'!D180</x:f>
        <x:v>553548</x:v>
      </x:c>
      <x:c r="E180" s="5" t="n">
        <x:f>'TeamHero生成'!E180</x:f>
        <x:v>9124</x:v>
      </x:c>
      <x:c r="F180" s="5" t="n">
        <x:f>'TeamHero生成'!F180</x:f>
        <x:v>19482</x:v>
      </x:c>
      <x:c r="G180" s="4" t="str">
        <x:f>'TeamHero生成'!AG180</x:f>
        <x:v>有效</x:v>
      </x:c>
      <x:c r="H180" s="4" t="n">
        <x:f>'TeamHero生成'!G180</x:f>
        <x:v>595094</x:v>
      </x:c>
      <x:c r="I180" s="4" t="n">
        <x:f>'TeamHero生成'!H180</x:f>
        <x:v>10018</x:v>
      </x:c>
      <x:c r="J180" s="4" t="n">
        <x:f>'TeamHero生成'!I180</x:f>
        <x:v>14322</x:v>
      </x:c>
    </x:row>
    <x:row r="181" ht="14.25" customHeight="1">
      <x:c r="A181" s="4" t="n">
        <x:f>'TeamHero生成'!A181</x:f>
        <x:v>177</x:v>
      </x:c>
      <x:c r="B181" s="4" t="n">
        <x:f>'TeamHero生成'!B181</x:f>
        <x:v>1024</x:v>
      </x:c>
      <x:c r="C181" s="4" t="n">
        <x:f>'TeamHero生成'!C181</x:f>
        <x:v>28</x:v>
      </x:c>
      <x:c r="D181" s="5" t="n">
        <x:f>'TeamHero生成'!D181</x:f>
        <x:v>369032</x:v>
      </x:c>
      <x:c r="E181" s="5" t="n">
        <x:f>'TeamHero生成'!E181</x:f>
        <x:v>10949</x:v>
      </x:c>
      <x:c r="F181" s="5" t="n">
        <x:f>'TeamHero生成'!F181</x:f>
        <x:v>12988</x:v>
      </x:c>
      <x:c r="G181" s="4" t="str">
        <x:f>'TeamHero生成'!AG181</x:f>
        <x:v>有效</x:v>
      </x:c>
      <x:c r="H181" s="4" t="n">
        <x:f>'TeamHero生成'!G181</x:f>
        <x:v>396729</x:v>
      </x:c>
      <x:c r="I181" s="4" t="n">
        <x:f>'TeamHero生成'!H181</x:f>
        <x:v>12021</x:v>
      </x:c>
      <x:c r="J181" s="4" t="n">
        <x:f>'TeamHero生成'!I181</x:f>
        <x:v>9548</x:v>
      </x:c>
    </x:row>
    <x:row r="182" ht="14.25" customHeight="1">
      <x:c r="A182" s="4" t="n">
        <x:f>'TeamHero生成'!A182</x:f>
        <x:v>178</x:v>
      </x:c>
      <x:c r="B182" s="4" t="n">
        <x:f>'TeamHero生成'!B182</x:f>
        <x:v>1018</x:v>
      </x:c>
      <x:c r="C182" s="4" t="n">
        <x:f>'TeamHero生成'!C182</x:f>
        <x:v>28</x:v>
      </x:c>
      <x:c r="D182" s="5" t="n">
        <x:f>'TeamHero生成'!D182</x:f>
        <x:v>461290</x:v>
      </x:c>
      <x:c r="E182" s="5" t="n">
        <x:f>'TeamHero生成'!E182</x:f>
        <x:v>9124</x:v>
      </x:c>
      <x:c r="F182" s="5" t="n">
        <x:f>'TeamHero生成'!F182</x:f>
        <x:v>16235</x:v>
      </x:c>
      <x:c r="G182" s="4" t="str">
        <x:f>'TeamHero生成'!AG182</x:f>
        <x:v>有效</x:v>
      </x:c>
      <x:c r="H182" s="4" t="n">
        <x:f>'TeamHero生成'!G182</x:f>
        <x:v>495912</x:v>
      </x:c>
      <x:c r="I182" s="4" t="n">
        <x:f>'TeamHero生成'!H182</x:f>
        <x:v>10018</x:v>
      </x:c>
      <x:c r="J182" s="4" t="n">
        <x:f>'TeamHero生成'!I182</x:f>
        <x:v>11935</x:v>
      </x:c>
    </x:row>
    <x:row r="183" ht="14.25" customHeight="1">
      <x:c r="A183" s="4" t="n">
        <x:f>'TeamHero生成'!A183</x:f>
        <x:v>179</x:v>
      </x:c>
      <x:c r="B183" s="4" t="n">
        <x:f>'TeamHero生成'!B183</x:f>
        <x:v>1011</x:v>
      </x:c>
      <x:c r="C183" s="4" t="n">
        <x:f>'TeamHero生成'!C183</x:f>
        <x:v>28</x:v>
      </x:c>
      <x:c r="D183" s="5" t="n">
        <x:f>'TeamHero生成'!D183</x:f>
        <x:v>461290</x:v>
      </x:c>
      <x:c r="E183" s="5" t="n">
        <x:f>'TeamHero生成'!E183</x:f>
        <x:v>9124</x:v>
      </x:c>
      <x:c r="F183" s="5" t="n">
        <x:f>'TeamHero生成'!F183</x:f>
        <x:v>16235</x:v>
      </x:c>
      <x:c r="G183" s="4" t="str">
        <x:f>'TeamHero生成'!AG183</x:f>
        <x:v>有效</x:v>
      </x:c>
      <x:c r="H183" s="4" t="n">
        <x:f>'TeamHero生成'!G183</x:f>
        <x:v>495912</x:v>
      </x:c>
      <x:c r="I183" s="4" t="n">
        <x:f>'TeamHero生成'!H183</x:f>
        <x:v>10018</x:v>
      </x:c>
      <x:c r="J183" s="4" t="n">
        <x:f>'TeamHero生成'!I183</x:f>
        <x:v>11935</x:v>
      </x:c>
    </x:row>
    <x:row r="184" ht="14.25" customHeight="1">
      <x:c r="A184" s="4" t="n">
        <x:f>'TeamHero生成'!A184</x:f>
        <x:v>180</x:v>
      </x:c>
      <x:c r="B184" s="4" t="n">
        <x:f>'TeamHero生成'!B184</x:f>
        <x:v>1021</x:v>
      </x:c>
      <x:c r="C184" s="4" t="n">
        <x:f>'TeamHero生成'!C184</x:f>
        <x:v>28</x:v>
      </x:c>
      <x:c r="D184" s="5" t="n">
        <x:f>'TeamHero生成'!D184</x:f>
        <x:v>369032</x:v>
      </x:c>
      <x:c r="E184" s="5" t="n">
        <x:f>'TeamHero生成'!E184</x:f>
        <x:v>10949</x:v>
      </x:c>
      <x:c r="F184" s="5" t="n">
        <x:f>'TeamHero生成'!F184</x:f>
        <x:v>12988</x:v>
      </x:c>
      <x:c r="G184" s="4" t="str">
        <x:f>'TeamHero生成'!AG184</x:f>
        <x:v>有效</x:v>
      </x:c>
      <x:c r="H184" s="4" t="n">
        <x:f>'TeamHero生成'!G184</x:f>
        <x:v>396729</x:v>
      </x:c>
      <x:c r="I184" s="4" t="n">
        <x:f>'TeamHero生成'!H184</x:f>
        <x:v>12021</x:v>
      </x:c>
      <x:c r="J184" s="4" t="n">
        <x:f>'TeamHero生成'!I184</x:f>
        <x:v>9548</x:v>
      </x:c>
    </x:row>
    <x:row r="185" ht="14.25" customHeight="1">
      <x:c r="A185" s="4" t="n">
        <x:f>'TeamHero生成'!A185</x:f>
        <x:v>181</x:v>
      </x:c>
      <x:c r="B185" s="4" t="n">
        <x:f>'TeamHero生成'!B185</x:f>
        <x:v>1002</x:v>
      </x:c>
      <x:c r="C185" s="4" t="n">
        <x:f>'TeamHero生成'!C185</x:f>
        <x:v>28</x:v>
      </x:c>
      <x:c r="D185" s="5" t="n">
        <x:f>'TeamHero生成'!D185</x:f>
        <x:v>585948</x:v>
      </x:c>
      <x:c r="E185" s="5" t="n">
        <x:f>'TeamHero生成'!E185</x:f>
        <x:v>9475</x:v>
      </x:c>
      <x:c r="F185" s="5" t="n">
        <x:f>'TeamHero生成'!F185</x:f>
        <x:v>20126</x:v>
      </x:c>
      <x:c r="G185" s="4" t="str">
        <x:f>'TeamHero生成'!AG185</x:f>
        <x:v>有效</x:v>
      </x:c>
      <x:c r="H185" s="4" t="n">
        <x:f>'TeamHero生成'!G185</x:f>
        <x:v>628754</x:v>
      </x:c>
      <x:c r="I185" s="4" t="n">
        <x:f>'TeamHero生成'!H185</x:f>
        <x:v>10384</x:v>
      </x:c>
      <x:c r="J185" s="4" t="n">
        <x:f>'TeamHero生成'!I185</x:f>
        <x:v>14767</x:v>
      </x:c>
    </x:row>
    <x:row r="186" ht="14.25" customHeight="1">
      <x:c r="A186" s="4" t="n">
        <x:f>'TeamHero生成'!A186</x:f>
        <x:v>182</x:v>
      </x:c>
      <x:c r="B186" s="4" t="n">
        <x:f>'TeamHero生成'!B186</x:f>
        <x:v>1030</x:v>
      </x:c>
      <x:c r="C186" s="4" t="n">
        <x:f>'TeamHero生成'!C186</x:f>
        <x:v>28</x:v>
      </x:c>
      <x:c r="D186" s="5" t="n">
        <x:f>'TeamHero生成'!D186</x:f>
        <x:v>585948</x:v>
      </x:c>
      <x:c r="E186" s="5" t="n">
        <x:f>'TeamHero生成'!E186</x:f>
        <x:v>9475</x:v>
      </x:c>
      <x:c r="F186" s="5" t="n">
        <x:f>'TeamHero生成'!F186</x:f>
        <x:v>20126</x:v>
      </x:c>
      <x:c r="G186" s="4" t="str">
        <x:f>'TeamHero生成'!AG186</x:f>
        <x:v>有效</x:v>
      </x:c>
      <x:c r="H186" s="4" t="n">
        <x:f>'TeamHero生成'!G186</x:f>
        <x:v>628754</x:v>
      </x:c>
      <x:c r="I186" s="4" t="n">
        <x:f>'TeamHero生成'!H186</x:f>
        <x:v>10384</x:v>
      </x:c>
      <x:c r="J186" s="4" t="n">
        <x:f>'TeamHero生成'!I186</x:f>
        <x:v>14767</x:v>
      </x:c>
    </x:row>
    <x:row r="187" ht="14.25" customHeight="1">
      <x:c r="A187" s="4" t="n">
        <x:f>'TeamHero生成'!A187</x:f>
        <x:v>183</x:v>
      </x:c>
      <x:c r="B187" s="4" t="n">
        <x:f>'TeamHero生成'!B187</x:f>
        <x:v>1021</x:v>
      </x:c>
      <x:c r="C187" s="4" t="n">
        <x:f>'TeamHero生成'!C187</x:f>
        <x:v>28</x:v>
      </x:c>
      <x:c r="D187" s="5" t="n">
        <x:f>'TeamHero生成'!D187</x:f>
        <x:v>390632</x:v>
      </x:c>
      <x:c r="E187" s="5" t="n">
        <x:f>'TeamHero生成'!E187</x:f>
        <x:v>11370</x:v>
      </x:c>
      <x:c r="F187" s="5" t="n">
        <x:f>'TeamHero生成'!F187</x:f>
        <x:v>13417</x:v>
      </x:c>
      <x:c r="G187" s="4" t="str">
        <x:f>'TeamHero生成'!AG187</x:f>
        <x:v>有效</x:v>
      </x:c>
      <x:c r="H187" s="4" t="n">
        <x:f>'TeamHero生成'!G187</x:f>
        <x:v>419169</x:v>
      </x:c>
      <x:c r="I187" s="4" t="n">
        <x:f>'TeamHero生成'!H187</x:f>
        <x:v>12460</x:v>
      </x:c>
      <x:c r="J187" s="4" t="n">
        <x:f>'TeamHero生成'!I187</x:f>
        <x:v>9844</x:v>
      </x:c>
    </x:row>
    <x:row r="188" ht="14.25" customHeight="1">
      <x:c r="A188" s="4" t="n">
        <x:f>'TeamHero生成'!A188</x:f>
        <x:v>184</x:v>
      </x:c>
      <x:c r="B188" s="4" t="n">
        <x:f>'TeamHero生成'!B188</x:f>
        <x:v>1020</x:v>
      </x:c>
      <x:c r="C188" s="4" t="n">
        <x:f>'TeamHero生成'!C188</x:f>
        <x:v>28</x:v>
      </x:c>
      <x:c r="D188" s="5" t="n">
        <x:f>'TeamHero生成'!D188</x:f>
        <x:v>488290</x:v>
      </x:c>
      <x:c r="E188" s="5" t="n">
        <x:f>'TeamHero生成'!E188</x:f>
        <x:v>9475</x:v>
      </x:c>
      <x:c r="F188" s="5" t="n">
        <x:f>'TeamHero生成'!F188</x:f>
        <x:v>16771</x:v>
      </x:c>
      <x:c r="G188" s="4" t="str">
        <x:f>'TeamHero生成'!AG188</x:f>
        <x:v>有效</x:v>
      </x:c>
      <x:c r="H188" s="4" t="n">
        <x:f>'TeamHero生成'!G188</x:f>
        <x:v>523962</x:v>
      </x:c>
      <x:c r="I188" s="4" t="n">
        <x:f>'TeamHero生成'!H188</x:f>
        <x:v>10384</x:v>
      </x:c>
      <x:c r="J188" s="4" t="n">
        <x:f>'TeamHero生成'!I188</x:f>
        <x:v>12306</x:v>
      </x:c>
    </x:row>
    <x:row r="189" ht="14.25" customHeight="1">
      <x:c r="A189" s="4" t="n">
        <x:f>'TeamHero生成'!A189</x:f>
        <x:v>185</x:v>
      </x:c>
      <x:c r="B189" s="4" t="n">
        <x:f>'TeamHero生成'!B189</x:f>
        <x:v>1020</x:v>
      </x:c>
      <x:c r="C189" s="4" t="n">
        <x:f>'TeamHero生成'!C189</x:f>
        <x:v>28</x:v>
      </x:c>
      <x:c r="D189" s="5" t="n">
        <x:f>'TeamHero生成'!D189</x:f>
        <x:v>488290</x:v>
      </x:c>
      <x:c r="E189" s="5" t="n">
        <x:f>'TeamHero生成'!E189</x:f>
        <x:v>9475</x:v>
      </x:c>
      <x:c r="F189" s="5" t="n">
        <x:f>'TeamHero生成'!F189</x:f>
        <x:v>16771</x:v>
      </x:c>
      <x:c r="G189" s="4" t="str">
        <x:f>'TeamHero生成'!AG189</x:f>
        <x:v>有效</x:v>
      </x:c>
      <x:c r="H189" s="4" t="n">
        <x:f>'TeamHero生成'!G189</x:f>
        <x:v>523962</x:v>
      </x:c>
      <x:c r="I189" s="4" t="n">
        <x:f>'TeamHero生成'!H189</x:f>
        <x:v>10384</x:v>
      </x:c>
      <x:c r="J189" s="4" t="n">
        <x:f>'TeamHero生成'!I189</x:f>
        <x:v>12306</x:v>
      </x:c>
    </x:row>
    <x:row r="190" ht="14.25" customHeight="1">
      <x:c r="A190" s="4" t="n">
        <x:f>'TeamHero生成'!A190</x:f>
        <x:v>186</x:v>
      </x:c>
      <x:c r="B190" s="4" t="n">
        <x:f>'TeamHero生成'!B190</x:f>
        <x:v>1002</x:v>
      </x:c>
      <x:c r="C190" s="4" t="n">
        <x:f>'TeamHero生成'!C190</x:f>
        <x:v>29</x:v>
      </x:c>
      <x:c r="D190" s="5" t="n">
        <x:f>'TeamHero生成'!D190</x:f>
        <x:v>618932</x:v>
      </x:c>
      <x:c r="E190" s="5" t="n">
        <x:f>'TeamHero生成'!E190</x:f>
        <x:v>9899</x:v>
      </x:c>
      <x:c r="F190" s="5" t="n">
        <x:f>'TeamHero生成'!F190</x:f>
        <x:v>20772</x:v>
      </x:c>
      <x:c r="G190" s="4" t="str">
        <x:f>'TeamHero生成'!AG190</x:f>
        <x:v>有效</x:v>
      </x:c>
      <x:c r="H190" s="4" t="n">
        <x:f>'TeamHero生成'!G190</x:f>
        <x:v>663724</x:v>
      </x:c>
      <x:c r="I190" s="4" t="n">
        <x:f>'TeamHero生成'!H190</x:f>
        <x:v>10757</x:v>
      </x:c>
      <x:c r="J190" s="4" t="n">
        <x:f>'TeamHero生成'!I190</x:f>
        <x:v>15217</x:v>
      </x:c>
    </x:row>
    <x:row r="191" ht="14.25" customHeight="1">
      <x:c r="A191" s="4" t="n">
        <x:f>'TeamHero生成'!A191</x:f>
        <x:v>187</x:v>
      </x:c>
      <x:c r="B191" s="4" t="n">
        <x:f>'TeamHero生成'!B191</x:f>
        <x:v>1001</x:v>
      </x:c>
      <x:c r="C191" s="4" t="n">
        <x:f>'TeamHero生成'!C191</x:f>
        <x:v>29</x:v>
      </x:c>
      <x:c r="D191" s="5" t="n">
        <x:f>'TeamHero生成'!D191</x:f>
        <x:v>412621</x:v>
      </x:c>
      <x:c r="E191" s="5" t="n">
        <x:f>'TeamHero生成'!E191</x:f>
        <x:v>11879</x:v>
      </x:c>
      <x:c r="F191" s="5" t="n">
        <x:f>'TeamHero生成'!F191</x:f>
        <x:v>13848</x:v>
      </x:c>
      <x:c r="G191" s="4" t="str">
        <x:f>'TeamHero生成'!AG191</x:f>
        <x:v>有效</x:v>
      </x:c>
      <x:c r="H191" s="4" t="n">
        <x:f>'TeamHero生成'!G191</x:f>
        <x:v>442483</x:v>
      </x:c>
      <x:c r="I191" s="4" t="n">
        <x:f>'TeamHero生成'!H191</x:f>
        <x:v>12908</x:v>
      </x:c>
      <x:c r="J191" s="4" t="n">
        <x:f>'TeamHero生成'!I191</x:f>
        <x:v>10144</x:v>
      </x:c>
    </x:row>
    <x:row r="192" ht="14.25" customHeight="1">
      <x:c r="A192" s="4" t="n">
        <x:f>'TeamHero生成'!A192</x:f>
        <x:v>188</x:v>
      </x:c>
      <x:c r="B192" s="4" t="n">
        <x:f>'TeamHero生成'!B192</x:f>
        <x:v>1001</x:v>
      </x:c>
      <x:c r="C192" s="4" t="n">
        <x:f>'TeamHero生成'!C192</x:f>
        <x:v>29</x:v>
      </x:c>
      <x:c r="D192" s="5" t="n">
        <x:f>'TeamHero生成'!D192</x:f>
        <x:v>412621</x:v>
      </x:c>
      <x:c r="E192" s="5" t="n">
        <x:f>'TeamHero生成'!E192</x:f>
        <x:v>11879</x:v>
      </x:c>
      <x:c r="F192" s="5" t="n">
        <x:f>'TeamHero生成'!F192</x:f>
        <x:v>13848</x:v>
      </x:c>
      <x:c r="G192" s="4" t="str">
        <x:f>'TeamHero生成'!AG192</x:f>
        <x:v>有效</x:v>
      </x:c>
      <x:c r="H192" s="4" t="n">
        <x:f>'TeamHero生成'!G192</x:f>
        <x:v>442483</x:v>
      </x:c>
      <x:c r="I192" s="4" t="n">
        <x:f>'TeamHero生成'!H192</x:f>
        <x:v>12908</x:v>
      </x:c>
      <x:c r="J192" s="4" t="n">
        <x:f>'TeamHero生成'!I192</x:f>
        <x:v>10144</x:v>
      </x:c>
    </x:row>
    <x:row r="193" ht="14.25" customHeight="1">
      <x:c r="A193" s="4" t="n">
        <x:f>'TeamHero生成'!A193</x:f>
        <x:v>189</x:v>
      </x:c>
      <x:c r="B193" s="4" t="n">
        <x:f>'TeamHero生成'!B193</x:f>
        <x:v>1021</x:v>
      </x:c>
      <x:c r="C193" s="4" t="n">
        <x:f>'TeamHero生成'!C193</x:f>
        <x:v>29</x:v>
      </x:c>
      <x:c r="D193" s="5" t="n">
        <x:f>'TeamHero生成'!D193</x:f>
        <x:v>412621</x:v>
      </x:c>
      <x:c r="E193" s="5" t="n">
        <x:f>'TeamHero生成'!E193</x:f>
        <x:v>11879</x:v>
      </x:c>
      <x:c r="F193" s="5" t="n">
        <x:f>'TeamHero生成'!F193</x:f>
        <x:v>13848</x:v>
      </x:c>
      <x:c r="G193" s="4" t="str">
        <x:f>'TeamHero生成'!AG193</x:f>
        <x:v>有效</x:v>
      </x:c>
      <x:c r="H193" s="4" t="n">
        <x:f>'TeamHero生成'!G193</x:f>
        <x:v>442483</x:v>
      </x:c>
      <x:c r="I193" s="4" t="n">
        <x:f>'TeamHero生成'!H193</x:f>
        <x:v>12908</x:v>
      </x:c>
      <x:c r="J193" s="4" t="n">
        <x:f>'TeamHero生成'!I193</x:f>
        <x:v>10144</x:v>
      </x:c>
    </x:row>
    <x:row r="194" ht="14.25" customHeight="1">
      <x:c r="A194" s="4" t="n">
        <x:f>'TeamHero生成'!A194</x:f>
        <x:v>190</x:v>
      </x:c>
      <x:c r="B194" s="4" t="n">
        <x:f>'TeamHero生成'!B194</x:f>
        <x:v>1012</x:v>
      </x:c>
      <x:c r="C194" s="4" t="n">
        <x:f>'TeamHero生成'!C194</x:f>
        <x:v>29</x:v>
      </x:c>
      <x:c r="D194" s="5" t="n">
        <x:f>'TeamHero生成'!D194</x:f>
        <x:v>515777</x:v>
      </x:c>
      <x:c r="E194" s="5" t="n">
        <x:f>'TeamHero生成'!E194</x:f>
        <x:v>9899</x:v>
      </x:c>
      <x:c r="F194" s="5" t="n">
        <x:f>'TeamHero生成'!F194</x:f>
        <x:v>17310</x:v>
      </x:c>
      <x:c r="G194" s="4" t="str">
        <x:f>'TeamHero生成'!AG194</x:f>
        <x:v>有效</x:v>
      </x:c>
      <x:c r="H194" s="4" t="n">
        <x:f>'TeamHero生成'!G194</x:f>
        <x:v>553104</x:v>
      </x:c>
      <x:c r="I194" s="4" t="n">
        <x:f>'TeamHero生成'!H194</x:f>
        <x:v>10757</x:v>
      </x:c>
      <x:c r="J194" s="4" t="n">
        <x:f>'TeamHero生成'!I194</x:f>
        <x:v>12681</x:v>
      </x:c>
    </x:row>
    <x:row r="195" ht="14.25" customHeight="1">
      <x:c r="A195" s="4" t="n">
        <x:f>'TeamHero生成'!A195</x:f>
        <x:v>191</x:v>
      </x:c>
      <x:c r="B195" s="4" t="n">
        <x:f>'TeamHero生成'!B195</x:f>
        <x:v>1002</x:v>
      </x:c>
      <x:c r="C195" s="4" t="n">
        <x:f>'TeamHero生成'!C195</x:f>
        <x:v>29</x:v>
      </x:c>
      <x:c r="D195" s="5" t="n">
        <x:f>'TeamHero生成'!D195</x:f>
        <x:v>659945</x:v>
      </x:c>
      <x:c r="E195" s="5" t="n">
        <x:f>'TeamHero生成'!E195</x:f>
        <x:v>10349</x:v>
      </x:c>
      <x:c r="F195" s="5" t="n">
        <x:f>'TeamHero生成'!F195</x:f>
        <x:v>21426</x:v>
      </x:c>
      <x:c r="G195" s="4" t="str">
        <x:f>'TeamHero生成'!AG195</x:f>
        <x:v>有效</x:v>
      </x:c>
      <x:c r="H195" s="4" t="n">
        <x:f>'TeamHero生成'!G195</x:f>
        <x:v>700034</x:v>
      </x:c>
      <x:c r="I195" s="4" t="n">
        <x:f>'TeamHero生成'!H195</x:f>
        <x:v>11137</x:v>
      </x:c>
      <x:c r="J195" s="4" t="n">
        <x:f>'TeamHero生成'!I195</x:f>
        <x:v>15672</x:v>
      </x:c>
    </x:row>
    <x:row r="196" ht="14.25" customHeight="1">
      <x:c r="A196" s="4" t="n">
        <x:f>'TeamHero生成'!A196</x:f>
        <x:v>192</x:v>
      </x:c>
      <x:c r="B196" s="4" t="n">
        <x:f>'TeamHero生成'!B196</x:f>
        <x:v>1002</x:v>
      </x:c>
      <x:c r="C196" s="4" t="n">
        <x:f>'TeamHero生成'!C196</x:f>
        <x:v>29</x:v>
      </x:c>
      <x:c r="D196" s="5" t="n">
        <x:f>'TeamHero生成'!D196</x:f>
        <x:v>659945</x:v>
      </x:c>
      <x:c r="E196" s="5" t="n">
        <x:f>'TeamHero生成'!E196</x:f>
        <x:v>10349</x:v>
      </x:c>
      <x:c r="F196" s="5" t="n">
        <x:f>'TeamHero生成'!F196</x:f>
        <x:v>21426</x:v>
      </x:c>
      <x:c r="G196" s="4" t="str">
        <x:f>'TeamHero生成'!AG196</x:f>
        <x:v>有效</x:v>
      </x:c>
      <x:c r="H196" s="4" t="n">
        <x:f>'TeamHero生成'!G196</x:f>
        <x:v>700034</x:v>
      </x:c>
      <x:c r="I196" s="4" t="n">
        <x:f>'TeamHero生成'!H196</x:f>
        <x:v>11137</x:v>
      </x:c>
      <x:c r="J196" s="4" t="n">
        <x:f>'TeamHero生成'!I196</x:f>
        <x:v>15672</x:v>
      </x:c>
    </x:row>
    <x:row r="197" ht="14.25" customHeight="1">
      <x:c r="A197" s="4" t="n">
        <x:f>'TeamHero生成'!A197</x:f>
        <x:v>193</x:v>
      </x:c>
      <x:c r="B197" s="4" t="n">
        <x:f>'TeamHero生成'!B197</x:f>
        <x:v>1024</x:v>
      </x:c>
      <x:c r="C197" s="4" t="n">
        <x:f>'TeamHero生成'!C197</x:f>
        <x:v>29</x:v>
      </x:c>
      <x:c r="D197" s="5" t="n">
        <x:f>'TeamHero生成'!D197</x:f>
        <x:v>439963</x:v>
      </x:c>
      <x:c r="E197" s="5" t="n">
        <x:f>'TeamHero生成'!E197</x:f>
        <x:v>12418</x:v>
      </x:c>
      <x:c r="F197" s="5" t="n">
        <x:f>'TeamHero生成'!F197</x:f>
        <x:v>14284</x:v>
      </x:c>
      <x:c r="G197" s="4" t="str">
        <x:f>'TeamHero生成'!AG197</x:f>
        <x:v>有效</x:v>
      </x:c>
      <x:c r="H197" s="4" t="n">
        <x:f>'TeamHero生成'!G197</x:f>
        <x:v>466689</x:v>
      </x:c>
      <x:c r="I197" s="4" t="n">
        <x:f>'TeamHero生成'!H197</x:f>
        <x:v>13364</x:v>
      </x:c>
      <x:c r="J197" s="4" t="n">
        <x:f>'TeamHero生成'!I197</x:f>
        <x:v>10448</x:v>
      </x:c>
    </x:row>
    <x:row r="198" ht="14.25" customHeight="1">
      <x:c r="A198" s="4" t="n">
        <x:f>'TeamHero生成'!A198</x:f>
        <x:v>194</x:v>
      </x:c>
      <x:c r="B198" s="4" t="n">
        <x:f>'TeamHero生成'!B198</x:f>
        <x:v>1021</x:v>
      </x:c>
      <x:c r="C198" s="4" t="n">
        <x:f>'TeamHero生成'!C198</x:f>
        <x:v>29</x:v>
      </x:c>
      <x:c r="D198" s="5" t="n">
        <x:f>'TeamHero生成'!D198</x:f>
        <x:v>439963</x:v>
      </x:c>
      <x:c r="E198" s="5" t="n">
        <x:f>'TeamHero生成'!E198</x:f>
        <x:v>12418</x:v>
      </x:c>
      <x:c r="F198" s="5" t="n">
        <x:f>'TeamHero生成'!F198</x:f>
        <x:v>14284</x:v>
      </x:c>
      <x:c r="G198" s="4" t="str">
        <x:f>'TeamHero生成'!AG198</x:f>
        <x:v>有效</x:v>
      </x:c>
      <x:c r="H198" s="4" t="n">
        <x:f>'TeamHero生成'!G198</x:f>
        <x:v>466689</x:v>
      </x:c>
      <x:c r="I198" s="4" t="n">
        <x:f>'TeamHero生成'!H198</x:f>
        <x:v>13364</x:v>
      </x:c>
      <x:c r="J198" s="4" t="n">
        <x:f>'TeamHero生成'!I198</x:f>
        <x:v>10448</x:v>
      </x:c>
    </x:row>
    <x:row r="199" ht="14.25" customHeight="1">
      <x:c r="A199" s="4" t="n">
        <x:f>'TeamHero生成'!A199</x:f>
        <x:v>195</x:v>
      </x:c>
      <x:c r="B199" s="4" t="n">
        <x:f>'TeamHero生成'!B199</x:f>
        <x:v>1026</x:v>
      </x:c>
      <x:c r="C199" s="4" t="n">
        <x:f>'TeamHero生成'!C199</x:f>
        <x:v>29</x:v>
      </x:c>
      <x:c r="D199" s="5" t="n">
        <x:f>'TeamHero生成'!D199</x:f>
        <x:v>439963</x:v>
      </x:c>
      <x:c r="E199" s="5" t="n">
        <x:f>'TeamHero生成'!E199</x:f>
        <x:v>12418</x:v>
      </x:c>
      <x:c r="F199" s="5" t="n">
        <x:f>'TeamHero生成'!F199</x:f>
        <x:v>14284</x:v>
      </x:c>
      <x:c r="G199" s="4" t="str">
        <x:f>'TeamHero生成'!AG199</x:f>
        <x:v>有效</x:v>
      </x:c>
      <x:c r="H199" s="4" t="n">
        <x:f>'TeamHero生成'!G199</x:f>
        <x:v>466689</x:v>
      </x:c>
      <x:c r="I199" s="4" t="n">
        <x:f>'TeamHero生成'!H199</x:f>
        <x:v>13364</x:v>
      </x:c>
      <x:c r="J199" s="4" t="n">
        <x:f>'TeamHero生成'!I199</x:f>
        <x:v>10448</x:v>
      </x:c>
    </x:row>
    <x:row r="200" ht="14.25" customHeight="1">
      <x:c r="A200" s="4" t="n">
        <x:f>'TeamHero生成'!A200</x:f>
        <x:v>196</x:v>
      </x:c>
      <x:c r="B200" s="4" t="n">
        <x:f>'TeamHero生成'!B200</x:f>
        <x:v>1002</x:v>
      </x:c>
      <x:c r="C200" s="4" t="n">
        <x:f>'TeamHero生成'!C200</x:f>
        <x:v>30</x:v>
      </x:c>
      <x:c r="D200" s="5" t="n">
        <x:f>'TeamHero生成'!D200</x:f>
        <x:v>690988</x:v>
      </x:c>
      <x:c r="E200" s="5" t="n">
        <x:f>'TeamHero生成'!E200</x:f>
        <x:v>10710</x:v>
      </x:c>
      <x:c r="F200" s="5" t="n">
        <x:f>'TeamHero生成'!F200</x:f>
        <x:v>22085</x:v>
      </x:c>
      <x:c r="G200" s="4" t="str">
        <x:f>'TeamHero生成'!AG200</x:f>
        <x:v>有效</x:v>
      </x:c>
      <x:c r="H200" s="4" t="n">
        <x:f>'TeamHero生成'!G200</x:f>
        <x:v>737719</x:v>
      </x:c>
      <x:c r="I200" s="4" t="n">
        <x:f>'TeamHero生成'!H200</x:f>
        <x:v>11526</x:v>
      </x:c>
      <x:c r="J200" s="4" t="n">
        <x:f>'TeamHero生成'!I200</x:f>
        <x:v>16131</x:v>
      </x:c>
    </x:row>
    <x:row r="201" ht="14.25" customHeight="1">
      <x:c r="A201" s="4" t="n">
        <x:f>'TeamHero生成'!A201</x:f>
        <x:v>197</x:v>
      </x:c>
      <x:c r="B201" s="4" t="n">
        <x:f>'TeamHero生成'!B201</x:f>
        <x:v>1026</x:v>
      </x:c>
      <x:c r="C201" s="4" t="n">
        <x:f>'TeamHero生成'!C201</x:f>
        <x:v>30</x:v>
      </x:c>
      <x:c r="D201" s="5" t="n">
        <x:f>'TeamHero生成'!D201</x:f>
        <x:v>460658</x:v>
      </x:c>
      <x:c r="E201" s="5" t="n">
        <x:f>'TeamHero生成'!E201</x:f>
        <x:v>12852</x:v>
      </x:c>
      <x:c r="F201" s="5" t="n">
        <x:f>'TeamHero生成'!F201</x:f>
        <x:v>14723</x:v>
      </x:c>
      <x:c r="G201" s="4" t="str">
        <x:f>'TeamHero生成'!AG201</x:f>
        <x:v>有效</x:v>
      </x:c>
      <x:c r="H201" s="4" t="n">
        <x:f>'TeamHero生成'!G201</x:f>
        <x:v>491812</x:v>
      </x:c>
      <x:c r="I201" s="4" t="n">
        <x:f>'TeamHero生成'!H201</x:f>
        <x:v>13831</x:v>
      </x:c>
      <x:c r="J201" s="4" t="n">
        <x:f>'TeamHero生成'!I201</x:f>
        <x:v>10754</x:v>
      </x:c>
    </x:row>
    <x:row r="202" ht="14.25" customHeight="1">
      <x:c r="A202" s="4" t="n">
        <x:f>'TeamHero生成'!A202</x:f>
        <x:v>198</x:v>
      </x:c>
      <x:c r="B202" s="4" t="n">
        <x:f>'TeamHero生成'!B202</x:f>
        <x:v>1029</x:v>
      </x:c>
      <x:c r="C202" s="4" t="n">
        <x:f>'TeamHero生成'!C202</x:f>
        <x:v>30</x:v>
      </x:c>
      <x:c r="D202" s="5" t="n">
        <x:f>'TeamHero生成'!D202</x:f>
        <x:v>575823</x:v>
      </x:c>
      <x:c r="E202" s="5" t="n">
        <x:f>'TeamHero生成'!E202</x:f>
        <x:v>10710</x:v>
      </x:c>
      <x:c r="F202" s="5" t="n">
        <x:f>'TeamHero生成'!F202</x:f>
        <x:v>18404</x:v>
      </x:c>
      <x:c r="G202" s="4" t="str">
        <x:f>'TeamHero生成'!AG202</x:f>
        <x:v>有效</x:v>
      </x:c>
      <x:c r="H202" s="4" t="n">
        <x:f>'TeamHero生成'!G202</x:f>
        <x:v>614766</x:v>
      </x:c>
      <x:c r="I202" s="4" t="n">
        <x:f>'TeamHero生成'!H202</x:f>
        <x:v>11526</x:v>
      </x:c>
      <x:c r="J202" s="4" t="n">
        <x:f>'TeamHero生成'!I202</x:f>
        <x:v>13443</x:v>
      </x:c>
    </x:row>
    <x:row r="203" ht="14.25" customHeight="1">
      <x:c r="A203" s="4" t="n">
        <x:f>'TeamHero生成'!A203</x:f>
        <x:v>199</x:v>
      </x:c>
      <x:c r="B203" s="4" t="n">
        <x:f>'TeamHero生成'!B203</x:f>
        <x:v>1018</x:v>
      </x:c>
      <x:c r="C203" s="4" t="n">
        <x:f>'TeamHero生成'!C203</x:f>
        <x:v>30</x:v>
      </x:c>
      <x:c r="D203" s="5" t="n">
        <x:f>'TeamHero生成'!D203</x:f>
        <x:v>575823</x:v>
      </x:c>
      <x:c r="E203" s="5" t="n">
        <x:f>'TeamHero生成'!E203</x:f>
        <x:v>10710</x:v>
      </x:c>
      <x:c r="F203" s="5" t="n">
        <x:f>'TeamHero生成'!F203</x:f>
        <x:v>18404</x:v>
      </x:c>
      <x:c r="G203" s="4" t="str">
        <x:f>'TeamHero生成'!AG203</x:f>
        <x:v>有效</x:v>
      </x:c>
      <x:c r="H203" s="4" t="n">
        <x:f>'TeamHero生成'!G203</x:f>
        <x:v>614766</x:v>
      </x:c>
      <x:c r="I203" s="4" t="n">
        <x:f>'TeamHero生成'!H203</x:f>
        <x:v>11526</x:v>
      </x:c>
      <x:c r="J203" s="4" t="n">
        <x:f>'TeamHero生成'!I203</x:f>
        <x:v>13443</x:v>
      </x:c>
    </x:row>
    <x:row r="204" ht="14.25" customHeight="1">
      <x:c r="A204" s="4" t="n">
        <x:f>'TeamHero生成'!A204</x:f>
        <x:v>200</x:v>
      </x:c>
      <x:c r="B204" s="4" t="n">
        <x:f>'TeamHero生成'!B204</x:f>
        <x:v>1012</x:v>
      </x:c>
      <x:c r="C204" s="4" t="n">
        <x:f>'TeamHero生成'!C204</x:f>
        <x:v>30</x:v>
      </x:c>
      <x:c r="D204" s="5" t="n">
        <x:f>'TeamHero生成'!D204</x:f>
        <x:v>575823</x:v>
      </x:c>
      <x:c r="E204" s="5" t="n">
        <x:f>'TeamHero生成'!E204</x:f>
        <x:v>10710</x:v>
      </x:c>
      <x:c r="F204" s="5" t="n">
        <x:f>'TeamHero生成'!F204</x:f>
        <x:v>18404</x:v>
      </x:c>
      <x:c r="G204" s="4" t="str">
        <x:f>'TeamHero生成'!AG204</x:f>
        <x:v>有效</x:v>
      </x:c>
      <x:c r="H204" s="4" t="n">
        <x:f>'TeamHero生成'!G204</x:f>
        <x:v>614766</x:v>
      </x:c>
      <x:c r="I204" s="4" t="n">
        <x:f>'TeamHero生成'!H204</x:f>
        <x:v>11526</x:v>
      </x:c>
      <x:c r="J204" s="4" t="n">
        <x:f>'TeamHero生成'!I204</x:f>
        <x:v>13443</x:v>
      </x:c>
    </x:row>
    <x:row r="205" ht="14.25" customHeight="1">
      <x:c r="A205" s="4" t="n">
        <x:f>'TeamHero生成'!A205</x:f>
        <x:v>201</x:v>
      </x:c>
      <x:c r="B205" s="4" t="n">
        <x:f>'TeamHero生成'!B205</x:f>
        <x:v>1030</x:v>
      </x:c>
      <x:c r="C205" s="4" t="n">
        <x:f>'TeamHero生成'!C205</x:f>
        <x:v>30</x:v>
      </x:c>
      <x:c r="D205" s="5" t="n">
        <x:f>'TeamHero生成'!D205</x:f>
        <x:v>732638</x:v>
      </x:c>
      <x:c r="E205" s="5" t="n">
        <x:f>'TeamHero生成'!E205</x:f>
        <x:v>11180</x:v>
      </x:c>
      <x:c r="F205" s="5" t="n">
        <x:f>'TeamHero生成'!F205</x:f>
        <x:v>22748</x:v>
      </x:c>
      <x:c r="G205" s="4" t="str">
        <x:f>'TeamHero生成'!AG205</x:f>
        <x:v>有效</x:v>
      </x:c>
      <x:c r="H205" s="4" t="n">
        <x:f>'TeamHero生成'!G205</x:f>
        <x:v>776800</x:v>
      </x:c>
      <x:c r="I205" s="4" t="n">
        <x:f>'TeamHero生成'!H205</x:f>
        <x:v>11923</x:v>
      </x:c>
      <x:c r="J205" s="4" t="n">
        <x:f>'TeamHero生成'!I205</x:f>
        <x:v>16594</x:v>
      </x:c>
    </x:row>
    <x:row r="206" ht="14.25" customHeight="1">
      <x:c r="A206" s="4" t="n">
        <x:f>'TeamHero生成'!A206</x:f>
        <x:v>202</x:v>
      </x:c>
      <x:c r="B206" s="4" t="n">
        <x:f>'TeamHero生成'!B206</x:f>
        <x:v>1002</x:v>
      </x:c>
      <x:c r="C206" s="4" t="n">
        <x:f>'TeamHero生成'!C206</x:f>
        <x:v>30</x:v>
      </x:c>
      <x:c r="D206" s="5" t="n">
        <x:f>'TeamHero生成'!D206</x:f>
        <x:v>732638</x:v>
      </x:c>
      <x:c r="E206" s="5" t="n">
        <x:f>'TeamHero生成'!E206</x:f>
        <x:v>11180</x:v>
      </x:c>
      <x:c r="F206" s="5" t="n">
        <x:f>'TeamHero生成'!F206</x:f>
        <x:v>22748</x:v>
      </x:c>
      <x:c r="G206" s="4" t="str">
        <x:f>'TeamHero生成'!AG206</x:f>
        <x:v>有效</x:v>
      </x:c>
      <x:c r="H206" s="4" t="n">
        <x:f>'TeamHero生成'!G206</x:f>
        <x:v>776800</x:v>
      </x:c>
      <x:c r="I206" s="4" t="n">
        <x:f>'TeamHero生成'!H206</x:f>
        <x:v>11923</x:v>
      </x:c>
      <x:c r="J206" s="4" t="n">
        <x:f>'TeamHero生成'!I206</x:f>
        <x:v>16594</x:v>
      </x:c>
    </x:row>
    <x:row r="207" ht="14.25" customHeight="1">
      <x:c r="A207" s="4" t="n">
        <x:f>'TeamHero生成'!A207</x:f>
        <x:v>203</x:v>
      </x:c>
      <x:c r="B207" s="4" t="n">
        <x:f>'TeamHero生成'!B207</x:f>
        <x:v>1011</x:v>
      </x:c>
      <x:c r="C207" s="4" t="n">
        <x:f>'TeamHero生成'!C207</x:f>
        <x:v>30</x:v>
      </x:c>
      <x:c r="D207" s="5" t="n">
        <x:f>'TeamHero生成'!D207</x:f>
        <x:v>610532</x:v>
      </x:c>
      <x:c r="E207" s="5" t="n">
        <x:f>'TeamHero生成'!E207</x:f>
        <x:v>11180</x:v>
      </x:c>
      <x:c r="F207" s="5" t="n">
        <x:f>'TeamHero生成'!F207</x:f>
        <x:v>18956</x:v>
      </x:c>
      <x:c r="G207" s="4" t="str">
        <x:f>'TeamHero生成'!AG207</x:f>
        <x:v>有效</x:v>
      </x:c>
      <x:c r="H207" s="4" t="n">
        <x:f>'TeamHero生成'!G207</x:f>
        <x:v>647334</x:v>
      </x:c>
      <x:c r="I207" s="4" t="n">
        <x:f>'TeamHero生成'!H207</x:f>
        <x:v>11923</x:v>
      </x:c>
      <x:c r="J207" s="4" t="n">
        <x:f>'TeamHero生成'!I207</x:f>
        <x:v>13829</x:v>
      </x:c>
    </x:row>
    <x:row r="208" ht="14.25" customHeight="1">
      <x:c r="A208" s="4" t="n">
        <x:f>'TeamHero生成'!A208</x:f>
        <x:v>204</x:v>
      </x:c>
      <x:c r="B208" s="4" t="n">
        <x:f>'TeamHero生成'!B208</x:f>
        <x:v>1021</x:v>
      </x:c>
      <x:c r="C208" s="4" t="n">
        <x:f>'TeamHero生成'!C208</x:f>
        <x:v>30</x:v>
      </x:c>
      <x:c r="D208" s="5" t="n">
        <x:f>'TeamHero生成'!D208</x:f>
        <x:v>488426</x:v>
      </x:c>
      <x:c r="E208" s="5" t="n">
        <x:f>'TeamHero生成'!E208</x:f>
        <x:v>13416</x:v>
      </x:c>
      <x:c r="F208" s="5" t="n">
        <x:f>'TeamHero生成'!F208</x:f>
        <x:v>15165</x:v>
      </x:c>
      <x:c r="G208" s="4" t="str">
        <x:f>'TeamHero生成'!AG208</x:f>
        <x:v>有效</x:v>
      </x:c>
      <x:c r="H208" s="4" t="n">
        <x:f>'TeamHero生成'!G208</x:f>
        <x:v>517867</x:v>
      </x:c>
      <x:c r="I208" s="4" t="n">
        <x:f>'TeamHero生成'!H208</x:f>
        <x:v>14307</x:v>
      </x:c>
      <x:c r="J208" s="4" t="n">
        <x:f>'TeamHero生成'!I208</x:f>
        <x:v>11063</x:v>
      </x:c>
    </x:row>
    <x:row r="209" ht="14.25" customHeight="1">
      <x:c r="A209" s="4" t="n">
        <x:f>'TeamHero生成'!A209</x:f>
        <x:v>205</x:v>
      </x:c>
      <x:c r="B209" s="4" t="n">
        <x:f>'TeamHero生成'!B209</x:f>
        <x:v>1015</x:v>
      </x:c>
      <x:c r="C209" s="4" t="n">
        <x:f>'TeamHero生成'!C209</x:f>
        <x:v>30</x:v>
      </x:c>
      <x:c r="D209" s="5" t="n">
        <x:f>'TeamHero生成'!D209</x:f>
        <x:v>610532</x:v>
      </x:c>
      <x:c r="E209" s="5" t="n">
        <x:f>'TeamHero生成'!E209</x:f>
        <x:v>11180</x:v>
      </x:c>
      <x:c r="F209" s="5" t="n">
        <x:f>'TeamHero生成'!F209</x:f>
        <x:v>18956</x:v>
      </x:c>
      <x:c r="G209" s="4" t="str">
        <x:f>'TeamHero生成'!AG209</x:f>
        <x:v>有效</x:v>
      </x:c>
      <x:c r="H209" s="4" t="n">
        <x:f>'TeamHero生成'!G209</x:f>
        <x:v>647334</x:v>
      </x:c>
      <x:c r="I209" s="4" t="n">
        <x:f>'TeamHero生成'!H209</x:f>
        <x:v>11923</x:v>
      </x:c>
      <x:c r="J209" s="4" t="n">
        <x:f>'TeamHero生成'!I209</x:f>
        <x:v>13829</x:v>
      </x:c>
    </x:row>
    <x:row r="210" ht="14.25" customHeight="1">
      <x:c r="A210" s="4" t="n">
        <x:f>'TeamHero生成'!A210</x:f>
        <x:v>206</x:v>
      </x:c>
      <x:c r="B210" s="4" t="n">
        <x:f>'TeamHero生成'!B210</x:f>
        <x:v>1002</x:v>
      </x:c>
      <x:c r="C210" s="4" t="n">
        <x:f>'TeamHero生成'!C210</x:f>
        <x:v>31</x:v>
      </x:c>
      <x:c r="D210" s="5" t="n">
        <x:f>'TeamHero生成'!D210</x:f>
        <x:v>760695</x:v>
      </x:c>
      <x:c r="E210" s="5" t="n">
        <x:f>'TeamHero生成'!E210</x:f>
        <x:v>11515</x:v>
      </x:c>
      <x:c r="F210" s="5" t="n">
        <x:f>'TeamHero生成'!F210</x:f>
        <x:v>23250</x:v>
      </x:c>
      <x:c r="G210" s="4" t="str">
        <x:f>'TeamHero生成'!AG210</x:f>
        <x:v>有效</x:v>
      </x:c>
      <x:c r="H210" s="4" t="n">
        <x:f>'TeamHero生成'!G210</x:f>
        <x:v>817329</x:v>
      </x:c>
      <x:c r="I210" s="4" t="n">
        <x:f>'TeamHero生成'!H210</x:f>
        <x:v>12328</x:v>
      </x:c>
      <x:c r="J210" s="4" t="n">
        <x:f>'TeamHero生成'!I210</x:f>
        <x:v>17062</x:v>
      </x:c>
    </x:row>
    <x:row r="211" ht="14.25" customHeight="1">
      <x:c r="A211" s="4" t="n">
        <x:f>'TeamHero生成'!A211</x:f>
        <x:v>207</x:v>
      </x:c>
      <x:c r="B211" s="4" t="n">
        <x:f>'TeamHero生成'!B211</x:f>
        <x:v>1011</x:v>
      </x:c>
      <x:c r="C211" s="4" t="n">
        <x:f>'TeamHero生成'!C211</x:f>
        <x:v>31</x:v>
      </x:c>
      <x:c r="D211" s="5" t="n">
        <x:f>'TeamHero生成'!D211</x:f>
        <x:v>633912</x:v>
      </x:c>
      <x:c r="E211" s="5" t="n">
        <x:f>'TeamHero生成'!E211</x:f>
        <x:v>11515</x:v>
      </x:c>
      <x:c r="F211" s="5" t="n">
        <x:f>'TeamHero生成'!F211</x:f>
        <x:v>19375</x:v>
      </x:c>
      <x:c r="G211" s="4" t="str">
        <x:f>'TeamHero生成'!AG211</x:f>
        <x:v>有效</x:v>
      </x:c>
      <x:c r="H211" s="4" t="n">
        <x:f>'TeamHero生成'!G211</x:f>
        <x:v>681108</x:v>
      </x:c>
      <x:c r="I211" s="4" t="n">
        <x:f>'TeamHero生成'!H211</x:f>
        <x:v>12328</x:v>
      </x:c>
      <x:c r="J211" s="4" t="n">
        <x:f>'TeamHero生成'!I211</x:f>
        <x:v>14219</x:v>
      </x:c>
    </x:row>
    <x:row r="212" ht="14.25" customHeight="1">
      <x:c r="A212" s="4" t="n">
        <x:f>'TeamHero生成'!A212</x:f>
        <x:v>208</x:v>
      </x:c>
      <x:c r="B212" s="4" t="n">
        <x:f>'TeamHero生成'!B212</x:f>
        <x:v>1021</x:v>
      </x:c>
      <x:c r="C212" s="4" t="n">
        <x:f>'TeamHero生成'!C212</x:f>
        <x:v>31</x:v>
      </x:c>
      <x:c r="D212" s="5" t="n">
        <x:f>'TeamHero生成'!D212</x:f>
        <x:v>507130</x:v>
      </x:c>
      <x:c r="E212" s="5" t="n">
        <x:f>'TeamHero生成'!E212</x:f>
        <x:v>13817</x:v>
      </x:c>
      <x:c r="F212" s="5" t="n">
        <x:f>'TeamHero生成'!F212</x:f>
        <x:v>15500</x:v>
      </x:c>
      <x:c r="G212" s="4" t="str">
        <x:f>'TeamHero生成'!AG212</x:f>
        <x:v>有效</x:v>
      </x:c>
      <x:c r="H212" s="4" t="n">
        <x:f>'TeamHero生成'!G212</x:f>
        <x:v>544886</x:v>
      </x:c>
      <x:c r="I212" s="4" t="n">
        <x:f>'TeamHero生成'!H212</x:f>
        <x:v>14793</x:v>
      </x:c>
      <x:c r="J212" s="4" t="n">
        <x:f>'TeamHero生成'!I212</x:f>
        <x:v>11375</x:v>
      </x:c>
    </x:row>
    <x:row r="213" ht="14.25" customHeight="1">
      <x:c r="A213" s="4" t="n">
        <x:f>'TeamHero生成'!A213</x:f>
        <x:v>209</x:v>
      </x:c>
      <x:c r="B213" s="4" t="n">
        <x:f>'TeamHero生成'!B213</x:f>
        <x:v>1040</x:v>
      </x:c>
      <x:c r="C213" s="4" t="n">
        <x:f>'TeamHero生成'!C213</x:f>
        <x:v>31</x:v>
      </x:c>
      <x:c r="D213" s="5" t="n">
        <x:f>'TeamHero生成'!D213</x:f>
        <x:v>633912</x:v>
      </x:c>
      <x:c r="E213" s="5" t="n">
        <x:f>'TeamHero生成'!E213</x:f>
        <x:v>11515</x:v>
      </x:c>
      <x:c r="F213" s="5" t="n">
        <x:f>'TeamHero生成'!F213</x:f>
        <x:v>19375</x:v>
      </x:c>
      <x:c r="G213" s="4" t="str">
        <x:f>'TeamHero生成'!AG213</x:f>
        <x:v>有效</x:v>
      </x:c>
      <x:c r="H213" s="4" t="n">
        <x:f>'TeamHero生成'!G213</x:f>
        <x:v>681108</x:v>
      </x:c>
      <x:c r="I213" s="4" t="n">
        <x:f>'TeamHero生成'!H213</x:f>
        <x:v>12328</x:v>
      </x:c>
      <x:c r="J213" s="4" t="n">
        <x:f>'TeamHero生成'!I213</x:f>
        <x:v>14219</x:v>
      </x:c>
    </x:row>
    <x:row r="214" ht="14.25" customHeight="1">
      <x:c r="A214" s="4" t="n">
        <x:f>'TeamHero生成'!A214</x:f>
        <x:v>210</x:v>
      </x:c>
      <x:c r="B214" s="4" t="n">
        <x:f>'TeamHero生成'!B214</x:f>
        <x:v>1012</x:v>
      </x:c>
      <x:c r="C214" s="4" t="n">
        <x:f>'TeamHero生成'!C214</x:f>
        <x:v>31</x:v>
      </x:c>
      <x:c r="D214" s="5" t="n">
        <x:f>'TeamHero生成'!D214</x:f>
        <x:v>633912</x:v>
      </x:c>
      <x:c r="E214" s="5" t="n">
        <x:f>'TeamHero生成'!E214</x:f>
        <x:v>11515</x:v>
      </x:c>
      <x:c r="F214" s="5" t="n">
        <x:f>'TeamHero生成'!F214</x:f>
        <x:v>19375</x:v>
      </x:c>
      <x:c r="G214" s="4" t="str">
        <x:f>'TeamHero生成'!AG214</x:f>
        <x:v>有效</x:v>
      </x:c>
      <x:c r="H214" s="4" t="n">
        <x:f>'TeamHero生成'!G214</x:f>
        <x:v>681108</x:v>
      </x:c>
      <x:c r="I214" s="4" t="n">
        <x:f>'TeamHero生成'!H214</x:f>
        <x:v>12328</x:v>
      </x:c>
      <x:c r="J214" s="4" t="n">
        <x:f>'TeamHero生成'!I214</x:f>
        <x:v>14219</x:v>
      </x:c>
    </x:row>
    <x:row r="215" ht="14.25" customHeight="1">
      <x:c r="A215" s="4" t="n">
        <x:f>'TeamHero生成'!A215</x:f>
        <x:v>211</x:v>
      </x:c>
      <x:c r="B215" s="4" t="n">
        <x:f>'TeamHero生成'!B215</x:f>
        <x:v>1002</x:v>
      </x:c>
      <x:c r="C215" s="4" t="n">
        <x:f>'TeamHero生成'!C215</x:f>
        <x:v>31</x:v>
      </x:c>
      <x:c r="D215" s="5" t="n">
        <x:f>'TeamHero生成'!D215</x:f>
        <x:v>799177</x:v>
      </x:c>
      <x:c r="E215" s="5" t="n">
        <x:f>'TeamHero生成'!E215</x:f>
        <x:v>11930</x:v>
      </x:c>
      <x:c r="F215" s="5" t="n">
        <x:f>'TeamHero生成'!F215</x:f>
        <x:v>23924</x:v>
      </x:c>
      <x:c r="G215" s="4" t="str">
        <x:f>'TeamHero生成'!AG215</x:f>
        <x:v>有效</x:v>
      </x:c>
      <x:c r="H215" s="4" t="n">
        <x:f>'TeamHero生成'!G215</x:f>
        <x:v>859320</x:v>
      </x:c>
      <x:c r="I215" s="4" t="n">
        <x:f>'TeamHero生成'!H215</x:f>
        <x:v>12740</x:v>
      </x:c>
      <x:c r="J215" s="4" t="n">
        <x:f>'TeamHero生成'!I215</x:f>
        <x:v>17534</x:v>
      </x:c>
    </x:row>
    <x:row r="216" ht="14.25" customHeight="1">
      <x:c r="A216" s="4" t="n">
        <x:f>'TeamHero生成'!A216</x:f>
        <x:v>212</x:v>
      </x:c>
      <x:c r="B216" s="4" t="n">
        <x:f>'TeamHero生成'!B216</x:f>
        <x:v>1030</x:v>
      </x:c>
      <x:c r="C216" s="4" t="n">
        <x:f>'TeamHero生成'!C216</x:f>
        <x:v>31</x:v>
      </x:c>
      <x:c r="D216" s="5" t="n">
        <x:f>'TeamHero生成'!D216</x:f>
        <x:v>799177</x:v>
      </x:c>
      <x:c r="E216" s="5" t="n">
        <x:f>'TeamHero生成'!E216</x:f>
        <x:v>11930</x:v>
      </x:c>
      <x:c r="F216" s="5" t="n">
        <x:f>'TeamHero生成'!F216</x:f>
        <x:v>23924</x:v>
      </x:c>
      <x:c r="G216" s="4" t="str">
        <x:f>'TeamHero生成'!AG216</x:f>
        <x:v>有效</x:v>
      </x:c>
      <x:c r="H216" s="4" t="n">
        <x:f>'TeamHero生成'!G216</x:f>
        <x:v>859320</x:v>
      </x:c>
      <x:c r="I216" s="4" t="n">
        <x:f>'TeamHero生成'!H216</x:f>
        <x:v>12740</x:v>
      </x:c>
      <x:c r="J216" s="4" t="n">
        <x:f>'TeamHero生成'!I216</x:f>
        <x:v>17534</x:v>
      </x:c>
    </x:row>
    <x:row r="217" ht="14.25" customHeight="1">
      <x:c r="A217" s="4" t="n">
        <x:f>'TeamHero生成'!A217</x:f>
        <x:v>213</x:v>
      </x:c>
      <x:c r="B217" s="4" t="n">
        <x:f>'TeamHero生成'!B217</x:f>
        <x:v>1015</x:v>
      </x:c>
      <x:c r="C217" s="4" t="n">
        <x:f>'TeamHero生成'!C217</x:f>
        <x:v>31</x:v>
      </x:c>
      <x:c r="D217" s="5" t="n">
        <x:f>'TeamHero生成'!D217</x:f>
        <x:v>665981</x:v>
      </x:c>
      <x:c r="E217" s="5" t="n">
        <x:f>'TeamHero生成'!E217</x:f>
        <x:v>11930</x:v>
      </x:c>
      <x:c r="F217" s="5" t="n">
        <x:f>'TeamHero生成'!F217</x:f>
        <x:v>19936</x:v>
      </x:c>
      <x:c r="G217" s="4" t="str">
        <x:f>'TeamHero生成'!AG217</x:f>
        <x:v>有效</x:v>
      </x:c>
      <x:c r="H217" s="4" t="n">
        <x:f>'TeamHero生成'!G217</x:f>
        <x:v>716100</x:v>
      </x:c>
      <x:c r="I217" s="4" t="n">
        <x:f>'TeamHero生成'!H217</x:f>
        <x:v>12740</x:v>
      </x:c>
      <x:c r="J217" s="4" t="n">
        <x:f>'TeamHero生成'!I217</x:f>
        <x:v>14612</x:v>
      </x:c>
    </x:row>
    <x:row r="218" ht="14.25" customHeight="1">
      <x:c r="A218" s="4" t="n">
        <x:f>'TeamHero生成'!A218</x:f>
        <x:v>214</x:v>
      </x:c>
      <x:c r="B218" s="4" t="n">
        <x:f>'TeamHero生成'!B218</x:f>
        <x:v>1026</x:v>
      </x:c>
      <x:c r="C218" s="4" t="n">
        <x:f>'TeamHero生成'!C218</x:f>
        <x:v>31</x:v>
      </x:c>
      <x:c r="D218" s="5" t="n">
        <x:f>'TeamHero生成'!D218</x:f>
        <x:v>532785</x:v>
      </x:c>
      <x:c r="E218" s="5" t="n">
        <x:f>'TeamHero生成'!E218</x:f>
        <x:v>14316</x:v>
      </x:c>
      <x:c r="F218" s="5" t="n">
        <x:f>'TeamHero生成'!F218</x:f>
        <x:v>15949</x:v>
      </x:c>
      <x:c r="G218" s="4" t="str">
        <x:f>'TeamHero生成'!AG218</x:f>
        <x:v>有效</x:v>
      </x:c>
      <x:c r="H218" s="4" t="n">
        <x:f>'TeamHero生成'!G218</x:f>
        <x:v>572880</x:v>
      </x:c>
      <x:c r="I218" s="4" t="n">
        <x:f>'TeamHero生成'!H218</x:f>
        <x:v>15288</x:v>
      </x:c>
      <x:c r="J218" s="4" t="n">
        <x:f>'TeamHero生成'!I218</x:f>
        <x:v>11689</x:v>
      </x:c>
    </x:row>
    <x:row r="219" ht="14.25" customHeight="1">
      <x:c r="A219" s="4" t="n">
        <x:f>'TeamHero生成'!A219</x:f>
        <x:v>215</x:v>
      </x:c>
      <x:c r="B219" s="4" t="n">
        <x:f>'TeamHero生成'!B219</x:f>
        <x:v>1020</x:v>
      </x:c>
      <x:c r="C219" s="4" t="n">
        <x:f>'TeamHero生成'!C219</x:f>
        <x:v>31</x:v>
      </x:c>
      <x:c r="D219" s="5" t="n">
        <x:f>'TeamHero生成'!D219</x:f>
        <x:v>665981</x:v>
      </x:c>
      <x:c r="E219" s="5" t="n">
        <x:f>'TeamHero生成'!E219</x:f>
        <x:v>11930</x:v>
      </x:c>
      <x:c r="F219" s="5" t="n">
        <x:f>'TeamHero生成'!F219</x:f>
        <x:v>19936</x:v>
      </x:c>
      <x:c r="G219" s="4" t="str">
        <x:f>'TeamHero生成'!AG219</x:f>
        <x:v>有效</x:v>
      </x:c>
      <x:c r="H219" s="4" t="n">
        <x:f>'TeamHero生成'!G219</x:f>
        <x:v>716100</x:v>
      </x:c>
      <x:c r="I219" s="4" t="n">
        <x:f>'TeamHero生成'!H219</x:f>
        <x:v>12740</x:v>
      </x:c>
      <x:c r="J219" s="4" t="n">
        <x:f>'TeamHero生成'!I219</x:f>
        <x:v>14612</x:v>
      </x:c>
    </x:row>
    <x:row r="220" ht="14.25" customHeight="1">
      <x:c r="A220" s="4" t="n">
        <x:f>'TeamHero生成'!A220</x:f>
        <x:v>216</x:v>
      </x:c>
      <x:c r="B220" s="4" t="n">
        <x:f>'TeamHero生成'!B220</x:f>
        <x:v>1030</x:v>
      </x:c>
      <x:c r="C220" s="4" t="n">
        <x:f>'TeamHero生成'!C220</x:f>
        <x:v>32</x:v>
      </x:c>
      <x:c r="D220" s="5" t="n">
        <x:f>'TeamHero生成'!D220</x:f>
        <x:v>838962</x:v>
      </x:c>
      <x:c r="E220" s="5" t="n">
        <x:f>'TeamHero生成'!E220</x:f>
        <x:v>12360</x:v>
      </x:c>
      <x:c r="F220" s="5" t="n">
        <x:f>'TeamHero生成'!F220</x:f>
        <x:v>24432</x:v>
      </x:c>
      <x:c r="G220" s="4" t="str">
        <x:f>'TeamHero生成'!AG220</x:f>
        <x:v>有效</x:v>
      </x:c>
      <x:c r="H220" s="4" t="n">
        <x:f>'TeamHero生成'!G220</x:f>
        <x:v>902822</x:v>
      </x:c>
      <x:c r="I220" s="4" t="n">
        <x:f>'TeamHero生成'!H220</x:f>
        <x:v>13163</x:v>
      </x:c>
      <x:c r="J220" s="4" t="n">
        <x:f>'TeamHero生成'!I220</x:f>
        <x:v>18010</x:v>
      </x:c>
    </x:row>
    <x:row r="221" ht="14.25" customHeight="1">
      <x:c r="A221" s="4" t="n">
        <x:f>'TeamHero生成'!A221</x:f>
        <x:v>217</x:v>
      </x:c>
      <x:c r="B221" s="4" t="n">
        <x:f>'TeamHero生成'!B221</x:f>
        <x:v>1030</x:v>
      </x:c>
      <x:c r="C221" s="4" t="n">
        <x:f>'TeamHero生成'!C221</x:f>
        <x:v>32</x:v>
      </x:c>
      <x:c r="D221" s="5" t="n">
        <x:f>'TeamHero生成'!D221</x:f>
        <x:v>838962</x:v>
      </x:c>
      <x:c r="E221" s="5" t="n">
        <x:f>'TeamHero生成'!E221</x:f>
        <x:v>12360</x:v>
      </x:c>
      <x:c r="F221" s="5" t="n">
        <x:f>'TeamHero生成'!F221</x:f>
        <x:v>24432</x:v>
      </x:c>
      <x:c r="G221" s="4" t="str">
        <x:f>'TeamHero生成'!AG221</x:f>
        <x:v>有效</x:v>
      </x:c>
      <x:c r="H221" s="4" t="n">
        <x:f>'TeamHero生成'!G221</x:f>
        <x:v>902822</x:v>
      </x:c>
      <x:c r="I221" s="4" t="n">
        <x:f>'TeamHero生成'!H221</x:f>
        <x:v>13163</x:v>
      </x:c>
      <x:c r="J221" s="4" t="n">
        <x:f>'TeamHero生成'!I221</x:f>
        <x:v>18010</x:v>
      </x:c>
    </x:row>
    <x:row r="222" ht="14.25" customHeight="1">
      <x:c r="A222" s="4" t="n">
        <x:f>'TeamHero生成'!A222</x:f>
        <x:v>218</x:v>
      </x:c>
      <x:c r="B222" s="4" t="n">
        <x:f>'TeamHero生成'!B222</x:f>
        <x:v>1024</x:v>
      </x:c>
      <x:c r="C222" s="4" t="n">
        <x:f>'TeamHero生成'!C222</x:f>
        <x:v>32</x:v>
      </x:c>
      <x:c r="D222" s="5" t="n">
        <x:f>'TeamHero生成'!D222</x:f>
        <x:v>559308</x:v>
      </x:c>
      <x:c r="E222" s="5" t="n">
        <x:f>'TeamHero生成'!E222</x:f>
        <x:v>14832</x:v>
      </x:c>
      <x:c r="F222" s="5" t="n">
        <x:f>'TeamHero生成'!F222</x:f>
        <x:v>16288</x:v>
      </x:c>
      <x:c r="G222" s="4" t="str">
        <x:f>'TeamHero生成'!AG222</x:f>
        <x:v>有效</x:v>
      </x:c>
      <x:c r="H222" s="4" t="n">
        <x:f>'TeamHero生成'!G222</x:f>
        <x:v>601881</x:v>
      </x:c>
      <x:c r="I222" s="4" t="n">
        <x:f>'TeamHero生成'!H222</x:f>
        <x:v>15795</x:v>
      </x:c>
      <x:c r="J222" s="4" t="n">
        <x:f>'TeamHero生成'!I222</x:f>
        <x:v>12007</x:v>
      </x:c>
    </x:row>
    <x:row r="223" ht="14.25" customHeight="1">
      <x:c r="A223" s="4" t="n">
        <x:f>'TeamHero生成'!A223</x:f>
        <x:v>219</x:v>
      </x:c>
      <x:c r="B223" s="4" t="n">
        <x:f>'TeamHero生成'!B223</x:f>
        <x:v>1020</x:v>
      </x:c>
      <x:c r="C223" s="4" t="n">
        <x:f>'TeamHero生成'!C223</x:f>
        <x:v>32</x:v>
      </x:c>
      <x:c r="D223" s="5" t="n">
        <x:f>'TeamHero生成'!D223</x:f>
        <x:v>699135</x:v>
      </x:c>
      <x:c r="E223" s="5" t="n">
        <x:f>'TeamHero生成'!E223</x:f>
        <x:v>12360</x:v>
      </x:c>
      <x:c r="F223" s="5" t="n">
        <x:f>'TeamHero生成'!F223</x:f>
        <x:v>20360</x:v>
      </x:c>
      <x:c r="G223" s="4" t="str">
        <x:f>'TeamHero生成'!AG223</x:f>
        <x:v>有效</x:v>
      </x:c>
      <x:c r="H223" s="4" t="n">
        <x:f>'TeamHero生成'!G223</x:f>
        <x:v>752352</x:v>
      </x:c>
      <x:c r="I223" s="4" t="n">
        <x:f>'TeamHero生成'!H223</x:f>
        <x:v>13163</x:v>
      </x:c>
      <x:c r="J223" s="4" t="n">
        <x:f>'TeamHero生成'!I223</x:f>
        <x:v>15009</x:v>
      </x:c>
    </x:row>
    <x:row r="224" ht="14.25" customHeight="1">
      <x:c r="A224" s="4" t="n">
        <x:f>'TeamHero生成'!A224</x:f>
        <x:v>220</x:v>
      </x:c>
      <x:c r="B224" s="4" t="n">
        <x:f>'TeamHero生成'!B224</x:f>
        <x:v>1011</x:v>
      </x:c>
      <x:c r="C224" s="4" t="n">
        <x:f>'TeamHero生成'!C224</x:f>
        <x:v>32</x:v>
      </x:c>
      <x:c r="D224" s="5" t="n">
        <x:f>'TeamHero生成'!D224</x:f>
        <x:v>699135</x:v>
      </x:c>
      <x:c r="E224" s="5" t="n">
        <x:f>'TeamHero生成'!E224</x:f>
        <x:v>12360</x:v>
      </x:c>
      <x:c r="F224" s="5" t="n">
        <x:f>'TeamHero生成'!F224</x:f>
        <x:v>20360</x:v>
      </x:c>
      <x:c r="G224" s="4" t="str">
        <x:f>'TeamHero生成'!AG224</x:f>
        <x:v>有效</x:v>
      </x:c>
      <x:c r="H224" s="4" t="n">
        <x:f>'TeamHero生成'!G224</x:f>
        <x:v>752352</x:v>
      </x:c>
      <x:c r="I224" s="4" t="n">
        <x:f>'TeamHero生成'!H224</x:f>
        <x:v>13163</x:v>
      </x:c>
      <x:c r="J224" s="4" t="n">
        <x:f>'TeamHero生成'!I224</x:f>
        <x:v>15009</x:v>
      </x:c>
    </x:row>
    <x:row r="225" ht="14.25" customHeight="1">
      <x:c r="A225" s="4" t="n">
        <x:f>'TeamHero生成'!A225</x:f>
        <x:v>221</x:v>
      </x:c>
      <x:c r="B225" s="4" t="n">
        <x:f>'TeamHero生成'!B225</x:f>
        <x:v>1030</x:v>
      </x:c>
      <x:c r="C225" s="4" t="n">
        <x:f>'TeamHero生成'!C225</x:f>
        <x:v>32</x:v>
      </x:c>
      <x:c r="D225" s="5" t="n">
        <x:f>'TeamHero生成'!D225</x:f>
        <x:v>877226</x:v>
      </x:c>
      <x:c r="E225" s="5" t="n">
        <x:f>'TeamHero生成'!E225</x:f>
        <x:v>12826</x:v>
      </x:c>
      <x:c r="F225" s="5" t="n">
        <x:f>'TeamHero生成'!F225</x:f>
        <x:v>25115</x:v>
      </x:c>
      <x:c r="G225" s="4" t="str">
        <x:f>'TeamHero生成'!AG225</x:f>
        <x:v>有效</x:v>
      </x:c>
      <x:c r="H225" s="4" t="n">
        <x:f>'TeamHero生成'!G225</x:f>
        <x:v>947858</x:v>
      </x:c>
      <x:c r="I225" s="4" t="n">
        <x:f>'TeamHero生成'!H225</x:f>
        <x:v>13592</x:v>
      </x:c>
      <x:c r="J225" s="4" t="n">
        <x:f>'TeamHero生成'!I225</x:f>
        <x:v>18492</x:v>
      </x:c>
    </x:row>
    <x:row r="226" ht="14.25" customHeight="1">
      <x:c r="A226" s="4" t="n">
        <x:f>'TeamHero生成'!A226</x:f>
        <x:v>222</x:v>
      </x:c>
      <x:c r="B226" s="4" t="n">
        <x:f>'TeamHero生成'!B226</x:f>
        <x:v>1001</x:v>
      </x:c>
      <x:c r="C226" s="4" t="n">
        <x:f>'TeamHero生成'!C226</x:f>
        <x:v>32</x:v>
      </x:c>
      <x:c r="D226" s="5" t="n">
        <x:f>'TeamHero生成'!D226</x:f>
        <x:v>584817</x:v>
      </x:c>
      <x:c r="E226" s="5" t="n">
        <x:f>'TeamHero生成'!E226</x:f>
        <x:v>15391</x:v>
      </x:c>
      <x:c r="F226" s="5" t="n">
        <x:f>'TeamHero生成'!F226</x:f>
        <x:v>16743</x:v>
      </x:c>
      <x:c r="G226" s="4" t="str">
        <x:f>'TeamHero生成'!AG226</x:f>
        <x:v>有效</x:v>
      </x:c>
      <x:c r="H226" s="4" t="n">
        <x:f>'TeamHero生成'!G226</x:f>
        <x:v>631905</x:v>
      </x:c>
      <x:c r="I226" s="4" t="n">
        <x:f>'TeamHero生成'!H226</x:f>
        <x:v>16310</x:v>
      </x:c>
      <x:c r="J226" s="4" t="n">
        <x:f>'TeamHero生成'!I226</x:f>
        <x:v>12328</x:v>
      </x:c>
    </x:row>
    <x:row r="227" ht="14.25" customHeight="1">
      <x:c r="A227" s="4" t="n">
        <x:f>'TeamHero生成'!A227</x:f>
        <x:v>223</x:v>
      </x:c>
      <x:c r="B227" s="4" t="n">
        <x:f>'TeamHero生成'!B227</x:f>
        <x:v>1021</x:v>
      </x:c>
      <x:c r="C227" s="4" t="n">
        <x:f>'TeamHero生成'!C227</x:f>
        <x:v>32</x:v>
      </x:c>
      <x:c r="D227" s="5" t="n">
        <x:f>'TeamHero生成'!D227</x:f>
        <x:v>584817</x:v>
      </x:c>
      <x:c r="E227" s="5" t="n">
        <x:f>'TeamHero生成'!E227</x:f>
        <x:v>15391</x:v>
      </x:c>
      <x:c r="F227" s="5" t="n">
        <x:f>'TeamHero生成'!F227</x:f>
        <x:v>16743</x:v>
      </x:c>
      <x:c r="G227" s="4" t="str">
        <x:f>'TeamHero生成'!AG227</x:f>
        <x:v>有效</x:v>
      </x:c>
      <x:c r="H227" s="4" t="n">
        <x:f>'TeamHero生成'!G227</x:f>
        <x:v>631905</x:v>
      </x:c>
      <x:c r="I227" s="4" t="n">
        <x:f>'TeamHero生成'!H227</x:f>
        <x:v>16310</x:v>
      </x:c>
      <x:c r="J227" s="4" t="n">
        <x:f>'TeamHero生成'!I227</x:f>
        <x:v>12328</x:v>
      </x:c>
    </x:row>
    <x:row r="228" ht="14.25" customHeight="1">
      <x:c r="A228" s="4" t="n">
        <x:f>'TeamHero生成'!A228</x:f>
        <x:v>224</x:v>
      </x:c>
      <x:c r="B228" s="4" t="n">
        <x:f>'TeamHero生成'!B228</x:f>
        <x:v>1020</x:v>
      </x:c>
      <x:c r="C228" s="4" t="n">
        <x:f>'TeamHero生成'!C228</x:f>
        <x:v>32</x:v>
      </x:c>
      <x:c r="D228" s="5" t="n">
        <x:f>'TeamHero生成'!D228</x:f>
        <x:v>731022</x:v>
      </x:c>
      <x:c r="E228" s="5" t="n">
        <x:f>'TeamHero生成'!E228</x:f>
        <x:v>12826</x:v>
      </x:c>
      <x:c r="F228" s="5" t="n">
        <x:f>'TeamHero生成'!F228</x:f>
        <x:v>20929</x:v>
      </x:c>
      <x:c r="G228" s="4" t="str">
        <x:f>'TeamHero生成'!AG228</x:f>
        <x:v>有效</x:v>
      </x:c>
      <x:c r="H228" s="4" t="n">
        <x:f>'TeamHero生成'!G228</x:f>
        <x:v>789882</x:v>
      </x:c>
      <x:c r="I228" s="4" t="n">
        <x:f>'TeamHero生成'!H228</x:f>
        <x:v>13592</x:v>
      </x:c>
      <x:c r="J228" s="4" t="n">
        <x:f>'TeamHero生成'!I228</x:f>
        <x:v>15410</x:v>
      </x:c>
    </x:row>
    <x:row r="229" ht="14.25" customHeight="1">
      <x:c r="A229" s="4" t="n">
        <x:f>'TeamHero生成'!A229</x:f>
        <x:v>225</x:v>
      </x:c>
      <x:c r="B229" s="4" t="n">
        <x:f>'TeamHero生成'!B229</x:f>
        <x:v>1011</x:v>
      </x:c>
      <x:c r="C229" s="4" t="n">
        <x:f>'TeamHero生成'!C229</x:f>
        <x:v>32</x:v>
      </x:c>
      <x:c r="D229" s="5" t="n">
        <x:f>'TeamHero生成'!D229</x:f>
        <x:v>731022</x:v>
      </x:c>
      <x:c r="E229" s="5" t="n">
        <x:f>'TeamHero生成'!E229</x:f>
        <x:v>12826</x:v>
      </x:c>
      <x:c r="F229" s="5" t="n">
        <x:f>'TeamHero生成'!F229</x:f>
        <x:v>20929</x:v>
      </x:c>
      <x:c r="G229" s="4" t="str">
        <x:f>'TeamHero生成'!AG229</x:f>
        <x:v>有效</x:v>
      </x:c>
      <x:c r="H229" s="4" t="n">
        <x:f>'TeamHero生成'!G229</x:f>
        <x:v>789882</x:v>
      </x:c>
      <x:c r="I229" s="4" t="n">
        <x:f>'TeamHero生成'!H229</x:f>
        <x:v>13592</x:v>
      </x:c>
      <x:c r="J229" s="4" t="n">
        <x:f>'TeamHero生成'!I229</x:f>
        <x:v>15410</x:v>
      </x:c>
    </x:row>
    <x:row r="230" ht="14.25" customHeight="1">
      <x:c r="A230" s="4" t="n">
        <x:f>'TeamHero生成'!A230</x:f>
        <x:v>226</x:v>
      </x:c>
      <x:c r="B230" s="4" t="n">
        <x:f>'TeamHero生成'!B230</x:f>
        <x:v>1030</x:v>
      </x:c>
      <x:c r="C230" s="4" t="n">
        <x:f>'TeamHero生成'!C230</x:f>
        <x:v>33</x:v>
      </x:c>
      <x:c r="D230" s="5" t="n">
        <x:f>'TeamHero生成'!D230</x:f>
        <x:v>925415</x:v>
      </x:c>
      <x:c r="E230" s="5" t="n">
        <x:f>'TeamHero生成'!E230</x:f>
        <x:v>13332</x:v>
      </x:c>
      <x:c r="F230" s="5" t="n">
        <x:f>'TeamHero生成'!F230</x:f>
        <x:v>25805</x:v>
      </x:c>
      <x:c r="G230" s="4" t="str">
        <x:f>'TeamHero生成'!AG230</x:f>
        <x:v>有效</x:v>
      </x:c>
      <x:c r="H230" s="4" t="n">
        <x:f>'TeamHero生成'!G230</x:f>
        <x:v>994471</x:v>
      </x:c>
      <x:c r="I230" s="4" t="n">
        <x:f>'TeamHero生成'!H230</x:f>
        <x:v>14033</x:v>
      </x:c>
      <x:c r="J230" s="4" t="n">
        <x:f>'TeamHero生成'!I230</x:f>
        <x:v>18976</x:v>
      </x:c>
    </x:row>
    <x:row r="231" ht="14.25" customHeight="1">
      <x:c r="A231" s="4" t="n">
        <x:f>'TeamHero生成'!A231</x:f>
        <x:v>227</x:v>
      </x:c>
      <x:c r="B231" s="4" t="n">
        <x:f>'TeamHero生成'!B231</x:f>
        <x:v>1012</x:v>
      </x:c>
      <x:c r="C231" s="4" t="n">
        <x:f>'TeamHero生成'!C231</x:f>
        <x:v>33</x:v>
      </x:c>
      <x:c r="D231" s="5" t="n">
        <x:f>'TeamHero生成'!D231</x:f>
        <x:v>771179</x:v>
      </x:c>
      <x:c r="E231" s="5" t="n">
        <x:f>'TeamHero生成'!E231</x:f>
        <x:v>13332</x:v>
      </x:c>
      <x:c r="F231" s="5" t="n">
        <x:f>'TeamHero生成'!F231</x:f>
        <x:v>21504</x:v>
      </x:c>
      <x:c r="G231" s="4" t="str">
        <x:f>'TeamHero生成'!AG231</x:f>
        <x:v>有效</x:v>
      </x:c>
      <x:c r="H231" s="4" t="n">
        <x:f>'TeamHero生成'!G231</x:f>
        <x:v>828726</x:v>
      </x:c>
      <x:c r="I231" s="4" t="n">
        <x:f>'TeamHero生成'!H231</x:f>
        <x:v>14033</x:v>
      </x:c>
      <x:c r="J231" s="4" t="n">
        <x:f>'TeamHero生成'!I231</x:f>
        <x:v>15814</x:v>
      </x:c>
    </x:row>
    <x:row r="232" ht="14.25" customHeight="1">
      <x:c r="A232" s="4" t="n">
        <x:f>'TeamHero生成'!A232</x:f>
        <x:v>228</x:v>
      </x:c>
      <x:c r="B232" s="4" t="n">
        <x:f>'TeamHero生成'!B232</x:f>
        <x:v>1011</x:v>
      </x:c>
      <x:c r="C232" s="4" t="n">
        <x:f>'TeamHero生成'!C232</x:f>
        <x:v>33</x:v>
      </x:c>
      <x:c r="D232" s="5" t="n">
        <x:f>'TeamHero生成'!D232</x:f>
        <x:v>771179</x:v>
      </x:c>
      <x:c r="E232" s="5" t="n">
        <x:f>'TeamHero生成'!E232</x:f>
        <x:v>13332</x:v>
      </x:c>
      <x:c r="F232" s="5" t="n">
        <x:f>'TeamHero生成'!F232</x:f>
        <x:v>21504</x:v>
      </x:c>
      <x:c r="G232" s="4" t="str">
        <x:f>'TeamHero生成'!AG232</x:f>
        <x:v>有效</x:v>
      </x:c>
      <x:c r="H232" s="4" t="n">
        <x:f>'TeamHero生成'!G232</x:f>
        <x:v>828726</x:v>
      </x:c>
      <x:c r="I232" s="4" t="n">
        <x:f>'TeamHero生成'!H232</x:f>
        <x:v>14033</x:v>
      </x:c>
      <x:c r="J232" s="4" t="n">
        <x:f>'TeamHero生成'!I232</x:f>
        <x:v>15814</x:v>
      </x:c>
    </x:row>
    <x:row r="233" ht="14.25" customHeight="1">
      <x:c r="A233" s="4" t="n">
        <x:f>'TeamHero生成'!A233</x:f>
        <x:v>229</x:v>
      </x:c>
      <x:c r="B233" s="4" t="n">
        <x:f>'TeamHero生成'!B233</x:f>
        <x:v>1018</x:v>
      </x:c>
      <x:c r="C233" s="4" t="n">
        <x:f>'TeamHero生成'!C233</x:f>
        <x:v>33</x:v>
      </x:c>
      <x:c r="D233" s="5" t="n">
        <x:f>'TeamHero生成'!D233</x:f>
        <x:v>771179</x:v>
      </x:c>
      <x:c r="E233" s="5" t="n">
        <x:f>'TeamHero生成'!E233</x:f>
        <x:v>13332</x:v>
      </x:c>
      <x:c r="F233" s="5" t="n">
        <x:f>'TeamHero生成'!F233</x:f>
        <x:v>21504</x:v>
      </x:c>
      <x:c r="G233" s="4" t="str">
        <x:f>'TeamHero生成'!AG233</x:f>
        <x:v>有效</x:v>
      </x:c>
      <x:c r="H233" s="4" t="n">
        <x:f>'TeamHero生成'!G233</x:f>
        <x:v>828726</x:v>
      </x:c>
      <x:c r="I233" s="4" t="n">
        <x:f>'TeamHero生成'!H233</x:f>
        <x:v>14033</x:v>
      </x:c>
      <x:c r="J233" s="4" t="n">
        <x:f>'TeamHero生成'!I233</x:f>
        <x:v>15814</x:v>
      </x:c>
    </x:row>
    <x:row r="234" ht="14.25" customHeight="1">
      <x:c r="A234" s="4" t="n">
        <x:f>'TeamHero生成'!A234</x:f>
        <x:v>230</x:v>
      </x:c>
      <x:c r="B234" s="4" t="n">
        <x:f>'TeamHero生成'!B234</x:f>
        <x:v>1018</x:v>
      </x:c>
      <x:c r="C234" s="4" t="n">
        <x:f>'TeamHero生成'!C234</x:f>
        <x:v>33</x:v>
      </x:c>
      <x:c r="D234" s="5" t="n">
        <x:f>'TeamHero生成'!D234</x:f>
        <x:v>771179</x:v>
      </x:c>
      <x:c r="E234" s="5" t="n">
        <x:f>'TeamHero生成'!E234</x:f>
        <x:v>13332</x:v>
      </x:c>
      <x:c r="F234" s="5" t="n">
        <x:f>'TeamHero生成'!F234</x:f>
        <x:v>21504</x:v>
      </x:c>
      <x:c r="G234" s="4" t="str">
        <x:f>'TeamHero生成'!AG234</x:f>
        <x:v>有效</x:v>
      </x:c>
      <x:c r="H234" s="4" t="n">
        <x:f>'TeamHero生成'!G234</x:f>
        <x:v>828726</x:v>
      </x:c>
      <x:c r="I234" s="4" t="n">
        <x:f>'TeamHero生成'!H234</x:f>
        <x:v>14033</x:v>
      </x:c>
      <x:c r="J234" s="4" t="n">
        <x:f>'TeamHero生成'!I234</x:f>
        <x:v>15814</x:v>
      </x:c>
    </x:row>
    <x:row r="235" ht="14.25" customHeight="1">
      <x:c r="A235" s="4" t="n">
        <x:f>'TeamHero生成'!A235</x:f>
        <x:v>231</x:v>
      </x:c>
      <x:c r="B235" s="4" t="n">
        <x:f>'TeamHero生成'!B235</x:f>
        <x:v>1030</x:v>
      </x:c>
      <x:c r="C235" s="4" t="n">
        <x:f>'TeamHero生成'!C235</x:f>
        <x:v>33</x:v>
      </x:c>
      <x:c r="D235" s="5" t="n">
        <x:f>'TeamHero生成'!D235</x:f>
        <x:v>960300</x:v>
      </x:c>
      <x:c r="E235" s="5" t="n">
        <x:f>'TeamHero生成'!E235</x:f>
        <x:v>13757</x:v>
      </x:c>
      <x:c r="F235" s="5" t="n">
        <x:f>'TeamHero生成'!F235</x:f>
        <x:v>26324</x:v>
      </x:c>
      <x:c r="G235" s="4" t="str">
        <x:f>'TeamHero生成'!AG235</x:f>
        <x:v>有效</x:v>
      </x:c>
      <x:c r="H235" s="4" t="n">
        <x:f>'TeamHero生成'!G235</x:f>
        <x:v>1042682</x:v>
      </x:c>
      <x:c r="I235" s="4" t="n">
        <x:f>'TeamHero生成'!H235</x:f>
        <x:v>14482</x:v>
      </x:c>
      <x:c r="J235" s="4" t="n">
        <x:f>'TeamHero生成'!I235</x:f>
        <x:v>19466</x:v>
      </x:c>
    </x:row>
    <x:row r="236" ht="14.25" customHeight="1">
      <x:c r="A236" s="4" t="n">
        <x:f>'TeamHero生成'!A236</x:f>
        <x:v>232</x:v>
      </x:c>
      <x:c r="B236" s="4" t="n">
        <x:f>'TeamHero生成'!B236</x:f>
        <x:v>1012</x:v>
      </x:c>
      <x:c r="C236" s="4" t="n">
        <x:f>'TeamHero生成'!C236</x:f>
        <x:v>33</x:v>
      </x:c>
      <x:c r="D236" s="5" t="n">
        <x:f>'TeamHero生成'!D236</x:f>
        <x:v>800250</x:v>
      </x:c>
      <x:c r="E236" s="5" t="n">
        <x:f>'TeamHero生成'!E236</x:f>
        <x:v>13757</x:v>
      </x:c>
      <x:c r="F236" s="5" t="n">
        <x:f>'TeamHero生成'!F236</x:f>
        <x:v>21936</x:v>
      </x:c>
      <x:c r="G236" s="4" t="str">
        <x:f>'TeamHero生成'!AG236</x:f>
        <x:v>有效</x:v>
      </x:c>
      <x:c r="H236" s="4" t="n">
        <x:f>'TeamHero生成'!G236</x:f>
        <x:v>868902</x:v>
      </x:c>
      <x:c r="I236" s="4" t="n">
        <x:f>'TeamHero生成'!H236</x:f>
        <x:v>14482</x:v>
      </x:c>
      <x:c r="J236" s="4" t="n">
        <x:f>'TeamHero生成'!I236</x:f>
        <x:v>16222</x:v>
      </x:c>
    </x:row>
    <x:row r="237" ht="14.25" customHeight="1">
      <x:c r="A237" s="4" t="n">
        <x:f>'TeamHero生成'!A237</x:f>
        <x:v>233</x:v>
      </x:c>
      <x:c r="B237" s="4" t="n">
        <x:f>'TeamHero生成'!B237</x:f>
        <x:v>1012</x:v>
      </x:c>
      <x:c r="C237" s="4" t="n">
        <x:f>'TeamHero生成'!C237</x:f>
        <x:v>33</x:v>
      </x:c>
      <x:c r="D237" s="5" t="n">
        <x:f>'TeamHero生成'!D237</x:f>
        <x:v>800250</x:v>
      </x:c>
      <x:c r="E237" s="5" t="n">
        <x:f>'TeamHero生成'!E237</x:f>
        <x:v>13757</x:v>
      </x:c>
      <x:c r="F237" s="5" t="n">
        <x:f>'TeamHero生成'!F237</x:f>
        <x:v>21936</x:v>
      </x:c>
      <x:c r="G237" s="4" t="str">
        <x:f>'TeamHero生成'!AG237</x:f>
        <x:v>有效</x:v>
      </x:c>
      <x:c r="H237" s="4" t="n">
        <x:f>'TeamHero生成'!G237</x:f>
        <x:v>868902</x:v>
      </x:c>
      <x:c r="I237" s="4" t="n">
        <x:f>'TeamHero生成'!H237</x:f>
        <x:v>14482</x:v>
      </x:c>
      <x:c r="J237" s="4" t="n">
        <x:f>'TeamHero生成'!I237</x:f>
        <x:v>16222</x:v>
      </x:c>
    </x:row>
    <x:row r="238" ht="14.25" customHeight="1">
      <x:c r="A238" s="4" t="n">
        <x:f>'TeamHero生成'!A238</x:f>
        <x:v>234</x:v>
      </x:c>
      <x:c r="B238" s="4" t="n">
        <x:f>'TeamHero生成'!B238</x:f>
        <x:v>1026</x:v>
      </x:c>
      <x:c r="C238" s="4" t="n">
        <x:f>'TeamHero生成'!C238</x:f>
        <x:v>33</x:v>
      </x:c>
      <x:c r="D238" s="5" t="n">
        <x:f>'TeamHero生成'!D238</x:f>
        <x:v>640200</x:v>
      </x:c>
      <x:c r="E238" s="5" t="n">
        <x:f>'TeamHero生成'!E238</x:f>
        <x:v>16508</x:v>
      </x:c>
      <x:c r="F238" s="5" t="n">
        <x:f>'TeamHero生成'!F238</x:f>
        <x:v>17549</x:v>
      </x:c>
      <x:c r="G238" s="4" t="str">
        <x:f>'TeamHero生成'!AG238</x:f>
        <x:v>有效</x:v>
      </x:c>
      <x:c r="H238" s="4" t="n">
        <x:f>'TeamHero生成'!G238</x:f>
        <x:v>695121</x:v>
      </x:c>
      <x:c r="I238" s="4" t="n">
        <x:f>'TeamHero生成'!H238</x:f>
        <x:v>17378</x:v>
      </x:c>
      <x:c r="J238" s="4" t="n">
        <x:f>'TeamHero生成'!I238</x:f>
        <x:v>12977</x:v>
      </x:c>
    </x:row>
    <x:row r="239" ht="14.25" customHeight="1">
      <x:c r="A239" s="4" t="n">
        <x:f>'TeamHero生成'!A239</x:f>
        <x:v>235</x:v>
      </x:c>
      <x:c r="B239" s="4" t="n">
        <x:f>'TeamHero生成'!B239</x:f>
        <x:v>1021</x:v>
      </x:c>
      <x:c r="C239" s="4" t="n">
        <x:f>'TeamHero生成'!C239</x:f>
        <x:v>33</x:v>
      </x:c>
      <x:c r="D239" s="5" t="n">
        <x:f>'TeamHero生成'!D239</x:f>
        <x:v>640200</x:v>
      </x:c>
      <x:c r="E239" s="5" t="n">
        <x:f>'TeamHero生成'!E239</x:f>
        <x:v>16508</x:v>
      </x:c>
      <x:c r="F239" s="5" t="n">
        <x:f>'TeamHero生成'!F239</x:f>
        <x:v>17549</x:v>
      </x:c>
      <x:c r="G239" s="4" t="str">
        <x:f>'TeamHero生成'!AG239</x:f>
        <x:v>有效</x:v>
      </x:c>
      <x:c r="H239" s="4" t="n">
        <x:f>'TeamHero生成'!G239</x:f>
        <x:v>695121</x:v>
      </x:c>
      <x:c r="I239" s="4" t="n">
        <x:f>'TeamHero生成'!H239</x:f>
        <x:v>17378</x:v>
      </x:c>
      <x:c r="J239" s="4" t="n">
        <x:f>'TeamHero生成'!I239</x:f>
        <x:v>12977</x:v>
      </x:c>
    </x:row>
    <x:row r="240" ht="14.25" customHeight="1">
      <x:c r="A240" s="4" t="n">
        <x:f>'TeamHero生成'!A240</x:f>
        <x:v>236</x:v>
      </x:c>
      <x:c r="B240" s="4" t="n">
        <x:f>'TeamHero生成'!B240</x:f>
        <x:v>1002</x:v>
      </x:c>
      <x:c r="C240" s="4" t="n">
        <x:f>'TeamHero生成'!C240</x:f>
        <x:v>34</x:v>
      </x:c>
      <x:c r="D240" s="5" t="n">
        <x:f>'TeamHero生成'!D240</x:f>
        <x:v>1009493</x:v>
      </x:c>
      <x:c r="E240" s="5" t="n">
        <x:f>'TeamHero生成'!E240</x:f>
        <x:v>14265</x:v>
      </x:c>
      <x:c r="F240" s="5" t="n">
        <x:f>'TeamHero生成'!F240</x:f>
        <x:v>27023</x:v>
      </x:c>
      <x:c r="G240" s="4" t="str">
        <x:f>'TeamHero生成'!AG240</x:f>
        <x:v>有效</x:v>
      </x:c>
      <x:c r="H240" s="4" t="n">
        <x:f>'TeamHero生成'!G240</x:f>
        <x:v>1092542</x:v>
      </x:c>
      <x:c r="I240" s="4" t="n">
        <x:f>'TeamHero生成'!H240</x:f>
        <x:v>14939</x:v>
      </x:c>
      <x:c r="J240" s="4" t="n">
        <x:f>'TeamHero生成'!I240</x:f>
        <x:v>19960</x:v>
      </x:c>
    </x:row>
    <x:row r="241" ht="14.25" customHeight="1">
      <x:c r="A241" s="4" t="n">
        <x:f>'TeamHero生成'!A241</x:f>
        <x:v>237</x:v>
      </x:c>
      <x:c r="B241" s="4" t="n">
        <x:f>'TeamHero生成'!B241</x:f>
        <x:v>1015</x:v>
      </x:c>
      <x:c r="C241" s="4" t="n">
        <x:f>'TeamHero生成'!C241</x:f>
        <x:v>34</x:v>
      </x:c>
      <x:c r="D241" s="5" t="n">
        <x:f>'TeamHero生成'!D241</x:f>
        <x:v>841244</x:v>
      </x:c>
      <x:c r="E241" s="5" t="n">
        <x:f>'TeamHero生成'!E241</x:f>
        <x:v>14265</x:v>
      </x:c>
      <x:c r="F241" s="5" t="n">
        <x:f>'TeamHero生成'!F241</x:f>
        <x:v>22519</x:v>
      </x:c>
      <x:c r="G241" s="4" t="str">
        <x:f>'TeamHero生成'!AG241</x:f>
        <x:v>有效</x:v>
      </x:c>
      <x:c r="H241" s="4" t="n">
        <x:f>'TeamHero生成'!G241</x:f>
        <x:v>910452</x:v>
      </x:c>
      <x:c r="I241" s="4" t="n">
        <x:f>'TeamHero生成'!H241</x:f>
        <x:v>14939</x:v>
      </x:c>
      <x:c r="J241" s="4" t="n">
        <x:f>'TeamHero生成'!I241</x:f>
        <x:v>16634</x:v>
      </x:c>
    </x:row>
    <x:row r="242" ht="14.25" customHeight="1">
      <x:c r="A242" s="4" t="n">
        <x:f>'TeamHero生成'!A242</x:f>
        <x:v>238</x:v>
      </x:c>
      <x:c r="B242" s="4" t="n">
        <x:f>'TeamHero生成'!B242</x:f>
        <x:v>1020</x:v>
      </x:c>
      <x:c r="C242" s="4" t="n">
        <x:f>'TeamHero生成'!C242</x:f>
        <x:v>34</x:v>
      </x:c>
      <x:c r="D242" s="5" t="n">
        <x:f>'TeamHero生成'!D242</x:f>
        <x:v>841244</x:v>
      </x:c>
      <x:c r="E242" s="5" t="n">
        <x:f>'TeamHero生成'!E242</x:f>
        <x:v>14265</x:v>
      </x:c>
      <x:c r="F242" s="5" t="n">
        <x:f>'TeamHero生成'!F242</x:f>
        <x:v>22519</x:v>
      </x:c>
      <x:c r="G242" s="4" t="str">
        <x:f>'TeamHero生成'!AG242</x:f>
        <x:v>有效</x:v>
      </x:c>
      <x:c r="H242" s="4" t="n">
        <x:f>'TeamHero生成'!G242</x:f>
        <x:v>910452</x:v>
      </x:c>
      <x:c r="I242" s="4" t="n">
        <x:f>'TeamHero生成'!H242</x:f>
        <x:v>14939</x:v>
      </x:c>
      <x:c r="J242" s="4" t="n">
        <x:f>'TeamHero生成'!I242</x:f>
        <x:v>16634</x:v>
      </x:c>
    </x:row>
    <x:row r="243" ht="14.25" customHeight="1">
      <x:c r="A243" s="4" t="n">
        <x:f>'TeamHero生成'!A243</x:f>
        <x:v>239</x:v>
      </x:c>
      <x:c r="B243" s="4" t="n">
        <x:f>'TeamHero生成'!B243</x:f>
        <x:v>1021</x:v>
      </x:c>
      <x:c r="C243" s="4" t="n">
        <x:f>'TeamHero生成'!C243</x:f>
        <x:v>34</x:v>
      </x:c>
      <x:c r="D243" s="5" t="n">
        <x:f>'TeamHero生成'!D243</x:f>
        <x:v>672995</x:v>
      </x:c>
      <x:c r="E243" s="5" t="n">
        <x:f>'TeamHero生成'!E243</x:f>
        <x:v>17118</x:v>
      </x:c>
      <x:c r="F243" s="5" t="n">
        <x:f>'TeamHero生成'!F243</x:f>
        <x:v>18015</x:v>
      </x:c>
      <x:c r="G243" s="4" t="str">
        <x:f>'TeamHero生成'!AG243</x:f>
        <x:v>有效</x:v>
      </x:c>
      <x:c r="H243" s="4" t="n">
        <x:f>'TeamHero生成'!G243</x:f>
        <x:v>728361</x:v>
      </x:c>
      <x:c r="I243" s="4" t="n">
        <x:f>'TeamHero生成'!H243</x:f>
        <x:v>17926</x:v>
      </x:c>
      <x:c r="J243" s="4" t="n">
        <x:f>'TeamHero生成'!I243</x:f>
        <x:v>13307</x:v>
      </x:c>
    </x:row>
    <x:row r="244" ht="14.25" customHeight="1">
      <x:c r="A244" s="4" t="n">
        <x:f>'TeamHero生成'!A244</x:f>
        <x:v>240</x:v>
      </x:c>
      <x:c r="B244" s="4" t="n">
        <x:f>'TeamHero生成'!B244</x:f>
        <x:v>1040</x:v>
      </x:c>
      <x:c r="C244" s="4" t="n">
        <x:f>'TeamHero生成'!C244</x:f>
        <x:v>34</x:v>
      </x:c>
      <x:c r="D244" s="5" t="n">
        <x:f>'TeamHero生成'!D244</x:f>
        <x:v>841244</x:v>
      </x:c>
      <x:c r="E244" s="5" t="n">
        <x:f>'TeamHero生成'!E244</x:f>
        <x:v>14265</x:v>
      </x:c>
      <x:c r="F244" s="5" t="n">
        <x:f>'TeamHero生成'!F244</x:f>
        <x:v>22519</x:v>
      </x:c>
      <x:c r="G244" s="4" t="str">
        <x:f>'TeamHero生成'!AG244</x:f>
        <x:v>有效</x:v>
      </x:c>
      <x:c r="H244" s="4" t="n">
        <x:f>'TeamHero生成'!G244</x:f>
        <x:v>910452</x:v>
      </x:c>
      <x:c r="I244" s="4" t="n">
        <x:f>'TeamHero生成'!H244</x:f>
        <x:v>14939</x:v>
      </x:c>
      <x:c r="J244" s="4" t="n">
        <x:f>'TeamHero生成'!I244</x:f>
        <x:v>16634</x:v>
      </x:c>
    </x:row>
    <x:row r="245" ht="14.25" customHeight="1">
      <x:c r="A245" s="4" t="n">
        <x:f>'TeamHero生成'!A245</x:f>
        <x:v>241</x:v>
      </x:c>
      <x:c r="B245" s="4" t="n">
        <x:f>'TeamHero生成'!B245</x:f>
        <x:v>1030</x:v>
      </x:c>
      <x:c r="C245" s="4" t="n">
        <x:f>'TeamHero生成'!C245</x:f>
        <x:v>34</x:v>
      </x:c>
      <x:c r="D245" s="5" t="n">
        <x:f>'TeamHero生成'!D245</x:f>
        <x:v>1047790</x:v>
      </x:c>
      <x:c r="E245" s="5" t="n">
        <x:f>'TeamHero生成'!E245</x:f>
        <x:v>14643</x:v>
      </x:c>
      <x:c r="F245" s="5" t="n">
        <x:f>'TeamHero生成'!F245</x:f>
        <x:v>27549</x:v>
      </x:c>
      <x:c r="G245" s="4" t="str">
        <x:f>'TeamHero生成'!AG245</x:f>
        <x:v>有效</x:v>
      </x:c>
      <x:c r="H245" s="4" t="n">
        <x:f>'TeamHero生成'!G245</x:f>
        <x:v>1144072</x:v>
      </x:c>
      <x:c r="I245" s="4" t="n">
        <x:f>'TeamHero生成'!H245</x:f>
        <x:v>15407</x:v>
      </x:c>
      <x:c r="J245" s="4" t="n">
        <x:f>'TeamHero生成'!I245</x:f>
        <x:v>20458</x:v>
      </x:c>
    </x:row>
    <x:row r="246" ht="14.25" customHeight="1">
      <x:c r="A246" s="4" t="n">
        <x:f>'TeamHero生成'!A246</x:f>
        <x:v>242</x:v>
      </x:c>
      <x:c r="B246" s="4" t="n">
        <x:f>'TeamHero生成'!B246</x:f>
        <x:v>1002</x:v>
      </x:c>
      <x:c r="C246" s="4" t="n">
        <x:f>'TeamHero生成'!C246</x:f>
        <x:v>34</x:v>
      </x:c>
      <x:c r="D246" s="5" t="n">
        <x:f>'TeamHero生成'!D246</x:f>
        <x:v>1047790</x:v>
      </x:c>
      <x:c r="E246" s="5" t="n">
        <x:f>'TeamHero生成'!E246</x:f>
        <x:v>14643</x:v>
      </x:c>
      <x:c r="F246" s="5" t="n">
        <x:f>'TeamHero生成'!F246</x:f>
        <x:v>27549</x:v>
      </x:c>
      <x:c r="G246" s="4" t="str">
        <x:f>'TeamHero生成'!AG246</x:f>
        <x:v>有效</x:v>
      </x:c>
      <x:c r="H246" s="4" t="n">
        <x:f>'TeamHero生成'!G246</x:f>
        <x:v>1144072</x:v>
      </x:c>
      <x:c r="I246" s="4" t="n">
        <x:f>'TeamHero生成'!H246</x:f>
        <x:v>15407</x:v>
      </x:c>
      <x:c r="J246" s="4" t="n">
        <x:f>'TeamHero生成'!I246</x:f>
        <x:v>20458</x:v>
      </x:c>
    </x:row>
    <x:row r="247" ht="14.25" customHeight="1">
      <x:c r="A247" s="4" t="n">
        <x:f>'TeamHero生成'!A247</x:f>
        <x:v>243</x:v>
      </x:c>
      <x:c r="B247" s="4" t="n">
        <x:f>'TeamHero生成'!B247</x:f>
        <x:v>1030</x:v>
      </x:c>
      <x:c r="C247" s="4" t="n">
        <x:f>'TeamHero生成'!C247</x:f>
        <x:v>34</x:v>
      </x:c>
      <x:c r="D247" s="5" t="n">
        <x:f>'TeamHero生成'!D247</x:f>
        <x:v>1047790</x:v>
      </x:c>
      <x:c r="E247" s="5" t="n">
        <x:f>'TeamHero生成'!E247</x:f>
        <x:v>14643</x:v>
      </x:c>
      <x:c r="F247" s="5" t="n">
        <x:f>'TeamHero生成'!F247</x:f>
        <x:v>27549</x:v>
      </x:c>
      <x:c r="G247" s="4" t="str">
        <x:f>'TeamHero生成'!AG247</x:f>
        <x:v>有效</x:v>
      </x:c>
      <x:c r="H247" s="4" t="n">
        <x:f>'TeamHero生成'!G247</x:f>
        <x:v>1144072</x:v>
      </x:c>
      <x:c r="I247" s="4" t="n">
        <x:f>'TeamHero生成'!H247</x:f>
        <x:v>15407</x:v>
      </x:c>
      <x:c r="J247" s="4" t="n">
        <x:f>'TeamHero生成'!I247</x:f>
        <x:v>20458</x:v>
      </x:c>
    </x:row>
    <x:row r="248" ht="14.25" customHeight="1">
      <x:c r="A248" s="4" t="n">
        <x:f>'TeamHero生成'!A248</x:f>
        <x:v>244</x:v>
      </x:c>
      <x:c r="B248" s="4" t="n">
        <x:f>'TeamHero生成'!B248</x:f>
        <x:v>1018</x:v>
      </x:c>
      <x:c r="C248" s="4" t="n">
        <x:f>'TeamHero生成'!C248</x:f>
        <x:v>34</x:v>
      </x:c>
      <x:c r="D248" s="5" t="n">
        <x:f>'TeamHero生成'!D248</x:f>
        <x:v>873159</x:v>
      </x:c>
      <x:c r="E248" s="5" t="n">
        <x:f>'TeamHero生成'!E248</x:f>
        <x:v>14643</x:v>
      </x:c>
      <x:c r="F248" s="5" t="n">
        <x:f>'TeamHero生成'!F248</x:f>
        <x:v>22958</x:v>
      </x:c>
      <x:c r="G248" s="4" t="str">
        <x:f>'TeamHero生成'!AG248</x:f>
        <x:v>有效</x:v>
      </x:c>
      <x:c r="H248" s="4" t="n">
        <x:f>'TeamHero生成'!G248</x:f>
        <x:v>953394</x:v>
      </x:c>
      <x:c r="I248" s="4" t="n">
        <x:f>'TeamHero生成'!H248</x:f>
        <x:v>15407</x:v>
      </x:c>
      <x:c r="J248" s="4" t="n">
        <x:f>'TeamHero生成'!I248</x:f>
        <x:v>17049</x:v>
      </x:c>
    </x:row>
    <x:row r="249" ht="14.25" customHeight="1">
      <x:c r="A249" s="4" t="n">
        <x:f>'TeamHero生成'!A249</x:f>
        <x:v>245</x:v>
      </x:c>
      <x:c r="B249" s="4" t="n">
        <x:f>'TeamHero生成'!B249</x:f>
        <x:v>1021</x:v>
      </x:c>
      <x:c r="C249" s="4" t="n">
        <x:f>'TeamHero生成'!C249</x:f>
        <x:v>34</x:v>
      </x:c>
      <x:c r="D249" s="5" t="n">
        <x:f>'TeamHero生成'!D249</x:f>
        <x:v>698527</x:v>
      </x:c>
      <x:c r="E249" s="5" t="n">
        <x:f>'TeamHero生成'!E249</x:f>
        <x:v>17572</x:v>
      </x:c>
      <x:c r="F249" s="5" t="n">
        <x:f>'TeamHero生成'!F249</x:f>
        <x:v>18366</x:v>
      </x:c>
      <x:c r="G249" s="4" t="str">
        <x:f>'TeamHero生成'!AG249</x:f>
        <x:v>有效</x:v>
      </x:c>
      <x:c r="H249" s="4" t="n">
        <x:f>'TeamHero生成'!G249</x:f>
        <x:v>762715</x:v>
      </x:c>
      <x:c r="I249" s="4" t="n">
        <x:f>'TeamHero生成'!H249</x:f>
        <x:v>18488</x:v>
      </x:c>
      <x:c r="J249" s="4" t="n">
        <x:f>'TeamHero生成'!I249</x:f>
        <x:v>13639</x:v>
      </x:c>
    </x:row>
    <x:row r="250" ht="14.25" customHeight="1">
      <x:c r="A250" s="4" t="n">
        <x:f>'TeamHero生成'!A250</x:f>
        <x:v>246</x:v>
      </x:c>
      <x:c r="B250" s="4" t="n">
        <x:f>'TeamHero生成'!B250</x:f>
        <x:v>1030</x:v>
      </x:c>
      <x:c r="C250" s="4" t="n">
        <x:f>'TeamHero生成'!C250</x:f>
        <x:v>35</x:v>
      </x:c>
      <x:c r="D250" s="5" t="n">
        <x:f>'TeamHero生成'!D250</x:f>
        <x:v>1109663</x:v>
      </x:c>
      <x:c r="E250" s="5" t="n">
        <x:f>'TeamHero生成'!E250</x:f>
        <x:v>15315</x:v>
      </x:c>
      <x:c r="F250" s="5" t="n">
        <x:f>'TeamHero生成'!F250</x:f>
        <x:v>28257</x:v>
      </x:c>
      <x:c r="G250" s="4" t="str">
        <x:f>'TeamHero生成'!AG250</x:f>
        <x:v>有效</x:v>
      </x:c>
      <x:c r="H250" s="4" t="n">
        <x:f>'TeamHero生成'!G250</x:f>
        <x:v>1197316</x:v>
      </x:c>
      <x:c r="I250" s="4" t="n">
        <x:f>'TeamHero生成'!H250</x:f>
        <x:v>15884</x:v>
      </x:c>
      <x:c r="J250" s="4" t="n">
        <x:f>'TeamHero生成'!I250</x:f>
        <x:v>20961</x:v>
      </x:c>
    </x:row>
    <x:row r="251" ht="14.25" customHeight="1">
      <x:c r="A251" s="4" t="n">
        <x:f>'TeamHero生成'!A251</x:f>
        <x:v>247</x:v>
      </x:c>
      <x:c r="B251" s="4" t="n">
        <x:f>'TeamHero生成'!B251</x:f>
        <x:v>1021</x:v>
      </x:c>
      <x:c r="C251" s="4" t="n">
        <x:f>'TeamHero生成'!C251</x:f>
        <x:v>35</x:v>
      </x:c>
      <x:c r="D251" s="5" t="n">
        <x:f>'TeamHero生成'!D251</x:f>
        <x:v>739775</x:v>
      </x:c>
      <x:c r="E251" s="5" t="n">
        <x:f>'TeamHero生成'!E251</x:f>
        <x:v>18378</x:v>
      </x:c>
      <x:c r="F251" s="5" t="n">
        <x:f>'TeamHero生成'!F251</x:f>
        <x:v>18838</x:v>
      </x:c>
      <x:c r="G251" s="4" t="str">
        <x:f>'TeamHero生成'!AG251</x:f>
        <x:v>有效</x:v>
      </x:c>
      <x:c r="H251" s="4" t="n">
        <x:f>'TeamHero生成'!G251</x:f>
        <x:v>798211</x:v>
      </x:c>
      <x:c r="I251" s="4" t="n">
        <x:f>'TeamHero生成'!H251</x:f>
        <x:v>19060</x:v>
      </x:c>
      <x:c r="J251" s="4" t="n">
        <x:f>'TeamHero生成'!I251</x:f>
        <x:v>13974</x:v>
      </x:c>
    </x:row>
    <x:row r="252" ht="14.25" customHeight="1">
      <x:c r="A252" s="4" t="n">
        <x:f>'TeamHero生成'!A252</x:f>
        <x:v>248</x:v>
      </x:c>
      <x:c r="B252" s="4" t="n">
        <x:f>'TeamHero生成'!B252</x:f>
        <x:v>1029</x:v>
      </x:c>
      <x:c r="C252" s="4" t="n">
        <x:f>'TeamHero生成'!C252</x:f>
        <x:v>35</x:v>
      </x:c>
      <x:c r="D252" s="5" t="n">
        <x:f>'TeamHero生成'!D252</x:f>
        <x:v>924719</x:v>
      </x:c>
      <x:c r="E252" s="5" t="n">
        <x:f>'TeamHero生成'!E252</x:f>
        <x:v>15315</x:v>
      </x:c>
      <x:c r="F252" s="5" t="n">
        <x:f>'TeamHero生成'!F252</x:f>
        <x:v>23548</x:v>
      </x:c>
      <x:c r="G252" s="4" t="str">
        <x:f>'TeamHero生成'!AG252</x:f>
        <x:v>有效</x:v>
      </x:c>
      <x:c r="H252" s="4" t="n">
        <x:f>'TeamHero生成'!G252</x:f>
        <x:v>997764</x:v>
      </x:c>
      <x:c r="I252" s="4" t="n">
        <x:f>'TeamHero生成'!H252</x:f>
        <x:v>15884</x:v>
      </x:c>
      <x:c r="J252" s="4" t="n">
        <x:f>'TeamHero生成'!I252</x:f>
        <x:v>17468</x:v>
      </x:c>
    </x:row>
    <x:row r="253" ht="14.25" customHeight="1">
      <x:c r="A253" s="4" t="n">
        <x:f>'TeamHero生成'!A253</x:f>
        <x:v>249</x:v>
      </x:c>
      <x:c r="B253" s="4" t="n">
        <x:f>'TeamHero生成'!B253</x:f>
        <x:v>1020</x:v>
      </x:c>
      <x:c r="C253" s="4" t="n">
        <x:f>'TeamHero生成'!C253</x:f>
        <x:v>35</x:v>
      </x:c>
      <x:c r="D253" s="5" t="n">
        <x:f>'TeamHero生成'!D253</x:f>
        <x:v>924719</x:v>
      </x:c>
      <x:c r="E253" s="5" t="n">
        <x:f>'TeamHero生成'!E253</x:f>
        <x:v>15315</x:v>
      </x:c>
      <x:c r="F253" s="5" t="n">
        <x:f>'TeamHero生成'!F253</x:f>
        <x:v>23548</x:v>
      </x:c>
      <x:c r="G253" s="4" t="str">
        <x:f>'TeamHero生成'!AG253</x:f>
        <x:v>有效</x:v>
      </x:c>
      <x:c r="H253" s="4" t="n">
        <x:f>'TeamHero生成'!G253</x:f>
        <x:v>997764</x:v>
      </x:c>
      <x:c r="I253" s="4" t="n">
        <x:f>'TeamHero生成'!H253</x:f>
        <x:v>15884</x:v>
      </x:c>
      <x:c r="J253" s="4" t="n">
        <x:f>'TeamHero生成'!I253</x:f>
        <x:v>17468</x:v>
      </x:c>
    </x:row>
    <x:row r="254" ht="14.25" customHeight="1">
      <x:c r="A254" s="4" t="n">
        <x:f>'TeamHero生成'!A254</x:f>
        <x:v>250</x:v>
      </x:c>
      <x:c r="B254" s="4" t="n">
        <x:f>'TeamHero生成'!B254</x:f>
        <x:v>1018</x:v>
      </x:c>
      <x:c r="C254" s="4" t="n">
        <x:f>'TeamHero生成'!C254</x:f>
        <x:v>35</x:v>
      </x:c>
      <x:c r="D254" s="5" t="n">
        <x:f>'TeamHero生成'!D254</x:f>
        <x:v>924719</x:v>
      </x:c>
      <x:c r="E254" s="5" t="n">
        <x:f>'TeamHero生成'!E254</x:f>
        <x:v>15315</x:v>
      </x:c>
      <x:c r="F254" s="5" t="n">
        <x:f>'TeamHero生成'!F254</x:f>
        <x:v>23548</x:v>
      </x:c>
      <x:c r="G254" s="4" t="str">
        <x:f>'TeamHero生成'!AG254</x:f>
        <x:v>有效</x:v>
      </x:c>
      <x:c r="H254" s="4" t="n">
        <x:f>'TeamHero生成'!G254</x:f>
        <x:v>997764</x:v>
      </x:c>
      <x:c r="I254" s="4" t="n">
        <x:f>'TeamHero生成'!H254</x:f>
        <x:v>15884</x:v>
      </x:c>
      <x:c r="J254" s="4" t="n">
        <x:f>'TeamHero生成'!I254</x:f>
        <x:v>17468</x:v>
      </x:c>
    </x:row>
    <x:row r="255" ht="14.25" customHeight="1">
      <x:c r="A255" s="4" t="n">
        <x:f>'TeamHero生成'!A255</x:f>
        <x:v>251</x:v>
      </x:c>
      <x:c r="B255" s="4" t="n">
        <x:f>'TeamHero生成'!B255</x:f>
        <x:v>1030</x:v>
      </x:c>
      <x:c r="C255" s="4" t="n">
        <x:f>'TeamHero生成'!C255</x:f>
        <x:v>35</x:v>
      </x:c>
      <x:c r="D255" s="5" t="n">
        <x:f>'TeamHero生成'!D255</x:f>
        <x:v>1134668</x:v>
      </x:c>
      <x:c r="E255" s="5" t="n">
        <x:f>'TeamHero生成'!E255</x:f>
        <x:v>15626</x:v>
      </x:c>
      <x:c r="F255" s="5" t="n">
        <x:f>'TeamHero生成'!F255</x:f>
        <x:v>28613</x:v>
      </x:c>
      <x:c r="G255" s="4" t="str">
        <x:f>'TeamHero生成'!AG255</x:f>
        <x:v>有效</x:v>
      </x:c>
      <x:c r="H255" s="4" t="n">
        <x:f>'TeamHero生成'!G255</x:f>
        <x:v>1266336</x:v>
      </x:c>
      <x:c r="I255" s="4" t="n">
        <x:f>'TeamHero生成'!H255</x:f>
        <x:v>16495</x:v>
      </x:c>
      <x:c r="J255" s="4" t="n">
        <x:f>'TeamHero生成'!I255</x:f>
        <x:v>21596</x:v>
      </x:c>
    </x:row>
    <x:row r="256" ht="14.25" customHeight="1">
      <x:c r="A256" s="4" t="n">
        <x:f>'TeamHero生成'!A256</x:f>
        <x:v>252</x:v>
      </x:c>
      <x:c r="B256" s="4" t="n">
        <x:f>'TeamHero生成'!B256</x:f>
        <x:v>1015</x:v>
      </x:c>
      <x:c r="C256" s="4" t="n">
        <x:f>'TeamHero生成'!C256</x:f>
        <x:v>35</x:v>
      </x:c>
      <x:c r="D256" s="5" t="n">
        <x:f>'TeamHero生成'!D256</x:f>
        <x:v>945556</x:v>
      </x:c>
      <x:c r="E256" s="5" t="n">
        <x:f>'TeamHero生成'!E256</x:f>
        <x:v>15626</x:v>
      </x:c>
      <x:c r="F256" s="5" t="n">
        <x:f>'TeamHero生成'!F256</x:f>
        <x:v>23844</x:v>
      </x:c>
      <x:c r="G256" s="4" t="str">
        <x:f>'TeamHero生成'!AG256</x:f>
        <x:v>有效</x:v>
      </x:c>
      <x:c r="H256" s="4" t="n">
        <x:f>'TeamHero生成'!G256</x:f>
        <x:v>1055280</x:v>
      </x:c>
      <x:c r="I256" s="4" t="n">
        <x:f>'TeamHero生成'!H256</x:f>
        <x:v>16495</x:v>
      </x:c>
      <x:c r="J256" s="4" t="n">
        <x:f>'TeamHero生成'!I256</x:f>
        <x:v>17997</x:v>
      </x:c>
    </x:row>
    <x:row r="257" ht="14.25" customHeight="1">
      <x:c r="A257" s="4" t="n">
        <x:f>'TeamHero生成'!A257</x:f>
        <x:v>253</x:v>
      </x:c>
      <x:c r="B257" s="4" t="n">
        <x:f>'TeamHero生成'!B257</x:f>
        <x:v>1014</x:v>
      </x:c>
      <x:c r="C257" s="4" t="n">
        <x:f>'TeamHero生成'!C257</x:f>
        <x:v>35</x:v>
      </x:c>
      <x:c r="D257" s="5" t="n">
        <x:f>'TeamHero生成'!D257</x:f>
        <x:v>756445</x:v>
      </x:c>
      <x:c r="E257" s="5" t="n">
        <x:f>'TeamHero生成'!E257</x:f>
        <x:v>18751</x:v>
      </x:c>
      <x:c r="F257" s="5" t="n">
        <x:f>'TeamHero生成'!F257</x:f>
        <x:v>19075</x:v>
      </x:c>
      <x:c r="G257" s="4" t="str">
        <x:f>'TeamHero生成'!AG257</x:f>
        <x:v>有效</x:v>
      </x:c>
      <x:c r="H257" s="4" t="n">
        <x:f>'TeamHero生成'!G257</x:f>
        <x:v>844224</x:v>
      </x:c>
      <x:c r="I257" s="4" t="n">
        <x:f>'TeamHero生成'!H257</x:f>
        <x:v>19794</x:v>
      </x:c>
      <x:c r="J257" s="4" t="n">
        <x:f>'TeamHero生成'!I257</x:f>
        <x:v>14397</x:v>
      </x:c>
    </x:row>
    <x:row r="258" ht="14.25" customHeight="1">
      <x:c r="A258" s="4" t="n">
        <x:f>'TeamHero生成'!A258</x:f>
        <x:v>254</x:v>
      </x:c>
      <x:c r="B258" s="4" t="n">
        <x:f>'TeamHero生成'!B258</x:f>
        <x:v>1005</x:v>
      </x:c>
      <x:c r="C258" s="4" t="n">
        <x:f>'TeamHero生成'!C258</x:f>
        <x:v>35</x:v>
      </x:c>
      <x:c r="D258" s="5" t="n">
        <x:f>'TeamHero生成'!D258</x:f>
        <x:v>756445</x:v>
      </x:c>
      <x:c r="E258" s="5" t="n">
        <x:f>'TeamHero生成'!E258</x:f>
        <x:v>18751</x:v>
      </x:c>
      <x:c r="F258" s="5" t="n">
        <x:f>'TeamHero生成'!F258</x:f>
        <x:v>19075</x:v>
      </x:c>
      <x:c r="G258" s="4" t="str">
        <x:f>'TeamHero生成'!AG258</x:f>
        <x:v>有效</x:v>
      </x:c>
      <x:c r="H258" s="4" t="n">
        <x:f>'TeamHero生成'!G258</x:f>
        <x:v>844224</x:v>
      </x:c>
      <x:c r="I258" s="4" t="n">
        <x:f>'TeamHero生成'!H258</x:f>
        <x:v>19794</x:v>
      </x:c>
      <x:c r="J258" s="4" t="n">
        <x:f>'TeamHero生成'!I258</x:f>
        <x:v>14397</x:v>
      </x:c>
    </x:row>
    <x:row r="259" ht="14.25" customHeight="1">
      <x:c r="A259" s="4" t="n">
        <x:f>'TeamHero生成'!A259</x:f>
        <x:v>255</x:v>
      </x:c>
      <x:c r="B259" s="4" t="n">
        <x:f>'TeamHero生成'!B259</x:f>
        <x:v>1006</x:v>
      </x:c>
      <x:c r="C259" s="4" t="n">
        <x:f>'TeamHero生成'!C259</x:f>
        <x:v>35</x:v>
      </x:c>
      <x:c r="D259" s="5" t="n">
        <x:f>'TeamHero生成'!D259</x:f>
        <x:v>756445</x:v>
      </x:c>
      <x:c r="E259" s="5" t="n">
        <x:f>'TeamHero生成'!E259</x:f>
        <x:v>18751</x:v>
      </x:c>
      <x:c r="F259" s="5" t="n">
        <x:f>'TeamHero生成'!F259</x:f>
        <x:v>19075</x:v>
      </x:c>
      <x:c r="G259" s="4" t="str">
        <x:f>'TeamHero生成'!AG259</x:f>
        <x:v>有效</x:v>
      </x:c>
      <x:c r="H259" s="4" t="n">
        <x:f>'TeamHero生成'!G259</x:f>
        <x:v>844224</x:v>
      </x:c>
      <x:c r="I259" s="4" t="n">
        <x:f>'TeamHero生成'!H259</x:f>
        <x:v>19794</x:v>
      </x:c>
      <x:c r="J259" s="4" t="n">
        <x:f>'TeamHero生成'!I259</x:f>
        <x:v>14397</x:v>
      </x:c>
    </x:row>
    <x:row r="260" ht="14.25" customHeight="1">
      <x:c r="A260" s="4" t="n">
        <x:f>'TeamHero生成'!A260</x:f>
        <x:v>256</x:v>
      </x:c>
      <x:c r="B260" s="4" t="n">
        <x:f>'TeamHero生成'!B260</x:f>
        <x:v>1003</x:v>
      </x:c>
      <x:c r="C260" s="4" t="n">
        <x:f>'TeamHero生成'!C260</x:f>
        <x:v>36</x:v>
      </x:c>
      <x:c r="D260" s="5" t="n">
        <x:f>'TeamHero生成'!D260</x:f>
        <x:v>1169721</x:v>
      </x:c>
      <x:c r="E260" s="5" t="n">
        <x:f>'TeamHero生成'!E260</x:f>
        <x:v>16013</x:v>
      </x:c>
      <x:c r="F260" s="5" t="n">
        <x:f>'TeamHero生成'!F260</x:f>
        <x:v>29150</x:v>
      </x:c>
      <x:c r="G260" s="4" t="str">
        <x:f>'TeamHero生成'!AG260</x:f>
        <x:v>有效</x:v>
      </x:c>
      <x:c r="H260" s="4" t="n">
        <x:f>'TeamHero生成'!G260</x:f>
        <x:v>1323561</x:v>
      </x:c>
      <x:c r="I260" s="4" t="n">
        <x:f>'TeamHero生成'!H260</x:f>
        <x:v>16997</x:v>
      </x:c>
      <x:c r="J260" s="4" t="n">
        <x:f>'TeamHero生成'!I260</x:f>
        <x:v>22108</x:v>
      </x:c>
    </x:row>
    <x:row r="261" ht="14.25" customHeight="1">
      <x:c r="A261" s="4" t="n">
        <x:f>'TeamHero生成'!A261</x:f>
        <x:v>257</x:v>
      </x:c>
      <x:c r="B261" s="4" t="n">
        <x:f>'TeamHero生成'!B261</x:f>
        <x:v>1014</x:v>
      </x:c>
      <x:c r="C261" s="4" t="n">
        <x:f>'TeamHero生成'!C261</x:f>
        <x:v>36</x:v>
      </x:c>
      <x:c r="D261" s="5" t="n">
        <x:f>'TeamHero生成'!D261</x:f>
        <x:v>779814</x:v>
      </x:c>
      <x:c r="E261" s="5" t="n">
        <x:f>'TeamHero生成'!E261</x:f>
        <x:v>19216</x:v>
      </x:c>
      <x:c r="F261" s="5" t="n">
        <x:f>'TeamHero生成'!F261</x:f>
        <x:v>19433</x:v>
      </x:c>
      <x:c r="G261" s="4" t="str">
        <x:f>'TeamHero生成'!AG261</x:f>
        <x:v>有效</x:v>
      </x:c>
      <x:c r="H261" s="4" t="n">
        <x:f>'TeamHero生成'!G261</x:f>
        <x:v>882374</x:v>
      </x:c>
      <x:c r="I261" s="4" t="n">
        <x:f>'TeamHero生成'!H261</x:f>
        <x:v>20396</x:v>
      </x:c>
      <x:c r="J261" s="4" t="n">
        <x:f>'TeamHero生成'!I261</x:f>
        <x:v>14739</x:v>
      </x:c>
    </x:row>
    <x:row r="262" ht="14.25" customHeight="1">
      <x:c r="A262" s="4" t="n">
        <x:f>'TeamHero生成'!A262</x:f>
        <x:v>258</x:v>
      </x:c>
      <x:c r="B262" s="4" t="n">
        <x:f>'TeamHero生成'!B262</x:f>
        <x:v>1018</x:v>
      </x:c>
      <x:c r="C262" s="4" t="n">
        <x:f>'TeamHero生成'!C262</x:f>
        <x:v>36</x:v>
      </x:c>
      <x:c r="D262" s="5" t="n">
        <x:f>'TeamHero生成'!D262</x:f>
        <x:v>974767</x:v>
      </x:c>
      <x:c r="E262" s="5" t="n">
        <x:f>'TeamHero生成'!E262</x:f>
        <x:v>16013</x:v>
      </x:c>
      <x:c r="F262" s="5" t="n">
        <x:f>'TeamHero生成'!F262</x:f>
        <x:v>24291</x:v>
      </x:c>
      <x:c r="G262" s="4" t="str">
        <x:f>'TeamHero生成'!AG262</x:f>
        <x:v>有效</x:v>
      </x:c>
      <x:c r="H262" s="4" t="n">
        <x:f>'TeamHero生成'!G262</x:f>
        <x:v>1102968</x:v>
      </x:c>
      <x:c r="I262" s="4" t="n">
        <x:f>'TeamHero生成'!H262</x:f>
        <x:v>16997</x:v>
      </x:c>
      <x:c r="J262" s="4" t="n">
        <x:f>'TeamHero生成'!I262</x:f>
        <x:v>18424</x:v>
      </x:c>
    </x:row>
    <x:row r="263" ht="14.25" customHeight="1">
      <x:c r="A263" s="4" t="n">
        <x:f>'TeamHero生成'!A263</x:f>
        <x:v>259</x:v>
      </x:c>
      <x:c r="B263" s="4" t="n">
        <x:f>'TeamHero生成'!B263</x:f>
        <x:v>1005</x:v>
      </x:c>
      <x:c r="C263" s="4" t="n">
        <x:f>'TeamHero生成'!C263</x:f>
        <x:v>36</x:v>
      </x:c>
      <x:c r="D263" s="5" t="n">
        <x:f>'TeamHero生成'!D263</x:f>
        <x:v>779814</x:v>
      </x:c>
      <x:c r="E263" s="5" t="n">
        <x:f>'TeamHero生成'!E263</x:f>
        <x:v>19216</x:v>
      </x:c>
      <x:c r="F263" s="5" t="n">
        <x:f>'TeamHero生成'!F263</x:f>
        <x:v>19433</x:v>
      </x:c>
      <x:c r="G263" s="4" t="str">
        <x:f>'TeamHero生成'!AG263</x:f>
        <x:v>有效</x:v>
      </x:c>
      <x:c r="H263" s="4" t="n">
        <x:f>'TeamHero生成'!G263</x:f>
        <x:v>882374</x:v>
      </x:c>
      <x:c r="I263" s="4" t="n">
        <x:f>'TeamHero生成'!H263</x:f>
        <x:v>20396</x:v>
      </x:c>
      <x:c r="J263" s="4" t="n">
        <x:f>'TeamHero生成'!I263</x:f>
        <x:v>14739</x:v>
      </x:c>
    </x:row>
    <x:row r="264" ht="14.25" customHeight="1">
      <x:c r="A264" s="4" t="n">
        <x:f>'TeamHero生成'!A264</x:f>
        <x:v>260</x:v>
      </x:c>
      <x:c r="B264" s="4" t="n">
        <x:f>'TeamHero生成'!B264</x:f>
        <x:v>1012</x:v>
      </x:c>
      <x:c r="C264" s="4" t="n">
        <x:f>'TeamHero生成'!C264</x:f>
        <x:v>36</x:v>
      </x:c>
      <x:c r="D264" s="5" t="n">
        <x:f>'TeamHero生成'!D264</x:f>
        <x:v>974767</x:v>
      </x:c>
      <x:c r="E264" s="5" t="n">
        <x:f>'TeamHero生成'!E264</x:f>
        <x:v>16013</x:v>
      </x:c>
      <x:c r="F264" s="5" t="n">
        <x:f>'TeamHero生成'!F264</x:f>
        <x:v>24291</x:v>
      </x:c>
      <x:c r="G264" s="4" t="str">
        <x:f>'TeamHero生成'!AG264</x:f>
        <x:v>有效</x:v>
      </x:c>
      <x:c r="H264" s="4" t="n">
        <x:f>'TeamHero生成'!G264</x:f>
        <x:v>1102968</x:v>
      </x:c>
      <x:c r="I264" s="4" t="n">
        <x:f>'TeamHero生成'!H264</x:f>
        <x:v>16997</x:v>
      </x:c>
      <x:c r="J264" s="4" t="n">
        <x:f>'TeamHero生成'!I264</x:f>
        <x:v>18424</x:v>
      </x:c>
    </x:row>
    <x:row r="265" ht="14.25" customHeight="1">
      <x:c r="A265" s="4" t="n">
        <x:f>'TeamHero生成'!A265</x:f>
        <x:v>261</x:v>
      </x:c>
      <x:c r="B265" s="4" t="n">
        <x:f>'TeamHero生成'!B265</x:f>
        <x:v>1003</x:v>
      </x:c>
      <x:c r="C265" s="4" t="n">
        <x:f>'TeamHero生成'!C265</x:f>
        <x:v>36</x:v>
      </x:c>
      <x:c r="D265" s="5" t="n">
        <x:f>'TeamHero生成'!D265</x:f>
        <x:v>1200620</x:v>
      </x:c>
      <x:c r="E265" s="5" t="n">
        <x:f>'TeamHero生成'!E265</x:f>
        <x:v>16349</x:v>
      </x:c>
      <x:c r="F265" s="5" t="n">
        <x:f>'TeamHero生成'!F265</x:f>
        <x:v>29508</x:v>
      </x:c>
      <x:c r="G265" s="4" t="str">
        <x:f>'TeamHero生成'!AG265</x:f>
        <x:v>有效</x:v>
      </x:c>
      <x:c r="H265" s="4" t="n">
        <x:f>'TeamHero生成'!G265</x:f>
        <x:v>1382623</x:v>
      </x:c>
      <x:c r="I265" s="4" t="n">
        <x:f>'TeamHero生成'!H265</x:f>
        <x:v>17508</x:v>
      </x:c>
      <x:c r="J265" s="4" t="n">
        <x:f>'TeamHero生成'!I265</x:f>
        <x:v>22624</x:v>
      </x:c>
    </x:row>
    <x:row r="266" ht="14.25" customHeight="1">
      <x:c r="A266" s="4" t="n">
        <x:f>'TeamHero生成'!A266</x:f>
        <x:v>262</x:v>
      </x:c>
      <x:c r="B266" s="4" t="n">
        <x:f>'TeamHero生成'!B266</x:f>
        <x:v>1011</x:v>
      </x:c>
      <x:c r="C266" s="4" t="n">
        <x:f>'TeamHero生成'!C266</x:f>
        <x:v>36</x:v>
      </x:c>
      <x:c r="D266" s="5" t="n">
        <x:f>'TeamHero生成'!D266</x:f>
        <x:v>1000516</x:v>
      </x:c>
      <x:c r="E266" s="5" t="n">
        <x:f>'TeamHero生成'!E266</x:f>
        <x:v>16349</x:v>
      </x:c>
      <x:c r="F266" s="5" t="n">
        <x:f>'TeamHero生成'!F266</x:f>
        <x:v>24590</x:v>
      </x:c>
      <x:c r="G266" s="4" t="str">
        <x:f>'TeamHero生成'!AG266</x:f>
        <x:v>有效</x:v>
      </x:c>
      <x:c r="H266" s="4" t="n">
        <x:f>'TeamHero生成'!G266</x:f>
        <x:v>1152186</x:v>
      </x:c>
      <x:c r="I266" s="4" t="n">
        <x:f>'TeamHero生成'!H266</x:f>
        <x:v>17508</x:v>
      </x:c>
      <x:c r="J266" s="4" t="n">
        <x:f>'TeamHero生成'!I266</x:f>
        <x:v>18854</x:v>
      </x:c>
    </x:row>
    <x:row r="267" ht="14.25" customHeight="1">
      <x:c r="A267" s="4" t="n">
        <x:f>'TeamHero生成'!A267</x:f>
        <x:v>263</x:v>
      </x:c>
      <x:c r="B267" s="4" t="n">
        <x:f>'TeamHero生成'!B267</x:f>
        <x:v>1012</x:v>
      </x:c>
      <x:c r="C267" s="4" t="n">
        <x:f>'TeamHero生成'!C267</x:f>
        <x:v>36</x:v>
      </x:c>
      <x:c r="D267" s="5" t="n">
        <x:f>'TeamHero生成'!D267</x:f>
        <x:v>1000516</x:v>
      </x:c>
      <x:c r="E267" s="5" t="n">
        <x:f>'TeamHero生成'!E267</x:f>
        <x:v>16349</x:v>
      </x:c>
      <x:c r="F267" s="5" t="n">
        <x:f>'TeamHero生成'!F267</x:f>
        <x:v>24590</x:v>
      </x:c>
      <x:c r="G267" s="4" t="str">
        <x:f>'TeamHero生成'!AG267</x:f>
        <x:v>有效</x:v>
      </x:c>
      <x:c r="H267" s="4" t="n">
        <x:f>'TeamHero生成'!G267</x:f>
        <x:v>1152186</x:v>
      </x:c>
      <x:c r="I267" s="4" t="n">
        <x:f>'TeamHero生成'!H267</x:f>
        <x:v>17508</x:v>
      </x:c>
      <x:c r="J267" s="4" t="n">
        <x:f>'TeamHero生成'!I267</x:f>
        <x:v>18854</x:v>
      </x:c>
    </x:row>
    <x:row r="268" ht="14.25" customHeight="1">
      <x:c r="A268" s="4" t="n">
        <x:f>'TeamHero生成'!A268</x:f>
        <x:v>264</x:v>
      </x:c>
      <x:c r="B268" s="4" t="n">
        <x:f>'TeamHero生成'!B268</x:f>
        <x:v>1006</x:v>
      </x:c>
      <x:c r="C268" s="4" t="n">
        <x:f>'TeamHero生成'!C268</x:f>
        <x:v>36</x:v>
      </x:c>
      <x:c r="D268" s="5" t="n">
        <x:f>'TeamHero生成'!D268</x:f>
        <x:v>800413</x:v>
      </x:c>
      <x:c r="E268" s="5" t="n">
        <x:f>'TeamHero生成'!E268</x:f>
        <x:v>19619</x:v>
      </x:c>
      <x:c r="F268" s="5" t="n">
        <x:f>'TeamHero生成'!F268</x:f>
        <x:v>19672</x:v>
      </x:c>
      <x:c r="G268" s="4" t="str">
        <x:f>'TeamHero生成'!AG268</x:f>
        <x:v>有效</x:v>
      </x:c>
      <x:c r="H268" s="4" t="n">
        <x:f>'TeamHero生成'!G268</x:f>
        <x:v>921748</x:v>
      </x:c>
      <x:c r="I268" s="4" t="n">
        <x:f>'TeamHero生成'!H268</x:f>
        <x:v>21009</x:v>
      </x:c>
      <x:c r="J268" s="4" t="n">
        <x:f>'TeamHero生成'!I268</x:f>
        <x:v>15083</x:v>
      </x:c>
    </x:row>
    <x:row r="269" ht="14.25" customHeight="1">
      <x:c r="A269" s="4" t="n">
        <x:f>'TeamHero生成'!A269</x:f>
        <x:v>265</x:v>
      </x:c>
      <x:c r="B269" s="4" t="n">
        <x:f>'TeamHero生成'!B269</x:f>
        <x:v>1005</x:v>
      </x:c>
      <x:c r="C269" s="4" t="n">
        <x:f>'TeamHero生成'!C269</x:f>
        <x:v>36</x:v>
      </x:c>
      <x:c r="D269" s="5" t="n">
        <x:f>'TeamHero生成'!D269</x:f>
        <x:v>800413</x:v>
      </x:c>
      <x:c r="E269" s="5" t="n">
        <x:f>'TeamHero生成'!E269</x:f>
        <x:v>19619</x:v>
      </x:c>
      <x:c r="F269" s="5" t="n">
        <x:f>'TeamHero生成'!F269</x:f>
        <x:v>19672</x:v>
      </x:c>
      <x:c r="G269" s="4" t="str">
        <x:f>'TeamHero生成'!AG269</x:f>
        <x:v>有效</x:v>
      </x:c>
      <x:c r="H269" s="4" t="n">
        <x:f>'TeamHero生成'!G269</x:f>
        <x:v>921748</x:v>
      </x:c>
      <x:c r="I269" s="4" t="n">
        <x:f>'TeamHero生成'!H269</x:f>
        <x:v>21009</x:v>
      </x:c>
      <x:c r="J269" s="4" t="n">
        <x:f>'TeamHero生成'!I269</x:f>
        <x:v>15083</x:v>
      </x:c>
    </x:row>
    <x:row r="270" ht="14.25" customHeight="1">
      <x:c r="A270" s="4" t="n">
        <x:f>'TeamHero生成'!A270</x:f>
        <x:v>266</x:v>
      </x:c>
      <x:c r="B270" s="4" t="n">
        <x:f>'TeamHero生成'!B270</x:f>
        <x:v>1002</x:v>
      </x:c>
      <x:c r="C270" s="4" t="n">
        <x:f>'TeamHero生成'!C270</x:f>
        <x:v>37</x:v>
      </x:c>
      <x:c r="D270" s="5" t="n">
        <x:f>'TeamHero生成'!D270</x:f>
        <x:v>1229785</x:v>
      </x:c>
      <x:c r="E270" s="5" t="n">
        <x:f>'TeamHero生成'!E270</x:f>
        <x:v>16658</x:v>
      </x:c>
      <x:c r="F270" s="5" t="n">
        <x:f>'TeamHero生成'!F270</x:f>
        <x:v>29870</x:v>
      </x:c>
      <x:c r="G270" s="4" t="str">
        <x:f>'TeamHero生成'!AG270</x:f>
        <x:v>有效</x:v>
      </x:c>
      <x:c r="H270" s="4" t="n">
        <x:f>'TeamHero生成'!G270</x:f>
        <x:v>1443556</x:v>
      </x:c>
      <x:c r="I270" s="4" t="n">
        <x:f>'TeamHero生成'!H270</x:f>
        <x:v>18030</x:v>
      </x:c>
      <x:c r="J270" s="4" t="n">
        <x:f>'TeamHero生成'!I270</x:f>
        <x:v>23146</x:v>
      </x:c>
    </x:row>
    <x:row r="271" ht="14.25" customHeight="1">
      <x:c r="A271" s="4" t="n">
        <x:f>'TeamHero生成'!A271</x:f>
        <x:v>267</x:v>
      </x:c>
      <x:c r="B271" s="4" t="n">
        <x:f>'TeamHero生成'!B271</x:f>
        <x:v>1006</x:v>
      </x:c>
      <x:c r="C271" s="4" t="n">
        <x:f>'TeamHero生成'!C271</x:f>
        <x:v>37</x:v>
      </x:c>
      <x:c r="D271" s="5" t="n">
        <x:f>'TeamHero生成'!D271</x:f>
        <x:v>819856</x:v>
      </x:c>
      <x:c r="E271" s="5" t="n">
        <x:f>'TeamHero生成'!E271</x:f>
        <x:v>19989</x:v>
      </x:c>
      <x:c r="F271" s="5" t="n">
        <x:f>'TeamHero生成'!F271</x:f>
        <x:v>19913</x:v>
      </x:c>
      <x:c r="G271" s="4" t="str">
        <x:f>'TeamHero生成'!AG271</x:f>
        <x:v>有效</x:v>
      </x:c>
      <x:c r="H271" s="4" t="n">
        <x:f>'TeamHero生成'!G271</x:f>
        <x:v>962371</x:v>
      </x:c>
      <x:c r="I271" s="4" t="n">
        <x:f>'TeamHero生成'!H271</x:f>
        <x:v>21636</x:v>
      </x:c>
      <x:c r="J271" s="4" t="n">
        <x:f>'TeamHero生成'!I271</x:f>
        <x:v>15431</x:v>
      </x:c>
    </x:row>
    <x:row r="272" ht="14.25" customHeight="1">
      <x:c r="A272" s="4" t="n">
        <x:f>'TeamHero生成'!A272</x:f>
        <x:v>268</x:v>
      </x:c>
      <x:c r="B272" s="4" t="n">
        <x:f>'TeamHero生成'!B272</x:f>
        <x:v>1024</x:v>
      </x:c>
      <x:c r="C272" s="4" t="n">
        <x:f>'TeamHero生成'!C272</x:f>
        <x:v>37</x:v>
      </x:c>
      <x:c r="D272" s="5" t="n">
        <x:f>'TeamHero生成'!D272</x:f>
        <x:v>819856</x:v>
      </x:c>
      <x:c r="E272" s="5" t="n">
        <x:f>'TeamHero生成'!E272</x:f>
        <x:v>19989</x:v>
      </x:c>
      <x:c r="F272" s="5" t="n">
        <x:f>'TeamHero生成'!F272</x:f>
        <x:v>19913</x:v>
      </x:c>
      <x:c r="G272" s="4" t="str">
        <x:f>'TeamHero生成'!AG272</x:f>
        <x:v>有效</x:v>
      </x:c>
      <x:c r="H272" s="4" t="n">
        <x:f>'TeamHero生成'!G272</x:f>
        <x:v>962371</x:v>
      </x:c>
      <x:c r="I272" s="4" t="n">
        <x:f>'TeamHero生成'!H272</x:f>
        <x:v>21636</x:v>
      </x:c>
      <x:c r="J272" s="4" t="n">
        <x:f>'TeamHero生成'!I272</x:f>
        <x:v>15431</x:v>
      </x:c>
    </x:row>
    <x:row r="273" ht="14.25" customHeight="1">
      <x:c r="A273" s="4" t="n">
        <x:f>'TeamHero生成'!A273</x:f>
        <x:v>269</x:v>
      </x:c>
      <x:c r="B273" s="4" t="n">
        <x:f>'TeamHero生成'!B273</x:f>
        <x:v>1015</x:v>
      </x:c>
      <x:c r="C273" s="4" t="n">
        <x:f>'TeamHero生成'!C273</x:f>
        <x:v>37</x:v>
      </x:c>
      <x:c r="D273" s="5" t="n">
        <x:f>'TeamHero生成'!D273</x:f>
        <x:v>1024821</x:v>
      </x:c>
      <x:c r="E273" s="5" t="n">
        <x:f>'TeamHero生成'!E273</x:f>
        <x:v>16658</x:v>
      </x:c>
      <x:c r="F273" s="5" t="n">
        <x:f>'TeamHero生成'!F273</x:f>
        <x:v>24891</x:v>
      </x:c>
      <x:c r="G273" s="4" t="str">
        <x:f>'TeamHero生成'!AG273</x:f>
        <x:v>有效</x:v>
      </x:c>
      <x:c r="H273" s="4" t="n">
        <x:f>'TeamHero生成'!G273</x:f>
        <x:v>1202964</x:v>
      </x:c>
      <x:c r="I273" s="4" t="n">
        <x:f>'TeamHero生成'!H273</x:f>
        <x:v>18030</x:v>
      </x:c>
      <x:c r="J273" s="4" t="n">
        <x:f>'TeamHero生成'!I273</x:f>
        <x:v>19289</x:v>
      </x:c>
    </x:row>
    <x:row r="274" ht="14.25" customHeight="1">
      <x:c r="A274" s="4" t="n">
        <x:f>'TeamHero生成'!A274</x:f>
        <x:v>270</x:v>
      </x:c>
      <x:c r="B274" s="4" t="n">
        <x:f>'TeamHero生成'!B274</x:f>
        <x:v>1015</x:v>
      </x:c>
      <x:c r="C274" s="4" t="n">
        <x:f>'TeamHero生成'!C274</x:f>
        <x:v>37</x:v>
      </x:c>
      <x:c r="D274" s="5" t="n">
        <x:f>'TeamHero生成'!D274</x:f>
        <x:v>1024821</x:v>
      </x:c>
      <x:c r="E274" s="5" t="n">
        <x:f>'TeamHero生成'!E274</x:f>
        <x:v>16658</x:v>
      </x:c>
      <x:c r="F274" s="5" t="n">
        <x:f>'TeamHero生成'!F274</x:f>
        <x:v>24891</x:v>
      </x:c>
      <x:c r="G274" s="4" t="str">
        <x:f>'TeamHero生成'!AG274</x:f>
        <x:v>有效</x:v>
      </x:c>
      <x:c r="H274" s="4" t="n">
        <x:f>'TeamHero生成'!G274</x:f>
        <x:v>1202964</x:v>
      </x:c>
      <x:c r="I274" s="4" t="n">
        <x:f>'TeamHero生成'!H274</x:f>
        <x:v>18030</x:v>
      </x:c>
      <x:c r="J274" s="4" t="n">
        <x:f>'TeamHero生成'!I274</x:f>
        <x:v>19289</x:v>
      </x:c>
    </x:row>
    <x:row r="275" ht="14.25" customHeight="1">
      <x:c r="A275" s="4" t="n">
        <x:f>'TeamHero生成'!A275</x:f>
        <x:v>271</x:v>
      </x:c>
      <x:c r="B275" s="4" t="n">
        <x:f>'TeamHero生成'!B275</x:f>
        <x:v>1003</x:v>
      </x:c>
      <x:c r="C275" s="4" t="n">
        <x:f>'TeamHero生成'!C275</x:f>
        <x:v>37</x:v>
      </x:c>
      <x:c r="D275" s="5" t="n">
        <x:f>'TeamHero生成'!D275</x:f>
        <x:v>1281554</x:v>
      </x:c>
      <x:c r="E275" s="5" t="n">
        <x:f>'TeamHero生成'!E275</x:f>
        <x:v>17172</x:v>
      </x:c>
      <x:c r="F275" s="5" t="n">
        <x:f>'TeamHero生成'!F275</x:f>
        <x:v>30413</x:v>
      </x:c>
      <x:c r="G275" s="4" t="str">
        <x:f>'TeamHero生成'!AG275</x:f>
        <x:v>有效</x:v>
      </x:c>
      <x:c r="H275" s="4" t="n">
        <x:f>'TeamHero生成'!G275</x:f>
        <x:v>1506391</x:v>
      </x:c>
      <x:c r="I275" s="4" t="n">
        <x:f>'TeamHero生成'!H275</x:f>
        <x:v>18564</x:v>
      </x:c>
      <x:c r="J275" s="4" t="n">
        <x:f>'TeamHero生成'!I275</x:f>
        <x:v>23672</x:v>
      </x:c>
    </x:row>
    <x:row r="276" ht="14.25" customHeight="1">
      <x:c r="A276" s="4" t="n">
        <x:f>'TeamHero生成'!A276</x:f>
        <x:v>272</x:v>
      </x:c>
      <x:c r="B276" s="4" t="n">
        <x:f>'TeamHero生成'!B276</x:f>
        <x:v>1006</x:v>
      </x:c>
      <x:c r="C276" s="4" t="n">
        <x:f>'TeamHero生成'!C276</x:f>
        <x:v>37</x:v>
      </x:c>
      <x:c r="D276" s="5" t="n">
        <x:f>'TeamHero生成'!D276</x:f>
        <x:v>854369</x:v>
      </x:c>
      <x:c r="E276" s="5" t="n">
        <x:f>'TeamHero生成'!E276</x:f>
        <x:v>20607</x:v>
      </x:c>
      <x:c r="F276" s="5" t="n">
        <x:f>'TeamHero生成'!F276</x:f>
        <x:v>20275</x:v>
      </x:c>
      <x:c r="G276" s="4" t="str">
        <x:f>'TeamHero生成'!AG276</x:f>
        <x:v>有效</x:v>
      </x:c>
      <x:c r="H276" s="4" t="n">
        <x:f>'TeamHero生成'!G276</x:f>
        <x:v>1004260</x:v>
      </x:c>
      <x:c r="I276" s="4" t="n">
        <x:f>'TeamHero生成'!H276</x:f>
        <x:v>22276</x:v>
      </x:c>
      <x:c r="J276" s="4" t="n">
        <x:f>'TeamHero生成'!I276</x:f>
        <x:v>15781</x:v>
      </x:c>
    </x:row>
    <x:row r="277" ht="14.25" customHeight="1">
      <x:c r="A277" s="4" t="n">
        <x:f>'TeamHero生成'!A277</x:f>
        <x:v>273</x:v>
      </x:c>
      <x:c r="B277" s="4" t="n">
        <x:f>'TeamHero生成'!B277</x:f>
        <x:v>1029</x:v>
      </x:c>
      <x:c r="C277" s="4" t="n">
        <x:f>'TeamHero生成'!C277</x:f>
        <x:v>37</x:v>
      </x:c>
      <x:c r="D277" s="5" t="n">
        <x:f>'TeamHero生成'!D277</x:f>
        <x:v>1067962</x:v>
      </x:c>
      <x:c r="E277" s="5" t="n">
        <x:f>'TeamHero生成'!E277</x:f>
        <x:v>17172</x:v>
      </x:c>
      <x:c r="F277" s="5" t="n">
        <x:f>'TeamHero生成'!F277</x:f>
        <x:v>25344</x:v>
      </x:c>
      <x:c r="G277" s="4" t="str">
        <x:f>'TeamHero生成'!AG277</x:f>
        <x:v>有效</x:v>
      </x:c>
      <x:c r="H277" s="4" t="n">
        <x:f>'TeamHero生成'!G277</x:f>
        <x:v>1255326</x:v>
      </x:c>
      <x:c r="I277" s="4" t="n">
        <x:f>'TeamHero生成'!H277</x:f>
        <x:v>18564</x:v>
      </x:c>
      <x:c r="J277" s="4" t="n">
        <x:f>'TeamHero生成'!I277</x:f>
        <x:v>19727</x:v>
      </x:c>
    </x:row>
    <x:row r="278" ht="14.25" customHeight="1">
      <x:c r="A278" s="4" t="n">
        <x:f>'TeamHero生成'!A278</x:f>
        <x:v>274</x:v>
      </x:c>
      <x:c r="B278" s="4" t="n">
        <x:f>'TeamHero生成'!B278</x:f>
        <x:v>1020</x:v>
      </x:c>
      <x:c r="C278" s="4" t="n">
        <x:f>'TeamHero生成'!C278</x:f>
        <x:v>37</x:v>
      </x:c>
      <x:c r="D278" s="5" t="n">
        <x:f>'TeamHero生成'!D278</x:f>
        <x:v>1067962</x:v>
      </x:c>
      <x:c r="E278" s="5" t="n">
        <x:f>'TeamHero生成'!E278</x:f>
        <x:v>17172</x:v>
      </x:c>
      <x:c r="F278" s="5" t="n">
        <x:f>'TeamHero生成'!F278</x:f>
        <x:v>25344</x:v>
      </x:c>
      <x:c r="G278" s="4" t="str">
        <x:f>'TeamHero生成'!AG278</x:f>
        <x:v>有效</x:v>
      </x:c>
      <x:c r="H278" s="4" t="n">
        <x:f>'TeamHero生成'!G278</x:f>
        <x:v>1255326</x:v>
      </x:c>
      <x:c r="I278" s="4" t="n">
        <x:f>'TeamHero生成'!H278</x:f>
        <x:v>18564</x:v>
      </x:c>
      <x:c r="J278" s="4" t="n">
        <x:f>'TeamHero生成'!I278</x:f>
        <x:v>19727</x:v>
      </x:c>
    </x:row>
    <x:row r="279" ht="14.25" customHeight="1">
      <x:c r="A279" s="4" t="n">
        <x:f>'TeamHero生成'!A279</x:f>
        <x:v>275</x:v>
      </x:c>
      <x:c r="B279" s="4" t="n">
        <x:f>'TeamHero生成'!B279</x:f>
        <x:v>1018</x:v>
      </x:c>
      <x:c r="C279" s="4" t="n">
        <x:f>'TeamHero生成'!C279</x:f>
        <x:v>37</x:v>
      </x:c>
      <x:c r="D279" s="5" t="n">
        <x:f>'TeamHero生成'!D279</x:f>
        <x:v>1067962</x:v>
      </x:c>
      <x:c r="E279" s="5" t="n">
        <x:f>'TeamHero生成'!E279</x:f>
        <x:v>17172</x:v>
      </x:c>
      <x:c r="F279" s="5" t="n">
        <x:f>'TeamHero生成'!F279</x:f>
        <x:v>25344</x:v>
      </x:c>
      <x:c r="G279" s="4" t="str">
        <x:f>'TeamHero生成'!AG279</x:f>
        <x:v>有效</x:v>
      </x:c>
      <x:c r="H279" s="4" t="n">
        <x:f>'TeamHero生成'!G279</x:f>
        <x:v>1255326</x:v>
      </x:c>
      <x:c r="I279" s="4" t="n">
        <x:f>'TeamHero生成'!H279</x:f>
        <x:v>18564</x:v>
      </x:c>
      <x:c r="J279" s="4" t="n">
        <x:f>'TeamHero生成'!I279</x:f>
        <x:v>19727</x:v>
      </x:c>
    </x:row>
    <x:row r="280" ht="14.25" customHeight="1">
      <x:c r="A280" s="4" t="n">
        <x:f>'TeamHero生成'!A280</x:f>
        <x:v>276</x:v>
      </x:c>
      <x:c r="B280" s="4" t="n">
        <x:f>'TeamHero生成'!B280</x:f>
        <x:v>1003</x:v>
      </x:c>
      <x:c r="C280" s="4" t="n">
        <x:f>'TeamHero生成'!C280</x:f>
        <x:v>38</x:v>
      </x:c>
      <x:c r="D280" s="5" t="n">
        <x:f>'TeamHero生成'!D280</x:f>
        <x:v>1299095</x:v>
      </x:c>
      <x:c r="E280" s="5" t="n">
        <x:f>'TeamHero生成'!E280</x:f>
        <x:v>17424</x:v>
      </x:c>
      <x:c r="F280" s="5" t="n">
        <x:f>'TeamHero生成'!F280</x:f>
        <x:v>30777</x:v>
      </x:c>
      <x:c r="G280" s="4" t="str">
        <x:f>'TeamHero生成'!AG280</x:f>
        <x:v>有效</x:v>
      </x:c>
      <x:c r="H280" s="4" t="n">
        <x:f>'TeamHero生成'!G280</x:f>
        <x:v>1571169</x:v>
      </x:c>
      <x:c r="I280" s="4" t="n">
        <x:f>'TeamHero生成'!H280</x:f>
        <x:v>19109</x:v>
      </x:c>
      <x:c r="J280" s="4" t="n">
        <x:f>'TeamHero生成'!I280</x:f>
        <x:v>24201</x:v>
      </x:c>
    </x:row>
    <x:row r="281" ht="14.25" customHeight="1">
      <x:c r="A281" s="4" t="n">
        <x:f>'TeamHero生成'!A281</x:f>
        <x:v>277</x:v>
      </x:c>
      <x:c r="B281" s="4" t="n">
        <x:f>'TeamHero生成'!B281</x:f>
        <x:v>1015</x:v>
      </x:c>
      <x:c r="C281" s="4" t="n">
        <x:f>'TeamHero生成'!C281</x:f>
        <x:v>38</x:v>
      </x:c>
      <x:c r="D281" s="5" t="n">
        <x:f>'TeamHero生成'!D281</x:f>
        <x:v>1082579</x:v>
      </x:c>
      <x:c r="E281" s="5" t="n">
        <x:f>'TeamHero生成'!E281</x:f>
        <x:v>17424</x:v>
      </x:c>
      <x:c r="F281" s="5" t="n">
        <x:f>'TeamHero生成'!F281</x:f>
        <x:v>25648</x:v>
      </x:c>
      <x:c r="G281" s="4" t="str">
        <x:f>'TeamHero生成'!AG281</x:f>
        <x:v>有效</x:v>
      </x:c>
      <x:c r="H281" s="4" t="n">
        <x:f>'TeamHero生成'!G281</x:f>
        <x:v>1309308</x:v>
      </x:c>
      <x:c r="I281" s="4" t="n">
        <x:f>'TeamHero生成'!H281</x:f>
        <x:v>19109</x:v>
      </x:c>
      <x:c r="J281" s="4" t="n">
        <x:f>'TeamHero生成'!I281</x:f>
        <x:v>20168</x:v>
      </x:c>
    </x:row>
    <x:row r="282" ht="14.25" customHeight="1">
      <x:c r="A282" s="4" t="n">
        <x:f>'TeamHero生成'!A282</x:f>
        <x:v>278</x:v>
      </x:c>
      <x:c r="B282" s="4" t="n">
        <x:f>'TeamHero生成'!B282</x:f>
        <x:v>1012</x:v>
      </x:c>
      <x:c r="C282" s="4" t="n">
        <x:f>'TeamHero生成'!C282</x:f>
        <x:v>38</x:v>
      </x:c>
      <x:c r="D282" s="5" t="n">
        <x:f>'TeamHero生成'!D282</x:f>
        <x:v>1082579</x:v>
      </x:c>
      <x:c r="E282" s="5" t="n">
        <x:f>'TeamHero生成'!E282</x:f>
        <x:v>17424</x:v>
      </x:c>
      <x:c r="F282" s="5" t="n">
        <x:f>'TeamHero生成'!F282</x:f>
        <x:v>25648</x:v>
      </x:c>
      <x:c r="G282" s="4" t="str">
        <x:f>'TeamHero生成'!AG282</x:f>
        <x:v>有效</x:v>
      </x:c>
      <x:c r="H282" s="4" t="n">
        <x:f>'TeamHero生成'!G282</x:f>
        <x:v>1309308</x:v>
      </x:c>
      <x:c r="I282" s="4" t="n">
        <x:f>'TeamHero生成'!H282</x:f>
        <x:v>19109</x:v>
      </x:c>
      <x:c r="J282" s="4" t="n">
        <x:f>'TeamHero生成'!I282</x:f>
        <x:v>20168</x:v>
      </x:c>
    </x:row>
    <x:row r="283" ht="14.25" customHeight="1">
      <x:c r="A283" s="4" t="n">
        <x:f>'TeamHero生成'!A283</x:f>
        <x:v>279</x:v>
      </x:c>
      <x:c r="B283" s="4" t="n">
        <x:f>'TeamHero生成'!B283</x:f>
        <x:v>1006</x:v>
      </x:c>
      <x:c r="C283" s="4" t="n">
        <x:f>'TeamHero生成'!C283</x:f>
        <x:v>38</x:v>
      </x:c>
      <x:c r="D283" s="5" t="n">
        <x:f>'TeamHero生成'!D283</x:f>
        <x:v>866064</x:v>
      </x:c>
      <x:c r="E283" s="5" t="n">
        <x:f>'TeamHero生成'!E283</x:f>
        <x:v>20908</x:v>
      </x:c>
      <x:c r="F283" s="5" t="n">
        <x:f>'TeamHero生成'!F283</x:f>
        <x:v>20518</x:v>
      </x:c>
      <x:c r="G283" s="4" t="str">
        <x:f>'TeamHero生成'!AG283</x:f>
        <x:v>有效</x:v>
      </x:c>
      <x:c r="H283" s="4" t="n">
        <x:f>'TeamHero生成'!G283</x:f>
        <x:v>1047446</x:v>
      </x:c>
      <x:c r="I283" s="4" t="n">
        <x:f>'TeamHero生成'!H283</x:f>
        <x:v>22930</x:v>
      </x:c>
      <x:c r="J283" s="4" t="n">
        <x:f>'TeamHero生成'!I283</x:f>
        <x:v>16134</x:v>
      </x:c>
    </x:row>
    <x:row r="284" ht="14.25" customHeight="1">
      <x:c r="A284" s="4" t="n">
        <x:f>'TeamHero生成'!A284</x:f>
        <x:v>280</x:v>
      </x:c>
      <x:c r="B284" s="4" t="n">
        <x:f>'TeamHero生成'!B284</x:f>
        <x:v>1001</x:v>
      </x:c>
      <x:c r="C284" s="4" t="n">
        <x:f>'TeamHero生成'!C284</x:f>
        <x:v>38</x:v>
      </x:c>
      <x:c r="D284" s="5" t="n">
        <x:f>'TeamHero生成'!D284</x:f>
        <x:v>866064</x:v>
      </x:c>
      <x:c r="E284" s="5" t="n">
        <x:f>'TeamHero生成'!E284</x:f>
        <x:v>20908</x:v>
      </x:c>
      <x:c r="F284" s="5" t="n">
        <x:f>'TeamHero生成'!F284</x:f>
        <x:v>20518</x:v>
      </x:c>
      <x:c r="G284" s="4" t="str">
        <x:f>'TeamHero生成'!AG284</x:f>
        <x:v>有效</x:v>
      </x:c>
      <x:c r="H284" s="4" t="n">
        <x:f>'TeamHero生成'!G284</x:f>
        <x:v>1047446</x:v>
      </x:c>
      <x:c r="I284" s="4" t="n">
        <x:f>'TeamHero生成'!H284</x:f>
        <x:v>22930</x:v>
      </x:c>
      <x:c r="J284" s="4" t="n">
        <x:f>'TeamHero生成'!I284</x:f>
        <x:v>16134</x:v>
      </x:c>
    </x:row>
    <x:row r="285" ht="14.25" customHeight="1">
      <x:c r="A285" s="4" t="n">
        <x:f>'TeamHero生成'!A285</x:f>
        <x:v>281</x:v>
      </x:c>
      <x:c r="B285" s="4" t="n">
        <x:f>'TeamHero生成'!B285</x:f>
        <x:v>1002</x:v>
      </x:c>
      <x:c r="C285" s="4" t="n">
        <x:f>'TeamHero生成'!C285</x:f>
        <x:v>38</x:v>
      </x:c>
      <x:c r="D285" s="5" t="n">
        <x:f>'TeamHero生成'!D285</x:f>
        <x:v>1331424</x:v>
      </x:c>
      <x:c r="E285" s="5" t="n">
        <x:f>'TeamHero生成'!E285</x:f>
        <x:v>17781</x:v>
      </x:c>
      <x:c r="F285" s="5" t="n">
        <x:f>'TeamHero生成'!F285</x:f>
        <x:v>31142</x:v>
      </x:c>
      <x:c r="G285" s="4" t="str">
        <x:f>'TeamHero生成'!AG285</x:f>
        <x:v>有效</x:v>
      </x:c>
      <x:c r="H285" s="4" t="n">
        <x:f>'TeamHero生成'!G285</x:f>
        <x:v>1637935</x:v>
      </x:c>
      <x:c r="I285" s="4" t="n">
        <x:f>'TeamHero生成'!H285</x:f>
        <x:v>19667</x:v>
      </x:c>
      <x:c r="J285" s="4" t="n">
        <x:f>'TeamHero生成'!I285</x:f>
        <x:v>24736</x:v>
      </x:c>
    </x:row>
    <x:row r="286" ht="14.25" customHeight="1">
      <x:c r="A286" s="4" t="n">
        <x:f>'TeamHero生成'!A286</x:f>
        <x:v>282</x:v>
      </x:c>
      <x:c r="B286" s="4" t="n">
        <x:f>'TeamHero生成'!B286</x:f>
        <x:v>1021</x:v>
      </x:c>
      <x:c r="C286" s="4" t="n">
        <x:f>'TeamHero生成'!C286</x:f>
        <x:v>38</x:v>
      </x:c>
      <x:c r="D286" s="5" t="n">
        <x:f>'TeamHero生成'!D286</x:f>
        <x:v>887616</x:v>
      </x:c>
      <x:c r="E286" s="5" t="n">
        <x:f>'TeamHero生成'!E286</x:f>
        <x:v>21337</x:v>
      </x:c>
      <x:c r="F286" s="5" t="n">
        <x:f>'TeamHero生成'!F286</x:f>
        <x:v>20761</x:v>
      </x:c>
      <x:c r="G286" s="4" t="str">
        <x:f>'TeamHero生成'!AG286</x:f>
        <x:v>有效</x:v>
      </x:c>
      <x:c r="H286" s="4" t="n">
        <x:f>'TeamHero生成'!G286</x:f>
        <x:v>1091956</x:v>
      </x:c>
      <x:c r="I286" s="4" t="n">
        <x:f>'TeamHero生成'!H286</x:f>
        <x:v>23600</x:v>
      </x:c>
      <x:c r="J286" s="4" t="n">
        <x:f>'TeamHero生成'!I286</x:f>
        <x:v>16491</x:v>
      </x:c>
    </x:row>
    <x:row r="287" ht="14.25" customHeight="1">
      <x:c r="A287" s="4" t="n">
        <x:f>'TeamHero生成'!A287</x:f>
        <x:v>283</x:v>
      </x:c>
      <x:c r="B287" s="4" t="n">
        <x:f>'TeamHero生成'!B287</x:f>
        <x:v>1001</x:v>
      </x:c>
      <x:c r="C287" s="4" t="n">
        <x:f>'TeamHero生成'!C287</x:f>
        <x:v>38</x:v>
      </x:c>
      <x:c r="D287" s="5" t="n">
        <x:f>'TeamHero生成'!D287</x:f>
        <x:v>887616</x:v>
      </x:c>
      <x:c r="E287" s="5" t="n">
        <x:f>'TeamHero生成'!E287</x:f>
        <x:v>21337</x:v>
      </x:c>
      <x:c r="F287" s="5" t="n">
        <x:f>'TeamHero生成'!F287</x:f>
        <x:v>20761</x:v>
      </x:c>
      <x:c r="G287" s="4" t="str">
        <x:f>'TeamHero生成'!AG287</x:f>
        <x:v>有效</x:v>
      </x:c>
      <x:c r="H287" s="4" t="n">
        <x:f>'TeamHero生成'!G287</x:f>
        <x:v>1091956</x:v>
      </x:c>
      <x:c r="I287" s="4" t="n">
        <x:f>'TeamHero生成'!H287</x:f>
        <x:v>23600</x:v>
      </x:c>
      <x:c r="J287" s="4" t="n">
        <x:f>'TeamHero生成'!I287</x:f>
        <x:v>16491</x:v>
      </x:c>
    </x:row>
    <x:row r="288" ht="14.25" customHeight="1">
      <x:c r="A288" s="4" t="n">
        <x:f>'TeamHero生成'!A288</x:f>
        <x:v>284</x:v>
      </x:c>
      <x:c r="B288" s="4" t="n">
        <x:f>'TeamHero生成'!B288</x:f>
        <x:v>1015</x:v>
      </x:c>
      <x:c r="C288" s="4" t="n">
        <x:f>'TeamHero生成'!C288</x:f>
        <x:v>38</x:v>
      </x:c>
      <x:c r="D288" s="5" t="n">
        <x:f>'TeamHero生成'!D288</x:f>
        <x:v>1109520</x:v>
      </x:c>
      <x:c r="E288" s="5" t="n">
        <x:f>'TeamHero生成'!E288</x:f>
        <x:v>17781</x:v>
      </x:c>
      <x:c r="F288" s="5" t="n">
        <x:f>'TeamHero生成'!F288</x:f>
        <x:v>25951</x:v>
      </x:c>
      <x:c r="G288" s="4" t="str">
        <x:f>'TeamHero生成'!AG288</x:f>
        <x:v>有效</x:v>
      </x:c>
      <x:c r="H288" s="4" t="n">
        <x:f>'TeamHero生成'!G288</x:f>
        <x:v>1364946</x:v>
      </x:c>
      <x:c r="I288" s="4" t="n">
        <x:f>'TeamHero生成'!H288</x:f>
        <x:v>19667</x:v>
      </x:c>
      <x:c r="J288" s="4" t="n">
        <x:f>'TeamHero生成'!I288</x:f>
        <x:v>20614</x:v>
      </x:c>
    </x:row>
    <x:row r="289" ht="14.25" customHeight="1">
      <x:c r="A289" s="4" t="n">
        <x:f>'TeamHero生成'!A289</x:f>
        <x:v>285</x:v>
      </x:c>
      <x:c r="B289" s="4" t="n">
        <x:f>'TeamHero生成'!B289</x:f>
        <x:v>1024</x:v>
      </x:c>
      <x:c r="C289" s="4" t="n">
        <x:f>'TeamHero生成'!C289</x:f>
        <x:v>38</x:v>
      </x:c>
      <x:c r="D289" s="5" t="n">
        <x:f>'TeamHero生成'!D289</x:f>
        <x:v>887616</x:v>
      </x:c>
      <x:c r="E289" s="5" t="n">
        <x:f>'TeamHero生成'!E289</x:f>
        <x:v>21337</x:v>
      </x:c>
      <x:c r="F289" s="5" t="n">
        <x:f>'TeamHero生成'!F289</x:f>
        <x:v>20761</x:v>
      </x:c>
      <x:c r="G289" s="4" t="str">
        <x:f>'TeamHero生成'!AG289</x:f>
        <x:v>有效</x:v>
      </x:c>
      <x:c r="H289" s="4" t="n">
        <x:f>'TeamHero生成'!G289</x:f>
        <x:v>1091956</x:v>
      </x:c>
      <x:c r="I289" s="4" t="n">
        <x:f>'TeamHero生成'!H289</x:f>
        <x:v>23600</x:v>
      </x:c>
      <x:c r="J289" s="4" t="n">
        <x:f>'TeamHero生成'!I289</x:f>
        <x:v>16491</x:v>
      </x:c>
    </x:row>
    <x:row r="290" ht="14.25" customHeight="1">
      <x:c r="A290" s="4" t="n">
        <x:f>'TeamHero生成'!A290</x:f>
        <x:v>286</x:v>
      </x:c>
      <x:c r="B290" s="4" t="n">
        <x:f>'TeamHero生成'!B290</x:f>
        <x:v>1030</x:v>
      </x:c>
      <x:c r="C290" s="4" t="n">
        <x:f>'TeamHero生成'!C290</x:f>
        <x:v>39</x:v>
      </x:c>
      <x:c r="D290" s="5" t="n">
        <x:f>'TeamHero生成'!D290</x:f>
        <x:v>1373510</x:v>
      </x:c>
      <x:c r="E290" s="5" t="n">
        <x:f>'TeamHero生成'!E290</x:f>
        <x:v>18212</x:v>
      </x:c>
      <x:c r="F290" s="5" t="n">
        <x:f>'TeamHero生成'!F290</x:f>
        <x:v>31509</x:v>
      </x:c>
      <x:c r="G290" s="4" t="str">
        <x:f>'TeamHero生成'!AG290</x:f>
        <x:v>有效</x:v>
      </x:c>
      <x:c r="H290" s="4" t="n">
        <x:f>'TeamHero生成'!G290</x:f>
        <x:v>1706731</x:v>
      </x:c>
      <x:c r="I290" s="4" t="n">
        <x:f>'TeamHero生成'!H290</x:f>
        <x:v>20236</x:v>
      </x:c>
      <x:c r="J290" s="4" t="n">
        <x:f>'TeamHero生成'!I290</x:f>
        <x:v>25275</x:v>
      </x:c>
    </x:row>
    <x:row r="291" ht="14.25" customHeight="1">
      <x:c r="A291" s="4" t="n">
        <x:f>'TeamHero生成'!A291</x:f>
        <x:v>287</x:v>
      </x:c>
      <x:c r="B291" s="4" t="n">
        <x:f>'TeamHero生成'!B291</x:f>
        <x:v>1015</x:v>
      </x:c>
      <x:c r="C291" s="4" t="n">
        <x:f>'TeamHero生成'!C291</x:f>
        <x:v>39</x:v>
      </x:c>
      <x:c r="D291" s="5" t="n">
        <x:f>'TeamHero生成'!D291</x:f>
        <x:v>1144592</x:v>
      </x:c>
      <x:c r="E291" s="5" t="n">
        <x:f>'TeamHero生成'!E291</x:f>
        <x:v>18212</x:v>
      </x:c>
      <x:c r="F291" s="5" t="n">
        <x:f>'TeamHero生成'!F291</x:f>
        <x:v>26258</x:v>
      </x:c>
      <x:c r="G291" s="4" t="str">
        <x:f>'TeamHero生成'!AG291</x:f>
        <x:v>有效</x:v>
      </x:c>
      <x:c r="H291" s="4" t="n">
        <x:f>'TeamHero生成'!G291</x:f>
        <x:v>1422276</x:v>
      </x:c>
      <x:c r="I291" s="4" t="n">
        <x:f>'TeamHero生成'!H291</x:f>
        <x:v>20236</x:v>
      </x:c>
      <x:c r="J291" s="4" t="n">
        <x:f>'TeamHero生成'!I291</x:f>
        <x:v>21063</x:v>
      </x:c>
    </x:row>
    <x:row r="292" ht="14.25" customHeight="1">
      <x:c r="A292" s="4" t="n">
        <x:f>'TeamHero生成'!A292</x:f>
        <x:v>288</x:v>
      </x:c>
      <x:c r="B292" s="4" t="n">
        <x:f>'TeamHero生成'!B292</x:f>
        <x:v>1021</x:v>
      </x:c>
      <x:c r="C292" s="4" t="n">
        <x:f>'TeamHero生成'!C292</x:f>
        <x:v>39</x:v>
      </x:c>
      <x:c r="D292" s="5" t="n">
        <x:f>'TeamHero生成'!D292</x:f>
        <x:v>915673</x:v>
      </x:c>
      <x:c r="E292" s="5" t="n">
        <x:f>'TeamHero生成'!E292</x:f>
        <x:v>21854</x:v>
      </x:c>
      <x:c r="F292" s="5" t="n">
        <x:f>'TeamHero生成'!F292</x:f>
        <x:v>21006</x:v>
      </x:c>
      <x:c r="G292" s="4" t="str">
        <x:f>'TeamHero生成'!AG292</x:f>
        <x:v>有效</x:v>
      </x:c>
      <x:c r="H292" s="4" t="n">
        <x:f>'TeamHero生成'!G292</x:f>
        <x:v>1137820</x:v>
      </x:c>
      <x:c r="I292" s="4" t="n">
        <x:f>'TeamHero生成'!H292</x:f>
        <x:v>24283</x:v>
      </x:c>
      <x:c r="J292" s="4" t="n">
        <x:f>'TeamHero生成'!I292</x:f>
        <x:v>16850</x:v>
      </x:c>
    </x:row>
    <x:row r="293" ht="14.25" customHeight="1">
      <x:c r="A293" s="4" t="n">
        <x:f>'TeamHero生成'!A293</x:f>
        <x:v>289</x:v>
      </x:c>
      <x:c r="B293" s="4" t="n">
        <x:f>'TeamHero生成'!B293</x:f>
        <x:v>1021</x:v>
      </x:c>
      <x:c r="C293" s="4" t="n">
        <x:f>'TeamHero生成'!C293</x:f>
        <x:v>39</x:v>
      </x:c>
      <x:c r="D293" s="5" t="n">
        <x:f>'TeamHero生成'!D293</x:f>
        <x:v>915673</x:v>
      </x:c>
      <x:c r="E293" s="5" t="n">
        <x:f>'TeamHero生成'!E293</x:f>
        <x:v>21854</x:v>
      </x:c>
      <x:c r="F293" s="5" t="n">
        <x:f>'TeamHero生成'!F293</x:f>
        <x:v>21006</x:v>
      </x:c>
      <x:c r="G293" s="4" t="str">
        <x:f>'TeamHero生成'!AG293</x:f>
        <x:v>有效</x:v>
      </x:c>
      <x:c r="H293" s="4" t="n">
        <x:f>'TeamHero生成'!G293</x:f>
        <x:v>1137820</x:v>
      </x:c>
      <x:c r="I293" s="4" t="n">
        <x:f>'TeamHero生成'!H293</x:f>
        <x:v>24283</x:v>
      </x:c>
      <x:c r="J293" s="4" t="n">
        <x:f>'TeamHero生成'!I293</x:f>
        <x:v>16850</x:v>
      </x:c>
    </x:row>
    <x:row r="294" ht="14.25" customHeight="1">
      <x:c r="A294" s="4" t="n">
        <x:f>'TeamHero生成'!A294</x:f>
        <x:v>290</x:v>
      </x:c>
      <x:c r="B294" s="4" t="n">
        <x:f>'TeamHero生成'!B294</x:f>
        <x:v>1001</x:v>
      </x:c>
      <x:c r="C294" s="4" t="n">
        <x:f>'TeamHero生成'!C294</x:f>
        <x:v>39</x:v>
      </x:c>
      <x:c r="D294" s="5" t="n">
        <x:f>'TeamHero生成'!D294</x:f>
        <x:v>915673</x:v>
      </x:c>
      <x:c r="E294" s="5" t="n">
        <x:f>'TeamHero生成'!E294</x:f>
        <x:v>21854</x:v>
      </x:c>
      <x:c r="F294" s="5" t="n">
        <x:f>'TeamHero生成'!F294</x:f>
        <x:v>21006</x:v>
      </x:c>
      <x:c r="G294" s="4" t="str">
        <x:f>'TeamHero生成'!AG294</x:f>
        <x:v>有效</x:v>
      </x:c>
      <x:c r="H294" s="4" t="n">
        <x:f>'TeamHero生成'!G294</x:f>
        <x:v>1137820</x:v>
      </x:c>
      <x:c r="I294" s="4" t="n">
        <x:f>'TeamHero生成'!H294</x:f>
        <x:v>24283</x:v>
      </x:c>
      <x:c r="J294" s="4" t="n">
        <x:f>'TeamHero生成'!I294</x:f>
        <x:v>16850</x:v>
      </x:c>
    </x:row>
    <x:row r="295" ht="14.25" customHeight="1">
      <x:c r="A295" s="4" t="n">
        <x:f>'TeamHero生成'!A295</x:f>
        <x:v>291</x:v>
      </x:c>
      <x:c r="B295" s="4" t="n">
        <x:f>'TeamHero生成'!B295</x:f>
        <x:v>1030</x:v>
      </x:c>
      <x:c r="C295" s="4" t="n">
        <x:f>'TeamHero生成'!C295</x:f>
        <x:v>39</x:v>
      </x:c>
      <x:c r="D295" s="5" t="n">
        <x:f>'TeamHero生成'!D295</x:f>
        <x:v>1411674</x:v>
      </x:c>
      <x:c r="E295" s="5" t="n">
        <x:f>'TeamHero生成'!E295</x:f>
        <x:v>18620</x:v>
      </x:c>
      <x:c r="F295" s="5" t="n">
        <x:f>'TeamHero生成'!F295</x:f>
        <x:v>32061</x:v>
      </x:c>
      <x:c r="G295" s="4" t="str">
        <x:f>'TeamHero生成'!AG295</x:f>
        <x:v>有效</x:v>
      </x:c>
      <x:c r="H295" s="4" t="n">
        <x:f>'TeamHero生成'!G295</x:f>
        <x:v>1777586</x:v>
      </x:c>
      <x:c r="I295" s="4" t="n">
        <x:f>'TeamHero生成'!H295</x:f>
        <x:v>20816</x:v>
      </x:c>
      <x:c r="J295" s="4" t="n">
        <x:f>'TeamHero生成'!I295</x:f>
        <x:v>25818</x:v>
      </x:c>
    </x:row>
    <x:row r="296" ht="14.25" customHeight="1">
      <x:c r="A296" s="4" t="n">
        <x:f>'TeamHero生成'!A296</x:f>
        <x:v>292</x:v>
      </x:c>
      <x:c r="B296" s="4" t="n">
        <x:f>'TeamHero生成'!B296</x:f>
        <x:v>1005</x:v>
      </x:c>
      <x:c r="C296" s="4" t="n">
        <x:f>'TeamHero生成'!C296</x:f>
        <x:v>39</x:v>
      </x:c>
      <x:c r="D296" s="5" t="n">
        <x:f>'TeamHero生成'!D296</x:f>
        <x:v>941116</x:v>
      </x:c>
      <x:c r="E296" s="5" t="n">
        <x:f>'TeamHero生成'!E296</x:f>
        <x:v>22344</x:v>
      </x:c>
      <x:c r="F296" s="5" t="n">
        <x:f>'TeamHero生成'!F296</x:f>
        <x:v>21374</x:v>
      </x:c>
      <x:c r="G296" s="4" t="str">
        <x:f>'TeamHero生成'!AG296</x:f>
        <x:v>有效</x:v>
      </x:c>
      <x:c r="H296" s="4" t="n">
        <x:f>'TeamHero生成'!G296</x:f>
        <x:v>1185057</x:v>
      </x:c>
      <x:c r="I296" s="4" t="n">
        <x:f>'TeamHero生成'!H296</x:f>
        <x:v>24979</x:v>
      </x:c>
      <x:c r="J296" s="4" t="n">
        <x:f>'TeamHero生成'!I296</x:f>
        <x:v>17212</x:v>
      </x:c>
    </x:row>
    <x:row r="297" ht="14.25" customHeight="1">
      <x:c r="A297" s="4" t="n">
        <x:f>'TeamHero生成'!A297</x:f>
        <x:v>293</x:v>
      </x:c>
      <x:c r="B297" s="4" t="n">
        <x:f>'TeamHero生成'!B297</x:f>
        <x:v>1005</x:v>
      </x:c>
      <x:c r="C297" s="4" t="n">
        <x:f>'TeamHero生成'!C297</x:f>
        <x:v>39</x:v>
      </x:c>
      <x:c r="D297" s="5" t="n">
        <x:f>'TeamHero生成'!D297</x:f>
        <x:v>941116</x:v>
      </x:c>
      <x:c r="E297" s="5" t="n">
        <x:f>'TeamHero生成'!E297</x:f>
        <x:v>22344</x:v>
      </x:c>
      <x:c r="F297" s="5" t="n">
        <x:f>'TeamHero生成'!F297</x:f>
        <x:v>21374</x:v>
      </x:c>
      <x:c r="G297" s="4" t="str">
        <x:f>'TeamHero生成'!AG297</x:f>
        <x:v>有效</x:v>
      </x:c>
      <x:c r="H297" s="4" t="n">
        <x:f>'TeamHero生成'!G297</x:f>
        <x:v>1185057</x:v>
      </x:c>
      <x:c r="I297" s="4" t="n">
        <x:f>'TeamHero生成'!H297</x:f>
        <x:v>24979</x:v>
      </x:c>
      <x:c r="J297" s="4" t="n">
        <x:f>'TeamHero生成'!I297</x:f>
        <x:v>17212</x:v>
      </x:c>
    </x:row>
    <x:row r="298" ht="14.25" customHeight="1">
      <x:c r="A298" s="4" t="n">
        <x:f>'TeamHero生成'!A298</x:f>
        <x:v>294</x:v>
      </x:c>
      <x:c r="B298" s="4" t="n">
        <x:f>'TeamHero生成'!B298</x:f>
        <x:v>1018</x:v>
      </x:c>
      <x:c r="C298" s="4" t="n">
        <x:f>'TeamHero生成'!C298</x:f>
        <x:v>39</x:v>
      </x:c>
      <x:c r="D298" s="5" t="n">
        <x:f>'TeamHero生成'!D298</x:f>
        <x:v>1176395</x:v>
      </x:c>
      <x:c r="E298" s="5" t="n">
        <x:f>'TeamHero生成'!E298</x:f>
        <x:v>18620</x:v>
      </x:c>
      <x:c r="F298" s="5" t="n">
        <x:f>'TeamHero生成'!F298</x:f>
        <x:v>26718</x:v>
      </x:c>
      <x:c r="G298" s="4" t="str">
        <x:f>'TeamHero生成'!AG298</x:f>
        <x:v>有效</x:v>
      </x:c>
      <x:c r="H298" s="4" t="n">
        <x:f>'TeamHero生成'!G298</x:f>
        <x:v>1481322</x:v>
      </x:c>
      <x:c r="I298" s="4" t="n">
        <x:f>'TeamHero生成'!H298</x:f>
        <x:v>20816</x:v>
      </x:c>
      <x:c r="J298" s="4" t="n">
        <x:f>'TeamHero生成'!I298</x:f>
        <x:v>21515</x:v>
      </x:c>
    </x:row>
    <x:row r="299" ht="14.25" customHeight="1">
      <x:c r="A299" s="4" t="n">
        <x:f>'TeamHero生成'!A299</x:f>
        <x:v>295</x:v>
      </x:c>
      <x:c r="B299" s="4" t="n">
        <x:f>'TeamHero生成'!B299</x:f>
        <x:v>1007</x:v>
      </x:c>
      <x:c r="C299" s="4" t="n">
        <x:f>'TeamHero生成'!C299</x:f>
        <x:v>39</x:v>
      </x:c>
      <x:c r="D299" s="5" t="n">
        <x:f>'TeamHero生成'!D299</x:f>
        <x:v>1176395</x:v>
      </x:c>
      <x:c r="E299" s="5" t="n">
        <x:f>'TeamHero生成'!E299</x:f>
        <x:v>18620</x:v>
      </x:c>
      <x:c r="F299" s="5" t="n">
        <x:f>'TeamHero生成'!F299</x:f>
        <x:v>26718</x:v>
      </x:c>
      <x:c r="G299" s="4" t="str">
        <x:f>'TeamHero生成'!AG299</x:f>
        <x:v>有效</x:v>
      </x:c>
      <x:c r="H299" s="4" t="n">
        <x:f>'TeamHero生成'!G299</x:f>
        <x:v>1481322</x:v>
      </x:c>
      <x:c r="I299" s="4" t="n">
        <x:f>'TeamHero生成'!H299</x:f>
        <x:v>20816</x:v>
      </x:c>
      <x:c r="J299" s="4" t="n">
        <x:f>'TeamHero生成'!I299</x:f>
        <x:v>21515</x:v>
      </x:c>
    </x:row>
    <x:row r="300" ht="14.25" customHeight="1">
      <x:c r="A300" s="4" t="n">
        <x:f>'TeamHero生成'!A300</x:f>
        <x:v>296</x:v>
      </x:c>
      <x:c r="B300" s="4" t="n">
        <x:f>'TeamHero生成'!B300</x:f>
        <x:v>1003</x:v>
      </x:c>
      <x:c r="C300" s="4" t="n">
        <x:f>'TeamHero生成'!C300</x:f>
        <x:v>40</x:v>
      </x:c>
      <x:c r="D300" s="5" t="n">
        <x:f>'TeamHero生成'!D300</x:f>
        <x:v>1450473</x:v>
      </x:c>
      <x:c r="E300" s="5" t="n">
        <x:f>'TeamHero生成'!E300</x:f>
        <x:v>19005</x:v>
      </x:c>
      <x:c r="F300" s="5" t="n">
        <x:f>'TeamHero生成'!F300</x:f>
        <x:v>32432</x:v>
      </x:c>
      <x:c r="G300" s="4" t="str">
        <x:f>'TeamHero生成'!AG300</x:f>
        <x:v>有效</x:v>
      </x:c>
      <x:c r="H300" s="4" t="n">
        <x:f>'TeamHero生成'!G300</x:f>
        <x:v>1850544</x:v>
      </x:c>
      <x:c r="I300" s="4" t="n">
        <x:f>'TeamHero生成'!H300</x:f>
        <x:v>21412</x:v>
      </x:c>
      <x:c r="J300" s="4" t="n">
        <x:f>'TeamHero生成'!I300</x:f>
        <x:v>26365</x:v>
      </x:c>
    </x:row>
    <x:row r="301" ht="14.25" customHeight="1">
      <x:c r="A301" s="4" t="n">
        <x:f>'TeamHero生成'!A301</x:f>
        <x:v>297</x:v>
      </x:c>
      <x:c r="B301" s="4" t="n">
        <x:f>'TeamHero生成'!B301</x:f>
        <x:v>1005</x:v>
      </x:c>
      <x:c r="C301" s="4" t="n">
        <x:f>'TeamHero生成'!C301</x:f>
        <x:v>40</x:v>
      </x:c>
      <x:c r="D301" s="5" t="n">
        <x:f>'TeamHero生成'!D301</x:f>
        <x:v>966982</x:v>
      </x:c>
      <x:c r="E301" s="5" t="n">
        <x:f>'TeamHero生成'!E301</x:f>
        <x:v>22806</x:v>
      </x:c>
      <x:c r="F301" s="5" t="n">
        <x:f>'TeamHero生成'!F301</x:f>
        <x:v>21621</x:v>
      </x:c>
      <x:c r="G301" s="4" t="str">
        <x:f>'TeamHero生成'!AG301</x:f>
        <x:v>有效</x:v>
      </x:c>
      <x:c r="H301" s="4" t="n">
        <x:f>'TeamHero生成'!G301</x:f>
        <x:v>1233696</x:v>
      </x:c>
      <x:c r="I301" s="4" t="n">
        <x:f>'TeamHero生成'!H301</x:f>
        <x:v>25694</x:v>
      </x:c>
      <x:c r="J301" s="4" t="n">
        <x:f>'TeamHero生成'!I301</x:f>
        <x:v>17576</x:v>
      </x:c>
    </x:row>
    <x:row r="302" ht="14.25" customHeight="1">
      <x:c r="A302" s="4" t="n">
        <x:f>'TeamHero生成'!A302</x:f>
        <x:v>298</x:v>
      </x:c>
      <x:c r="B302" s="4" t="n">
        <x:f>'TeamHero生成'!B302</x:f>
        <x:v>1029</x:v>
      </x:c>
      <x:c r="C302" s="4" t="n">
        <x:f>'TeamHero生成'!C302</x:f>
        <x:v>40</x:v>
      </x:c>
      <x:c r="D302" s="5" t="n">
        <x:f>'TeamHero生成'!D302</x:f>
        <x:v>1208727</x:v>
      </x:c>
      <x:c r="E302" s="5" t="n">
        <x:f>'TeamHero生成'!E302</x:f>
        <x:v>19005</x:v>
      </x:c>
      <x:c r="F302" s="5" t="n">
        <x:f>'TeamHero生成'!F302</x:f>
        <x:v>27026</x:v>
      </x:c>
      <x:c r="G302" s="4" t="str">
        <x:f>'TeamHero生成'!AG302</x:f>
        <x:v>有效</x:v>
      </x:c>
      <x:c r="H302" s="4" t="n">
        <x:f>'TeamHero生成'!G302</x:f>
        <x:v>1542120</x:v>
      </x:c>
      <x:c r="I302" s="4" t="n">
        <x:f>'TeamHero生成'!H302</x:f>
        <x:v>21412</x:v>
      </x:c>
      <x:c r="J302" s="4" t="n">
        <x:f>'TeamHero生成'!I302</x:f>
        <x:v>21971</x:v>
      </x:c>
    </x:row>
    <x:row r="303" ht="14.25" customHeight="1">
      <x:c r="A303" s="4" t="n">
        <x:f>'TeamHero生成'!A303</x:f>
        <x:v>299</x:v>
      </x:c>
      <x:c r="B303" s="4" t="n">
        <x:f>'TeamHero生成'!B303</x:f>
        <x:v>1007</x:v>
      </x:c>
      <x:c r="C303" s="4" t="n">
        <x:f>'TeamHero生成'!C303</x:f>
        <x:v>40</x:v>
      </x:c>
      <x:c r="D303" s="5" t="n">
        <x:f>'TeamHero生成'!D303</x:f>
        <x:v>1208727</x:v>
      </x:c>
      <x:c r="E303" s="5" t="n">
        <x:f>'TeamHero生成'!E303</x:f>
        <x:v>19005</x:v>
      </x:c>
      <x:c r="F303" s="5" t="n">
        <x:f>'TeamHero生成'!F303</x:f>
        <x:v>27026</x:v>
      </x:c>
      <x:c r="G303" s="4" t="str">
        <x:f>'TeamHero生成'!AG303</x:f>
        <x:v>有效</x:v>
      </x:c>
      <x:c r="H303" s="4" t="n">
        <x:f>'TeamHero生成'!G303</x:f>
        <x:v>1542120</x:v>
      </x:c>
      <x:c r="I303" s="4" t="n">
        <x:f>'TeamHero生成'!H303</x:f>
        <x:v>21412</x:v>
      </x:c>
      <x:c r="J303" s="4" t="n">
        <x:f>'TeamHero生成'!I303</x:f>
        <x:v>21971</x:v>
      </x:c>
    </x:row>
    <x:row r="304" ht="14.25" customHeight="1">
      <x:c r="A304" s="4" t="n">
        <x:f>'TeamHero生成'!A304</x:f>
        <x:v>300</x:v>
      </x:c>
      <x:c r="B304" s="4" t="n">
        <x:f>'TeamHero生成'!B304</x:f>
        <x:v>1018</x:v>
      </x:c>
      <x:c r="C304" s="4" t="n">
        <x:f>'TeamHero生成'!C304</x:f>
        <x:v>40</x:v>
      </x:c>
      <x:c r="D304" s="5" t="n">
        <x:f>'TeamHero生成'!D304</x:f>
        <x:v>1208727</x:v>
      </x:c>
      <x:c r="E304" s="5" t="n">
        <x:f>'TeamHero生成'!E304</x:f>
        <x:v>19005</x:v>
      </x:c>
      <x:c r="F304" s="5" t="n">
        <x:f>'TeamHero生成'!F304</x:f>
        <x:v>27026</x:v>
      </x:c>
      <x:c r="G304" s="4" t="str">
        <x:f>'TeamHero生成'!AG304</x:f>
        <x:v>有效</x:v>
      </x:c>
      <x:c r="H304" s="4" t="n">
        <x:f>'TeamHero生成'!G304</x:f>
        <x:v>1542120</x:v>
      </x:c>
      <x:c r="I304" s="4" t="n">
        <x:f>'TeamHero生成'!H304</x:f>
        <x:v>21412</x:v>
      </x:c>
      <x:c r="J304" s="4" t="n">
        <x:f>'TeamHero生成'!I304</x:f>
        <x:v>21971</x:v>
      </x:c>
    </x:row>
    <x:row r="305" ht="14.25" customHeight="1">
      <x:c r="A305" s="4" t="n">
        <x:f>'TeamHero生成'!A305</x:f>
        <x:v>301</x:v>
      </x:c>
      <x:c r="B305" s="4" t="n">
        <x:f>'TeamHero生成'!B305</x:f>
        <x:v>1003</x:v>
      </x:c>
      <x:c r="C305" s="4" t="n">
        <x:f>'TeamHero生成'!C305</x:f>
        <x:v>40</x:v>
      </x:c>
      <x:c r="D305" s="5" t="n">
        <x:f>'TeamHero生成'!D305</x:f>
        <x:v>1486904</x:v>
      </x:c>
      <x:c r="E305" s="5" t="n">
        <x:f>'TeamHero生成'!E305</x:f>
        <x:v>19407</x:v>
      </x:c>
      <x:c r="F305" s="5" t="n">
        <x:f>'TeamHero生成'!F305</x:f>
        <x:v>32804</x:v>
      </x:c>
      <x:c r="G305" s="4" t="str">
        <x:f>'TeamHero生成'!AG305</x:f>
        <x:v>有效</x:v>
      </x:c>
      <x:c r="H305" s="4" t="n">
        <x:f>'TeamHero生成'!G305</x:f>
        <x:v>1925647</x:v>
      </x:c>
      <x:c r="I305" s="4" t="n">
        <x:f>'TeamHero生成'!H305</x:f>
        <x:v>22019</x:v>
      </x:c>
      <x:c r="J305" s="4" t="n">
        <x:f>'TeamHero生成'!I305</x:f>
        <x:v>26917</x:v>
      </x:c>
    </x:row>
    <x:row r="306" ht="14.25" customHeight="1">
      <x:c r="A306" s="4" t="n">
        <x:f>'TeamHero生成'!A306</x:f>
        <x:v>302</x:v>
      </x:c>
      <x:c r="B306" s="4" t="n">
        <x:f>'TeamHero生成'!B306</x:f>
        <x:v>1001</x:v>
      </x:c>
      <x:c r="C306" s="4" t="n">
        <x:f>'TeamHero生成'!C306</x:f>
        <x:v>40</x:v>
      </x:c>
      <x:c r="D306" s="5" t="n">
        <x:f>'TeamHero生成'!D306</x:f>
        <x:v>991269</x:v>
      </x:c>
      <x:c r="E306" s="5" t="n">
        <x:f>'TeamHero生成'!E306</x:f>
        <x:v>23289</x:v>
      </x:c>
      <x:c r="F306" s="5" t="n">
        <x:f>'TeamHero生成'!F306</x:f>
        <x:v>21869</x:v>
      </x:c>
      <x:c r="G306" s="4" t="str">
        <x:f>'TeamHero生成'!AG306</x:f>
        <x:v>有效</x:v>
      </x:c>
      <x:c r="H306" s="4" t="n">
        <x:f>'TeamHero生成'!G306</x:f>
        <x:v>1283764</x:v>
      </x:c>
      <x:c r="I306" s="4" t="n">
        <x:f>'TeamHero生成'!H306</x:f>
        <x:v>26422</x:v>
      </x:c>
      <x:c r="J306" s="4" t="n">
        <x:f>'TeamHero生成'!I306</x:f>
        <x:v>17944</x:v>
      </x:c>
    </x:row>
    <x:row r="307" ht="14.25" customHeight="1">
      <x:c r="A307" s="4" t="n">
        <x:f>'TeamHero生成'!A307</x:f>
        <x:v>303</x:v>
      </x:c>
      <x:c r="B307" s="4" t="n">
        <x:f>'TeamHero生成'!B307</x:f>
        <x:v>1012</x:v>
      </x:c>
      <x:c r="C307" s="4" t="n">
        <x:f>'TeamHero生成'!C307</x:f>
        <x:v>40</x:v>
      </x:c>
      <x:c r="D307" s="5" t="n">
        <x:f>'TeamHero生成'!D307</x:f>
        <x:v>1239087</x:v>
      </x:c>
      <x:c r="E307" s="5" t="n">
        <x:f>'TeamHero生成'!E307</x:f>
        <x:v>19407</x:v>
      </x:c>
      <x:c r="F307" s="5" t="n">
        <x:f>'TeamHero生成'!F307</x:f>
        <x:v>27336</x:v>
      </x:c>
      <x:c r="G307" s="4" t="str">
        <x:f>'TeamHero生成'!AG307</x:f>
        <x:v>有效</x:v>
      </x:c>
      <x:c r="H307" s="4" t="n">
        <x:f>'TeamHero生成'!G307</x:f>
        <x:v>1604706</x:v>
      </x:c>
      <x:c r="I307" s="4" t="n">
        <x:f>'TeamHero生成'!H307</x:f>
        <x:v>22019</x:v>
      </x:c>
      <x:c r="J307" s="4" t="n">
        <x:f>'TeamHero生成'!I307</x:f>
        <x:v>22431</x:v>
      </x:c>
    </x:row>
    <x:row r="308" ht="14.25" customHeight="1">
      <x:c r="A308" s="4" t="n">
        <x:f>'TeamHero生成'!A308</x:f>
        <x:v>304</x:v>
      </x:c>
      <x:c r="B308" s="4" t="n">
        <x:f>'TeamHero生成'!B308</x:f>
        <x:v>1021</x:v>
      </x:c>
      <x:c r="C308" s="4" t="n">
        <x:f>'TeamHero生成'!C308</x:f>
        <x:v>40</x:v>
      </x:c>
      <x:c r="D308" s="5" t="n">
        <x:f>'TeamHero生成'!D308</x:f>
        <x:v>991269</x:v>
      </x:c>
      <x:c r="E308" s="5" t="n">
        <x:f>'TeamHero生成'!E308</x:f>
        <x:v>23289</x:v>
      </x:c>
      <x:c r="F308" s="5" t="n">
        <x:f>'TeamHero生成'!F308</x:f>
        <x:v>21869</x:v>
      </x:c>
      <x:c r="G308" s="4" t="str">
        <x:f>'TeamHero生成'!AG308</x:f>
        <x:v>有效</x:v>
      </x:c>
      <x:c r="H308" s="4" t="n">
        <x:f>'TeamHero生成'!G308</x:f>
        <x:v>1283764</x:v>
      </x:c>
      <x:c r="I308" s="4" t="n">
        <x:f>'TeamHero生成'!H308</x:f>
        <x:v>26422</x:v>
      </x:c>
      <x:c r="J308" s="4" t="n">
        <x:f>'TeamHero生成'!I308</x:f>
        <x:v>17944</x:v>
      </x:c>
    </x:row>
    <x:row r="309" ht="14.25" customHeight="1">
      <x:c r="A309" s="4" t="n">
        <x:f>'TeamHero生成'!A309</x:f>
        <x:v>305</x:v>
      </x:c>
      <x:c r="B309" s="4" t="n">
        <x:f>'TeamHero生成'!B309</x:f>
        <x:v>1005</x:v>
      </x:c>
      <x:c r="C309" s="4" t="n">
        <x:f>'TeamHero生成'!C309</x:f>
        <x:v>40</x:v>
      </x:c>
      <x:c r="D309" s="5" t="n">
        <x:f>'TeamHero生成'!D309</x:f>
        <x:v>991269</x:v>
      </x:c>
      <x:c r="E309" s="5" t="n">
        <x:f>'TeamHero生成'!E309</x:f>
        <x:v>23289</x:v>
      </x:c>
      <x:c r="F309" s="5" t="n">
        <x:f>'TeamHero生成'!F309</x:f>
        <x:v>21869</x:v>
      </x:c>
      <x:c r="G309" s="4" t="str">
        <x:f>'TeamHero生成'!AG309</x:f>
        <x:v>有效</x:v>
      </x:c>
      <x:c r="H309" s="4" t="n">
        <x:f>'TeamHero生成'!G309</x:f>
        <x:v>1283764</x:v>
      </x:c>
      <x:c r="I309" s="4" t="n">
        <x:f>'TeamHero生成'!H309</x:f>
        <x:v>26422</x:v>
      </x:c>
      <x:c r="J309" s="4" t="n">
        <x:f>'TeamHero生成'!I309</x:f>
        <x:v>17944</x:v>
      </x:c>
    </x:row>
    <x:row r="310" ht="14.25" customHeight="1">
      <x:c r="A310" s="4" t="n">
        <x:f>'TeamHero生成'!A310</x:f>
        <x:v>306</x:v>
      </x:c>
      <x:c r="B310" s="4" t="n">
        <x:f>'TeamHero生成'!B310</x:f>
        <x:v>1004</x:v>
      </x:c>
      <x:c r="C310" s="4" t="n">
        <x:f>'TeamHero生成'!C310</x:f>
        <x:v>41</x:v>
      </x:c>
      <x:c r="D310" s="5" t="n">
        <x:f>'TeamHero生成'!D310</x:f>
        <x:v>1511309</x:v>
      </x:c>
      <x:c r="E310" s="5" t="n">
        <x:f>'TeamHero生成'!E310</x:f>
        <x:v>19701</x:v>
      </x:c>
      <x:c r="F310" s="5" t="n">
        <x:f>'TeamHero生成'!F310</x:f>
        <x:v>33177</x:v>
      </x:c>
      <x:c r="G310" s="4" t="str">
        <x:f>'TeamHero生成'!AG310</x:f>
        <x:v>有效</x:v>
      </x:c>
      <x:c r="H310" s="4" t="n">
        <x:f>'TeamHero生成'!G310</x:f>
        <x:v>2002946</x:v>
      </x:c>
      <x:c r="I310" s="4" t="n">
        <x:f>'TeamHero生成'!H310</x:f>
        <x:v>22639</x:v>
      </x:c>
      <x:c r="J310" s="4" t="n">
        <x:f>'TeamHero生成'!I310</x:f>
        <x:v>27474</x:v>
      </x:c>
    </x:row>
    <x:row r="311" ht="14.25" customHeight="1">
      <x:c r="A311" s="4" t="n">
        <x:f>'TeamHero生成'!A311</x:f>
        <x:v>307</x:v>
      </x:c>
      <x:c r="B311" s="4" t="n">
        <x:f>'TeamHero生成'!B311</x:f>
        <x:v>1011</x:v>
      </x:c>
      <x:c r="C311" s="4" t="n">
        <x:f>'TeamHero生成'!C311</x:f>
        <x:v>41</x:v>
      </x:c>
      <x:c r="D311" s="5" t="n">
        <x:f>'TeamHero生成'!D311</x:f>
        <x:v>1259424</x:v>
      </x:c>
      <x:c r="E311" s="5" t="n">
        <x:f>'TeamHero生成'!E311</x:f>
        <x:v>19701</x:v>
      </x:c>
      <x:c r="F311" s="5" t="n">
        <x:f>'TeamHero生成'!F311</x:f>
        <x:v>27648</x:v>
      </x:c>
      <x:c r="G311" s="4" t="str">
        <x:f>'TeamHero生成'!AG311</x:f>
        <x:v>有效</x:v>
      </x:c>
      <x:c r="H311" s="4" t="n">
        <x:f>'TeamHero生成'!G311</x:f>
        <x:v>1669122</x:v>
      </x:c>
      <x:c r="I311" s="4" t="n">
        <x:f>'TeamHero生成'!H311</x:f>
        <x:v>22639</x:v>
      </x:c>
      <x:c r="J311" s="4" t="n">
        <x:f>'TeamHero生成'!I311</x:f>
        <x:v>22895</x:v>
      </x:c>
    </x:row>
    <x:row r="312" ht="14.25" customHeight="1">
      <x:c r="A312" s="4" t="n">
        <x:f>'TeamHero生成'!A312</x:f>
        <x:v>308</x:v>
      </x:c>
      <x:c r="B312" s="4" t="n">
        <x:f>'TeamHero生成'!B312</x:f>
        <x:v>1014</x:v>
      </x:c>
      <x:c r="C312" s="4" t="n">
        <x:f>'TeamHero生成'!C312</x:f>
        <x:v>41</x:v>
      </x:c>
      <x:c r="D312" s="5" t="n">
        <x:f>'TeamHero生成'!D312</x:f>
        <x:v>1007539</x:v>
      </x:c>
      <x:c r="E312" s="5" t="n">
        <x:f>'TeamHero生成'!E312</x:f>
        <x:v>23642</x:v>
      </x:c>
      <x:c r="F312" s="5" t="n">
        <x:f>'TeamHero生成'!F312</x:f>
        <x:v>22118</x:v>
      </x:c>
      <x:c r="G312" s="4" t="str">
        <x:f>'TeamHero生成'!AG312</x:f>
        <x:v>有效</x:v>
      </x:c>
      <x:c r="H312" s="4" t="n">
        <x:f>'TeamHero生成'!G312</x:f>
        <x:v>1335297</x:v>
      </x:c>
      <x:c r="I312" s="4" t="n">
        <x:f>'TeamHero生成'!H312</x:f>
        <x:v>27166</x:v>
      </x:c>
      <x:c r="J312" s="4" t="n">
        <x:f>'TeamHero生成'!I312</x:f>
        <x:v>18316</x:v>
      </x:c>
    </x:row>
    <x:row r="313" ht="14.25" customHeight="1">
      <x:c r="A313" s="4" t="n">
        <x:f>'TeamHero生成'!A313</x:f>
        <x:v>309</x:v>
      </x:c>
      <x:c r="B313" s="4" t="n">
        <x:f>'TeamHero生成'!B313</x:f>
        <x:v>1021</x:v>
      </x:c>
      <x:c r="C313" s="4" t="n">
        <x:f>'TeamHero生成'!C313</x:f>
        <x:v>41</x:v>
      </x:c>
      <x:c r="D313" s="5" t="n">
        <x:f>'TeamHero生成'!D313</x:f>
        <x:v>1007539</x:v>
      </x:c>
      <x:c r="E313" s="5" t="n">
        <x:f>'TeamHero生成'!E313</x:f>
        <x:v>23642</x:v>
      </x:c>
      <x:c r="F313" s="5" t="n">
        <x:f>'TeamHero生成'!F313</x:f>
        <x:v>22118</x:v>
      </x:c>
      <x:c r="G313" s="4" t="str">
        <x:f>'TeamHero生成'!AG313</x:f>
        <x:v>有效</x:v>
      </x:c>
      <x:c r="H313" s="4" t="n">
        <x:f>'TeamHero生成'!G313</x:f>
        <x:v>1335297</x:v>
      </x:c>
      <x:c r="I313" s="4" t="n">
        <x:f>'TeamHero生成'!H313</x:f>
        <x:v>27166</x:v>
      </x:c>
      <x:c r="J313" s="4" t="n">
        <x:f>'TeamHero生成'!I313</x:f>
        <x:v>18316</x:v>
      </x:c>
    </x:row>
    <x:row r="314" ht="14.25" customHeight="1">
      <x:c r="A314" s="4" t="n">
        <x:f>'TeamHero生成'!A314</x:f>
        <x:v>310</x:v>
      </x:c>
      <x:c r="B314" s="4" t="n">
        <x:f>'TeamHero生成'!B314</x:f>
        <x:v>1006</x:v>
      </x:c>
      <x:c r="C314" s="4" t="n">
        <x:f>'TeamHero生成'!C314</x:f>
        <x:v>41</x:v>
      </x:c>
      <x:c r="D314" s="5" t="n">
        <x:f>'TeamHero生成'!D314</x:f>
        <x:v>1007539</x:v>
      </x:c>
      <x:c r="E314" s="5" t="n">
        <x:f>'TeamHero生成'!E314</x:f>
        <x:v>23642</x:v>
      </x:c>
      <x:c r="F314" s="5" t="n">
        <x:f>'TeamHero生成'!F314</x:f>
        <x:v>22118</x:v>
      </x:c>
      <x:c r="G314" s="4" t="str">
        <x:f>'TeamHero生成'!AG314</x:f>
        <x:v>有效</x:v>
      </x:c>
      <x:c r="H314" s="4" t="n">
        <x:f>'TeamHero生成'!G314</x:f>
        <x:v>1335297</x:v>
      </x:c>
      <x:c r="I314" s="4" t="n">
        <x:f>'TeamHero生成'!H314</x:f>
        <x:v>27166</x:v>
      </x:c>
      <x:c r="J314" s="4" t="n">
        <x:f>'TeamHero生成'!I314</x:f>
        <x:v>18316</x:v>
      </x:c>
    </x:row>
    <x:row r="315" ht="14.25" customHeight="1">
      <x:c r="A315" s="4" t="n">
        <x:f>'TeamHero生成'!A315</x:f>
        <x:v>311</x:v>
      </x:c>
      <x:c r="B315" s="4" t="n">
        <x:f>'TeamHero生成'!B315</x:f>
        <x:v>1002</x:v>
      </x:c>
      <x:c r="C315" s="4" t="n">
        <x:f>'TeamHero生成'!C315</x:f>
        <x:v>41</x:v>
      </x:c>
      <x:c r="D315" s="5" t="n">
        <x:f>'TeamHero生成'!D315</x:f>
        <x:v>1539843</x:v>
      </x:c>
      <x:c r="E315" s="5" t="n">
        <x:f>'TeamHero生成'!E315</x:f>
        <x:v>20015</x:v>
      </x:c>
      <x:c r="F315" s="5" t="n">
        <x:f>'TeamHero生成'!F315</x:f>
        <x:v>33551</x:v>
      </x:c>
      <x:c r="G315" s="4" t="str">
        <x:f>'TeamHero生成'!AG315</x:f>
        <x:v>有效</x:v>
      </x:c>
      <x:c r="H315" s="4" t="n">
        <x:f>'TeamHero生成'!G315</x:f>
        <x:v>2082470</x:v>
      </x:c>
      <x:c r="I315" s="4" t="n">
        <x:f>'TeamHero生成'!H315</x:f>
        <x:v>23274</x:v>
      </x:c>
      <x:c r="J315" s="4" t="n">
        <x:f>'TeamHero生成'!I315</x:f>
        <x:v>28034</x:v>
      </x:c>
    </x:row>
    <x:row r="316" ht="14.25" customHeight="1">
      <x:c r="A316" s="4" t="n">
        <x:f>'TeamHero生成'!A316</x:f>
        <x:v>312</x:v>
      </x:c>
      <x:c r="B316" s="4" t="n">
        <x:f>'TeamHero生成'!B316</x:f>
        <x:v>1008</x:v>
      </x:c>
      <x:c r="C316" s="4" t="n">
        <x:f>'TeamHero生成'!C316</x:f>
        <x:v>41</x:v>
      </x:c>
      <x:c r="D316" s="5" t="n">
        <x:f>'TeamHero生成'!D316</x:f>
        <x:v>1026562</x:v>
      </x:c>
      <x:c r="E316" s="5" t="n">
        <x:f>'TeamHero生成'!E316</x:f>
        <x:v>24017</x:v>
      </x:c>
      <x:c r="F316" s="5" t="n">
        <x:f>'TeamHero生成'!F316</x:f>
        <x:v>22367</x:v>
      </x:c>
      <x:c r="G316" s="4" t="str">
        <x:f>'TeamHero生成'!AG316</x:f>
        <x:v>有效</x:v>
      </x:c>
      <x:c r="H316" s="4" t="n">
        <x:f>'TeamHero生成'!G316</x:f>
        <x:v>1388313</x:v>
      </x:c>
      <x:c r="I316" s="4" t="n">
        <x:f>'TeamHero生成'!H316</x:f>
        <x:v>27928</x:v>
      </x:c>
      <x:c r="J316" s="4" t="n">
        <x:f>'TeamHero生成'!I316</x:f>
        <x:v>18689</x:v>
      </x:c>
    </x:row>
    <x:row r="317" ht="14.25" customHeight="1">
      <x:c r="A317" s="4" t="n">
        <x:f>'TeamHero生成'!A317</x:f>
        <x:v>313</x:v>
      </x:c>
      <x:c r="B317" s="4" t="n">
        <x:f>'TeamHero生成'!B317</x:f>
        <x:v>1006</x:v>
      </x:c>
      <x:c r="C317" s="4" t="n">
        <x:f>'TeamHero生成'!C317</x:f>
        <x:v>41</x:v>
      </x:c>
      <x:c r="D317" s="5" t="n">
        <x:f>'TeamHero生成'!D317</x:f>
        <x:v>1026562</x:v>
      </x:c>
      <x:c r="E317" s="5" t="n">
        <x:f>'TeamHero生成'!E317</x:f>
        <x:v>24017</x:v>
      </x:c>
      <x:c r="F317" s="5" t="n">
        <x:f>'TeamHero生成'!F317</x:f>
        <x:v>22367</x:v>
      </x:c>
      <x:c r="G317" s="4" t="str">
        <x:f>'TeamHero生成'!AG317</x:f>
        <x:v>有效</x:v>
      </x:c>
      <x:c r="H317" s="4" t="n">
        <x:f>'TeamHero生成'!G317</x:f>
        <x:v>1388313</x:v>
      </x:c>
      <x:c r="I317" s="4" t="n">
        <x:f>'TeamHero生成'!H317</x:f>
        <x:v>27928</x:v>
      </x:c>
      <x:c r="J317" s="4" t="n">
        <x:f>'TeamHero生成'!I317</x:f>
        <x:v>18689</x:v>
      </x:c>
    </x:row>
    <x:row r="318" ht="14.25" customHeight="1">
      <x:c r="A318" s="4" t="n">
        <x:f>'TeamHero生成'!A318</x:f>
        <x:v>314</x:v>
      </x:c>
      <x:c r="B318" s="4" t="n">
        <x:f>'TeamHero生成'!B318</x:f>
        <x:v>1007</x:v>
      </x:c>
      <x:c r="C318" s="4" t="n">
        <x:f>'TeamHero生成'!C318</x:f>
        <x:v>41</x:v>
      </x:c>
      <x:c r="D318" s="5" t="n">
        <x:f>'TeamHero生成'!D318</x:f>
        <x:v>1283203</x:v>
      </x:c>
      <x:c r="E318" s="5" t="n">
        <x:f>'TeamHero生成'!E318</x:f>
        <x:v>20015</x:v>
      </x:c>
      <x:c r="F318" s="5" t="n">
        <x:f>'TeamHero生成'!F318</x:f>
        <x:v>27959</x:v>
      </x:c>
      <x:c r="G318" s="4" t="str">
        <x:f>'TeamHero生成'!AG318</x:f>
        <x:v>有效</x:v>
      </x:c>
      <x:c r="H318" s="4" t="n">
        <x:f>'TeamHero生成'!G318</x:f>
        <x:v>1735392</x:v>
      </x:c>
      <x:c r="I318" s="4" t="n">
        <x:f>'TeamHero生成'!H318</x:f>
        <x:v>23274</x:v>
      </x:c>
      <x:c r="J318" s="4" t="n">
        <x:f>'TeamHero生成'!I318</x:f>
        <x:v>23362</x:v>
      </x:c>
    </x:row>
    <x:row r="319" ht="14.25" customHeight="1">
      <x:c r="A319" s="4" t="n">
        <x:f>'TeamHero生成'!A319</x:f>
        <x:v>315</x:v>
      </x:c>
      <x:c r="B319" s="4" t="n">
        <x:f>'TeamHero生成'!B319</x:f>
        <x:v>1007</x:v>
      </x:c>
      <x:c r="C319" s="4" t="n">
        <x:f>'TeamHero生成'!C319</x:f>
        <x:v>41</x:v>
      </x:c>
      <x:c r="D319" s="5" t="n">
        <x:f>'TeamHero生成'!D319</x:f>
        <x:v>1283203</x:v>
      </x:c>
      <x:c r="E319" s="5" t="n">
        <x:f>'TeamHero生成'!E319</x:f>
        <x:v>20015</x:v>
      </x:c>
      <x:c r="F319" s="5" t="n">
        <x:f>'TeamHero生成'!F319</x:f>
        <x:v>27959</x:v>
      </x:c>
      <x:c r="G319" s="4" t="str">
        <x:f>'TeamHero生成'!AG319</x:f>
        <x:v>有效</x:v>
      </x:c>
      <x:c r="H319" s="4" t="n">
        <x:f>'TeamHero生成'!G319</x:f>
        <x:v>1735392</x:v>
      </x:c>
      <x:c r="I319" s="4" t="n">
        <x:f>'TeamHero生成'!H319</x:f>
        <x:v>23274</x:v>
      </x:c>
      <x:c r="J319" s="4" t="n">
        <x:f>'TeamHero生成'!I319</x:f>
        <x:v>23362</x:v>
      </x:c>
    </x:row>
    <x:row r="320" ht="14.25" customHeight="1">
      <x:c r="A320" s="4" t="n">
        <x:f>'TeamHero生成'!A320</x:f>
        <x:v>316</x:v>
      </x:c>
      <x:c r="B320" s="4" t="n">
        <x:f>'TeamHero生成'!B320</x:f>
        <x:v>1004</x:v>
      </x:c>
      <x:c r="C320" s="4" t="n">
        <x:f>'TeamHero生成'!C320</x:f>
        <x:v>42</x:v>
      </x:c>
      <x:c r="D320" s="5" t="n">
        <x:f>'TeamHero生成'!D320</x:f>
        <x:v>1583702</x:v>
      </x:c>
      <x:c r="E320" s="5" t="n">
        <x:f>'TeamHero生成'!E320</x:f>
        <x:v>20473</x:v>
      </x:c>
      <x:c r="F320" s="5" t="n">
        <x:f>'TeamHero生成'!F320</x:f>
        <x:v>33927</x:v>
      </x:c>
      <x:c r="G320" s="4" t="str">
        <x:f>'TeamHero生成'!AG320</x:f>
        <x:v>有效</x:v>
      </x:c>
      <x:c r="H320" s="4" t="n">
        <x:f>'TeamHero生成'!G320</x:f>
        <x:v>2164269</x:v>
      </x:c>
      <x:c r="I320" s="4" t="n">
        <x:f>'TeamHero生成'!H320</x:f>
        <x:v>23922</x:v>
      </x:c>
      <x:c r="J320" s="4" t="n">
        <x:f>'TeamHero生成'!I320</x:f>
        <x:v>28599</x:v>
      </x:c>
    </x:row>
    <x:row r="321" ht="14.25" customHeight="1">
      <x:c r="A321" s="4" t="n">
        <x:f>'TeamHero生成'!A321</x:f>
        <x:v>317</x:v>
      </x:c>
      <x:c r="B321" s="4" t="n">
        <x:f>'TeamHero生成'!B321</x:f>
        <x:v>1021</x:v>
      </x:c>
      <x:c r="C321" s="4" t="n">
        <x:f>'TeamHero生成'!C321</x:f>
        <x:v>42</x:v>
      </x:c>
      <x:c r="D321" s="5" t="n">
        <x:f>'TeamHero生成'!D321</x:f>
        <x:v>1055801</x:v>
      </x:c>
      <x:c r="E321" s="5" t="n">
        <x:f>'TeamHero生成'!E321</x:f>
        <x:v>24568</x:v>
      </x:c>
      <x:c r="F321" s="5" t="n">
        <x:f>'TeamHero生成'!F321</x:f>
        <x:v>22618</x:v>
      </x:c>
      <x:c r="G321" s="4" t="str">
        <x:f>'TeamHero生成'!AG321</x:f>
        <x:v>有效</x:v>
      </x:c>
      <x:c r="H321" s="4" t="n">
        <x:f>'TeamHero生成'!G321</x:f>
        <x:v>1442846</x:v>
      </x:c>
      <x:c r="I321" s="4" t="n">
        <x:f>'TeamHero生成'!H321</x:f>
        <x:v>28706</x:v>
      </x:c>
      <x:c r="J321" s="4" t="n">
        <x:f>'TeamHero生成'!I321</x:f>
        <x:v>19066</x:v>
      </x:c>
    </x:row>
    <x:row r="322" ht="14.25" customHeight="1">
      <x:c r="A322" s="4" t="n">
        <x:f>'TeamHero生成'!A322</x:f>
        <x:v>318</x:v>
      </x:c>
      <x:c r="B322" s="4" t="n">
        <x:f>'TeamHero生成'!B322</x:f>
        <x:v>1006</x:v>
      </x:c>
      <x:c r="C322" s="4" t="n">
        <x:f>'TeamHero生成'!C322</x:f>
        <x:v>42</x:v>
      </x:c>
      <x:c r="D322" s="5" t="n">
        <x:f>'TeamHero生成'!D322</x:f>
        <x:v>1055801</x:v>
      </x:c>
      <x:c r="E322" s="5" t="n">
        <x:f>'TeamHero生成'!E322</x:f>
        <x:v>24568</x:v>
      </x:c>
      <x:c r="F322" s="5" t="n">
        <x:f>'TeamHero生成'!F322</x:f>
        <x:v>22618</x:v>
      </x:c>
      <x:c r="G322" s="4" t="str">
        <x:f>'TeamHero生成'!AG322</x:f>
        <x:v>有效</x:v>
      </x:c>
      <x:c r="H322" s="4" t="n">
        <x:f>'TeamHero生成'!G322</x:f>
        <x:v>1442846</x:v>
      </x:c>
      <x:c r="I322" s="4" t="n">
        <x:f>'TeamHero生成'!H322</x:f>
        <x:v>28706</x:v>
      </x:c>
      <x:c r="J322" s="4" t="n">
        <x:f>'TeamHero生成'!I322</x:f>
        <x:v>19066</x:v>
      </x:c>
    </x:row>
    <x:row r="323" ht="14.25" customHeight="1">
      <x:c r="A323" s="4" t="n">
        <x:f>'TeamHero生成'!A323</x:f>
        <x:v>319</x:v>
      </x:c>
      <x:c r="B323" s="4" t="n">
        <x:f>'TeamHero生成'!B323</x:f>
        <x:v>1012</x:v>
      </x:c>
      <x:c r="C323" s="4" t="n">
        <x:f>'TeamHero生成'!C323</x:f>
        <x:v>42</x:v>
      </x:c>
      <x:c r="D323" s="5" t="n">
        <x:f>'TeamHero生成'!D323</x:f>
        <x:v>1319751</x:v>
      </x:c>
      <x:c r="E323" s="5" t="n">
        <x:f>'TeamHero生成'!E323</x:f>
        <x:v>20473</x:v>
      </x:c>
      <x:c r="F323" s="5" t="n">
        <x:f>'TeamHero生成'!F323</x:f>
        <x:v>28273</x:v>
      </x:c>
      <x:c r="G323" s="4" t="str">
        <x:f>'TeamHero生成'!AG323</x:f>
        <x:v>有效</x:v>
      </x:c>
      <x:c r="H323" s="4" t="n">
        <x:f>'TeamHero生成'!G323</x:f>
        <x:v>1803558</x:v>
      </x:c>
      <x:c r="I323" s="4" t="n">
        <x:f>'TeamHero生成'!H323</x:f>
        <x:v>23922</x:v>
      </x:c>
      <x:c r="J323" s="4" t="n">
        <x:f>'TeamHero生成'!I323</x:f>
        <x:v>23833</x:v>
      </x:c>
    </x:row>
    <x:row r="324" ht="14.25" customHeight="1">
      <x:c r="A324" s="4" t="n">
        <x:f>'TeamHero生成'!A324</x:f>
        <x:v>320</x:v>
      </x:c>
      <x:c r="B324" s="4" t="n">
        <x:f>'TeamHero生成'!B324</x:f>
        <x:v>1014</x:v>
      </x:c>
      <x:c r="C324" s="4" t="n">
        <x:f>'TeamHero生成'!C324</x:f>
        <x:v>42</x:v>
      </x:c>
      <x:c r="D324" s="5" t="n">
        <x:f>'TeamHero生成'!D324</x:f>
        <x:v>1055801</x:v>
      </x:c>
      <x:c r="E324" s="5" t="n">
        <x:f>'TeamHero生成'!E324</x:f>
        <x:v>24568</x:v>
      </x:c>
      <x:c r="F324" s="5" t="n">
        <x:f>'TeamHero生成'!F324</x:f>
        <x:v>22618</x:v>
      </x:c>
      <x:c r="G324" s="4" t="str">
        <x:f>'TeamHero生成'!AG324</x:f>
        <x:v>有效</x:v>
      </x:c>
      <x:c r="H324" s="4" t="n">
        <x:f>'TeamHero生成'!G324</x:f>
        <x:v>1442846</x:v>
      </x:c>
      <x:c r="I324" s="4" t="n">
        <x:f>'TeamHero生成'!H324</x:f>
        <x:v>28706</x:v>
      </x:c>
      <x:c r="J324" s="4" t="n">
        <x:f>'TeamHero生成'!I324</x:f>
        <x:v>19066</x:v>
      </x:c>
    </x:row>
    <x:row r="325" ht="14.25" customHeight="1">
      <x:c r="A325" s="4" t="n">
        <x:f>'TeamHero生成'!A325</x:f>
        <x:v>321</x:v>
      </x:c>
      <x:c r="B325" s="4" t="n">
        <x:f>'TeamHero生成'!B325</x:f>
        <x:v>1003</x:v>
      </x:c>
      <x:c r="C325" s="4" t="n">
        <x:f>'TeamHero生成'!C325</x:f>
        <x:v>42</x:v>
      </x:c>
      <x:c r="D325" s="5" t="n">
        <x:f>'TeamHero生成'!D325</x:f>
        <x:v>1609892</x:v>
      </x:c>
      <x:c r="E325" s="5" t="n">
        <x:f>'TeamHero生成'!E325</x:f>
        <x:v>20736</x:v>
      </x:c>
      <x:c r="F325" s="5" t="n">
        <x:f>'TeamHero生成'!F325</x:f>
        <x:v>34304</x:v>
      </x:c>
      <x:c r="G325" s="4" t="str">
        <x:f>'TeamHero生成'!AG325</x:f>
        <x:v>有效</x:v>
      </x:c>
      <x:c r="H325" s="4" t="n">
        <x:f>'TeamHero生成'!G325</x:f>
        <x:v>2248387</x:v>
      </x:c>
      <x:c r="I325" s="4" t="n">
        <x:f>'TeamHero生成'!H325</x:f>
        <x:v>24586</x:v>
      </x:c>
      <x:c r="J325" s="4" t="n">
        <x:f>'TeamHero生成'!I325</x:f>
        <x:v>29168</x:v>
      </x:c>
    </x:row>
    <x:row r="326" ht="14.25" customHeight="1">
      <x:c r="A326" s="4" t="n">
        <x:f>'TeamHero生成'!A326</x:f>
        <x:v>322</x:v>
      </x:c>
      <x:c r="B326" s="4" t="n">
        <x:f>'TeamHero生成'!B326</x:f>
        <x:v>1008</x:v>
      </x:c>
      <x:c r="C326" s="4" t="n">
        <x:f>'TeamHero生成'!C326</x:f>
        <x:v>42</x:v>
      </x:c>
      <x:c r="D326" s="5" t="n">
        <x:f>'TeamHero生成'!D326</x:f>
        <x:v>1073261</x:v>
      </x:c>
      <x:c r="E326" s="5" t="n">
        <x:f>'TeamHero生成'!E326</x:f>
        <x:v>24883</x:v>
      </x:c>
      <x:c r="F326" s="5" t="n">
        <x:f>'TeamHero生成'!F326</x:f>
        <x:v>22869</x:v>
      </x:c>
      <x:c r="G326" s="4" t="str">
        <x:f>'TeamHero生成'!AG326</x:f>
        <x:v>有效</x:v>
      </x:c>
      <x:c r="H326" s="4" t="n">
        <x:f>'TeamHero生成'!G326</x:f>
        <x:v>1498924</x:v>
      </x:c>
      <x:c r="I326" s="4" t="n">
        <x:f>'TeamHero生成'!H326</x:f>
        <x:v>29503</x:v>
      </x:c>
      <x:c r="J326" s="4" t="n">
        <x:f>'TeamHero生成'!I326</x:f>
        <x:v>19445</x:v>
      </x:c>
    </x:row>
    <x:row r="327" ht="14.25" customHeight="1">
      <x:c r="A327" s="4" t="n">
        <x:f>'TeamHero生成'!A327</x:f>
        <x:v>323</x:v>
      </x:c>
      <x:c r="B327" s="4" t="n">
        <x:f>'TeamHero生成'!B327</x:f>
        <x:v>1007</x:v>
      </x:c>
      <x:c r="C327" s="4" t="n">
        <x:f>'TeamHero生成'!C327</x:f>
        <x:v>42</x:v>
      </x:c>
      <x:c r="D327" s="5" t="n">
        <x:f>'TeamHero生成'!D327</x:f>
        <x:v>1341577</x:v>
      </x:c>
      <x:c r="E327" s="5" t="n">
        <x:f>'TeamHero生成'!E327</x:f>
        <x:v>20736</x:v>
      </x:c>
      <x:c r="F327" s="5" t="n">
        <x:f>'TeamHero生成'!F327</x:f>
        <x:v>28586</x:v>
      </x:c>
      <x:c r="G327" s="4" t="str">
        <x:f>'TeamHero生成'!AG327</x:f>
        <x:v>有效</x:v>
      </x:c>
      <x:c r="H327" s="4" t="n">
        <x:f>'TeamHero生成'!G327</x:f>
        <x:v>1873656</x:v>
      </x:c>
      <x:c r="I327" s="4" t="n">
        <x:f>'TeamHero生成'!H327</x:f>
        <x:v>24586</x:v>
      </x:c>
      <x:c r="J327" s="4" t="n">
        <x:f>'TeamHero生成'!I327</x:f>
        <x:v>24307</x:v>
      </x:c>
    </x:row>
    <x:row r="328" ht="14.25" customHeight="1">
      <x:c r="A328" s="4" t="n">
        <x:f>'TeamHero生成'!A328</x:f>
        <x:v>324</x:v>
      </x:c>
      <x:c r="B328" s="4" t="n">
        <x:f>'TeamHero生成'!B328</x:f>
        <x:v>1011</x:v>
      </x:c>
      <x:c r="C328" s="4" t="n">
        <x:f>'TeamHero生成'!C328</x:f>
        <x:v>42</x:v>
      </x:c>
      <x:c r="D328" s="5" t="n">
        <x:f>'TeamHero生成'!D328</x:f>
        <x:v>1341577</x:v>
      </x:c>
      <x:c r="E328" s="5" t="n">
        <x:f>'TeamHero生成'!E328</x:f>
        <x:v>20736</x:v>
      </x:c>
      <x:c r="F328" s="5" t="n">
        <x:f>'TeamHero生成'!F328</x:f>
        <x:v>28586</x:v>
      </x:c>
      <x:c r="G328" s="4" t="str">
        <x:f>'TeamHero生成'!AG328</x:f>
        <x:v>有效</x:v>
      </x:c>
      <x:c r="H328" s="4" t="n">
        <x:f>'TeamHero生成'!G328</x:f>
        <x:v>1873656</x:v>
      </x:c>
      <x:c r="I328" s="4" t="n">
        <x:f>'TeamHero生成'!H328</x:f>
        <x:v>24586</x:v>
      </x:c>
      <x:c r="J328" s="4" t="n">
        <x:f>'TeamHero生成'!I328</x:f>
        <x:v>24307</x:v>
      </x:c>
    </x:row>
    <x:row r="329" ht="14.25" customHeight="1">
      <x:c r="A329" s="4" t="n">
        <x:f>'TeamHero生成'!A329</x:f>
        <x:v>325</x:v>
      </x:c>
      <x:c r="B329" s="4" t="n">
        <x:f>'TeamHero生成'!B329</x:f>
        <x:v>1020</x:v>
      </x:c>
      <x:c r="C329" s="4" t="n">
        <x:f>'TeamHero生成'!C329</x:f>
        <x:v>42</x:v>
      </x:c>
      <x:c r="D329" s="5" t="n">
        <x:f>'TeamHero生成'!D329</x:f>
        <x:v>1341577</x:v>
      </x:c>
      <x:c r="E329" s="5" t="n">
        <x:f>'TeamHero生成'!E329</x:f>
        <x:v>20736</x:v>
      </x:c>
      <x:c r="F329" s="5" t="n">
        <x:f>'TeamHero生成'!F329</x:f>
        <x:v>28586</x:v>
      </x:c>
      <x:c r="G329" s="4" t="str">
        <x:f>'TeamHero生成'!AG329</x:f>
        <x:v>有效</x:v>
      </x:c>
      <x:c r="H329" s="4" t="n">
        <x:f>'TeamHero生成'!G329</x:f>
        <x:v>1873656</x:v>
      </x:c>
      <x:c r="I329" s="4" t="n">
        <x:f>'TeamHero生成'!H329</x:f>
        <x:v>24586</x:v>
      </x:c>
      <x:c r="J329" s="4" t="n">
        <x:f>'TeamHero生成'!I329</x:f>
        <x:v>24307</x:v>
      </x:c>
    </x:row>
    <x:row r="330" ht="14.25" customHeight="1">
      <x:c r="A330" s="4" t="n">
        <x:f>'TeamHero生成'!A330</x:f>
        <x:v>326</x:v>
      </x:c>
      <x:c r="B330" s="4" t="n">
        <x:f>'TeamHero生成'!B330</x:f>
        <x:v>1004</x:v>
      </x:c>
      <x:c r="C330" s="4" t="n">
        <x:f>'TeamHero生成'!C330</x:f>
        <x:v>43</x:v>
      </x:c>
      <x:c r="D330" s="5" t="n">
        <x:f>'TeamHero生成'!D330</x:f>
        <x:v>1638242</x:v>
      </x:c>
      <x:c r="E330" s="5" t="n">
        <x:f>'TeamHero生成'!E330</x:f>
        <x:v>21057</x:v>
      </x:c>
      <x:c r="F330" s="5" t="n">
        <x:f>'TeamHero生成'!F330</x:f>
        <x:v>34493</x:v>
      </x:c>
      <x:c r="G330" s="4" t="str">
        <x:f>'TeamHero生成'!AG330</x:f>
        <x:v>有效</x:v>
      </x:c>
      <x:c r="H330" s="4" t="n">
        <x:f>'TeamHero生成'!G330</x:f>
        <x:v>2334866</x:v>
      </x:c>
      <x:c r="I330" s="4" t="n">
        <x:f>'TeamHero生成'!H330</x:f>
        <x:v>25264</x:v>
      </x:c>
      <x:c r="J330" s="4" t="n">
        <x:f>'TeamHero生成'!I330</x:f>
        <x:v>29742</x:v>
      </x:c>
    </x:row>
    <x:row r="331" ht="14.25" customHeight="1">
      <x:c r="A331" s="4" t="n">
        <x:f>'TeamHero生成'!A331</x:f>
        <x:v>327</x:v>
      </x:c>
      <x:c r="B331" s="4" t="n">
        <x:f>'TeamHero生成'!B331</x:f>
        <x:v>1021</x:v>
      </x:c>
      <x:c r="C331" s="4" t="n">
        <x:f>'TeamHero生成'!C331</x:f>
        <x:v>43</x:v>
      </x:c>
      <x:c r="D331" s="5" t="n">
        <x:f>'TeamHero生成'!D331</x:f>
        <x:v>1092162</x:v>
      </x:c>
      <x:c r="E331" s="5" t="n">
        <x:f>'TeamHero生成'!E331</x:f>
        <x:v>25268</x:v>
      </x:c>
      <x:c r="F331" s="5" t="n">
        <x:f>'TeamHero生成'!F331</x:f>
        <x:v>22995</x:v>
      </x:c>
      <x:c r="G331" s="4" t="str">
        <x:f>'TeamHero生成'!AG331</x:f>
        <x:v>有效</x:v>
      </x:c>
      <x:c r="H331" s="4" t="n">
        <x:f>'TeamHero生成'!G331</x:f>
        <x:v>1556577</x:v>
      </x:c>
      <x:c r="I331" s="4" t="n">
        <x:f>'TeamHero生成'!H331</x:f>
        <x:v>30316</x:v>
      </x:c>
      <x:c r="J331" s="4" t="n">
        <x:f>'TeamHero生成'!I331</x:f>
        <x:v>19828</x:v>
      </x:c>
    </x:row>
    <x:row r="332" ht="14.25" customHeight="1">
      <x:c r="A332" s="4" t="n">
        <x:f>'TeamHero生成'!A332</x:f>
        <x:v>328</x:v>
      </x:c>
      <x:c r="B332" s="4" t="n">
        <x:f>'TeamHero生成'!B332</x:f>
        <x:v>1006</x:v>
      </x:c>
      <x:c r="C332" s="4" t="n">
        <x:f>'TeamHero生成'!C332</x:f>
        <x:v>43</x:v>
      </x:c>
      <x:c r="D332" s="5" t="n">
        <x:f>'TeamHero生成'!D332</x:f>
        <x:v>1092162</x:v>
      </x:c>
      <x:c r="E332" s="5" t="n">
        <x:f>'TeamHero生成'!E332</x:f>
        <x:v>25268</x:v>
      </x:c>
      <x:c r="F332" s="5" t="n">
        <x:f>'TeamHero生成'!F332</x:f>
        <x:v>22995</x:v>
      </x:c>
      <x:c r="G332" s="4" t="str">
        <x:f>'TeamHero生成'!AG332</x:f>
        <x:v>有效</x:v>
      </x:c>
      <x:c r="H332" s="4" t="n">
        <x:f>'TeamHero生成'!G332</x:f>
        <x:v>1556577</x:v>
      </x:c>
      <x:c r="I332" s="4" t="n">
        <x:f>'TeamHero生成'!H332</x:f>
        <x:v>30316</x:v>
      </x:c>
      <x:c r="J332" s="4" t="n">
        <x:f>'TeamHero生成'!I332</x:f>
        <x:v>19828</x:v>
      </x:c>
    </x:row>
    <x:row r="333" ht="14.25" customHeight="1">
      <x:c r="A333" s="4" t="n">
        <x:f>'TeamHero生成'!A333</x:f>
        <x:v>329</x:v>
      </x:c>
      <x:c r="B333" s="4" t="n">
        <x:f>'TeamHero生成'!B333</x:f>
        <x:v>1021</x:v>
      </x:c>
      <x:c r="C333" s="4" t="n">
        <x:f>'TeamHero生成'!C333</x:f>
        <x:v>43</x:v>
      </x:c>
      <x:c r="D333" s="5" t="n">
        <x:f>'TeamHero生成'!D333</x:f>
        <x:v>1092162</x:v>
      </x:c>
      <x:c r="E333" s="5" t="n">
        <x:f>'TeamHero生成'!E333</x:f>
        <x:v>25268</x:v>
      </x:c>
      <x:c r="F333" s="5" t="n">
        <x:f>'TeamHero生成'!F333</x:f>
        <x:v>22995</x:v>
      </x:c>
      <x:c r="G333" s="4" t="str">
        <x:f>'TeamHero生成'!AG333</x:f>
        <x:v>有效</x:v>
      </x:c>
      <x:c r="H333" s="4" t="n">
        <x:f>'TeamHero生成'!G333</x:f>
        <x:v>1556577</x:v>
      </x:c>
      <x:c r="I333" s="4" t="n">
        <x:f>'TeamHero生成'!H333</x:f>
        <x:v>30316</x:v>
      </x:c>
      <x:c r="J333" s="4" t="n">
        <x:f>'TeamHero生成'!I333</x:f>
        <x:v>19828</x:v>
      </x:c>
    </x:row>
    <x:row r="334" ht="14.25" customHeight="1">
      <x:c r="A334" s="4" t="n">
        <x:f>'TeamHero生成'!A334</x:f>
        <x:v>330</x:v>
      </x:c>
      <x:c r="B334" s="4" t="n">
        <x:f>'TeamHero生成'!B334</x:f>
        <x:v>1012</x:v>
      </x:c>
      <x:c r="C334" s="4" t="n">
        <x:f>'TeamHero生成'!C334</x:f>
        <x:v>43</x:v>
      </x:c>
      <x:c r="D334" s="5" t="n">
        <x:f>'TeamHero生成'!D334</x:f>
        <x:v>1365202</x:v>
      </x:c>
      <x:c r="E334" s="5" t="n">
        <x:f>'TeamHero生成'!E334</x:f>
        <x:v>21057</x:v>
      </x:c>
      <x:c r="F334" s="5" t="n">
        <x:f>'TeamHero生成'!F334</x:f>
        <x:v>28744</x:v>
      </x:c>
      <x:c r="G334" s="4" t="str">
        <x:f>'TeamHero生成'!AG334</x:f>
        <x:v>有效</x:v>
      </x:c>
      <x:c r="H334" s="4" t="n">
        <x:f>'TeamHero生成'!G334</x:f>
        <x:v>1945722</x:v>
      </x:c>
      <x:c r="I334" s="4" t="n">
        <x:f>'TeamHero生成'!H334</x:f>
        <x:v>25264</x:v>
      </x:c>
      <x:c r="J334" s="4" t="n">
        <x:f>'TeamHero生成'!I334</x:f>
        <x:v>24785</x:v>
      </x:c>
    </x:row>
    <x:row r="335" ht="14.25" customHeight="1">
      <x:c r="A335" s="4" t="n">
        <x:f>'TeamHero生成'!A335</x:f>
        <x:v>331</x:v>
      </x:c>
      <x:c r="B335" s="4" t="n">
        <x:f>'TeamHero生成'!B335</x:f>
        <x:v>1004</x:v>
      </x:c>
      <x:c r="C335" s="4" t="n">
        <x:f>'TeamHero生成'!C335</x:f>
        <x:v>43</x:v>
      </x:c>
      <x:c r="D335" s="5" t="n">
        <x:f>'TeamHero生成'!D335</x:f>
        <x:v>1665556</x:v>
      </x:c>
      <x:c r="E335" s="5" t="n">
        <x:f>'TeamHero生成'!E335</x:f>
        <x:v>21376</x:v>
      </x:c>
      <x:c r="F335" s="5" t="n">
        <x:f>'TeamHero生成'!F335</x:f>
        <x:v>34872</x:v>
      </x:c>
      <x:c r="G335" s="4" t="str">
        <x:f>'TeamHero生成'!AG335</x:f>
        <x:v>有效</x:v>
      </x:c>
      <x:c r="H335" s="4" t="n">
        <x:f>'TeamHero生成'!G335</x:f>
        <x:v>2423750</x:v>
      </x:c>
      <x:c r="I335" s="4" t="n">
        <x:f>'TeamHero生成'!H335</x:f>
        <x:v>25956</x:v>
      </x:c>
      <x:c r="J335" s="4" t="n">
        <x:f>'TeamHero生成'!I335</x:f>
        <x:v>30320</x:v>
      </x:c>
    </x:row>
    <x:row r="336" ht="14.25" customHeight="1">
      <x:c r="A336" s="4" t="n">
        <x:f>'TeamHero生成'!A336</x:f>
        <x:v>332</x:v>
      </x:c>
      <x:c r="B336" s="4" t="n">
        <x:f>'TeamHero生成'!B336</x:f>
        <x:v>1015</x:v>
      </x:c>
      <x:c r="C336" s="4" t="n">
        <x:f>'TeamHero生成'!C336</x:f>
        <x:v>43</x:v>
      </x:c>
      <x:c r="D336" s="5" t="n">
        <x:f>'TeamHero生成'!D336</x:f>
        <x:v>1387963</x:v>
      </x:c>
      <x:c r="E336" s="5" t="n">
        <x:f>'TeamHero生成'!E336</x:f>
        <x:v>21376</x:v>
      </x:c>
      <x:c r="F336" s="5" t="n">
        <x:f>'TeamHero生成'!F336</x:f>
        <x:v>29060</x:v>
      </x:c>
      <x:c r="G336" s="4" t="str">
        <x:f>'TeamHero生成'!AG336</x:f>
        <x:v>有效</x:v>
      </x:c>
      <x:c r="H336" s="4" t="n">
        <x:f>'TeamHero生成'!G336</x:f>
        <x:v>2019792</x:v>
      </x:c>
      <x:c r="I336" s="4" t="n">
        <x:f>'TeamHero生成'!H336</x:f>
        <x:v>25956</x:v>
      </x:c>
      <x:c r="J336" s="4" t="n">
        <x:f>'TeamHero生成'!I336</x:f>
        <x:v>25267</x:v>
      </x:c>
    </x:row>
    <x:row r="337" ht="14.25" customHeight="1">
      <x:c r="A337" s="4" t="n">
        <x:f>'TeamHero生成'!A337</x:f>
        <x:v>333</x:v>
      </x:c>
      <x:c r="B337" s="4" t="n">
        <x:f>'TeamHero生成'!B337</x:f>
        <x:v>1005</x:v>
      </x:c>
      <x:c r="C337" s="4" t="n">
        <x:f>'TeamHero生成'!C337</x:f>
        <x:v>43</x:v>
      </x:c>
      <x:c r="D337" s="5" t="n">
        <x:f>'TeamHero生成'!D337</x:f>
        <x:v>1110371</x:v>
      </x:c>
      <x:c r="E337" s="5" t="n">
        <x:f>'TeamHero生成'!E337</x:f>
        <x:v>25651</x:v>
      </x:c>
      <x:c r="F337" s="5" t="n">
        <x:f>'TeamHero生成'!F337</x:f>
        <x:v>23248</x:v>
      </x:c>
      <x:c r="G337" s="4" t="str">
        <x:f>'TeamHero生成'!AG337</x:f>
        <x:v>有效</x:v>
      </x:c>
      <x:c r="H337" s="4" t="n">
        <x:f>'TeamHero生成'!G337</x:f>
        <x:v>1615833</x:v>
      </x:c>
      <x:c r="I337" s="4" t="n">
        <x:f>'TeamHero生成'!H337</x:f>
        <x:v>31147</x:v>
      </x:c>
      <x:c r="J337" s="4" t="n">
        <x:f>'TeamHero生成'!I337</x:f>
        <x:v>20213</x:v>
      </x:c>
    </x:row>
    <x:row r="338" ht="14.25" customHeight="1">
      <x:c r="A338" s="4" t="n">
        <x:f>'TeamHero生成'!A338</x:f>
        <x:v>334</x:v>
      </x:c>
      <x:c r="B338" s="4" t="n">
        <x:f>'TeamHero生成'!B338</x:f>
        <x:v>1005</x:v>
      </x:c>
      <x:c r="C338" s="4" t="n">
        <x:f>'TeamHero生成'!C338</x:f>
        <x:v>43</x:v>
      </x:c>
      <x:c r="D338" s="5" t="n">
        <x:f>'TeamHero生成'!D338</x:f>
        <x:v>1110371</x:v>
      </x:c>
      <x:c r="E338" s="5" t="n">
        <x:f>'TeamHero生成'!E338</x:f>
        <x:v>25651</x:v>
      </x:c>
      <x:c r="F338" s="5" t="n">
        <x:f>'TeamHero生成'!F338</x:f>
        <x:v>23248</x:v>
      </x:c>
      <x:c r="G338" s="4" t="str">
        <x:f>'TeamHero生成'!AG338</x:f>
        <x:v>有效</x:v>
      </x:c>
      <x:c r="H338" s="4" t="n">
        <x:f>'TeamHero生成'!G338</x:f>
        <x:v>1615833</x:v>
      </x:c>
      <x:c r="I338" s="4" t="n">
        <x:f>'TeamHero生成'!H338</x:f>
        <x:v>31147</x:v>
      </x:c>
      <x:c r="J338" s="4" t="n">
        <x:f>'TeamHero生成'!I338</x:f>
        <x:v>20213</x:v>
      </x:c>
    </x:row>
    <x:row r="339" ht="14.25" customHeight="1">
      <x:c r="A339" s="4" t="n">
        <x:f>'TeamHero生成'!A339</x:f>
        <x:v>335</x:v>
      </x:c>
      <x:c r="B339" s="4" t="n">
        <x:f>'TeamHero生成'!B339</x:f>
        <x:v>1008</x:v>
      </x:c>
      <x:c r="C339" s="4" t="n">
        <x:f>'TeamHero生成'!C339</x:f>
        <x:v>43</x:v>
      </x:c>
      <x:c r="D339" s="5" t="n">
        <x:f>'TeamHero生成'!D339</x:f>
        <x:v>1110371</x:v>
      </x:c>
      <x:c r="E339" s="5" t="n">
        <x:f>'TeamHero生成'!E339</x:f>
        <x:v>25651</x:v>
      </x:c>
      <x:c r="F339" s="5" t="n">
        <x:f>'TeamHero生成'!F339</x:f>
        <x:v>23248</x:v>
      </x:c>
      <x:c r="G339" s="4" t="str">
        <x:f>'TeamHero生成'!AG339</x:f>
        <x:v>有效</x:v>
      </x:c>
      <x:c r="H339" s="4" t="n">
        <x:f>'TeamHero生成'!G339</x:f>
        <x:v>1615833</x:v>
      </x:c>
      <x:c r="I339" s="4" t="n">
        <x:f>'TeamHero生成'!H339</x:f>
        <x:v>31147</x:v>
      </x:c>
      <x:c r="J339" s="4" t="n">
        <x:f>'TeamHero生成'!I339</x:f>
        <x:v>20213</x:v>
      </x:c>
    </x:row>
    <x:row r="340" ht="14.25" customHeight="1">
      <x:c r="A340" s="4" t="n">
        <x:f>'TeamHero生成'!A340</x:f>
        <x:v>336</x:v>
      </x:c>
      <x:c r="B340" s="4" t="n">
        <x:f>'TeamHero生成'!B340</x:f>
        <x:v>1002</x:v>
      </x:c>
      <x:c r="C340" s="4" t="n">
        <x:f>'TeamHero生成'!C340</x:f>
        <x:v>44</x:v>
      </x:c>
      <x:c r="D340" s="5" t="n">
        <x:f>'TeamHero生成'!D340</x:f>
        <x:v>1700239</x:v>
      </x:c>
      <x:c r="E340" s="5" t="n">
        <x:f>'TeamHero生成'!E340</x:f>
        <x:v>21738</x:v>
      </x:c>
      <x:c r="F340" s="5" t="n">
        <x:f>'TeamHero生成'!F340</x:f>
        <x:v>35252</x:v>
      </x:c>
      <x:c r="G340" s="4" t="str">
        <x:f>'TeamHero生成'!AG340</x:f>
        <x:v>有效</x:v>
      </x:c>
      <x:c r="H340" s="4" t="n">
        <x:f>'TeamHero生成'!G340</x:f>
        <x:v>2515089</x:v>
      </x:c>
      <x:c r="I340" s="4" t="n">
        <x:f>'TeamHero生成'!H340</x:f>
        <x:v>26665</x:v>
      </x:c>
      <x:c r="J340" s="4" t="n">
        <x:f>'TeamHero生成'!I340</x:f>
        <x:v>30902</x:v>
      </x:c>
    </x:row>
    <x:row r="341" ht="14.25" customHeight="1">
      <x:c r="A341" s="4" t="n">
        <x:f>'TeamHero生成'!A341</x:f>
        <x:v>337</x:v>
      </x:c>
      <x:c r="B341" s="4" t="n">
        <x:f>'TeamHero生成'!B341</x:f>
        <x:v>1001</x:v>
      </x:c>
      <x:c r="C341" s="4" t="n">
        <x:f>'TeamHero生成'!C341</x:f>
        <x:v>44</x:v>
      </x:c>
      <x:c r="D341" s="5" t="n">
        <x:f>'TeamHero生成'!D341</x:f>
        <x:v>1133493</x:v>
      </x:c>
      <x:c r="E341" s="5" t="n">
        <x:f>'TeamHero生成'!E341</x:f>
        <x:v>26085</x:v>
      </x:c>
      <x:c r="F341" s="5" t="n">
        <x:f>'TeamHero生成'!F341</x:f>
        <x:v>23501</x:v>
      </x:c>
      <x:c r="G341" s="4" t="str">
        <x:f>'TeamHero生成'!AG341</x:f>
        <x:v>有效</x:v>
      </x:c>
      <x:c r="H341" s="4" t="n">
        <x:f>'TeamHero生成'!G341</x:f>
        <x:v>1676726</x:v>
      </x:c>
      <x:c r="I341" s="4" t="n">
        <x:f>'TeamHero生成'!H341</x:f>
        <x:v>31998</x:v>
      </x:c>
      <x:c r="J341" s="4" t="n">
        <x:f>'TeamHero生成'!I341</x:f>
        <x:v>20601</x:v>
      </x:c>
    </x:row>
    <x:row r="342" ht="14.25" customHeight="1">
      <x:c r="A342" s="4" t="n">
        <x:f>'TeamHero生成'!A342</x:f>
        <x:v>338</x:v>
      </x:c>
      <x:c r="B342" s="4" t="n">
        <x:f>'TeamHero生成'!B342</x:f>
        <x:v>1001</x:v>
      </x:c>
      <x:c r="C342" s="4" t="n">
        <x:f>'TeamHero生成'!C342</x:f>
        <x:v>44</x:v>
      </x:c>
      <x:c r="D342" s="5" t="n">
        <x:f>'TeamHero生成'!D342</x:f>
        <x:v>1133493</x:v>
      </x:c>
      <x:c r="E342" s="5" t="n">
        <x:f>'TeamHero生成'!E342</x:f>
        <x:v>26085</x:v>
      </x:c>
      <x:c r="F342" s="5" t="n">
        <x:f>'TeamHero生成'!F342</x:f>
        <x:v>23501</x:v>
      </x:c>
      <x:c r="G342" s="4" t="str">
        <x:f>'TeamHero生成'!AG342</x:f>
        <x:v>有效</x:v>
      </x:c>
      <x:c r="H342" s="4" t="n">
        <x:f>'TeamHero生成'!G342</x:f>
        <x:v>1676726</x:v>
      </x:c>
      <x:c r="I342" s="4" t="n">
        <x:f>'TeamHero生成'!H342</x:f>
        <x:v>31998</x:v>
      </x:c>
      <x:c r="J342" s="4" t="n">
        <x:f>'TeamHero生成'!I342</x:f>
        <x:v>20601</x:v>
      </x:c>
    </x:row>
    <x:row r="343" ht="14.25" customHeight="1">
      <x:c r="A343" s="4" t="n">
        <x:f>'TeamHero生成'!A343</x:f>
        <x:v>339</x:v>
      </x:c>
      <x:c r="B343" s="4" t="n">
        <x:f>'TeamHero生成'!B343</x:f>
        <x:v>1012</x:v>
      </x:c>
      <x:c r="C343" s="4" t="n">
        <x:f>'TeamHero生成'!C343</x:f>
        <x:v>44</x:v>
      </x:c>
      <x:c r="D343" s="5" t="n">
        <x:f>'TeamHero生成'!D343</x:f>
        <x:v>1416866</x:v>
      </x:c>
      <x:c r="E343" s="5" t="n">
        <x:f>'TeamHero生成'!E343</x:f>
        <x:v>21738</x:v>
      </x:c>
      <x:c r="F343" s="5" t="n">
        <x:f>'TeamHero生成'!F343</x:f>
        <x:v>29376</x:v>
      </x:c>
      <x:c r="G343" s="4" t="str">
        <x:f>'TeamHero生成'!AG343</x:f>
        <x:v>有效</x:v>
      </x:c>
      <x:c r="H343" s="4" t="n">
        <x:f>'TeamHero生成'!G343</x:f>
        <x:v>2095908</x:v>
      </x:c>
      <x:c r="I343" s="4" t="n">
        <x:f>'TeamHero生成'!H343</x:f>
        <x:v>26665</x:v>
      </x:c>
      <x:c r="J343" s="4" t="n">
        <x:f>'TeamHero生成'!I343</x:f>
        <x:v>25752</x:v>
      </x:c>
    </x:row>
    <x:row r="344" ht="14.25" customHeight="1">
      <x:c r="A344" s="4" t="n">
        <x:f>'TeamHero生成'!A344</x:f>
        <x:v>340</x:v>
      </x:c>
      <x:c r="B344" s="4" t="n">
        <x:f>'TeamHero生成'!B344</x:f>
        <x:v>1012</x:v>
      </x:c>
      <x:c r="C344" s="4" t="n">
        <x:f>'TeamHero生成'!C344</x:f>
        <x:v>44</x:v>
      </x:c>
      <x:c r="D344" s="5" t="n">
        <x:f>'TeamHero生成'!D344</x:f>
        <x:v>1416866</x:v>
      </x:c>
      <x:c r="E344" s="5" t="n">
        <x:f>'TeamHero生成'!E344</x:f>
        <x:v>21738</x:v>
      </x:c>
      <x:c r="F344" s="5" t="n">
        <x:f>'TeamHero生成'!F344</x:f>
        <x:v>29376</x:v>
      </x:c>
      <x:c r="G344" s="4" t="str">
        <x:f>'TeamHero生成'!AG344</x:f>
        <x:v>有效</x:v>
      </x:c>
      <x:c r="H344" s="4" t="n">
        <x:f>'TeamHero生成'!G344</x:f>
        <x:v>2095908</x:v>
      </x:c>
      <x:c r="I344" s="4" t="n">
        <x:f>'TeamHero生成'!H344</x:f>
        <x:v>26665</x:v>
      </x:c>
      <x:c r="J344" s="4" t="n">
        <x:f>'TeamHero生成'!I344</x:f>
        <x:v>25752</x:v>
      </x:c>
    </x:row>
    <x:row r="345" ht="14.25" customHeight="1">
      <x:c r="A345" s="4" t="n">
        <x:f>'TeamHero生成'!A345</x:f>
        <x:v>341</x:v>
      </x:c>
      <x:c r="B345" s="4" t="n">
        <x:f>'TeamHero生成'!B345</x:f>
        <x:v>1004</x:v>
      </x:c>
      <x:c r="C345" s="4" t="n">
        <x:f>'TeamHero生成'!C345</x:f>
        <x:v>44</x:v>
      </x:c>
      <x:c r="D345" s="5" t="n">
        <x:f>'TeamHero生成'!D345</x:f>
        <x:v>1729993</x:v>
      </x:c>
      <x:c r="E345" s="5" t="n">
        <x:f>'TeamHero生成'!E345</x:f>
        <x:v>22081</x:v>
      </x:c>
      <x:c r="F345" s="5" t="n">
        <x:f>'TeamHero生成'!F345</x:f>
        <x:v>35634</x:v>
      </x:c>
      <x:c r="G345" s="4" t="str">
        <x:f>'TeamHero生成'!AG345</x:f>
        <x:v>有效</x:v>
      </x:c>
      <x:c r="H345" s="4" t="n">
        <x:f>'TeamHero生成'!G345</x:f>
        <x:v>2608920</x:v>
      </x:c>
      <x:c r="I345" s="4" t="n">
        <x:f>'TeamHero生成'!H345</x:f>
        <x:v>27390</x:v>
      </x:c>
      <x:c r="J345" s="4" t="n">
        <x:f>'TeamHero生成'!I345</x:f>
        <x:v>31489</x:v>
      </x:c>
    </x:row>
    <x:row r="346" ht="14.25" customHeight="1">
      <x:c r="A346" s="4" t="n">
        <x:f>'TeamHero生成'!A346</x:f>
        <x:v>342</x:v>
      </x:c>
      <x:c r="B346" s="4" t="n">
        <x:f>'TeamHero生成'!B346</x:f>
        <x:v>1007</x:v>
      </x:c>
      <x:c r="C346" s="4" t="n">
        <x:f>'TeamHero生成'!C346</x:f>
        <x:v>44</x:v>
      </x:c>
      <x:c r="D346" s="5" t="n">
        <x:f>'TeamHero生成'!D346</x:f>
        <x:v>1441661</x:v>
      </x:c>
      <x:c r="E346" s="5" t="n">
        <x:f>'TeamHero生成'!E346</x:f>
        <x:v>22081</x:v>
      </x:c>
      <x:c r="F346" s="5" t="n">
        <x:f>'TeamHero生成'!F346</x:f>
        <x:v>29695</x:v>
      </x:c>
      <x:c r="G346" s="4" t="str">
        <x:f>'TeamHero生成'!AG346</x:f>
        <x:v>有效</x:v>
      </x:c>
      <x:c r="H346" s="4" t="n">
        <x:f>'TeamHero生成'!G346</x:f>
        <x:v>2174100</x:v>
      </x:c>
      <x:c r="I346" s="4" t="n">
        <x:f>'TeamHero生成'!H346</x:f>
        <x:v>27390</x:v>
      </x:c>
      <x:c r="J346" s="4" t="n">
        <x:f>'TeamHero生成'!I346</x:f>
        <x:v>26241</x:v>
      </x:c>
    </x:row>
    <x:row r="347" ht="14.25" customHeight="1">
      <x:c r="A347" s="4" t="n">
        <x:f>'TeamHero生成'!A347</x:f>
        <x:v>343</x:v>
      </x:c>
      <x:c r="B347" s="4" t="n">
        <x:f>'TeamHero生成'!B347</x:f>
        <x:v>1007</x:v>
      </x:c>
      <x:c r="C347" s="4" t="n">
        <x:f>'TeamHero生成'!C347</x:f>
        <x:v>44</x:v>
      </x:c>
      <x:c r="D347" s="5" t="n">
        <x:f>'TeamHero生成'!D347</x:f>
        <x:v>1441661</x:v>
      </x:c>
      <x:c r="E347" s="5" t="n">
        <x:f>'TeamHero生成'!E347</x:f>
        <x:v>22081</x:v>
      </x:c>
      <x:c r="F347" s="5" t="n">
        <x:f>'TeamHero生成'!F347</x:f>
        <x:v>29695</x:v>
      </x:c>
      <x:c r="G347" s="4" t="str">
        <x:f>'TeamHero生成'!AG347</x:f>
        <x:v>有效</x:v>
      </x:c>
      <x:c r="H347" s="4" t="n">
        <x:f>'TeamHero生成'!G347</x:f>
        <x:v>2174100</x:v>
      </x:c>
      <x:c r="I347" s="4" t="n">
        <x:f>'TeamHero生成'!H347</x:f>
        <x:v>27390</x:v>
      </x:c>
      <x:c r="J347" s="4" t="n">
        <x:f>'TeamHero生成'!I347</x:f>
        <x:v>26241</x:v>
      </x:c>
    </x:row>
    <x:row r="348" ht="14.25" customHeight="1">
      <x:c r="A348" s="4" t="n">
        <x:f>'TeamHero生成'!A348</x:f>
        <x:v>344</x:v>
      </x:c>
      <x:c r="B348" s="4" t="n">
        <x:f>'TeamHero生成'!B348</x:f>
        <x:v>1008</x:v>
      </x:c>
      <x:c r="C348" s="4" t="n">
        <x:f>'TeamHero生成'!C348</x:f>
        <x:v>44</x:v>
      </x:c>
      <x:c r="D348" s="5" t="n">
        <x:f>'TeamHero生成'!D348</x:f>
        <x:v>1153329</x:v>
      </x:c>
      <x:c r="E348" s="5" t="n">
        <x:f>'TeamHero生成'!E348</x:f>
        <x:v>26497</x:v>
      </x:c>
      <x:c r="F348" s="5" t="n">
        <x:f>'TeamHero生成'!F348</x:f>
        <x:v>23756</x:v>
      </x:c>
      <x:c r="G348" s="4" t="str">
        <x:f>'TeamHero生成'!AG348</x:f>
        <x:v>有效</x:v>
      </x:c>
      <x:c r="H348" s="4" t="n">
        <x:f>'TeamHero生成'!G348</x:f>
        <x:v>1739280</x:v>
      </x:c>
      <x:c r="I348" s="4" t="n">
        <x:f>'TeamHero生成'!H348</x:f>
        <x:v>32868</x:v>
      </x:c>
      <x:c r="J348" s="4" t="n">
        <x:f>'TeamHero生成'!I348</x:f>
        <x:v>20992</x:v>
      </x:c>
    </x:row>
    <x:row r="349" ht="14.25" customHeight="1">
      <x:c r="A349" s="4" t="n">
        <x:f>'TeamHero生成'!A349</x:f>
        <x:v>345</x:v>
      </x:c>
      <x:c r="B349" s="4" t="n">
        <x:f>'TeamHero生成'!B349</x:f>
        <x:v>1021</x:v>
      </x:c>
      <x:c r="C349" s="4" t="n">
        <x:f>'TeamHero生成'!C349</x:f>
        <x:v>44</x:v>
      </x:c>
      <x:c r="D349" s="5" t="n">
        <x:f>'TeamHero生成'!D349</x:f>
        <x:v>1153329</x:v>
      </x:c>
      <x:c r="E349" s="5" t="n">
        <x:f>'TeamHero生成'!E349</x:f>
        <x:v>26497</x:v>
      </x:c>
      <x:c r="F349" s="5" t="n">
        <x:f>'TeamHero生成'!F349</x:f>
        <x:v>23756</x:v>
      </x:c>
      <x:c r="G349" s="4" t="str">
        <x:f>'TeamHero生成'!AG349</x:f>
        <x:v>有效</x:v>
      </x:c>
      <x:c r="H349" s="4" t="n">
        <x:f>'TeamHero生成'!G349</x:f>
        <x:v>1739280</x:v>
      </x:c>
      <x:c r="I349" s="4" t="n">
        <x:f>'TeamHero生成'!H349</x:f>
        <x:v>32868</x:v>
      </x:c>
      <x:c r="J349" s="4" t="n">
        <x:f>'TeamHero生成'!I349</x:f>
        <x:v>20992</x:v>
      </x:c>
    </x:row>
    <x:row r="350" ht="14.25" customHeight="1">
      <x:c r="A350" s="4" t="n">
        <x:f>'TeamHero生成'!A350</x:f>
        <x:v>346</x:v>
      </x:c>
      <x:c r="B350" s="4" t="n">
        <x:f>'TeamHero生成'!B350</x:f>
        <x:v>1003</x:v>
      </x:c>
      <x:c r="C350" s="4" t="n">
        <x:f>'TeamHero生成'!C350</x:f>
        <x:v>45</x:v>
      </x:c>
      <x:c r="D350" s="5" t="n">
        <x:f>'TeamHero生成'!D350</x:f>
        <x:v>1773614</x:v>
      </x:c>
      <x:c r="E350" s="5" t="n">
        <x:f>'TeamHero生成'!E350</x:f>
        <x:v>22512</x:v>
      </x:c>
      <x:c r="F350" s="5" t="n">
        <x:f>'TeamHero生成'!F350</x:f>
        <x:v>36017</x:v>
      </x:c>
      <x:c r="G350" s="4" t="str">
        <x:f>'TeamHero生成'!AG350</x:f>
        <x:v>有效</x:v>
      </x:c>
      <x:c r="H350" s="4" t="n">
        <x:f>'TeamHero生成'!G350</x:f>
        <x:v>2705299</x:v>
      </x:c>
      <x:c r="I350" s="4" t="n">
        <x:f>'TeamHero生成'!H350</x:f>
        <x:v>28132</x:v>
      </x:c>
      <x:c r="J350" s="4" t="n">
        <x:f>'TeamHero生成'!I350</x:f>
        <x:v>32079</x:v>
      </x:c>
    </x:row>
    <x:row r="351" ht="14.25" customHeight="1">
      <x:c r="A351" s="4" t="n">
        <x:f>'TeamHero生成'!A351</x:f>
        <x:v>347</x:v>
      </x:c>
      <x:c r="B351" s="4" t="n">
        <x:f>'TeamHero生成'!B351</x:f>
        <x:v>1017</x:v>
      </x:c>
      <x:c r="C351" s="4" t="n">
        <x:f>'TeamHero生成'!C351</x:f>
        <x:v>45</x:v>
      </x:c>
      <x:c r="D351" s="5" t="n">
        <x:f>'TeamHero生成'!D351</x:f>
        <x:v>1182409</x:v>
      </x:c>
      <x:c r="E351" s="5" t="n">
        <x:f>'TeamHero生成'!E351</x:f>
        <x:v>27014</x:v>
      </x:c>
      <x:c r="F351" s="5" t="n">
        <x:f>'TeamHero生成'!F351</x:f>
        <x:v>24011</x:v>
      </x:c>
      <x:c r="G351" s="4" t="str">
        <x:f>'TeamHero生成'!AG351</x:f>
        <x:v>有效</x:v>
      </x:c>
      <x:c r="H351" s="4" t="n">
        <x:f>'TeamHero生成'!G351</x:f>
        <x:v>1803532</x:v>
      </x:c>
      <x:c r="I351" s="4" t="n">
        <x:f>'TeamHero生成'!H351</x:f>
        <x:v>33758</x:v>
      </x:c>
      <x:c r="J351" s="4" t="n">
        <x:f>'TeamHero生成'!I351</x:f>
        <x:v>21386</x:v>
      </x:c>
    </x:row>
    <x:row r="352" ht="14.25" customHeight="1">
      <x:c r="A352" s="4" t="n">
        <x:f>'TeamHero生成'!A352</x:f>
        <x:v>348</x:v>
      </x:c>
      <x:c r="B352" s="4" t="n">
        <x:f>'TeamHero生成'!B352</x:f>
        <x:v>1015</x:v>
      </x:c>
      <x:c r="C352" s="4" t="n">
        <x:f>'TeamHero生成'!C352</x:f>
        <x:v>45</x:v>
      </x:c>
      <x:c r="D352" s="5" t="n">
        <x:f>'TeamHero生成'!D352</x:f>
        <x:v>1478012</x:v>
      </x:c>
      <x:c r="E352" s="5" t="n">
        <x:f>'TeamHero生成'!E352</x:f>
        <x:v>22512</x:v>
      </x:c>
      <x:c r="F352" s="5" t="n">
        <x:f>'TeamHero生成'!F352</x:f>
        <x:v>30014</x:v>
      </x:c>
      <x:c r="G352" s="4" t="str">
        <x:f>'TeamHero生成'!AG352</x:f>
        <x:v>有效</x:v>
      </x:c>
      <x:c r="H352" s="4" t="n">
        <x:f>'TeamHero生成'!G352</x:f>
        <x:v>2254416</x:v>
      </x:c>
      <x:c r="I352" s="4" t="n">
        <x:f>'TeamHero生成'!H352</x:f>
        <x:v>28132</x:v>
      </x:c>
      <x:c r="J352" s="4" t="n">
        <x:f>'TeamHero生成'!I352</x:f>
        <x:v>26733</x:v>
      </x:c>
    </x:row>
    <x:row r="353" ht="14.25" customHeight="1">
      <x:c r="A353" s="4" t="n">
        <x:f>'TeamHero生成'!A353</x:f>
        <x:v>349</x:v>
      </x:c>
      <x:c r="B353" s="4" t="n">
        <x:f>'TeamHero生成'!B353</x:f>
        <x:v>1026</x:v>
      </x:c>
      <x:c r="C353" s="4" t="n">
        <x:f>'TeamHero生成'!C353</x:f>
        <x:v>45</x:v>
      </x:c>
      <x:c r="D353" s="5" t="n">
        <x:f>'TeamHero生成'!D353</x:f>
        <x:v>1182409</x:v>
      </x:c>
      <x:c r="E353" s="5" t="n">
        <x:f>'TeamHero生成'!E353</x:f>
        <x:v>27014</x:v>
      </x:c>
      <x:c r="F353" s="5" t="n">
        <x:f>'TeamHero生成'!F353</x:f>
        <x:v>24011</x:v>
      </x:c>
      <x:c r="G353" s="4" t="str">
        <x:f>'TeamHero生成'!AG353</x:f>
        <x:v>有效</x:v>
      </x:c>
      <x:c r="H353" s="4" t="n">
        <x:f>'TeamHero生成'!G353</x:f>
        <x:v>1803532</x:v>
      </x:c>
      <x:c r="I353" s="4" t="n">
        <x:f>'TeamHero生成'!H353</x:f>
        <x:v>33758</x:v>
      </x:c>
      <x:c r="J353" s="4" t="n">
        <x:f>'TeamHero生成'!I353</x:f>
        <x:v>21386</x:v>
      </x:c>
    </x:row>
    <x:row r="354" ht="14.25" customHeight="1">
      <x:c r="A354" s="4" t="n">
        <x:f>'TeamHero生成'!A354</x:f>
        <x:v>350</x:v>
      </x:c>
      <x:c r="B354" s="4" t="n">
        <x:f>'TeamHero生成'!B354</x:f>
        <x:v>1007</x:v>
      </x:c>
      <x:c r="C354" s="4" t="n">
        <x:f>'TeamHero生成'!C354</x:f>
        <x:v>45</x:v>
      </x:c>
      <x:c r="D354" s="5" t="n">
        <x:f>'TeamHero生成'!D354</x:f>
        <x:v>1478012</x:v>
      </x:c>
      <x:c r="E354" s="5" t="n">
        <x:f>'TeamHero生成'!E354</x:f>
        <x:v>22512</x:v>
      </x:c>
      <x:c r="F354" s="5" t="n">
        <x:f>'TeamHero生成'!F354</x:f>
        <x:v>30014</x:v>
      </x:c>
      <x:c r="G354" s="4" t="str">
        <x:f>'TeamHero生成'!AG354</x:f>
        <x:v>有效</x:v>
      </x:c>
      <x:c r="H354" s="4" t="n">
        <x:f>'TeamHero生成'!G354</x:f>
        <x:v>2254416</x:v>
      </x:c>
      <x:c r="I354" s="4" t="n">
        <x:f>'TeamHero生成'!H354</x:f>
        <x:v>28132</x:v>
      </x:c>
      <x:c r="J354" s="4" t="n">
        <x:f>'TeamHero生成'!I354</x:f>
        <x:v>26733</x:v>
      </x:c>
    </x:row>
    <x:row r="355" ht="14.25" customHeight="1">
      <x:c r="A355" s="4" t="n">
        <x:f>'TeamHero生成'!A355</x:f>
        <x:v>351</x:v>
      </x:c>
      <x:c r="B355" s="4" t="n">
        <x:f>'TeamHero生成'!B355</x:f>
        <x:v>1003</x:v>
      </x:c>
      <x:c r="C355" s="4" t="n">
        <x:f>'TeamHero生成'!C355</x:f>
        <x:v>45</x:v>
      </x:c>
      <x:c r="D355" s="5" t="n">
        <x:f>'TeamHero生成'!D355</x:f>
        <x:v>1807700</x:v>
      </x:c>
      <x:c r="E355" s="5" t="n">
        <x:f>'TeamHero生成'!E355</x:f>
        <x:v>22894</x:v>
      </x:c>
      <x:c r="F355" s="5" t="n">
        <x:f>'TeamHero生成'!F355</x:f>
        <x:v>36402</x:v>
      </x:c>
      <x:c r="G355" s="4" t="str">
        <x:f>'TeamHero生成'!AG355</x:f>
        <x:v>有效</x:v>
      </x:c>
      <x:c r="H355" s="4" t="n">
        <x:f>'TeamHero生成'!G355</x:f>
        <x:v>2804270</x:v>
      </x:c>
      <x:c r="I355" s="4" t="n">
        <x:f>'TeamHero生成'!H355</x:f>
        <x:v>28889</x:v>
      </x:c>
      <x:c r="J355" s="4" t="n">
        <x:f>'TeamHero生成'!I355</x:f>
        <x:v>32676</x:v>
      </x:c>
    </x:row>
    <x:row r="356" ht="14.25" customHeight="1">
      <x:c r="A356" s="4" t="n">
        <x:f>'TeamHero生成'!A356</x:f>
        <x:v>352</x:v>
      </x:c>
      <x:c r="B356" s="4" t="n">
        <x:f>'TeamHero生成'!B356</x:f>
        <x:v>1006</x:v>
      </x:c>
      <x:c r="C356" s="4" t="n">
        <x:f>'TeamHero生成'!C356</x:f>
        <x:v>45</x:v>
      </x:c>
      <x:c r="D356" s="5" t="n">
        <x:f>'TeamHero生成'!D356</x:f>
        <x:v>1205134</x:v>
      </x:c>
      <x:c r="E356" s="5" t="n">
        <x:f>'TeamHero生成'!E356</x:f>
        <x:v>27473</x:v>
      </x:c>
      <x:c r="F356" s="5" t="n">
        <x:f>'TeamHero生成'!F356</x:f>
        <x:v>24268</x:v>
      </x:c>
      <x:c r="G356" s="4" t="str">
        <x:f>'TeamHero生成'!AG356</x:f>
        <x:v>有效</x:v>
      </x:c>
      <x:c r="H356" s="4" t="n">
        <x:f>'TeamHero生成'!G356</x:f>
        <x:v>1869513</x:v>
      </x:c>
      <x:c r="I356" s="4" t="n">
        <x:f>'TeamHero生成'!H356</x:f>
        <x:v>34666</x:v>
      </x:c>
      <x:c r="J356" s="4" t="n">
        <x:f>'TeamHero生成'!I356</x:f>
        <x:v>21784</x:v>
      </x:c>
    </x:row>
    <x:row r="357" ht="14.25" customHeight="1">
      <x:c r="A357" s="4" t="n">
        <x:f>'TeamHero生成'!A357</x:f>
        <x:v>353</x:v>
      </x:c>
      <x:c r="B357" s="4" t="n">
        <x:f>'TeamHero生成'!B357</x:f>
        <x:v>1007</x:v>
      </x:c>
      <x:c r="C357" s="4" t="n">
        <x:f>'TeamHero生成'!C357</x:f>
        <x:v>45</x:v>
      </x:c>
      <x:c r="D357" s="5" t="n">
        <x:f>'TeamHero生成'!D357</x:f>
        <x:v>1506417</x:v>
      </x:c>
      <x:c r="E357" s="5" t="n">
        <x:f>'TeamHero生成'!E357</x:f>
        <x:v>22894</x:v>
      </x:c>
      <x:c r="F357" s="5" t="n">
        <x:f>'TeamHero生成'!F357</x:f>
        <x:v>30335</x:v>
      </x:c>
      <x:c r="G357" s="4" t="str">
        <x:f>'TeamHero生成'!AG357</x:f>
        <x:v>有效</x:v>
      </x:c>
      <x:c r="H357" s="4" t="n">
        <x:f>'TeamHero生成'!G357</x:f>
        <x:v>2336892</x:v>
      </x:c>
      <x:c r="I357" s="4" t="n">
        <x:f>'TeamHero生成'!H357</x:f>
        <x:v>28889</x:v>
      </x:c>
      <x:c r="J357" s="4" t="n">
        <x:f>'TeamHero生成'!I357</x:f>
        <x:v>27230</x:v>
      </x:c>
    </x:row>
    <x:row r="358" ht="14.25" customHeight="1">
      <x:c r="A358" s="4" t="n">
        <x:f>'TeamHero生成'!A358</x:f>
        <x:v>354</x:v>
      </x:c>
      <x:c r="B358" s="4" t="n">
        <x:f>'TeamHero生成'!B358</x:f>
        <x:v>1006</x:v>
      </x:c>
      <x:c r="C358" s="4" t="n">
        <x:f>'TeamHero生成'!C358</x:f>
        <x:v>45</x:v>
      </x:c>
      <x:c r="D358" s="5" t="n">
        <x:f>'TeamHero生成'!D358</x:f>
        <x:v>1205134</x:v>
      </x:c>
      <x:c r="E358" s="5" t="n">
        <x:f>'TeamHero生成'!E358</x:f>
        <x:v>27473</x:v>
      </x:c>
      <x:c r="F358" s="5" t="n">
        <x:f>'TeamHero生成'!F358</x:f>
        <x:v>24268</x:v>
      </x:c>
      <x:c r="G358" s="4" t="str">
        <x:f>'TeamHero生成'!AG358</x:f>
        <x:v>有效</x:v>
      </x:c>
      <x:c r="H358" s="4" t="n">
        <x:f>'TeamHero生成'!G358</x:f>
        <x:v>1869513</x:v>
      </x:c>
      <x:c r="I358" s="4" t="n">
        <x:f>'TeamHero生成'!H358</x:f>
        <x:v>34666</x:v>
      </x:c>
      <x:c r="J358" s="4" t="n">
        <x:f>'TeamHero生成'!I358</x:f>
        <x:v>21784</x:v>
      </x:c>
    </x:row>
    <x:row r="359" ht="14.25" customHeight="1">
      <x:c r="A359" s="4" t="n">
        <x:f>'TeamHero生成'!A359</x:f>
        <x:v>355</x:v>
      </x:c>
      <x:c r="B359" s="4" t="n">
        <x:f>'TeamHero生成'!B359</x:f>
        <x:v>1001</x:v>
      </x:c>
      <x:c r="C359" s="4" t="n">
        <x:f>'TeamHero生成'!C359</x:f>
        <x:v>45</x:v>
      </x:c>
      <x:c r="D359" s="5" t="n">
        <x:f>'TeamHero生成'!D359</x:f>
        <x:v>1205134</x:v>
      </x:c>
      <x:c r="E359" s="5" t="n">
        <x:f>'TeamHero生成'!E359</x:f>
        <x:v>27473</x:v>
      </x:c>
      <x:c r="F359" s="5" t="n">
        <x:f>'TeamHero生成'!F359</x:f>
        <x:v>24268</x:v>
      </x:c>
      <x:c r="G359" s="4" t="str">
        <x:f>'TeamHero生成'!AG359</x:f>
        <x:v>有效</x:v>
      </x:c>
      <x:c r="H359" s="4" t="n">
        <x:f>'TeamHero生成'!G359</x:f>
        <x:v>1869513</x:v>
      </x:c>
      <x:c r="I359" s="4" t="n">
        <x:f>'TeamHero生成'!H359</x:f>
        <x:v>34666</x:v>
      </x:c>
      <x:c r="J359" s="4" t="n">
        <x:f>'TeamHero生成'!I359</x:f>
        <x:v>21784</x:v>
      </x:c>
    </x:row>
    <x:row r="360" ht="14.25" customHeight="1">
      <x:c r="A360" s="4" t="n">
        <x:f>'TeamHero生成'!A360</x:f>
        <x:v>356</x:v>
      </x:c>
      <x:c r="B360" s="4" t="n">
        <x:f>'TeamHero生成'!B360</x:f>
        <x:v>1004</x:v>
      </x:c>
      <x:c r="C360" s="4" t="n">
        <x:f>'TeamHero生成'!C360</x:f>
        <x:v>46</x:v>
      </x:c>
      <x:c r="D360" s="5" t="n">
        <x:f>'TeamHero生成'!D360</x:f>
        <x:v>1822008</x:v>
      </x:c>
      <x:c r="E360" s="5" t="n">
        <x:f>'TeamHero生成'!E360</x:f>
        <x:v>23082</x:v>
      </x:c>
      <x:c r="F360" s="5" t="n">
        <x:f>'TeamHero生成'!F360</x:f>
        <x:v>36594</x:v>
      </x:c>
      <x:c r="G360" s="4" t="str">
        <x:f>'TeamHero生成'!AG360</x:f>
        <x:v>有效</x:v>
      </x:c>
      <x:c r="H360" s="4" t="n">
        <x:f>'TeamHero生成'!G360</x:f>
        <x:v>2905884</x:v>
      </x:c>
      <x:c r="I360" s="4" t="n">
        <x:f>'TeamHero生成'!H360</x:f>
        <x:v>29665</x:v>
      </x:c>
      <x:c r="J360" s="4" t="n">
        <x:f>'TeamHero生成'!I360</x:f>
        <x:v>33276</x:v>
      </x:c>
    </x:row>
    <x:row r="361" ht="14.25" customHeight="1">
      <x:c r="A361" s="4" t="n">
        <x:f>'TeamHero生成'!A361</x:f>
        <x:v>357</x:v>
      </x:c>
      <x:c r="B361" s="4" t="n">
        <x:f>'TeamHero生成'!B361</x:f>
        <x:v>1013</x:v>
      </x:c>
      <x:c r="C361" s="4" t="n">
        <x:f>'TeamHero生成'!C361</x:f>
        <x:v>46</x:v>
      </x:c>
      <x:c r="D361" s="5" t="n">
        <x:f>'TeamHero生成'!D361</x:f>
        <x:v>1214672</x:v>
      </x:c>
      <x:c r="E361" s="5" t="n">
        <x:f>'TeamHero生成'!E361</x:f>
        <x:v>27699</x:v>
      </x:c>
      <x:c r="F361" s="5" t="n">
        <x:f>'TeamHero生成'!F361</x:f>
        <x:v>24396</x:v>
      </x:c>
      <x:c r="G361" s="4" t="str">
        <x:f>'TeamHero生成'!AG361</x:f>
        <x:v>有效</x:v>
      </x:c>
      <x:c r="H361" s="4" t="n">
        <x:f>'TeamHero生成'!G361</x:f>
        <x:v>1937256</x:v>
      </x:c>
      <x:c r="I361" s="4" t="n">
        <x:f>'TeamHero生成'!H361</x:f>
        <x:v>35598</x:v>
      </x:c>
      <x:c r="J361" s="4" t="n">
        <x:f>'TeamHero生成'!I361</x:f>
        <x:v>22184</x:v>
      </x:c>
    </x:row>
    <x:row r="362" ht="14.25" customHeight="1">
      <x:c r="A362" s="4" t="n">
        <x:f>'TeamHero生成'!A362</x:f>
        <x:v>358</x:v>
      </x:c>
      <x:c r="B362" s="4" t="n">
        <x:f>'TeamHero生成'!B362</x:f>
        <x:v>1017</x:v>
      </x:c>
      <x:c r="C362" s="4" t="n">
        <x:f>'TeamHero生成'!C362</x:f>
        <x:v>46</x:v>
      </x:c>
      <x:c r="D362" s="5" t="n">
        <x:f>'TeamHero生成'!D362</x:f>
        <x:v>1214672</x:v>
      </x:c>
      <x:c r="E362" s="5" t="n">
        <x:f>'TeamHero生成'!E362</x:f>
        <x:v>27699</x:v>
      </x:c>
      <x:c r="F362" s="5" t="n">
        <x:f>'TeamHero生成'!F362</x:f>
        <x:v>24396</x:v>
      </x:c>
      <x:c r="G362" s="4" t="str">
        <x:f>'TeamHero生成'!AG362</x:f>
        <x:v>有效</x:v>
      </x:c>
      <x:c r="H362" s="4" t="n">
        <x:f>'TeamHero生成'!G362</x:f>
        <x:v>1937256</x:v>
      </x:c>
      <x:c r="I362" s="4" t="n">
        <x:f>'TeamHero生成'!H362</x:f>
        <x:v>35598</x:v>
      </x:c>
      <x:c r="J362" s="4" t="n">
        <x:f>'TeamHero生成'!I362</x:f>
        <x:v>22184</x:v>
      </x:c>
    </x:row>
    <x:row r="363" ht="14.25" customHeight="1">
      <x:c r="A363" s="4" t="n">
        <x:f>'TeamHero生成'!A363</x:f>
        <x:v>359</x:v>
      </x:c>
      <x:c r="B363" s="4" t="n">
        <x:f>'TeamHero生成'!B363</x:f>
        <x:v>1005</x:v>
      </x:c>
      <x:c r="C363" s="4" t="n">
        <x:f>'TeamHero生成'!C363</x:f>
        <x:v>46</x:v>
      </x:c>
      <x:c r="D363" s="5" t="n">
        <x:f>'TeamHero生成'!D363</x:f>
        <x:v>1214672</x:v>
      </x:c>
      <x:c r="E363" s="5" t="n">
        <x:f>'TeamHero生成'!E363</x:f>
        <x:v>27699</x:v>
      </x:c>
      <x:c r="F363" s="5" t="n">
        <x:f>'TeamHero生成'!F363</x:f>
        <x:v>24396</x:v>
      </x:c>
      <x:c r="G363" s="4" t="str">
        <x:f>'TeamHero生成'!AG363</x:f>
        <x:v>有效</x:v>
      </x:c>
      <x:c r="H363" s="4" t="n">
        <x:f>'TeamHero生成'!G363</x:f>
        <x:v>1937256</x:v>
      </x:c>
      <x:c r="I363" s="4" t="n">
        <x:f>'TeamHero生成'!H363</x:f>
        <x:v>35598</x:v>
      </x:c>
      <x:c r="J363" s="4" t="n">
        <x:f>'TeamHero生成'!I363</x:f>
        <x:v>22184</x:v>
      </x:c>
    </x:row>
    <x:row r="364" ht="14.25" customHeight="1">
      <x:c r="A364" s="4" t="n">
        <x:f>'TeamHero生成'!A364</x:f>
        <x:v>360</x:v>
      </x:c>
      <x:c r="B364" s="4" t="n">
        <x:f>'TeamHero生成'!B364</x:f>
        <x:v>1007</x:v>
      </x:c>
      <x:c r="C364" s="4" t="n">
        <x:f>'TeamHero生成'!C364</x:f>
        <x:v>46</x:v>
      </x:c>
      <x:c r="D364" s="5" t="n">
        <x:f>'TeamHero生成'!D364</x:f>
        <x:v>1518340</x:v>
      </x:c>
      <x:c r="E364" s="5" t="n">
        <x:f>'TeamHero生成'!E364</x:f>
        <x:v>23082</x:v>
      </x:c>
      <x:c r="F364" s="5" t="n">
        <x:f>'TeamHero生成'!F364</x:f>
        <x:v>30495</x:v>
      </x:c>
      <x:c r="G364" s="4" t="str">
        <x:f>'TeamHero生成'!AG364</x:f>
        <x:v>有效</x:v>
      </x:c>
      <x:c r="H364" s="4" t="n">
        <x:f>'TeamHero生成'!G364</x:f>
        <x:v>2421570</x:v>
      </x:c>
      <x:c r="I364" s="4" t="n">
        <x:f>'TeamHero生成'!H364</x:f>
        <x:v>29665</x:v>
      </x:c>
      <x:c r="J364" s="4" t="n">
        <x:f>'TeamHero生成'!I364</x:f>
        <x:v>27730</x:v>
      </x:c>
    </x:row>
    <x:row r="365" ht="14.25" customHeight="1">
      <x:c r="A365" s="4" t="n">
        <x:f>'TeamHero生成'!A365</x:f>
        <x:v>361</x:v>
      </x:c>
      <x:c r="B365" s="4" t="n">
        <x:f>'TeamHero生成'!B365</x:f>
        <x:v>1004</x:v>
      </x:c>
      <x:c r="C365" s="4" t="n">
        <x:f>'TeamHero生成'!C365</x:f>
        <x:v>46</x:v>
      </x:c>
      <x:c r="D365" s="5" t="n">
        <x:f>'TeamHero生成'!D365</x:f>
        <x:v>1877422</x:v>
      </x:c>
      <x:c r="E365" s="5" t="n">
        <x:f>'TeamHero生成'!E365</x:f>
        <x:v>23617</x:v>
      </x:c>
      <x:c r="F365" s="5" t="n">
        <x:f>'TeamHero生成'!F365</x:f>
        <x:v>36981</x:v>
      </x:c>
      <x:c r="G365" s="4" t="str">
        <x:f>'TeamHero生成'!AG365</x:f>
        <x:v>有效</x:v>
      </x:c>
      <x:c r="H365" s="4" t="n">
        <x:f>'TeamHero生成'!G365</x:f>
        <x:v>3010183</x:v>
      </x:c>
      <x:c r="I365" s="4" t="n">
        <x:f>'TeamHero生成'!H365</x:f>
        <x:v>30458</x:v>
      </x:c>
      <x:c r="J365" s="4" t="n">
        <x:f>'TeamHero生成'!I365</x:f>
        <x:v>33879</x:v>
      </x:c>
    </x:row>
    <x:row r="366" ht="14.25" customHeight="1">
      <x:c r="A366" s="4" t="n">
        <x:f>'TeamHero生成'!A366</x:f>
        <x:v>362</x:v>
      </x:c>
      <x:c r="B366" s="4" t="n">
        <x:f>'TeamHero生成'!B366</x:f>
        <x:v>1017</x:v>
      </x:c>
      <x:c r="C366" s="4" t="n">
        <x:f>'TeamHero生成'!C366</x:f>
        <x:v>46</x:v>
      </x:c>
      <x:c r="D366" s="5" t="n">
        <x:f>'TeamHero生成'!D366</x:f>
        <x:v>1251614</x:v>
      </x:c>
      <x:c r="E366" s="5" t="n">
        <x:f>'TeamHero生成'!E366</x:f>
        <x:v>28341</x:v>
      </x:c>
      <x:c r="F366" s="5" t="n">
        <x:f>'TeamHero生成'!F366</x:f>
        <x:v>24654</x:v>
      </x:c>
      <x:c r="G366" s="4" t="str">
        <x:f>'TeamHero生成'!AG366</x:f>
        <x:v>有效</x:v>
      </x:c>
      <x:c r="H366" s="4" t="n">
        <x:f>'TeamHero生成'!G366</x:f>
        <x:v>2006788</x:v>
      </x:c>
      <x:c r="I366" s="4" t="n">
        <x:f>'TeamHero生成'!H366</x:f>
        <x:v>36549</x:v>
      </x:c>
      <x:c r="J366" s="4" t="n">
        <x:f>'TeamHero生成'!I366</x:f>
        <x:v>22586</x:v>
      </x:c>
    </x:row>
    <x:row r="367" ht="14.25" customHeight="1">
      <x:c r="A367" s="4" t="n">
        <x:f>'TeamHero生成'!A367</x:f>
        <x:v>363</x:v>
      </x:c>
      <x:c r="B367" s="4" t="n">
        <x:f>'TeamHero生成'!B367</x:f>
        <x:v>1006</x:v>
      </x:c>
      <x:c r="C367" s="4" t="n">
        <x:f>'TeamHero生成'!C367</x:f>
        <x:v>46</x:v>
      </x:c>
      <x:c r="D367" s="5" t="n">
        <x:f>'TeamHero生成'!D367</x:f>
        <x:v>1251614</x:v>
      </x:c>
      <x:c r="E367" s="5" t="n">
        <x:f>'TeamHero生成'!E367</x:f>
        <x:v>28341</x:v>
      </x:c>
      <x:c r="F367" s="5" t="n">
        <x:f>'TeamHero生成'!F367</x:f>
        <x:v>24654</x:v>
      </x:c>
      <x:c r="G367" s="4" t="str">
        <x:f>'TeamHero生成'!AG367</x:f>
        <x:v>有效</x:v>
      </x:c>
      <x:c r="H367" s="4" t="n">
        <x:f>'TeamHero生成'!G367</x:f>
        <x:v>2006788</x:v>
      </x:c>
      <x:c r="I367" s="4" t="n">
        <x:f>'TeamHero生成'!H367</x:f>
        <x:v>36549</x:v>
      </x:c>
      <x:c r="J367" s="4" t="n">
        <x:f>'TeamHero生成'!I367</x:f>
        <x:v>22586</x:v>
      </x:c>
    </x:row>
    <x:row r="368" ht="14.25" customHeight="1">
      <x:c r="A368" s="4" t="n">
        <x:f>'TeamHero生成'!A368</x:f>
        <x:v>364</x:v>
      </x:c>
      <x:c r="B368" s="4" t="n">
        <x:f>'TeamHero生成'!B368</x:f>
        <x:v>1014</x:v>
      </x:c>
      <x:c r="C368" s="4" t="n">
        <x:f>'TeamHero生成'!C368</x:f>
        <x:v>46</x:v>
      </x:c>
      <x:c r="D368" s="5" t="n">
        <x:f>'TeamHero生成'!D368</x:f>
        <x:v>1251614</x:v>
      </x:c>
      <x:c r="E368" s="5" t="n">
        <x:f>'TeamHero生成'!E368</x:f>
        <x:v>28341</x:v>
      </x:c>
      <x:c r="F368" s="5" t="n">
        <x:f>'TeamHero生成'!F368</x:f>
        <x:v>24654</x:v>
      </x:c>
      <x:c r="G368" s="4" t="str">
        <x:f>'TeamHero生成'!AG368</x:f>
        <x:v>有效</x:v>
      </x:c>
      <x:c r="H368" s="4" t="n">
        <x:f>'TeamHero生成'!G368</x:f>
        <x:v>2006788</x:v>
      </x:c>
      <x:c r="I368" s="4" t="n">
        <x:f>'TeamHero生成'!H368</x:f>
        <x:v>36549</x:v>
      </x:c>
      <x:c r="J368" s="4" t="n">
        <x:f>'TeamHero生成'!I368</x:f>
        <x:v>22586</x:v>
      </x:c>
    </x:row>
    <x:row r="369" ht="14.25" customHeight="1">
      <x:c r="A369" s="4" t="n">
        <x:f>'TeamHero生成'!A369</x:f>
        <x:v>365</x:v>
      </x:c>
      <x:c r="B369" s="4" t="n">
        <x:f>'TeamHero生成'!B369</x:f>
        <x:v>1011</x:v>
      </x:c>
      <x:c r="C369" s="4" t="n">
        <x:f>'TeamHero生成'!C369</x:f>
        <x:v>46</x:v>
      </x:c>
      <x:c r="D369" s="5" t="n">
        <x:f>'TeamHero生成'!D369</x:f>
        <x:v>1564518</x:v>
      </x:c>
      <x:c r="E369" s="5" t="n">
        <x:f>'TeamHero生成'!E369</x:f>
        <x:v>23617</x:v>
      </x:c>
      <x:c r="F369" s="5" t="n">
        <x:f>'TeamHero生成'!F369</x:f>
        <x:v>30818</x:v>
      </x:c>
      <x:c r="G369" s="4" t="str">
        <x:f>'TeamHero生成'!AG369</x:f>
        <x:v>有效</x:v>
      </x:c>
      <x:c r="H369" s="4" t="n">
        <x:f>'TeamHero生成'!G369</x:f>
        <x:v>2508486</x:v>
      </x:c>
      <x:c r="I369" s="4" t="n">
        <x:f>'TeamHero生成'!H369</x:f>
        <x:v>30458</x:v>
      </x:c>
      <x:c r="J369" s="4" t="n">
        <x:f>'TeamHero生成'!I369</x:f>
        <x:v>28233</x:v>
      </x:c>
    </x:row>
    <x:row r="370" ht="14.25" customHeight="1">
      <x:c r="A370" s="4" t="n">
        <x:f>'TeamHero生成'!A370</x:f>
        <x:v>366</x:v>
      </x:c>
      <x:c r="B370" s="4" t="n">
        <x:f>'TeamHero生成'!B370</x:f>
        <x:v>1003</x:v>
      </x:c>
      <x:c r="C370" s="4" t="n">
        <x:f>'TeamHero生成'!C370</x:f>
        <x:v>47</x:v>
      </x:c>
      <x:c r="D370" s="5" t="n">
        <x:f>'TeamHero生成'!D370</x:f>
        <x:v>1914617</x:v>
      </x:c>
      <x:c r="E370" s="5" t="n">
        <x:f>'TeamHero生成'!E370</x:f>
        <x:v>24017</x:v>
      </x:c>
      <x:c r="F370" s="5" t="n">
        <x:f>'TeamHero生成'!F370</x:f>
        <x:v>37370</x:v>
      </x:c>
      <x:c r="G370" s="4" t="str">
        <x:f>'TeamHero生成'!AG370</x:f>
        <x:v>有效</x:v>
      </x:c>
      <x:c r="H370" s="4" t="n">
        <x:f>'TeamHero生成'!G370</x:f>
        <x:v>3117218</x:v>
      </x:c>
      <x:c r="I370" s="4" t="n">
        <x:f>'TeamHero生成'!H370</x:f>
        <x:v>31270</x:v>
      </x:c>
      <x:c r="J370" s="4" t="n">
        <x:f>'TeamHero生成'!I370</x:f>
        <x:v>34488</x:v>
      </x:c>
    </x:row>
    <x:row r="371" ht="14.25" customHeight="1">
      <x:c r="A371" s="4" t="n">
        <x:f>'TeamHero生成'!A371</x:f>
        <x:v>367</x:v>
      </x:c>
      <x:c r="B371" s="4" t="n">
        <x:f>'TeamHero生成'!B371</x:f>
        <x:v>1005</x:v>
      </x:c>
      <x:c r="C371" s="4" t="n">
        <x:f>'TeamHero生成'!C371</x:f>
        <x:v>47</x:v>
      </x:c>
      <x:c r="D371" s="5" t="n">
        <x:f>'TeamHero生成'!D371</x:f>
        <x:v>1276411</x:v>
      </x:c>
      <x:c r="E371" s="5" t="n">
        <x:f>'TeamHero生成'!E371</x:f>
        <x:v>28820</x:v>
      </x:c>
      <x:c r="F371" s="5" t="n">
        <x:f>'TeamHero生成'!F371</x:f>
        <x:v>24913</x:v>
      </x:c>
      <x:c r="G371" s="4" t="str">
        <x:f>'TeamHero生成'!AG371</x:f>
        <x:v>有效</x:v>
      </x:c>
      <x:c r="H371" s="4" t="n">
        <x:f>'TeamHero生成'!G371</x:f>
        <x:v>2078145</x:v>
      </x:c>
      <x:c r="I371" s="4" t="n">
        <x:f>'TeamHero生成'!H371</x:f>
        <x:v>37524</x:v>
      </x:c>
      <x:c r="J371" s="4" t="n">
        <x:f>'TeamHero生成'!I371</x:f>
        <x:v>22992</x:v>
      </x:c>
    </x:row>
    <x:row r="372" ht="14.25" customHeight="1">
      <x:c r="A372" s="4" t="n">
        <x:f>'TeamHero生成'!A372</x:f>
        <x:v>368</x:v>
      </x:c>
      <x:c r="B372" s="4" t="n">
        <x:f>'TeamHero生成'!B372</x:f>
        <x:v>1014</x:v>
      </x:c>
      <x:c r="C372" s="4" t="n">
        <x:f>'TeamHero生成'!C372</x:f>
        <x:v>47</x:v>
      </x:c>
      <x:c r="D372" s="5" t="n">
        <x:f>'TeamHero生成'!D372</x:f>
        <x:v>1276411</x:v>
      </x:c>
      <x:c r="E372" s="5" t="n">
        <x:f>'TeamHero生成'!E372</x:f>
        <x:v>28820</x:v>
      </x:c>
      <x:c r="F372" s="5" t="n">
        <x:f>'TeamHero生成'!F372</x:f>
        <x:v>24913</x:v>
      </x:c>
      <x:c r="G372" s="4" t="str">
        <x:f>'TeamHero生成'!AG372</x:f>
        <x:v>有效</x:v>
      </x:c>
      <x:c r="H372" s="4" t="n">
        <x:f>'TeamHero生成'!G372</x:f>
        <x:v>2078145</x:v>
      </x:c>
      <x:c r="I372" s="4" t="n">
        <x:f>'TeamHero生成'!H372</x:f>
        <x:v>37524</x:v>
      </x:c>
      <x:c r="J372" s="4" t="n">
        <x:f>'TeamHero生成'!I372</x:f>
        <x:v>22992</x:v>
      </x:c>
    </x:row>
    <x:row r="373" ht="14.25" customHeight="1">
      <x:c r="A373" s="4" t="n">
        <x:f>'TeamHero生成'!A373</x:f>
        <x:v>369</x:v>
      </x:c>
      <x:c r="B373" s="4" t="n">
        <x:f>'TeamHero生成'!B373</x:f>
        <x:v>1012</x:v>
      </x:c>
      <x:c r="C373" s="4" t="n">
        <x:f>'TeamHero生成'!C373</x:f>
        <x:v>47</x:v>
      </x:c>
      <x:c r="D373" s="5" t="n">
        <x:f>'TeamHero生成'!D373</x:f>
        <x:v>1595514</x:v>
      </x:c>
      <x:c r="E373" s="5" t="n">
        <x:f>'TeamHero生成'!E373</x:f>
        <x:v>24017</x:v>
      </x:c>
      <x:c r="F373" s="5" t="n">
        <x:f>'TeamHero生成'!F373</x:f>
        <x:v>31141</x:v>
      </x:c>
      <x:c r="G373" s="4" t="str">
        <x:f>'TeamHero生成'!AG373</x:f>
        <x:v>有效</x:v>
      </x:c>
      <x:c r="H373" s="4" t="n">
        <x:f>'TeamHero生成'!G373</x:f>
        <x:v>2597682</x:v>
      </x:c>
      <x:c r="I373" s="4" t="n">
        <x:f>'TeamHero生成'!H373</x:f>
        <x:v>31270</x:v>
      </x:c>
      <x:c r="J373" s="4" t="n">
        <x:f>'TeamHero生成'!I373</x:f>
        <x:v>28740</x:v>
      </x:c>
    </x:row>
    <x:row r="374" ht="14.25" customHeight="1">
      <x:c r="A374" s="4" t="n">
        <x:f>'TeamHero生成'!A374</x:f>
        <x:v>370</x:v>
      </x:c>
      <x:c r="B374" s="4" t="n">
        <x:f>'TeamHero生成'!B374</x:f>
        <x:v>1008</x:v>
      </x:c>
      <x:c r="C374" s="4" t="n">
        <x:f>'TeamHero生成'!C374</x:f>
        <x:v>47</x:v>
      </x:c>
      <x:c r="D374" s="5" t="n">
        <x:f>'TeamHero生成'!D374</x:f>
        <x:v>1276411</x:v>
      </x:c>
      <x:c r="E374" s="5" t="n">
        <x:f>'TeamHero生成'!E374</x:f>
        <x:v>28820</x:v>
      </x:c>
      <x:c r="F374" s="5" t="n">
        <x:f>'TeamHero生成'!F374</x:f>
        <x:v>24913</x:v>
      </x:c>
      <x:c r="G374" s="4" t="str">
        <x:f>'TeamHero生成'!AG374</x:f>
        <x:v>有效</x:v>
      </x:c>
      <x:c r="H374" s="4" t="n">
        <x:f>'TeamHero生成'!G374</x:f>
        <x:v>2078145</x:v>
      </x:c>
      <x:c r="I374" s="4" t="n">
        <x:f>'TeamHero生成'!H374</x:f>
        <x:v>37524</x:v>
      </x:c>
      <x:c r="J374" s="4" t="n">
        <x:f>'TeamHero生成'!I374</x:f>
        <x:v>22992</x:v>
      </x:c>
    </x:row>
    <x:row r="375" ht="14.25" customHeight="1">
      <x:c r="A375" s="4" t="n">
        <x:f>'TeamHero生成'!A375</x:f>
        <x:v>371</x:v>
      </x:c>
      <x:c r="B375" s="4" t="n">
        <x:f>'TeamHero生成'!B375</x:f>
        <x:v>1003</x:v>
      </x:c>
      <x:c r="C375" s="4" t="n">
        <x:f>'TeamHero生成'!C375</x:f>
        <x:v>47</x:v>
      </x:c>
      <x:c r="D375" s="5" t="n">
        <x:f>'TeamHero生成'!D375</x:f>
        <x:v>1944388</x:v>
      </x:c>
      <x:c r="E375" s="5" t="n">
        <x:f>'TeamHero生成'!E375</x:f>
        <x:v>24331</x:v>
      </x:c>
      <x:c r="F375" s="5" t="n">
        <x:f>'TeamHero生成'!F375</x:f>
        <x:v>37758</x:v>
      </x:c>
      <x:c r="G375" s="4" t="str">
        <x:f>'TeamHero生成'!AG375</x:f>
        <x:v>有效</x:v>
      </x:c>
      <x:c r="H375" s="4" t="n">
        <x:f>'TeamHero生成'!G375</x:f>
        <x:v>3227047</x:v>
      </x:c>
      <x:c r="I375" s="4" t="n">
        <x:f>'TeamHero生成'!H375</x:f>
        <x:v>32100</x:v>
      </x:c>
      <x:c r="J375" s="4" t="n">
        <x:f>'TeamHero生成'!I375</x:f>
        <x:v>35101</x:v>
      </x:c>
    </x:row>
    <x:row r="376" ht="14.25" customHeight="1">
      <x:c r="A376" s="4" t="n">
        <x:f>'TeamHero生成'!A376</x:f>
        <x:v>372</x:v>
      </x:c>
      <x:c r="B376" s="4" t="n">
        <x:f>'TeamHero生成'!B376</x:f>
        <x:v>1017</x:v>
      </x:c>
      <x:c r="C376" s="4" t="n">
        <x:f>'TeamHero生成'!C376</x:f>
        <x:v>47</x:v>
      </x:c>
      <x:c r="D376" s="5" t="n">
        <x:f>'TeamHero生成'!D376</x:f>
        <x:v>1296258</x:v>
      </x:c>
      <x:c r="E376" s="5" t="n">
        <x:f>'TeamHero生成'!E376</x:f>
        <x:v>29197</x:v>
      </x:c>
      <x:c r="F376" s="5" t="n">
        <x:f>'TeamHero生成'!F376</x:f>
        <x:v>25172</x:v>
      </x:c>
      <x:c r="G376" s="4" t="str">
        <x:f>'TeamHero生成'!AG376</x:f>
        <x:v>有效</x:v>
      </x:c>
      <x:c r="H376" s="4" t="n">
        <x:f>'TeamHero生成'!G376</x:f>
        <x:v>2151364</x:v>
      </x:c>
      <x:c r="I376" s="4" t="n">
        <x:f>'TeamHero生成'!H376</x:f>
        <x:v>38520</x:v>
      </x:c>
      <x:c r="J376" s="4" t="n">
        <x:f>'TeamHero生成'!I376</x:f>
        <x:v>23400</x:v>
      </x:c>
    </x:row>
    <x:row r="377" ht="14.25" customHeight="1">
      <x:c r="A377" s="4" t="n">
        <x:f>'TeamHero生成'!A377</x:f>
        <x:v>373</x:v>
      </x:c>
      <x:c r="B377" s="4" t="n">
        <x:f>'TeamHero生成'!B377</x:f>
        <x:v>1017</x:v>
      </x:c>
      <x:c r="C377" s="4" t="n">
        <x:f>'TeamHero生成'!C377</x:f>
        <x:v>47</x:v>
      </x:c>
      <x:c r="D377" s="5" t="n">
        <x:f>'TeamHero生成'!D377</x:f>
        <x:v>1296258</x:v>
      </x:c>
      <x:c r="E377" s="5" t="n">
        <x:f>'TeamHero生成'!E377</x:f>
        <x:v>29197</x:v>
      </x:c>
      <x:c r="F377" s="5" t="n">
        <x:f>'TeamHero生成'!F377</x:f>
        <x:v>25172</x:v>
      </x:c>
      <x:c r="G377" s="4" t="str">
        <x:f>'TeamHero生成'!AG377</x:f>
        <x:v>有效</x:v>
      </x:c>
      <x:c r="H377" s="4" t="n">
        <x:f>'TeamHero生成'!G377</x:f>
        <x:v>2151364</x:v>
      </x:c>
      <x:c r="I377" s="4" t="n">
        <x:f>'TeamHero生成'!H377</x:f>
        <x:v>38520</x:v>
      </x:c>
      <x:c r="J377" s="4" t="n">
        <x:f>'TeamHero生成'!I377</x:f>
        <x:v>23400</x:v>
      </x:c>
    </x:row>
    <x:row r="378" ht="14.25" customHeight="1">
      <x:c r="A378" s="4" t="n">
        <x:f>'TeamHero生成'!A378</x:f>
        <x:v>374</x:v>
      </x:c>
      <x:c r="B378" s="4" t="n">
        <x:f>'TeamHero生成'!B378</x:f>
        <x:v>1007</x:v>
      </x:c>
      <x:c r="C378" s="4" t="n">
        <x:f>'TeamHero生成'!C378</x:f>
        <x:v>47</x:v>
      </x:c>
      <x:c r="D378" s="5" t="n">
        <x:f>'TeamHero生成'!D378</x:f>
        <x:v>1620323</x:v>
      </x:c>
      <x:c r="E378" s="5" t="n">
        <x:f>'TeamHero生成'!E378</x:f>
        <x:v>24331</x:v>
      </x:c>
      <x:c r="F378" s="5" t="n">
        <x:f>'TeamHero生成'!F378</x:f>
        <x:v>31465</x:v>
      </x:c>
      <x:c r="G378" s="4" t="str">
        <x:f>'TeamHero生成'!AG378</x:f>
        <x:v>有效</x:v>
      </x:c>
      <x:c r="H378" s="4" t="n">
        <x:f>'TeamHero生成'!G378</x:f>
        <x:v>2689206</x:v>
      </x:c>
      <x:c r="I378" s="4" t="n">
        <x:f>'TeamHero生成'!H378</x:f>
        <x:v>32100</x:v>
      </x:c>
      <x:c r="J378" s="4" t="n">
        <x:f>'TeamHero生成'!I378</x:f>
        <x:v>29251</x:v>
      </x:c>
    </x:row>
    <x:row r="379" ht="14.25" customHeight="1">
      <x:c r="A379" s="4" t="n">
        <x:f>'TeamHero生成'!A379</x:f>
        <x:v>375</x:v>
      </x:c>
      <x:c r="B379" s="4" t="n">
        <x:f>'TeamHero生成'!B379</x:f>
        <x:v>1015</x:v>
      </x:c>
      <x:c r="C379" s="4" t="n">
        <x:f>'TeamHero生成'!C379</x:f>
        <x:v>47</x:v>
      </x:c>
      <x:c r="D379" s="5" t="n">
        <x:f>'TeamHero生成'!D379</x:f>
        <x:v>1620323</x:v>
      </x:c>
      <x:c r="E379" s="5" t="n">
        <x:f>'TeamHero生成'!E379</x:f>
        <x:v>24331</x:v>
      </x:c>
      <x:c r="F379" s="5" t="n">
        <x:f>'TeamHero生成'!F379</x:f>
        <x:v>31465</x:v>
      </x:c>
      <x:c r="G379" s="4" t="str">
        <x:f>'TeamHero生成'!AG379</x:f>
        <x:v>有效</x:v>
      </x:c>
      <x:c r="H379" s="4" t="n">
        <x:f>'TeamHero生成'!G379</x:f>
        <x:v>2689206</x:v>
      </x:c>
      <x:c r="I379" s="4" t="n">
        <x:f>'TeamHero生成'!H379</x:f>
        <x:v>32100</x:v>
      </x:c>
      <x:c r="J379" s="4" t="n">
        <x:f>'TeamHero生成'!I379</x:f>
        <x:v>29251</x:v>
      </x:c>
    </x:row>
    <x:row r="380" ht="14.25" customHeight="1">
      <x:c r="A380" s="4" t="n">
        <x:f>'TeamHero生成'!A380</x:f>
        <x:v>376</x:v>
      </x:c>
      <x:c r="B380" s="4" t="n">
        <x:f>'TeamHero生成'!B380</x:f>
        <x:v>1003</x:v>
      </x:c>
      <x:c r="C380" s="4" t="n">
        <x:f>'TeamHero生成'!C380</x:f>
        <x:v>48</x:v>
      </x:c>
      <x:c r="D380" s="5" t="n">
        <x:f>'TeamHero生成'!D380</x:f>
        <x:v>1982263</x:v>
      </x:c>
      <x:c r="E380" s="5" t="n">
        <x:f>'TeamHero生成'!E380</x:f>
        <x:v>24707</x:v>
      </x:c>
      <x:c r="F380" s="5" t="n">
        <x:f>'TeamHero生成'!F380</x:f>
        <x:v>37953</x:v>
      </x:c>
      <x:c r="G380" s="4" t="str">
        <x:f>'TeamHero生成'!AG380</x:f>
        <x:v>有效</x:v>
      </x:c>
      <x:c r="H380" s="4" t="n">
        <x:f>'TeamHero生成'!G380</x:f>
        <x:v>3368325</x:v>
      </x:c>
      <x:c r="I380" s="4" t="n">
        <x:f>'TeamHero生成'!H380</x:f>
        <x:v>33164</x:v>
      </x:c>
      <x:c r="J380" s="4" t="n">
        <x:f>'TeamHero生成'!I380</x:f>
        <x:v>35874</x:v>
      </x:c>
    </x:row>
    <x:row r="381" ht="14.25" customHeight="1">
      <x:c r="A381" s="4" t="n">
        <x:f>'TeamHero生成'!A381</x:f>
        <x:v>377</x:v>
      </x:c>
      <x:c r="B381" s="4" t="n">
        <x:f>'TeamHero生成'!B381</x:f>
        <x:v>1007</x:v>
      </x:c>
      <x:c r="C381" s="4" t="n">
        <x:f>'TeamHero生成'!C381</x:f>
        <x:v>48</x:v>
      </x:c>
      <x:c r="D381" s="5" t="n">
        <x:f>'TeamHero生成'!D381</x:f>
        <x:v>1651886</x:v>
      </x:c>
      <x:c r="E381" s="5" t="n">
        <x:f>'TeamHero生成'!E381</x:f>
        <x:v>24707</x:v>
      </x:c>
      <x:c r="F381" s="5" t="n">
        <x:f>'TeamHero生成'!F381</x:f>
        <x:v>31628</x:v>
      </x:c>
      <x:c r="G381" s="4" t="str">
        <x:f>'TeamHero生成'!AG381</x:f>
        <x:v>有效</x:v>
      </x:c>
      <x:c r="H381" s="4" t="n">
        <x:f>'TeamHero生成'!G381</x:f>
        <x:v>2806938</x:v>
      </x:c>
      <x:c r="I381" s="4" t="n">
        <x:f>'TeamHero生成'!H381</x:f>
        <x:v>33164</x:v>
      </x:c>
      <x:c r="J381" s="4" t="n">
        <x:f>'TeamHero生成'!I381</x:f>
        <x:v>29895</x:v>
      </x:c>
    </x:row>
    <x:row r="382" ht="14.25" customHeight="1">
      <x:c r="A382" s="4" t="n">
        <x:f>'TeamHero生成'!A382</x:f>
        <x:v>378</x:v>
      </x:c>
      <x:c r="B382" s="4" t="n">
        <x:f>'TeamHero生成'!B382</x:f>
        <x:v>1006</x:v>
      </x:c>
      <x:c r="C382" s="4" t="n">
        <x:f>'TeamHero生成'!C382</x:f>
        <x:v>48</x:v>
      </x:c>
      <x:c r="D382" s="5" t="n">
        <x:f>'TeamHero生成'!D382</x:f>
        <x:v>1321509</x:v>
      </x:c>
      <x:c r="E382" s="5" t="n">
        <x:f>'TeamHero生成'!E382</x:f>
        <x:v>29648</x:v>
      </x:c>
      <x:c r="F382" s="5" t="n">
        <x:f>'TeamHero生成'!F382</x:f>
        <x:v>25302</x:v>
      </x:c>
      <x:c r="G382" s="4" t="str">
        <x:f>'TeamHero生成'!AG382</x:f>
        <x:v>有效</x:v>
      </x:c>
      <x:c r="H382" s="4" t="n">
        <x:f>'TeamHero生成'!G382</x:f>
        <x:v>2245550</x:v>
      </x:c>
      <x:c r="I382" s="4" t="n">
        <x:f>'TeamHero生成'!H382</x:f>
        <x:v>39796</x:v>
      </x:c>
      <x:c r="J382" s="4" t="n">
        <x:f>'TeamHero生成'!I382</x:f>
        <x:v>23916</x:v>
      </x:c>
    </x:row>
    <x:row r="383" ht="14.25" customHeight="1">
      <x:c r="A383" s="4" t="n">
        <x:f>'TeamHero生成'!A383</x:f>
        <x:v>379</x:v>
      </x:c>
      <x:c r="B383" s="4" t="n">
        <x:f>'TeamHero生成'!B383</x:f>
        <x:v>1008</x:v>
      </x:c>
      <x:c r="C383" s="4" t="n">
        <x:f>'TeamHero生成'!C383</x:f>
        <x:v>48</x:v>
      </x:c>
      <x:c r="D383" s="5" t="n">
        <x:f>'TeamHero生成'!D383</x:f>
        <x:v>1321509</x:v>
      </x:c>
      <x:c r="E383" s="5" t="n">
        <x:f>'TeamHero生成'!E383</x:f>
        <x:v>29648</x:v>
      </x:c>
      <x:c r="F383" s="5" t="n">
        <x:f>'TeamHero生成'!F383</x:f>
        <x:v>25302</x:v>
      </x:c>
      <x:c r="G383" s="4" t="str">
        <x:f>'TeamHero生成'!AG383</x:f>
        <x:v>有效</x:v>
      </x:c>
      <x:c r="H383" s="4" t="n">
        <x:f>'TeamHero生成'!G383</x:f>
        <x:v>2245550</x:v>
      </x:c>
      <x:c r="I383" s="4" t="n">
        <x:f>'TeamHero生成'!H383</x:f>
        <x:v>39796</x:v>
      </x:c>
      <x:c r="J383" s="4" t="n">
        <x:f>'TeamHero生成'!I383</x:f>
        <x:v>23916</x:v>
      </x:c>
    </x:row>
    <x:row r="384" ht="14.25" customHeight="1">
      <x:c r="A384" s="4" t="n">
        <x:f>'TeamHero生成'!A384</x:f>
        <x:v>380</x:v>
      </x:c>
      <x:c r="B384" s="4" t="n">
        <x:f>'TeamHero生成'!B384</x:f>
        <x:v>1017</x:v>
      </x:c>
      <x:c r="C384" s="4" t="n">
        <x:f>'TeamHero生成'!C384</x:f>
        <x:v>48</x:v>
      </x:c>
      <x:c r="D384" s="5" t="n">
        <x:f>'TeamHero生成'!D384</x:f>
        <x:v>1321509</x:v>
      </x:c>
      <x:c r="E384" s="5" t="n">
        <x:f>'TeamHero生成'!E384</x:f>
        <x:v>29648</x:v>
      </x:c>
      <x:c r="F384" s="5" t="n">
        <x:f>'TeamHero生成'!F384</x:f>
        <x:v>25302</x:v>
      </x:c>
      <x:c r="G384" s="4" t="str">
        <x:f>'TeamHero生成'!AG384</x:f>
        <x:v>有效</x:v>
      </x:c>
      <x:c r="H384" s="4" t="n">
        <x:f>'TeamHero生成'!G384</x:f>
        <x:v>2245550</x:v>
      </x:c>
      <x:c r="I384" s="4" t="n">
        <x:f>'TeamHero生成'!H384</x:f>
        <x:v>39796</x:v>
      </x:c>
      <x:c r="J384" s="4" t="n">
        <x:f>'TeamHero生成'!I384</x:f>
        <x:v>23916</x:v>
      </x:c>
    </x:row>
    <x:row r="385" ht="14.25" customHeight="1">
      <x:c r="A385" s="4" t="n">
        <x:f>'TeamHero生成'!A385</x:f>
        <x:v>381</x:v>
      </x:c>
      <x:c r="B385" s="4" t="n">
        <x:f>'TeamHero生成'!B385</x:f>
        <x:v>1004</x:v>
      </x:c>
      <x:c r="C385" s="4" t="n">
        <x:f>'TeamHero生成'!C385</x:f>
        <x:v>48</x:v>
      </x:c>
      <x:c r="D385" s="5" t="n">
        <x:f>'TeamHero生成'!D385</x:f>
        <x:v>2015757</x:v>
      </x:c>
      <x:c r="E385" s="5" t="n">
        <x:f>'TeamHero生成'!E385</x:f>
        <x:v>25083</x:v>
      </x:c>
      <x:c r="F385" s="5" t="n">
        <x:f>'TeamHero生成'!F385</x:f>
        <x:v>38345</x:v>
      </x:c>
      <x:c r="G385" s="4" t="str">
        <x:f>'TeamHero生成'!AG385</x:f>
        <x:v>有效</x:v>
      </x:c>
      <x:c r="H385" s="4" t="n">
        <x:f>'TeamHero生成'!G385</x:f>
        <x:v>3484605</x:v>
      </x:c>
      <x:c r="I385" s="4" t="n">
        <x:f>'TeamHero生成'!H385</x:f>
        <x:v>34039</x:v>
      </x:c>
      <x:c r="J385" s="4" t="n">
        <x:f>'TeamHero生成'!I385</x:f>
        <x:v>36495</x:v>
      </x:c>
    </x:row>
    <x:row r="386" ht="14.25" customHeight="1">
      <x:c r="A386" s="4" t="n">
        <x:f>'TeamHero生成'!A386</x:f>
        <x:v>382</x:v>
      </x:c>
      <x:c r="B386" s="4" t="n">
        <x:f>'TeamHero生成'!B386</x:f>
        <x:v>1012</x:v>
      </x:c>
      <x:c r="C386" s="4" t="n">
        <x:f>'TeamHero生成'!C386</x:f>
        <x:v>48</x:v>
      </x:c>
      <x:c r="D386" s="5" t="n">
        <x:f>'TeamHero生成'!D386</x:f>
        <x:v>1679797</x:v>
      </x:c>
      <x:c r="E386" s="5" t="n">
        <x:f>'TeamHero生成'!E386</x:f>
        <x:v>25083</x:v>
      </x:c>
      <x:c r="F386" s="5" t="n">
        <x:f>'TeamHero生成'!F386</x:f>
        <x:v>31954</x:v>
      </x:c>
      <x:c r="G386" s="4" t="str">
        <x:f>'TeamHero生成'!AG386</x:f>
        <x:v>有效</x:v>
      </x:c>
      <x:c r="H386" s="4" t="n">
        <x:f>'TeamHero生成'!G386</x:f>
        <x:v>2903838</x:v>
      </x:c>
      <x:c r="I386" s="4" t="n">
        <x:f>'TeamHero生成'!H386</x:f>
        <x:v>34039</x:v>
      </x:c>
      <x:c r="J386" s="4" t="n">
        <x:f>'TeamHero生成'!I386</x:f>
        <x:v>30413</x:v>
      </x:c>
    </x:row>
    <x:row r="387" ht="14.25" customHeight="1">
      <x:c r="A387" s="4" t="n">
        <x:f>'TeamHero生成'!A387</x:f>
        <x:v>383</x:v>
      </x:c>
      <x:c r="B387" s="4" t="n">
        <x:f>'TeamHero生成'!B387</x:f>
        <x:v>1014</x:v>
      </x:c>
      <x:c r="C387" s="4" t="n">
        <x:f>'TeamHero生成'!C387</x:f>
        <x:v>48</x:v>
      </x:c>
      <x:c r="D387" s="5" t="n">
        <x:f>'TeamHero生成'!D387</x:f>
        <x:v>1343838</x:v>
      </x:c>
      <x:c r="E387" s="5" t="n">
        <x:f>'TeamHero生成'!E387</x:f>
        <x:v>30099</x:v>
      </x:c>
      <x:c r="F387" s="5" t="n">
        <x:f>'TeamHero生成'!F387</x:f>
        <x:v>25563</x:v>
      </x:c>
      <x:c r="G387" s="4" t="str">
        <x:f>'TeamHero生成'!AG387</x:f>
        <x:v>有效</x:v>
      </x:c>
      <x:c r="H387" s="4" t="n">
        <x:f>'TeamHero生成'!G387</x:f>
        <x:v>2323070</x:v>
      </x:c>
      <x:c r="I387" s="4" t="n">
        <x:f>'TeamHero生成'!H387</x:f>
        <x:v>40846</x:v>
      </x:c>
      <x:c r="J387" s="4" t="n">
        <x:f>'TeamHero生成'!I387</x:f>
        <x:v>24330</x:v>
      </x:c>
    </x:row>
    <x:row r="388" ht="14.25" customHeight="1">
      <x:c r="A388" s="4" t="n">
        <x:f>'TeamHero生成'!A388</x:f>
        <x:v>384</x:v>
      </x:c>
      <x:c r="B388" s="4" t="n">
        <x:f>'TeamHero生成'!B388</x:f>
        <x:v>1006</x:v>
      </x:c>
      <x:c r="C388" s="4" t="n">
        <x:f>'TeamHero生成'!C388</x:f>
        <x:v>48</x:v>
      </x:c>
      <x:c r="D388" s="5" t="n">
        <x:f>'TeamHero生成'!D388</x:f>
        <x:v>1343838</x:v>
      </x:c>
      <x:c r="E388" s="5" t="n">
        <x:f>'TeamHero生成'!E388</x:f>
        <x:v>30099</x:v>
      </x:c>
      <x:c r="F388" s="5" t="n">
        <x:f>'TeamHero生成'!F388</x:f>
        <x:v>25563</x:v>
      </x:c>
      <x:c r="G388" s="4" t="str">
        <x:f>'TeamHero生成'!AG388</x:f>
        <x:v>有效</x:v>
      </x:c>
      <x:c r="H388" s="4" t="n">
        <x:f>'TeamHero生成'!G388</x:f>
        <x:v>2323070</x:v>
      </x:c>
      <x:c r="I388" s="4" t="n">
        <x:f>'TeamHero生成'!H388</x:f>
        <x:v>40846</x:v>
      </x:c>
      <x:c r="J388" s="4" t="n">
        <x:f>'TeamHero生成'!I388</x:f>
        <x:v>24330</x:v>
      </x:c>
    </x:row>
    <x:row r="389" ht="14.25" customHeight="1">
      <x:c r="A389" s="4" t="n">
        <x:f>'TeamHero生成'!A389</x:f>
        <x:v>385</x:v>
      </x:c>
      <x:c r="B389" s="4" t="n">
        <x:f>'TeamHero生成'!B389</x:f>
        <x:v>1017</x:v>
      </x:c>
      <x:c r="C389" s="4" t="n">
        <x:f>'TeamHero生成'!C389</x:f>
        <x:v>48</x:v>
      </x:c>
      <x:c r="D389" s="5" t="n">
        <x:f>'TeamHero生成'!D389</x:f>
        <x:v>1343838</x:v>
      </x:c>
      <x:c r="E389" s="5" t="n">
        <x:f>'TeamHero生成'!E389</x:f>
        <x:v>30099</x:v>
      </x:c>
      <x:c r="F389" s="5" t="n">
        <x:f>'TeamHero生成'!F389</x:f>
        <x:v>25563</x:v>
      </x:c>
      <x:c r="G389" s="4" t="str">
        <x:f>'TeamHero生成'!AG389</x:f>
        <x:v>有效</x:v>
      </x:c>
      <x:c r="H389" s="4" t="n">
        <x:f>'TeamHero生成'!G389</x:f>
        <x:v>2323070</x:v>
      </x:c>
      <x:c r="I389" s="4" t="n">
        <x:f>'TeamHero生成'!H389</x:f>
        <x:v>40846</x:v>
      </x:c>
      <x:c r="J389" s="4" t="n">
        <x:f>'TeamHero生成'!I389</x:f>
        <x:v>24330</x:v>
      </x:c>
    </x:row>
    <x:row r="390" ht="14.25" customHeight="1">
      <x:c r="A390" s="4" t="n">
        <x:f>'TeamHero生成'!A390</x:f>
        <x:v>386</x:v>
      </x:c>
      <x:c r="B390" s="4" t="n">
        <x:f>'TeamHero生成'!B390</x:f>
        <x:v>1004</x:v>
      </x:c>
      <x:c r="C390" s="4" t="n">
        <x:f>'TeamHero生成'!C390</x:f>
        <x:v>49</x:v>
      </x:c>
      <x:c r="D390" s="5" t="n">
        <x:f>'TeamHero生成'!D390</x:f>
        <x:v>2054410</x:v>
      </x:c>
      <x:c r="E390" s="5" t="n">
        <x:f>'TeamHero生成'!E390</x:f>
        <x:v>25495</x:v>
      </x:c>
      <x:c r="F390" s="5" t="n">
        <x:f>'TeamHero生成'!F390</x:f>
        <x:v>38738</x:v>
      </x:c>
      <x:c r="G390" s="4" t="str">
        <x:f>'TeamHero生成'!AG390</x:f>
        <x:v>有效</x:v>
      </x:c>
      <x:c r="H390" s="4" t="n">
        <x:f>'TeamHero生成'!G390</x:f>
        <x:v>3603844</x:v>
      </x:c>
      <x:c r="I390" s="4" t="n">
        <x:f>'TeamHero生成'!H390</x:f>
        <x:v>34933</x:v>
      </x:c>
      <x:c r="J390" s="4" t="n">
        <x:f>'TeamHero生成'!I390</x:f>
        <x:v>37123</x:v>
      </x:c>
    </x:row>
    <x:row r="391" ht="14.25" customHeight="1">
      <x:c r="A391" s="4" t="n">
        <x:f>'TeamHero生成'!A391</x:f>
        <x:v>387</x:v>
      </x:c>
      <x:c r="B391" s="4" t="n">
        <x:f>'TeamHero生成'!B391</x:f>
        <x:v>1013</x:v>
      </x:c>
      <x:c r="C391" s="4" t="n">
        <x:f>'TeamHero生成'!C391</x:f>
        <x:v>49</x:v>
      </x:c>
      <x:c r="D391" s="5" t="n">
        <x:f>'TeamHero生成'!D391</x:f>
        <x:v>1369607</x:v>
      </x:c>
      <x:c r="E391" s="5" t="n">
        <x:f>'TeamHero生成'!E391</x:f>
        <x:v>30594</x:v>
      </x:c>
      <x:c r="F391" s="5" t="n">
        <x:f>'TeamHero生成'!F391</x:f>
        <x:v>25825</x:v>
      </x:c>
      <x:c r="G391" s="4" t="str">
        <x:f>'TeamHero生成'!AG391</x:f>
        <x:v>有效</x:v>
      </x:c>
      <x:c r="H391" s="4" t="n">
        <x:f>'TeamHero生成'!G391</x:f>
        <x:v>2402563</x:v>
      </x:c>
      <x:c r="I391" s="4" t="n">
        <x:f>'TeamHero生成'!H391</x:f>
        <x:v>41919</x:v>
      </x:c>
      <x:c r="J391" s="4" t="n">
        <x:f>'TeamHero生成'!I391</x:f>
        <x:v>24748</x:v>
      </x:c>
    </x:row>
    <x:row r="392" ht="14.25" customHeight="1">
      <x:c r="A392" s="4" t="n">
        <x:f>'TeamHero生成'!A392</x:f>
        <x:v>388</x:v>
      </x:c>
      <x:c r="B392" s="4" t="n">
        <x:f>'TeamHero生成'!B392</x:f>
        <x:v>1006</x:v>
      </x:c>
      <x:c r="C392" s="4" t="n">
        <x:f>'TeamHero生成'!C392</x:f>
        <x:v>49</x:v>
      </x:c>
      <x:c r="D392" s="5" t="n">
        <x:f>'TeamHero生成'!D392</x:f>
        <x:v>1369607</x:v>
      </x:c>
      <x:c r="E392" s="5" t="n">
        <x:f>'TeamHero生成'!E392</x:f>
        <x:v>30594</x:v>
      </x:c>
      <x:c r="F392" s="5" t="n">
        <x:f>'TeamHero生成'!F392</x:f>
        <x:v>25825</x:v>
      </x:c>
      <x:c r="G392" s="4" t="str">
        <x:f>'TeamHero生成'!AG392</x:f>
        <x:v>有效</x:v>
      </x:c>
      <x:c r="H392" s="4" t="n">
        <x:f>'TeamHero生成'!G392</x:f>
        <x:v>2402563</x:v>
      </x:c>
      <x:c r="I392" s="4" t="n">
        <x:f>'TeamHero生成'!H392</x:f>
        <x:v>41919</x:v>
      </x:c>
      <x:c r="J392" s="4" t="n">
        <x:f>'TeamHero生成'!I392</x:f>
        <x:v>24748</x:v>
      </x:c>
    </x:row>
    <x:row r="393" ht="14.25" customHeight="1">
      <x:c r="A393" s="4" t="n">
        <x:f>'TeamHero生成'!A393</x:f>
        <x:v>389</x:v>
      </x:c>
      <x:c r="B393" s="4" t="n">
        <x:f>'TeamHero生成'!B393</x:f>
        <x:v>1006</x:v>
      </x:c>
      <x:c r="C393" s="4" t="n">
        <x:f>'TeamHero生成'!C393</x:f>
        <x:v>49</x:v>
      </x:c>
      <x:c r="D393" s="5" t="n">
        <x:f>'TeamHero生成'!D393</x:f>
        <x:v>1369607</x:v>
      </x:c>
      <x:c r="E393" s="5" t="n">
        <x:f>'TeamHero生成'!E393</x:f>
        <x:v>30594</x:v>
      </x:c>
      <x:c r="F393" s="5" t="n">
        <x:f>'TeamHero生成'!F393</x:f>
        <x:v>25825</x:v>
      </x:c>
      <x:c r="G393" s="4" t="str">
        <x:f>'TeamHero生成'!AG393</x:f>
        <x:v>有效</x:v>
      </x:c>
      <x:c r="H393" s="4" t="n">
        <x:f>'TeamHero生成'!G393</x:f>
        <x:v>2402563</x:v>
      </x:c>
      <x:c r="I393" s="4" t="n">
        <x:f>'TeamHero生成'!H393</x:f>
        <x:v>41919</x:v>
      </x:c>
      <x:c r="J393" s="4" t="n">
        <x:f>'TeamHero生成'!I393</x:f>
        <x:v>24748</x:v>
      </x:c>
    </x:row>
    <x:row r="394" ht="14.25" customHeight="1">
      <x:c r="A394" s="4" t="n">
        <x:f>'TeamHero生成'!A394</x:f>
        <x:v>390</x:v>
      </x:c>
      <x:c r="B394" s="4" t="n">
        <x:f>'TeamHero生成'!B394</x:f>
        <x:v>1011</x:v>
      </x:c>
      <x:c r="C394" s="4" t="n">
        <x:f>'TeamHero生成'!C394</x:f>
        <x:v>49</x:v>
      </x:c>
      <x:c r="D394" s="5" t="n">
        <x:f>'TeamHero生成'!D394</x:f>
        <x:v>1712008</x:v>
      </x:c>
      <x:c r="E394" s="5" t="n">
        <x:f>'TeamHero生成'!E394</x:f>
        <x:v>25495</x:v>
      </x:c>
      <x:c r="F394" s="5" t="n">
        <x:f>'TeamHero生成'!F394</x:f>
        <x:v>32281</x:v>
      </x:c>
      <x:c r="G394" s="4" t="str">
        <x:f>'TeamHero生成'!AG394</x:f>
        <x:v>有效</x:v>
      </x:c>
      <x:c r="H394" s="4" t="n">
        <x:f>'TeamHero生成'!G394</x:f>
        <x:v>3003204</x:v>
      </x:c>
      <x:c r="I394" s="4" t="n">
        <x:f>'TeamHero生成'!H394</x:f>
        <x:v>34933</x:v>
      </x:c>
      <x:c r="J394" s="4" t="n">
        <x:f>'TeamHero生成'!I394</x:f>
        <x:v>30936</x:v>
      </x:c>
    </x:row>
    <x:row r="395" ht="14.25" customHeight="1">
      <x:c r="A395" s="4" t="n">
        <x:f>'TeamHero生成'!A395</x:f>
        <x:v>391</x:v>
      </x:c>
      <x:c r="B395" s="4" t="n">
        <x:f>'TeamHero生成'!B395</x:f>
        <x:v>1003</x:v>
      </x:c>
      <x:c r="C395" s="4" t="n">
        <x:f>'TeamHero生成'!C395</x:f>
        <x:v>49</x:v>
      </x:c>
      <x:c r="D395" s="5" t="n">
        <x:f>'TeamHero生成'!D395</x:f>
        <x:v>2072787</x:v>
      </x:c>
      <x:c r="E395" s="5" t="n">
        <x:f>'TeamHero生成'!E395</x:f>
        <x:v>25720</x:v>
      </x:c>
      <x:c r="F395" s="5" t="n">
        <x:f>'TeamHero生成'!F395</x:f>
        <x:v>38934</x:v>
      </x:c>
      <x:c r="G395" s="4" t="str">
        <x:f>'TeamHero生成'!AG395</x:f>
        <x:v>有效</x:v>
      </x:c>
      <x:c r="H395" s="4" t="n">
        <x:f>'TeamHero生成'!G395</x:f>
        <x:v>3726093</x:v>
      </x:c>
      <x:c r="I395" s="4" t="n">
        <x:f>'TeamHero生成'!H395</x:f>
        <x:v>35849</x:v>
      </x:c>
      <x:c r="J395" s="4" t="n">
        <x:f>'TeamHero生成'!I395</x:f>
        <x:v>37754</x:v>
      </x:c>
    </x:row>
    <x:row r="396" ht="14.25" customHeight="1">
      <x:c r="A396" s="4" t="n">
        <x:f>'TeamHero生成'!A396</x:f>
        <x:v>392</x:v>
      </x:c>
      <x:c r="B396" s="4" t="n">
        <x:f>'TeamHero生成'!B396</x:f>
        <x:v>1011</x:v>
      </x:c>
      <x:c r="C396" s="4" t="n">
        <x:f>'TeamHero生成'!C396</x:f>
        <x:v>49</x:v>
      </x:c>
      <x:c r="D396" s="5" t="n">
        <x:f>'TeamHero生成'!D396</x:f>
        <x:v>1727323</x:v>
      </x:c>
      <x:c r="E396" s="5" t="n">
        <x:f>'TeamHero生成'!E396</x:f>
        <x:v>25720</x:v>
      </x:c>
      <x:c r="F396" s="5" t="n">
        <x:f>'TeamHero生成'!F396</x:f>
        <x:v>32445</x:v>
      </x:c>
      <x:c r="G396" s="4" t="str">
        <x:f>'TeamHero生成'!AG396</x:f>
        <x:v>有效</x:v>
      </x:c>
      <x:c r="H396" s="4" t="n">
        <x:f>'TeamHero生成'!G396</x:f>
        <x:v>3105078</x:v>
      </x:c>
      <x:c r="I396" s="4" t="n">
        <x:f>'TeamHero生成'!H396</x:f>
        <x:v>35849</x:v>
      </x:c>
      <x:c r="J396" s="4" t="n">
        <x:f>'TeamHero生成'!I396</x:f>
        <x:v>31462</x:v>
      </x:c>
    </x:row>
    <x:row r="397" ht="14.25" customHeight="1">
      <x:c r="A397" s="4" t="n">
        <x:f>'TeamHero生成'!A397</x:f>
        <x:v>393</x:v>
      </x:c>
      <x:c r="B397" s="4" t="n">
        <x:f>'TeamHero生成'!B397</x:f>
        <x:v>1013</x:v>
      </x:c>
      <x:c r="C397" s="4" t="n">
        <x:f>'TeamHero生成'!C397</x:f>
        <x:v>49</x:v>
      </x:c>
      <x:c r="D397" s="5" t="n">
        <x:f>'TeamHero生成'!D397</x:f>
        <x:v>1381858</x:v>
      </x:c>
      <x:c r="E397" s="5" t="n">
        <x:f>'TeamHero生成'!E397</x:f>
        <x:v>30864</x:v>
      </x:c>
      <x:c r="F397" s="5" t="n">
        <x:f>'TeamHero生成'!F397</x:f>
        <x:v>25956</x:v>
      </x:c>
      <x:c r="G397" s="4" t="str">
        <x:f>'TeamHero生成'!AG397</x:f>
        <x:v>有效</x:v>
      </x:c>
      <x:c r="H397" s="4" t="n">
        <x:f>'TeamHero生成'!G397</x:f>
        <x:v>2484062</x:v>
      </x:c>
      <x:c r="I397" s="4" t="n">
        <x:f>'TeamHero生成'!H397</x:f>
        <x:v>43018</x:v>
      </x:c>
      <x:c r="J397" s="4" t="n">
        <x:f>'TeamHero生成'!I397</x:f>
        <x:v>25169</x:v>
      </x:c>
    </x:row>
    <x:row r="398" ht="14.25" customHeight="1">
      <x:c r="A398" s="4" t="n">
        <x:f>'TeamHero生成'!A398</x:f>
        <x:v>394</x:v>
      </x:c>
      <x:c r="B398" s="4" t="n">
        <x:f>'TeamHero生成'!B398</x:f>
        <x:v>1001</x:v>
      </x:c>
      <x:c r="C398" s="4" t="n">
        <x:f>'TeamHero生成'!C398</x:f>
        <x:v>49</x:v>
      </x:c>
      <x:c r="D398" s="5" t="n">
        <x:f>'TeamHero生成'!D398</x:f>
        <x:v>1381858</x:v>
      </x:c>
      <x:c r="E398" s="5" t="n">
        <x:f>'TeamHero生成'!E398</x:f>
        <x:v>30864</x:v>
      </x:c>
      <x:c r="F398" s="5" t="n">
        <x:f>'TeamHero生成'!F398</x:f>
        <x:v>25956</x:v>
      </x:c>
      <x:c r="G398" s="4" t="str">
        <x:f>'TeamHero生成'!AG398</x:f>
        <x:v>有效</x:v>
      </x:c>
      <x:c r="H398" s="4" t="n">
        <x:f>'TeamHero生成'!G398</x:f>
        <x:v>2484062</x:v>
      </x:c>
      <x:c r="I398" s="4" t="n">
        <x:f>'TeamHero生成'!H398</x:f>
        <x:v>43018</x:v>
      </x:c>
      <x:c r="J398" s="4" t="n">
        <x:f>'TeamHero生成'!I398</x:f>
        <x:v>25169</x:v>
      </x:c>
    </x:row>
    <x:row r="399" ht="14.25" customHeight="1">
      <x:c r="A399" s="4" t="n">
        <x:f>'TeamHero生成'!A399</x:f>
        <x:v>395</x:v>
      </x:c>
      <x:c r="B399" s="4" t="n">
        <x:f>'TeamHero生成'!B399</x:f>
        <x:v>1001</x:v>
      </x:c>
      <x:c r="C399" s="4" t="n">
        <x:f>'TeamHero生成'!C399</x:f>
        <x:v>49</x:v>
      </x:c>
      <x:c r="D399" s="5" t="n">
        <x:f>'TeamHero生成'!D399</x:f>
        <x:v>1381858</x:v>
      </x:c>
      <x:c r="E399" s="5" t="n">
        <x:f>'TeamHero生成'!E399</x:f>
        <x:v>30864</x:v>
      </x:c>
      <x:c r="F399" s="5" t="n">
        <x:f>'TeamHero生成'!F399</x:f>
        <x:v>25956</x:v>
      </x:c>
      <x:c r="G399" s="4" t="str">
        <x:f>'TeamHero生成'!AG399</x:f>
        <x:v>有效</x:v>
      </x:c>
      <x:c r="H399" s="4" t="n">
        <x:f>'TeamHero生成'!G399</x:f>
        <x:v>2484062</x:v>
      </x:c>
      <x:c r="I399" s="4" t="n">
        <x:f>'TeamHero生成'!H399</x:f>
        <x:v>43018</x:v>
      </x:c>
      <x:c r="J399" s="4" t="n">
        <x:f>'TeamHero生成'!I399</x:f>
        <x:v>25169</x:v>
      </x:c>
    </x:row>
    <x:row r="400" ht="14.25" customHeight="1">
      <x:c r="A400" s="4" t="n">
        <x:f>'TeamHero生成'!A400</x:f>
        <x:v>396</x:v>
      </x:c>
      <x:c r="B400" s="4" t="n">
        <x:f>'TeamHero生成'!B400</x:f>
        <x:v>1003</x:v>
      </x:c>
      <x:c r="C400" s="4" t="n">
        <x:f>'TeamHero生成'!C400</x:f>
        <x:v>50</x:v>
      </x:c>
      <x:c r="D400" s="5" t="n">
        <x:f>'TeamHero生成'!D400</x:f>
        <x:v>2111589</x:v>
      </x:c>
      <x:c r="E400" s="5" t="n">
        <x:f>'TeamHero生成'!E400</x:f>
        <x:v>26117</x:v>
      </x:c>
      <x:c r="F400" s="5" t="n">
        <x:f>'TeamHero生成'!F400</x:f>
        <x:v>39329</x:v>
      </x:c>
      <x:c r="G400" s="4" t="str">
        <x:f>'TeamHero生成'!AG400</x:f>
        <x:v>有效</x:v>
      </x:c>
      <x:c r="H400" s="4" t="n">
        <x:f>'TeamHero生成'!G400</x:f>
        <x:v>3851402</x:v>
      </x:c>
      <x:c r="I400" s="4" t="n">
        <x:f>'TeamHero生成'!H400</x:f>
        <x:v>36786</x:v>
      </x:c>
      <x:c r="J400" s="4" t="n">
        <x:f>'TeamHero生成'!I400</x:f>
        <x:v>38390</x:v>
      </x:c>
    </x:row>
    <x:row r="401" ht="14.25" customHeight="1">
      <x:c r="A401" s="4" t="n">
        <x:f>'TeamHero生成'!A401</x:f>
        <x:v>397</x:v>
      </x:c>
      <x:c r="B401" s="4" t="n">
        <x:f>'TeamHero生成'!B401</x:f>
        <x:v>1013</x:v>
      </x:c>
      <x:c r="C401" s="4" t="n">
        <x:f>'TeamHero生成'!C401</x:f>
        <x:v>50</x:v>
      </x:c>
      <x:c r="D401" s="5" t="n">
        <x:f>'TeamHero生成'!D401</x:f>
        <x:v>1407726</x:v>
      </x:c>
      <x:c r="E401" s="5" t="n">
        <x:f>'TeamHero生成'!E401</x:f>
        <x:v>31340</x:v>
      </x:c>
      <x:c r="F401" s="5" t="n">
        <x:f>'TeamHero生成'!F401</x:f>
        <x:v>26219</x:v>
      </x:c>
      <x:c r="G401" s="4" t="str">
        <x:f>'TeamHero生成'!AG401</x:f>
        <x:v>有效</x:v>
      </x:c>
      <x:c r="H401" s="4" t="n">
        <x:f>'TeamHero生成'!G401</x:f>
        <x:v>2567601</x:v>
      </x:c>
      <x:c r="I401" s="4" t="n">
        <x:f>'TeamHero生成'!H401</x:f>
        <x:v>44143</x:v>
      </x:c>
      <x:c r="J401" s="4" t="n">
        <x:f>'TeamHero生成'!I401</x:f>
        <x:v>25593</x:v>
      </x:c>
    </x:row>
    <x:row r="402" ht="14.25" customHeight="1">
      <x:c r="A402" s="4" t="n">
        <x:f>'TeamHero生成'!A402</x:f>
        <x:v>398</x:v>
      </x:c>
      <x:c r="B402" s="4" t="n">
        <x:f>'TeamHero生成'!B402</x:f>
        <x:v>1020</x:v>
      </x:c>
      <x:c r="C402" s="4" t="n">
        <x:f>'TeamHero生成'!C402</x:f>
        <x:v>50</x:v>
      </x:c>
      <x:c r="D402" s="5" t="n">
        <x:f>'TeamHero生成'!D402</x:f>
        <x:v>1759658</x:v>
      </x:c>
      <x:c r="E402" s="5" t="n">
        <x:f>'TeamHero生成'!E402</x:f>
        <x:v>26117</x:v>
      </x:c>
      <x:c r="F402" s="5" t="n">
        <x:f>'TeamHero生成'!F402</x:f>
        <x:v>32774</x:v>
      </x:c>
      <x:c r="G402" s="4" t="str">
        <x:f>'TeamHero生成'!AG402</x:f>
        <x:v>有效</x:v>
      </x:c>
      <x:c r="H402" s="4" t="n">
        <x:f>'TeamHero生成'!G402</x:f>
        <x:v>3209502</x:v>
      </x:c>
      <x:c r="I402" s="4" t="n">
        <x:f>'TeamHero生成'!H402</x:f>
        <x:v>36786</x:v>
      </x:c>
      <x:c r="J402" s="4" t="n">
        <x:f>'TeamHero生成'!I402</x:f>
        <x:v>31992</x:v>
      </x:c>
    </x:row>
    <x:row r="403" ht="14.25" customHeight="1">
      <x:c r="A403" s="4" t="n">
        <x:f>'TeamHero生成'!A403</x:f>
        <x:v>399</x:v>
      </x:c>
      <x:c r="B403" s="4" t="n">
        <x:f>'TeamHero生成'!B403</x:f>
        <x:v>1012</x:v>
      </x:c>
      <x:c r="C403" s="4" t="n">
        <x:f>'TeamHero生成'!C403</x:f>
        <x:v>50</x:v>
      </x:c>
      <x:c r="D403" s="5" t="n">
        <x:f>'TeamHero生成'!D403</x:f>
        <x:v>1759658</x:v>
      </x:c>
      <x:c r="E403" s="5" t="n">
        <x:f>'TeamHero生成'!E403</x:f>
        <x:v>26117</x:v>
      </x:c>
      <x:c r="F403" s="5" t="n">
        <x:f>'TeamHero生成'!F403</x:f>
        <x:v>32774</x:v>
      </x:c>
      <x:c r="G403" s="4" t="str">
        <x:f>'TeamHero生成'!AG403</x:f>
        <x:v>有效</x:v>
      </x:c>
      <x:c r="H403" s="4" t="n">
        <x:f>'TeamHero生成'!G403</x:f>
        <x:v>3209502</x:v>
      </x:c>
      <x:c r="I403" s="4" t="n">
        <x:f>'TeamHero生成'!H403</x:f>
        <x:v>36786</x:v>
      </x:c>
      <x:c r="J403" s="4" t="n">
        <x:f>'TeamHero生成'!I403</x:f>
        <x:v>31992</x:v>
      </x:c>
    </x:row>
    <x:row r="404" ht="14.25" customHeight="1">
      <x:c r="A404" s="4" t="n">
        <x:f>'TeamHero生成'!A404</x:f>
        <x:v>400</x:v>
      </x:c>
      <x:c r="B404" s="4" t="n">
        <x:f>'TeamHero生成'!B404</x:f>
        <x:v>1018</x:v>
      </x:c>
      <x:c r="C404" s="4" t="n">
        <x:f>'TeamHero生成'!C404</x:f>
        <x:v>50</x:v>
      </x:c>
      <x:c r="D404" s="5" t="n">
        <x:f>'TeamHero生成'!D404</x:f>
        <x:v>1759658</x:v>
      </x:c>
      <x:c r="E404" s="5" t="n">
        <x:f>'TeamHero生成'!E404</x:f>
        <x:v>26117</x:v>
      </x:c>
      <x:c r="F404" s="5" t="n">
        <x:f>'TeamHero生成'!F404</x:f>
        <x:v>32774</x:v>
      </x:c>
      <x:c r="G404" s="4" t="str">
        <x:f>'TeamHero生成'!AG404</x:f>
        <x:v>有效</x:v>
      </x:c>
      <x:c r="H404" s="4" t="n">
        <x:f>'TeamHero生成'!G404</x:f>
        <x:v>3209502</x:v>
      </x:c>
      <x:c r="I404" s="4" t="n">
        <x:f>'TeamHero生成'!H404</x:f>
        <x:v>36786</x:v>
      </x:c>
      <x:c r="J404" s="4" t="n">
        <x:f>'TeamHero生成'!I404</x:f>
        <x:v>31992</x:v>
      </x:c>
    </x:row>
    <x:row r="405" ht="14.25" customHeight="1">
      <x:c r="A405" s="4" t="n">
        <x:f>'TeamHero生成'!A405</x:f>
        <x:v>401</x:v>
      </x:c>
      <x:c r="B405" s="4" t="n">
        <x:f>'TeamHero生成'!B405</x:f>
        <x:v>1004</x:v>
      </x:c>
      <x:c r="C405" s="4" t="n">
        <x:f>'TeamHero生成'!C405</x:f>
        <x:v>50</x:v>
      </x:c>
      <x:c r="D405" s="5" t="n">
        <x:f>'TeamHero生成'!D405</x:f>
        <x:v>2125711</x:v>
      </x:c>
      <x:c r="E405" s="5" t="n">
        <x:f>'TeamHero生成'!E405</x:f>
        <x:v>26332</x:v>
      </x:c>
      <x:c r="F405" s="5" t="n">
        <x:f>'TeamHero生成'!F405</x:f>
        <x:v>39527</x:v>
      </x:c>
      <x:c r="G405" s="4" t="str">
        <x:f>'TeamHero生成'!AG405</x:f>
        <x:v>有效</x:v>
      </x:c>
      <x:c r="H405" s="4" t="n">
        <x:f>'TeamHero生成'!G405</x:f>
        <x:v>3979828</x:v>
      </x:c>
      <x:c r="I405" s="4" t="n">
        <x:f>'TeamHero生成'!H405</x:f>
        <x:v>37746</x:v>
      </x:c>
      <x:c r="J405" s="4" t="n">
        <x:f>'TeamHero生成'!I405</x:f>
        <x:v>39031</x:v>
      </x:c>
    </x:row>
    <x:row r="406" ht="14.25" customHeight="1">
      <x:c r="A406" s="4" t="n">
        <x:f>'TeamHero生成'!A406</x:f>
        <x:v>402</x:v>
      </x:c>
      <x:c r="B406" s="4" t="n">
        <x:f>'TeamHero生成'!B406</x:f>
        <x:v>1017</x:v>
      </x:c>
      <x:c r="C406" s="4" t="n">
        <x:f>'TeamHero生成'!C406</x:f>
        <x:v>50</x:v>
      </x:c>
      <x:c r="D406" s="5" t="n">
        <x:f>'TeamHero生成'!D406</x:f>
        <x:v>1417140</x:v>
      </x:c>
      <x:c r="E406" s="5" t="n">
        <x:f>'TeamHero生成'!E406</x:f>
        <x:v>31598</x:v>
      </x:c>
      <x:c r="F406" s="5" t="n">
        <x:f>'TeamHero生成'!F406</x:f>
        <x:v>26351</x:v>
      </x:c>
      <x:c r="G406" s="4" t="str">
        <x:f>'TeamHero生成'!AG406</x:f>
        <x:v>有效</x:v>
      </x:c>
      <x:c r="H406" s="4" t="n">
        <x:f>'TeamHero生成'!G406</x:f>
        <x:v>2653219</x:v>
      </x:c>
      <x:c r="I406" s="4" t="n">
        <x:f>'TeamHero生成'!H406</x:f>
        <x:v>45295</x:v>
      </x:c>
      <x:c r="J406" s="4" t="n">
        <x:f>'TeamHero生成'!I406</x:f>
        <x:v>26020</x:v>
      </x:c>
    </x:row>
    <x:row r="407" ht="14.25" customHeight="1">
      <x:c r="A407" s="4" t="n">
        <x:f>'TeamHero生成'!A407</x:f>
        <x:v>403</x:v>
      </x:c>
      <x:c r="B407" s="4" t="n">
        <x:f>'TeamHero生成'!B407</x:f>
        <x:v>1013</x:v>
      </x:c>
      <x:c r="C407" s="4" t="n">
        <x:f>'TeamHero生成'!C407</x:f>
        <x:v>50</x:v>
      </x:c>
      <x:c r="D407" s="5" t="n">
        <x:f>'TeamHero生成'!D407</x:f>
        <x:v>1417140</x:v>
      </x:c>
      <x:c r="E407" s="5" t="n">
        <x:f>'TeamHero生成'!E407</x:f>
        <x:v>31598</x:v>
      </x:c>
      <x:c r="F407" s="5" t="n">
        <x:f>'TeamHero生成'!F407</x:f>
        <x:v>26351</x:v>
      </x:c>
      <x:c r="G407" s="4" t="str">
        <x:f>'TeamHero生成'!AG407</x:f>
        <x:v>有效</x:v>
      </x:c>
      <x:c r="H407" s="4" t="n">
        <x:f>'TeamHero生成'!G407</x:f>
        <x:v>2653219</x:v>
      </x:c>
      <x:c r="I407" s="4" t="n">
        <x:f>'TeamHero生成'!H407</x:f>
        <x:v>45295</x:v>
      </x:c>
      <x:c r="J407" s="4" t="n">
        <x:f>'TeamHero生成'!I407</x:f>
        <x:v>26020</x:v>
      </x:c>
    </x:row>
    <x:row r="408" ht="14.25" customHeight="1">
      <x:c r="A408" s="4" t="n">
        <x:f>'TeamHero生成'!A408</x:f>
        <x:v>404</x:v>
      </x:c>
      <x:c r="B408" s="4" t="n">
        <x:f>'TeamHero生成'!B408</x:f>
        <x:v>1007</x:v>
      </x:c>
      <x:c r="C408" s="4" t="n">
        <x:f>'TeamHero生成'!C408</x:f>
        <x:v>50</x:v>
      </x:c>
      <x:c r="D408" s="5" t="n">
        <x:f>'TeamHero生成'!D408</x:f>
        <x:v>1771426</x:v>
      </x:c>
      <x:c r="E408" s="5" t="n">
        <x:f>'TeamHero生成'!E408</x:f>
        <x:v>26332</x:v>
      </x:c>
      <x:c r="F408" s="5" t="n">
        <x:f>'TeamHero生成'!F408</x:f>
        <x:v>32939</x:v>
      </x:c>
      <x:c r="G408" s="4" t="str">
        <x:f>'TeamHero生成'!AG408</x:f>
        <x:v>有效</x:v>
      </x:c>
      <x:c r="H408" s="4" t="n">
        <x:f>'TeamHero生成'!G408</x:f>
        <x:v>3316524</x:v>
      </x:c>
      <x:c r="I408" s="4" t="n">
        <x:f>'TeamHero生成'!H408</x:f>
        <x:v>37746</x:v>
      </x:c>
      <x:c r="J408" s="4" t="n">
        <x:f>'TeamHero生成'!I408</x:f>
        <x:v>32526</x:v>
      </x:c>
    </x:row>
    <x:row r="409" ht="14.25" customHeight="1">
      <x:c r="A409" s="4" t="n">
        <x:f>'TeamHero生成'!A409</x:f>
        <x:v>405</x:v>
      </x:c>
      <x:c r="B409" s="4" t="n">
        <x:f>'TeamHero生成'!B409</x:f>
        <x:v>1008</x:v>
      </x:c>
      <x:c r="C409" s="4" t="n">
        <x:f>'TeamHero生成'!C409</x:f>
        <x:v>50</x:v>
      </x:c>
      <x:c r="D409" s="5" t="n">
        <x:f>'TeamHero生成'!D409</x:f>
        <x:v>1417140</x:v>
      </x:c>
      <x:c r="E409" s="5" t="n">
        <x:f>'TeamHero生成'!E409</x:f>
        <x:v>31598</x:v>
      </x:c>
      <x:c r="F409" s="5" t="n">
        <x:f>'TeamHero生成'!F409</x:f>
        <x:v>26351</x:v>
      </x:c>
      <x:c r="G409" s="4" t="str">
        <x:f>'TeamHero生成'!AG409</x:f>
        <x:v>有效</x:v>
      </x:c>
      <x:c r="H409" s="4" t="n">
        <x:f>'TeamHero生成'!G409</x:f>
        <x:v>2653219</x:v>
      </x:c>
      <x:c r="I409" s="4" t="n">
        <x:f>'TeamHero生成'!H409</x:f>
        <x:v>45295</x:v>
      </x:c>
      <x:c r="J409" s="4" t="n">
        <x:f>'TeamHero生成'!I409</x:f>
        <x:v>26020</x:v>
      </x:c>
    </x:row>
    <x:row r="410" ht="14.25" customHeight="1">
      <x:c r="A410" s="4" t="n">
        <x:f>'TeamHero生成'!A410</x:f>
        <x:v>406</x:v>
      </x:c>
      <x:c r="B410" s="4" t="n">
        <x:f>'TeamHero生成'!B410</x:f>
        <x:v>1003</x:v>
      </x:c>
      <x:c r="C410" s="4" t="n">
        <x:f>'TeamHero生成'!C410</x:f>
        <x:v>51</x:v>
      </x:c>
      <x:c r="D410" s="5" t="n">
        <x:f>'TeamHero生成'!D410</x:f>
        <x:v>2183850</x:v>
      </x:c>
      <x:c r="E410" s="5" t="n">
        <x:f>'TeamHero生成'!E410</x:f>
        <x:v>26873</x:v>
      </x:c>
      <x:c r="F410" s="5" t="n">
        <x:f>'TeamHero生成'!F410</x:f>
        <x:v>39924</x:v>
      </x:c>
      <x:c r="G410" s="4" t="str">
        <x:f>'TeamHero生成'!AG410</x:f>
        <x:v>有效</x:v>
      </x:c>
      <x:c r="H410" s="4" t="n">
        <x:f>'TeamHero生成'!G410</x:f>
        <x:v>4111423</x:v>
      </x:c>
      <x:c r="I410" s="4" t="n">
        <x:f>'TeamHero生成'!H410</x:f>
        <x:v>38728</x:v>
      </x:c>
      <x:c r="J410" s="4" t="n">
        <x:f>'TeamHero生成'!I410</x:f>
        <x:v>39675</x:v>
      </x:c>
    </x:row>
    <x:row r="411" ht="14.25" customHeight="1">
      <x:c r="A411" s="4" t="n">
        <x:f>'TeamHero生成'!A411</x:f>
        <x:v>407</x:v>
      </x:c>
      <x:c r="B411" s="4" t="n">
        <x:f>'TeamHero生成'!B411</x:f>
        <x:v>1011</x:v>
      </x:c>
      <x:c r="C411" s="4" t="n">
        <x:f>'TeamHero生成'!C411</x:f>
        <x:v>51</x:v>
      </x:c>
      <x:c r="D411" s="5" t="n">
        <x:f>'TeamHero生成'!D411</x:f>
        <x:v>1819875</x:v>
      </x:c>
      <x:c r="E411" s="5" t="n">
        <x:f>'TeamHero生成'!E411</x:f>
        <x:v>26873</x:v>
      </x:c>
      <x:c r="F411" s="5" t="n">
        <x:f>'TeamHero生成'!F411</x:f>
        <x:v>33270</x:v>
      </x:c>
      <x:c r="G411" s="4" t="str">
        <x:f>'TeamHero生成'!AG411</x:f>
        <x:v>有效</x:v>
      </x:c>
      <x:c r="H411" s="4" t="n">
        <x:f>'TeamHero生成'!G411</x:f>
        <x:v>3426186</x:v>
      </x:c>
      <x:c r="I411" s="4" t="n">
        <x:f>'TeamHero生成'!H411</x:f>
        <x:v>38728</x:v>
      </x:c>
      <x:c r="J411" s="4" t="n">
        <x:f>'TeamHero生成'!I411</x:f>
        <x:v>33063</x:v>
      </x:c>
    </x:row>
    <x:row r="412" ht="14.25" customHeight="1">
      <x:c r="A412" s="4" t="n">
        <x:f>'TeamHero生成'!A412</x:f>
        <x:v>408</x:v>
      </x:c>
      <x:c r="B412" s="4" t="n">
        <x:f>'TeamHero生成'!B412</x:f>
        <x:v>1013</x:v>
      </x:c>
      <x:c r="C412" s="4" t="n">
        <x:f>'TeamHero生成'!C412</x:f>
        <x:v>51</x:v>
      </x:c>
      <x:c r="D412" s="5" t="n">
        <x:f>'TeamHero生成'!D412</x:f>
        <x:v>1455900</x:v>
      </x:c>
      <x:c r="E412" s="5" t="n">
        <x:f>'TeamHero生成'!E412</x:f>
        <x:v>32248</x:v>
      </x:c>
      <x:c r="F412" s="5" t="n">
        <x:f>'TeamHero生成'!F412</x:f>
        <x:v>26616</x:v>
      </x:c>
      <x:c r="G412" s="4" t="str">
        <x:f>'TeamHero生成'!AG412</x:f>
        <x:v>有效</x:v>
      </x:c>
      <x:c r="H412" s="4" t="n">
        <x:f>'TeamHero生成'!G412</x:f>
        <x:v>2740948</x:v>
      </x:c>
      <x:c r="I412" s="4" t="n">
        <x:f>'TeamHero生成'!H412</x:f>
        <x:v>46473</x:v>
      </x:c>
      <x:c r="J412" s="4" t="n">
        <x:f>'TeamHero生成'!I412</x:f>
        <x:v>26450</x:v>
      </x:c>
    </x:row>
    <x:row r="413" ht="14.25" customHeight="1">
      <x:c r="A413" s="4" t="n">
        <x:f>'TeamHero生成'!A413</x:f>
        <x:v>409</x:v>
      </x:c>
      <x:c r="B413" s="4" t="n">
        <x:f>'TeamHero生成'!B413</x:f>
        <x:v>1017</x:v>
      </x:c>
      <x:c r="C413" s="4" t="n">
        <x:f>'TeamHero生成'!C413</x:f>
        <x:v>51</x:v>
      </x:c>
      <x:c r="D413" s="5" t="n">
        <x:f>'TeamHero生成'!D413</x:f>
        <x:v>1455900</x:v>
      </x:c>
      <x:c r="E413" s="5" t="n">
        <x:f>'TeamHero生成'!E413</x:f>
        <x:v>32248</x:v>
      </x:c>
      <x:c r="F413" s="5" t="n">
        <x:f>'TeamHero生成'!F413</x:f>
        <x:v>26616</x:v>
      </x:c>
      <x:c r="G413" s="4" t="str">
        <x:f>'TeamHero生成'!AG413</x:f>
        <x:v>有效</x:v>
      </x:c>
      <x:c r="H413" s="4" t="n">
        <x:f>'TeamHero生成'!G413</x:f>
        <x:v>2740948</x:v>
      </x:c>
      <x:c r="I413" s="4" t="n">
        <x:f>'TeamHero生成'!H413</x:f>
        <x:v>46473</x:v>
      </x:c>
      <x:c r="J413" s="4" t="n">
        <x:f>'TeamHero生成'!I413</x:f>
        <x:v>26450</x:v>
      </x:c>
    </x:row>
    <x:row r="414" ht="14.25" customHeight="1">
      <x:c r="A414" s="4" t="n">
        <x:f>'TeamHero生成'!A414</x:f>
        <x:v>410</x:v>
      </x:c>
      <x:c r="B414" s="4" t="n">
        <x:f>'TeamHero生成'!B414</x:f>
        <x:v>1006</x:v>
      </x:c>
      <x:c r="C414" s="4" t="n">
        <x:f>'TeamHero生成'!C414</x:f>
        <x:v>51</x:v>
      </x:c>
      <x:c r="D414" s="5" t="n">
        <x:f>'TeamHero生成'!D414</x:f>
        <x:v>1455900</x:v>
      </x:c>
      <x:c r="E414" s="5" t="n">
        <x:f>'TeamHero生成'!E414</x:f>
        <x:v>32248</x:v>
      </x:c>
      <x:c r="F414" s="5" t="n">
        <x:f>'TeamHero生成'!F414</x:f>
        <x:v>26616</x:v>
      </x:c>
      <x:c r="G414" s="4" t="str">
        <x:f>'TeamHero生成'!AG414</x:f>
        <x:v>有效</x:v>
      </x:c>
      <x:c r="H414" s="4" t="n">
        <x:f>'TeamHero生成'!G414</x:f>
        <x:v>2740948</x:v>
      </x:c>
      <x:c r="I414" s="4" t="n">
        <x:f>'TeamHero生成'!H414</x:f>
        <x:v>46473</x:v>
      </x:c>
      <x:c r="J414" s="4" t="n">
        <x:f>'TeamHero生成'!I414</x:f>
        <x:v>26450</x:v>
      </x:c>
    </x:row>
    <x:row r="415" ht="14.25" customHeight="1">
      <x:c r="A415" s="4" t="n">
        <x:f>'TeamHero生成'!A415</x:f>
        <x:v>411</x:v>
      </x:c>
      <x:c r="B415" s="4" t="n">
        <x:f>'TeamHero生成'!B415</x:f>
        <x:v>1004</x:v>
      </x:c>
      <x:c r="C415" s="4" t="n">
        <x:f>'TeamHero生成'!C415</x:f>
        <x:v>51</x:v>
      </x:c>
      <x:c r="D415" s="5" t="n">
        <x:f>'TeamHero生成'!D415</x:f>
        <x:v>2202717</x:v>
      </x:c>
      <x:c r="E415" s="5" t="n">
        <x:f>'TeamHero生成'!E415</x:f>
        <x:v>27101</x:v>
      </x:c>
      <x:c r="F415" s="5" t="n">
        <x:f>'TeamHero生成'!F415</x:f>
        <x:v>40124</x:v>
      </x:c>
      <x:c r="G415" s="4" t="str">
        <x:f>'TeamHero生成'!AG415</x:f>
        <x:v>有效</x:v>
      </x:c>
      <x:c r="H415" s="4" t="n">
        <x:f>'TeamHero生成'!G415</x:f>
        <x:v>4246250</x:v>
      </x:c>
      <x:c r="I415" s="4" t="n">
        <x:f>'TeamHero生成'!H415</x:f>
        <x:v>39733</x:v>
      </x:c>
      <x:c r="J415" s="4" t="n">
        <x:f>'TeamHero生成'!I415</x:f>
        <x:v>40324</x:v>
      </x:c>
    </x:row>
    <x:row r="416" ht="14.25" customHeight="1">
      <x:c r="A416" s="4" t="n">
        <x:f>'TeamHero生成'!A416</x:f>
        <x:v>412</x:v>
      </x:c>
      <x:c r="B416" s="4" t="n">
        <x:f>'TeamHero生成'!B416</x:f>
        <x:v>1017</x:v>
      </x:c>
      <x:c r="C416" s="4" t="n">
        <x:f>'TeamHero生成'!C416</x:f>
        <x:v>51</x:v>
      </x:c>
      <x:c r="D416" s="5" t="n">
        <x:f>'TeamHero生成'!D416</x:f>
        <x:v>1468478</x:v>
      </x:c>
      <x:c r="E416" s="5" t="n">
        <x:f>'TeamHero生成'!E416</x:f>
        <x:v>32521</x:v>
      </x:c>
      <x:c r="F416" s="5" t="n">
        <x:f>'TeamHero生成'!F416</x:f>
        <x:v>26749</x:v>
      </x:c>
      <x:c r="G416" s="4" t="str">
        <x:f>'TeamHero生成'!AG416</x:f>
        <x:v>有效</x:v>
      </x:c>
      <x:c r="H416" s="4" t="n">
        <x:f>'TeamHero生成'!G416</x:f>
        <x:v>2830833</x:v>
      </x:c>
      <x:c r="I416" s="4" t="n">
        <x:f>'TeamHero生成'!H416</x:f>
        <x:v>47679</x:v>
      </x:c>
      <x:c r="J416" s="4" t="n">
        <x:f>'TeamHero生成'!I416</x:f>
        <x:v>26883</x:v>
      </x:c>
    </x:row>
    <x:row r="417" ht="14.25" customHeight="1">
      <x:c r="A417" s="4" t="n">
        <x:f>'TeamHero生成'!A417</x:f>
        <x:v>413</x:v>
      </x:c>
      <x:c r="B417" s="4" t="n">
        <x:f>'TeamHero生成'!B417</x:f>
        <x:v>1008</x:v>
      </x:c>
      <x:c r="C417" s="4" t="n">
        <x:f>'TeamHero生成'!C417</x:f>
        <x:v>51</x:v>
      </x:c>
      <x:c r="D417" s="5" t="n">
        <x:f>'TeamHero生成'!D417</x:f>
        <x:v>1468478</x:v>
      </x:c>
      <x:c r="E417" s="5" t="n">
        <x:f>'TeamHero生成'!E417</x:f>
        <x:v>32521</x:v>
      </x:c>
      <x:c r="F417" s="5" t="n">
        <x:f>'TeamHero生成'!F417</x:f>
        <x:v>26749</x:v>
      </x:c>
      <x:c r="G417" s="4" t="str">
        <x:f>'TeamHero生成'!AG417</x:f>
        <x:v>有效</x:v>
      </x:c>
      <x:c r="H417" s="4" t="n">
        <x:f>'TeamHero生成'!G417</x:f>
        <x:v>2830833</x:v>
      </x:c>
      <x:c r="I417" s="4" t="n">
        <x:f>'TeamHero生成'!H417</x:f>
        <x:v>47679</x:v>
      </x:c>
      <x:c r="J417" s="4" t="n">
        <x:f>'TeamHero生成'!I417</x:f>
        <x:v>26883</x:v>
      </x:c>
    </x:row>
    <x:row r="418" ht="14.25" customHeight="1">
      <x:c r="A418" s="4" t="n">
        <x:f>'TeamHero生成'!A418</x:f>
        <x:v>414</x:v>
      </x:c>
      <x:c r="B418" s="4" t="n">
        <x:f>'TeamHero生成'!B418</x:f>
        <x:v>1011</x:v>
      </x:c>
      <x:c r="C418" s="4" t="n">
        <x:f>'TeamHero生成'!C418</x:f>
        <x:v>51</x:v>
      </x:c>
      <x:c r="D418" s="5" t="n">
        <x:f>'TeamHero生成'!D418</x:f>
        <x:v>1835597</x:v>
      </x:c>
      <x:c r="E418" s="5" t="n">
        <x:f>'TeamHero生成'!E418</x:f>
        <x:v>27101</x:v>
      </x:c>
      <x:c r="F418" s="5" t="n">
        <x:f>'TeamHero生成'!F418</x:f>
        <x:v>33436</x:v>
      </x:c>
      <x:c r="G418" s="4" t="str">
        <x:f>'TeamHero生成'!AG418</x:f>
        <x:v>有效</x:v>
      </x:c>
      <x:c r="H418" s="4" t="n">
        <x:f>'TeamHero生成'!G418</x:f>
        <x:v>3538542</x:v>
      </x:c>
      <x:c r="I418" s="4" t="n">
        <x:f>'TeamHero生成'!H418</x:f>
        <x:v>39733</x:v>
      </x:c>
      <x:c r="J418" s="4" t="n">
        <x:f>'TeamHero生成'!I418</x:f>
        <x:v>33604</x:v>
      </x:c>
    </x:row>
    <x:row r="419" ht="14.25" customHeight="1">
      <x:c r="A419" s="4" t="n">
        <x:f>'TeamHero生成'!A419</x:f>
        <x:v>415</x:v>
      </x:c>
      <x:c r="B419" s="4" t="n">
        <x:f>'TeamHero生成'!B419</x:f>
        <x:v>1006</x:v>
      </x:c>
      <x:c r="C419" s="4" t="n">
        <x:f>'TeamHero生成'!C419</x:f>
        <x:v>51</x:v>
      </x:c>
      <x:c r="D419" s="5" t="n">
        <x:f>'TeamHero生成'!D419</x:f>
        <x:v>1468478</x:v>
      </x:c>
      <x:c r="E419" s="5" t="n">
        <x:f>'TeamHero生成'!E419</x:f>
        <x:v>32521</x:v>
      </x:c>
      <x:c r="F419" s="5" t="n">
        <x:f>'TeamHero生成'!F419</x:f>
        <x:v>26749</x:v>
      </x:c>
      <x:c r="G419" s="4" t="str">
        <x:f>'TeamHero生成'!AG419</x:f>
        <x:v>有效</x:v>
      </x:c>
      <x:c r="H419" s="4" t="n">
        <x:f>'TeamHero生成'!G419</x:f>
        <x:v>2830833</x:v>
      </x:c>
      <x:c r="I419" s="4" t="n">
        <x:f>'TeamHero生成'!H419</x:f>
        <x:v>47679</x:v>
      </x:c>
      <x:c r="J419" s="4" t="n">
        <x:f>'TeamHero生成'!I419</x:f>
        <x:v>26883</x:v>
      </x:c>
    </x:row>
    <x:row r="420" ht="14.25" customHeight="1">
      <x:c r="A420" s="4" t="n">
        <x:f>'TeamHero生成'!A420</x:f>
        <x:v>416</x:v>
      </x:c>
      <x:c r="B420" s="4" t="n">
        <x:f>'TeamHero生成'!B420</x:f>
        <x:v>1003</x:v>
      </x:c>
      <x:c r="C420" s="4" t="n">
        <x:f>'TeamHero生成'!C420</x:f>
        <x:v>52</x:v>
      </x:c>
      <x:c r="D420" s="5" t="n">
        <x:f>'TeamHero生成'!D420</x:f>
        <x:v>2222466</x:v>
      </x:c>
      <x:c r="E420" s="5" t="n">
        <x:f>'TeamHero生成'!E420</x:f>
        <x:v>27339</x:v>
      </x:c>
      <x:c r="F420" s="5" t="n">
        <x:f>'TeamHero生成'!F420</x:f>
        <x:v>40322</x:v>
      </x:c>
      <x:c r="G420" s="4" t="str">
        <x:f>'TeamHero生成'!AG420</x:f>
        <x:v>有效</x:v>
      </x:c>
      <x:c r="H420" s="4" t="n">
        <x:f>'TeamHero生成'!G420</x:f>
        <x:v>4384360</x:v>
      </x:c>
      <x:c r="I420" s="4" t="n">
        <x:f>'TeamHero生成'!H420</x:f>
        <x:v>40762</x:v>
      </x:c>
      <x:c r="J420" s="4" t="n">
        <x:f>'TeamHero生成'!I420</x:f>
        <x:v>40977</x:v>
      </x:c>
    </x:row>
    <x:row r="421" ht="14.25" customHeight="1">
      <x:c r="A421" s="4" t="n">
        <x:f>'TeamHero生成'!A421</x:f>
        <x:v>417</x:v>
      </x:c>
      <x:c r="B421" s="4" t="n">
        <x:f>'TeamHero生成'!B421</x:f>
        <x:v>1008</x:v>
      </x:c>
      <x:c r="C421" s="4" t="n">
        <x:f>'TeamHero生成'!C421</x:f>
        <x:v>52</x:v>
      </x:c>
      <x:c r="D421" s="5" t="n">
        <x:f>'TeamHero生成'!D421</x:f>
        <x:v>1481644</x:v>
      </x:c>
      <x:c r="E421" s="5" t="n">
        <x:f>'TeamHero生成'!E421</x:f>
        <x:v>32806</x:v>
      </x:c>
      <x:c r="F421" s="5" t="n">
        <x:f>'TeamHero生成'!F421</x:f>
        <x:v>26881</x:v>
      </x:c>
      <x:c r="G421" s="4" t="str">
        <x:f>'TeamHero生成'!AG421</x:f>
        <x:v>有效</x:v>
      </x:c>
      <x:c r="H421" s="4" t="n">
        <x:f>'TeamHero生成'!G421</x:f>
        <x:v>2922907</x:v>
      </x:c>
      <x:c r="I421" s="4" t="n">
        <x:f>'TeamHero生成'!H421</x:f>
        <x:v>48914</x:v>
      </x:c>
      <x:c r="J421" s="4" t="n">
        <x:f>'TeamHero生成'!I421</x:f>
        <x:v>27318</x:v>
      </x:c>
    </x:row>
    <x:row r="422" ht="14.25" customHeight="1">
      <x:c r="A422" s="4" t="n">
        <x:f>'TeamHero生成'!A422</x:f>
        <x:v>418</x:v>
      </x:c>
      <x:c r="B422" s="4" t="n">
        <x:f>'TeamHero生成'!B422</x:f>
        <x:v>1008</x:v>
      </x:c>
      <x:c r="C422" s="4" t="n">
        <x:f>'TeamHero生成'!C422</x:f>
        <x:v>52</x:v>
      </x:c>
      <x:c r="D422" s="5" t="n">
        <x:f>'TeamHero生成'!D422</x:f>
        <x:v>1481644</x:v>
      </x:c>
      <x:c r="E422" s="5" t="n">
        <x:f>'TeamHero生成'!E422</x:f>
        <x:v>32806</x:v>
      </x:c>
      <x:c r="F422" s="5" t="n">
        <x:f>'TeamHero生成'!F422</x:f>
        <x:v>26881</x:v>
      </x:c>
      <x:c r="G422" s="4" t="str">
        <x:f>'TeamHero生成'!AG422</x:f>
        <x:v>有效</x:v>
      </x:c>
      <x:c r="H422" s="4" t="n">
        <x:f>'TeamHero生成'!G422</x:f>
        <x:v>2922907</x:v>
      </x:c>
      <x:c r="I422" s="4" t="n">
        <x:f>'TeamHero生成'!H422</x:f>
        <x:v>48914</x:v>
      </x:c>
      <x:c r="J422" s="4" t="n">
        <x:f>'TeamHero生成'!I422</x:f>
        <x:v>27318</x:v>
      </x:c>
    </x:row>
    <x:row r="423" ht="14.25" customHeight="1">
      <x:c r="A423" s="4" t="n">
        <x:f>'TeamHero生成'!A423</x:f>
        <x:v>419</x:v>
      </x:c>
      <x:c r="B423" s="4" t="n">
        <x:f>'TeamHero生成'!B423</x:f>
        <x:v>1007</x:v>
      </x:c>
      <x:c r="C423" s="4" t="n">
        <x:f>'TeamHero生成'!C423</x:f>
        <x:v>52</x:v>
      </x:c>
      <x:c r="D423" s="5" t="n">
        <x:f>'TeamHero生成'!D423</x:f>
        <x:v>1852055</x:v>
      </x:c>
      <x:c r="E423" s="5" t="n">
        <x:f>'TeamHero生成'!E423</x:f>
        <x:v>27339</x:v>
      </x:c>
      <x:c r="F423" s="5" t="n">
        <x:f>'TeamHero生成'!F423</x:f>
        <x:v>33601</x:v>
      </x:c>
      <x:c r="G423" s="4" t="str">
        <x:f>'TeamHero生成'!AG423</x:f>
        <x:v>有效</x:v>
      </x:c>
      <x:c r="H423" s="4" t="n">
        <x:f>'TeamHero生成'!G423</x:f>
        <x:v>3653634</x:v>
      </x:c>
      <x:c r="I423" s="4" t="n">
        <x:f>'TeamHero生成'!H423</x:f>
        <x:v>40762</x:v>
      </x:c>
      <x:c r="J423" s="4" t="n">
        <x:f>'TeamHero生成'!I423</x:f>
        <x:v>34148</x:v>
      </x:c>
    </x:row>
    <x:row r="424" ht="14.25" customHeight="1">
      <x:c r="A424" s="4" t="n">
        <x:f>'TeamHero生成'!A424</x:f>
        <x:v>420</x:v>
      </x:c>
      <x:c r="B424" s="4" t="n">
        <x:f>'TeamHero生成'!B424</x:f>
        <x:v>1017</x:v>
      </x:c>
      <x:c r="C424" s="4" t="n">
        <x:f>'TeamHero生成'!C424</x:f>
        <x:v>52</x:v>
      </x:c>
      <x:c r="D424" s="5" t="n">
        <x:f>'TeamHero生成'!D424</x:f>
        <x:v>1481644</x:v>
      </x:c>
      <x:c r="E424" s="5" t="n">
        <x:f>'TeamHero生成'!E424</x:f>
        <x:v>32806</x:v>
      </x:c>
      <x:c r="F424" s="5" t="n">
        <x:f>'TeamHero生成'!F424</x:f>
        <x:v>26881</x:v>
      </x:c>
      <x:c r="G424" s="4" t="str">
        <x:f>'TeamHero生成'!AG424</x:f>
        <x:v>有效</x:v>
      </x:c>
      <x:c r="H424" s="4" t="n">
        <x:f>'TeamHero生成'!G424</x:f>
        <x:v>2922907</x:v>
      </x:c>
      <x:c r="I424" s="4" t="n">
        <x:f>'TeamHero生成'!H424</x:f>
        <x:v>48914</x:v>
      </x:c>
      <x:c r="J424" s="4" t="n">
        <x:f>'TeamHero生成'!I424</x:f>
        <x:v>27318</x:v>
      </x:c>
    </x:row>
    <x:row r="425" ht="14.25" customHeight="1">
      <x:c r="A425" s="4" t="n">
        <x:f>'TeamHero生成'!A425</x:f>
        <x:v>421</x:v>
      </x:c>
      <x:c r="B425" s="4" t="n">
        <x:f>'TeamHero生成'!B425</x:f>
        <x:v>1004</x:v>
      </x:c>
      <x:c r="C425" s="4" t="n">
        <x:f>'TeamHero生成'!C425</x:f>
        <x:v>52</x:v>
      </x:c>
      <x:c r="D425" s="5" t="n">
        <x:f>'TeamHero生成'!D425</x:f>
        <x:v>2266920</x:v>
      </x:c>
      <x:c r="E425" s="5" t="n">
        <x:f>'TeamHero生成'!E425</x:f>
        <x:v>27789</x:v>
      </x:c>
      <x:c r="F425" s="5" t="n">
        <x:f>'TeamHero生成'!F425</x:f>
        <x:v>40722</x:v>
      </x:c>
      <x:c r="G425" s="4" t="str">
        <x:f>'TeamHero生成'!AG425</x:f>
        <x:v>有效</x:v>
      </x:c>
      <x:c r="H425" s="4" t="n">
        <x:f>'TeamHero生成'!G425</x:f>
        <x:v>4525812</x:v>
      </x:c>
      <x:c r="I425" s="4" t="n">
        <x:f>'TeamHero生成'!H425</x:f>
        <x:v>41816</x:v>
      </x:c>
      <x:c r="J425" s="4" t="n">
        <x:f>'TeamHero生成'!I425</x:f>
        <x:v>41635</x:v>
      </x:c>
    </x:row>
    <x:row r="426" ht="14.25" customHeight="1">
      <x:c r="A426" s="4" t="n">
        <x:f>'TeamHero生成'!A426</x:f>
        <x:v>422</x:v>
      </x:c>
      <x:c r="B426" s="4" t="n">
        <x:f>'TeamHero生成'!B426</x:f>
        <x:v>1005</x:v>
      </x:c>
      <x:c r="C426" s="4" t="n">
        <x:f>'TeamHero生成'!C426</x:f>
        <x:v>52</x:v>
      </x:c>
      <x:c r="D426" s="5" t="n">
        <x:f>'TeamHero生成'!D426</x:f>
        <x:v>1511280</x:v>
      </x:c>
      <x:c r="E426" s="5" t="n">
        <x:f>'TeamHero生成'!E426</x:f>
        <x:v>33347</x:v>
      </x:c>
      <x:c r="F426" s="5" t="n">
        <x:f>'TeamHero生成'!F426</x:f>
        <x:v>27148</x:v>
      </x:c>
      <x:c r="G426" s="4" t="str">
        <x:f>'TeamHero生成'!AG426</x:f>
        <x:v>有效</x:v>
      </x:c>
      <x:c r="H426" s="4" t="n">
        <x:f>'TeamHero生成'!G426</x:f>
        <x:v>3017208</x:v>
      </x:c>
      <x:c r="I426" s="4" t="n">
        <x:f>'TeamHero生成'!H426</x:f>
        <x:v>50179</x:v>
      </x:c>
      <x:c r="J426" s="4" t="n">
        <x:f>'TeamHero生成'!I426</x:f>
        <x:v>27756</x:v>
      </x:c>
    </x:row>
    <x:row r="427" ht="14.25" customHeight="1">
      <x:c r="A427" s="4" t="n">
        <x:f>'TeamHero生成'!A427</x:f>
        <x:v>423</x:v>
      </x:c>
      <x:c r="B427" s="4" t="n">
        <x:f>'TeamHero生成'!B427</x:f>
        <x:v>1005</x:v>
      </x:c>
      <x:c r="C427" s="4" t="n">
        <x:f>'TeamHero生成'!C427</x:f>
        <x:v>52</x:v>
      </x:c>
      <x:c r="D427" s="5" t="n">
        <x:f>'TeamHero生成'!D427</x:f>
        <x:v>1511280</x:v>
      </x:c>
      <x:c r="E427" s="5" t="n">
        <x:f>'TeamHero生成'!E427</x:f>
        <x:v>33347</x:v>
      </x:c>
      <x:c r="F427" s="5" t="n">
        <x:f>'TeamHero生成'!F427</x:f>
        <x:v>27148</x:v>
      </x:c>
      <x:c r="G427" s="4" t="str">
        <x:f>'TeamHero生成'!AG427</x:f>
        <x:v>有效</x:v>
      </x:c>
      <x:c r="H427" s="4" t="n">
        <x:f>'TeamHero生成'!G427</x:f>
        <x:v>3017208</x:v>
      </x:c>
      <x:c r="I427" s="4" t="n">
        <x:f>'TeamHero生成'!H427</x:f>
        <x:v>50179</x:v>
      </x:c>
      <x:c r="J427" s="4" t="n">
        <x:f>'TeamHero生成'!I427</x:f>
        <x:v>27756</x:v>
      </x:c>
    </x:row>
    <x:row r="428" ht="14.25" customHeight="1">
      <x:c r="A428" s="4" t="n">
        <x:f>'TeamHero生成'!A428</x:f>
        <x:v>424</x:v>
      </x:c>
      <x:c r="B428" s="4" t="n">
        <x:f>'TeamHero生成'!B428</x:f>
        <x:v>1007</x:v>
      </x:c>
      <x:c r="C428" s="4" t="n">
        <x:f>'TeamHero生成'!C428</x:f>
        <x:v>52</x:v>
      </x:c>
      <x:c r="D428" s="5" t="n">
        <x:f>'TeamHero生成'!D428</x:f>
        <x:v>1889100</x:v>
      </x:c>
      <x:c r="E428" s="5" t="n">
        <x:f>'TeamHero生成'!E428</x:f>
        <x:v>27789</x:v>
      </x:c>
      <x:c r="F428" s="5" t="n">
        <x:f>'TeamHero生成'!F428</x:f>
        <x:v>33935</x:v>
      </x:c>
      <x:c r="G428" s="4" t="str">
        <x:f>'TeamHero生成'!AG428</x:f>
        <x:v>有效</x:v>
      </x:c>
      <x:c r="H428" s="4" t="n">
        <x:f>'TeamHero生成'!G428</x:f>
        <x:v>3771510</x:v>
      </x:c>
      <x:c r="I428" s="4" t="n">
        <x:f>'TeamHero生成'!H428</x:f>
        <x:v>41816</x:v>
      </x:c>
      <x:c r="J428" s="4" t="n">
        <x:f>'TeamHero生成'!I428</x:f>
        <x:v>34696</x:v>
      </x:c>
    </x:row>
    <x:row r="429" ht="14.25" customHeight="1">
      <x:c r="A429" s="4" t="n">
        <x:f>'TeamHero生成'!A429</x:f>
        <x:v>425</x:v>
      </x:c>
      <x:c r="B429" s="4" t="n">
        <x:f>'TeamHero生成'!B429</x:f>
        <x:v>1040</x:v>
      </x:c>
      <x:c r="C429" s="4" t="n">
        <x:f>'TeamHero生成'!C429</x:f>
        <x:v>52</x:v>
      </x:c>
      <x:c r="D429" s="5" t="n">
        <x:f>'TeamHero生成'!D429</x:f>
        <x:v>1889100</x:v>
      </x:c>
      <x:c r="E429" s="5" t="n">
        <x:f>'TeamHero生成'!E429</x:f>
        <x:v>27789</x:v>
      </x:c>
      <x:c r="F429" s="5" t="n">
        <x:f>'TeamHero生成'!F429</x:f>
        <x:v>33935</x:v>
      </x:c>
      <x:c r="G429" s="4" t="str">
        <x:f>'TeamHero生成'!AG429</x:f>
        <x:v>有效</x:v>
      </x:c>
      <x:c r="H429" s="4" t="n">
        <x:f>'TeamHero生成'!G429</x:f>
        <x:v>3771510</x:v>
      </x:c>
      <x:c r="I429" s="4" t="n">
        <x:f>'TeamHero生成'!H429</x:f>
        <x:v>41816</x:v>
      </x:c>
      <x:c r="J429" s="4" t="n">
        <x:f>'TeamHero生成'!I429</x:f>
        <x:v>34696</x:v>
      </x:c>
    </x:row>
    <x:row r="430" ht="14.25" customHeight="1">
      <x:c r="A430" s="4" t="n">
        <x:f>'TeamHero生成'!A430</x:f>
        <x:v>426</x:v>
      </x:c>
      <x:c r="B430" s="4" t="n">
        <x:f>'TeamHero生成'!B430</x:f>
        <x:v>1003</x:v>
      </x:c>
      <x:c r="C430" s="4" t="n">
        <x:f>'TeamHero生成'!C430</x:f>
        <x:v>53</x:v>
      </x:c>
      <x:c r="D430" s="5" t="n">
        <x:f>'TeamHero生成'!D430</x:f>
        <x:v>2284482</x:v>
      </x:c>
      <x:c r="E430" s="5" t="n">
        <x:f>'TeamHero生成'!E430</x:f>
        <x:v>28019</x:v>
      </x:c>
      <x:c r="F430" s="5" t="n">
        <x:f>'TeamHero生成'!F430</x:f>
        <x:v>40922</x:v>
      </x:c>
      <x:c r="G430" s="4" t="str">
        <x:f>'TeamHero生成'!AG430</x:f>
        <x:v>有效</x:v>
      </x:c>
      <x:c r="H430" s="4" t="n">
        <x:f>'TeamHero生成'!G430</x:f>
        <x:v>4670668</x:v>
      </x:c>
      <x:c r="I430" s="4" t="n">
        <x:f>'TeamHero生成'!H430</x:f>
        <x:v>42895</x:v>
      </x:c>
      <x:c r="J430" s="4" t="n">
        <x:f>'TeamHero生成'!I430</x:f>
        <x:v>42297</x:v>
      </x:c>
    </x:row>
    <x:row r="431" ht="14.25" customHeight="1">
      <x:c r="A431" s="4" t="n">
        <x:f>'TeamHero生成'!A431</x:f>
        <x:v>427</x:v>
      </x:c>
      <x:c r="B431" s="4" t="n">
        <x:f>'TeamHero生成'!B431</x:f>
        <x:v>1001</x:v>
      </x:c>
      <x:c r="C431" s="4" t="n">
        <x:f>'TeamHero生成'!C431</x:f>
        <x:v>53</x:v>
      </x:c>
      <x:c r="D431" s="5" t="n">
        <x:f>'TeamHero生成'!D431</x:f>
        <x:v>1522988</x:v>
      </x:c>
      <x:c r="E431" s="5" t="n">
        <x:f>'TeamHero生成'!E431</x:f>
        <x:v>33622</x:v>
      </x:c>
      <x:c r="F431" s="5" t="n">
        <x:f>'TeamHero生成'!F431</x:f>
        <x:v>27281</x:v>
      </x:c>
      <x:c r="G431" s="4" t="str">
        <x:f>'TeamHero生成'!AG431</x:f>
        <x:v>有效</x:v>
      </x:c>
      <x:c r="H431" s="4" t="n">
        <x:f>'TeamHero生成'!G431</x:f>
        <x:v>3113779</x:v>
      </x:c>
      <x:c r="I431" s="4" t="n">
        <x:f>'TeamHero生成'!H431</x:f>
        <x:v>51474</x:v>
      </x:c>
      <x:c r="J431" s="4" t="n">
        <x:f>'TeamHero生成'!I431</x:f>
        <x:v>28198</x:v>
      </x:c>
    </x:row>
    <x:row r="432" ht="14.25" customHeight="1">
      <x:c r="A432" s="4" t="n">
        <x:f>'TeamHero生成'!A432</x:f>
        <x:v>428</x:v>
      </x:c>
      <x:c r="B432" s="4" t="n">
        <x:f>'TeamHero生成'!B432</x:f>
        <x:v>1011</x:v>
      </x:c>
      <x:c r="C432" s="4" t="n">
        <x:f>'TeamHero生成'!C432</x:f>
        <x:v>53</x:v>
      </x:c>
      <x:c r="D432" s="5" t="n">
        <x:f>'TeamHero生成'!D432</x:f>
        <x:v>1903735</x:v>
      </x:c>
      <x:c r="E432" s="5" t="n">
        <x:f>'TeamHero生成'!E432</x:f>
        <x:v>28019</x:v>
      </x:c>
      <x:c r="F432" s="5" t="n">
        <x:f>'TeamHero生成'!F432</x:f>
        <x:v>34101</x:v>
      </x:c>
      <x:c r="G432" s="4" t="str">
        <x:f>'TeamHero生成'!AG432</x:f>
        <x:v>有效</x:v>
      </x:c>
      <x:c r="H432" s="4" t="n">
        <x:f>'TeamHero生成'!G432</x:f>
        <x:v>3892224</x:v>
      </x:c>
      <x:c r="I432" s="4" t="n">
        <x:f>'TeamHero生成'!H432</x:f>
        <x:v>42895</x:v>
      </x:c>
      <x:c r="J432" s="4" t="n">
        <x:f>'TeamHero生成'!I432</x:f>
        <x:v>35248</x:v>
      </x:c>
    </x:row>
    <x:row r="433" ht="14.25" customHeight="1">
      <x:c r="A433" s="4" t="n">
        <x:f>'TeamHero生成'!A433</x:f>
        <x:v>429</x:v>
      </x:c>
      <x:c r="B433" s="4" t="n">
        <x:f>'TeamHero生成'!B433</x:f>
        <x:v>1013</x:v>
      </x:c>
      <x:c r="C433" s="4" t="n">
        <x:f>'TeamHero生成'!C433</x:f>
        <x:v>53</x:v>
      </x:c>
      <x:c r="D433" s="5" t="n">
        <x:f>'TeamHero生成'!D433</x:f>
        <x:v>1522988</x:v>
      </x:c>
      <x:c r="E433" s="5" t="n">
        <x:f>'TeamHero生成'!E433</x:f>
        <x:v>33622</x:v>
      </x:c>
      <x:c r="F433" s="5" t="n">
        <x:f>'TeamHero生成'!F433</x:f>
        <x:v>27281</x:v>
      </x:c>
      <x:c r="G433" s="4" t="str">
        <x:f>'TeamHero生成'!AG433</x:f>
        <x:v>有效</x:v>
      </x:c>
      <x:c r="H433" s="4" t="n">
        <x:f>'TeamHero生成'!G433</x:f>
        <x:v>3113779</x:v>
      </x:c>
      <x:c r="I433" s="4" t="n">
        <x:f>'TeamHero生成'!H433</x:f>
        <x:v>51474</x:v>
      </x:c>
      <x:c r="J433" s="4" t="n">
        <x:f>'TeamHero生成'!I433</x:f>
        <x:v>28198</x:v>
      </x:c>
    </x:row>
    <x:row r="434" ht="14.25" customHeight="1">
      <x:c r="A434" s="4" t="n">
        <x:f>'TeamHero生成'!A434</x:f>
        <x:v>430</x:v>
      </x:c>
      <x:c r="B434" s="4" t="n">
        <x:f>'TeamHero生成'!B434</x:f>
        <x:v>1005</x:v>
      </x:c>
      <x:c r="C434" s="4" t="n">
        <x:f>'TeamHero生成'!C434</x:f>
        <x:v>53</x:v>
      </x:c>
      <x:c r="D434" s="5" t="n">
        <x:f>'TeamHero生成'!D434</x:f>
        <x:v>1522988</x:v>
      </x:c>
      <x:c r="E434" s="5" t="n">
        <x:f>'TeamHero生成'!E434</x:f>
        <x:v>33622</x:v>
      </x:c>
      <x:c r="F434" s="5" t="n">
        <x:f>'TeamHero生成'!F434</x:f>
        <x:v>27281</x:v>
      </x:c>
      <x:c r="G434" s="4" t="str">
        <x:f>'TeamHero生成'!AG434</x:f>
        <x:v>有效</x:v>
      </x:c>
      <x:c r="H434" s="4" t="n">
        <x:f>'TeamHero生成'!G434</x:f>
        <x:v>3113779</x:v>
      </x:c>
      <x:c r="I434" s="4" t="n">
        <x:f>'TeamHero生成'!H434</x:f>
        <x:v>51474</x:v>
      </x:c>
      <x:c r="J434" s="4" t="n">
        <x:f>'TeamHero生成'!I434</x:f>
        <x:v>28198</x:v>
      </x:c>
    </x:row>
    <x:row r="435" ht="14.25" customHeight="1">
      <x:c r="A435" s="4" t="n">
        <x:f>'TeamHero生成'!A435</x:f>
        <x:v>431</x:v>
      </x:c>
      <x:c r="B435" s="4" t="n">
        <x:f>'TeamHero生成'!B435</x:f>
        <x:v>1004</x:v>
      </x:c>
      <x:c r="C435" s="4" t="n">
        <x:f>'TeamHero生成'!C435</x:f>
        <x:v>53</x:v>
      </x:c>
      <x:c r="D435" s="5" t="n">
        <x:f>'TeamHero生成'!D435</x:f>
        <x:v>2304153</x:v>
      </x:c>
      <x:c r="E435" s="5" t="n">
        <x:f>'TeamHero生成'!E435</x:f>
        <x:v>28256</x:v>
      </x:c>
      <x:c r="F435" s="5" t="n">
        <x:f>'TeamHero生成'!F435</x:f>
        <x:v>41123</x:v>
      </x:c>
      <x:c r="G435" s="4" t="str">
        <x:f>'TeamHero生成'!AG435</x:f>
        <x:v>有效</x:v>
      </x:c>
      <x:c r="H435" s="4" t="n">
        <x:f>'TeamHero生成'!G435</x:f>
        <x:v>4818981</x:v>
      </x:c>
      <x:c r="I435" s="4" t="n">
        <x:f>'TeamHero生成'!H435</x:f>
        <x:v>43999</x:v>
      </x:c>
      <x:c r="J435" s="4" t="n">
        <x:f>'TeamHero生成'!I435</x:f>
        <x:v>42963</x:v>
      </x:c>
    </x:row>
    <x:row r="436" ht="14.25" customHeight="1">
      <x:c r="A436" s="4" t="n">
        <x:f>'TeamHero生成'!A436</x:f>
        <x:v>432</x:v>
      </x:c>
      <x:c r="B436" s="4" t="n">
        <x:f>'TeamHero生成'!B436</x:f>
        <x:v>1011</x:v>
      </x:c>
      <x:c r="C436" s="4" t="n">
        <x:f>'TeamHero生成'!C436</x:f>
        <x:v>53</x:v>
      </x:c>
      <x:c r="D436" s="5" t="n">
        <x:f>'TeamHero生成'!D436</x:f>
        <x:v>1920127</x:v>
      </x:c>
      <x:c r="E436" s="5" t="n">
        <x:f>'TeamHero生成'!E436</x:f>
        <x:v>28256</x:v>
      </x:c>
      <x:c r="F436" s="5" t="n">
        <x:f>'TeamHero生成'!F436</x:f>
        <x:v>34269</x:v>
      </x:c>
      <x:c r="G436" s="4" t="str">
        <x:f>'TeamHero生成'!AG436</x:f>
        <x:v>有效</x:v>
      </x:c>
      <x:c r="H436" s="4" t="n">
        <x:f>'TeamHero生成'!G436</x:f>
        <x:v>4015818</x:v>
      </x:c>
      <x:c r="I436" s="4" t="n">
        <x:f>'TeamHero生成'!H436</x:f>
        <x:v>43999</x:v>
      </x:c>
      <x:c r="J436" s="4" t="n">
        <x:f>'TeamHero生成'!I436</x:f>
        <x:v>35803</x:v>
      </x:c>
    </x:row>
    <x:row r="437" ht="14.25" customHeight="1">
      <x:c r="A437" s="4" t="n">
        <x:f>'TeamHero生成'!A437</x:f>
        <x:v>433</x:v>
      </x:c>
      <x:c r="B437" s="4" t="n">
        <x:f>'TeamHero生成'!B437</x:f>
        <x:v>1008</x:v>
      </x:c>
      <x:c r="C437" s="4" t="n">
        <x:f>'TeamHero生成'!C437</x:f>
        <x:v>53</x:v>
      </x:c>
      <x:c r="D437" s="5" t="n">
        <x:f>'TeamHero生成'!D437</x:f>
        <x:v>1536102</x:v>
      </x:c>
      <x:c r="E437" s="5" t="n">
        <x:f>'TeamHero生成'!E437</x:f>
        <x:v>33907</x:v>
      </x:c>
      <x:c r="F437" s="5" t="n">
        <x:f>'TeamHero生成'!F437</x:f>
        <x:v>27415</x:v>
      </x:c>
      <x:c r="G437" s="4" t="str">
        <x:f>'TeamHero生成'!AG437</x:f>
        <x:v>有效</x:v>
      </x:c>
      <x:c r="H437" s="4" t="n">
        <x:f>'TeamHero生成'!G437</x:f>
        <x:v>3212654</x:v>
      </x:c>
      <x:c r="I437" s="4" t="n">
        <x:f>'TeamHero生成'!H437</x:f>
        <x:v>52798</x:v>
      </x:c>
      <x:c r="J437" s="4" t="n">
        <x:f>'TeamHero生成'!I437</x:f>
        <x:v>28642</x:v>
      </x:c>
    </x:row>
    <x:row r="438" ht="14.25" customHeight="1">
      <x:c r="A438" s="4" t="n">
        <x:f>'TeamHero生成'!A438</x:f>
        <x:v>434</x:v>
      </x:c>
      <x:c r="B438" s="4" t="n">
        <x:f>'TeamHero生成'!B438</x:f>
        <x:v>1006</x:v>
      </x:c>
      <x:c r="C438" s="4" t="n">
        <x:f>'TeamHero生成'!C438</x:f>
        <x:v>53</x:v>
      </x:c>
      <x:c r="D438" s="5" t="n">
        <x:f>'TeamHero生成'!D438</x:f>
        <x:v>1536102</x:v>
      </x:c>
      <x:c r="E438" s="5" t="n">
        <x:f>'TeamHero生成'!E438</x:f>
        <x:v>33907</x:v>
      </x:c>
      <x:c r="F438" s="5" t="n">
        <x:f>'TeamHero生成'!F438</x:f>
        <x:v>27415</x:v>
      </x:c>
      <x:c r="G438" s="4" t="str">
        <x:f>'TeamHero生成'!AG438</x:f>
        <x:v>有效</x:v>
      </x:c>
      <x:c r="H438" s="4" t="n">
        <x:f>'TeamHero生成'!G438</x:f>
        <x:v>3212654</x:v>
      </x:c>
      <x:c r="I438" s="4" t="n">
        <x:f>'TeamHero生成'!H438</x:f>
        <x:v>52798</x:v>
      </x:c>
      <x:c r="J438" s="4" t="n">
        <x:f>'TeamHero生成'!I438</x:f>
        <x:v>28642</x:v>
      </x:c>
    </x:row>
    <x:row r="439" ht="14.25" customHeight="1">
      <x:c r="A439" s="4" t="n">
        <x:f>'TeamHero生成'!A439</x:f>
        <x:v>435</x:v>
      </x:c>
      <x:c r="B439" s="4" t="n">
        <x:f>'TeamHero生成'!B439</x:f>
        <x:v>1005</x:v>
      </x:c>
      <x:c r="C439" s="4" t="n">
        <x:f>'TeamHero生成'!C439</x:f>
        <x:v>53</x:v>
      </x:c>
      <x:c r="D439" s="5" t="n">
        <x:f>'TeamHero生成'!D439</x:f>
        <x:v>1536102</x:v>
      </x:c>
      <x:c r="E439" s="5" t="n">
        <x:f>'TeamHero生成'!E439</x:f>
        <x:v>33907</x:v>
      </x:c>
      <x:c r="F439" s="5" t="n">
        <x:f>'TeamHero生成'!F439</x:f>
        <x:v>27415</x:v>
      </x:c>
      <x:c r="G439" s="4" t="str">
        <x:f>'TeamHero生成'!AG439</x:f>
        <x:v>有效</x:v>
      </x:c>
      <x:c r="H439" s="4" t="n">
        <x:f>'TeamHero生成'!G439</x:f>
        <x:v>3212654</x:v>
      </x:c>
      <x:c r="I439" s="4" t="n">
        <x:f>'TeamHero生成'!H439</x:f>
        <x:v>52798</x:v>
      </x:c>
      <x:c r="J439" s="4" t="n">
        <x:f>'TeamHero生成'!I439</x:f>
        <x:v>28642</x:v>
      </x:c>
    </x:row>
    <x:row r="440" ht="14.25" customHeight="1">
      <x:c r="A440" s="4" t="n">
        <x:f>'TeamHero生成'!A440</x:f>
        <x:v>436</x:v>
      </x:c>
      <x:c r="B440" s="4" t="n">
        <x:f>'TeamHero生成'!B440</x:f>
        <x:v>1004</x:v>
      </x:c>
      <x:c r="C440" s="4" t="n">
        <x:f>'TeamHero生成'!C440</x:f>
        <x:v>54</x:v>
      </x:c>
      <x:c r="D440" s="5" t="n">
        <x:f>'TeamHero生成'!D440</x:f>
        <x:v>2324608</x:v>
      </x:c>
      <x:c r="E440" s="5" t="n">
        <x:f>'TeamHero生成'!E440</x:f>
        <x:v>28499</x:v>
      </x:c>
      <x:c r="F440" s="5" t="n">
        <x:f>'TeamHero生成'!F440</x:f>
        <x:v>41324</x:v>
      </x:c>
      <x:c r="G440" s="4" t="str">
        <x:f>'TeamHero生成'!AG440</x:f>
        <x:v>有效</x:v>
      </x:c>
      <x:c r="H440" s="4" t="n">
        <x:f>'TeamHero生成'!G440</x:f>
        <x:v>4970808</x:v>
      </x:c>
      <x:c r="I440" s="4" t="n">
        <x:f>'TeamHero生成'!H440</x:f>
        <x:v>45131</x:v>
      </x:c>
      <x:c r="J440" s="4" t="n">
        <x:f>'TeamHero生成'!I440</x:f>
        <x:v>43634</x:v>
      </x:c>
    </x:row>
    <x:row r="441" ht="14.25" customHeight="1">
      <x:c r="A441" s="4" t="n">
        <x:f>'TeamHero生成'!A441</x:f>
        <x:v>437</x:v>
      </x:c>
      <x:c r="B441" s="4" t="n">
        <x:f>'TeamHero生成'!B441</x:f>
        <x:v>1001</x:v>
      </x:c>
      <x:c r="C441" s="4" t="n">
        <x:f>'TeamHero生成'!C441</x:f>
        <x:v>54</x:v>
      </x:c>
      <x:c r="D441" s="5" t="n">
        <x:f>'TeamHero生成'!D441</x:f>
        <x:v>1549739</x:v>
      </x:c>
      <x:c r="E441" s="5" t="n">
        <x:f>'TeamHero生成'!E441</x:f>
        <x:v>34199</x:v>
      </x:c>
      <x:c r="F441" s="5" t="n">
        <x:f>'TeamHero生成'!F441</x:f>
        <x:v>27549</x:v>
      </x:c>
      <x:c r="G441" s="4" t="str">
        <x:f>'TeamHero生成'!AG441</x:f>
        <x:v>有效</x:v>
      </x:c>
      <x:c r="H441" s="4" t="n">
        <x:f>'TeamHero生成'!G441</x:f>
        <x:v>3313872</x:v>
      </x:c>
      <x:c r="I441" s="4" t="n">
        <x:f>'TeamHero生成'!H441</x:f>
        <x:v>54157</x:v>
      </x:c>
      <x:c r="J441" s="4" t="n">
        <x:f>'TeamHero生成'!I441</x:f>
        <x:v>29089</x:v>
      </x:c>
    </x:row>
    <x:row r="442" ht="14.25" customHeight="1">
      <x:c r="A442" s="4" t="n">
        <x:f>'TeamHero生成'!A442</x:f>
        <x:v>438</x:v>
      </x:c>
      <x:c r="B442" s="4" t="n">
        <x:f>'TeamHero生成'!B442</x:f>
        <x:v>1005</x:v>
      </x:c>
      <x:c r="C442" s="4" t="n">
        <x:f>'TeamHero生成'!C442</x:f>
        <x:v>54</x:v>
      </x:c>
      <x:c r="D442" s="5" t="n">
        <x:f>'TeamHero生成'!D442</x:f>
        <x:v>1549739</x:v>
      </x:c>
      <x:c r="E442" s="5" t="n">
        <x:f>'TeamHero生成'!E442</x:f>
        <x:v>34199</x:v>
      </x:c>
      <x:c r="F442" s="5" t="n">
        <x:f>'TeamHero生成'!F442</x:f>
        <x:v>27549</x:v>
      </x:c>
      <x:c r="G442" s="4" t="str">
        <x:f>'TeamHero生成'!AG442</x:f>
        <x:v>有效</x:v>
      </x:c>
      <x:c r="H442" s="4" t="n">
        <x:f>'TeamHero生成'!G442</x:f>
        <x:v>3313872</x:v>
      </x:c>
      <x:c r="I442" s="4" t="n">
        <x:f>'TeamHero生成'!H442</x:f>
        <x:v>54157</x:v>
      </x:c>
      <x:c r="J442" s="4" t="n">
        <x:f>'TeamHero生成'!I442</x:f>
        <x:v>29089</x:v>
      </x:c>
    </x:row>
    <x:row r="443" ht="14.25" customHeight="1">
      <x:c r="A443" s="4" t="n">
        <x:f>'TeamHero生成'!A443</x:f>
        <x:v>439</x:v>
      </x:c>
      <x:c r="B443" s="4" t="n">
        <x:f>'TeamHero生成'!B443</x:f>
        <x:v>1008</x:v>
      </x:c>
      <x:c r="C443" s="4" t="n">
        <x:f>'TeamHero生成'!C443</x:f>
        <x:v>54</x:v>
      </x:c>
      <x:c r="D443" s="5" t="n">
        <x:f>'TeamHero生成'!D443</x:f>
        <x:v>1549739</x:v>
      </x:c>
      <x:c r="E443" s="5" t="n">
        <x:f>'TeamHero生成'!E443</x:f>
        <x:v>34199</x:v>
      </x:c>
      <x:c r="F443" s="5" t="n">
        <x:f>'TeamHero生成'!F443</x:f>
        <x:v>27549</x:v>
      </x:c>
      <x:c r="G443" s="4" t="str">
        <x:f>'TeamHero生成'!AG443</x:f>
        <x:v>有效</x:v>
      </x:c>
      <x:c r="H443" s="4" t="n">
        <x:f>'TeamHero生成'!G443</x:f>
        <x:v>3313872</x:v>
      </x:c>
      <x:c r="I443" s="4" t="n">
        <x:f>'TeamHero生成'!H443</x:f>
        <x:v>54157</x:v>
      </x:c>
      <x:c r="J443" s="4" t="n">
        <x:f>'TeamHero生成'!I443</x:f>
        <x:v>29089</x:v>
      </x:c>
    </x:row>
    <x:row r="444" ht="14.25" customHeight="1">
      <x:c r="A444" s="4" t="n">
        <x:f>'TeamHero生成'!A444</x:f>
        <x:v>440</x:v>
      </x:c>
      <x:c r="B444" s="4" t="n">
        <x:f>'TeamHero生成'!B444</x:f>
        <x:v>1007</x:v>
      </x:c>
      <x:c r="C444" s="4" t="n">
        <x:f>'TeamHero生成'!C444</x:f>
        <x:v>54</x:v>
      </x:c>
      <x:c r="D444" s="5" t="n">
        <x:f>'TeamHero生成'!D444</x:f>
        <x:v>1937174</x:v>
      </x:c>
      <x:c r="E444" s="5" t="n">
        <x:f>'TeamHero生成'!E444</x:f>
        <x:v>28499</x:v>
      </x:c>
      <x:c r="F444" s="5" t="n">
        <x:f>'TeamHero生成'!F444</x:f>
        <x:v>34436</x:v>
      </x:c>
      <x:c r="G444" s="4" t="str">
        <x:f>'TeamHero生成'!AG444</x:f>
        <x:v>有效</x:v>
      </x:c>
      <x:c r="H444" s="4" t="n">
        <x:f>'TeamHero生成'!G444</x:f>
        <x:v>4142340</x:v>
      </x:c>
      <x:c r="I444" s="4" t="n">
        <x:f>'TeamHero生成'!H444</x:f>
        <x:v>45131</x:v>
      </x:c>
      <x:c r="J444" s="4" t="n">
        <x:f>'TeamHero生成'!I444</x:f>
        <x:v>36362</x:v>
      </x:c>
    </x:row>
    <x:row r="445" ht="14.25" customHeight="1">
      <x:c r="A445" s="4" t="n">
        <x:f>'TeamHero生成'!A445</x:f>
        <x:v>441</x:v>
      </x:c>
      <x:c r="B445" s="4" t="n">
        <x:f>'TeamHero生成'!B445</x:f>
        <x:v>1003</x:v>
      </x:c>
      <x:c r="C445" s="4" t="n">
        <x:f>'TeamHero生成'!C445</x:f>
        <x:v>54</x:v>
      </x:c>
      <x:c r="D445" s="5" t="n">
        <x:f>'TeamHero生成'!D445</x:f>
        <x:v>2369523</x:v>
      </x:c>
      <x:c r="E445" s="5" t="n">
        <x:f>'TeamHero生成'!E445</x:f>
        <x:v>28966</x:v>
      </x:c>
      <x:c r="F445" s="5" t="n">
        <x:f>'TeamHero生成'!F445</x:f>
        <x:v>41727</x:v>
      </x:c>
      <x:c r="G445" s="4" t="str">
        <x:f>'TeamHero生成'!AG445</x:f>
        <x:v>有效</x:v>
      </x:c>
      <x:c r="H445" s="4" t="n">
        <x:f>'TeamHero生成'!G445</x:f>
        <x:v>5126220</x:v>
      </x:c>
      <x:c r="I445" s="4" t="n">
        <x:f>'TeamHero生成'!H445</x:f>
        <x:v>46290</x:v>
      </x:c>
      <x:c r="J445" s="4" t="n">
        <x:f>'TeamHero生成'!I445</x:f>
        <x:v>44310</x:v>
      </x:c>
    </x:row>
    <x:row r="446" ht="14.25" customHeight="1">
      <x:c r="A446" s="4" t="n">
        <x:f>'TeamHero生成'!A446</x:f>
        <x:v>442</x:v>
      </x:c>
      <x:c r="B446" s="4" t="n">
        <x:f>'TeamHero生成'!B446</x:f>
        <x:v>1013</x:v>
      </x:c>
      <x:c r="C446" s="4" t="n">
        <x:f>'TeamHero生成'!C446</x:f>
        <x:v>54</x:v>
      </x:c>
      <x:c r="D446" s="5" t="n">
        <x:f>'TeamHero生成'!D446</x:f>
        <x:v>1579682</x:v>
      </x:c>
      <x:c r="E446" s="5" t="n">
        <x:f>'TeamHero生成'!E446</x:f>
        <x:v>34759</x:v>
      </x:c>
      <x:c r="F446" s="5" t="n">
        <x:f>'TeamHero生成'!F446</x:f>
        <x:v>27818</x:v>
      </x:c>
      <x:c r="G446" s="4" t="str">
        <x:f>'TeamHero生成'!AG446</x:f>
        <x:v>有效</x:v>
      </x:c>
      <x:c r="H446" s="4" t="n">
        <x:f>'TeamHero生成'!G446</x:f>
        <x:v>3417480</x:v>
      </x:c>
      <x:c r="I446" s="4" t="n">
        <x:f>'TeamHero生成'!H446</x:f>
        <x:v>55548</x:v>
      </x:c>
      <x:c r="J446" s="4" t="n">
        <x:f>'TeamHero生成'!I446</x:f>
        <x:v>29540</x:v>
      </x:c>
    </x:row>
    <x:row r="447" ht="14.25" customHeight="1">
      <x:c r="A447" s="4" t="n">
        <x:f>'TeamHero生成'!A447</x:f>
        <x:v>443</x:v>
      </x:c>
      <x:c r="B447" s="4" t="n">
        <x:f>'TeamHero生成'!B447</x:f>
        <x:v>1001</x:v>
      </x:c>
      <x:c r="C447" s="4" t="n">
        <x:f>'TeamHero生成'!C447</x:f>
        <x:v>54</x:v>
      </x:c>
      <x:c r="D447" s="5" t="n">
        <x:f>'TeamHero生成'!D447</x:f>
        <x:v>1579682</x:v>
      </x:c>
      <x:c r="E447" s="5" t="n">
        <x:f>'TeamHero生成'!E447</x:f>
        <x:v>34759</x:v>
      </x:c>
      <x:c r="F447" s="5" t="n">
        <x:f>'TeamHero生成'!F447</x:f>
        <x:v>27818</x:v>
      </x:c>
      <x:c r="G447" s="4" t="str">
        <x:f>'TeamHero生成'!AG447</x:f>
        <x:v>有效</x:v>
      </x:c>
      <x:c r="H447" s="4" t="n">
        <x:f>'TeamHero生成'!G447</x:f>
        <x:v>3417480</x:v>
      </x:c>
      <x:c r="I447" s="4" t="n">
        <x:f>'TeamHero生成'!H447</x:f>
        <x:v>55548</x:v>
      </x:c>
      <x:c r="J447" s="4" t="n">
        <x:f>'TeamHero生成'!I447</x:f>
        <x:v>29540</x:v>
      </x:c>
    </x:row>
    <x:row r="448" ht="14.25" customHeight="1">
      <x:c r="A448" s="4" t="n">
        <x:f>'TeamHero生成'!A448</x:f>
        <x:v>444</x:v>
      </x:c>
      <x:c r="B448" s="4" t="n">
        <x:f>'TeamHero生成'!B448</x:f>
        <x:v>1006</x:v>
      </x:c>
      <x:c r="C448" s="4" t="n">
        <x:f>'TeamHero生成'!C448</x:f>
        <x:v>54</x:v>
      </x:c>
      <x:c r="D448" s="5" t="n">
        <x:f>'TeamHero生成'!D448</x:f>
        <x:v>1579682</x:v>
      </x:c>
      <x:c r="E448" s="5" t="n">
        <x:f>'TeamHero生成'!E448</x:f>
        <x:v>34759</x:v>
      </x:c>
      <x:c r="F448" s="5" t="n">
        <x:f>'TeamHero生成'!F448</x:f>
        <x:v>27818</x:v>
      </x:c>
      <x:c r="G448" s="4" t="str">
        <x:f>'TeamHero生成'!AG448</x:f>
        <x:v>有效</x:v>
      </x:c>
      <x:c r="H448" s="4" t="n">
        <x:f>'TeamHero生成'!G448</x:f>
        <x:v>3417480</x:v>
      </x:c>
      <x:c r="I448" s="4" t="n">
        <x:f>'TeamHero生成'!H448</x:f>
        <x:v>55548</x:v>
      </x:c>
      <x:c r="J448" s="4" t="n">
        <x:f>'TeamHero生成'!I448</x:f>
        <x:v>29540</x:v>
      </x:c>
    </x:row>
    <x:row r="449" ht="14.25" customHeight="1">
      <x:c r="A449" s="4" t="n">
        <x:f>'TeamHero生成'!A449</x:f>
        <x:v>445</x:v>
      </x:c>
      <x:c r="B449" s="4" t="n">
        <x:f>'TeamHero生成'!B449</x:f>
        <x:v>1011</x:v>
      </x:c>
      <x:c r="C449" s="4" t="n">
        <x:f>'TeamHero生成'!C449</x:f>
        <x:v>54</x:v>
      </x:c>
      <x:c r="D449" s="5" t="n">
        <x:f>'TeamHero生成'!D449</x:f>
        <x:v>1974602</x:v>
      </x:c>
      <x:c r="E449" s="5" t="n">
        <x:f>'TeamHero生成'!E449</x:f>
        <x:v>28966</x:v>
      </x:c>
      <x:c r="F449" s="5" t="n">
        <x:f>'TeamHero生成'!F449</x:f>
        <x:v>34773</x:v>
      </x:c>
      <x:c r="G449" s="4" t="str">
        <x:f>'TeamHero生成'!AG449</x:f>
        <x:v>有效</x:v>
      </x:c>
      <x:c r="H449" s="4" t="n">
        <x:f>'TeamHero生成'!G449</x:f>
        <x:v>4271850</x:v>
      </x:c>
      <x:c r="I449" s="4" t="n">
        <x:f>'TeamHero生成'!H449</x:f>
        <x:v>46290</x:v>
      </x:c>
      <x:c r="J449" s="4" t="n">
        <x:f>'TeamHero生成'!I449</x:f>
        <x:v>36925</x:v>
      </x:c>
    </x:row>
    <x:row r="450" ht="14.25" customHeight="1">
      <x:c r="A450" s="4" t="n">
        <x:f>'TeamHero生成'!A450</x:f>
        <x:v>446</x:v>
      </x:c>
      <x:c r="B450" s="4" t="n">
        <x:f>'TeamHero生成'!B450</x:f>
        <x:v>1004</x:v>
      </x:c>
      <x:c r="C450" s="4" t="n">
        <x:f>'TeamHero生成'!C450</x:f>
        <x:v>55</x:v>
      </x:c>
      <x:c r="D450" s="5" t="n">
        <x:f>'TeamHero生成'!D450</x:f>
        <x:v>2417174</x:v>
      </x:c>
      <x:c r="E450" s="5" t="n">
        <x:f>'TeamHero生成'!E450</x:f>
        <x:v>29407</x:v>
      </x:c>
      <x:c r="F450" s="5" t="n">
        <x:f>'TeamHero生成'!F450</x:f>
        <x:v>41928</x:v>
      </x:c>
      <x:c r="G450" s="4" t="str">
        <x:f>'TeamHero生成'!AG450</x:f>
        <x:v>有效</x:v>
      </x:c>
      <x:c r="H450" s="4" t="n">
        <x:f>'TeamHero生成'!G450</x:f>
        <x:v>5285275</x:v>
      </x:c>
      <x:c r="I450" s="4" t="n">
        <x:f>'TeamHero生成'!H450</x:f>
        <x:v>47477</x:v>
      </x:c>
      <x:c r="J450" s="4" t="n">
        <x:f>'TeamHero生成'!I450</x:f>
        <x:v>44989</x:v>
      </x:c>
    </x:row>
    <x:row r="451" ht="14.25" customHeight="1">
      <x:c r="A451" s="4" t="n">
        <x:f>'TeamHero生成'!A451</x:f>
        <x:v>447</x:v>
      </x:c>
      <x:c r="B451" s="4" t="n">
        <x:f>'TeamHero生成'!B451</x:f>
        <x:v>1005</x:v>
      </x:c>
      <x:c r="C451" s="4" t="n">
        <x:f>'TeamHero生成'!C451</x:f>
        <x:v>55</x:v>
      </x:c>
      <x:c r="D451" s="5" t="n">
        <x:f>'TeamHero生成'!D451</x:f>
        <x:v>1611449</x:v>
      </x:c>
      <x:c r="E451" s="5" t="n">
        <x:f>'TeamHero生成'!E451</x:f>
        <x:v>35288</x:v>
      </x:c>
      <x:c r="F451" s="5" t="n">
        <x:f>'TeamHero生成'!F451</x:f>
        <x:v>27952</x:v>
      </x:c>
      <x:c r="G451" s="4" t="str">
        <x:f>'TeamHero生成'!AG451</x:f>
        <x:v>有效</x:v>
      </x:c>
      <x:c r="H451" s="4" t="n">
        <x:f>'TeamHero生成'!G451</x:f>
        <x:v>3523516</x:v>
      </x:c>
      <x:c r="I451" s="4" t="n">
        <x:f>'TeamHero生成'!H451</x:f>
        <x:v>56972</x:v>
      </x:c>
      <x:c r="J451" s="4" t="n">
        <x:f>'TeamHero生成'!I451</x:f>
        <x:v>29992</x:v>
      </x:c>
    </x:row>
    <x:row r="452" ht="14.25" customHeight="1">
      <x:c r="A452" s="4" t="n">
        <x:f>'TeamHero生成'!A452</x:f>
        <x:v>448</x:v>
      </x:c>
      <x:c r="B452" s="4" t="n">
        <x:f>'TeamHero生成'!B452</x:f>
        <x:v>1005</x:v>
      </x:c>
      <x:c r="C452" s="4" t="n">
        <x:f>'TeamHero生成'!C452</x:f>
        <x:v>55</x:v>
      </x:c>
      <x:c r="D452" s="5" t="n">
        <x:f>'TeamHero生成'!D452</x:f>
        <x:v>1611449</x:v>
      </x:c>
      <x:c r="E452" s="5" t="n">
        <x:f>'TeamHero生成'!E452</x:f>
        <x:v>35288</x:v>
      </x:c>
      <x:c r="F452" s="5" t="n">
        <x:f>'TeamHero生成'!F452</x:f>
        <x:v>27952</x:v>
      </x:c>
      <x:c r="G452" s="4" t="str">
        <x:f>'TeamHero生成'!AG452</x:f>
        <x:v>有效</x:v>
      </x:c>
      <x:c r="H452" s="4" t="n">
        <x:f>'TeamHero生成'!G452</x:f>
        <x:v>3523516</x:v>
      </x:c>
      <x:c r="I452" s="4" t="n">
        <x:f>'TeamHero生成'!H452</x:f>
        <x:v>56972</x:v>
      </x:c>
      <x:c r="J452" s="4" t="n">
        <x:f>'TeamHero生成'!I452</x:f>
        <x:v>29992</x:v>
      </x:c>
    </x:row>
    <x:row r="453" ht="14.25" customHeight="1">
      <x:c r="A453" s="4" t="n">
        <x:f>'TeamHero生成'!A453</x:f>
        <x:v>449</x:v>
      </x:c>
      <x:c r="B453" s="4" t="n">
        <x:f>'TeamHero生成'!B453</x:f>
        <x:v>1029</x:v>
      </x:c>
      <x:c r="C453" s="4" t="n">
        <x:f>'TeamHero生成'!C453</x:f>
        <x:v>55</x:v>
      </x:c>
      <x:c r="D453" s="5" t="n">
        <x:f>'TeamHero生成'!D453</x:f>
        <x:v>2014312</x:v>
      </x:c>
      <x:c r="E453" s="5" t="n">
        <x:f>'TeamHero生成'!E453</x:f>
        <x:v>29407</x:v>
      </x:c>
      <x:c r="F453" s="5" t="n">
        <x:f>'TeamHero生成'!F453</x:f>
        <x:v>34940</x:v>
      </x:c>
      <x:c r="G453" s="4" t="str">
        <x:f>'TeamHero生成'!AG453</x:f>
        <x:v>有效</x:v>
      </x:c>
      <x:c r="H453" s="4" t="n">
        <x:f>'TeamHero生成'!G453</x:f>
        <x:v>4404396</x:v>
      </x:c>
      <x:c r="I453" s="4" t="n">
        <x:f>'TeamHero生成'!H453</x:f>
        <x:v>47477</x:v>
      </x:c>
      <x:c r="J453" s="4" t="n">
        <x:f>'TeamHero生成'!I453</x:f>
        <x:v>37491</x:v>
      </x:c>
    </x:row>
    <x:row r="454" ht="14.25" customHeight="1">
      <x:c r="A454" s="4" t="n">
        <x:f>'TeamHero生成'!A454</x:f>
        <x:v>450</x:v>
      </x:c>
      <x:c r="B454" s="4" t="n">
        <x:f>'TeamHero生成'!B454</x:f>
        <x:v>1007</x:v>
      </x:c>
      <x:c r="C454" s="4" t="n">
        <x:f>'TeamHero生成'!C454</x:f>
        <x:v>55</x:v>
      </x:c>
      <x:c r="D454" s="5" t="n">
        <x:f>'TeamHero生成'!D454</x:f>
        <x:v>2014312</x:v>
      </x:c>
      <x:c r="E454" s="5" t="n">
        <x:f>'TeamHero生成'!E454</x:f>
        <x:v>29407</x:v>
      </x:c>
      <x:c r="F454" s="5" t="n">
        <x:f>'TeamHero生成'!F454</x:f>
        <x:v>34940</x:v>
      </x:c>
      <x:c r="G454" s="4" t="str">
        <x:f>'TeamHero生成'!AG454</x:f>
        <x:v>有效</x:v>
      </x:c>
      <x:c r="H454" s="4" t="n">
        <x:f>'TeamHero生成'!G454</x:f>
        <x:v>4404396</x:v>
      </x:c>
      <x:c r="I454" s="4" t="n">
        <x:f>'TeamHero生成'!H454</x:f>
        <x:v>47477</x:v>
      </x:c>
      <x:c r="J454" s="4" t="n">
        <x:f>'TeamHero生成'!I454</x:f>
        <x:v>37491</x:v>
      </x:c>
    </x:row>
    <x:row r="455" ht="14.25" customHeight="1">
      <x:c r="A455" s="4" t="n">
        <x:f>'TeamHero生成'!A455</x:f>
        <x:v>451</x:v>
      </x:c>
      <x:c r="B455" s="4" t="n">
        <x:f>'TeamHero生成'!B455</x:f>
        <x:v>1003</x:v>
      </x:c>
      <x:c r="C455" s="4" t="n">
        <x:f>'TeamHero生成'!C455</x:f>
        <x:v>55</x:v>
      </x:c>
      <x:c r="D455" s="5" t="n">
        <x:f>'TeamHero生成'!D455</x:f>
        <x:v>2437024</x:v>
      </x:c>
      <x:c r="E455" s="5" t="n">
        <x:f>'TeamHero生成'!E455</x:f>
        <x:v>29653</x:v>
      </x:c>
      <x:c r="F455" s="5" t="n">
        <x:f>'TeamHero生成'!F455</x:f>
        <x:v>42131</x:v>
      </x:c>
      <x:c r="G455" s="4" t="str">
        <x:f>'TeamHero生成'!AG455</x:f>
        <x:v>有效</x:v>
      </x:c>
      <x:c r="H455" s="4" t="n">
        <x:f>'TeamHero生成'!G455</x:f>
        <x:v>5448031</x:v>
      </x:c>
      <x:c r="I455" s="4" t="n">
        <x:f>'TeamHero生成'!H455</x:f>
        <x:v>48692</x:v>
      </x:c>
      <x:c r="J455" s="4" t="n">
        <x:f>'TeamHero生成'!I455</x:f>
        <x:v>45673</x:v>
      </x:c>
    </x:row>
    <x:row r="456" ht="14.25" customHeight="1">
      <x:c r="A456" s="4" t="n">
        <x:f>'TeamHero生成'!A456</x:f>
        <x:v>452</x:v>
      </x:c>
      <x:c r="B456" s="4" t="n">
        <x:f>'TeamHero生成'!B456</x:f>
        <x:v>1007</x:v>
      </x:c>
      <x:c r="C456" s="4" t="n">
        <x:f>'TeamHero生成'!C456</x:f>
        <x:v>55</x:v>
      </x:c>
      <x:c r="D456" s="5" t="n">
        <x:f>'TeamHero生成'!D456</x:f>
        <x:v>2030853</x:v>
      </x:c>
      <x:c r="E456" s="5" t="n">
        <x:f>'TeamHero生成'!E456</x:f>
        <x:v>29653</x:v>
      </x:c>
      <x:c r="F456" s="5" t="n">
        <x:f>'TeamHero生成'!F456</x:f>
        <x:v>35109</x:v>
      </x:c>
      <x:c r="G456" s="4" t="str">
        <x:f>'TeamHero生成'!AG456</x:f>
        <x:v>有效</x:v>
      </x:c>
      <x:c r="H456" s="4" t="n">
        <x:f>'TeamHero生成'!G456</x:f>
        <x:v>4540026</x:v>
      </x:c>
      <x:c r="I456" s="4" t="n">
        <x:f>'TeamHero生成'!H456</x:f>
        <x:v>48692</x:v>
      </x:c>
      <x:c r="J456" s="4" t="n">
        <x:f>'TeamHero生成'!I456</x:f>
        <x:v>38061</x:v>
      </x:c>
    </x:row>
    <x:row r="457" ht="14.25" customHeight="1">
      <x:c r="A457" s="4" t="n">
        <x:f>'TeamHero生成'!A457</x:f>
        <x:v>453</x:v>
      </x:c>
      <x:c r="B457" s="4" t="n">
        <x:f>'TeamHero生成'!B457</x:f>
        <x:v>1006</x:v>
      </x:c>
      <x:c r="C457" s="4" t="n">
        <x:f>'TeamHero生成'!C457</x:f>
        <x:v>55</x:v>
      </x:c>
      <x:c r="D457" s="5" t="n">
        <x:f>'TeamHero生成'!D457</x:f>
        <x:v>1624682</x:v>
      </x:c>
      <x:c r="E457" s="5" t="n">
        <x:f>'TeamHero生成'!E457</x:f>
        <x:v>35583</x:v>
      </x:c>
      <x:c r="F457" s="5" t="n">
        <x:f>'TeamHero生成'!F457</x:f>
        <x:v>28087</x:v>
      </x:c>
      <x:c r="G457" s="4" t="str">
        <x:f>'TeamHero生成'!AG457</x:f>
        <x:v>有效</x:v>
      </x:c>
      <x:c r="H457" s="4" t="n">
        <x:f>'TeamHero生成'!G457</x:f>
        <x:v>3632020</x:v>
      </x:c>
      <x:c r="I457" s="4" t="n">
        <x:f>'TeamHero生成'!H457</x:f>
        <x:v>58430</x:v>
      </x:c>
      <x:c r="J457" s="4" t="n">
        <x:f>'TeamHero生成'!I457</x:f>
        <x:v>30448</x:v>
      </x:c>
    </x:row>
    <x:row r="458" ht="14.25" customHeight="1">
      <x:c r="A458" s="4" t="n">
        <x:f>'TeamHero生成'!A458</x:f>
        <x:v>454</x:v>
      </x:c>
      <x:c r="B458" s="4" t="n">
        <x:f>'TeamHero生成'!B458</x:f>
        <x:v>1017</x:v>
      </x:c>
      <x:c r="C458" s="4" t="n">
        <x:f>'TeamHero生成'!C458</x:f>
        <x:v>55</x:v>
      </x:c>
      <x:c r="D458" s="5" t="n">
        <x:f>'TeamHero生成'!D458</x:f>
        <x:v>1624682</x:v>
      </x:c>
      <x:c r="E458" s="5" t="n">
        <x:f>'TeamHero生成'!E458</x:f>
        <x:v>35583</x:v>
      </x:c>
      <x:c r="F458" s="5" t="n">
        <x:f>'TeamHero生成'!F458</x:f>
        <x:v>28087</x:v>
      </x:c>
      <x:c r="G458" s="4" t="str">
        <x:f>'TeamHero生成'!AG458</x:f>
        <x:v>有效</x:v>
      </x:c>
      <x:c r="H458" s="4" t="n">
        <x:f>'TeamHero生成'!G458</x:f>
        <x:v>3632020</x:v>
      </x:c>
      <x:c r="I458" s="4" t="n">
        <x:f>'TeamHero生成'!H458</x:f>
        <x:v>58430</x:v>
      </x:c>
      <x:c r="J458" s="4" t="n">
        <x:f>'TeamHero生成'!I458</x:f>
        <x:v>30448</x:v>
      </x:c>
    </x:row>
    <x:row r="459" ht="14.25" customHeight="1">
      <x:c r="A459" s="4" t="n">
        <x:f>'TeamHero生成'!A459</x:f>
        <x:v>455</x:v>
      </x:c>
      <x:c r="B459" s="4" t="n">
        <x:f>'TeamHero生成'!B459</x:f>
        <x:v>1013</x:v>
      </x:c>
      <x:c r="C459" s="4" t="n">
        <x:f>'TeamHero生成'!C459</x:f>
        <x:v>55</x:v>
      </x:c>
      <x:c r="D459" s="5" t="n">
        <x:f>'TeamHero生成'!D459</x:f>
        <x:v>1624682</x:v>
      </x:c>
      <x:c r="E459" s="5" t="n">
        <x:f>'TeamHero生成'!E459</x:f>
        <x:v>35583</x:v>
      </x:c>
      <x:c r="F459" s="5" t="n">
        <x:f>'TeamHero生成'!F459</x:f>
        <x:v>28087</x:v>
      </x:c>
      <x:c r="G459" s="4" t="str">
        <x:f>'TeamHero生成'!AG459</x:f>
        <x:v>有效</x:v>
      </x:c>
      <x:c r="H459" s="4" t="n">
        <x:f>'TeamHero生成'!G459</x:f>
        <x:v>3632020</x:v>
      </x:c>
      <x:c r="I459" s="4" t="n">
        <x:f>'TeamHero生成'!H459</x:f>
        <x:v>58430</x:v>
      </x:c>
      <x:c r="J459" s="4" t="n">
        <x:f>'TeamHero生成'!I459</x:f>
        <x:v>30448</x:v>
      </x:c>
    </x:row>
    <x:row r="460" ht="14.25" customHeight="1">
      <x:c r="A460" s="4" t="n">
        <x:f>'TeamHero生成'!A460</x:f>
        <x:v>456</x:v>
      </x:c>
      <x:c r="B460" s="4" t="n">
        <x:f>'TeamHero生成'!B460</x:f>
        <x:v>1004</x:v>
      </x:c>
      <x:c r="C460" s="4" t="n">
        <x:f>'TeamHero生成'!C460</x:f>
        <x:v>56</x:v>
      </x:c>
      <x:c r="D460" s="5" t="n">
        <x:f>'TeamHero生成'!D460</x:f>
        <x:v>2452155</x:v>
      </x:c>
      <x:c r="E460" s="5" t="n">
        <x:f>'TeamHero生成'!E460</x:f>
        <x:v>29838</x:v>
      </x:c>
      <x:c r="F460" s="5" t="n">
        <x:f>'TeamHero生成'!F460</x:f>
        <x:v>42333</x:v>
      </x:c>
      <x:c r="G460" s="4" t="str">
        <x:f>'TeamHero生成'!AG460</x:f>
        <x:v>有效</x:v>
      </x:c>
      <x:c r="H460" s="4" t="n">
        <x:f>'TeamHero生成'!G460</x:f>
        <x:v>5614552</x:v>
      </x:c>
      <x:c r="I460" s="4" t="n">
        <x:f>'TeamHero生成'!H460</x:f>
        <x:v>49938</x:v>
      </x:c>
      <x:c r="J460" s="4" t="n">
        <x:f>'TeamHero生成'!I460</x:f>
        <x:v>46360</x:v>
      </x:c>
    </x:row>
    <x:row r="461" ht="14.25" customHeight="1">
      <x:c r="A461" s="4" t="n">
        <x:f>'TeamHero生成'!A461</x:f>
        <x:v>457</x:v>
      </x:c>
      <x:c r="B461" s="4" t="n">
        <x:f>'TeamHero生成'!B461</x:f>
        <x:v>1013</x:v>
      </x:c>
      <x:c r="C461" s="4" t="n">
        <x:f>'TeamHero生成'!C461</x:f>
        <x:v>56</x:v>
      </x:c>
      <x:c r="D461" s="5" t="n">
        <x:f>'TeamHero生成'!D461</x:f>
        <x:v>1634770</x:v>
      </x:c>
      <x:c r="E461" s="5" t="n">
        <x:f>'TeamHero生成'!E461</x:f>
        <x:v>35806</x:v>
      </x:c>
      <x:c r="F461" s="5" t="n">
        <x:f>'TeamHero生成'!F461</x:f>
        <x:v>28222</x:v>
      </x:c>
      <x:c r="G461" s="4" t="str">
        <x:f>'TeamHero生成'!AG461</x:f>
        <x:v>有效</x:v>
      </x:c>
      <x:c r="H461" s="4" t="n">
        <x:f>'TeamHero生成'!G461</x:f>
        <x:v>3743035</x:v>
      </x:c>
      <x:c r="I461" s="4" t="n">
        <x:f>'TeamHero生成'!H461</x:f>
        <x:v>59925</x:v>
      </x:c>
      <x:c r="J461" s="4" t="n">
        <x:f>'TeamHero生成'!I461</x:f>
        <x:v>30907</x:v>
      </x:c>
    </x:row>
    <x:row r="462" ht="14.25" customHeight="1">
      <x:c r="A462" s="4" t="n">
        <x:f>'TeamHero生成'!A462</x:f>
        <x:v>458</x:v>
      </x:c>
      <x:c r="B462" s="4" t="n">
        <x:f>'TeamHero生成'!B462</x:f>
        <x:v>1007</x:v>
      </x:c>
      <x:c r="C462" s="4" t="n">
        <x:f>'TeamHero生成'!C462</x:f>
        <x:v>56</x:v>
      </x:c>
      <x:c r="D462" s="5" t="n">
        <x:f>'TeamHero生成'!D462</x:f>
        <x:v>2043462</x:v>
      </x:c>
      <x:c r="E462" s="5" t="n">
        <x:f>'TeamHero生成'!E462</x:f>
        <x:v>29838</x:v>
      </x:c>
      <x:c r="F462" s="5" t="n">
        <x:f>'TeamHero生成'!F462</x:f>
        <x:v>35278</x:v>
      </x:c>
      <x:c r="G462" s="4" t="str">
        <x:f>'TeamHero生成'!AG462</x:f>
        <x:v>有效</x:v>
      </x:c>
      <x:c r="H462" s="4" t="n">
        <x:f>'TeamHero生成'!G462</x:f>
        <x:v>4678794</x:v>
      </x:c>
      <x:c r="I462" s="4" t="n">
        <x:f>'TeamHero生成'!H462</x:f>
        <x:v>49938</x:v>
      </x:c>
      <x:c r="J462" s="4" t="n">
        <x:f>'TeamHero生成'!I462</x:f>
        <x:v>38634</x:v>
      </x:c>
    </x:row>
    <x:row r="463" ht="14.25" customHeight="1">
      <x:c r="A463" s="4" t="n">
        <x:f>'TeamHero生成'!A463</x:f>
        <x:v>459</x:v>
      </x:c>
      <x:c r="B463" s="4" t="n">
        <x:f>'TeamHero生成'!B463</x:f>
        <x:v>1005</x:v>
      </x:c>
      <x:c r="C463" s="4" t="n">
        <x:f>'TeamHero生成'!C463</x:f>
        <x:v>56</x:v>
      </x:c>
      <x:c r="D463" s="5" t="n">
        <x:f>'TeamHero生成'!D463</x:f>
        <x:v>1634770</x:v>
      </x:c>
      <x:c r="E463" s="5" t="n">
        <x:f>'TeamHero生成'!E463</x:f>
        <x:v>35806</x:v>
      </x:c>
      <x:c r="F463" s="5" t="n">
        <x:f>'TeamHero生成'!F463</x:f>
        <x:v>28222</x:v>
      </x:c>
      <x:c r="G463" s="4" t="str">
        <x:f>'TeamHero生成'!AG463</x:f>
        <x:v>有效</x:v>
      </x:c>
      <x:c r="H463" s="4" t="n">
        <x:f>'TeamHero生成'!G463</x:f>
        <x:v>3743035</x:v>
      </x:c>
      <x:c r="I463" s="4" t="n">
        <x:f>'TeamHero生成'!H463</x:f>
        <x:v>59925</x:v>
      </x:c>
      <x:c r="J463" s="4" t="n">
        <x:f>'TeamHero生成'!I463</x:f>
        <x:v>30907</x:v>
      </x:c>
    </x:row>
    <x:row r="464" ht="14.25" customHeight="1">
      <x:c r="A464" s="4" t="n">
        <x:f>'TeamHero生成'!A464</x:f>
        <x:v>460</x:v>
      </x:c>
      <x:c r="B464" s="4" t="n">
        <x:f>'TeamHero生成'!B464</x:f>
        <x:v>1013</x:v>
      </x:c>
      <x:c r="C464" s="4" t="n">
        <x:f>'TeamHero生成'!C464</x:f>
        <x:v>56</x:v>
      </x:c>
      <x:c r="D464" s="5" t="n">
        <x:f>'TeamHero生成'!D464</x:f>
        <x:v>1634770</x:v>
      </x:c>
      <x:c r="E464" s="5" t="n">
        <x:f>'TeamHero生成'!E464</x:f>
        <x:v>35806</x:v>
      </x:c>
      <x:c r="F464" s="5" t="n">
        <x:f>'TeamHero生成'!F464</x:f>
        <x:v>28222</x:v>
      </x:c>
      <x:c r="G464" s="4" t="str">
        <x:f>'TeamHero生成'!AG464</x:f>
        <x:v>有效</x:v>
      </x:c>
      <x:c r="H464" s="4" t="n">
        <x:f>'TeamHero生成'!G464</x:f>
        <x:v>3743035</x:v>
      </x:c>
      <x:c r="I464" s="4" t="n">
        <x:f>'TeamHero生成'!H464</x:f>
        <x:v>59925</x:v>
      </x:c>
      <x:c r="J464" s="4" t="n">
        <x:f>'TeamHero生成'!I464</x:f>
        <x:v>30907</x:v>
      </x:c>
    </x:row>
    <x:row r="465" ht="14.25" customHeight="1">
      <x:c r="A465" s="4" t="n">
        <x:f>'TeamHero生成'!A465</x:f>
        <x:v>461</x:v>
      </x:c>
      <x:c r="B465" s="4" t="n">
        <x:f>'TeamHero生成'!B465</x:f>
        <x:v>1004</x:v>
      </x:c>
      <x:c r="C465" s="4" t="n">
        <x:f>'TeamHero生成'!C465</x:f>
        <x:v>56</x:v>
      </x:c>
      <x:c r="D465" s="5" t="n">
        <x:f>'TeamHero生成'!D465</x:f>
        <x:v>2495233</x:v>
      </x:c>
      <x:c r="E465" s="5" t="n">
        <x:f>'TeamHero生成'!E465</x:f>
        <x:v>30303</x:v>
      </x:c>
      <x:c r="F465" s="5" t="n">
        <x:f>'TeamHero生成'!F465</x:f>
        <x:v>42740</x:v>
      </x:c>
      <x:c r="G465" s="4" t="str">
        <x:f>'TeamHero生成'!AG465</x:f>
        <x:v>有效</x:v>
      </x:c>
      <x:c r="H465" s="4" t="n">
        <x:f>'TeamHero生成'!G465</x:f>
        <x:v>5784912</x:v>
      </x:c>
      <x:c r="I465" s="4" t="n">
        <x:f>'TeamHero生成'!H465</x:f>
        <x:v>51214</x:v>
      </x:c>
      <x:c r="J465" s="4" t="n">
        <x:f>'TeamHero生成'!I465</x:f>
        <x:v>47054</x:v>
      </x:c>
    </x:row>
    <x:row r="466" ht="14.25" customHeight="1">
      <x:c r="A466" s="4" t="n">
        <x:f>'TeamHero生成'!A466</x:f>
        <x:v>462</x:v>
      </x:c>
      <x:c r="B466" s="4" t="n">
        <x:f>'TeamHero生成'!B466</x:f>
        <x:v>1006</x:v>
      </x:c>
      <x:c r="C466" s="4" t="n">
        <x:f>'TeamHero生成'!C466</x:f>
        <x:v>56</x:v>
      </x:c>
      <x:c r="D466" s="5" t="n">
        <x:f>'TeamHero生成'!D466</x:f>
        <x:v>1663489</x:v>
      </x:c>
      <x:c r="E466" s="5" t="n">
        <x:f>'TeamHero生成'!E466</x:f>
        <x:v>36363</x:v>
      </x:c>
      <x:c r="F466" s="5" t="n">
        <x:f>'TeamHero生成'!F466</x:f>
        <x:v>28493</x:v>
      </x:c>
      <x:c r="G466" s="4" t="str">
        <x:f>'TeamHero生成'!AG466</x:f>
        <x:v>有效</x:v>
      </x:c>
      <x:c r="H466" s="4" t="n">
        <x:f>'TeamHero生成'!G466</x:f>
        <x:v>3856608</x:v>
      </x:c>
      <x:c r="I466" s="4" t="n">
        <x:f>'TeamHero生成'!H466</x:f>
        <x:v>61456</x:v>
      </x:c>
      <x:c r="J466" s="4" t="n">
        <x:f>'TeamHero生成'!I466</x:f>
        <x:v>31369</x:v>
      </x:c>
    </x:row>
    <x:row r="467" ht="14.25" customHeight="1">
      <x:c r="A467" s="4" t="n">
        <x:f>'TeamHero生成'!A467</x:f>
        <x:v>463</x:v>
      </x:c>
      <x:c r="B467" s="4" t="n">
        <x:f>'TeamHero生成'!B467</x:f>
        <x:v>1017</x:v>
      </x:c>
      <x:c r="C467" s="4" t="n">
        <x:f>'TeamHero生成'!C467</x:f>
        <x:v>56</x:v>
      </x:c>
      <x:c r="D467" s="5" t="n">
        <x:f>'TeamHero生成'!D467</x:f>
        <x:v>1663489</x:v>
      </x:c>
      <x:c r="E467" s="5" t="n">
        <x:f>'TeamHero生成'!E467</x:f>
        <x:v>36363</x:v>
      </x:c>
      <x:c r="F467" s="5" t="n">
        <x:f>'TeamHero生成'!F467</x:f>
        <x:v>28493</x:v>
      </x:c>
      <x:c r="G467" s="4" t="str">
        <x:f>'TeamHero生成'!AG467</x:f>
        <x:v>有效</x:v>
      </x:c>
      <x:c r="H467" s="4" t="n">
        <x:f>'TeamHero生成'!G467</x:f>
        <x:v>3856608</x:v>
      </x:c>
      <x:c r="I467" s="4" t="n">
        <x:f>'TeamHero生成'!H467</x:f>
        <x:v>61456</x:v>
      </x:c>
      <x:c r="J467" s="4" t="n">
        <x:f>'TeamHero生成'!I467</x:f>
        <x:v>31369</x:v>
      </x:c>
    </x:row>
    <x:row r="468" ht="14.25" customHeight="1">
      <x:c r="A468" s="4" t="n">
        <x:f>'TeamHero生成'!A468</x:f>
        <x:v>464</x:v>
      </x:c>
      <x:c r="B468" s="4" t="n">
        <x:f>'TeamHero生成'!B468</x:f>
        <x:v>1007</x:v>
      </x:c>
      <x:c r="C468" s="4" t="n">
        <x:f>'TeamHero生成'!C468</x:f>
        <x:v>56</x:v>
      </x:c>
      <x:c r="D468" s="5" t="n">
        <x:f>'TeamHero生成'!D468</x:f>
        <x:v>2079361</x:v>
      </x:c>
      <x:c r="E468" s="5" t="n">
        <x:f>'TeamHero生成'!E468</x:f>
        <x:v>30303</x:v>
      </x:c>
      <x:c r="F468" s="5" t="n">
        <x:f>'TeamHero生成'!F468</x:f>
        <x:v>35616</x:v>
      </x:c>
      <x:c r="G468" s="4" t="str">
        <x:f>'TeamHero生成'!AG468</x:f>
        <x:v>有效</x:v>
      </x:c>
      <x:c r="H468" s="4" t="n">
        <x:f>'TeamHero生成'!G468</x:f>
        <x:v>4820760</x:v>
      </x:c>
      <x:c r="I468" s="4" t="n">
        <x:f>'TeamHero生成'!H468</x:f>
        <x:v>51214</x:v>
      </x:c>
      <x:c r="J468" s="4" t="n">
        <x:f>'TeamHero生成'!I468</x:f>
        <x:v>39212</x:v>
      </x:c>
    </x:row>
    <x:row r="469" ht="14.25" customHeight="1">
      <x:c r="A469" s="4" t="n">
        <x:f>'TeamHero生成'!A469</x:f>
        <x:v>465</x:v>
      </x:c>
      <x:c r="B469" s="4" t="n">
        <x:f>'TeamHero生成'!B469</x:f>
        <x:v>1013</x:v>
      </x:c>
      <x:c r="C469" s="4" t="n">
        <x:f>'TeamHero生成'!C469</x:f>
        <x:v>56</x:v>
      </x:c>
      <x:c r="D469" s="5" t="n">
        <x:f>'TeamHero生成'!D469</x:f>
        <x:v>1663489</x:v>
      </x:c>
      <x:c r="E469" s="5" t="n">
        <x:f>'TeamHero生成'!E469</x:f>
        <x:v>36363</x:v>
      </x:c>
      <x:c r="F469" s="5" t="n">
        <x:f>'TeamHero生成'!F469</x:f>
        <x:v>28493</x:v>
      </x:c>
      <x:c r="G469" s="4" t="str">
        <x:f>'TeamHero生成'!AG469</x:f>
        <x:v>有效</x:v>
      </x:c>
      <x:c r="H469" s="4" t="n">
        <x:f>'TeamHero生成'!G469</x:f>
        <x:v>3856608</x:v>
      </x:c>
      <x:c r="I469" s="4" t="n">
        <x:f>'TeamHero生成'!H469</x:f>
        <x:v>61456</x:v>
      </x:c>
      <x:c r="J469" s="4" t="n">
        <x:f>'TeamHero生成'!I469</x:f>
        <x:v>31369</x:v>
      </x:c>
    </x:row>
    <x:row r="470" ht="14.25" customHeight="1">
      <x:c r="A470" s="4" t="n">
        <x:f>'TeamHero生成'!A470</x:f>
        <x:v>466</x:v>
      </x:c>
      <x:c r="B470" s="4" t="n">
        <x:f>'TeamHero生成'!B470</x:f>
        <x:v>1004</x:v>
      </x:c>
      <x:c r="C470" s="4" t="n">
        <x:f>'TeamHero生成'!C470</x:f>
        <x:v>57</x:v>
      </x:c>
      <x:c r="D470" s="5" t="n">
        <x:f>'TeamHero生成'!D470</x:f>
        <x:v>2517976</x:v>
      </x:c>
      <x:c r="E470" s="5" t="n">
        <x:f>'TeamHero生成'!E470</x:f>
        <x:v>30567</x:v>
      </x:c>
      <x:c r="F470" s="5" t="n">
        <x:f>'TeamHero生成'!F470</x:f>
        <x:v>42944</x:v>
      </x:c>
      <x:c r="G470" s="4" t="str">
        <x:f>'TeamHero生成'!AG470</x:f>
        <x:v>有效</x:v>
      </x:c>
      <x:c r="H470" s="4" t="n">
        <x:f>'TeamHero生成'!G470</x:f>
        <x:v>5959159</x:v>
      </x:c>
      <x:c r="I470" s="4" t="n">
        <x:f>'TeamHero生成'!H470</x:f>
        <x:v>52520</x:v>
      </x:c>
      <x:c r="J470" s="4" t="n">
        <x:f>'TeamHero生成'!I470</x:f>
        <x:v>47750</x:v>
      </x:c>
    </x:row>
    <x:row r="471" ht="14.25" customHeight="1">
      <x:c r="A471" s="4" t="n">
        <x:f>'TeamHero生成'!A471</x:f>
        <x:v>467</x:v>
      </x:c>
      <x:c r="B471" s="4" t="n">
        <x:f>'TeamHero生成'!B471</x:f>
        <x:v>1008</x:v>
      </x:c>
      <x:c r="C471" s="4" t="n">
        <x:f>'TeamHero生成'!C471</x:f>
        <x:v>57</x:v>
      </x:c>
      <x:c r="D471" s="5" t="n">
        <x:f>'TeamHero生成'!D471</x:f>
        <x:v>1678651</x:v>
      </x:c>
      <x:c r="E471" s="5" t="n">
        <x:f>'TeamHero生成'!E471</x:f>
        <x:v>36681</x:v>
      </x:c>
      <x:c r="F471" s="5" t="n">
        <x:f>'TeamHero生成'!F471</x:f>
        <x:v>28629</x:v>
      </x:c>
      <x:c r="G471" s="4" t="str">
        <x:f>'TeamHero生成'!AG471</x:f>
        <x:v>有效</x:v>
      </x:c>
      <x:c r="H471" s="4" t="n">
        <x:f>'TeamHero生成'!G471</x:f>
        <x:v>3972772</x:v>
      </x:c>
      <x:c r="I471" s="4" t="n">
        <x:f>'TeamHero生成'!H471</x:f>
        <x:v>63024</x:v>
      </x:c>
      <x:c r="J471" s="4" t="n">
        <x:f>'TeamHero生成'!I471</x:f>
        <x:v>31833</x:v>
      </x:c>
    </x:row>
    <x:row r="472" ht="14.25" customHeight="1">
      <x:c r="A472" s="4" t="n">
        <x:f>'TeamHero生成'!A472</x:f>
        <x:v>468</x:v>
      </x:c>
      <x:c r="B472" s="4" t="n">
        <x:f>'TeamHero生成'!B472</x:f>
        <x:v>1006</x:v>
      </x:c>
      <x:c r="C472" s="4" t="n">
        <x:f>'TeamHero生成'!C472</x:f>
        <x:v>57</x:v>
      </x:c>
      <x:c r="D472" s="5" t="n">
        <x:f>'TeamHero生成'!D472</x:f>
        <x:v>1678651</x:v>
      </x:c>
      <x:c r="E472" s="5" t="n">
        <x:f>'TeamHero生成'!E472</x:f>
        <x:v>36681</x:v>
      </x:c>
      <x:c r="F472" s="5" t="n">
        <x:f>'TeamHero生成'!F472</x:f>
        <x:v>28629</x:v>
      </x:c>
      <x:c r="G472" s="4" t="str">
        <x:f>'TeamHero生成'!AG472</x:f>
        <x:v>有效</x:v>
      </x:c>
      <x:c r="H472" s="4" t="n">
        <x:f>'TeamHero生成'!G472</x:f>
        <x:v>3972772</x:v>
      </x:c>
      <x:c r="I472" s="4" t="n">
        <x:f>'TeamHero生成'!H472</x:f>
        <x:v>63024</x:v>
      </x:c>
      <x:c r="J472" s="4" t="n">
        <x:f>'TeamHero生成'!I472</x:f>
        <x:v>31833</x:v>
      </x:c>
    </x:row>
    <x:row r="473" ht="14.25" customHeight="1">
      <x:c r="A473" s="4" t="n">
        <x:f>'TeamHero生成'!A473</x:f>
        <x:v>469</x:v>
      </x:c>
      <x:c r="B473" s="4" t="n">
        <x:f>'TeamHero生成'!B473</x:f>
        <x:v>1005</x:v>
      </x:c>
      <x:c r="C473" s="4" t="n">
        <x:f>'TeamHero生成'!C473</x:f>
        <x:v>57</x:v>
      </x:c>
      <x:c r="D473" s="5" t="n">
        <x:f>'TeamHero生成'!D473</x:f>
        <x:v>1678651</x:v>
      </x:c>
      <x:c r="E473" s="5" t="n">
        <x:f>'TeamHero生成'!E473</x:f>
        <x:v>36681</x:v>
      </x:c>
      <x:c r="F473" s="5" t="n">
        <x:f>'TeamHero生成'!F473</x:f>
        <x:v>28629</x:v>
      </x:c>
      <x:c r="G473" s="4" t="str">
        <x:f>'TeamHero生成'!AG473</x:f>
        <x:v>有效</x:v>
      </x:c>
      <x:c r="H473" s="4" t="n">
        <x:f>'TeamHero生成'!G473</x:f>
        <x:v>3972772</x:v>
      </x:c>
      <x:c r="I473" s="4" t="n">
        <x:f>'TeamHero生成'!H473</x:f>
        <x:v>63024</x:v>
      </x:c>
      <x:c r="J473" s="4" t="n">
        <x:f>'TeamHero生成'!I473</x:f>
        <x:v>31833</x:v>
      </x:c>
    </x:row>
    <x:row r="474" ht="14.25" customHeight="1">
      <x:c r="A474" s="4" t="n">
        <x:f>'TeamHero生成'!A474</x:f>
        <x:v>470</x:v>
      </x:c>
      <x:c r="B474" s="4" t="n">
        <x:f>'TeamHero生成'!B474</x:f>
        <x:v>1007</x:v>
      </x:c>
      <x:c r="C474" s="4" t="n">
        <x:f>'TeamHero生成'!C474</x:f>
        <x:v>57</x:v>
      </x:c>
      <x:c r="D474" s="5" t="n">
        <x:f>'TeamHero生成'!D474</x:f>
        <x:v>2098314</x:v>
      </x:c>
      <x:c r="E474" s="5" t="n">
        <x:f>'TeamHero生成'!E474</x:f>
        <x:v>30567</x:v>
      </x:c>
      <x:c r="F474" s="5" t="n">
        <x:f>'TeamHero生成'!F474</x:f>
        <x:v>35786</x:v>
      </x:c>
      <x:c r="G474" s="4" t="str">
        <x:f>'TeamHero生成'!AG474</x:f>
        <x:v>有效</x:v>
      </x:c>
      <x:c r="H474" s="4" t="n">
        <x:f>'TeamHero生成'!G474</x:f>
        <x:v>4965966</x:v>
      </x:c>
      <x:c r="I474" s="4" t="n">
        <x:f>'TeamHero生成'!H474</x:f>
        <x:v>52520</x:v>
      </x:c>
      <x:c r="J474" s="4" t="n">
        <x:f>'TeamHero生成'!I474</x:f>
        <x:v>39792</x:v>
      </x:c>
    </x:row>
    <x:row r="475" ht="14.25" customHeight="1">
      <x:c r="A475" s="4" t="n">
        <x:f>'TeamHero生成'!A475</x:f>
        <x:v>471</x:v>
      </x:c>
      <x:c r="B475" s="4" t="n">
        <x:f>'TeamHero生成'!B475</x:f>
        <x:v>1003</x:v>
      </x:c>
      <x:c r="C475" s="4" t="n">
        <x:f>'TeamHero生成'!C475</x:f>
        <x:v>57</x:v>
      </x:c>
      <x:c r="D475" s="5" t="n">
        <x:f>'TeamHero生成'!D475</x:f>
        <x:v>2541395</x:v>
      </x:c>
      <x:c r="E475" s="5" t="n">
        <x:f>'TeamHero生成'!E475</x:f>
        <x:v>30836</x:v>
      </x:c>
      <x:c r="F475" s="5" t="n">
        <x:f>'TeamHero生成'!F475</x:f>
        <x:v>43148</x:v>
      </x:c>
      <x:c r="G475" s="4" t="str">
        <x:f>'TeamHero生成'!AG475</x:f>
        <x:v>有效</x:v>
      </x:c>
      <x:c r="H475" s="4" t="n">
        <x:f>'TeamHero生成'!G475</x:f>
        <x:v>6137373</x:v>
      </x:c>
      <x:c r="I475" s="4" t="n">
        <x:f>'TeamHero生成'!H475</x:f>
        <x:v>53860</x:v>
      </x:c>
      <x:c r="J475" s="4" t="n">
        <x:f>'TeamHero生成'!I475</x:f>
        <x:v>48452</x:v>
      </x:c>
    </x:row>
    <x:row r="476" ht="14.25" customHeight="1">
      <x:c r="A476" s="4" t="n">
        <x:f>'TeamHero生成'!A476</x:f>
        <x:v>472</x:v>
      </x:c>
      <x:c r="B476" s="4" t="n">
        <x:f>'TeamHero生成'!B476</x:f>
        <x:v>1017</x:v>
      </x:c>
      <x:c r="C476" s="4" t="n">
        <x:f>'TeamHero生成'!C476</x:f>
        <x:v>57</x:v>
      </x:c>
      <x:c r="D476" s="5" t="n">
        <x:f>'TeamHero生成'!D476</x:f>
        <x:v>1694263</x:v>
      </x:c>
      <x:c r="E476" s="5" t="n">
        <x:f>'TeamHero生成'!E476</x:f>
        <x:v>37003</x:v>
      </x:c>
      <x:c r="F476" s="5" t="n">
        <x:f>'TeamHero生成'!F476</x:f>
        <x:v>28765</x:v>
      </x:c>
      <x:c r="G476" s="4" t="str">
        <x:f>'TeamHero生成'!AG476</x:f>
        <x:v>有效</x:v>
      </x:c>
      <x:c r="H476" s="4" t="n">
        <x:f>'TeamHero生成'!G476</x:f>
        <x:v>4091582</x:v>
      </x:c>
      <x:c r="I476" s="4" t="n">
        <x:f>'TeamHero生成'!H476</x:f>
        <x:v>64632</x:v>
      </x:c>
      <x:c r="J476" s="4" t="n">
        <x:f>'TeamHero生成'!I476</x:f>
        <x:v>32301</x:v>
      </x:c>
    </x:row>
    <x:row r="477" ht="14.25" customHeight="1">
      <x:c r="A477" s="4" t="n">
        <x:f>'TeamHero生成'!A477</x:f>
        <x:v>473</x:v>
      </x:c>
      <x:c r="B477" s="4" t="n">
        <x:f>'TeamHero生成'!B477</x:f>
        <x:v>1017</x:v>
      </x:c>
      <x:c r="C477" s="4" t="n">
        <x:f>'TeamHero生成'!C477</x:f>
        <x:v>57</x:v>
      </x:c>
      <x:c r="D477" s="5" t="n">
        <x:f>'TeamHero生成'!D477</x:f>
        <x:v>1694263</x:v>
      </x:c>
      <x:c r="E477" s="5" t="n">
        <x:f>'TeamHero生成'!E477</x:f>
        <x:v>37003</x:v>
      </x:c>
      <x:c r="F477" s="5" t="n">
        <x:f>'TeamHero生成'!F477</x:f>
        <x:v>28765</x:v>
      </x:c>
      <x:c r="G477" s="4" t="str">
        <x:f>'TeamHero生成'!AG477</x:f>
        <x:v>有效</x:v>
      </x:c>
      <x:c r="H477" s="4" t="n">
        <x:f>'TeamHero生成'!G477</x:f>
        <x:v>4091582</x:v>
      </x:c>
      <x:c r="I477" s="4" t="n">
        <x:f>'TeamHero生成'!H477</x:f>
        <x:v>64632</x:v>
      </x:c>
      <x:c r="J477" s="4" t="n">
        <x:f>'TeamHero生成'!I477</x:f>
        <x:v>32301</x:v>
      </x:c>
    </x:row>
    <x:row r="478" ht="14.25" customHeight="1">
      <x:c r="A478" s="4" t="n">
        <x:f>'TeamHero生成'!A478</x:f>
        <x:v>474</x:v>
      </x:c>
      <x:c r="B478" s="4" t="n">
        <x:f>'TeamHero生成'!B478</x:f>
        <x:v>1017</x:v>
      </x:c>
      <x:c r="C478" s="4" t="n">
        <x:f>'TeamHero生成'!C478</x:f>
        <x:v>57</x:v>
      </x:c>
      <x:c r="D478" s="5" t="n">
        <x:f>'TeamHero生成'!D478</x:f>
        <x:v>1694263</x:v>
      </x:c>
      <x:c r="E478" s="5" t="n">
        <x:f>'TeamHero生成'!E478</x:f>
        <x:v>37003</x:v>
      </x:c>
      <x:c r="F478" s="5" t="n">
        <x:f>'TeamHero生成'!F478</x:f>
        <x:v>28765</x:v>
      </x:c>
      <x:c r="G478" s="4" t="str">
        <x:f>'TeamHero生成'!AG478</x:f>
        <x:v>有效</x:v>
      </x:c>
      <x:c r="H478" s="4" t="n">
        <x:f>'TeamHero生成'!G478</x:f>
        <x:v>4091582</x:v>
      </x:c>
      <x:c r="I478" s="4" t="n">
        <x:f>'TeamHero生成'!H478</x:f>
        <x:v>64632</x:v>
      </x:c>
      <x:c r="J478" s="4" t="n">
        <x:f>'TeamHero生成'!I478</x:f>
        <x:v>32301</x:v>
      </x:c>
    </x:row>
    <x:row r="479" ht="14.25" customHeight="1">
      <x:c r="A479" s="4" t="n">
        <x:f>'TeamHero生成'!A479</x:f>
        <x:v>475</x:v>
      </x:c>
      <x:c r="B479" s="4" t="n">
        <x:f>'TeamHero生成'!B479</x:f>
        <x:v>1007</x:v>
      </x:c>
      <x:c r="C479" s="4" t="n">
        <x:f>'TeamHero生成'!C479</x:f>
        <x:v>57</x:v>
      </x:c>
      <x:c r="D479" s="5" t="n">
        <x:f>'TeamHero生成'!D479</x:f>
        <x:v>2117829</x:v>
      </x:c>
      <x:c r="E479" s="5" t="n">
        <x:f>'TeamHero生成'!E479</x:f>
        <x:v>30836</x:v>
      </x:c>
      <x:c r="F479" s="5" t="n">
        <x:f>'TeamHero生成'!F479</x:f>
        <x:v>35956</x:v>
      </x:c>
      <x:c r="G479" s="4" t="str">
        <x:f>'TeamHero生成'!AG479</x:f>
        <x:v>有效</x:v>
      </x:c>
      <x:c r="H479" s="4" t="n">
        <x:f>'TeamHero生成'!G479</x:f>
        <x:v>5114478</x:v>
      </x:c>
      <x:c r="I479" s="4" t="n">
        <x:f>'TeamHero生成'!H479</x:f>
        <x:v>53860</x:v>
      </x:c>
      <x:c r="J479" s="4" t="n">
        <x:f>'TeamHero生成'!I479</x:f>
        <x:v>40377</x:v>
      </x:c>
    </x:row>
    <x:row r="480" ht="14.25" customHeight="1">
      <x:c r="A480" s="4" t="n">
        <x:f>'TeamHero生成'!A480</x:f>
        <x:v>476</x:v>
      </x:c>
      <x:c r="B480" s="4" t="n">
        <x:f>'TeamHero生成'!B480</x:f>
        <x:v>1003</x:v>
      </x:c>
      <x:c r="C480" s="4" t="n">
        <x:f>'TeamHero生成'!C480</x:f>
        <x:v>58</x:v>
      </x:c>
      <x:c r="D480" s="5" t="n">
        <x:f>'TeamHero生成'!D480</x:f>
        <x:v>2564024</x:v>
      </x:c>
      <x:c r="E480" s="5" t="n">
        <x:f>'TeamHero生成'!E480</x:f>
        <x:v>31098</x:v>
      </x:c>
      <x:c r="F480" s="5" t="n">
        <x:f>'TeamHero生成'!F480</x:f>
        <x:v>43352</x:v>
      </x:c>
      <x:c r="G480" s="4" t="str">
        <x:f>'TeamHero生成'!AG480</x:f>
        <x:v>有效</x:v>
      </x:c>
      <x:c r="H480" s="4" t="n">
        <x:f>'TeamHero生成'!G480</x:f>
        <x:v>6319612</x:v>
      </x:c>
      <x:c r="I480" s="4" t="n">
        <x:f>'TeamHero生成'!H480</x:f>
        <x:v>55231</x:v>
      </x:c>
      <x:c r="J480" s="4" t="n">
        <x:f>'TeamHero生成'!I480</x:f>
        <x:v>49158</x:v>
      </x:c>
    </x:row>
    <x:row r="481" ht="14.25" customHeight="1">
      <x:c r="A481" s="4" t="n">
        <x:f>'TeamHero生成'!A481</x:f>
        <x:v>477</x:v>
      </x:c>
      <x:c r="B481" s="4" t="n">
        <x:f>'TeamHero生成'!B481</x:f>
        <x:v>1017</x:v>
      </x:c>
      <x:c r="C481" s="4" t="n">
        <x:f>'TeamHero生成'!C481</x:f>
        <x:v>58</x:v>
      </x:c>
      <x:c r="D481" s="5" t="n">
        <x:f>'TeamHero生成'!D481</x:f>
        <x:v>1709349</x:v>
      </x:c>
      <x:c r="E481" s="5" t="n">
        <x:f>'TeamHero生成'!E481</x:f>
        <x:v>37318</x:v>
      </x:c>
      <x:c r="F481" s="5" t="n">
        <x:f>'TeamHero生成'!F481</x:f>
        <x:v>28901</x:v>
      </x:c>
      <x:c r="G481" s="4" t="str">
        <x:f>'TeamHero生成'!AG481</x:f>
        <x:v>有效</x:v>
      </x:c>
      <x:c r="H481" s="4" t="n">
        <x:f>'TeamHero生成'!G481</x:f>
        <x:v>4213075</x:v>
      </x:c>
      <x:c r="I481" s="4" t="n">
        <x:f>'TeamHero生成'!H481</x:f>
        <x:v>66277</x:v>
      </x:c>
      <x:c r="J481" s="4" t="n">
        <x:f>'TeamHero生成'!I481</x:f>
        <x:v>32772</x:v>
      </x:c>
    </x:row>
    <x:row r="482" ht="14.25" customHeight="1">
      <x:c r="A482" s="4" t="n">
        <x:f>'TeamHero生成'!A482</x:f>
        <x:v>478</x:v>
      </x:c>
      <x:c r="B482" s="4" t="n">
        <x:f>'TeamHero生成'!B482</x:f>
        <x:v>1008</x:v>
      </x:c>
      <x:c r="C482" s="4" t="n">
        <x:f>'TeamHero生成'!C482</x:f>
        <x:v>58</x:v>
      </x:c>
      <x:c r="D482" s="5" t="n">
        <x:f>'TeamHero生成'!D482</x:f>
        <x:v>1709349</x:v>
      </x:c>
      <x:c r="E482" s="5" t="n">
        <x:f>'TeamHero生成'!E482</x:f>
        <x:v>37318</x:v>
      </x:c>
      <x:c r="F482" s="5" t="n">
        <x:f>'TeamHero生成'!F482</x:f>
        <x:v>28901</x:v>
      </x:c>
      <x:c r="G482" s="4" t="str">
        <x:f>'TeamHero生成'!AG482</x:f>
        <x:v>有效</x:v>
      </x:c>
      <x:c r="H482" s="4" t="n">
        <x:f>'TeamHero生成'!G482</x:f>
        <x:v>4213075</x:v>
      </x:c>
      <x:c r="I482" s="4" t="n">
        <x:f>'TeamHero生成'!H482</x:f>
        <x:v>66277</x:v>
      </x:c>
      <x:c r="J482" s="4" t="n">
        <x:f>'TeamHero生成'!I482</x:f>
        <x:v>32772</x:v>
      </x:c>
    </x:row>
    <x:row r="483" ht="14.25" customHeight="1">
      <x:c r="A483" s="4" t="n">
        <x:f>'TeamHero生成'!A483</x:f>
        <x:v>479</x:v>
      </x:c>
      <x:c r="B483" s="4" t="n">
        <x:f>'TeamHero生成'!B483</x:f>
        <x:v>1007</x:v>
      </x:c>
      <x:c r="C483" s="4" t="n">
        <x:f>'TeamHero生成'!C483</x:f>
        <x:v>58</x:v>
      </x:c>
      <x:c r="D483" s="5" t="n">
        <x:f>'TeamHero生成'!D483</x:f>
        <x:v>2136687</x:v>
      </x:c>
      <x:c r="E483" s="5" t="n">
        <x:f>'TeamHero生成'!E483</x:f>
        <x:v>31098</x:v>
      </x:c>
      <x:c r="F483" s="5" t="n">
        <x:f>'TeamHero生成'!F483</x:f>
        <x:v>36126</x:v>
      </x:c>
      <x:c r="G483" s="4" t="str">
        <x:f>'TeamHero生成'!AG483</x:f>
        <x:v>有效</x:v>
      </x:c>
      <x:c r="H483" s="4" t="n">
        <x:f>'TeamHero生成'!G483</x:f>
        <x:v>5266344</x:v>
      </x:c>
      <x:c r="I483" s="4" t="n">
        <x:f>'TeamHero生成'!H483</x:f>
        <x:v>55231</x:v>
      </x:c>
      <x:c r="J483" s="4" t="n">
        <x:f>'TeamHero生成'!I483</x:f>
        <x:v>40965</x:v>
      </x:c>
    </x:row>
    <x:row r="484" ht="14.25" customHeight="1">
      <x:c r="A484" s="4" t="n">
        <x:f>'TeamHero生成'!A484</x:f>
        <x:v>480</x:v>
      </x:c>
      <x:c r="B484" s="4" t="n">
        <x:f>'TeamHero生成'!B484</x:f>
        <x:v>1005</x:v>
      </x:c>
      <x:c r="C484" s="4" t="n">
        <x:f>'TeamHero生成'!C484</x:f>
        <x:v>58</x:v>
      </x:c>
      <x:c r="D484" s="5" t="n">
        <x:f>'TeamHero生成'!D484</x:f>
        <x:v>1709349</x:v>
      </x:c>
      <x:c r="E484" s="5" t="n">
        <x:f>'TeamHero生成'!E484</x:f>
        <x:v>37318</x:v>
      </x:c>
      <x:c r="F484" s="5" t="n">
        <x:f>'TeamHero生成'!F484</x:f>
        <x:v>28901</x:v>
      </x:c>
      <x:c r="G484" s="4" t="str">
        <x:f>'TeamHero生成'!AG484</x:f>
        <x:v>有效</x:v>
      </x:c>
      <x:c r="H484" s="4" t="n">
        <x:f>'TeamHero生成'!G484</x:f>
        <x:v>4213075</x:v>
      </x:c>
      <x:c r="I484" s="4" t="n">
        <x:f>'TeamHero生成'!H484</x:f>
        <x:v>66277</x:v>
      </x:c>
      <x:c r="J484" s="4" t="n">
        <x:f>'TeamHero生成'!I484</x:f>
        <x:v>32772</x:v>
      </x:c>
    </x:row>
    <x:row r="485" ht="14.25" customHeight="1">
      <x:c r="A485" s="4" t="n">
        <x:f>'TeamHero生成'!A485</x:f>
        <x:v>481</x:v>
      </x:c>
      <x:c r="B485" s="4" t="n">
        <x:f>'TeamHero生成'!B485</x:f>
        <x:v>1004</x:v>
      </x:c>
      <x:c r="C485" s="4" t="n">
        <x:f>'TeamHero生成'!C485</x:f>
        <x:v>58</x:v>
      </x:c>
      <x:c r="D485" s="5" t="n">
        <x:f>'TeamHero生成'!D485</x:f>
        <x:v>2586965</x:v>
      </x:c>
      <x:c r="E485" s="5" t="n">
        <x:f>'TeamHero生成'!E485</x:f>
        <x:v>31365</x:v>
      </x:c>
      <x:c r="F485" s="5" t="n">
        <x:f>'TeamHero生成'!F485</x:f>
        <x:v>43557</x:v>
      </x:c>
      <x:c r="G485" s="4" t="str">
        <x:f>'TeamHero生成'!AG485</x:f>
        <x:v>有效</x:v>
      </x:c>
      <x:c r="H485" s="4" t="n">
        <x:f>'TeamHero生成'!G485</x:f>
        <x:v>6505956</x:v>
      </x:c>
      <x:c r="I485" s="4" t="n">
        <x:f>'TeamHero生成'!H485</x:f>
        <x:v>56638</x:v>
      </x:c>
      <x:c r="J485" s="4" t="n">
        <x:f>'TeamHero生成'!I485</x:f>
        <x:v>49868</x:v>
      </x:c>
    </x:row>
    <x:row r="486" ht="14.25" customHeight="1">
      <x:c r="A486" s="4" t="n">
        <x:f>'TeamHero生成'!A486</x:f>
        <x:v>482</x:v>
      </x:c>
      <x:c r="B486" s="4" t="n">
        <x:f>'TeamHero生成'!B486</x:f>
        <x:v>1017</x:v>
      </x:c>
      <x:c r="C486" s="4" t="n">
        <x:f>'TeamHero生成'!C486</x:f>
        <x:v>58</x:v>
      </x:c>
      <x:c r="D486" s="5" t="n">
        <x:f>'TeamHero生成'!D486</x:f>
        <x:v>1724643</x:v>
      </x:c>
      <x:c r="E486" s="5" t="n">
        <x:f>'TeamHero生成'!E486</x:f>
        <x:v>37638</x:v>
      </x:c>
      <x:c r="F486" s="5" t="n">
        <x:f>'TeamHero生成'!F486</x:f>
        <x:v>29038</x:v>
      </x:c>
      <x:c r="G486" s="4" t="str">
        <x:f>'TeamHero生成'!AG486</x:f>
        <x:v>有效</x:v>
      </x:c>
      <x:c r="H486" s="4" t="n">
        <x:f>'TeamHero生成'!G486</x:f>
        <x:v>4337304</x:v>
      </x:c>
      <x:c r="I486" s="4" t="n">
        <x:f>'TeamHero生成'!H486</x:f>
        <x:v>67965</x:v>
      </x:c>
      <x:c r="J486" s="4" t="n">
        <x:f>'TeamHero生成'!I486</x:f>
        <x:v>33245</x:v>
      </x:c>
    </x:row>
    <x:row r="487" ht="14.25" customHeight="1">
      <x:c r="A487" s="4" t="n">
        <x:f>'TeamHero生成'!A487</x:f>
        <x:v>483</x:v>
      </x:c>
      <x:c r="B487" s="4" t="n">
        <x:f>'TeamHero生成'!B487</x:f>
        <x:v>1007</x:v>
      </x:c>
      <x:c r="C487" s="4" t="n">
        <x:f>'TeamHero生成'!C487</x:f>
        <x:v>58</x:v>
      </x:c>
      <x:c r="D487" s="5" t="n">
        <x:f>'TeamHero生成'!D487</x:f>
        <x:v>2155804</x:v>
      </x:c>
      <x:c r="E487" s="5" t="n">
        <x:f>'TeamHero生成'!E487</x:f>
        <x:v>31365</x:v>
      </x:c>
      <x:c r="F487" s="5" t="n">
        <x:f>'TeamHero生成'!F487</x:f>
        <x:v>36298</x:v>
      </x:c>
      <x:c r="G487" s="4" t="str">
        <x:f>'TeamHero生成'!AG487</x:f>
        <x:v>有效</x:v>
      </x:c>
      <x:c r="H487" s="4" t="n">
        <x:f>'TeamHero生成'!G487</x:f>
        <x:v>5421630</x:v>
      </x:c>
      <x:c r="I487" s="4" t="n">
        <x:f>'TeamHero生成'!H487</x:f>
        <x:v>56638</x:v>
      </x:c>
      <x:c r="J487" s="4" t="n">
        <x:f>'TeamHero生成'!I487</x:f>
        <x:v>41557</x:v>
      </x:c>
    </x:row>
    <x:row r="488" ht="14.25" customHeight="1">
      <x:c r="A488" s="4" t="n">
        <x:f>'TeamHero生成'!A488</x:f>
        <x:v>484</x:v>
      </x:c>
      <x:c r="B488" s="4" t="n">
        <x:f>'TeamHero生成'!B488</x:f>
        <x:v>1017</x:v>
      </x:c>
      <x:c r="C488" s="4" t="n">
        <x:f>'TeamHero生成'!C488</x:f>
        <x:v>58</x:v>
      </x:c>
      <x:c r="D488" s="5" t="n">
        <x:f>'TeamHero生成'!D488</x:f>
        <x:v>1724643</x:v>
      </x:c>
      <x:c r="E488" s="5" t="n">
        <x:f>'TeamHero生成'!E488</x:f>
        <x:v>37638</x:v>
      </x:c>
      <x:c r="F488" s="5" t="n">
        <x:f>'TeamHero生成'!F488</x:f>
        <x:v>29038</x:v>
      </x:c>
      <x:c r="G488" s="4" t="str">
        <x:f>'TeamHero生成'!AG488</x:f>
        <x:v>有效</x:v>
      </x:c>
      <x:c r="H488" s="4" t="n">
        <x:f>'TeamHero生成'!G488</x:f>
        <x:v>4337304</x:v>
      </x:c>
      <x:c r="I488" s="4" t="n">
        <x:f>'TeamHero生成'!H488</x:f>
        <x:v>67965</x:v>
      </x:c>
      <x:c r="J488" s="4" t="n">
        <x:f>'TeamHero生成'!I488</x:f>
        <x:v>33245</x:v>
      </x:c>
    </x:row>
    <x:row r="489" ht="14.25" customHeight="1">
      <x:c r="A489" s="4" t="n">
        <x:f>'TeamHero生成'!A489</x:f>
        <x:v>485</x:v>
      </x:c>
      <x:c r="B489" s="4" t="n">
        <x:f>'TeamHero生成'!B489</x:f>
        <x:v>1013</x:v>
      </x:c>
      <x:c r="C489" s="4" t="n">
        <x:f>'TeamHero生成'!C489</x:f>
        <x:v>58</x:v>
      </x:c>
      <x:c r="D489" s="5" t="n">
        <x:f>'TeamHero生成'!D489</x:f>
        <x:v>1724643</x:v>
      </x:c>
      <x:c r="E489" s="5" t="n">
        <x:f>'TeamHero生成'!E489</x:f>
        <x:v>37638</x:v>
      </x:c>
      <x:c r="F489" s="5" t="n">
        <x:f>'TeamHero生成'!F489</x:f>
        <x:v>29038</x:v>
      </x:c>
      <x:c r="G489" s="4" t="str">
        <x:f>'TeamHero生成'!AG489</x:f>
        <x:v>有效</x:v>
      </x:c>
      <x:c r="H489" s="4" t="n">
        <x:f>'TeamHero生成'!G489</x:f>
        <x:v>4337304</x:v>
      </x:c>
      <x:c r="I489" s="4" t="n">
        <x:f>'TeamHero生成'!H489</x:f>
        <x:v>67965</x:v>
      </x:c>
      <x:c r="J489" s="4" t="n">
        <x:f>'TeamHero生成'!I489</x:f>
        <x:v>33245</x:v>
      </x:c>
    </x:row>
    <x:row r="490" ht="14.25" customHeight="1">
      <x:c r="A490" s="4" t="n">
        <x:f>'TeamHero生成'!A490</x:f>
        <x:v>486</x:v>
      </x:c>
      <x:c r="B490" s="4" t="n">
        <x:f>'TeamHero生成'!B490</x:f>
        <x:v>1003</x:v>
      </x:c>
      <x:c r="C490" s="4" t="n">
        <x:f>'TeamHero生成'!C490</x:f>
        <x:v>59</x:v>
      </x:c>
      <x:c r="D490" s="5" t="n">
        <x:f>'TeamHero生成'!D490</x:f>
        <x:v>2636273</x:v>
      </x:c>
      <x:c r="E490" s="5" t="n">
        <x:f>'TeamHero生成'!E490</x:f>
        <x:v>31871</x:v>
      </x:c>
      <x:c r="F490" s="5" t="n">
        <x:f>'TeamHero生成'!F490</x:f>
        <x:v>43967</x:v>
      </x:c>
      <x:c r="G490" s="4" t="str">
        <x:f>'TeamHero生成'!AG490</x:f>
        <x:v>有效</x:v>
      </x:c>
      <x:c r="H490" s="4" t="n">
        <x:f>'TeamHero生成'!G490</x:f>
        <x:v>6696453</x:v>
      </x:c>
      <x:c r="I490" s="4" t="n">
        <x:f>'TeamHero生成'!H490</x:f>
        <x:v>58078</x:v>
      </x:c>
      <x:c r="J490" s="4" t="n">
        <x:f>'TeamHero生成'!I490</x:f>
        <x:v>50582</x:v>
      </x:c>
    </x:row>
    <x:row r="491" ht="14.25" customHeight="1">
      <x:c r="A491" s="4" t="n">
        <x:f>'TeamHero生成'!A491</x:f>
        <x:v>487</x:v>
      </x:c>
      <x:c r="B491" s="4" t="n">
        <x:f>'TeamHero生成'!B491</x:f>
        <x:v>1005</x:v>
      </x:c>
      <x:c r="C491" s="4" t="n">
        <x:f>'TeamHero生成'!C491</x:f>
        <x:v>59</x:v>
      </x:c>
      <x:c r="D491" s="5" t="n">
        <x:f>'TeamHero生成'!D491</x:f>
        <x:v>1757515</x:v>
      </x:c>
      <x:c r="E491" s="5" t="n">
        <x:f>'TeamHero生成'!E491</x:f>
        <x:v>38245</x:v>
      </x:c>
      <x:c r="F491" s="5" t="n">
        <x:f>'TeamHero生成'!F491</x:f>
        <x:v>29311</x:v>
      </x:c>
      <x:c r="G491" s="4" t="str">
        <x:f>'TeamHero生成'!AG491</x:f>
        <x:v>有效</x:v>
      </x:c>
      <x:c r="H491" s="4" t="n">
        <x:f>'TeamHero生成'!G491</x:f>
        <x:v>4464302</x:v>
      </x:c>
      <x:c r="I491" s="4" t="n">
        <x:f>'TeamHero生成'!H491</x:f>
        <x:v>69693</x:v>
      </x:c>
      <x:c r="J491" s="4" t="n">
        <x:f>'TeamHero生成'!I491</x:f>
        <x:v>33721</x:v>
      </x:c>
    </x:row>
    <x:row r="492" ht="14.25" customHeight="1">
      <x:c r="A492" s="4" t="n">
        <x:f>'TeamHero生成'!A492</x:f>
        <x:v>488</x:v>
      </x:c>
      <x:c r="B492" s="4" t="n">
        <x:f>'TeamHero生成'!B492</x:f>
        <x:v>1005</x:v>
      </x:c>
      <x:c r="C492" s="4" t="n">
        <x:f>'TeamHero生成'!C492</x:f>
        <x:v>59</x:v>
      </x:c>
      <x:c r="D492" s="5" t="n">
        <x:f>'TeamHero生成'!D492</x:f>
        <x:v>1757515</x:v>
      </x:c>
      <x:c r="E492" s="5" t="n">
        <x:f>'TeamHero生成'!E492</x:f>
        <x:v>38245</x:v>
      </x:c>
      <x:c r="F492" s="5" t="n">
        <x:f>'TeamHero生成'!F492</x:f>
        <x:v>29311</x:v>
      </x:c>
      <x:c r="G492" s="4" t="str">
        <x:f>'TeamHero生成'!AG492</x:f>
        <x:v>有效</x:v>
      </x:c>
      <x:c r="H492" s="4" t="n">
        <x:f>'TeamHero生成'!G492</x:f>
        <x:v>4464302</x:v>
      </x:c>
      <x:c r="I492" s="4" t="n">
        <x:f>'TeamHero生成'!H492</x:f>
        <x:v>69693</x:v>
      </x:c>
      <x:c r="J492" s="4" t="n">
        <x:f>'TeamHero生成'!I492</x:f>
        <x:v>33721</x:v>
      </x:c>
    </x:row>
    <x:row r="493" ht="14.25" customHeight="1">
      <x:c r="A493" s="4" t="n">
        <x:f>'TeamHero生成'!A493</x:f>
        <x:v>489</x:v>
      </x:c>
      <x:c r="B493" s="4" t="n">
        <x:f>'TeamHero生成'!B493</x:f>
        <x:v>1017</x:v>
      </x:c>
      <x:c r="C493" s="4" t="n">
        <x:f>'TeamHero生成'!C493</x:f>
        <x:v>59</x:v>
      </x:c>
      <x:c r="D493" s="5" t="n">
        <x:f>'TeamHero生成'!D493</x:f>
        <x:v>1757515</x:v>
      </x:c>
      <x:c r="E493" s="5" t="n">
        <x:f>'TeamHero生成'!E493</x:f>
        <x:v>38245</x:v>
      </x:c>
      <x:c r="F493" s="5" t="n">
        <x:f>'TeamHero生成'!F493</x:f>
        <x:v>29311</x:v>
      </x:c>
      <x:c r="G493" s="4" t="str">
        <x:f>'TeamHero生成'!AG493</x:f>
        <x:v>有效</x:v>
      </x:c>
      <x:c r="H493" s="4" t="n">
        <x:f>'TeamHero生成'!G493</x:f>
        <x:v>4464302</x:v>
      </x:c>
      <x:c r="I493" s="4" t="n">
        <x:f>'TeamHero生成'!H493</x:f>
        <x:v>69693</x:v>
      </x:c>
      <x:c r="J493" s="4" t="n">
        <x:f>'TeamHero生成'!I493</x:f>
        <x:v>33721</x:v>
      </x:c>
    </x:row>
    <x:row r="494" ht="14.25" customHeight="1">
      <x:c r="A494" s="4" t="n">
        <x:f>'TeamHero生成'!A494</x:f>
        <x:v>490</x:v>
      </x:c>
      <x:c r="B494" s="4" t="n">
        <x:f>'TeamHero生成'!B494</x:f>
        <x:v>1007</x:v>
      </x:c>
      <x:c r="C494" s="4" t="n">
        <x:f>'TeamHero生成'!C494</x:f>
        <x:v>59</x:v>
      </x:c>
      <x:c r="D494" s="5" t="n">
        <x:f>'TeamHero生成'!D494</x:f>
        <x:v>2196894</x:v>
      </x:c>
      <x:c r="E494" s="5" t="n">
        <x:f>'TeamHero生成'!E494</x:f>
        <x:v>31871</x:v>
      </x:c>
      <x:c r="F494" s="5" t="n">
        <x:f>'TeamHero生成'!F494</x:f>
        <x:v>36639</x:v>
      </x:c>
      <x:c r="G494" s="4" t="str">
        <x:f>'TeamHero生成'!AG494</x:f>
        <x:v>有效</x:v>
      </x:c>
      <x:c r="H494" s="4" t="n">
        <x:f>'TeamHero生成'!G494</x:f>
        <x:v>5580378</x:v>
      </x:c>
      <x:c r="I494" s="4" t="n">
        <x:f>'TeamHero生成'!H494</x:f>
        <x:v>58078</x:v>
      </x:c>
      <x:c r="J494" s="4" t="n">
        <x:f>'TeamHero生成'!I494</x:f>
        <x:v>42152</x:v>
      </x:c>
    </x:row>
    <x:row r="495" ht="14.25" customHeight="1">
      <x:c r="A495" s="4" t="n">
        <x:f>'TeamHero生成'!A495</x:f>
        <x:v>491</x:v>
      </x:c>
      <x:c r="B495" s="4" t="n">
        <x:f>'TeamHero生成'!B495</x:f>
        <x:v>1003</x:v>
      </x:c>
      <x:c r="C495" s="4" t="n">
        <x:f>'TeamHero生成'!C495</x:f>
        <x:v>59</x:v>
      </x:c>
      <x:c r="D495" s="5" t="n">
        <x:f>'TeamHero生成'!D495</x:f>
        <x:v>2657191</x:v>
      </x:c>
      <x:c r="E495" s="5" t="n">
        <x:f>'TeamHero生成'!E495</x:f>
        <x:v>32133</x:v>
      </x:c>
      <x:c r="F495" s="5" t="n">
        <x:f>'TeamHero生成'!F495</x:f>
        <x:v>44174</x:v>
      </x:c>
      <x:c r="G495" s="4" t="str">
        <x:f>'TeamHero生成'!AG495</x:f>
        <x:v>有效</x:v>
      </x:c>
      <x:c r="H495" s="4" t="n">
        <x:f>'TeamHero生成'!G495</x:f>
        <x:v>6891192</x:v>
      </x:c>
      <x:c r="I495" s="4" t="n">
        <x:f>'TeamHero生成'!H495</x:f>
        <x:v>59554</x:v>
      </x:c>
      <x:c r="J495" s="4" t="n">
        <x:f>'TeamHero生成'!I495</x:f>
        <x:v>51301</x:v>
      </x:c>
    </x:row>
    <x:row r="496" ht="14.25" customHeight="1">
      <x:c r="A496" s="4" t="n">
        <x:f>'TeamHero生成'!A496</x:f>
        <x:v>492</x:v>
      </x:c>
      <x:c r="B496" s="4" t="n">
        <x:f>'TeamHero生成'!B496</x:f>
        <x:v>1017</x:v>
      </x:c>
      <x:c r="C496" s="4" t="n">
        <x:f>'TeamHero生成'!C496</x:f>
        <x:v>59</x:v>
      </x:c>
      <x:c r="D496" s="5" t="n">
        <x:f>'TeamHero生成'!D496</x:f>
        <x:v>1771461</x:v>
      </x:c>
      <x:c r="E496" s="5" t="n">
        <x:f>'TeamHero生成'!E496</x:f>
        <x:v>38560</x:v>
      </x:c>
      <x:c r="F496" s="5" t="n">
        <x:f>'TeamHero生成'!F496</x:f>
        <x:v>29449</x:v>
      </x:c>
      <x:c r="G496" s="4" t="str">
        <x:f>'TeamHero生成'!AG496</x:f>
        <x:v>有效</x:v>
      </x:c>
      <x:c r="H496" s="4" t="n">
        <x:f>'TeamHero生成'!G496</x:f>
        <x:v>4594128</x:v>
      </x:c>
      <x:c r="I496" s="4" t="n">
        <x:f>'TeamHero生成'!H496</x:f>
        <x:v>71464</x:v>
      </x:c>
      <x:c r="J496" s="4" t="n">
        <x:f>'TeamHero生成'!I496</x:f>
        <x:v>34200</x:v>
      </x:c>
    </x:row>
    <x:row r="497" ht="14.25" customHeight="1">
      <x:c r="A497" s="4" t="n">
        <x:f>'TeamHero生成'!A497</x:f>
        <x:v>493</x:v>
      </x:c>
      <x:c r="B497" s="4" t="n">
        <x:f>'TeamHero生成'!B497</x:f>
        <x:v>1017</x:v>
      </x:c>
      <x:c r="C497" s="4" t="n">
        <x:f>'TeamHero生成'!C497</x:f>
        <x:v>59</x:v>
      </x:c>
      <x:c r="D497" s="5" t="n">
        <x:f>'TeamHero生成'!D497</x:f>
        <x:v>1771461</x:v>
      </x:c>
      <x:c r="E497" s="5" t="n">
        <x:f>'TeamHero生成'!E497</x:f>
        <x:v>38560</x:v>
      </x:c>
      <x:c r="F497" s="5" t="n">
        <x:f>'TeamHero生成'!F497</x:f>
        <x:v>29449</x:v>
      </x:c>
      <x:c r="G497" s="4" t="str">
        <x:f>'TeamHero生成'!AG497</x:f>
        <x:v>有效</x:v>
      </x:c>
      <x:c r="H497" s="4" t="n">
        <x:f>'TeamHero生成'!G497</x:f>
        <x:v>4594128</x:v>
      </x:c>
      <x:c r="I497" s="4" t="n">
        <x:f>'TeamHero生成'!H497</x:f>
        <x:v>71464</x:v>
      </x:c>
      <x:c r="J497" s="4" t="n">
        <x:f>'TeamHero生成'!I497</x:f>
        <x:v>34200</x:v>
      </x:c>
    </x:row>
    <x:row r="498" ht="14.25" customHeight="1">
      <x:c r="A498" s="4" t="n">
        <x:f>'TeamHero生成'!A498</x:f>
        <x:v>494</x:v>
      </x:c>
      <x:c r="B498" s="4" t="n">
        <x:f>'TeamHero生成'!B498</x:f>
        <x:v>1008</x:v>
      </x:c>
      <x:c r="C498" s="4" t="n">
        <x:f>'TeamHero生成'!C498</x:f>
        <x:v>59</x:v>
      </x:c>
      <x:c r="D498" s="5" t="n">
        <x:f>'TeamHero生成'!D498</x:f>
        <x:v>1771461</x:v>
      </x:c>
      <x:c r="E498" s="5" t="n">
        <x:f>'TeamHero生成'!E498</x:f>
        <x:v>38560</x:v>
      </x:c>
      <x:c r="F498" s="5" t="n">
        <x:f>'TeamHero生成'!F498</x:f>
        <x:v>29449</x:v>
      </x:c>
      <x:c r="G498" s="4" t="str">
        <x:f>'TeamHero生成'!AG498</x:f>
        <x:v>有效</x:v>
      </x:c>
      <x:c r="H498" s="4" t="n">
        <x:f>'TeamHero生成'!G498</x:f>
        <x:v>4594128</x:v>
      </x:c>
      <x:c r="I498" s="4" t="n">
        <x:f>'TeamHero生成'!H498</x:f>
        <x:v>71464</x:v>
      </x:c>
      <x:c r="J498" s="4" t="n">
        <x:f>'TeamHero生成'!I498</x:f>
        <x:v>34200</x:v>
      </x:c>
    </x:row>
    <x:row r="499" ht="14.25" customHeight="1">
      <x:c r="A499" s="4" t="n">
        <x:f>'TeamHero生成'!A499</x:f>
        <x:v>495</x:v>
      </x:c>
      <x:c r="B499" s="4" t="n">
        <x:f>'TeamHero生成'!B499</x:f>
        <x:v>1007</x:v>
      </x:c>
      <x:c r="C499" s="4" t="n">
        <x:f>'TeamHero生成'!C499</x:f>
        <x:v>59</x:v>
      </x:c>
      <x:c r="D499" s="5" t="n">
        <x:f>'TeamHero生成'!D499</x:f>
        <x:v>2214326</x:v>
      </x:c>
      <x:c r="E499" s="5" t="n">
        <x:f>'TeamHero生成'!E499</x:f>
        <x:v>32133</x:v>
      </x:c>
      <x:c r="F499" s="5" t="n">
        <x:f>'TeamHero生成'!F499</x:f>
        <x:v>36811</x:v>
      </x:c>
      <x:c r="G499" s="4" t="str">
        <x:f>'TeamHero生成'!AG499</x:f>
        <x:v>有效</x:v>
      </x:c>
      <x:c r="H499" s="4" t="n">
        <x:f>'TeamHero生成'!G499</x:f>
        <x:v>5742660</x:v>
      </x:c>
      <x:c r="I499" s="4" t="n">
        <x:f>'TeamHero生成'!H499</x:f>
        <x:v>59554</x:v>
      </x:c>
      <x:c r="J499" s="4" t="n">
        <x:f>'TeamHero生成'!I499</x:f>
        <x:v>42751</x:v>
      </x:c>
    </x:row>
    <x:row r="500" ht="14.25" customHeight="1">
      <x:c r="A500" s="4" t="n">
        <x:f>'TeamHero生成'!A500</x:f>
        <x:v>496</x:v>
      </x:c>
      <x:c r="B500" s="4" t="n">
        <x:f>'TeamHero生成'!B500</x:f>
        <x:v>1003</x:v>
      </x:c>
      <x:c r="C500" s="4" t="n">
        <x:f>'TeamHero生成'!C500</x:f>
        <x:v>60</x:v>
      </x:c>
      <x:c r="D500" s="5" t="n">
        <x:f>'TeamHero生成'!D500</x:f>
        <x:v>2685426</x:v>
      </x:c>
      <x:c r="E500" s="5" t="n">
        <x:f>'TeamHero生成'!E500</x:f>
        <x:v>32431</x:v>
      </x:c>
      <x:c r="F500" s="5" t="n">
        <x:f>'TeamHero生成'!F500</x:f>
        <x:v>44379</x:v>
      </x:c>
      <x:c r="G500" s="4" t="str">
        <x:f>'TeamHero生成'!AG500</x:f>
        <x:v>有效</x:v>
      </x:c>
      <x:c r="H500" s="4" t="n">
        <x:f>'TeamHero生成'!G500</x:f>
        <x:v>7140672</x:v>
      </x:c>
      <x:c r="I500" s="4" t="n">
        <x:f>'TeamHero生成'!H500</x:f>
        <x:v>61451</x:v>
      </x:c>
      <x:c r="J500" s="4" t="n">
        <x:f>'TeamHero生成'!I500</x:f>
        <x:v>52206</x:v>
      </x:c>
    </x:row>
    <x:row r="501" ht="14.25" customHeight="1">
      <x:c r="A501" s="4" t="n">
        <x:f>'TeamHero生成'!A501</x:f>
        <x:v>497</x:v>
      </x:c>
      <x:c r="B501" s="4" t="n">
        <x:f>'TeamHero生成'!B501</x:f>
        <x:v>1005</x:v>
      </x:c>
      <x:c r="C501" s="4" t="n">
        <x:f>'TeamHero生成'!C501</x:f>
        <x:v>60</x:v>
      </x:c>
      <x:c r="D501" s="5" t="n">
        <x:f>'TeamHero生成'!D501</x:f>
        <x:v>1790284</x:v>
      </x:c>
      <x:c r="E501" s="5" t="n">
        <x:f>'TeamHero生成'!E501</x:f>
        <x:v>38918</x:v>
      </x:c>
      <x:c r="F501" s="5" t="n">
        <x:f>'TeamHero生成'!F501</x:f>
        <x:v>29586</x:v>
      </x:c>
      <x:c r="G501" s="4" t="str">
        <x:f>'TeamHero生成'!AG501</x:f>
        <x:v>有效</x:v>
      </x:c>
      <x:c r="H501" s="4" t="n">
        <x:f>'TeamHero生成'!G501</x:f>
        <x:v>4760448</x:v>
      </x:c>
      <x:c r="I501" s="4" t="n">
        <x:f>'TeamHero生成'!H501</x:f>
        <x:v>73741</x:v>
      </x:c>
      <x:c r="J501" s="4" t="n">
        <x:f>'TeamHero生成'!I501</x:f>
        <x:v>34804</x:v>
      </x:c>
    </x:row>
    <x:row r="502" ht="14.25" customHeight="1">
      <x:c r="A502" s="4" t="n">
        <x:f>'TeamHero生成'!A502</x:f>
        <x:v>498</x:v>
      </x:c>
      <x:c r="B502" s="4" t="n">
        <x:f>'TeamHero生成'!B502</x:f>
        <x:v>1005</x:v>
      </x:c>
      <x:c r="C502" s="4" t="n">
        <x:f>'TeamHero生成'!C502</x:f>
        <x:v>60</x:v>
      </x:c>
      <x:c r="D502" s="5" t="n">
        <x:f>'TeamHero生成'!D502</x:f>
        <x:v>1790284</x:v>
      </x:c>
      <x:c r="E502" s="5" t="n">
        <x:f>'TeamHero生成'!E502</x:f>
        <x:v>38918</x:v>
      </x:c>
      <x:c r="F502" s="5" t="n">
        <x:f>'TeamHero生成'!F502</x:f>
        <x:v>29586</x:v>
      </x:c>
      <x:c r="G502" s="4" t="str">
        <x:f>'TeamHero生成'!AG502</x:f>
        <x:v>有效</x:v>
      </x:c>
      <x:c r="H502" s="4" t="n">
        <x:f>'TeamHero生成'!G502</x:f>
        <x:v>4760448</x:v>
      </x:c>
      <x:c r="I502" s="4" t="n">
        <x:f>'TeamHero生成'!H502</x:f>
        <x:v>73741</x:v>
      </x:c>
      <x:c r="J502" s="4" t="n">
        <x:f>'TeamHero生成'!I502</x:f>
        <x:v>34804</x:v>
      </x:c>
    </x:row>
    <x:row r="503" ht="14.25" customHeight="1">
      <x:c r="A503" s="4" t="n">
        <x:f>'TeamHero生成'!A503</x:f>
        <x:v>499</x:v>
      </x:c>
      <x:c r="B503" s="4" t="n">
        <x:f>'TeamHero生成'!B503</x:f>
        <x:v>1005</x:v>
      </x:c>
      <x:c r="C503" s="4" t="n">
        <x:f>'TeamHero生成'!C503</x:f>
        <x:v>60</x:v>
      </x:c>
      <x:c r="D503" s="5" t="n">
        <x:f>'TeamHero生成'!D503</x:f>
        <x:v>1790284</x:v>
      </x:c>
      <x:c r="E503" s="5" t="n">
        <x:f>'TeamHero生成'!E503</x:f>
        <x:v>38918</x:v>
      </x:c>
      <x:c r="F503" s="5" t="n">
        <x:f>'TeamHero生成'!F503</x:f>
        <x:v>29586</x:v>
      </x:c>
      <x:c r="G503" s="4" t="str">
        <x:f>'TeamHero生成'!AG503</x:f>
        <x:v>有效</x:v>
      </x:c>
      <x:c r="H503" s="4" t="n">
        <x:f>'TeamHero生成'!G503</x:f>
        <x:v>4760448</x:v>
      </x:c>
      <x:c r="I503" s="4" t="n">
        <x:f>'TeamHero生成'!H503</x:f>
        <x:v>73741</x:v>
      </x:c>
      <x:c r="J503" s="4" t="n">
        <x:f>'TeamHero生成'!I503</x:f>
        <x:v>34804</x:v>
      </x:c>
    </x:row>
    <x:row r="504" ht="14.25" customHeight="1">
      <x:c r="A504" s="4" t="n">
        <x:f>'TeamHero生成'!A504</x:f>
        <x:v>500</x:v>
      </x:c>
      <x:c r="B504" s="4" t="n">
        <x:f>'TeamHero生成'!B504</x:f>
        <x:v>1029</x:v>
      </x:c>
      <x:c r="C504" s="4" t="n">
        <x:f>'TeamHero生成'!C504</x:f>
        <x:v>60</x:v>
      </x:c>
      <x:c r="D504" s="5" t="n">
        <x:f>'TeamHero生成'!D504</x:f>
        <x:v>2237855</x:v>
      </x:c>
      <x:c r="E504" s="5" t="n">
        <x:f>'TeamHero生成'!E504</x:f>
        <x:v>32431</x:v>
      </x:c>
      <x:c r="F504" s="5" t="n">
        <x:f>'TeamHero生成'!F504</x:f>
        <x:v>36983</x:v>
      </x:c>
      <x:c r="G504" s="4" t="str">
        <x:f>'TeamHero生成'!AG504</x:f>
        <x:v>有效</x:v>
      </x:c>
      <x:c r="H504" s="4" t="n">
        <x:f>'TeamHero生成'!G504</x:f>
        <x:v>5950560</x:v>
      </x:c>
      <x:c r="I504" s="4" t="n">
        <x:f>'TeamHero生成'!H504</x:f>
        <x:v>61451</x:v>
      </x:c>
      <x:c r="J504" s="4" t="n">
        <x:f>'TeamHero生成'!I504</x:f>
        <x:v>43505</x:v>
      </x:c>
    </x:row>
  </x:sheetData>
  <x:mergeCells>
    <x:mergeCell ref="A1:J1"/>
    <x:mergeCell ref="A2:J2"/>
  </x:mergeCells>
  <x:conditionalFormatting sqref="G5:G504">
    <x:cfRule type="expression" dxfId="0" priority="1">
      <x:formula>$G5="异常"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2" customHeight="1">
      <x:c r="A1" s="15" t="str">
        <x:v>楼层</x:v>
      </x:c>
      <x:c r="B1" s="15" t="str">
        <x:v>对照进度</x:v>
      </x:c>
      <x:c r="C1" s="15" t="str">
        <x:v>旧等级</x:v>
      </x:c>
      <x:c r="D1" s="15" t="str">
        <x:v>新等级</x:v>
      </x:c>
      <x:c r="E1" s="15" t="str">
        <x:v>旧击杀秒</x:v>
      </x:c>
      <x:c r="F1" s="15" t="str">
        <x:v>新击杀秒</x:v>
      </x:c>
      <x:c r="G1" s="15" t="str">
        <x:v>旧生存秒</x:v>
      </x:c>
      <x:c r="H1" s="15" t="str">
        <x:v>新生存秒</x:v>
      </x:c>
      <x:c r="I1" s="15" t="str">
        <x:v>击杀比</x:v>
      </x:c>
      <x:c r="J1" s="15" t="str">
        <x:v>生存比</x:v>
      </x:c>
    </x:row>
    <x:row r="2">
      <x:c r="A2" t="n">
        <x:v>1</x:v>
      </x:c>
      <x:c r="B2" t="n">
        <x:v>24</x:v>
      </x:c>
      <x:c r="C2" t="n">
        <x:v>37</x:v>
      </x:c>
      <x:c r="D2" t="n">
        <x:f>INDEX('楼层配置'!$D$5:$D$104,MATCH(A2,'楼层配置'!$B$5:$B$104,0))</x:f>
        <x:v>15</x:v>
      </x:c>
      <x:c r="E2" s="16" t="n">
        <x:v>5.595482921841699</x:v>
      </x:c>
      <x:c r="F2" s="16" t="n">
        <x:f>SUMIF('TeamHero生成'!$K$5:$K$504,A2,'TeamHero生成'!$AH$5:$AH$504)/26573.25615624613</x:f>
        <x:v>1.9688363424756934</x:v>
      </x:c>
      <x:c r="G2" s="16" t="n">
        <x:v>8.680990672536346</x:v>
      </x:c>
      <x:c r="H2" s="16" t="n">
        <x:f>79813.02824329917/SUMIF('TeamHero生成'!$K$5:$K$504,A2,'TeamHero生成'!$E$5:$E$504)</x:f>
        <x:v>19.17660457551638</x:v>
      </x:c>
      <x:c r="I2" s="16" t="n">
        <x:f>F2/E2</x:f>
        <x:v>0.35186173740079435</x:v>
      </x:c>
      <x:c r="J2" s="16" t="n">
        <x:f>H2/G2</x:f>
        <x:v>2.209034118212398</x:v>
      </x:c>
    </x:row>
    <x:row r="3">
      <x:c r="A3" t="n">
        <x:v>2</x:v>
      </x:c>
      <x:c r="B3" t="n">
        <x:v>25</x:v>
      </x:c>
      <x:c r="C3" t="n">
        <x:v>44</x:v>
      </x:c>
      <x:c r="D3" t="n">
        <x:f>INDEX('楼层配置'!$D$5:$D$104,MATCH(A3,'楼层配置'!$B$5:$B$104,0))</x:f>
        <x:v>18</x:v>
      </x:c>
      <x:c r="E3" s="16" t="n">
        <x:v>6.5176557896762315</x:v>
      </x:c>
      <x:c r="F3" s="16" t="n">
        <x:f>SUMIF('TeamHero生成'!$K$5:$K$504,A3,'TeamHero生成'!$AH$5:$AH$504)/28151.910715430065</x:f>
        <x:v>2.328177100926797</x:v>
      </x:c>
      <x:c r="G3" s="16" t="n">
        <x:v>7.408974890213183</x:v>
      </x:c>
      <x:c r="H3" s="16" t="n">
        <x:f>83890.02099610947/SUMIF('TeamHero生成'!$K$5:$K$504,A3,'TeamHero生成'!$E$5:$E$504)</x:f>
        <x:v>15.951705836871927</x:v>
      </x:c>
      <x:c r="I3" s="16" t="n">
        <x:f>F3/E3</x:f>
        <x:v>0.357210809539</x:v>
      </x:c>
      <x:c r="J3" s="16" t="n">
        <x:f>H3/G3</x:f>
        <x:v>2.15302468603898</x:v>
      </x:c>
    </x:row>
    <x:row r="4">
      <x:c r="A4" t="n">
        <x:v>3</x:v>
      </x:c>
      <x:c r="B4" t="n">
        <x:v>27</x:v>
      </x:c>
      <x:c r="C4" t="n">
        <x:v>51</x:v>
      </x:c>
      <x:c r="D4" t="n">
        <x:f>INDEX('楼层配置'!$D$5:$D$104,MATCH(A4,'楼层配置'!$B$5:$B$104,0))</x:f>
        <x:v>22</x:v>
      </x:c>
      <x:c r="E4" s="16" t="n">
        <x:v>9.414217321327296</x:v>
      </x:c>
      <x:c r="F4" s="16" t="n">
        <x:f>SUMIF('TeamHero生成'!$K$5:$K$504,A4,'TeamHero生成'!$AH$5:$AH$504)/31434.336831653138</x:f>
        <x:v>3.562881676433426</x:v>
      </x:c>
      <x:c r="G4" s="16" t="n">
        <x:v>8.289356325719409</x:v>
      </x:c>
      <x:c r="H4" s="16" t="n">
        <x:f>92272.48660908219/SUMIF('TeamHero生成'!$K$5:$K$504,A4,'TeamHero生成'!$E$5:$E$504)</x:f>
        <x:v>16.700902553680034</x:v>
      </x:c>
      <x:c r="I4" s="16" t="n">
        <x:f>F4/E4</x:f>
        <x:v>0.3784575557186204</x:v>
      </x:c>
      <x:c r="J4" s="16" t="n">
        <x:f>H4/G4</x:f>
        <x:v>2.0147405778494645</x:v>
      </x:c>
    </x:row>
    <x:row r="5">
      <x:c r="A5" t="n">
        <x:v>4</x:v>
      </x:c>
      <x:c r="B5" t="n">
        <x:v>29</x:v>
      </x:c>
      <x:c r="C5" t="n">
        <x:v>59</x:v>
      </x:c>
      <x:c r="D5" t="n">
        <x:f>INDEX('楼层配置'!$D$5:$D$104,MATCH(A5,'楼层配置'!$B$5:$B$104,0))</x:f>
        <x:v>25</x:v>
      </x:c>
      <x:c r="E5" s="16" t="n">
        <x:v>7.594594376017211</x:v>
      </x:c>
      <x:c r="F5" s="16" t="n">
        <x:f>SUMIF('TeamHero生成'!$K$5:$K$504,A5,'TeamHero生成'!$AH$5:$AH$504)/34979.15789613861</x:f>
        <x:v>2.90760197263718</x:v>
      </x:c>
      <x:c r="G5" s="16" t="n">
        <x:v>6.8249721416230775</x:v>
      </x:c>
      <x:c r="H5" s="16" t="n">
        <x:f>101159.97925168664/SUMIF('TeamHero生成'!$K$5:$K$504,A5,'TeamHero生成'!$E$5:$E$504)</x:f>
        <x:v>13.679510378862291</x:v>
      </x:c>
      <x:c r="I5" s="16" t="n">
        <x:f>F5/E5</x:f>
        <x:v>0.38285151631257974</x:v>
      </x:c>
      <x:c r="J5" s="16" t="n">
        <x:f>H5/G5</x:f>
        <x:v>2.00433204634431</x:v>
      </x:c>
    </x:row>
    <x:row r="6">
      <x:c r="A6" t="n">
        <x:v>5</x:v>
      </x:c>
      <x:c r="B6" t="n">
        <x:v>30</x:v>
      </x:c>
      <x:c r="C6" t="n">
        <x:v>65</x:v>
      </x:c>
      <x:c r="D6" t="n">
        <x:f>INDEX('楼层配置'!$D$5:$D$104,MATCH(A6,'楼层配置'!$B$5:$B$104,0))</x:f>
        <x:v>28</x:v>
      </x:c>
      <x:c r="E6" s="16" t="n">
        <x:v>10.593951548523533</x:v>
      </x:c>
      <x:c r="F6" s="16" t="n">
        <x:f>SUMIF('TeamHero生成'!$K$5:$K$504,A6,'TeamHero生成'!$AH$5:$AH$504)/36095.898235044086</x:f>
        <x:v>3.9694757508733596</x:v>
      </x:c>
      <x:c r="G6" s="16" t="n">
        <x:v>7.059021876437867</x:v>
      </x:c>
      <x:c r="H6" s="16" t="n">
        <x:f>103648.57141660507/SUMIF('TeamHero生成'!$K$5:$K$504,A6,'TeamHero生成'!$E$5:$E$504)</x:f>
        <x:v>14.115289584176097</x:v>
      </x:c>
      <x:c r="I6" s="16" t="n">
        <x:f>F6/E6</x:f>
        <x:v>0.37469264728009644</x:v>
      </x:c>
      <x:c r="J6" s="16" t="n">
        <x:f>H6/G6</x:f>
        <x:v>1.9996098370641364</x:v>
      </x:c>
    </x:row>
    <x:row r="7">
      <x:c r="A7" t="n">
        <x:v>6</x:v>
      </x:c>
      <x:c r="B7" t="n">
        <x:v>32</x:v>
      </x:c>
      <x:c r="C7" t="n">
        <x:v>73</x:v>
      </x:c>
      <x:c r="D7" t="n">
        <x:f>INDEX('楼层配置'!$D$5:$D$104,MATCH(A7,'楼层配置'!$B$5:$B$104,0))</x:f>
        <x:v>32</x:v>
      </x:c>
      <x:c r="E7" s="16" t="n">
        <x:v>9.763544754352406</x:v>
      </x:c>
      <x:c r="F7" s="16" t="n">
        <x:f>SUMIF('TeamHero生成'!$K$5:$K$504,A7,'TeamHero生成'!$AH$5:$AH$504)/40188.01597502603</x:f>
        <x:v>4.079859506962398</x:v>
      </x:c>
      <x:c r="G7" s="16" t="n">
        <x:v>6.7535027818577715</x:v>
      </x:c>
      <x:c r="H7" s="16" t="n">
        <x:f>112891.03866998134/SUMIF('TeamHero生成'!$K$5:$K$504,A7,'TeamHero生成'!$E$5:$E$504)</x:f>
        <x:v>12.464506864301793</x:v>
      </x:c>
      <x:c r="I7" s="16" t="n">
        <x:f>F7/E7</x:f>
        <x:v>0.41786662627256077</x:v>
      </x:c>
      <x:c r="J7" s="16" t="n">
        <x:f>H7/G7</x:f>
        <x:v>1.8456358525217078</x:v>
      </x:c>
    </x:row>
    <x:row r="8">
      <x:c r="A8" t="n">
        <x:v>7</x:v>
      </x:c>
      <x:c r="B8" t="n">
        <x:v>34</x:v>
      </x:c>
      <x:c r="C8" t="n">
        <x:v>79</x:v>
      </x:c>
      <x:c r="D8" t="n">
        <x:f>INDEX('楼层配置'!$D$5:$D$104,MATCH(A8,'楼层配置'!$B$5:$B$104,0))</x:f>
        <x:v>35</x:v>
      </x:c>
      <x:c r="E8" s="16" t="n">
        <x:v>9.978851892309818</x:v>
      </x:c>
      <x:c r="F8" s="16" t="n">
        <x:f>SUMIF('TeamHero生成'!$K$5:$K$504,A8,'TeamHero生成'!$AH$5:$AH$504)/44544.2269978621</x:f>
        <x:v>4.488323341195159</x:v>
      </x:c>
      <x:c r="G8" s="16" t="n">
        <x:v>7.392005775868406</x:v>
      </x:c>
      <x:c r="H8" s="16" t="n">
        <x:f>122519.47128475165/SUMIF('TeamHero生成'!$K$5:$K$504,A8,'TeamHero生成'!$E$5:$E$504)</x:f>
        <x:v>12.871044362301886</x:v>
      </x:c>
      <x:c r="I8" s="16" t="n">
        <x:f>F8/E8</x:f>
        <x:v>0.44978354119616465</x:v>
      </x:c>
      <x:c r="J8" s="16" t="n">
        <x:f>H8/G8</x:f>
        <x:v>1.7412113508244393</x:v>
      </x:c>
    </x:row>
    <x:row r="9">
      <x:c r="A9" t="n">
        <x:v>8</x:v>
      </x:c>
      <x:c r="B9" t="n">
        <x:v>36</x:v>
      </x:c>
      <x:c r="C9" t="n">
        <x:v>86</x:v>
      </x:c>
      <x:c r="D9" t="n">
        <x:f>INDEX('楼层配置'!$D$5:$D$104,MATCH(A9,'楼层配置'!$B$5:$B$104,0))</x:f>
        <x:v>38</x:v>
      </x:c>
      <x:c r="E9" s="16" t="n">
        <x:v>11.052119387830947</x:v>
      </x:c>
      <x:c r="F9" s="16" t="n">
        <x:f>SUMIF('TeamHero生成'!$K$5:$K$504,A9,'TeamHero生成'!$AH$5:$AH$504)/49292.69250725898</x:f>
        <x:v>4.980250694302849</x:v>
      </x:c>
      <x:c r="G9" s="16" t="n">
        <x:v>8.233685237766759</x:v>
      </x:c>
      <x:c r="H9" s="16" t="n">
        <x:f>132853.17102398578/SUMIF('TeamHero生成'!$K$5:$K$504,A9,'TeamHero生成'!$E$5:$E$504)</x:f>
        <x:v>14.208895296682972</x:v>
      </x:c>
      <x:c r="I9" s="16" t="n">
        <x:f>F9/E9</x:f>
        <x:v>0.45061499243180514</x:v>
      </x:c>
      <x:c r="J9" s="16" t="n">
        <x:f>H9/G9</x:f>
        <x:v>1.7257029976697145</x:v>
      </x:c>
    </x:row>
    <x:row r="10">
      <x:c r="A10" t="n">
        <x:v>9</x:v>
      </x:c>
      <x:c r="B10" t="n">
        <x:v>38</x:v>
      </x:c>
      <x:c r="C10" t="n">
        <x:v>93</x:v>
      </x:c>
      <x:c r="D10" t="n">
        <x:f>INDEX('楼层配置'!$D$5:$D$104,MATCH(A10,'楼层配置'!$B$5:$B$104,0))</x:f>
        <x:v>42</x:v>
      </x:c>
      <x:c r="E10" s="16" t="n">
        <x:v>10.206198347441106</x:v>
      </x:c>
      <x:c r="F10" s="16" t="n">
        <x:f>SUMIF('TeamHero生成'!$K$5:$K$504,A10,'TeamHero生成'!$AH$5:$AH$504)/54339.91670495911</x:f>
        <x:v>4.974073769764655</x:v>
      </x:c>
      <x:c r="G10" s="16" t="n">
        <x:v>7.813449349027946</x:v>
      </x:c>
      <x:c r="H10" s="16" t="n">
        <x:f>143621.04196543043/SUMIF('TeamHero生成'!$K$5:$K$504,A10,'TeamHero生成'!$E$5:$E$504)</x:f>
        <x:v>12.750447617669606</x:v>
      </x:c>
      <x:c r="I10" s="16" t="n">
        <x:f>F10/E10</x:f>
        <x:v>0.4873581328165892</x:v>
      </x:c>
      <x:c r="J10" s="16" t="n">
        <x:f>H10/G10</x:f>
        <x:v>1.6318589969813857</x:v>
      </x:c>
    </x:row>
    <x:row r="11">
      <x:c r="A11" t="n">
        <x:v>10</x:v>
      </x:c>
      <x:c r="B11" t="n">
        <x:v>40</x:v>
      </x:c>
      <x:c r="C11" t="n">
        <x:v>100</x:v>
      </x:c>
      <x:c r="D11" t="n">
        <x:f>INDEX('楼层配置'!$D$5:$D$104,MATCH(A11,'楼层配置'!$B$5:$B$104,0))</x:f>
        <x:v>45</x:v>
      </x:c>
      <x:c r="E11" s="16" t="n">
        <x:v>9.31388391144785</x:v>
      </x:c>
      <x:c r="F11" s="16" t="n">
        <x:f>SUMIF('TeamHero生成'!$K$5:$K$504,A11,'TeamHero生成'!$AH$5:$AH$504)/59707.703455528346</x:f>
        <x:v>4.695874464654855</x:v>
      </x:c>
      <x:c r="G11" s="16" t="n">
        <x:v>7.68835778264004</x:v>
      </x:c>
      <x:c r="H11" s="16" t="n">
        <x:f>154857.631643349/SUMIF('TeamHero生成'!$K$5:$K$504,A11,'TeamHero生成'!$E$5:$E$504)</x:f>
        <x:v>12.272755717494771</x:v>
      </x:c>
      <x:c r="I11" s="16" t="n">
        <x:f>F11/E11</x:f>
        <x:v>0.5041800509112077</x:v>
      </x:c>
      <x:c r="J11" s="16" t="n">
        <x:f>H11/G11</x:f>
        <x:v>1.5962779132373486</x:v>
      </x:c>
    </x:row>
    <x:row r="12">
      <x:c r="A12" t="n">
        <x:v>11</x:v>
      </x:c>
      <x:c r="B12" t="n">
        <x:v>42</x:v>
      </x:c>
      <x:c r="C12" t="n">
        <x:v>106</x:v>
      </x:c>
      <x:c r="D12" t="n">
        <x:f>INDEX('楼层配置'!$D$5:$D$104,MATCH(A12,'楼层配置'!$B$5:$B$104,0))</x:f>
        <x:v>49</x:v>
      </x:c>
      <x:c r="E12" s="16" t="n">
        <x:v>9.32986902024131</x:v>
      </x:c>
      <x:c r="F12" s="16" t="n">
        <x:f>SUMIF('TeamHero生成'!$K$5:$K$504,A12,'TeamHero生成'!$AH$5:$AH$504)/66623.86157568157</x:f>
        <x:v>4.861131902900914</x:v>
      </x:c>
      <x:c r="G12" s="16" t="n">
        <x:v>7.908567455102306</x:v>
      </x:c>
      <x:c r="H12" s="16" t="n">
        <x:f>169193.90679273073/SUMIF('TeamHero生成'!$K$5:$K$504,A12,'TeamHero生成'!$E$5:$E$504)</x:f>
        <x:v>12.295175262897372</x:v>
      </x:c>
      <x:c r="I12" s="16" t="n">
        <x:f>F12/E12</x:f>
        <x:v>0.5210289546782068</x:v>
      </x:c>
      <x:c r="J12" s="16" t="n">
        <x:f>H12/G12</x:f>
        <x:v>1.5546652832764287</x:v>
      </x:c>
    </x:row>
    <x:row r="13">
      <x:c r="A13" t="n">
        <x:v>12</x:v>
      </x:c>
      <x:c r="B13" t="n">
        <x:v>44</x:v>
      </x:c>
      <x:c r="C13" t="n">
        <x:v>113</x:v>
      </x:c>
      <x:c r="D13" t="n">
        <x:f>INDEX('楼层配置'!$D$5:$D$104,MATCH(A13,'楼层配置'!$B$5:$B$104,0))</x:f>
        <x:v>52</x:v>
      </x:c>
      <x:c r="E13" s="16" t="n">
        <x:v>10.746524682953462</x:v>
      </x:c>
      <x:c r="F13" s="16" t="n">
        <x:f>SUMIF('TeamHero生成'!$K$5:$K$504,A13,'TeamHero生成'!$AH$5:$AH$504)/74012.70380462497</x:f>
        <x:v>5.392119021262693</x:v>
      </x:c>
      <x:c r="G13" s="16" t="n">
        <x:v>8.299495967663585</x:v>
      </x:c>
      <x:c r="H13" s="16" t="n">
        <x:f>184219.56115684114/SUMIF('TeamHero生成'!$K$5:$K$504,A13,'TeamHero生成'!$E$5:$E$504)</x:f>
        <x:v>13.127596462398714</x:v>
      </x:c>
      <x:c r="I13" s="16" t="n">
        <x:f>F13/E13</x:f>
        <x:v>0.5017546770088263</x:v>
      </x:c>
      <x:c r="J13" s="16" t="n">
        <x:f>H13/G13</x:f>
        <x:v>1.581734181635406</x:v>
      </x:c>
    </x:row>
    <x:row r="14">
      <x:c r="A14" t="n">
        <x:v>13</x:v>
      </x:c>
      <x:c r="B14" t="n">
        <x:v>47</x:v>
      </x:c>
      <x:c r="C14" t="n">
        <x:v>120</x:v>
      </x:c>
      <x:c r="D14" t="n">
        <x:f>INDEX('楼层配置'!$D$5:$D$104,MATCH(A14,'楼层配置'!$B$5:$B$104,0))</x:f>
        <x:v>56</x:v>
      </x:c>
      <x:c r="E14" s="16" t="n">
        <x:v>8.83333579120045</x:v>
      </x:c>
      <x:c r="F14" s="16" t="n">
        <x:f>SUMIF('TeamHero生成'!$K$5:$K$504,A14,'TeamHero生成'!$AH$5:$AH$504)/86038.30042106398</x:f>
        <x:v>4.484073666749786</x:v>
      </x:c>
      <x:c r="G14" s="16" t="n">
        <x:v>8.129035389974401</x:v>
      </x:c>
      <x:c r="H14" s="16" t="n">
        <x:f>208094.42601682228/SUMIF('TeamHero生成'!$K$5:$K$504,A14,'TeamHero生成'!$E$5:$E$504)</x:f>
        <x:v>12.782998096739497</x:v>
      </x:c>
      <x:c r="I14" s="16" t="n">
        <x:f>F14/E14</x:f>
        <x:v>0.507630839893657</x:v>
      </x:c>
      <x:c r="J14" s="16" t="n">
        <x:f>H14/G14</x:f>
        <x:v>1.5725110647820357</x:v>
      </x:c>
    </x:row>
    <x:row r="15">
      <x:c r="A15" t="n">
        <x:v>14</x:v>
      </x:c>
      <x:c r="B15" t="n">
        <x:v>49</x:v>
      </x:c>
      <x:c r="C15" t="n">
        <x:v>126</x:v>
      </x:c>
      <x:c r="D15" t="n">
        <x:f>INDEX('楼层配置'!$D$5:$D$104,MATCH(A15,'楼层配置'!$B$5:$B$104,0))</x:f>
        <x:v>59</x:v>
      </x:c>
      <x:c r="E15" s="16" t="n">
        <x:v>11.288165257178118</x:v>
      </x:c>
      <x:c r="F15" s="16" t="n">
        <x:f>SUMIF('TeamHero生成'!$K$5:$K$504,A15,'TeamHero生成'!$AH$5:$AH$504)/94722.8402641455</x:f>
        <x:v>5.493432345256975</x:v>
      </x:c>
      <x:c r="G15" s="16" t="n">
        <x:v>9.196231737020787</x:v>
      </x:c>
      <x:c r="H15" s="16" t="n">
        <x:f>224931.69827091054/SUMIF('TeamHero生成'!$K$5:$K$504,A15,'TeamHero生成'!$E$5:$E$504)</x:f>
        <x:v>14.697575684194364</x:v>
      </x:c>
      <x:c r="I15" s="16" t="n">
        <x:f>F15/E15</x:f>
        <x:v>0.4866541391005695</x:v>
      </x:c>
      <x:c r="J15" s="16" t="n">
        <x:f>H15/G15</x:f>
        <x:v>1.5982171942260988</x:v>
      </x:c>
    </x:row>
    <x:row r="16">
      <x:c r="A16" t="n">
        <x:v>15</x:v>
      </x:c>
      <x:c r="B16" t="n">
        <x:v>51</x:v>
      </x:c>
      <x:c r="C16" t="n">
        <x:v>133</x:v>
      </x:c>
      <x:c r="D16" t="n">
        <x:f>INDEX('楼层配置'!$D$5:$D$104,MATCH(A16,'楼层配置'!$B$5:$B$104,0))</x:f>
        <x:v>63</x:v>
      </x:c>
      <x:c r="E16" s="16" t="n">
        <x:v>11.165672104900215</x:v>
      </x:c>
      <x:c r="F16" s="16" t="n">
        <x:f>SUMIF('TeamHero生成'!$K$5:$K$504,A16,'TeamHero生成'!$AH$5:$AH$504)/103974.32683706062</x:f>
        <x:v>5.450940453597161</x:v>
      </x:c>
      <x:c r="G16" s="16" t="n">
        <x:v>8.862756547685633</x:v>
      </x:c>
      <x:c r="H16" s="16" t="n">
        <x:f>242529.8089697755/SUMIF('TeamHero生成'!$K$5:$K$504,A16,'TeamHero生成'!$E$5:$E$504)</x:f>
        <x:v>14.101390137204227</x:v>
      </x:c>
      <x:c r="I16" s="16" t="n">
        <x:f>F16/E16</x:f>
        <x:v>0.48818740174225045</x:v>
      </x:c>
      <x:c r="J16" s="16" t="n">
        <x:f>H16/G16</x:f>
        <x:v>1.5910839998066493</x:v>
      </x:c>
    </x:row>
    <x:row r="17">
      <x:c r="A17" t="n">
        <x:v>16</x:v>
      </x:c>
      <x:c r="B17" t="n">
        <x:v>53</x:v>
      </x:c>
      <x:c r="C17" t="n">
        <x:v>141</x:v>
      </x:c>
      <x:c r="D17" t="n">
        <x:f>INDEX('楼层配置'!$D$5:$D$104,MATCH(A17,'楼层配置'!$B$5:$B$104,0))</x:f>
        <x:v>66</x:v>
      </x:c>
      <x:c r="E17" s="16" t="n">
        <x:v>12.559433554237698</x:v>
      </x:c>
      <x:c r="F17" s="16" t="n">
        <x:f>SUMIF('TeamHero生成'!$K$5:$K$504,A17,'TeamHero生成'!$AH$5:$AH$504)/113822.40545572739</x:f>
        <x:v>5.797622157733632</x:v>
      </x:c>
      <x:c r="G17" s="16" t="n">
        <x:v>8.763592993977204</x:v>
      </x:c>
      <x:c r="H17" s="16" t="n">
        <x:f>260909.970617466/SUMIF('TeamHero生成'!$K$5:$K$504,A17,'TeamHero生成'!$E$5:$E$504)</x:f>
        <x:v>14.362543797064076</x:v>
      </x:c>
      <x:c r="I17" s="16" t="n">
        <x:f>F17/E17</x:f>
        <x:v>0.4616149392961634</x:v>
      </x:c>
      <x:c r="J17" s="16" t="n">
        <x:f>H17/G17</x:f>
        <x:v>1.6388875894778274</x:v>
      </x:c>
    </x:row>
    <x:row r="18">
      <x:c r="A18" t="n">
        <x:v>17</x:v>
      </x:c>
      <x:c r="B18" t="n">
        <x:v>55</x:v>
      </x:c>
      <x:c r="C18" t="n">
        <x:v>148</x:v>
      </x:c>
      <x:c r="D18" t="n">
        <x:f>INDEX('楼层配置'!$D$5:$D$104,MATCH(A18,'楼层配置'!$B$5:$B$104,0))</x:f>
        <x:v>70</x:v>
      </x:c>
      <x:c r="E18" s="16" t="n">
        <x:v>13.117679870893221</x:v>
      </x:c>
      <x:c r="F18" s="16" t="n">
        <x:f>SUMIF('TeamHero生成'!$K$5:$K$504,A18,'TeamHero生成'!$AH$5:$AH$504)/123546.24424520248</x:f>
        <x:v>5.924981473311157</x:v>
      </x:c>
      <x:c r="G18" s="16" t="n">
        <x:v>8.740530287069962</x:v>
      </x:c>
      <x:c r="H18" s="16" t="n">
        <x:f>278746.5938106992/SUMIF('TeamHero生成'!$K$5:$K$504,A18,'TeamHero生成'!$E$5:$E$504)</x:f>
        <x:v>14.45931081080502</x:v>
      </x:c>
      <x:c r="I18" s="16" t="n">
        <x:f>F18/E18</x:f>
        <x:v>0.4516790721854769</x:v>
      </x:c>
      <x:c r="J18" s="16" t="n">
        <x:f>H18/G18</x:f>
        <x:v>1.6542830166946463</x:v>
      </x:c>
    </x:row>
    <x:row r="19">
      <x:c r="A19" t="n">
        <x:v>18</x:v>
      </x:c>
      <x:c r="B19" t="n">
        <x:v>58</x:v>
      </x:c>
      <x:c r="C19" t="n">
        <x:v>155</x:v>
      </x:c>
      <x:c r="D19" t="n">
        <x:f>INDEX('楼层配置'!$D$5:$D$104,MATCH(A19,'楼层配置'!$B$5:$B$104,0))</x:f>
        <x:v>73</x:v>
      </x:c>
      <x:c r="E19" s="16" t="n">
        <x:v>11.706153572066768</x:v>
      </x:c>
      <x:c r="F19" s="16" t="n">
        <x:f>SUMIF('TeamHero生成'!$K$5:$K$504,A19,'TeamHero生成'!$AH$5:$AH$504)/136607.49410330804</x:f>
        <x:v>5.305232782729036</x:v>
      </x:c>
      <x:c r="G19" s="16" t="n">
        <x:v>8.96278647704307</x:v>
      </x:c>
      <x:c r="H19" s="16" t="n">
        <x:f>302293.34430054325/SUMIF('TeamHero生成'!$K$5:$K$504,A19,'TeamHero生成'!$E$5:$E$504)</x:f>
        <x:v>14.82920501842253</x:v>
      </x:c>
      <x:c r="I19" s="16" t="n">
        <x:f>F19/E19</x:f>
        <x:v>0.4532003403225793</x:v>
      </x:c>
      <x:c r="J19" s="16" t="n">
        <x:f>H19/G19</x:f>
        <x:v>1.6545306592325362</x:v>
      </x:c>
    </x:row>
    <x:row r="20">
      <x:c r="A20" t="n">
        <x:v>19</x:v>
      </x:c>
      <x:c r="B20" t="n">
        <x:v>60</x:v>
      </x:c>
      <x:c r="C20" t="n">
        <x:v>162</x:v>
      </x:c>
      <x:c r="D20" t="n">
        <x:f>INDEX('楼层配置'!$D$5:$D$104,MATCH(A20,'楼层配置'!$B$5:$B$104,0))</x:f>
        <x:v>77</x:v>
      </x:c>
      <x:c r="E20" s="16" t="n">
        <x:v>13.783358100196663</x:v>
      </x:c>
      <x:c r="F20" s="16" t="n">
        <x:f>SUMIF('TeamHero生成'!$K$5:$K$504,A20,'TeamHero生成'!$AH$5:$AH$504)/145842.96720834717</x:f>
        <x:v>6.0703812065565925</x:v>
      </x:c>
      <x:c r="G20" s="16" t="n">
        <x:v>9.235709692486882</x:v>
      </x:c>
      <x:c r="H20" s="16" t="n">
        <x:f>318642.9874552751/SUMIF('TeamHero生成'!$K$5:$K$504,A20,'TeamHero生成'!$E$5:$E$504)</x:f>
        <x:v>15.42766473589983</x:v>
      </x:c>
      <x:c r="I20" s="16" t="n">
        <x:f>F20/E20</x:f>
        <x:v>0.4404138064489509</x:v>
      </x:c>
      <x:c r="J20" s="16" t="n">
        <x:f>H20/G20</x:f>
        <x:v>1.670436301007817</x:v>
      </x:c>
    </x:row>
    <x:row r="21">
      <x:c r="A21" t="n">
        <x:v>20</x:v>
      </x:c>
      <x:c r="B21" t="n">
        <x:v>62</x:v>
      </x:c>
      <x:c r="C21" t="n">
        <x:v>169</x:v>
      </x:c>
      <x:c r="D21" t="n">
        <x:f>INDEX('楼层配置'!$D$5:$D$104,MATCH(A21,'楼层配置'!$B$5:$B$104,0))</x:f>
        <x:v>80</x:v>
      </x:c>
      <x:c r="E21" s="16" t="n">
        <x:v>12.10466888794458</x:v>
      </x:c>
      <x:c r="F21" s="16" t="n">
        <x:f>SUMIF('TeamHero生成'!$K$5:$K$504,A21,'TeamHero生成'!$AH$5:$AH$504)/155520.17908224033</x:f>
        <x:v>5.254384567309929</x:v>
      </x:c>
      <x:c r="G21" s="16" t="n">
        <x:v>8.49957235486862</x:v>
      </x:c>
      <x:c r="H21" s="16" t="n">
        <x:f>335526.96189073194/SUMIF('TeamHero生成'!$K$5:$K$504,A21,'TeamHero生成'!$E$5:$E$504)</x:f>
        <x:v>14.385481130626477</x:v>
      </x:c>
      <x:c r="I21" s="16" t="n">
        <x:f>F21/E21</x:f>
        <x:v>0.4340791653163628</x:v>
      </x:c>
      <x:c r="J21" s="16" t="n">
        <x:f>H21/G21</x:f>
        <x:v>1.6924946962050818</x:v>
      </x:c>
    </x:row>
    <x:row r="22">
      <x:c r="A22" t="n">
        <x:v>21</x:v>
      </x:c>
      <x:c r="B22" t="n">
        <x:v>65</x:v>
      </x:c>
      <x:c r="C22" t="n">
        <x:v>176</x:v>
      </x:c>
      <x:c r="D22" t="n">
        <x:f>INDEX('楼层配置'!$D$5:$D$104,MATCH(A22,'楼层配置'!$B$5:$B$104,0))</x:f>
        <x:v>84</x:v>
      </x:c>
      <x:c r="E22" s="16" t="n">
        <x:v>14.679419520164032</x:v>
      </x:c>
      <x:c r="F22" s="16" t="n">
        <x:f>SUMIF('TeamHero生成'!$K$5:$K$504,A22,'TeamHero生成'!$AH$5:$AH$504)/171927.51805629695</x:f>
        <x:v>6.287646977951243</x:v>
      </x:c>
      <x:c r="G22" s="16" t="n">
        <x:v>9.05445161127348</x:v>
      </x:c>
      <x:c r="H22" s="16" t="n">
        <x:f>364957.3536018215/SUMIF('TeamHero生成'!$K$5:$K$504,A22,'TeamHero生成'!$E$5:$E$504)</x:f>
        <x:v>15.27337742631603</x:v>
      </x:c>
      <x:c r="I22" s="16" t="n">
        <x:f>F22/E22</x:f>
        <x:v>0.428330763986571</x:v>
      </x:c>
      <x:c r="J22" s="16" t="n">
        <x:f>H22/G22</x:f>
        <x:v>1.686836274799847</x:v>
      </x:c>
    </x:row>
    <x:row r="23">
      <x:c r="A23" t="n">
        <x:v>22</x:v>
      </x:c>
      <x:c r="B23" t="n">
        <x:v>67</x:v>
      </x:c>
      <x:c r="C23" t="n">
        <x:v>182</x:v>
      </x:c>
      <x:c r="D23" t="n">
        <x:f>INDEX('楼层配置'!$D$5:$D$104,MATCH(A23,'楼层配置'!$B$5:$B$104,0))</x:f>
        <x:v>88</x:v>
      </x:c>
      <x:c r="E23" s="16" t="n">
        <x:v>14.12923402402507</x:v>
      </x:c>
      <x:c r="F23" s="16" t="n">
        <x:f>SUMIF('TeamHero生成'!$K$5:$K$504,A23,'TeamHero生成'!$AH$5:$AH$504)/184909.13290360433</x:f>
        <x:v>6.184586984477582</x:v>
      </x:c>
      <x:c r="G23" s="16" t="n">
        <x:v>8.907564980554756</x:v>
      </x:c>
      <x:c r="H23" s="16" t="n">
        <x:f>389605.67622917594/SUMIF('TeamHero生成'!$K$5:$K$504,A23,'TeamHero生成'!$E$5:$E$504)</x:f>
        <x:v>14.809962224091532</x:v>
      </x:c>
      <x:c r="I23" s="16" t="n">
        <x:f>F23/E23</x:f>
        <x:v>0.4377156591759633</x:v>
      </x:c>
      <x:c r="J23" s="16" t="n">
        <x:f>H23/G23</x:f>
        <x:v>1.6626274696195569</x:v>
      </x:c>
    </x:row>
    <x:row r="24">
      <x:c r="A24" t="n">
        <x:v>23</x:v>
      </x:c>
      <x:c r="B24" t="n">
        <x:v>69</x:v>
      </x:c>
      <x:c r="C24" t="n">
        <x:v>186</x:v>
      </x:c>
      <x:c r="D24" t="n">
        <x:f>INDEX('楼层配置'!$D$5:$D$104,MATCH(A24,'楼层配置'!$B$5:$B$104,0))</x:f>
        <x:v>92</x:v>
      </x:c>
      <x:c r="E24" s="16" t="n">
        <x:v>15.51972328130223</x:v>
      </x:c>
      <x:c r="F24" s="16" t="n">
        <x:f>SUMIF('TeamHero生成'!$K$5:$K$504,A24,'TeamHero生成'!$AH$5:$AH$504)/198494.43739449827</x:f>
        <x:v>6.876895472073491</x:v>
      </x:c>
      <x:c r="G24" s="16" t="n">
        <x:v>9.911575647410803</x:v>
      </x:c>
      <x:c r="H24" s="16" t="n">
        <x:f>415130.42266199057/SUMIF('TeamHero生成'!$K$5:$K$504,A24,'TeamHero生成'!$E$5:$E$504)</x:f>
        <x:v>16.25922069019233</x:v>
      </x:c>
      <x:c r="I24" s="16" t="n">
        <x:f>F24/E24</x:f>
        <x:v>0.4431068355682991</x:v>
      </x:c>
      <x:c r="J24" s="16" t="n">
        <x:f>H24/G24</x:f>
        <x:v>1.6404274424762846</x:v>
      </x:c>
    </x:row>
    <x:row r="25">
      <x:c r="A25" t="n">
        <x:v>24</x:v>
      </x:c>
      <x:c r="B25" t="n">
        <x:v>72</x:v>
      </x:c>
      <x:c r="C25" t="n">
        <x:v>193</x:v>
      </x:c>
      <x:c r="D25" t="n">
        <x:f>INDEX('楼层配置'!$D$5:$D$104,MATCH(A25,'楼层配置'!$B$5:$B$104,0))</x:f>
        <x:v>96</x:v>
      </x:c>
      <x:c r="E25" s="16" t="n">
        <x:v>15.485602657564204</x:v>
      </x:c>
      <x:c r="F25" s="16" t="n">
        <x:f>SUMIF('TeamHero生成'!$K$5:$K$504,A25,'TeamHero生成'!$AH$5:$AH$504)/216890.5908554325</x:f>
        <x:v>6.984918677122906</x:v>
      </x:c>
      <x:c r="G25" s="16" t="n">
        <x:v>10.664468534819104</x:v>
      </x:c>
      <x:c r="H25" s="16" t="n">
        <x:f>449316.59184260905/SUMIF('TeamHero生成'!$K$5:$K$504,A25,'TeamHero生成'!$E$5:$E$504)</x:f>
        <x:v>17.274763238854636</x:v>
      </x:c>
      <x:c r="I25" s="16" t="n">
        <x:f>F25/E25</x:f>
        <x:v>0.45105888557143137</x:v>
      </x:c>
      <x:c r="J25" s="16" t="n">
        <x:f>H25/G25</x:f>
        <x:v>1.6198428625348895</x:v>
      </x:c>
    </x:row>
    <x:row r="26">
      <x:c r="A26" t="n">
        <x:v>25</x:v>
      </x:c>
      <x:c r="B26" t="n">
        <x:v>74</x:v>
      </x:c>
      <x:c r="C26" t="n">
        <x:v>198</x:v>
      </x:c>
      <x:c r="D26" t="n">
        <x:f>INDEX('楼层配置'!$D$5:$D$104,MATCH(A26,'楼层配置'!$B$5:$B$104,0))</x:f>
        <x:v>100</x:v>
      </x:c>
      <x:c r="E26" s="16" t="n">
        <x:v>14.863698455848622</x:v>
      </x:c>
      <x:c r="F26" s="16" t="n">
        <x:f>SUMIF('TeamHero生成'!$K$5:$K$504,A26,'TeamHero生成'!$AH$5:$AH$504)/229107.06631710505</x:f>
        <x:v>6.825713013119662</x:v>
      </x:c>
      <x:c r="G26" s="16" t="n">
        <x:v>10.420964137727474</x:v>
      </x:c>
      <x:c r="H26" s="16" t="n">
        <x:f>471776.2556390656/SUMIF('TeamHero生成'!$K$5:$K$504,A26,'TeamHero生成'!$E$5:$E$504)</x:f>
        <x:v>16.686459011744972</x:v>
      </x:c>
      <x:c r="I26" s="16" t="n">
        <x:f>F26/E26</x:f>
        <x:v>0.45922036385458664</x:v>
      </x:c>
      <x:c r="J26" s="16" t="n">
        <x:f>H26/G26</x:f>
        <x:v>1.601239462223486</x:v>
      </x:c>
    </x:row>
    <x:row r="27">
      <x:c r="A27" t="n">
        <x:v>26</x:v>
      </x:c>
      <x:c r="B27" t="n">
        <x:v>76</x:v>
      </x:c>
      <x:c r="C27" t="n">
        <x:v>201</x:v>
      </x:c>
      <x:c r="D27" t="n">
        <x:f>INDEX('楼层配置'!$D$5:$D$104,MATCH(A27,'楼层配置'!$B$5:$B$104,0))</x:f>
        <x:v>104</x:v>
      </x:c>
      <x:c r="E27" s="16" t="n">
        <x:v>13.047457031958343</x:v>
      </x:c>
      <x:c r="F27" s="16" t="n">
        <x:f>SUMIF('TeamHero生成'!$K$5:$K$504,A27,'TeamHero生成'!$AH$5:$AH$504)/241771.6414977732</x:f>
        <x:v>6.462448610373482</x:v>
      </x:c>
      <x:c r="G27" s="16" t="n">
        <x:v>9.962109136871085</x:v>
      </x:c>
      <x:c r="H27" s="16" t="n">
        <x:f>494857.0813675398/SUMIF('TeamHero生成'!$K$5:$K$504,A27,'TeamHero生成'!$E$5:$E$504)</x:f>
        <x:v>15.268183066475574</x:v>
      </x:c>
      <x:c r="I27" s="16" t="n">
        <x:f>F27/E27</x:f>
        <x:v>0.4953033065787769</x:v>
      </x:c>
      <x:c r="J27" s="16" t="n">
        <x:f>H27/G27</x:f>
        <x:v>1.5326255571690142</x:v>
      </x:c>
    </x:row>
    <x:row r="28">
      <x:c r="A28" t="n">
        <x:v>27</x:v>
      </x:c>
      <x:c r="B28" t="n">
        <x:v>79</x:v>
      </x:c>
      <x:c r="C28" t="n">
        <x:v>207</x:v>
      </x:c>
      <x:c r="D28" t="n">
        <x:f>INDEX('楼层配置'!$D$5:$D$104,MATCH(A28,'楼层配置'!$B$5:$B$104,0))</x:f>
        <x:v>108</x:v>
      </x:c>
      <x:c r="E28" s="16" t="n">
        <x:v>15.585427243708592</x:v>
      </x:c>
      <x:c r="F28" s="16" t="n">
        <x:f>SUMIF('TeamHero生成'!$K$5:$K$504,A28,'TeamHero生成'!$AH$5:$AH$504)/261637.4686646338</x:f>
        <x:v>7.610622854228927</x:v>
      </x:c>
      <x:c r="G28" s="16" t="n">
        <x:v>11.019298827970196</x:v>
      </x:c>
      <x:c r="H28" s="16" t="n">
        <x:f>530664.4453462287/SUMIF('TeamHero生成'!$K$5:$K$504,A28,'TeamHero生成'!$E$5:$E$504)</x:f>
        <x:v>16.90983510758488</x:v>
      </x:c>
      <x:c r="I28" s="16" t="n">
        <x:f>F28/E28</x:f>
        <x:v>0.48831660083627965</x:v>
      </x:c>
      <x:c r="J28" s="16" t="n">
        <x:f>H28/G28</x:f>
        <x:v>1.5345654357483056</x:v>
      </x:c>
    </x:row>
    <x:row r="29">
      <x:c r="A29" t="n">
        <x:v>28</x:v>
      </x:c>
      <x:c r="B29" t="n">
        <x:v>81</x:v>
      </x:c>
      <x:c r="C29" t="n">
        <x:v>211</x:v>
      </x:c>
      <x:c r="D29" t="n">
        <x:f>INDEX('楼层配置'!$D$5:$D$104,MATCH(A29,'楼层配置'!$B$5:$B$104,0))</x:f>
        <x:v>112</x:v>
      </x:c>
      <x:c r="E29" s="16" t="n">
        <x:v>15.78061037729591</x:v>
      </x:c>
      <x:c r="F29" s="16" t="n">
        <x:f>SUMIF('TeamHero生成'!$K$5:$K$504,A29,'TeamHero生成'!$AH$5:$AH$504)/275480.3543153553</x:f>
        <x:v>7.937701214730316</x:v>
      </x:c>
      <x:c r="G29" s="16" t="n">
        <x:v>10.768446242616797</x:v>
      </x:c>
      <x:c r="H29" s="16" t="n">
        <x:f>555341.1885718334/SUMIF('TeamHero生成'!$K$5:$K$504,A29,'TeamHero生成'!$E$5:$E$504)</x:f>
        <x:v>16.20015135857157</x:v>
      </x:c>
      <x:c r="I29" s="16" t="n">
        <x:f>F29/E29</x:f>
        <x:v>0.5030034342746685</x:v>
      </x:c>
      <x:c r="J29" s="16" t="n">
        <x:f>H29/G29</x:f>
        <x:v>1.5044093635773064</x:v>
      </x:c>
    </x:row>
    <x:row r="30">
      <x:c r="A30" t="n">
        <x:v>29</x:v>
      </x:c>
      <x:c r="B30" t="n">
        <x:v>84</x:v>
      </x:c>
      <x:c r="C30" t="n">
        <x:v>216</x:v>
      </x:c>
      <x:c r="D30" t="n">
        <x:f>INDEX('楼层配置'!$D$5:$D$104,MATCH(A30,'楼层配置'!$B$5:$B$104,0))</x:f>
        <x:v>116</x:v>
      </x:c>
      <x:c r="E30" s="16" t="n">
        <x:v>14.023654090529943</x:v>
      </x:c>
      <x:c r="F30" s="16" t="n">
        <x:f>SUMIF('TeamHero生成'!$K$5:$K$504,A30,'TeamHero生成'!$AH$5:$AH$504)/297177.92428556393</x:f>
        <x:v>7.175371059698811</x:v>
      </x:c>
      <x:c r="G30" s="16" t="n">
        <x:v>10.65445076567043</x:v>
      </x:c>
      <x:c r="H30" s="16" t="n">
        <x:f>593588.996599568/SUMIF('TeamHero生成'!$K$5:$K$504,A30,'TeamHero生成'!$E$5:$E$504)</x:f>
        <x:v>15.893886968151875</x:v>
      </x:c>
      <x:c r="I30" s="16" t="n">
        <x:f>F30/E30</x:f>
        <x:v>0.5116620114399627</x:v>
      </x:c>
      <x:c r="J30" s="16" t="n">
        <x:f>H30/G30</x:f>
        <x:v>1.4917603279338776</x:v>
      </x:c>
    </x:row>
    <x:row r="31">
      <x:c r="A31" t="n">
        <x:v>30</x:v>
      </x:c>
      <x:c r="B31" t="n">
        <x:v>86</x:v>
      </x:c>
      <x:c r="C31" t="n">
        <x:v>220</x:v>
      </x:c>
      <x:c r="D31" t="n">
        <x:f>INDEX('楼层配置'!$D$5:$D$104,MATCH(A31,'楼层配置'!$B$5:$B$104,0))</x:f>
        <x:v>120</x:v>
      </x:c>
      <x:c r="E31" s="16" t="n">
        <x:v>14.052897202389197</x:v>
      </x:c>
      <x:c r="F31" s="16" t="n">
        <x:f>SUMIF('TeamHero生成'!$K$5:$K$504,A31,'TeamHero生成'!$AH$5:$AH$504)/309251.07011396403</x:f>
        <x:v>7.407661187685224</x:v>
      </x:c>
      <x:c r="G31" s="16" t="n">
        <x:v>11.155171787454348</x:v>
      </x:c>
      <x:c r="H31" s="16" t="n">
        <x:f>614695.1047203236/SUMIF('TeamHero生成'!$K$5:$K$504,A31,'TeamHero生成'!$E$5:$E$504)</x:f>
        <x:v>16.339148473467574</x:v>
      </x:c>
      <x:c r="I31" s="16" t="n">
        <x:f>F31/E31</x:f>
        <x:v>0.5271269746729389</x:v>
      </x:c>
      <x:c r="J31" s="16" t="n">
        <x:f>H31/G31</x:f>
        <x:v>1.4647150922268521</x:v>
      </x:c>
    </x:row>
    <x:row r="32">
      <x:c r="A32" t="n">
        <x:v>31</x:v>
      </x:c>
      <x:c r="B32" t="n">
        <x:v>89</x:v>
      </x:c>
      <x:c r="C32" t="n">
        <x:v>224</x:v>
      </x:c>
      <x:c r="D32" t="n">
        <x:f>INDEX('楼层配置'!$D$5:$D$104,MATCH(A32,'楼层配置'!$B$5:$B$104,0))</x:f>
        <x:v>124</x:v>
      </x:c>
      <x:c r="E32" s="16" t="n">
        <x:v>13.920937485920309</x:v>
      </x:c>
      <x:c r="F32" s="16" t="n">
        <x:f>SUMIF('TeamHero生成'!$K$5:$K$504,A32,'TeamHero生成'!$AH$5:$AH$504)/326620.5675305642</x:f>
        <x:v>7.676341136565785</x:v>
      </x:c>
      <x:c r="G32" s="16" t="n">
        <x:v>11.44761637805349</x:v>
      </x:c>
      <x:c r="H32" s="16" t="n">
        <x:f>644822.5934662244/SUMIF('TeamHero生成'!$K$5:$K$504,A32,'TeamHero生成'!$E$5:$E$504)</x:f>
        <x:v>16.308933012955244</x:v>
      </x:c>
      <x:c r="I32" s="16" t="n">
        <x:f>F32/E32</x:f>
        <x:v>0.5514241511629275</x:v>
      </x:c>
      <x:c r="J32" s="16" t="n">
        <x:f>H32/G32</x:f>
        <x:v>1.424657542178082</x:v>
      </x:c>
    </x:row>
    <x:row r="33">
      <x:c r="A33" t="n">
        <x:v>32</x:v>
      </x:c>
      <x:c r="B33" t="n">
        <x:v>91</x:v>
      </x:c>
      <x:c r="C33" t="n">
        <x:v>227</x:v>
      </x:c>
      <x:c r="D33" t="n">
        <x:f>INDEX('楼层配置'!$D$5:$D$104,MATCH(A33,'楼层配置'!$B$5:$B$104,0))</x:f>
        <x:v>128</x:v>
      </x:c>
      <x:c r="E33" s="16" t="n">
        <x:v>14.74414990608161</x:v>
      </x:c>
      <x:c r="F33" s="16" t="n">
        <x:f>SUMIF('TeamHero生成'!$K$5:$K$504,A33,'TeamHero生成'!$AH$5:$AH$504)/338576.00125176786</x:f>
        <x:v>8.478456783371946</x:v>
      </x:c>
      <x:c r="G33" s="16" t="n">
        <x:v>12.038815034987877</x:v>
      </x:c>
      <x:c r="H33" s="16" t="n">
        <x:f>665388.1420517128/SUMIF('TeamHero生成'!$K$5:$K$504,A33,'TeamHero生成'!$E$5:$E$504)</x:f>
        <x:v>16.693967134620724</x:v>
      </x:c>
      <x:c r="I33" s="16" t="n">
        <x:f>F33/E33</x:f>
        <x:v>0.5750386992385899</x:v>
      </x:c>
      <x:c r="J33" s="16" t="n">
        <x:f>H33/G33</x:f>
        <x:v>1.3866785963654882</x:v>
      </x:c>
    </x:row>
    <x:row r="34">
      <x:c r="A34" t="n">
        <x:v>33</x:v>
      </x:c>
      <x:c r="B34" t="n">
        <x:v>94</x:v>
      </x:c>
      <x:c r="C34" t="n">
        <x:v>231</x:v>
      </x:c>
      <x:c r="D34" t="n">
        <x:f>INDEX('楼层配置'!$D$5:$D$104,MATCH(A34,'楼层配置'!$B$5:$B$104,0))</x:f>
        <x:v>132</x:v>
      </x:c>
      <x:c r="E34" s="16" t="n">
        <x:v>13.889039500179031</x:v>
      </x:c>
      <x:c r="F34" s="16" t="n">
        <x:f>SUMIF('TeamHero生成'!$K$5:$K$504,A34,'TeamHero生成'!$AH$5:$AH$504)/357088.54534509074</x:f>
        <x:v>8.209683206164588</x:v>
      </x:c>
      <x:c r="G34" s="16" t="n">
        <x:v>11.821504058199118</x:v>
      </x:c>
      <x:c r="H34" s="16" t="n">
        <x:f>696968.1466492843/SUMIF('TeamHero生成'!$K$5:$K$504,A34,'TeamHero生成'!$E$5:$E$504)</x:f>
        <x:v>16.133521913177876</x:v>
      </x:c>
      <x:c r="I34" s="16" t="n">
        <x:f>F34/E34</x:f>
        <x:v>0.5910907810478013</x:v>
      </x:c>
      <x:c r="J34" s="16" t="n">
        <x:f>H34/G34</x:f>
        <x:v>1.3647605104858078</x:v>
      </x:c>
    </x:row>
    <x:row r="35">
      <x:c r="A35" t="n">
        <x:v>34</x:v>
      </x:c>
      <x:c r="B35" t="n">
        <x:v>96</x:v>
      </x:c>
      <x:c r="C35" t="n">
        <x:v>234</x:v>
      </x:c>
      <x:c r="D35" t="n">
        <x:f>INDEX('楼层配置'!$D$5:$D$104,MATCH(A35,'楼层配置'!$B$5:$B$104,0))</x:f>
        <x:v>136</x:v>
      </x:c>
      <x:c r="E35" s="16" t="n">
        <x:v>13.95211842069903</x:v>
      </x:c>
      <x:c r="F35" s="16" t="n">
        <x:f>SUMIF('TeamHero生成'!$K$5:$K$504,A35,'TeamHero生成'!$AH$5:$AH$504)/369825.8771101773</x:f>
        <x:v>8.59932848628802</x:v>
      </x:c>
      <x:c r="G35" s="16" t="n">
        <x:v>11.925623510732386</x:v>
      </x:c>
      <x:c r="H35" s="16" t="n">
        <x:f>718515.6424125469/SUMIF('TeamHero生成'!$K$5:$K$504,A35,'TeamHero生成'!$E$5:$E$504)</x:f>
        <x:v>15.868628777414406</x:v>
      </x:c>
      <x:c r="I35" s="16" t="n">
        <x:f>F35/E35</x:f>
        <x:v>0.6163457209143424</x:v>
      </x:c>
      <x:c r="J35" s="16" t="n">
        <x:f>H35/G35</x:f>
        <x:v>1.3306330493440062</x:v>
      </x:c>
    </x:row>
    <x:row r="36">
      <x:c r="A36" t="n">
        <x:v>35</x:v>
      </x:c>
      <x:c r="B36" t="n">
        <x:v>99</x:v>
      </x:c>
      <x:c r="C36" t="n">
        <x:v>238</x:v>
      </x:c>
      <x:c r="D36" t="n">
        <x:f>INDEX('楼层配置'!$D$5:$D$104,MATCH(A36,'楼层配置'!$B$5:$B$104,0))</x:f>
        <x:v>140</x:v>
      </x:c>
      <x:c r="E36" s="16" t="n">
        <x:v>14.815652445275344</x:v>
      </x:c>
      <x:c r="F36" s="16" t="n">
        <x:f>SUMIF('TeamHero生成'!$K$5:$K$504,A36,'TeamHero生成'!$AH$5:$AH$504)/389541.73029832507</x:f>
        <x:v>9.18060034514453</x:v>
      </x:c>
      <x:c r="G36" s="16" t="n">
        <x:v>12.561292567299738</x:v>
      </x:c>
      <x:c r="H36" s="16" t="n">
        <x:f>751589.12299661/SUMIF('TeamHero生成'!$K$5:$K$504,A36,'TeamHero生成'!$E$5:$E$504)</x:f>
        <x:v>16.632493648681287</x:v>
      </x:c>
      <x:c r="I36" s="16" t="n">
        <x:f>F36/E36</x:f>
        <x:v>0.6196554879412137</x:v>
      </x:c>
      <x:c r="J36" s="16" t="n">
        <x:f>H36/G36</x:f>
        <x:v>1.3241068591921765</x:v>
      </x:c>
    </x:row>
    <x:row r="37">
      <x:c r="A37" t="n">
        <x:v>36</x:v>
      </x:c>
      <x:c r="B37" t="n">
        <x:v>101</x:v>
      </x:c>
      <x:c r="C37" t="n">
        <x:v>243</x:v>
      </x:c>
      <x:c r="D37" t="n">
        <x:f>INDEX('楼层配置'!$D$5:$D$104,MATCH(A37,'楼层配置'!$B$5:$B$104,0))</x:f>
        <x:v>144</x:v>
      </x:c>
      <x:c r="E37" s="16" t="n">
        <x:v>14.301515838131607</x:v>
      </x:c>
      <x:c r="F37" s="16" t="n">
        <x:f>SUMIF('TeamHero生成'!$K$5:$K$504,A37,'TeamHero生成'!$AH$5:$AH$504)/405743.55804063025</x:f>
        <x:v>9.087111994182594</x:v>
      </x:c>
      <x:c r="G37" s="16" t="n">
        <x:v>12.077969619518225</x:v>
      </x:c>
      <x:c r="H37" s="16" t="n">
        <x:f>776696.1726326202/SUMIF('TeamHero生成'!$K$5:$K$504,A37,'TeamHero生成'!$E$5:$E$504)</x:f>
        <x:v>15.764079006142078</x:v>
      </x:c>
      <x:c r="I37" s="16" t="n">
        <x:f>F37/E37</x:f>
        <x:v>0.6353950236487492</x:v>
      </x:c>
      <x:c r="J37" s="16" t="n">
        <x:f>H37/G37</x:f>
        <x:v>1.3051928016665177</x:v>
      </x:c>
    </x:row>
    <x:row r="38">
      <x:c r="A38" t="n">
        <x:v>37</x:v>
      </x:c>
      <x:c r="B38" t="n">
        <x:v>104</x:v>
      </x:c>
      <x:c r="C38" t="n">
        <x:v>249</x:v>
      </x:c>
      <x:c r="D38" t="n">
        <x:f>INDEX('楼层配置'!$D$5:$D$104,MATCH(A38,'楼层配置'!$B$5:$B$104,0))</x:f>
        <x:v>148</x:v>
      </x:c>
      <x:c r="E38" s="16" t="n">
        <x:v>16.10723803879519</x:v>
      </x:c>
      <x:c r="F38" s="16" t="n">
        <x:f>SUMIF('TeamHero生成'!$K$5:$K$504,A38,'TeamHero生成'!$AH$5:$AH$504)/438193.78970775864</x:f>
        <x:v>10.092899735334518</x:v>
      </x:c>
      <x:c r="G38" s="16" t="n">
        <x:v>12.747689067503028</x:v>
      </x:c>
      <x:c r="H38" s="16" t="n">
        <x:f>824109.7834328178/SUMIF('TeamHero生成'!$K$5:$K$504,A38,'TeamHero生成'!$E$5:$E$504)</x:f>
        <x:v>16.72640112508256</x:v>
      </x:c>
      <x:c r="I38" s="16" t="n">
        <x:f>F38/E38</x:f>
        <x:v>0.6266064803304701</x:v>
      </x:c>
      <x:c r="J38" s="16" t="n">
        <x:f>H38/G38</x:f>
        <x:v>1.312112417906571</x:v>
      </x:c>
    </x:row>
    <x:row r="39">
      <x:c r="A39" t="n">
        <x:v>38</x:v>
      </x:c>
      <x:c r="B39" t="n">
        <x:v>106</x:v>
      </x:c>
      <x:c r="C39" t="n">
        <x:v>253</x:v>
      </x:c>
      <x:c r="D39" t="n">
        <x:f>INDEX('楼层配置'!$D$5:$D$104,MATCH(A39,'楼层配置'!$B$5:$B$104,0))</x:f>
        <x:v>152</x:v>
      </x:c>
      <x:c r="E39" s="16" t="n">
        <x:v>13.450373325766463</x:v>
      </x:c>
      <x:c r="F39" s="16" t="n">
        <x:f>SUMIF('TeamHero生成'!$K$5:$K$504,A39,'TeamHero生成'!$AH$5:$AH$504)/460869.64729325706</x:f>
        <x:v>8.667328780947566</x:v>
      </x:c>
      <x:c r="G39" s="16" t="n">
        <x:v>11.937996007452334</x:v>
      </x:c>
      <x:c r="H39" s="16" t="n">
        <x:f>856634.6618184878/SUMIF('TeamHero生成'!$K$5:$K$504,A39,'TeamHero生成'!$E$5:$E$504)</x:f>
        <x:v>15.452956829051823</x:v>
      </x:c>
      <x:c r="I39" s="16" t="n">
        <x:f>F39/E39</x:f>
        <x:v>0.6443931756409937</x:v>
      </x:c>
      <x:c r="J39" s="16" t="n">
        <x:f>H39/G39</x:f>
        <x:v>1.2944347459494259</x:v>
      </x:c>
    </x:row>
    <x:row r="40">
      <x:c r="A40" t="n">
        <x:v>39</x:v>
      </x:c>
      <x:c r="B40" t="n">
        <x:v>109</x:v>
      </x:c>
      <x:c r="C40" t="n">
        <x:v>258</x:v>
      </x:c>
      <x:c r="D40" t="n">
        <x:f>INDEX('楼层配置'!$D$5:$D$104,MATCH(A40,'楼层配置'!$B$5:$B$104,0))</x:f>
        <x:v>156</x:v>
      </x:c>
      <x:c r="E40" s="16" t="n">
        <x:v>14.340757907177437</x:v>
      </x:c>
      <x:c r="F40" s="16" t="n">
        <x:f>SUMIF('TeamHero生成'!$K$5:$K$504,A40,'TeamHero生成'!$AH$5:$AH$504)/496512.16746676876</x:f>
        <x:v>9.272007889530965</x:v>
      </x:c>
      <x:c r="G40" s="16" t="n">
        <x:v>12.13599209254724</x:v>
      </x:c>
      <x:c r="H40" s="16" t="n">
        <x:f>906819.1502881733/SUMIF('TeamHero生成'!$K$5:$K$504,A40,'TeamHero生成'!$E$5:$E$504)</x:f>
        <x:v>15.647762808672235</x:v>
      </x:c>
      <x:c r="I40" s="16" t="n">
        <x:f>F40/E40</x:f>
        <x:v>0.6465493629796509</x:v>
      </x:c>
      <x:c r="J40" s="16" t="n">
        <x:f>H40/G40</x:f>
        <x:v>1.2893682435967955</x:v>
      </x:c>
    </x:row>
    <x:row r="41">
      <x:c r="A41" t="n">
        <x:v>40</x:v>
      </x:c>
      <x:c r="B41" t="n">
        <x:v>111</x:v>
      </x:c>
      <x:c r="C41" t="n">
        <x:v>263</x:v>
      </x:c>
      <x:c r="D41" t="n">
        <x:f>INDEX('楼层配置'!$D$5:$D$104,MATCH(A41,'楼层配置'!$B$5:$B$104,0))</x:f>
        <x:v>160</x:v>
      </x:c>
      <x:c r="E41" s="16" t="n">
        <x:v>15.361493326435586</x:v>
      </x:c>
      <x:c r="F41" s="16" t="n">
        <x:f>SUMIF('TeamHero生成'!$K$5:$K$504,A41,'TeamHero生成'!$AH$5:$AH$504)/521398.8462527008</x:f>
        <x:v>9.824040181645238</x:v>
      </x:c>
      <x:c r="G41" s="16" t="n">
        <x:v>13.035372223541486</x:v>
      </x:c>
      <x:c r="H41" s="16" t="n">
        <x:f>941220.7107568042/SUMIF('TeamHero生成'!$K$5:$K$504,A41,'TeamHero生成'!$E$5:$E$504)</x:f>
        <x:v>16.900465250966104</x:v>
      </x:c>
      <x:c r="I41" s="16" t="n">
        <x:f>F41/E41</x:f>
        <x:v>0.639523773690612</x:v>
      </x:c>
      <x:c r="J41" s="16" t="n">
        <x:f>H41/G41</x:f>
        <x:v>1.2965080675214151</x:v>
      </x:c>
    </x:row>
    <x:row r="42">
      <x:c r="A42" t="n">
        <x:v>41</x:v>
      </x:c>
      <x:c r="B42" t="n">
        <x:v>114</x:v>
      </x:c>
      <x:c r="C42" t="n">
        <x:v>266</x:v>
      </x:c>
      <x:c r="D42" t="n">
        <x:f>INDEX('楼层配置'!$D$5:$D$104,MATCH(A42,'楼层配置'!$B$5:$B$104,0))</x:f>
        <x:v>164</x:v>
      </x:c>
      <x:c r="E42" s="16" t="n">
        <x:v>15.971136346694395</x:v>
      </x:c>
      <x:c r="F42" s="16" t="n">
        <x:f>SUMIF('TeamHero生成'!$K$5:$K$504,A42,'TeamHero生成'!$AH$5:$AH$504)/560485.5441184646</x:f>
        <x:v>10.413586442441815</x:v>
      </x:c>
      <x:c r="G42" s="16" t="n">
        <x:v>13.359523553654611</x:v>
      </x:c>
      <x:c r="H42" s="16" t="n">
        <x:f>994264.7115220204/SUMIF('TeamHero生成'!$K$5:$K$504,A42,'TeamHero生成'!$E$5:$E$504)</x:f>
        <x:v>17.10239286366486</x:v>
      </x:c>
      <x:c r="I42" s="16" t="n">
        <x:f>F42/E42</x:f>
        <x:v>0.6520253923320336</x:v>
      </x:c>
      <x:c r="J42" s="16" t="n">
        <x:f>H42/G42</x:f>
        <x:v>1.2801648797562362</x:v>
      </x:c>
    </x:row>
    <x:row r="43">
      <x:c r="A43" t="n">
        <x:v>42</x:v>
      </x:c>
      <x:c r="B43" t="n">
        <x:v>117</x:v>
      </x:c>
      <x:c r="C43" t="n">
        <x:v>272</x:v>
      </x:c>
      <x:c r="D43" t="n">
        <x:f>INDEX('楼层配置'!$D$5:$D$104,MATCH(A43,'楼层配置'!$B$5:$B$104,0))</x:f>
        <x:v>167</x:v>
      </x:c>
      <x:c r="E43" s="16" t="n">
        <x:v>15.243890998890922</x:v>
      </x:c>
      <x:c r="F43" s="16" t="n">
        <x:f>SUMIF('TeamHero生成'!$K$5:$K$504,A43,'TeamHero生成'!$AH$5:$AH$504)/595222.4570603311</x:f>
        <x:v>9.69261373819195</x:v>
      </x:c>
      <x:c r="G43" s="16" t="n">
        <x:v>13.368687772215464</x:v>
      </x:c>
      <x:c r="H43" s="16" t="n">
        <x:f>1040579.6363749051/SUMIF('TeamHero生成'!$K$5:$K$504,A43,'TeamHero生成'!$E$5:$E$504)</x:f>
        <x:v>17.37862011080891</x:v>
      </x:c>
      <x:c r="I43" s="16" t="n">
        <x:f>F43/E43</x:f>
        <x:v>0.6358359384029406</x:v>
      </x:c>
      <x:c r="J43" s="16" t="n">
        <x:f>H43/G43</x:f>
        <x:v>1.2999495842013309</x:v>
      </x:c>
    </x:row>
    <x:row r="44">
      <x:c r="A44" t="n">
        <x:v>43</x:v>
      </x:c>
      <x:c r="B44" t="n">
        <x:v>119</x:v>
      </x:c>
      <x:c r="C44" t="n">
        <x:v>275</x:v>
      </x:c>
      <x:c r="D44" t="n">
        <x:f>INDEX('楼层配置'!$D$5:$D$104,MATCH(A44,'楼层配置'!$B$5:$B$104,0))</x:f>
        <x:v>171</x:v>
      </x:c>
      <x:c r="E44" s="16" t="n">
        <x:v>16.26134363253201</x:v>
      </x:c>
      <x:c r="F44" s="16" t="n">
        <x:f>SUMIF('TeamHero生成'!$K$5:$K$504,A44,'TeamHero生成'!$AH$5:$AH$504)/618477.5601189609</x:f>
        <x:v>10.536951107740835</x:v>
      </x:c>
      <x:c r="G44" s="16" t="n">
        <x:v>13.446457340111367</x:v>
      </x:c>
      <x:c r="H44" s="16" t="n">
        <x:f>1071138.0509983988/SUMIF('TeamHero生成'!$K$5:$K$504,A44,'TeamHero生成'!$E$5:$E$504)</x:f>
        <x:v>17.26639452895736</x:v>
      </x:c>
      <x:c r="I44" s="16" t="n">
        <x:f>F44/E44</x:f>
        <x:v>0.6479754284671096</x:v>
      </x:c>
      <x:c r="J44" s="16" t="n">
        <x:f>H44/G44</x:f>
        <x:v>1.2840850264293</x:v>
      </x:c>
    </x:row>
    <x:row r="45">
      <x:c r="A45" t="n">
        <x:v>44</x:v>
      </x:c>
      <x:c r="B45" t="n">
        <x:v>122</x:v>
      </x:c>
      <x:c r="C45" t="n">
        <x:v>279</x:v>
      </x:c>
      <x:c r="D45" t="n">
        <x:f>INDEX('楼层配置'!$D$5:$D$104,MATCH(A45,'楼层配置'!$B$5:$B$104,0))</x:f>
        <x:v>174</x:v>
      </x:c>
      <x:c r="E45" s="16" t="n">
        <x:v>16.224412686465175</x:v>
      </x:c>
      <x:c r="F45" s="16" t="n">
        <x:f>SUMIF('TeamHero生成'!$K$5:$K$504,A45,'TeamHero生成'!$AH$5:$AH$504)/654667.4770634026</x:f>
        <x:v>10.55407763494389</x:v>
      </x:c>
      <x:c r="G45" s="16" t="n">
        <x:v>13.579628790322484</x:v>
      </x:c>
      <x:c r="H45" s="16" t="n">
        <x:f>1117995.998283737/SUMIF('TeamHero生成'!$K$5:$K$504,A45,'TeamHero生成'!$E$5:$E$504)</x:f>
        <x:v>17.394759744270242</x:v>
      </x:c>
      <x:c r="I45" s="16" t="n">
        <x:f>F45/E45</x:f>
        <x:v>0.650505989886979</x:v>
      </x:c>
      <x:c r="J45" s="16" t="n">
        <x:f>H45/G45</x:f>
        <x:v>1.2809451578430928</x:v>
      </x:c>
    </x:row>
    <x:row r="46">
      <x:c r="A46" t="n">
        <x:v>45</x:v>
      </x:c>
      <x:c r="B46" t="n">
        <x:v>124</x:v>
      </x:c>
      <x:c r="C46" t="n">
        <x:v>282</x:v>
      </x:c>
      <x:c r="D46" t="n">
        <x:f>INDEX('楼层配置'!$D$5:$D$104,MATCH(A46,'楼层配置'!$B$5:$B$104,0))</x:f>
        <x:v>178</x:v>
      </x:c>
      <x:c r="E46" s="16" t="n">
        <x:v>14.399851457529282</x:v>
      </x:c>
      <x:c r="F46" s="16" t="n">
        <x:f>SUMIF('TeamHero生成'!$K$5:$K$504,A46,'TeamHero生成'!$AH$5:$AH$504)/679690.3324212407</x:f>
        <x:v>9.589387038136104</x:v>
      </x:c>
      <x:c r="G46" s="16" t="n">
        <x:v>13.115356112897855</x:v>
      </x:c>
      <x:c r="H46" s="16" t="n">
        <x:f>1149922.9798053678/SUMIF('TeamHero生成'!$K$5:$K$504,A46,'TeamHero生成'!$E$5:$E$504)</x:f>
        <x:v>16.60298844651123</x:v>
      </x:c>
      <x:c r="I46" s="16" t="n">
        <x:f>F46/E46</x:f>
        <x:v>0.6659365248606145</x:v>
      </x:c>
      <x:c r="J46" s="16" t="n">
        <x:f>H46/G46</x:f>
        <x:v>1.2659197587615314</x:v>
      </x:c>
    </x:row>
    <x:row r="47">
      <x:c r="A47" t="n">
        <x:v>46</x:v>
      </x:c>
      <x:c r="B47" t="n">
        <x:v>127</x:v>
      </x:c>
      <x:c r="C47" t="n">
        <x:v>286</x:v>
      </x:c>
      <x:c r="D47" t="n">
        <x:f>INDEX('楼层配置'!$D$5:$D$104,MATCH(A47,'楼层配置'!$B$5:$B$104,0))</x:f>
        <x:v>182</x:v>
      </x:c>
      <x:c r="E47" s="16" t="n">
        <x:v>16.199168382703032</x:v>
      </x:c>
      <x:c r="F47" s="16" t="n">
        <x:f>SUMIF('TeamHero生成'!$K$5:$K$504,A47,'TeamHero生成'!$AH$5:$AH$504)/718612.3906711799</x:f>
        <x:v>10.81118354852665</x:v>
      </x:c>
      <x:c r="G47" s="16" t="n">
        <x:v>14.2491669830924</x:v>
      </x:c>
      <x:c r="H47" s="16" t="n">
        <x:f>1198860.0049410807/SUMIF('TeamHero生成'!$K$5:$K$504,A47,'TeamHero生成'!$E$5:$E$504)</x:f>
        <x:v>17.98469854397061</x:v>
      </x:c>
      <x:c r="I47" s="16" t="n">
        <x:f>F47/E47</x:f>
        <x:v>0.6673912692993854</x:v>
      </x:c>
      <x:c r="J47" s="16" t="n">
        <x:f>H47/G47</x:f>
        <x:v>1.262157890725168</x:v>
      </x:c>
    </x:row>
    <x:row r="48">
      <x:c r="A48" t="n">
        <x:v>47</x:v>
      </x:c>
      <x:c r="B48" t="n">
        <x:v>130</x:v>
      </x:c>
      <x:c r="C48" t="n">
        <x:v>289</x:v>
      </x:c>
      <x:c r="D48" t="n">
        <x:f>INDEX('楼层配置'!$D$5:$D$104,MATCH(A48,'楼层配置'!$B$5:$B$104,0))</x:f>
        <x:v>185</x:v>
      </x:c>
      <x:c r="E48" s="16" t="n">
        <x:v>14.332298280576133</x:v>
      </x:c>
      <x:c r="F48" s="16" t="n">
        <x:f>SUMIF('TeamHero生成'!$K$5:$K$504,A48,'TeamHero生成'!$AH$5:$AH$504)/757968.3570253532</x:f>
        <x:v>9.622545759856882</x:v>
      </x:c>
      <x:c r="G48" s="16" t="n">
        <x:v>13.333081003615042</x:v>
      </x:c>
      <x:c r="H48" s="16" t="n">
        <x:f>1247521.3745948873/SUMIF('TeamHero生成'!$K$5:$K$504,A48,'TeamHero生成'!$E$5:$E$504)</x:f>
        <x:v>16.793266313014218</x:v>
      </x:c>
      <x:c r="I48" s="16" t="n">
        <x:f>F48/E48</x:f>
        <x:v>0.6713888848446484</x:v>
      </x:c>
      <x:c r="J48" s="16" t="n">
        <x:f>H48/G48</x:f>
        <x:v>1.2595188095280456</x:v>
      </x:c>
    </x:row>
    <x:row r="49">
      <x:c r="A49" t="n">
        <x:v>48</x:v>
      </x:c>
      <x:c r="B49" t="n">
        <x:v>132</x:v>
      </x:c>
      <x:c r="C49" t="n">
        <x:v>291</x:v>
      </x:c>
      <x:c r="D49" t="n">
        <x:f>INDEX('楼层配置'!$D$5:$D$104,MATCH(A49,'楼层配置'!$B$5:$B$104,0))</x:f>
        <x:v>189</x:v>
      </x:c>
      <x:c r="E49" s="16" t="n">
        <x:v>15.163641414866689</x:v>
      </x:c>
      <x:c r="F49" s="16" t="n">
        <x:f>SUMIF('TeamHero生成'!$K$5:$K$504,A49,'TeamHero生成'!$AH$5:$AH$504)/781156.4243384793</x:f>
        <x:v>10.5177789955762</x:v>
      </x:c>
      <x:c r="G49" s="16" t="n">
        <x:v>13.927499333219876</x:v>
      </x:c>
      <x:c r="H49" s="16" t="n">
        <x:f>1275891.9851987187/SUMIF('TeamHero生成'!$K$5:$K$504,A49,'TeamHero生成'!$E$5:$E$504)</x:f>
        <x:v>17.20040962547816</x:v>
      </x:c>
      <x:c r="I49" s="16" t="n">
        <x:f>F49/E49</x:f>
        <x:v>0.6936182878384604</x:v>
      </x:c>
      <x:c r="J49" s="16" t="n">
        <x:f>H49/G49</x:f>
        <x:v>1.2349962627139917</x:v>
      </x:c>
    </x:row>
    <x:row r="50">
      <x:c r="A50" t="n">
        <x:v>49</x:v>
      </x:c>
      <x:c r="B50" t="n">
        <x:v>135</x:v>
      </x:c>
      <x:c r="C50" t="n">
        <x:v>295</x:v>
      </x:c>
      <x:c r="D50" t="n">
        <x:f>INDEX('楼层配置'!$D$5:$D$104,MATCH(A50,'楼层配置'!$B$5:$B$104,0))</x:f>
        <x:v>192</x:v>
      </x:c>
      <x:c r="E50" s="16" t="n">
        <x:v>17.3581911043842</x:v>
      </x:c>
      <x:c r="F50" s="16" t="n">
        <x:f>SUMIF('TeamHero生成'!$K$5:$K$504,A50,'TeamHero生成'!$AH$5:$AH$504)/816982.9520014873</x:f>
        <x:v>11.864444598878674</x:v>
      </x:c>
      <x:c r="G50" s="16" t="n">
        <x:v>13.935647224493957</x:v>
      </x:c>
      <x:c r="H50" s="16" t="n">
        <x:f>1319205.6226701643/SUMIF('TeamHero生成'!$K$5:$K$504,A50,'TeamHero生成'!$E$5:$E$504)</x:f>
        <x:v>17.3251421342478</x:v>
      </x:c>
      <x:c r="I50" s="16" t="n">
        <x:f>F50/E50</x:f>
        <x:v>0.6835069695644751</x:v>
      </x:c>
      <x:c r="J50" s="16" t="n">
        <x:f>H50/G50</x:f>
        <x:v>1.2432247928748013</x:v>
      </x:c>
    </x:row>
    <x:row r="51">
      <x:c r="A51" t="n">
        <x:v>50</x:v>
      </x:c>
      <x:c r="B51" t="n">
        <x:v>138</x:v>
      </x:c>
      <x:c r="C51" t="n">
        <x:v>299</x:v>
      </x:c>
      <x:c r="D51" t="n">
        <x:f>INDEX('楼层配置'!$D$5:$D$104,MATCH(A51,'楼层配置'!$B$5:$B$104,0))</x:f>
        <x:v>196</x:v>
      </x:c>
      <x:c r="E51" s="16" t="n">
        <x:v>15.475707306883832</x:v>
      </x:c>
      <x:c r="F51" s="16" t="n">
        <x:f>SUMIF('TeamHero生成'!$K$5:$K$504,A51,'TeamHero生成'!$AH$5:$AH$504)/854095.5550612314</x:f>
        <x:v>10.809863748262254</x:v>
      </x:c>
      <x:c r="G51" s="16" t="n">
        <x:v>13.92026554958992</x:v>
      </x:c>
      <x:c r="H51" s="16" t="n">
        <x:f>1363438.7856066977/SUMIF('TeamHero生成'!$K$5:$K$504,A51,'TeamHero生成'!$E$5:$E$504)</x:f>
        <x:v>17.12045487840852</x:v>
      </x:c>
      <x:c r="I51" s="16" t="n">
        <x:f>F51/E51</x:f>
        <x:v>0.6985053111888373</x:v>
      </x:c>
      <x:c r="J51" s="16" t="n">
        <x:f>H51/G51</x:f>
        <x:v>1.2298942730236115</x:v>
      </x:c>
    </x:row>
    <x:row r="52">
      <x:c r="A52" t="n">
        <x:v>51</x:v>
      </x:c>
      <x:c r="B52" t="n">
        <x:v>140</x:v>
      </x:c>
      <x:c r="C52" t="n">
        <x:v>301</x:v>
      </x:c>
      <x:c r="D52" t="n">
        <x:f>INDEX('楼层配置'!$D$5:$D$104,MATCH(A52,'楼层配置'!$B$5:$B$104,0))</x:f>
        <x:v>198</x:v>
      </x:c>
      <x:c r="E52" s="16" t="n">
        <x:v>13.685629499711348</x:v>
      </x:c>
      <x:c r="F52" s="16" t="n">
        <x:f>SUMIF('TeamHero生成'!$K$5:$K$504,A52,'TeamHero生成'!$AH$5:$AH$504)/879570.3258844016</x:f>
        <x:v>9.601708731533092</x:v>
      </x:c>
      <x:c r="G52" s="16" t="n">
        <x:v>12.962245422616203</x:v>
      </x:c>
      <x:c r="H52" s="16" t="n">
        <x:f>1393444.137959119/SUMIF('TeamHero生成'!$K$5:$K$504,A52,'TeamHero生成'!$E$5:$E$504)</x:f>
        <x:v>15.924165910052213</x:v>
      </x:c>
      <x:c r="I52" s="16" t="n">
        <x:f>F52/E52</x:f>
        <x:v>0.7015905795006073</x:v>
      </x:c>
      <x:c r="J52" s="16" t="n">
        <x:f>H52/G52</x:f>
        <x:v>1.2285036574194257</x:v>
      </x:c>
    </x:row>
    <x:row r="53">
      <x:c r="A53" t="n">
        <x:v>52</x:v>
      </x:c>
      <x:c r="B53" t="n">
        <x:v>143</x:v>
      </x:c>
      <x:c r="C53" t="n">
        <x:v>303</x:v>
      </x:c>
      <x:c r="D53" t="n">
        <x:f>INDEX('楼层配置'!$D$5:$D$104,MATCH(A53,'楼层配置'!$B$5:$B$104,0))</x:f>
        <x:v>201</x:v>
      </x:c>
      <x:c r="E53" s="16" t="n">
        <x:v>14.458285887551302</x:v>
      </x:c>
      <x:c r="F53" s="16" t="n">
        <x:f>SUMIF('TeamHero生成'!$K$5:$K$504,A53,'TeamHero生成'!$AH$5:$AH$504)/918910.4399024372</x:f>
        <x:v>10.159447661179238</x:v>
      </x:c>
      <x:c r="G53" s="16" t="n">
        <x:v>13.571930494164576</x:v>
      </x:c>
      <x:c r="H53" s="16" t="n">
        <x:f>1439235.6757082467/SUMIF('TeamHero生成'!$K$5:$K$504,A53,'TeamHero生成'!$E$5:$E$504)</x:f>
        <x:v>16.644142842204285</x:v>
      </x:c>
      <x:c r="I53" s="16" t="n">
        <x:f>F53/E53</x:f>
        <x:v>0.7026730374675052</x:v>
      </x:c>
      <x:c r="J53" s="16" t="n">
        <x:f>H53/G53</x:f>
        <x:v>1.226365169594749</x:v>
      </x:c>
    </x:row>
    <x:row r="54">
      <x:c r="A54" t="n">
        <x:v>53</x:v>
      </x:c>
      <x:c r="B54" t="n">
        <x:v>146</x:v>
      </x:c>
      <x:c r="C54" t="n">
        <x:v>306</x:v>
      </x:c>
      <x:c r="D54" t="n">
        <x:f>INDEX('楼层配置'!$D$5:$D$104,MATCH(A54,'楼层配置'!$B$5:$B$104,0))</x:f>
        <x:v>203</x:v>
      </x:c>
      <x:c r="E54" s="16" t="n">
        <x:v>14.525336741295007</x:v>
      </x:c>
      <x:c r="F54" s="16" t="n">
        <x:f>SUMIF('TeamHero生成'!$K$5:$K$504,A54,'TeamHero生成'!$AH$5:$AH$504)/956281.237189549</x:f>
        <x:v>10.081770574453936</x:v>
      </x:c>
      <x:c r="G54" s="16" t="n">
        <x:v>13.592099207231037</x:v>
      </x:c>
      <x:c r="H54" s="16" t="n">
        <x:f>1482216.4427242633/SUMIF('TeamHero生成'!$K$5:$K$504,A54,'TeamHero生成'!$E$5:$E$504)</x:f>
        <x:v>16.788995216902794</x:v>
      </x:c>
      <x:c r="I54" s="16" t="n">
        <x:f>F54/E54</x:f>
        <x:v>0.694081710738714</x:v>
      </x:c>
      <x:c r="J54" s="16" t="n">
        <x:f>H54/G54</x:f>
        <x:v>1.2352025217687492</x:v>
      </x:c>
    </x:row>
    <x:row r="55">
      <x:c r="A55" t="n">
        <x:v>54</x:v>
      </x:c>
      <x:c r="B55" t="n">
        <x:v>148</x:v>
      </x:c>
      <x:c r="C55" t="n">
        <x:v>308</x:v>
      </x:c>
      <x:c r="D55" t="n">
        <x:f>INDEX('楼层配置'!$D$5:$D$104,MATCH(A55,'楼层配置'!$B$5:$B$104,0))</x:f>
        <x:v>205</x:v>
      </x:c>
      <x:c r="E55" s="16" t="n">
        <x:v>14.583698335268766</x:v>
      </x:c>
      <x:c r="F55" s="16" t="n">
        <x:f>SUMIF('TeamHero生成'!$K$5:$K$504,A55,'TeamHero生成'!$AH$5:$AH$504)/979708.9609549236</x:f>
        <x:v>10.14171246817569</x:v>
      </x:c>
      <x:c r="G55" s="16" t="n">
        <x:v>13.595977353130275</x:v>
      </x:c>
      <x:c r="H55" s="16" t="n">
        <x:f>1508928.709839103/SUMIF('TeamHero生成'!$K$5:$K$504,A55,'TeamHero生成'!$E$5:$E$504)</x:f>
        <x:v>16.774821125034496</x:v>
      </x:c>
      <x:c r="I55" s="16" t="n">
        <x:f>F55/E55</x:f>
        <x:v>0.695414306784534</x:v>
      </x:c>
      <x:c r="J55" s="16" t="n">
        <x:f>H55/G55</x:f>
        <x:v>1.2338076689405737</x:v>
      </x:c>
    </x:row>
    <x:row r="56">
      <x:c r="A56" t="n">
        <x:v>55</x:v>
      </x:c>
      <x:c r="B56" t="n">
        <x:v>151</x:v>
      </x:c>
      <x:c r="C56" t="n">
        <x:v>310</x:v>
      </x:c>
      <x:c r="D56" t="n">
        <x:f>INDEX('楼层配置'!$D$5:$D$104,MATCH(A56,'楼层配置'!$B$5:$B$104,0))</x:f>
        <x:v>208</x:v>
      </x:c>
      <x:c r="E56" s="16" t="n">
        <x:v>15.426876986760098</x:v>
      </x:c>
      <x:c r="F56" s="16" t="n">
        <x:f>SUMIF('TeamHero生成'!$K$5:$K$504,A56,'TeamHero生成'!$AH$5:$AH$504)/1015710.9736488002</x:f>
        <x:v>10.897659494719859</x:v>
      </x:c>
      <x:c r="G56" s="16" t="n">
        <x:v>14.203329784374265</x:v>
      </x:c>
      <x:c r="H56" s="16" t="n">
        <x:f>1549578.7798183535/SUMIF('TeamHero生成'!$K$5:$K$504,A56,'TeamHero生成'!$E$5:$E$504)</x:f>
        <x:v>17.35347757229804</x:v>
      </x:c>
      <x:c r="I56" s="16" t="n">
        <x:f>F56/E56</x:f>
        <x:v>0.706407363205957</x:v>
      </x:c>
      <x:c r="J56" s="16" t="n">
        <x:f>H56/G56</x:f>
        <x:v>1.2217893857107647</x:v>
      </x:c>
    </x:row>
    <x:row r="57">
      <x:c r="A57" t="n">
        <x:v>56</x:v>
      </x:c>
      <x:c r="B57" t="n">
        <x:v>154</x:v>
      </x:c>
      <x:c r="C57" t="n">
        <x:v>312</x:v>
      </x:c>
      <x:c r="D57" t="n">
        <x:f>INDEX('楼层配置'!$D$5:$D$104,MATCH(A57,'楼层配置'!$B$5:$B$104,0))</x:f>
        <x:v>210</x:v>
      </x:c>
      <x:c r="E57" s="16" t="n">
        <x:v>14.48880831401526</x:v>
      </x:c>
      <x:c r="F57" s="16" t="n">
        <x:f>SUMIF('TeamHero生成'!$K$5:$K$504,A57,'TeamHero生成'!$AH$5:$AH$504)/1052767.5714110318</x:f>
        <x:v>10.122809173356337</x:v>
      </x:c>
      <x:c r="G57" s="16" t="n">
        <x:v>13.742692911704225</x:v>
      </x:c>
      <x:c r="H57" s="16" t="n">
        <x:f>1590933.4524259185/SUMIF('TeamHero生成'!$K$5:$K$504,A57,'TeamHero生成'!$E$5:$E$504)</x:f>
        <x:v>16.90899426521893</x:v>
      </x:c>
      <x:c r="I57" s="16" t="n">
        <x:f>F57/E57</x:f>
        <x:v>0.6986640277078122</x:v>
      </x:c>
      <x:c r="J57" s="16" t="n">
        <x:f>H57/G57</x:f>
        <x:v>1.23039890171875</x:v>
      </x:c>
    </x:row>
    <x:row r="58">
      <x:c r="A58" t="n">
        <x:v>57</x:v>
      </x:c>
      <x:c r="B58" t="n">
        <x:v>156</x:v>
      </x:c>
      <x:c r="C58" t="n">
        <x:v>314</x:v>
      </x:c>
      <x:c r="D58" t="n">
        <x:f>INDEX('楼层配置'!$D$5:$D$104,MATCH(A58,'楼层配置'!$B$5:$B$104,0))</x:f>
        <x:v>212</x:v>
      </x:c>
      <x:c r="E58" s="16" t="n">
        <x:v>13.678440902665551</x:v>
      </x:c>
      <x:c r="F58" s="16" t="n">
        <x:f>SUMIF('TeamHero生成'!$K$5:$K$504,A58,'TeamHero生成'!$AH$5:$AH$504)/1078070.3048674995</x:f>
        <x:v>9.586215989197644</x:v>
      </x:c>
      <x:c r="G58" s="16" t="n">
        <x:v>13.227958158415596</x:v>
      </x:c>
      <x:c r="H58" s="16" t="n">
        <x:f>1618898.3630013869/SUMIF('TeamHero生成'!$K$5:$K$504,A58,'TeamHero生成'!$E$5:$E$504)</x:f>
        <x:v>16.25840702802353</x:v>
      </x:c>
      <x:c r="I58" s="16" t="n">
        <x:f>F58/E58</x:f>
        <x:v>0.700826655421639</x:v>
      </x:c>
      <x:c r="J58" s="16" t="n">
        <x:f>H58/G58</x:f>
        <x:v>1.2290942285510609</x:v>
      </x:c>
    </x:row>
    <x:row r="59">
      <x:c r="A59" t="n">
        <x:v>58</x:v>
      </x:c>
      <x:c r="B59" t="n">
        <x:v>159</x:v>
      </x:c>
      <x:c r="C59" t="n">
        <x:v>316</x:v>
      </x:c>
      <x:c r="D59" t="n">
        <x:f>INDEX('楼层配置'!$D$5:$D$104,MATCH(A59,'楼层配置'!$B$5:$B$104,0))</x:f>
        <x:v>214</x:v>
      </x:c>
      <x:c r="E59" s="16" t="n">
        <x:v>13.676246153941932</x:v>
      </x:c>
      <x:c r="F59" s="16" t="n">
        <x:f>SUMIF('TeamHero生成'!$K$5:$K$504,A59,'TeamHero生成'!$AH$5:$AH$504)/1116940.9091097983</x:f>
        <x:v>9.602097357338689</x:v>
      </x:c>
      <x:c r="G59" s="16" t="n">
        <x:v>13.267856410365031</x:v>
      </x:c>
      <x:c r="H59" s="16" t="n">
        <x:f>1661443.9738878405/SUMIF('TeamHero生成'!$K$5:$K$504,A59,'TeamHero生成'!$E$5:$E$504)</x:f>
        <x:v>16.290902416879184</x:v>
      </x:c>
      <x:c r="I59" s="16" t="n">
        <x:f>F59/E59</x:f>
        <x:v>0.7021003606732434</x:v>
      </x:c>
      <x:c r="J59" s="16" t="n">
        <x:f>H59/G59</x:f>
        <x:v>1.227847356273204</x:v>
      </x:c>
    </x:row>
    <x:row r="60">
      <x:c r="A60" t="n">
        <x:v>59</x:v>
      </x:c>
      <x:c r="B60" t="n">
        <x:v>162</x:v>
      </x:c>
      <x:c r="C60" t="n">
        <x:v>318</x:v>
      </x:c>
      <x:c r="D60" t="n">
        <x:f>INDEX('楼层配置'!$D$5:$D$104,MATCH(A60,'楼层配置'!$B$5:$B$104,0))</x:f>
        <x:v>217</x:v>
      </x:c>
      <x:c r="E60" s="16" t="n">
        <x:v>14.603539843989433</x:v>
      </x:c>
      <x:c r="F60" s="16" t="n">
        <x:f>SUMIF('TeamHero生成'!$K$5:$K$504,A60,'TeamHero生成'!$AH$5:$AH$504)/1152022.3922436177</x:f>
        <x:v>10.267199666042076</x:v>
      </x:c>
      <x:c r="G60" s="16" t="n">
        <x:v>13.78702475671278</x:v>
      </x:c>
      <x:c r="H60" s="16" t="n">
        <x:f>1699526.1448193379/SUMIF('TeamHero生成'!$K$5:$K$504,A60,'TeamHero生成'!$E$5:$E$504)</x:f>
        <x:v>16.902635008347634</x:v>
      </x:c>
      <x:c r="I60" s="16" t="n">
        <x:f>F60/E60</x:f>
        <x:v>0.7030623927984063</x:v>
      </x:c>
      <x:c r="J60" s="16" t="n">
        <x:f>H60/G60</x:f>
        <x:v>1.225981334378753</x:v>
      </x:c>
    </x:row>
    <x:row r="61">
      <x:c r="A61" t="n">
        <x:v>60</x:v>
      </x:c>
      <x:c r="B61" t="n">
        <x:v>165</x:v>
      </x:c>
      <x:c r="C61" t="n">
        <x:v>321</x:v>
      </x:c>
      <x:c r="D61" t="n">
        <x:f>INDEX('楼层配置'!$D$5:$D$104,MATCH(A61,'楼层配置'!$B$5:$B$104,0))</x:f>
        <x:v>219</x:v>
      </x:c>
      <x:c r="E61" s="16" t="n">
        <x:v>15.72947217314115</x:v>
      </x:c>
      <x:c r="F61" s="16" t="n">
        <x:f>SUMIF('TeamHero生成'!$K$5:$K$504,A61,'TeamHero生成'!$AH$5:$AH$504)/1187088.129871507</x:f>
        <x:v>10.915971683081885</x:v>
      </x:c>
      <x:c r="G61" s="16" t="n">
        <x:v>14.240099160669109</x:v>
      </x:c>
      <x:c r="H61" s="16" t="n">
        <x:f>1737234.088039058/SUMIF('TeamHero生成'!$K$5:$K$504,A61,'TeamHero生成'!$E$5:$E$504)</x:f>
        <x:v>17.57871499442513</x:v>
      </x:c>
      <x:c r="I61" s="16" t="n">
        <x:f>F61/E61</x:f>
        <x:v>0.6939820715485574</x:v>
      </x:c>
      <x:c r="J61" s="16" t="n">
        <x:f>H61/G61</x:f>
        <x:v>1.2344517265004178</x:v>
      </x:c>
    </x:row>
    <x:row r="62">
      <x:c r="A62" t="n">
        <x:v>61</x:v>
      </x:c>
      <x:c r="B62" t="n">
        <x:v>167</x:v>
      </x:c>
      <x:c r="C62" t="n">
        <x:v>322</x:v>
      </x:c>
      <x:c r="D62" t="n">
        <x:f>INDEX('楼层配置'!$D$5:$D$104,MATCH(A62,'楼层配置'!$B$5:$B$104,0))</x:f>
        <x:v>221</x:v>
      </x:c>
      <x:c r="E62" s="16" t="n">
        <x:v>13.857141518957711</x:v>
      </x:c>
      <x:c r="F62" s="16" t="n">
        <x:f>SUMIF('TeamHero生成'!$K$5:$K$504,A62,'TeamHero生成'!$AH$5:$AH$504)/1210942.506113283</x:f>
        <x:v>9.788429842005069</x:v>
      </x:c>
      <x:c r="G62" s="16" t="n">
        <x:v>13.255019405611646</x:v>
      </x:c>
      <x:c r="H62" s="16" t="n">
        <x:f>1762677.8302867338/SUMIF('TeamHero生成'!$K$5:$K$504,A62,'TeamHero生成'!$E$5:$E$504)</x:f>
        <x:v>16.218822335888827</x:v>
      </x:c>
      <x:c r="I62" s="16" t="n">
        <x:f>F62/E62</x:f>
        <x:v>0.7063816032053718</x:v>
      </x:c>
      <x:c r="J62" s="16" t="n">
        <x:f>H62/G62</x:f>
        <x:v>1.2235985357382748</x:v>
      </x:c>
    </x:row>
    <x:row r="63">
      <x:c r="A63" t="n">
        <x:v>62</x:v>
      </x:c>
      <x:c r="B63" t="n">
        <x:v>170</x:v>
      </x:c>
      <x:c r="C63" t="n">
        <x:v>324</x:v>
      </x:c>
      <x:c r="D63" t="n">
        <x:f>INDEX('楼层配置'!$D$5:$D$104,MATCH(A63,'楼层配置'!$B$5:$B$104,0))</x:f>
        <x:v>223</x:v>
      </x:c>
      <x:c r="E63" s="16" t="n">
        <x:v>13.9154293438768</x:v>
      </x:c>
      <x:c r="F63" s="16" t="n">
        <x:f>SUMIF('TeamHero生成'!$K$5:$K$504,A63,'TeamHero生成'!$AH$5:$AH$504)/1247452.6986716324</x:f>
        <x:v>9.714994155714347</x:v>
      </x:c>
      <x:c r="G63" s="16" t="n">
        <x:v>13.251679994069747</x:v>
      </x:c>
      <x:c r="H63" s="16" t="n">
        <x:f>1801304.8158889145/SUMIF('TeamHero生成'!$K$5:$K$504,A63,'TeamHero生成'!$E$5:$E$504)</x:f>
        <x:v>16.326814733240106</x:v>
      </x:c>
      <x:c r="I63" s="16" t="n">
        <x:f>F63/E63</x:f>
        <x:v>0.6981454840981411</x:v>
      </x:c>
      <x:c r="J63" s="16" t="n">
        <x:f>H63/G63</x:f>
        <x:v>1.2320562178189114</x:v>
      </x:c>
    </x:row>
    <x:row r="64">
      <x:c r="A64" t="n">
        <x:v>63</x:v>
      </x:c>
      <x:c r="B64" t="n">
        <x:v>173</x:v>
      </x:c>
      <x:c r="C64" t="n">
        <x:v>326</x:v>
      </x:c>
      <x:c r="D64" t="n">
        <x:f>INDEX('楼层配置'!$D$5:$D$104,MATCH(A64,'楼层配置'!$B$5:$B$104,0))</x:f>
        <x:v>225</x:v>
      </x:c>
      <x:c r="E64" s="16" t="n">
        <x:v>14.92368967147597</x:v>
      </x:c>
      <x:c r="F64" s="16" t="n">
        <x:f>SUMIF('TeamHero生成'!$K$5:$K$504,A64,'TeamHero生成'!$AH$5:$AH$504)/1284852.828746696</x:f>
        <x:v>10.285373651976181</x:v>
      </x:c>
      <x:c r="G64" s="16" t="n">
        <x:v>13.72881533302557</x:v>
      </x:c>
      <x:c r="H64" s="16" t="n">
        <x:f>1840489.9100475046/SUMIF('TeamHero生成'!$K$5:$K$504,A64,'TeamHero生成'!$E$5:$E$504)</x:f>
        <x:v>17.029116757626408</x:v>
      </x:c>
      <x:c r="I64" s="16" t="n">
        <x:f>F64/E64</x:f>
        <x:v>0.6891977706850123</x:v>
      </x:c>
      <x:c r="J64" s="16" t="n">
        <x:f>H64/G64</x:f>
        <x:v>1.2403922949317954</x:v>
      </x:c>
    </x:row>
    <x:row r="65">
      <x:c r="A65" t="n">
        <x:v>64</x:v>
      </x:c>
      <x:c r="B65" t="n">
        <x:v>176</x:v>
      </x:c>
      <x:c r="C65" t="n">
        <x:v>328</x:v>
      </x:c>
      <x:c r="D65" t="n">
        <x:f>INDEX('楼层配置'!$D$5:$D$104,MATCH(A65,'楼层配置'!$B$5:$B$104,0))</x:f>
        <x:v>227</x:v>
      </x:c>
      <x:c r="E65" s="16" t="n">
        <x:v>14.07417412596462</x:v>
      </x:c>
      <x:c r="F65" s="16" t="n">
        <x:f>SUMIF('TeamHero生成'!$K$5:$K$504,A65,'TeamHero生成'!$AH$5:$AH$504)/1320619.4923805771</x:f>
        <x:v>9.729791100888935</x:v>
      </x:c>
      <x:c r="G65" s="16" t="n">
        <x:v>13.215838429832166</x:v>
      </x:c>
      <x:c r="H65" s="16" t="n">
        <x:f>1877665.2023861827/SUMIF('TeamHero生成'!$K$5:$K$504,A65,'TeamHero生成'!$E$5:$E$504)</x:f>
        <x:v>16.3773676614582</x:v>
      </x:c>
      <x:c r="I65" s="16" t="n">
        <x:f>F65/E65</x:f>
        <x:v>0.6913223478554961</x:v>
      </x:c>
      <x:c r="J65" s="16" t="n">
        <x:f>H65/G65</x:f>
        <x:v>1.2392227514290355</x:v>
      </x:c>
    </x:row>
    <x:row r="66">
      <x:c r="A66" t="n">
        <x:v>65</x:v>
      </x:c>
      <x:c r="B66" t="n">
        <x:v>178</x:v>
      </x:c>
      <x:c r="C66" t="n">
        <x:v>329</x:v>
      </x:c>
      <x:c r="D66" t="n">
        <x:f>INDEX('楼层配置'!$D$5:$D$104,MATCH(A66,'楼层配置'!$B$5:$B$104,0))</x:f>
        <x:v>229</x:v>
      </x:c>
      <x:c r="E66" s="16" t="n">
        <x:v>15.975398708713792</x:v>
      </x:c>
      <x:c r="F66" s="16" t="n">
        <x:f>SUMIF('TeamHero生成'!$K$5:$K$504,A66,'TeamHero生成'!$AH$5:$AH$504)/1343291.0912708656</x:f>
        <x:v>11.036647220868241</x:v>
      </x:c>
      <x:c r="G66" s="16" t="n">
        <x:v>14.24158616263718</x:v>
      </x:c>
      <x:c r="H66" s="16" t="n">
        <x:f>1901092.4887091925/SUMIF('TeamHero生成'!$K$5:$K$504,A66,'TeamHero生成'!$E$5:$E$504)</x:f>
        <x:v>17.630950399335905</x:v>
      </x:c>
      <x:c r="I66" s="16" t="n">
        <x:f>F66/E66</x:f>
        <x:v>0.6908526930754032</x:v>
      </x:c>
      <x:c r="J66" s="16" t="n">
        <x:f>H66/G66</x:f>
        <x:v>1.2379906421934044</x:v>
      </x:c>
    </x:row>
    <x:row r="67">
      <x:c r="A67" t="n">
        <x:v>66</x:v>
      </x:c>
      <x:c r="B67" t="n">
        <x:v>181</x:v>
      </x:c>
      <x:c r="C67" t="n">
        <x:v>330</x:v>
      </x:c>
      <x:c r="D67" t="n">
        <x:f>INDEX('楼层配置'!$D$5:$D$104,MATCH(A67,'楼层配置'!$B$5:$B$104,0))</x:f>
        <x:v>230</x:v>
      </x:c>
      <x:c r="E67" s="16" t="n">
        <x:v>14.039800082895253</x:v>
      </x:c>
      <x:c r="F67" s="16" t="n">
        <x:f>SUMIF('TeamHero生成'!$K$5:$K$504,A67,'TeamHero生成'!$AH$5:$AH$504)/1377894.3176242905</x:f>
        <x:v>9.731345111395903</x:v>
      </x:c>
      <x:c r="G67" s="16" t="n">
        <x:v>13.272955880196031</x:v>
      </x:c>
      <x:c r="H67" s="16" t="n">
        <x:f>1936600.7981150753/SUMIF('TeamHero生成'!$K$5:$K$504,A67,'TeamHero生成'!$E$5:$E$504)</x:f>
        <x:v>16.42328396101592</x:v>
      </x:c>
      <x:c r="I67" s="16" t="n">
        <x:f>F67/E67</x:f>
        <x:v>0.6931256181668599</x:v>
      </x:c>
      <x:c r="J67" s="16" t="n">
        <x:f>H67/G67</x:f>
        <x:v>1.2373493974707133</x:v>
      </x:c>
    </x:row>
    <x:row r="68">
      <x:c r="A68" t="n">
        <x:v>67</x:v>
      </x:c>
      <x:c r="B68" t="n">
        <x:v>184</x:v>
      </x:c>
      <x:c r="C68" t="n">
        <x:v>332</x:v>
      </x:c>
      <x:c r="D68" t="n">
        <x:f>INDEX('楼层配置'!$D$5:$D$104,MATCH(A68,'楼层配置'!$B$5:$B$104,0))</x:f>
        <x:v>232</x:v>
      </x:c>
      <x:c r="E68" s="16" t="n">
        <x:v>14.158178582159158</x:v>
      </x:c>
      <x:c r="F68" s="16" t="n">
        <x:f>SUMIF('TeamHero生成'!$K$5:$K$504,A68,'TeamHero生成'!$AH$5:$AH$504)/1413223.5244238</x:f>
        <x:v>9.702651153803856</x:v>
      </x:c>
      <x:c r="G68" s="16" t="n">
        <x:v>13.228003236691448</x:v>
      </x:c>
      <x:c r="H68" s="16" t="n">
        <x:f>1972553.0870765883/SUMIF('TeamHero生成'!$K$5:$K$504,A68,'TeamHero生成'!$E$5:$E$504)</x:f>
        <x:v>16.478451919941424</x:v>
      </x:c>
      <x:c r="I68" s="16" t="n">
        <x:f>F68/E68</x:f>
        <x:v>0.6853036283939977</x:v>
      </x:c>
      <x:c r="J68" s="16" t="n">
        <x:f>H68/G68</x:f>
        <x:v>1.245724817653051</x:v>
      </x:c>
    </x:row>
    <x:row r="69">
      <x:c r="A69" t="n">
        <x:v>68</x:v>
      </x:c>
      <x:c r="B69" t="n">
        <x:v>187</x:v>
      </x:c>
      <x:c r="C69" t="n">
        <x:v>333</x:v>
      </x:c>
      <x:c r="D69" t="n">
        <x:f>INDEX('楼层配置'!$D$5:$D$104,MATCH(A69,'楼层配置'!$B$5:$B$104,0))</x:f>
        <x:v>234</x:v>
      </x:c>
      <x:c r="E69" s="16" t="n">
        <x:v>15.0829160636756</x:v>
      </x:c>
      <x:c r="F69" s="16" t="n">
        <x:f>SUMIF('TeamHero生成'!$K$5:$K$504,A69,'TeamHero生成'!$AH$5:$AH$504)/1449291.225602584</x:f>
        <x:v>10.340685159638777</x:v>
      </x:c>
      <x:c r="G69" s="16" t="n">
        <x:v>13.752171754375725</x:v>
      </x:c>
      <x:c r="H69" s="16" t="n">
        <x:f>2008952.8834097069/SUMIF('TeamHero生成'!$K$5:$K$504,A69,'TeamHero生成'!$E$5:$E$504)</x:f>
        <x:v>17.114367234117996</x:v>
      </x:c>
      <x:c r="I69" s="16" t="n">
        <x:f>F69/E69</x:f>
        <x:v>0.6855892531645386</x:v>
      </x:c>
      <x:c r="J69" s="16" t="n">
        <x:f>H69/G69</x:f>
        <x:v>1.2444846922939625</x:v>
      </x:c>
    </x:row>
    <x:row r="70">
      <x:c r="A70" t="n">
        <x:v>69</x:v>
      </x:c>
      <x:c r="B70" t="n">
        <x:v>190</x:v>
      </x:c>
      <x:c r="C70" t="n">
        <x:v>335</x:v>
      </x:c>
      <x:c r="D70" t="n">
        <x:f>INDEX('楼层配置'!$D$5:$D$104,MATCH(A70,'楼层配置'!$B$5:$B$104,0))</x:f>
        <x:v>236</x:v>
      </x:c>
      <x:c r="E70" s="16" t="n">
        <x:v>15.23300779173424</x:v>
      </x:c>
      <x:c r="F70" s="16" t="n">
        <x:f>SUMIF('TeamHero生成'!$K$5:$K$504,A70,'TeamHero生成'!$AH$5:$AH$504)/1485358.616278733</x:f>
        <x:v>10.326999283914471</x:v>
      </x:c>
      <x:c r="G70" s="16" t="n">
        <x:v>13.69097158242942</x:v>
      </x:c>
      <x:c r="H70" s="16" t="n">
        <x:f>2045070.0766952385/SUMIF('TeamHero生成'!$K$5:$K$504,A70,'TeamHero生成'!$E$5:$E$504)</x:f>
        <x:v>17.151304349281165</x:v>
      </x:c>
      <x:c r="I70" s="16" t="n">
        <x:f>F70/E70</x:f>
        <x:v>0.6779356660946583</x:v>
      </x:c>
      <x:c r="J70" s="16" t="n">
        <x:f>H70/G70</x:f>
        <x:v>1.2527455955932765</x:v>
      </x:c>
    </x:row>
    <x:row r="71">
      <x:c r="A71" t="n">
        <x:v>70</x:v>
      </x:c>
      <x:c r="B71" t="n">
        <x:v>192</x:v>
      </x:c>
      <x:c r="C71" t="n">
        <x:v>337</x:v>
      </x:c>
      <x:c r="D71" t="n">
        <x:f>INDEX('楼层配置'!$D$5:$D$104,MATCH(A71,'楼层配置'!$B$5:$B$104,0))</x:f>
        <x:v>238</x:v>
      </x:c>
      <x:c r="E71" s="16" t="n">
        <x:v>15.451033679419258</x:v>
      </x:c>
      <x:c r="F71" s="16" t="n">
        <x:f>SUMIF('TeamHero生成'!$K$5:$K$504,A71,'TeamHero生成'!$AH$5:$AH$504)/1507516.5244140604</x:f>
        <x:v>10.493277702753602</x:v>
      </x:c>
      <x:c r="G71" s="16" t="n">
        <x:v>13.587563110093026</x:v>
      </x:c>
      <x:c r="H71" s="16" t="n">
        <x:f>2067160.0954340724/SUMIF('TeamHero生成'!$K$5:$K$504,A71,'TeamHero生成'!$E$5:$E$504)</x:f>
        <x:v>17.00470612544892</x:v>
      </x:c>
      <x:c r="I71" s="16" t="n">
        <x:f>F71/E71</x:f>
        <x:v>0.6791311131973407</x:v>
      </x:c>
      <x:c r="J71" s="16" t="n">
        <x:f>H71/G71</x:f>
        <x:v>1.2514904981613364</x:v>
      </x:c>
    </x:row>
    <x:row r="72">
      <x:c r="A72" t="n">
        <x:v>71</x:v>
      </x:c>
      <x:c r="B72" t="n">
        <x:v>195</x:v>
      </x:c>
      <x:c r="C72" t="n">
        <x:v>337</x:v>
      </x:c>
      <x:c r="D72" t="n">
        <x:f>INDEX('楼层配置'!$D$5:$D$104,MATCH(A72,'楼层配置'!$B$5:$B$104,0))</x:f>
        <x:v>240</x:v>
      </x:c>
      <x:c r="E72" s="16" t="n">
        <x:v>14.321368365429949</x:v>
      </x:c>
      <x:c r="F72" s="16" t="n">
        <x:f>SUMIF('TeamHero生成'!$K$5:$K$504,A72,'TeamHero生成'!$AH$5:$AH$504)/1541262.7954477023</x:f>
        <x:v>9.882266885058163</x:v>
      </x:c>
      <x:c r="G72" s="16" t="n">
        <x:v>13.202784501008258</x:v>
      </x:c>
      <x:c r="H72" s="16" t="n">
        <x:f>2100599.36629256/SUMIF('TeamHero生成'!$K$5:$K$504,A72,'TeamHero生成'!$E$5:$E$504)</x:f>
        <x:v>16.38443584431864</x:v>
      </x:c>
      <x:c r="I72" s="16" t="n">
        <x:f>F72/E72</x:f>
        <x:v>0.6900364988105997</x:v>
      </x:c>
      <x:c r="J72" s="16" t="n">
        <x:f>H72/G72</x:f>
        <x:v>1.2409833579475156</x:v>
      </x:c>
    </x:row>
    <x:row r="73">
      <x:c r="A73" t="n">
        <x:v>72</x:v>
      </x:c>
      <x:c r="B73" t="n">
        <x:v>198</x:v>
      </x:c>
      <x:c r="C73" t="n">
        <x:v>338</x:v>
      </x:c>
      <x:c r="D73" t="n">
        <x:f>INDEX('楼层配置'!$D$5:$D$104,MATCH(A73,'楼层配置'!$B$5:$B$104,0))</x:f>
        <x:v>241</x:v>
      </x:c>
      <x:c r="E73" s="16" t="n">
        <x:v>14.33108597186051</x:v>
      </x:c>
      <x:c r="F73" s="16" t="n">
        <x:f>SUMIF('TeamHero生成'!$K$5:$K$504,A73,'TeamHero生成'!$AH$5:$AH$504)/1575628.5886734328</x:f>
        <x:v>9.771245479534116</x:v>
      </x:c>
      <x:c r="G73" s="16" t="n">
        <x:v>13.212889774850014</x:v>
      </x:c>
      <x:c r="H73" s="16" t="n">
        <x:f>2134406.033498883/SUMIF('TeamHero生成'!$K$5:$K$504,A73,'TeamHero生成'!$E$5:$E$504)</x:f>
        <x:v>16.51237444781398</x:v>
      </x:c>
      <x:c r="I73" s="16" t="n">
        <x:f>F73/E73</x:f>
        <x:v>0.6818217055371959</x:v>
      </x:c>
      <x:c r="J73" s="16" t="n">
        <x:f>H73/G73</x:f>
        <x:v>1.2497171117891521</x:v>
      </x:c>
    </x:row>
    <x:row r="74">
      <x:c r="A74" t="n">
        <x:v>73</x:v>
      </x:c>
      <x:c r="B74" t="n">
        <x:v>201</x:v>
      </x:c>
      <x:c r="C74" t="n">
        <x:v>340</x:v>
      </x:c>
      <x:c r="D74" t="n">
        <x:f>INDEX('楼层配置'!$D$5:$D$104,MATCH(A74,'楼层配置'!$B$5:$B$104,0))</x:f>
        <x:v>243</x:v>
      </x:c>
      <x:c r="E74" s="16" t="n">
        <x:v>14.50461519712873</x:v>
      </x:c>
      <x:c r="F74" s="16" t="n">
        <x:f>SUMIF('TeamHero生成'!$K$5:$K$504,A74,'TeamHero生成'!$AH$5:$AH$504)/1610623.265801529</x:f>
        <x:v>9.906591998290537</x:v>
      </x:c>
      <x:c r="G74" s="16" t="n">
        <x:v>13.132485305727954</x:v>
      </x:c>
      <x:c r="H74" s="16" t="n">
        <x:f>2168582.6994051556/SUMIF('TeamHero生成'!$K$5:$K$504,A74,'TeamHero生成'!$E$5:$E$504)</x:f>
        <x:v>16.39673287164502</x:v>
      </x:c>
      <x:c r="I74" s="16" t="n">
        <x:f>F74/E74</x:f>
        <x:v>0.6829958508828006</x:v>
      </x:c>
      <x:c r="J74" s="16" t="n">
        <x:f>H74/G74</x:f>
        <x:v>1.2485628188362268</x:v>
      </x:c>
    </x:row>
    <x:row r="75">
      <x:c r="A75" t="n">
        <x:v>74</x:v>
      </x:c>
      <x:c r="B75" t="n">
        <x:v>204</x:v>
      </x:c>
      <x:c r="C75" t="n">
        <x:v>341</x:v>
      </x:c>
      <x:c r="D75" t="n">
        <x:f>INDEX('楼层配置'!$D$5:$D$104,MATCH(A75,'楼层配置'!$B$5:$B$104,0))</x:f>
        <x:v>245</x:v>
      </x:c>
      <x:c r="E75" s="16" t="n">
        <x:v>14.530547897903364</x:v>
      </x:c>
      <x:c r="F75" s="16" t="n">
        <x:f>SUMIF('TeamHero生成'!$K$5:$K$504,A75,'TeamHero生成'!$AH$5:$AH$504)/1646256.2997907107</x:f>
        <x:v>9.941180800718726</x:v>
      </x:c>
      <x:c r="G75" s="16" t="n">
        <x:v>13.131342073900033</x:v>
      </x:c>
      <x:c r="H75" s="16" t="n">
        <x:f>2203131.976382326/SUMIF('TeamHero生成'!$K$5:$K$504,A75,'TeamHero生成'!$E$5:$E$504)</x:f>
        <x:v>16.380894139384104</x:v>
      </x:c>
      <x:c r="I75" s="16" t="n">
        <x:f>F75/E75</x:f>
        <x:v>0.6841573263836221</x:v>
      </x:c>
      <x:c r="J75" s="16" t="n">
        <x:f>H75/G75</x:f>
        <x:v>1.2474653426280706</x:v>
      </x:c>
    </x:row>
    <x:row r="76">
      <x:c r="A76" t="n">
        <x:v>75</x:v>
      </x:c>
      <x:c r="B76" t="n">
        <x:v>206</x:v>
      </x:c>
      <x:c r="C76" t="n">
        <x:v>342</x:v>
      </x:c>
      <x:c r="D76" t="n">
        <x:f>INDEX('楼层配置'!$D$5:$D$104,MATCH(A76,'楼层配置'!$B$5:$B$104,0))</x:f>
        <x:v>247</x:v>
      </x:c>
      <x:c r="E76" s="16" t="n">
        <x:v>15.590472849981623</x:v>
      </x:c>
      <x:c r="F76" s="16" t="n">
        <x:f>SUMIF('TeamHero生成'!$K$5:$K$504,A76,'TeamHero生成'!$AH$5:$AH$504)/1668578.0509932085</x:f>
        <x:v>10.670341457098031</x:v>
      </x:c>
      <x:c r="G76" s="16" t="n">
        <x:v>13.58529557763118</x:v>
      </x:c>
      <x:c r="H76" s="16" t="n">
        <x:f>2224682.3676230605/SUMIF('TeamHero生成'!$K$5:$K$504,A76,'TeamHero生成'!$E$5:$E$504)</x:f>
        <x:v>16.932286813939434</x:v>
      </x:c>
      <x:c r="I76" s="16" t="n">
        <x:f>F76/E76</x:f>
        <x:v>0.6844142291111208</x:v>
      </x:c>
      <x:c r="J76" s="16" t="n">
        <x:f>H76/G76</x:f>
        <x:v>1.2463686724504714</x:v>
      </x:c>
    </x:row>
    <x:row r="77">
      <x:c r="A77" t="n">
        <x:v>76</x:v>
      </x:c>
      <x:c r="B77" t="n">
        <x:v>209</x:v>
      </x:c>
      <x:c r="C77" t="n">
        <x:v>343</x:v>
      </x:c>
      <x:c r="D77" t="n">
        <x:f>INDEX('楼层配置'!$D$5:$D$104,MATCH(A77,'楼层配置'!$B$5:$B$104,0))</x:f>
        <x:v>248</x:v>
      </x:c>
      <x:c r="E77" s="16" t="n">
        <x:v>14.64257274616248</x:v>
      </x:c>
      <x:c r="F77" s="16" t="n">
        <x:f>SUMIF('TeamHero生成'!$K$5:$K$504,A77,'TeamHero生成'!$AH$5:$AH$504)/1701720.9731186912</x:f>
        <x:v>10.042709965383782</x:v>
      </x:c>
      <x:c r="G77" s="16" t="n">
        <x:v>13.09134989288484</x:v>
      </x:c>
      <x:c r="H77" s="16" t="n">
        <x:f>2256520.7800542186/SUMIF('TeamHero生成'!$K$5:$K$504,A77,'TeamHero生成'!$E$5:$E$504)</x:f>
        <x:v>16.30929024743216</x:v>
      </x:c>
      <x:c r="I77" s="16" t="n">
        <x:f>F77/E77</x:f>
        <x:v>0.6858569282516128</x:v>
      </x:c>
      <x:c r="J77" s="16" t="n">
        <x:f>H77/G77</x:f>
        <x:v>1.245806611302649</x:v>
      </x:c>
    </x:row>
    <x:row r="78">
      <x:c r="A78" t="n">
        <x:v>77</x:v>
      </x:c>
      <x:c r="B78" t="n">
        <x:v>212</x:v>
      </x:c>
      <x:c r="C78" t="n">
        <x:v>345</x:v>
      </x:c>
      <x:c r="D78" t="n">
        <x:f>INDEX('楼层配置'!$D$5:$D$104,MATCH(A78,'楼层配置'!$B$5:$B$104,0))</x:f>
        <x:v>250</x:v>
      </x:c>
      <x:c r="E78" s="16" t="n">
        <x:v>14.84514886190674</x:v>
      </x:c>
      <x:c r="F78" s="16" t="n">
        <x:f>SUMIF('TeamHero生成'!$K$5:$K$504,A78,'TeamHero生成'!$AH$5:$AH$504)/1735406.795479793</x:f>
        <x:v>10.071549721982851</x:v>
      </x:c>
      <x:c r="G78" s="16" t="n">
        <x:v>12.99490824518079</x:v>
      </x:c>
      <x:c r="H78" s="16" t="n">
        <x:f>2288672.457237718/SUMIF('TeamHero生成'!$K$5:$K$504,A78,'TeamHero生成'!$E$5:$E$504)</x:f>
        <x:v>16.293774568660204</x:v>
      </x:c>
      <x:c r="I78" s="16" t="n">
        <x:f>F78/E78</x:f>
        <x:v>0.6784404666919077</x:v>
      </x:c>
      <x:c r="J78" s="16" t="n">
        <x:f>H78/G78</x:f>
        <x:v>1.2538583775458985</x:v>
      </x:c>
    </x:row>
    <x:row r="79">
      <x:c r="A79" t="n">
        <x:v>78</x:v>
      </x:c>
      <x:c r="B79" t="n">
        <x:v>215</x:v>
      </x:c>
      <x:c r="C79" t="n">
        <x:v>346</x:v>
      </x:c>
      <x:c r="D79" t="n">
        <x:f>INDEX('楼层配置'!$D$5:$D$104,MATCH(A79,'楼层配置'!$B$5:$B$104,0))</x:f>
        <x:v>252</x:v>
      </x:c>
      <x:c r="E79" s="16" t="n">
        <x:v>14.896725382814008</x:v>
      </x:c>
      <x:c r="F79" s="16" t="n">
        <x:f>SUMIF('TeamHero生成'!$K$5:$K$504,A79,'TeamHero生成'!$AH$5:$AH$504)/1769642.849506862</x:f>
        <x:v>10.123631803088035</x:v>
      </x:c>
      <x:c r="G79" s="16" t="n">
        <x:v>12.977838364262816</x:v>
      </x:c>
      <x:c r="H79" s="16" t="n">
        <x:f>2321139.409663733/SUMIF('TeamHero生成'!$K$5:$K$504,A79,'TeamHero生成'!$E$5:$E$504)</x:f>
        <x:v>16.257665436246135</x:v>
      </x:c>
      <x:c r="I79" s="16" t="n">
        <x:f>F79/E79</x:f>
        <x:v>0.6795877310571506</x:v>
      </x:c>
      <x:c r="J79" s="16" t="n">
        <x:f>H79/G79</x:f>
        <x:v>1.2527252212521778</x:v>
      </x:c>
    </x:row>
    <x:row r="80">
      <x:c r="A80" t="n">
        <x:v>79</x:v>
      </x:c>
      <x:c r="B80" t="n">
        <x:v>218</x:v>
      </x:c>
      <x:c r="C80" t="n">
        <x:v>347</x:v>
      </x:c>
      <x:c r="D80" t="n">
        <x:f>INDEX('楼层配置'!$D$5:$D$104,MATCH(A80,'楼层配置'!$B$5:$B$104,0))</x:f>
        <x:v>253</x:v>
      </x:c>
      <x:c r="E80" s="16" t="n">
        <x:v>14.954766195636052</x:v>
      </x:c>
      <x:c r="F80" s="16" t="n">
        <x:f>SUMIF('TeamHero生成'!$K$5:$K$504,A80,'TeamHero生成'!$AH$5:$AH$504)/1804436.5446273878</x:f>
        <x:v>10.045698656650822</x:v>
      </x:c>
      <x:c r="G80" s="16" t="n">
        <x:v>12.95719666721449</x:v>
      </x:c>
      <x:c r="H80" s="16" t="n">
        <x:f>2353923.6549371365/SUMIF('TeamHero生成'!$K$5:$K$504,A80,'TeamHero生成'!$E$5:$E$504)</x:f>
        <x:v>16.343060257006336</x:v>
      </x:c>
      <x:c r="I80" s="16" t="n">
        <x:f>F80/E80</x:f>
        <x:v>0.6717389309357612</x:v>
      </x:c>
      <x:c r="J80" s="16" t="n">
        <x:f>H80/G80</x:f>
        <x:v>1.2613114299915718</x:v>
      </x:c>
    </x:row>
    <x:row r="81">
      <x:c r="A81" t="n">
        <x:v>80</x:v>
      </x:c>
      <x:c r="B81" t="n">
        <x:v>221</x:v>
      </x:c>
      <x:c r="C81" t="n">
        <x:v>349</x:v>
      </x:c>
      <x:c r="D81" t="n">
        <x:f>INDEX('楼层配置'!$D$5:$D$104,MATCH(A81,'楼层配置'!$B$5:$B$104,0))</x:f>
        <x:v>255</x:v>
      </x:c>
      <x:c r="E81" s="16" t="n">
        <x:v>17.236523773722144</x:v>
      </x:c>
      <x:c r="F81" s="16" t="n">
        <x:f>SUMIF('TeamHero生成'!$K$5:$K$504,A81,'TeamHero生成'!$AH$5:$AH$504)/1838313.5717264076</x:f>
        <x:v>11.426412079631417</x:v>
      </x:c>
      <x:c r="G81" s="16" t="n">
        <x:v>13.839086254015823</x:v>
      </x:c>
      <x:c r="H81" s="16" t="n">
        <x:f>2385668.998037777/SUMIF('TeamHero生成'!$K$5:$K$504,A81,'TeamHero生成'!$E$5:$E$504)</x:f>
        <x:v>17.56648355058448</x:v>
      </x:c>
      <x:c r="I81" s="16" t="n">
        <x:f>F81/E81</x:f>
        <x:v>0.6629185924978386</x:v>
      </x:c>
      <x:c r="J81" s="16" t="n">
        <x:f>H81/G81</x:f>
        <x:v>1.2693383962027869</x:v>
      </x:c>
    </x:row>
    <x:row r="82">
      <x:c r="A82" t="n">
        <x:v>81</x:v>
      </x:c>
      <x:c r="B82" t="n">
        <x:v>224</x:v>
      </x:c>
      <x:c r="C82" t="n">
        <x:v>350</x:v>
      </x:c>
      <x:c r="D82" t="n">
        <x:f>INDEX('楼层配置'!$D$5:$D$104,MATCH(A82,'楼层配置'!$B$5:$B$104,0))</x:f>
        <x:v>256</x:v>
      </x:c>
      <x:c r="E82" s="16" t="n">
        <x:v>15.248252155429013</x:v>
      </x:c>
      <x:c r="F82" s="16" t="n">
        <x:f>SUMIF('TeamHero生成'!$K$5:$K$504,A82,'TeamHero生成'!$AH$5:$AH$504)/1871297.8195914743</x:f>
        <x:v>10.019038467583263</x:v>
      </x:c>
      <x:c r="G82" s="16" t="n">
        <x:v>12.823325702531553</x:v>
      </x:c>
      <x:c r="H82" s="16" t="n">
        <x:f>2416416.5590401283/SUMIF('TeamHero生成'!$K$5:$K$504,A82,'TeamHero生成'!$E$5:$E$504)</x:f>
        <x:v>16.38715131793547</x:v>
      </x:c>
      <x:c r="I82" s="16" t="n">
        <x:f>F82/E82</x:f>
        <x:v>0.6570614366457777</x:v>
      </x:c>
      <x:c r="J82" s="16" t="n">
        <x:f>H82/G82</x:f>
        <x:v>1.2779174215859115</x:v>
      </x:c>
    </x:row>
    <x:row r="83">
      <x:c r="A83" t="n">
        <x:v>82</x:v>
      </x:c>
      <x:c r="B83" t="n">
        <x:v>226</x:v>
      </x:c>
      <x:c r="C83" t="n">
        <x:v>351</x:v>
      </x:c>
      <x:c r="D83" t="n">
        <x:f>INDEX('楼层配置'!$D$5:$D$104,MATCH(A83,'楼层配置'!$B$5:$B$104,0))</x:f>
        <x:v>258</x:v>
      </x:c>
      <x:c r="E83" s="16" t="n">
        <x:v>15.351853228898165</x:v>
      </x:c>
      <x:c r="F83" s="16" t="n">
        <x:f>SUMIF('TeamHero生成'!$K$5:$K$504,A83,'TeamHero生成'!$AH$5:$AH$504)/1893559.3680358597</x:f>
        <x:v>10.229856439010344</x:v>
      </x:c>
      <x:c r="G83" s="16" t="n">
        <x:v>12.776011562043553</x:v>
      </x:c>
      <x:c r="H83" s="16" t="n">
        <x:f>2437067.7823904753/SUMIF('TeamHero生成'!$K$5:$K$504,A83,'TeamHero生成'!$E$5:$E$504)</x:f>
        <x:v>16.194217438969204</x:v>
      </x:c>
      <x:c r="I83" s="16" t="n">
        <x:f>F83/E83</x:f>
        <x:v>0.6663597082698636</x:v>
      </x:c>
      <x:c r="J83" s="16" t="n">
        <x:f>H83/G83</x:f>
        <x:v>1.267548746361568</x:v>
      </x:c>
    </x:row>
    <x:row r="84">
      <x:c r="A84" t="n">
        <x:v>83</x:v>
      </x:c>
      <x:c r="B84" t="n">
        <x:v>229</x:v>
      </x:c>
      <x:c r="C84" t="n">
        <x:v>352</x:v>
      </x:c>
      <x:c r="D84" t="n">
        <x:f>INDEX('楼层配置'!$D$5:$D$104,MATCH(A84,'楼层配置'!$B$5:$B$104,0))</x:f>
        <x:v>259</x:v>
      </x:c>
      <x:c r="E84" s="16" t="n">
        <x:v>15.430523851725939</x:v>
      </x:c>
      <x:c r="F84" s="16" t="n">
        <x:f>SUMIF('TeamHero生成'!$K$5:$K$504,A84,'TeamHero生成'!$AH$5:$AH$504)/1927364.2156170413</x:f>
        <x:v>10.166037042879552</x:v>
      </x:c>
      <x:c r="G84" s="16" t="n">
        <x:v>12.744110076840157</x:v>
      </x:c>
      <x:c r="H84" s="16" t="n">
        <x:f>2468275.0932093994/SUMIF('TeamHero生成'!$K$5:$K$504,A84,'TeamHero生成'!$E$5:$E$504)</x:f>
        <x:v>16.26379661456462</x:v>
      </x:c>
      <x:c r="I84" s="16" t="n">
        <x:f>F84/E84</x:f>
        <x:v>0.6588264365206536</x:v>
      </x:c>
      <x:c r="J84" s="16" t="n">
        <x:f>H84/G84</x:f>
        <x:v>1.2761814294213278</x:v>
      </x:c>
    </x:row>
    <x:row r="85">
      <x:c r="A85" t="n">
        <x:v>84</x:v>
      </x:c>
      <x:c r="B85" t="n">
        <x:v>232</x:v>
      </x:c>
      <x:c r="C85" t="n">
        <x:v>353</x:v>
      </x:c>
      <x:c r="D85" t="n">
        <x:f>INDEX('楼层配置'!$D$5:$D$104,MATCH(A85,'楼层配置'!$B$5:$B$104,0))</x:f>
        <x:v>260</x:v>
      </x:c>
      <x:c r="E85" s="16" t="n">
        <x:v>15.514360847895235</x:v>
      </x:c>
      <x:c r="F85" s="16" t="n">
        <x:f>SUMIF('TeamHero生成'!$K$5:$K$504,A85,'TeamHero生成'!$AH$5:$AH$504)/1961669.4806310316</x:f>
        <x:v>10.106108340728765</x:v>
      </x:c>
      <x:c r="G85" s="16" t="n">
        <x:v>12.709361229179972</x:v>
      </x:c>
      <x:c r="H85" s="16" t="n">
        <x:f>2499760.4214552296/SUMIF('TeamHero生成'!$K$5:$K$504,A85,'TeamHero生成'!$E$5:$E$504)</x:f>
        <x:v>16.328058351983262</x:v>
      </x:c>
      <x:c r="I85" s="16" t="n">
        <x:f>F85/E85</x:f>
        <x:v>0.6514034603043165</x:v>
      </x:c>
      <x:c r="J85" s="16" t="n">
        <x:f>H85/G85</x:f>
        <x:v>1.2847269077925778</x:v>
      </x:c>
    </x:row>
    <x:row r="86">
      <x:c r="A86" t="n">
        <x:v>85</x:v>
      </x:c>
      <x:c r="B86" t="n">
        <x:v>235</x:v>
      </x:c>
      <x:c r="C86" t="n">
        <x:v>354</x:v>
      </x:c>
      <x:c r="D86" t="n">
        <x:f>INDEX('楼层配置'!$D$5:$D$104,MATCH(A86,'楼层配置'!$B$5:$B$104,0))</x:f>
        <x:v>262</x:v>
      </x:c>
      <x:c r="E86" s="16" t="n">
        <x:v>16.66381308492474</x:v>
      </x:c>
      <x:c r="F86" s="16" t="n">
        <x:f>SUMIF('TeamHero生成'!$K$5:$K$504,A86,'TeamHero生成'!$AH$5:$AH$504)/1996055.2713067373</x:f>
        <x:v>10.859074553987696</x:v>
      </x:c>
      <x:c r="G86" s="16" t="n">
        <x:v>13.141381660968545</x:v>
      </x:c>
      <x:c r="H86" s="16" t="n">
        <x:f>2531144.1730032023/SUMIF('TeamHero生成'!$K$5:$K$504,A86,'TeamHero生成'!$E$5:$E$504)</x:f>
        <x:v>16.86743506309569</x:v>
      </x:c>
      <x:c r="I86" s="16" t="n">
        <x:f>F86/E86</x:f>
        <x:v>0.6516560464670347</x:v>
      </x:c>
      <x:c r="J86" s="16" t="n">
        <x:f>H86/G86</x:f>
        <x:v>1.2835358943416098</x:v>
      </x:c>
    </x:row>
    <x:row r="87">
      <x:c r="A87" t="n">
        <x:v>86</x:v>
      </x:c>
      <x:c r="B87" t="n">
        <x:v>238</x:v>
      </x:c>
      <x:c r="C87" t="n">
        <x:v>355</x:v>
      </x:c>
      <x:c r="D87" t="n">
        <x:f>INDEX('楼层配置'!$D$5:$D$104,MATCH(A87,'楼层配置'!$B$5:$B$104,0))</x:f>
        <x:v>263</x:v>
      </x:c>
      <x:c r="E87" s="16" t="n">
        <x:v>15.696256205022982</x:v>
      </x:c>
      <x:c r="F87" s="16" t="n">
        <x:f>SUMIF('TeamHero生成'!$K$5:$K$504,A87,'TeamHero生成'!$AH$5:$AH$504)/2028989.086022583</x:f>
        <x:v>10.128670600890686</x:v>
      </x:c>
      <x:c r="G87" s="16" t="n">
        <x:v>12.632421639409953</x:v>
      </x:c>
      <x:c r="H87" s="16" t="n">
        <x:f>2561062.414852819/SUMIF('TeamHero生成'!$K$5:$K$504,A87,'TeamHero生成'!$E$5:$E$504)</x:f>
        <x:v>16.32248008242504</x:v>
      </x:c>
      <x:c r="I87" s="16" t="n">
        <x:f>F87/E87</x:f>
        <x:v>0.645292130084459</x:v>
      </x:c>
      <x:c r="J87" s="16" t="n">
        <x:f>H87/G87</x:f>
        <x:v>1.2921101391599408</x:v>
      </x:c>
    </x:row>
    <x:row r="88">
      <x:c r="A88" t="n">
        <x:v>87</x:v>
      </x:c>
      <x:c r="B88" t="n">
        <x:v>241</x:v>
      </x:c>
      <x:c r="C88" t="n">
        <x:v>356</x:v>
      </x:c>
      <x:c r="D88" t="n">
        <x:f>INDEX('楼层配置'!$D$5:$D$104,MATCH(A88,'楼层配置'!$B$5:$B$104,0))</x:f>
        <x:v>264</x:v>
      </x:c>
      <x:c r="E88" s="16" t="n">
        <x:v>15.794018313711785</x:v>
      </x:c>
      <x:c r="F88" s="16" t="n">
        <x:f>SUMIF('TeamHero生成'!$K$5:$K$504,A88,'TeamHero生成'!$AH$5:$AH$504)/2062374.7810805289</x:f>
        <x:v>10.0788601718692</x:v>
      </x:c>
      <x:c r="G88" s="16" t="n">
        <x:v>12.590527862278066</x:v>
      </x:c>
      <x:c r="H88" s="16" t="n">
        <x:f>2591228.3975650026/SUMIF('TeamHero生成'!$K$5:$K$504,A88,'TeamHero生成'!$E$5:$E$504)</x:f>
        <x:v>16.376030269065254</x:v>
      </x:c>
      <x:c r="I88" s="16" t="n">
        <x:f>F88/E88</x:f>
        <x:v>0.6381441360694831</x:v>
      </x:c>
      <x:c r="J88" s="16" t="n">
        <x:f>H88/G88</x:f>
        <x:v>1.3006627242475486</x:v>
      </x:c>
    </x:row>
    <x:row r="89">
      <x:c r="A89" t="n">
        <x:v>88</x:v>
      </x:c>
      <x:c r="B89" t="n">
        <x:v>244</x:v>
      </x:c>
      <x:c r="C89" t="n">
        <x:v>357</x:v>
      </x:c>
      <x:c r="D89" t="n">
        <x:f>INDEX('楼层配置'!$D$5:$D$104,MATCH(A89,'楼层配置'!$B$5:$B$104,0))</x:f>
        <x:v>265</x:v>
      </x:c>
      <x:c r="E89" s="16" t="n">
        <x:v>15.89594617798571</x:v>
      </x:c>
      <x:c r="F89" s="16" t="n">
        <x:f>SUMIF('TeamHero生成'!$K$5:$K$504,A89,'TeamHero生成'!$AH$5:$AH$504)/2096217.479527728</x:f>
        <x:v>10.03227410240514</x:v>
      </x:c>
      <x:c r="G89" s="16" t="n">
        <x:v>12.54671568738391</x:v>
      </x:c>
      <x:c r="H89" s="16" t="n">
        <x:f>2621643.4820427406/SUMIF('TeamHero生成'!$K$5:$K$504,A89,'TeamHero生成'!$E$5:$E$504)</x:f>
        <x:v>16.426852232480595</x:v>
      </x:c>
      <x:c r="I89" s="16" t="n">
        <x:f>F89/E89</x:f>
        <x:v>0.6311215444538201</x:v>
      </x:c>
      <x:c r="J89" s="16" t="n">
        <x:f>H89/G89</x:f>
        <x:v>1.3092551582242575</x:v>
      </x:c>
    </x:row>
    <x:row r="90">
      <x:c r="A90" t="n">
        <x:v>89</x:v>
      </x:c>
      <x:c r="B90" t="n">
        <x:v>247</x:v>
      </x:c>
      <x:c r="C90" t="n">
        <x:v>358</x:v>
      </x:c>
      <x:c r="D90" t="n">
        <x:f>INDEX('楼层配置'!$D$5:$D$104,MATCH(A90,'楼层配置'!$B$5:$B$104,0))</x:f>
        <x:v>267</x:v>
      </x:c>
      <x:c r="E90" s="16" t="n">
        <x:v>16.00190013598125</x:v>
      </x:c>
      <x:c r="F90" s="16" t="n">
        <x:f>SUMIF('TeamHero生成'!$K$5:$K$504,A90,'TeamHero生成'!$AH$5:$AH$504)/2130522.350281772</x:f>
        <x:v>10.118074391603546</x:v>
      </x:c>
      <x:c r="G90" s="16" t="n">
        <x:v>12.501080132542356</x:v>
      </x:c>
      <x:c r="H90" s="16" t="n">
        <x:f>2652309.033399591/SUMIF('TeamHero生成'!$K$5:$K$504,A90,'TeamHero生成'!$E$5:$E$504)</x:f>
        <x:v>16.351182939291846</x:v>
      </x:c>
      <x:c r="I90" s="16" t="n">
        <x:f>F90/E90</x:f>
        <x:v>0.6323045579351191</x:v>
      </x:c>
      <x:c r="J90" s="16" t="n">
        <x:f>H90/G90</x:f>
        <x:v>1.307981611663063</x:v>
      </x:c>
    </x:row>
    <x:row r="91">
      <x:c r="A91" t="n">
        <x:v>90</x:v>
      </x:c>
      <x:c r="B91" t="n">
        <x:v>250</x:v>
      </x:c>
      <x:c r="C91" t="n">
        <x:v>360</x:v>
      </x:c>
      <x:c r="D91" t="n">
        <x:f>INDEX('楼层配置'!$D$5:$D$104,MATCH(A91,'楼层配置'!$B$5:$B$104,0))</x:f>
        <x:v>268</x:v>
      </x:c>
      <x:c r="E91" s="16" t="n">
        <x:v>17.39049701275244</x:v>
      </x:c>
      <x:c r="F91" s="16" t="n">
        <x:f>SUMIF('TeamHero生成'!$K$5:$K$504,A91,'TeamHero生成'!$AH$5:$AH$504)/2164947.0159400576</x:f>
        <x:v>10.859437105034573</x:v>
      </x:c>
      <x:c r="G91" s="16" t="n">
        <x:v>12.832997910725254</x:v>
      </x:c>
      <x:c r="H91" s="16" t="n">
        <x:f>2682922.279772044/SUMIF('TeamHero生成'!$K$5:$K$504,A91,'TeamHero生成'!$E$5:$E$504)</x:f>
        <x:v>16.89529575352207</x:v>
      </x:c>
      <x:c r="I91" s="16" t="n">
        <x:f>F91/E91</x:f>
        <x:v>0.6244466214548874</x:v>
      </x:c>
      <x:c r="J91" s="16" t="n">
        <x:f>H91/G91</x:f>
        <x:v>1.3165509626867256</x:v>
      </x:c>
    </x:row>
    <x:row r="92">
      <x:c r="A92" t="n">
        <x:v>91</x:v>
      </x:c>
      <x:c r="B92" t="n">
        <x:v>253</x:v>
      </x:c>
      <x:c r="C92" t="n">
        <x:v>361</x:v>
      </x:c>
      <x:c r="D92" t="n">
        <x:f>INDEX('楼层配置'!$D$5:$D$104,MATCH(A92,'楼层配置'!$B$5:$B$104,0))</x:f>
        <x:v>269</x:v>
      </x:c>
      <x:c r="E92" s="16" t="n">
        <x:v>16.394899955778975</x:v>
      </x:c>
      <x:c r="F92" s="16" t="n">
        <x:f>SUMIF('TeamHero生成'!$K$5:$K$504,A92,'TeamHero生成'!$AH$5:$AH$504)/2198243.672610015</x:f>
        <x:v>10.142167979943334</x:v>
      </x:c>
      <x:c r="G92" s="16" t="n">
        <x:v>12.326022876552795</x:v>
      </x:c>
      <x:c r="H92" s="16" t="n">
        <x:f>2712396.190731158/SUMIF('TeamHero生成'!$K$5:$K$504,A92,'TeamHero生成'!$E$5:$E$504)</x:f>
        <x:v>16.334324113884907</x:v>
      </x:c>
      <x:c r="I92" s="16" t="n">
        <x:f>F92/E92</x:f>
        <x:v>0.6186172533714279</x:v>
      </x:c>
      <x:c r="J92" s="16" t="n">
        <x:f>H92/G92</x:f>
        <x:v>1.3251901507465893</x:v>
      </x:c>
    </x:row>
    <x:row r="93">
      <x:c r="A93" t="n">
        <x:v>92</x:v>
      </x:c>
      <x:c r="B93" t="n">
        <x:v>255</x:v>
      </x:c>
      <x:c r="C93" t="n">
        <x:v>361</x:v>
      </x:c>
      <x:c r="D93" t="n">
        <x:f>INDEX('楼层配置'!$D$5:$D$104,MATCH(A93,'楼层配置'!$B$5:$B$104,0))</x:f>
        <x:v>270</x:v>
      </x:c>
      <x:c r="E93" s="16" t="n">
        <x:v>16.35992278549285</x:v>
      </x:c>
      <x:c r="F93" s="16" t="n">
        <x:f>SUMIF('TeamHero生成'!$K$5:$K$504,A93,'TeamHero生成'!$AH$5:$AH$504)/2220678.493003329</x:f>
        <x:v>10.130237533484896</x:v>
      </x:c>
      <x:c r="G93" s="16" t="n">
        <x:v>12.345080967671786</x:v>
      </x:c>
      <x:c r="H93" s="16" t="n">
        <x:f>2732172.309967157/SUMIF('TeamHero生成'!$K$5:$K$504,A93,'TeamHero生成'!$E$5:$E$504)</x:f>
        <x:v>16.351109614750722</x:v>
      </x:c>
      <x:c r="I93" s="16" t="n">
        <x:f>F93/E93</x:f>
        <x:v>0.6192105956922901</x:v>
      </x:c>
      <x:c r="J93" s="16" t="n">
        <x:f>H93/G93</x:f>
        <x:v>1.3245040399143249</x:v>
      </x:c>
    </x:row>
    <x:row r="94">
      <x:c r="A94" t="n">
        <x:v>93</x:v>
      </x:c>
      <x:c r="B94" t="n">
        <x:v>258</x:v>
      </x:c>
      <x:c r="C94" t="n">
        <x:v>363</x:v>
      </x:c>
      <x:c r="D94" t="n">
        <x:f>INDEX('楼层配置'!$D$5:$D$104,MATCH(A94,'楼层配置'!$B$5:$B$104,0))</x:f>
        <x:v>272</x:v>
      </x:c>
      <x:c r="E94" s="16" t="n">
        <x:v>16.65135821071284</x:v>
      </x:c>
      <x:c r="F94" s="16" t="n">
        <x:f>SUMIF('TeamHero生成'!$K$5:$K$504,A94,'TeamHero生成'!$AH$5:$AH$504)/2254689.6499825623</x:f>
        <x:v>10.209454252223297</x:v>
      </x:c>
      <x:c r="G94" s="16" t="n">
        <x:v>12.215691349748091</x:v>
      </x:c>
      <x:c r="H94" s="16" t="n">
        <x:f>2762027.6315478445/SUMIF('TeamHero生成'!$K$5:$K$504,A94,'TeamHero生成'!$E$5:$E$504)</x:f>
        <x:v>16.276423180104565</x:v>
      </x:c>
      <x:c r="I94" s="16" t="n">
        <x:f>F94/E94</x:f>
        <x:v>0.6131304199350495</x:v>
      </x:c>
      <x:c r="J94" s="16" t="n">
        <x:f>H94/G94</x:f>
        <x:v>1.3324193215179927</x:v>
      </x:c>
    </x:row>
    <x:row r="95">
      <x:c r="A95" t="n">
        <x:v>94</x:v>
      </x:c>
      <x:c r="B95" t="n">
        <x:v>261</x:v>
      </x:c>
      <x:c r="C95" t="n">
        <x:v>364</x:v>
      </x:c>
      <x:c r="D95" t="n">
        <x:f>INDEX('楼层配置'!$D$5:$D$104,MATCH(A95,'楼层配置'!$B$5:$B$104,0))</x:f>
        <x:v>273</x:v>
      </x:c>
      <x:c r="E95" s="16" t="n">
        <x:v>16.775836746059305</x:v>
      </x:c>
      <x:c r="F95" s="16" t="n">
        <x:f>SUMIF('TeamHero生成'!$K$5:$K$504,A95,'TeamHero生成'!$AH$5:$AH$504)/2289135.5725199836</x:f>
        <x:v>10.175790869417797</x:v>
      </x:c>
      <x:c r="G95" s="16" t="n">
        <x:v>12.163449156644326</x:v>
      </x:c>
      <x:c r="H95" s="16" t="n">
        <x:f>2792113.3770239423/SUMIF('TeamHero生成'!$K$5:$K$504,A95,'TeamHero生成'!$E$5:$E$504)</x:f>
        <x:v>16.311264813753848</x:v>
      </x:c>
      <x:c r="I95" s="16" t="n">
        <x:f>F95/E95</x:f>
        <x:v>0.6065742665150888</x:v>
      </x:c>
      <x:c r="J95" s="16" t="n">
        <x:f>H95/G95</x:f>
        <x:v>1.341006535538792</x:v>
      </x:c>
    </x:row>
    <x:row r="96">
      <x:c r="A96" t="n">
        <x:v>95</x:v>
      </x:c>
      <x:c r="B96" t="n">
        <x:v>264</x:v>
      </x:c>
      <x:c r="C96" t="n">
        <x:v>365</x:v>
      </x:c>
      <x:c r="D96" t="n">
        <x:f>INDEX('楼层配置'!$D$5:$D$104,MATCH(A96,'楼层配置'!$B$5:$B$104,0))</x:f>
        <x:v>274</x:v>
      </x:c>
      <x:c r="E96" s="16" t="n">
        <x:v>16.903937198018056</x:v>
      </x:c>
      <x:c r="F96" s="16" t="n">
        <x:f>SUMIF('TeamHero生成'!$K$5:$K$504,A96,'TeamHero生成'!$AH$5:$AH$504)/2324020.856235781</x:f>
        <x:v>10.144406748236946</x:v>
      </x:c>
      <x:c r="G96" s="16" t="n">
        <x:v>12.110400803056553</x:v>
      </x:c>
      <x:c r="H96" s="16" t="n">
        <x:f>2822430.7337781065/SUMIF('TeamHero生成'!$K$5:$K$504,A96,'TeamHero生成'!$E$5:$E$504)</x:f>
        <x:v>16.344767135805945</x:v>
      </x:c>
      <x:c r="I96" s="16" t="n">
        <x:f>F96/E96</x:f>
        <x:v>0.6001209439790366</x:v>
      </x:c>
      <x:c r="J96" s="16" t="n">
        <x:f>H96/G96</x:f>
        <x:v>1.34964708448631</x:v>
      </x:c>
    </x:row>
    <x:row r="97">
      <x:c r="A97" t="n">
        <x:v>96</x:v>
      </x:c>
      <x:c r="B97" t="n">
        <x:v>267</x:v>
      </x:c>
      <x:c r="C97" t="n">
        <x:v>366</x:v>
      </x:c>
      <x:c r="D97" t="n">
        <x:f>INDEX('楼层配置'!$D$5:$D$104,MATCH(A97,'楼层配置'!$B$5:$B$104,0))</x:f>
        <x:v>275</x:v>
      </x:c>
      <x:c r="E97" s="16" t="n">
        <x:v>17.035307085824307</x:v>
      </x:c>
      <x:c r="F97" s="16" t="n">
        <x:f>SUMIF('TeamHero生成'!$K$5:$K$504,A97,'TeamHero生成'!$AH$5:$AH$504)/2358018.03420821</x:f>
        <x:v>10.115158031244977</x:v>
      </x:c>
      <x:c r="G97" s="16" t="n">
        <x:v>12.055946264756134</x:v>
      </x:c>
      <x:c r="H97" s="16" t="n">
        <x:f>2851840.997372935/SUMIF('TeamHero生成'!$K$5:$K$504,A97,'TeamHero生成'!$E$5:$E$504)</x:f>
        <x:v>16.375773743169308</x:v>
      </x:c>
      <x:c r="I97" s="16" t="n">
        <x:f>F97/E97</x:f>
        <x:v>0.5937760898752548</x:v>
      </x:c>
      <x:c r="J97" s="16" t="n">
        <x:f>H97/G97</x:f>
        <x:v>1.3583150906239174</x:v>
      </x:c>
    </x:row>
    <x:row r="98">
      <x:c r="A98" t="n">
        <x:v>97</x:v>
      </x:c>
      <x:c r="B98" t="n">
        <x:v>270</x:v>
      </x:c>
      <x:c r="C98" t="n">
        <x:v>367</x:v>
      </x:c>
      <x:c r="D98" t="n">
        <x:f>INDEX('楼层配置'!$D$5:$D$104,MATCH(A98,'楼层配置'!$B$5:$B$104,0))</x:f>
        <x:v>276</x:v>
      </x:c>
      <x:c r="E98" s="16" t="n">
        <x:v>17.169928801681138</x:v>
      </x:c>
      <x:c r="F98" s="16" t="n">
        <x:f>SUMIF('TeamHero生成'!$K$5:$K$504,A98,'TeamHero生成'!$AH$5:$AH$504)/2392189.15150611</x:f>
        <x:v>10.08792006188062</x:v>
      </x:c>
      <x:c r="G98" s="16" t="n">
        <x:v>12.00072715207464</x:v>
      </x:c>
      <x:c r="H98" s="16" t="n">
        <x:f>2881262.133753993/SUMIF('TeamHero生成'!$K$5:$K$504,A98,'TeamHero生成'!$E$5:$E$504)</x:f>
        <x:v>16.403988372810872</x:v>
      </x:c>
      <x:c r="I98" s="16" t="n">
        <x:f>F98/E98</x:f>
        <x:v>0.5875341813236229</x:v>
      </x:c>
      <x:c r="J98" s="16" t="n">
        <x:f>H98/G98</x:f>
        <x:v>1.36691620140493</x:v>
      </x:c>
    </x:row>
    <x:row r="99">
      <x:c r="A99" t="n">
        <x:v>98</x:v>
      </x:c>
      <x:c r="B99" t="n">
        <x:v>273</x:v>
      </x:c>
      <x:c r="C99" t="n">
        <x:v>368</x:v>
      </x:c>
      <x:c r="D99" t="n">
        <x:f>INDEX('楼层配置'!$D$5:$D$104,MATCH(A99,'楼层配置'!$B$5:$B$104,0))</x:f>
        <x:v>278</x:v>
      </x:c>
      <x:c r="E99" s="16" t="n">
        <x:v>17.307854329716488</x:v>
      </x:c>
      <x:c r="F99" s="16" t="n">
        <x:f>SUMIF('TeamHero生成'!$K$5:$K$504,A99,'TeamHero生成'!$AH$5:$AH$504)/2426774.4883920713</x:f>
        <x:v>10.189823151244338</x:v>
      </x:c>
      <x:c r="G99" s="16" t="n">
        <x:v>11.944344206769198</x:v>
      </x:c>
      <x:c r="H99" s="16" t="n">
        <x:f>2910898.75588501/SUMIF('TeamHero生成'!$K$5:$K$504,A99,'TeamHero生成'!$E$5:$E$504)</x:f>
        <x:v>16.3096575798843</x:v>
      </x:c>
      <x:c r="I99" s="16" t="n">
        <x:f>F99/E99</x:f>
        <x:v>0.5887398262735005</x:v>
      </x:c>
      <x:c r="J99" s="16" t="n">
        <x:f>H99/G99</x:f>
        <x:v>1.3654711633846883</x:v>
      </x:c>
    </x:row>
    <x:row r="100">
      <x:c r="A100" t="n">
        <x:v>99</x:v>
      </x:c>
      <x:c r="B100" t="n">
        <x:v>276</x:v>
      </x:c>
      <x:c r="C100" t="n">
        <x:v>370</x:v>
      </x:c>
      <x:c r="D100" t="n">
        <x:f>INDEX('楼层配置'!$D$5:$D$104,MATCH(A100,'楼层配置'!$B$5:$B$104,0))</x:f>
        <x:v>279</x:v>
      </x:c>
      <x:c r="E100" s="16" t="n">
        <x:v>17.62789073961562</x:v>
      </x:c>
      <x:c r="F100" s="16" t="n">
        <x:f>SUMIF('TeamHero生成'!$K$5:$K$504,A100,'TeamHero生成'!$AH$5:$AH$504)/2461778.1993278596</x:f>
        <x:v>10.152809710726897</x:v>
      </x:c>
      <x:c r="G100" s="16" t="n">
        <x:v>11.81229334213127</x:v>
      </x:c>
      <x:c r="H100" s="16" t="n">
        <x:f>2940751.921924271/SUMIF('TeamHero生成'!$K$5:$K$504,A100,'TeamHero生成'!$E$5:$E$504)</x:f>
        <x:v>16.342413401377474</x:v>
      </x:c>
      <x:c r="I100" s="16" t="n">
        <x:f>F100/E100</x:f>
        <x:v>0.575951477161713</x:v>
      </x:c>
      <x:c r="J100" s="16" t="n">
        <x:f>H100/G100</x:f>
        <x:v>1.3835089366675721</x:v>
      </x:c>
    </x:row>
    <x:row r="101">
      <x:c r="A101" t="n">
        <x:v>100</x:v>
      </x:c>
      <x:c r="B101" t="n">
        <x:v>279</x:v>
      </x:c>
      <x:c r="C101" t="n">
        <x:v>370</x:v>
      </x:c>
      <x:c r="D101" t="n">
        <x:f>INDEX('楼层配置'!$D$5:$D$104,MATCH(A101,'楼层配置'!$B$5:$B$104,0))</x:f>
        <x:v>280</x:v>
      </x:c>
      <x:c r="E101" s="16" t="n">
        <x:v>17.59236250778977</x:v>
      </x:c>
      <x:c r="F101" s="16" t="n">
        <x:f>SUMIF('TeamHero生成'!$K$5:$K$504,A101,'TeamHero生成'!$AH$5:$AH$504)/2497204.4717253866</x:f>
        <x:v>10.143014219733097</x:v>
      </x:c>
      <x:c r="G101" s="16" t="n">
        <x:v>11.829725773682332</x:v>
      </x:c>
      <x:c r="H101" s="16" t="n">
        <x:f>2970822.6929963906/SUMIF('TeamHero生成'!$K$5:$K$504,A101,'TeamHero生成'!$E$5:$E$504)</x:f>
        <x:v>16.357714590104344</x:v>
      </x:c>
      <x:c r="I101" s="16" t="n">
        <x:f>F101/E101</x:f>
        <x:v>0.5765578224778988</x:v>
      </x:c>
      <x:c r="J101" s="16" t="n">
        <x:f>H101/G101</x:f>
        <x:v>1.3827636331600734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22" hidden="0" customWidth="1"/>
    <x:col min="4" max="4" width="22" hidden="0" customWidth="1"/>
    <x:col min="5" max="5" width="25" hidden="0" customWidth="1"/>
  </x:cols>
  <x:sheetData>
    <x:row r="1" ht="36" customHeight="1">
      <x:c r="A1" s="32" t="str">
        <x:v>关键楼层</x:v>
      </x:c>
      <x:c r="B1" s="32" t="str">
        <x:v>调前等级</x:v>
      </x:c>
      <x:c r="C1" s="32" t="str">
        <x:v>当前等级（输入）</x:v>
      </x:c>
      <x:c r="D1" s="32" t="str">
        <x:v>等级变化</x:v>
      </x:c>
      <x:c r="E1" s="32" t="str">
        <x:v>说明</x:v>
      </x:c>
    </x:row>
    <x:row r="2" ht="25" customHeight="1">
      <x:c r="A2" s="24" t="n">
        <x:v>1</x:v>
      </x:c>
      <x:c r="B2" s="24" t="n">
        <x:v>28</x:v>
      </x:c>
      <x:c r="C2" s="33" t="n">
        <x:v>15</x:v>
      </x:c>
      <x:c r="D2" s="24" t="n">
        <x:f>C2-B2</x:f>
        <x:v>-13</x:v>
      </x:c>
      <x:c r="E2" s="18" t="str">
        <x:v>用户指定节点</x:v>
      </x:c>
    </x:row>
    <x:row r="3" ht="25" customHeight="1">
      <x:c r="A3" s="24" t="n">
        <x:v>10</x:v>
      </x:c>
      <x:c r="B3" s="24" t="n">
        <x:v>60</x:v>
      </x:c>
      <x:c r="C3" s="33" t="n">
        <x:v>45</x:v>
      </x:c>
      <x:c r="D3" s="24" t="n">
        <x:f>C3-B3</x:f>
        <x:v>-15</x:v>
      </x:c>
      <x:c r="E3" s="18" t="str">
        <x:v>用户指定节点</x:v>
      </x:c>
    </x:row>
    <x:row r="4" ht="25" customHeight="1">
      <x:c r="A4" s="24" t="n">
        <x:v>20</x:v>
      </x:c>
      <x:c r="B4" s="24" t="n">
        <x:v>104</x:v>
      </x:c>
      <x:c r="C4" s="33" t="n">
        <x:v>80</x:v>
      </x:c>
      <x:c r="D4" s="24" t="n">
        <x:f>C4-B4</x:f>
        <x:v>-24</x:v>
      </x:c>
      <x:c r="E4" s="18" t="str">
        <x:v>用户指定节点</x:v>
      </x:c>
    </x:row>
    <x:row r="5" ht="25" customHeight="1">
      <x:c r="A5" s="24" t="n">
        <x:v>30</x:v>
      </x:c>
      <x:c r="B5" s="24" t="n">
        <x:v>137</x:v>
      </x:c>
      <x:c r="C5" s="33" t="n">
        <x:v>120</x:v>
      </x:c>
      <x:c r="D5" s="24" t="n">
        <x:f>C5-B5</x:f>
        <x:v>-17</x:v>
      </x:c>
      <x:c r="E5" s="18" t="str">
        <x:v>用户指定节点</x:v>
      </x:c>
    </x:row>
    <x:row r="6" ht="25" customHeight="1">
      <x:c r="A6" s="24" t="n">
        <x:v>40</x:v>
      </x:c>
      <x:c r="B6" s="24" t="n">
        <x:v>167</x:v>
      </x:c>
      <x:c r="C6" s="33" t="n">
        <x:v>160</x:v>
      </x:c>
      <x:c r="D6" s="24" t="n">
        <x:f>C6-B6</x:f>
        <x:v>-7</x:v>
      </x:c>
      <x:c r="E6" s="18" t="str">
        <x:v>用户指定节点</x:v>
      </x:c>
    </x:row>
    <x:row r="7" ht="25" customHeight="1">
      <x:c r="A7" s="24" t="n">
        <x:v>50</x:v>
      </x:c>
      <x:c r="B7" s="24" t="n">
        <x:v>196</x:v>
      </x:c>
      <x:c r="C7" s="33" t="n">
        <x:v>196</x:v>
      </x:c>
      <x:c r="D7" s="24" t="n">
        <x:f>C7-B7</x:f>
        <x:v>0</x:v>
      </x:c>
      <x:c r="E7" s="18" t="str">
        <x:v>沿用上一版节点</x:v>
      </x:c>
    </x:row>
    <x:row r="8" ht="25" customHeight="1">
      <x:c r="A8" s="24" t="n">
        <x:v>60</x:v>
      </x:c>
      <x:c r="B8" s="24" t="n">
        <x:v>219</x:v>
      </x:c>
      <x:c r="C8" s="33" t="n">
        <x:v>219</x:v>
      </x:c>
      <x:c r="D8" s="24" t="n">
        <x:f>C8-B8</x:f>
        <x:v>0</x:v>
      </x:c>
      <x:c r="E8" s="18" t="str">
        <x:v>沿用上一版节点</x:v>
      </x:c>
    </x:row>
    <x:row r="9" ht="25" customHeight="1">
      <x:c r="A9" s="24" t="n">
        <x:v>70</x:v>
      </x:c>
      <x:c r="B9" s="24" t="n">
        <x:v>238</x:v>
      </x:c>
      <x:c r="C9" s="33" t="n">
        <x:v>238</x:v>
      </x:c>
      <x:c r="D9" s="24" t="n">
        <x:f>C9-B9</x:f>
        <x:v>0</x:v>
      </x:c>
      <x:c r="E9" s="18" t="str">
        <x:v>沿用上一版节点</x:v>
      </x:c>
    </x:row>
    <x:row r="10" ht="25" customHeight="1">
      <x:c r="A10" s="24" t="n">
        <x:v>80</x:v>
      </x:c>
      <x:c r="B10" s="24" t="n">
        <x:v>255</x:v>
      </x:c>
      <x:c r="C10" s="33" t="n">
        <x:v>255</x:v>
      </x:c>
      <x:c r="D10" s="24" t="n">
        <x:f>C10-B10</x:f>
        <x:v>0</x:v>
      </x:c>
      <x:c r="E10" s="18" t="str">
        <x:v>沿用上一版节点</x:v>
      </x:c>
    </x:row>
    <x:row r="11" ht="25" customHeight="1">
      <x:c r="A11" s="24" t="n">
        <x:v>90</x:v>
      </x:c>
      <x:c r="B11" s="24" t="n">
        <x:v>268</x:v>
      </x:c>
      <x:c r="C11" s="33" t="n">
        <x:v>268</x:v>
      </x:c>
      <x:c r="D11" s="24" t="n">
        <x:f>C11-B11</x:f>
        <x:v>0</x:v>
      </x:c>
      <x:c r="E11" s="18" t="str">
        <x:v>沿用上一版节点</x:v>
      </x:c>
    </x:row>
    <x:row r="12" ht="25" customHeight="1">
      <x:c r="A12" s="24" t="n">
        <x:v>100</x:v>
      </x:c>
      <x:c r="B12" s="24" t="n">
        <x:v>280</x:v>
      </x:c>
      <x:c r="C12" s="33" t="n">
        <x:v>280</x:v>
      </x:c>
      <x:c r="D12" s="24" t="n">
        <x:f>C12-B12</x:f>
        <x:v>0</x:v>
      </x:c>
      <x:c r="E12" s="18" t="str">
        <x:v>终点：280级</x:v>
      </x:c>
    </x:row>
    <x:row r="13" ht="25" customHeight="1">
      <x:c r="A13" s="34"/>
      <x:c r="B13" s="34"/>
      <x:c r="C13" s="35"/>
      <x:c r="D13" s="34"/>
      <x:c r="E13" s="36"/>
    </x:row>
    <x:row r="15" ht="30" customHeight="1">
      <x:c r="A15" s="26" t="str">
        <x:v>只改C列黄格；相邻节点线性插值。A列关键楼层固定。</x:v>
      </x:c>
      <x:c r="B15" s="26"/>
      <x:c r="C15" s="26"/>
      <x:c r="D15" s="26"/>
      <x:c r="E15" s="26"/>
    </x:row>
    <x:row r="16" ht="30" customHeight="1">
      <x:c r="A16" s="26" t="str">
        <x:v>修改后本文件角色属性自动更新；全玩法表须重新同步缓存。</x:v>
      </x:c>
      <x:c r="B16" s="26"/>
      <x:c r="C16" s="26"/>
      <x:c r="D16" s="26"/>
      <x:c r="E16" s="26"/>
    </x:row>
  </x:sheetData>
  <x:mergeCells>
    <x:mergeCell ref="A15:E15"/>
    <x:mergeCell ref="A16:E16"/>
  </x:mergeCells>
  <x:dataValidations count="2">
    <x:dataValidation type="whole" operator="between" sqref="C2:C13">
      <x:formula1>1</x:formula1>
      <x:formula2>500</x:formula2>
    </x:dataValidation>
    <x:dataValidation type="whole" operator="between" sqref="C2:C12">
      <x:formula1>1</x:formula1>
      <x:formula2>500</x:formula2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36" customHeight="1">
      <x:c r="A1" s="32" t="str">
        <x:v>楼层</x:v>
      </x:c>
      <x:c r="B1" s="32" t="str">
        <x:v>调前等级</x:v>
      </x:c>
      <x:c r="C1" s="32" t="str">
        <x:v>当前等级</x:v>
      </x:c>
      <x:c r="D1" s="32" t="str">
        <x:v>等级变化</x:v>
      </x:c>
      <x:c r="E1" s="32" t="str">
        <x:v>调前击杀秒</x:v>
      </x:c>
      <x:c r="F1" s="32" t="str">
        <x:v>当前击杀秒</x:v>
      </x:c>
      <x:c r="G1" s="32" t="str">
        <x:v>调前存活秒</x:v>
      </x:c>
      <x:c r="H1" s="32" t="str">
        <x:v>当前存活秒</x:v>
      </x:c>
      <x:c r="I1" s="32" t="str">
        <x:v>敌方EHP变化</x:v>
      </x:c>
      <x:c r="J1" s="32" t="str">
        <x:v>敌方攻击变化</x:v>
      </x:c>
    </x:row>
    <x:row r="2" ht="25" customHeight="1">
      <x:c r="A2" s="24" t="n">
        <x:v>1</x:v>
      </x:c>
      <x:c r="B2" s="24" t="n">
        <x:v>28</x:v>
      </x:c>
      <x:c r="C2" s="24" t="n">
        <x:f>'楼层配置'!D5</x:f>
        <x:v>15</x:v>
      </x:c>
      <x:c r="D2" s="24" t="n">
        <x:f>C2-B2</x:f>
        <x:v>-13</x:v>
      </x:c>
      <x:c r="E2" s="28" t="n">
        <x:v>4.786849422105944</x:v>
      </x:c>
      <x:c r="F2" s="28" t="n">
        <x:f>'统一验算'!F2</x:f>
        <x:v>1.9688363424756934</x:v>
      </x:c>
      <x:c r="G2" s="28" t="n">
        <x:v>9.728550492844851</x:v>
      </x:c>
      <x:c r="H2" s="28" t="n">
        <x:f>'统一验算'!H2</x:f>
        <x:v>19.17660457551638</x:v>
      </x:c>
      <x:c r="I2" s="29" t="n">
        <x:f>F2/E2-1</x:f>
        <x:v>-0.5886989188789824</x:v>
      </x:c>
      <x:c r="J2" s="29" t="n">
        <x:f>G2/H2-1</x:f>
        <x:v>-0.49268649439297907</x:v>
      </x:c>
    </x:row>
    <x:row r="3" ht="25" customHeight="1">
      <x:c r="A3" s="24" t="n">
        <x:v>2</x:v>
      </x:c>
      <x:c r="B3" s="24" t="n">
        <x:v>33</x:v>
      </x:c>
      <x:c r="C3" s="24" t="n">
        <x:f>'楼层配置'!D6</x:f>
        <x:v>18</x:v>
      </x:c>
      <x:c r="D3" s="24" t="n">
        <x:f>C3-B3</x:f>
        <x:v>-15</x:v>
      </x:c>
      <x:c r="E3" s="28" t="n">
        <x:v>5.679081665756044</x:v>
      </x:c>
      <x:c r="F3" s="28" t="n">
        <x:f>'统一验算'!F3</x:f>
        <x:v>2.328177100926797</x:v>
      </x:c>
      <x:c r="G3" s="28" t="n">
        <x:v>8.179604231289925</x:v>
      </x:c>
      <x:c r="H3" s="28" t="n">
        <x:f>'统一验算'!H3</x:f>
        <x:v>15.951705836871927</x:v>
      </x:c>
      <x:c r="I3" s="29" t="n">
        <x:f>F3/E3-1</x:f>
        <x:v>-0.5900433841328021</x:v>
      </x:c>
      <x:c r="J3" s="29" t="n">
        <x:f>G3/H3-1</x:f>
        <x:v>-0.4872269890795631</x:v>
      </x:c>
    </x:row>
    <x:row r="4" ht="25" customHeight="1">
      <x:c r="A4" s="24" t="n">
        <x:v>3</x:v>
      </x:c>
      <x:c r="B4" s="24" t="n">
        <x:v>37</x:v>
      </x:c>
      <x:c r="C4" s="24" t="n">
        <x:f>'楼层配置'!D7</x:f>
        <x:v>22</x:v>
      </x:c>
      <x:c r="D4" s="24" t="n">
        <x:f>C4-B4</x:f>
        <x:v>-15</x:v>
      </x:c>
      <x:c r="E4" s="28" t="n">
        <x:v>7.939600681306142</x:v>
      </x:c>
      <x:c r="F4" s="28" t="n">
        <x:f>'统一验算'!F4</x:f>
        <x:v>3.562881676433426</x:v>
      </x:c>
      <x:c r="G4" s="28" t="n">
        <x:v>9.334596520898552</x:v>
      </x:c>
      <x:c r="H4" s="28" t="n">
        <x:f>'统一验算'!H4</x:f>
        <x:v>16.700902553680034</x:v>
      </x:c>
      <x:c r="I4" s="29" t="n">
        <x:f>F4/E4-1</x:f>
        <x:v>-0.5512517795986565</x:v>
      </x:c>
      <x:c r="J4" s="29" t="n">
        <x:f>G4/H4-1</x:f>
        <x:v>-0.4410723318158827</x:v>
      </x:c>
    </x:row>
    <x:row r="5" ht="25" customHeight="1">
      <x:c r="A5" s="24" t="n">
        <x:v>4</x:v>
      </x:c>
      <x:c r="B5" s="24" t="n">
        <x:v>42</x:v>
      </x:c>
      <x:c r="C5" s="24" t="n">
        <x:f>'楼层配置'!D8</x:f>
        <x:v>25</x:v>
      </x:c>
      <x:c r="D5" s="24" t="n">
        <x:f>C5-B5</x:f>
        <x:v>-17</x:v>
      </x:c>
      <x:c r="E5" s="28" t="n">
        <x:v>6.522182812235492</x:v>
      </x:c>
      <x:c r="F5" s="28" t="n">
        <x:f>'统一验算'!F5</x:f>
        <x:v>2.90760197263718</x:v>
      </x:c>
      <x:c r="G5" s="28" t="n">
        <x:v>7.594593036913412</x:v>
      </x:c>
      <x:c r="H5" s="28" t="n">
        <x:f>'统一验算'!H5</x:f>
        <x:v>13.679510378862291</x:v>
      </x:c>
      <x:c r="I5" s="29" t="n">
        <x:f>F5/E5-1</x:f>
        <x:v>-0.5541980259764303</x:v>
      </x:c>
      <x:c r="J5" s="29" t="n">
        <x:f>G5/H5-1</x:f>
        <x:v>-0.4448198198198199</x:v>
      </x:c>
    </x:row>
    <x:row r="6" ht="25" customHeight="1">
      <x:c r="A6" s="24" t="n">
        <x:v>5</x:v>
      </x:c>
      <x:c r="B6" s="24" t="n">
        <x:v>46</x:v>
      </x:c>
      <x:c r="C6" s="24" t="n">
        <x:f>'楼层配置'!D9</x:f>
        <x:v>28</x:v>
      </x:c>
      <x:c r="D6" s="24" t="n">
        <x:f>C6-B6</x:f>
        <x:v>-18</x:v>
      </x:c>
      <x:c r="E6" s="28" t="n">
        <x:v>8.848386942617108</x:v>
      </x:c>
      <x:c r="F6" s="28" t="n">
        <x:f>'统一验算'!F6</x:f>
        <x:v>3.9694757508733596</x:v>
      </x:c>
      <x:c r="G6" s="28" t="n">
        <x:v>7.985252035177587</x:v>
      </x:c>
      <x:c r="H6" s="28" t="n">
        <x:f>'统一验算'!H6</x:f>
        <x:v>14.115289584176097</x:v>
      </x:c>
      <x:c r="I6" s="29" t="n">
        <x:f>F6/E6-1</x:f>
        <x:v>-0.5513899000330902</x:v>
      </x:c>
      <x:c r="J6" s="29" t="n">
        <x:f>G6/H6-1</x:f>
        <x:v>-0.43428351309707236</x:v>
      </x:c>
    </x:row>
    <x:row r="7" ht="25" customHeight="1">
      <x:c r="A7" s="24" t="n">
        <x:v>6</x:v>
      </x:c>
      <x:c r="B7" s="24" t="n">
        <x:v>49</x:v>
      </x:c>
      <x:c r="C7" s="24" t="n">
        <x:f>'楼层配置'!D10</x:f>
        <x:v>32</x:v>
      </x:c>
      <x:c r="D7" s="24" t="n">
        <x:f>C7-B7</x:f>
        <x:v>-17</x:v>
      </x:c>
      <x:c r="E7" s="28" t="n">
        <x:v>8.225468559593054</x:v>
      </x:c>
      <x:c r="F7" s="28" t="n">
        <x:f>'统一验算'!F7</x:f>
        <x:v>4.079859506962398</x:v>
      </x:c>
      <x:c r="G7" s="28" t="n">
        <x:v>7.595440938571038</x:v>
      </x:c>
      <x:c r="H7" s="28" t="n">
        <x:f>'统一验算'!H7</x:f>
        <x:v>12.464506864301793</x:v>
      </x:c>
      <x:c r="I7" s="29" t="n">
        <x:f>F7/E7-1</x:f>
        <x:v>-0.5039967051841427</x:v>
      </x:c>
      <x:c r="J7" s="29" t="n">
        <x:f>G7/H7-1</x:f>
        <x:v>-0.3906344614142502</x:v>
      </x:c>
    </x:row>
    <x:row r="8" ht="25" customHeight="1">
      <x:c r="A8" s="24" t="n">
        <x:v>7</x:v>
      </x:c>
      <x:c r="B8" s="24" t="n">
        <x:v>52</x:v>
      </x:c>
      <x:c r="C8" s="24" t="n">
        <x:f>'楼层配置'!D11</x:f>
        <x:v>35</x:v>
      </x:c>
      <x:c r="D8" s="24" t="n">
        <x:f>C8-B8</x:f>
        <x:v>-17</x:v>
      </x:c>
      <x:c r="E8" s="28" t="n">
        <x:v>8.735392405103555</x:v>
      </x:c>
      <x:c r="F8" s="28" t="n">
        <x:f>'统一验算'!F8</x:f>
        <x:v>4.488323341195159</x:v>
      </x:c>
      <x:c r="G8" s="28" t="n">
        <x:v>8.091366482944899</x:v>
      </x:c>
      <x:c r="H8" s="28" t="n">
        <x:f>'统一验算'!H8</x:f>
        <x:v>12.871044362301886</x:v>
      </x:c>
      <x:c r="I8" s="29" t="n">
        <x:f>F8/E8-1</x:f>
        <x:v>-0.4861909879889419</x:v>
      </x:c>
      <x:c r="J8" s="29" t="n">
        <x:f>G8/H8-1</x:f>
        <x:v>-0.37135120855897497</x:v>
      </x:c>
    </x:row>
    <x:row r="9" ht="25" customHeight="1">
      <x:c r="A9" s="24" t="n">
        <x:v>8</x:v>
      </x:c>
      <x:c r="B9" s="24" t="n">
        <x:v>54</x:v>
      </x:c>
      <x:c r="C9" s="24" t="n">
        <x:f>'楼层配置'!D12</x:f>
        <x:v>38</x:v>
      </x:c>
      <x:c r="D9" s="24" t="n">
        <x:f>C9-B9</x:f>
        <x:v>-16</x:v>
      </x:c>
      <x:c r="E9" s="28" t="n">
        <x:v>9.10855714178894</x:v>
      </x:c>
      <x:c r="F9" s="28" t="n">
        <x:f>'统一验算'!F9</x:f>
        <x:v>4.980250694302849</x:v>
      </x:c>
      <x:c r="G9" s="28" t="n">
        <x:v>9.372357744196528</x:v>
      </x:c>
      <x:c r="H9" s="28" t="n">
        <x:f>'统一验算'!H9</x:f>
        <x:v>14.208895296682972</x:v>
      </x:c>
      <x:c r="I9" s="29" t="n">
        <x:f>F9/E9-1</x:f>
        <x:v>-0.4532338528729133</x:v>
      </x:c>
      <x:c r="J9" s="29" t="n">
        <x:f>G9/H9-1</x:f>
        <x:v>-0.34038800705467376</x:v>
      </x:c>
    </x:row>
    <x:row r="10" ht="25" customHeight="1">
      <x:c r="A10" s="24" t="n">
        <x:v>9</x:v>
      </x:c>
      <x:c r="B10" s="24" t="n">
        <x:v>57</x:v>
      </x:c>
      <x:c r="C10" s="24" t="n">
        <x:f>'楼层配置'!D13</x:f>
        <x:v>42</x:v>
      </x:c>
      <x:c r="D10" s="24" t="n">
        <x:f>C10-B10</x:f>
        <x:v>-15</x:v>
      </x:c>
      <x:c r="E10" s="28" t="n">
        <x:v>8.477142806476934</x:v>
      </x:c>
      <x:c r="F10" s="28" t="n">
        <x:f>'统一验算'!F10</x:f>
        <x:v>4.974073769764655</x:v>
      </x:c>
      <x:c r="G10" s="28" t="n">
        <x:v>8.845294202465384</x:v>
      </x:c>
      <x:c r="H10" s="28" t="n">
        <x:f>'统一验算'!H10</x:f>
        <x:v>12.750447617669606</x:v>
      </x:c>
      <x:c r="I10" s="29" t="n">
        <x:f>F10/E10-1</x:f>
        <x:v>-0.4132369970263766</x:v>
      </x:c>
      <x:c r="J10" s="29" t="n">
        <x:f>G10/H10-1</x:f>
        <x:v>-0.30627578986265935</x:v>
      </x:c>
    </x:row>
    <x:row r="11" ht="25" customHeight="1">
      <x:c r="A11" s="24" t="n">
        <x:v>10</x:v>
      </x:c>
      <x:c r="B11" s="24" t="n">
        <x:v>60</x:v>
      </x:c>
      <x:c r="C11" s="24" t="n">
        <x:f>'楼层配置'!D14</x:f>
        <x:v>45</x:v>
      </x:c>
      <x:c r="D11" s="24" t="n">
        <x:f>C11-B11</x:f>
        <x:v>-15</x:v>
      </x:c>
      <x:c r="E11" s="28" t="n">
        <x:v>7.795120150283376</x:v>
      </x:c>
      <x:c r="F11" s="28" t="n">
        <x:f>'统一验算'!F11</x:f>
        <x:v>4.695874464654855</x:v>
      </x:c>
      <x:c r="G11" s="28" t="n">
        <x:v>8.663848698855825</x:v>
      </x:c>
      <x:c r="H11" s="28" t="n">
        <x:f>'统一验算'!H11</x:f>
        <x:v>12.272755717494771</x:v>
      </x:c>
      <x:c r="I11" s="29" t="n">
        <x:f>F11/E11-1</x:f>
        <x:v>-0.3975879301252149</x:v>
      </x:c>
      <x:c r="J11" s="29" t="n">
        <x:f>G11/H11-1</x:f>
        <x:v>-0.29405840886203427</x:v>
      </x:c>
    </x:row>
    <x:row r="12" ht="25" customHeight="1">
      <x:c r="A12" s="24" t="n">
        <x:v>11</x:v>
      </x:c>
      <x:c r="B12" s="24" t="n">
        <x:v>64</x:v>
      </x:c>
      <x:c r="C12" s="24" t="n">
        <x:f>'楼层配置'!D15</x:f>
        <x:v>49</x:v>
      </x:c>
      <x:c r="D12" s="24" t="n">
        <x:f>C12-B12</x:f>
        <x:v>-15</x:v>
      </x:c>
      <x:c r="E12" s="28" t="n">
        <x:v>7.864141164170779</x:v>
      </x:c>
      <x:c r="F12" s="28" t="n">
        <x:f>'统一验算'!F12</x:f>
        <x:v>4.861131902900914</x:v>
      </x:c>
      <x:c r="G12" s="28" t="n">
        <x:v>8.862495772496503</x:v>
      </x:c>
      <x:c r="H12" s="28" t="n">
        <x:f>'统一验算'!H12</x:f>
        <x:v>12.295175262897372</x:v>
      </x:c>
      <x:c r="I12" s="29" t="n">
        <x:f>F12/E12-1</x:f>
        <x:v>-0.3818610574987704</x:v>
      </x:c>
      <x:c r="J12" s="29" t="n">
        <x:f>G12/H12-1</x:f>
        <x:v>-0.27918914671834894</x:v>
      </x:c>
    </x:row>
    <x:row r="13" ht="25" customHeight="1">
      <x:c r="A13" s="24" t="n">
        <x:v>12</x:v>
      </x:c>
      <x:c r="B13" s="24" t="n">
        <x:v>69</x:v>
      </x:c>
      <x:c r="C13" s="24" t="n">
        <x:f>'楼层配置'!D16</x:f>
        <x:v>52</x:v>
      </x:c>
      <x:c r="D13" s="24" t="n">
        <x:f>C13-B13</x:f>
        <x:v>-17</x:v>
      </x:c>
      <x:c r="E13" s="28" t="n">
        <x:v>9.11606596323047</x:v>
      </x:c>
      <x:c r="F13" s="28" t="n">
        <x:f>'统一验算'!F13</x:f>
        <x:v>5.392119021262693</x:v>
      </x:c>
      <x:c r="G13" s="28" t="n">
        <x:v>9.238230838816566</x:v>
      </x:c>
      <x:c r="H13" s="28" t="n">
        <x:f>'统一验算'!H13</x:f>
        <x:v>13.127596462398714</x:v>
      </x:c>
      <x:c r="I13" s="29" t="n">
        <x:f>F13/E13-1</x:f>
        <x:v>-0.40850372923893563</x:v>
      </x:c>
      <x:c r="J13" s="29" t="n">
        <x:f>G13/H13-1</x:f>
        <x:v>-0.2962740083245574</x:v>
      </x:c>
    </x:row>
    <x:row r="14" ht="25" customHeight="1">
      <x:c r="A14" s="24" t="n">
        <x:v>13</x:v>
      </x:c>
      <x:c r="B14" s="24" t="n">
        <x:v>73</x:v>
      </x:c>
      <x:c r="C14" s="24" t="n">
        <x:f>'楼层配置'!D17</x:f>
        <x:v>56</x:v>
      </x:c>
      <x:c r="D14" s="24" t="n">
        <x:f>C14-B14</x:f>
        <x:v>-17</x:v>
      </x:c>
      <x:c r="E14" s="28" t="n">
        <x:v>7.362675088495582</x:v>
      </x:c>
      <x:c r="F14" s="28" t="n">
        <x:f>'统一验算'!F14</x:f>
        <x:v>4.484073666749786</x:v>
      </x:c>
      <x:c r="G14" s="28" t="n">
        <x:v>9.15868254112153</x:v>
      </x:c>
      <x:c r="H14" s="28" t="n">
        <x:f>'统一验算'!H14</x:f>
        <x:v>12.782998096739497</x:v>
      </x:c>
      <x:c r="I14" s="29" t="n">
        <x:f>F14/E14-1</x:f>
        <x:v>-0.39097221962757855</x:v>
      </x:c>
      <x:c r="J14" s="29" t="n">
        <x:f>G14/H14-1</x:f>
        <x:v>-0.28352625324589587</x:v>
      </x:c>
    </x:row>
    <x:row r="15" ht="25" customHeight="1">
      <x:c r="A15" s="24" t="n">
        <x:v>14</x:v>
      </x:c>
      <x:c r="B15" s="24" t="n">
        <x:v>78</x:v>
      </x:c>
      <x:c r="C15" s="24" t="n">
        <x:f>'楼层配置'!D18</x:f>
        <x:v>59</x:v>
      </x:c>
      <x:c r="D15" s="24" t="n">
        <x:f>C15-B15</x:f>
        <x:v>-19</x:v>
      </x:c>
      <x:c r="E15" s="28" t="n">
        <x:v>9.44577716161108</x:v>
      </x:c>
      <x:c r="F15" s="28" t="n">
        <x:f>'统一验算'!F15</x:f>
        <x:v>5.493432345256975</x:v>
      </x:c>
      <x:c r="G15" s="28" t="n">
        <x:v>10.303788285428793</x:v>
      </x:c>
      <x:c r="H15" s="28" t="n">
        <x:f>'统一验算'!H15</x:f>
        <x:v>14.697575684194364</x:v>
      </x:c>
      <x:c r="I15" s="29" t="n">
        <x:f>F15/E15-1</x:f>
        <x:v>-0.4184245243913831</x:v>
      </x:c>
      <x:c r="J15" s="29" t="n">
        <x:f>G15/H15-1</x:f>
        <x:v>-0.2989464040311498</x:v>
      </x:c>
    </x:row>
    <x:row r="16" ht="25" customHeight="1">
      <x:c r="A16" s="24" t="n">
        <x:v>15</x:v>
      </x:c>
      <x:c r="B16" s="24" t="n">
        <x:v>82</x:v>
      </x:c>
      <x:c r="C16" s="24" t="n">
        <x:f>'楼层配置'!D19</x:f>
        <x:v>63</x:v>
      </x:c>
      <x:c r="D16" s="24" t="n">
        <x:f>C16-B16</x:f>
        <x:v>-19</x:v>
      </x:c>
      <x:c r="E16" s="28" t="n">
        <x:v>9.17402404172147</x:v>
      </x:c>
      <x:c r="F16" s="28" t="n">
        <x:f>'统一验算'!F16</x:f>
        <x:v>5.450940453597161</x:v>
      </x:c>
      <x:c r="G16" s="28" t="n">
        <x:v>10.040563401770877</x:v>
      </x:c>
      <x:c r="H16" s="28" t="n">
        <x:f>'统一验算'!H16</x:f>
        <x:v>14.101390137204227</x:v>
      </x:c>
      <x:c r="I16" s="29" t="n">
        <x:f>F16/E16-1</x:f>
        <x:v>-0.40582884579248246</x:v>
      </x:c>
      <x:c r="J16" s="29" t="n">
        <x:f>G16/H16-1</x:f>
        <x:v>-0.28797350445042424</x:v>
      </x:c>
    </x:row>
    <x:row r="17" ht="25" customHeight="1">
      <x:c r="A17" s="24" t="n">
        <x:v>16</x:v>
      </x:c>
      <x:c r="B17" s="24" t="n">
        <x:v>86</x:v>
      </x:c>
      <x:c r="C17" s="24" t="n">
        <x:f>'楼层配置'!D20</x:f>
        <x:v>66</x:v>
      </x:c>
      <x:c r="D17" s="24" t="n">
        <x:f>C17-B17</x:f>
        <x:v>-20</x:v>
      </x:c>
      <x:c r="E17" s="28" t="n">
        <x:v>9.893172668053158</x:v>
      </x:c>
      <x:c r="F17" s="28" t="n">
        <x:f>'统一验算'!F17</x:f>
        <x:v>5.797622157733632</x:v>
      </x:c>
      <x:c r="G17" s="28" t="n">
        <x:v>10.176689703466183</x:v>
      </x:c>
      <x:c r="H17" s="28" t="n">
        <x:f>'统一验算'!H17</x:f>
        <x:v>14.362543797064076</x:v>
      </x:c>
      <x:c r="I17" s="29" t="n">
        <x:f>F17/E17-1</x:f>
        <x:v>-0.41397746180502826</x:v>
      </x:c>
      <x:c r="J17" s="29" t="n">
        <x:f>G17/H17-1</x:f>
        <x:v>-0.2914423902020439</x:v>
      </x:c>
    </x:row>
    <x:row r="18" ht="25" customHeight="1">
      <x:c r="A18" s="24" t="n">
        <x:v>17</x:v>
      </x:c>
      <x:c r="B18" s="24" t="n">
        <x:v>91</x:v>
      </x:c>
      <x:c r="C18" s="24" t="n">
        <x:f>'楼层配置'!D21</x:f>
        <x:v>70</x:v>
      </x:c>
      <x:c r="D18" s="24" t="n">
        <x:f>C18-B18</x:f>
        <x:v>-21</x:v>
      </x:c>
      <x:c r="E18" s="28" t="n">
        <x:v>10.179945407760451</x:v>
      </x:c>
      <x:c r="F18" s="28" t="n">
        <x:f>'统一验算'!F18</x:f>
        <x:v>5.924981473311157</x:v>
      </x:c>
      <x:c r="G18" s="28" t="n">
        <x:v>10.231861168399192</x:v>
      </x:c>
      <x:c r="H18" s="28" t="n">
        <x:f>'统一验算'!H18</x:f>
        <x:v>14.45931081080502</x:v>
      </x:c>
      <x:c r="I18" s="29" t="n">
        <x:f>F18/E18-1</x:f>
        <x:v>-0.41797512304983664</x:v>
      </x:c>
      <x:c r="J18" s="29" t="n">
        <x:f>G18/H18-1</x:f>
        <x:v>-0.29236868186323095</x:v>
      </x:c>
    </x:row>
    <x:row r="19" ht="25" customHeight="1">
      <x:c r="A19" s="24" t="n">
        <x:v>18</x:v>
      </x:c>
      <x:c r="B19" s="24" t="n">
        <x:v>95</x:v>
      </x:c>
      <x:c r="C19" s="24" t="n">
        <x:f>'楼层配置'!D22</x:f>
        <x:v>73</x:v>
      </x:c>
      <x:c r="D19" s="24" t="n">
        <x:f>C19-B19</x:f>
        <x:v>-22</x:v>
      </x:c>
      <x:c r="E19" s="28" t="n">
        <x:v>9.163580564706516</x:v>
      </x:c>
      <x:c r="F19" s="28" t="n">
        <x:f>'统一验算'!F19</x:f>
        <x:v>5.305232782729036</x:v>
      </x:c>
      <x:c r="G19" s="28" t="n">
        <x:v>10.444076295624075</x:v>
      </x:c>
      <x:c r="H19" s="28" t="n">
        <x:f>'统一验算'!H19</x:f>
        <x:v>14.82920501842253</x:v>
      </x:c>
      <x:c r="I19" s="29" t="n">
        <x:f>F19/E19-1</x:f>
        <x:v>-0.42105242101956153</x:v>
      </x:c>
      <x:c r="J19" s="29" t="n">
        <x:f>G19/H19-1</x:f>
        <x:v>-0.29570895522388063</x:v>
      </x:c>
    </x:row>
    <x:row r="20" ht="25" customHeight="1">
      <x:c r="A20" s="24" t="n">
        <x:v>19</x:v>
      </x:c>
      <x:c r="B20" s="24" t="n">
        <x:v>100</x:v>
      </x:c>
      <x:c r="C20" s="24" t="n">
        <x:f>'楼层配置'!D23</x:f>
        <x:v>77</x:v>
      </x:c>
      <x:c r="D20" s="24" t="n">
        <x:f>C20-B20</x:f>
        <x:v>-23</x:v>
      </x:c>
      <x:c r="E20" s="28" t="n">
        <x:v>10.611893873765213</x:v>
      </x:c>
      <x:c r="F20" s="28" t="n">
        <x:f>'统一验算'!F20</x:f>
        <x:v>6.0703812065565925</x:v>
      </x:c>
      <x:c r="G20" s="28" t="n">
        <x:v>10.841884568059717</x:v>
      </x:c>
      <x:c r="H20" s="28" t="n">
        <x:f>'统一验算'!H20</x:f>
        <x:v>15.42766473589983</x:v>
      </x:c>
      <x:c r="I20" s="29" t="n">
        <x:f>F20/E20-1</x:f>
        <x:v>-0.4279643880001641</x:v>
      </x:c>
      <x:c r="J20" s="29" t="n">
        <x:f>G20/H20-1</x:f>
        <x:v>-0.29724396053079283</x:v>
      </x:c>
    </x:row>
    <x:row r="21" ht="25" customHeight="1">
      <x:c r="A21" s="24" t="n">
        <x:v>20</x:v>
      </x:c>
      <x:c r="B21" s="24" t="n">
        <x:v>104</x:v>
      </x:c>
      <x:c r="C21" s="24" t="n">
        <x:f>'楼层配置'!D24</x:f>
        <x:v>80</x:v>
      </x:c>
      <x:c r="D21" s="24" t="n">
        <x:f>C21-B21</x:f>
        <x:v>-24</x:v>
      </x:c>
      <x:c r="E21" s="28" t="n">
        <x:v>9.21487583796976</x:v>
      </x:c>
      <x:c r="F21" s="28" t="n">
        <x:f>'统一验算'!F21</x:f>
        <x:v>5.254384567309929</x:v>
      </x:c>
      <x:c r="G21" s="28" t="n">
        <x:v>10.061381848708526</x:v>
      </x:c>
      <x:c r="H21" s="28" t="n">
        <x:f>'统一验算'!H21</x:f>
        <x:v>14.385481130626477</x:v>
      </x:c>
      <x:c r="I21" s="29" t="n">
        <x:f>F21/E21-1</x:f>
        <x:v>-0.4297932321931768</x:v>
      </x:c>
      <x:c r="J21" s="29" t="n">
        <x:f>G21/H21-1</x:f>
        <x:v>-0.30058774139378674</x:v>
      </x:c>
    </x:row>
    <x:row r="22" ht="25" customHeight="1">
      <x:c r="A22" s="24" t="n">
        <x:v>21</x:v>
      </x:c>
      <x:c r="B22" s="24" t="n">
        <x:v>107</x:v>
      </x:c>
      <x:c r="C22" s="24" t="n">
        <x:f>'楼层配置'!D25</x:f>
        <x:v>84</x:v>
      </x:c>
      <x:c r="D22" s="24" t="n">
        <x:f>C22-B22</x:f>
        <x:v>-23</x:v>
      </x:c>
      <x:c r="E22" s="28" t="n">
        <x:v>10.730243998205802</x:v>
      </x:c>
      <x:c r="F22" s="28" t="n">
        <x:f>'统一验算'!F22</x:f>
        <x:v>6.287646977951243</x:v>
      </x:c>
      <x:c r="G22" s="28" t="n">
        <x:v>10.948830096355609</x:v>
      </x:c>
      <x:c r="H22" s="28" t="n">
        <x:f>'统一验算'!H22</x:f>
        <x:v>15.27337742631603</x:v>
      </x:c>
      <x:c r="I22" s="29" t="n">
        <x:f>F22/E22-1</x:f>
        <x:v>-0.41402572215481803</x:v>
      </x:c>
      <x:c r="J22" s="29" t="n">
        <x:f>G22/H22-1</x:f>
        <x:v>-0.2831428314283143</x:v>
      </x:c>
    </x:row>
    <x:row r="23" ht="25" customHeight="1">
      <x:c r="A23" s="24" t="n">
        <x:v>22</x:v>
      </x:c>
      <x:c r="B23" s="24" t="n">
        <x:v>111</x:v>
      </x:c>
      <x:c r="C23" s="24" t="n">
        <x:f>'楼层配置'!D26</x:f>
        <x:v>88</x:v>
      </x:c>
      <x:c r="D23" s="24" t="n">
        <x:f>C23-B23</x:f>
        <x:v>-23</x:v>
      </x:c>
      <x:c r="E23" s="28" t="n">
        <x:v>10.401148779398719</x:v>
      </x:c>
      <x:c r="F23" s="28" t="n">
        <x:f>'统一验算'!F23</x:f>
        <x:v>6.184586984477582</x:v>
      </x:c>
      <x:c r="G23" s="28" t="n">
        <x:v>10.722895255935926</x:v>
      </x:c>
      <x:c r="H23" s="28" t="n">
        <x:f>'统一验算'!H23</x:f>
        <x:v>14.809962224091532</x:v>
      </x:c>
      <x:c r="I23" s="29" t="n">
        <x:f>F23/E23-1</x:f>
        <x:v>-0.405393854501223</x:v>
      </x:c>
      <x:c r="J23" s="29" t="n">
        <x:f>G23/H23-1</x:f>
        <x:v>-0.2759674134419552</x:v>
      </x:c>
    </x:row>
    <x:row r="24" ht="25" customHeight="1">
      <x:c r="A24" s="24" t="n">
        <x:v>23</x:v>
      </x:c>
      <x:c r="B24" s="24" t="n">
        <x:v>114</x:v>
      </x:c>
      <x:c r="C24" s="24" t="n">
        <x:f>'楼层配置'!D27</x:f>
        <x:v>92</x:v>
      </x:c>
      <x:c r="D24" s="24" t="n">
        <x:f>C24-B24</x:f>
        <x:v>-22</x:v>
      </x:c>
      <x:c r="E24" s="28" t="n">
        <x:v>11.229601316584715</x:v>
      </x:c>
      <x:c r="F24" s="28" t="n">
        <x:f>'统一验算'!F24</x:f>
        <x:v>6.876895472073491</x:v>
      </x:c>
      <x:c r="G24" s="28" t="n">
        <x:v>12.031719637770355</x:v>
      </x:c>
      <x:c r="H24" s="28" t="n">
        <x:f>'统一验算'!H24</x:f>
        <x:v>16.25922069019233</x:v>
      </x:c>
      <x:c r="I24" s="29" t="n">
        <x:f>F24/E24-1</x:f>
        <x:v>-0.38761000696283154</x:v>
      </x:c>
      <x:c r="J24" s="29" t="n">
        <x:f>G24/H24-1</x:f>
        <x:v>-0.2600063762571371</x:v>
      </x:c>
    </x:row>
    <x:row r="25" ht="25" customHeight="1">
      <x:c r="A25" s="24" t="n">
        <x:v>24</x:v>
      </x:c>
      <x:c r="B25" s="24" t="n">
        <x:v>117</x:v>
      </x:c>
      <x:c r="C25" s="24" t="n">
        <x:f>'楼层配置'!D28</x:f>
        <x:v>96</x:v>
      </x:c>
      <x:c r="D25" s="24" t="n">
        <x:f>C25-B25</x:f>
        <x:v>-21</x:v>
      </x:c>
      <x:c r="E25" s="28" t="n">
        <x:v>11.045768145363478</x:v>
      </x:c>
      <x:c r="F25" s="28" t="n">
        <x:f>'统一验算'!F25</x:f>
        <x:v>6.984918677122906</x:v>
      </x:c>
      <x:c r="G25" s="28" t="n">
        <x:v>13.052043336023502</x:v>
      </x:c>
      <x:c r="H25" s="28" t="n">
        <x:f>'统一验算'!H25</x:f>
        <x:v>17.274763238854636</x:v>
      </x:c>
      <x:c r="I25" s="29" t="n">
        <x:f>F25/E25-1</x:f>
        <x:v>-0.3676384851464709</x:v>
      </x:c>
      <x:c r="J25" s="29" t="n">
        <x:f>G25/H25-1</x:f>
        <x:v>-0.24444444444444446</x:v>
      </x:c>
    </x:row>
    <x:row r="26" ht="25" customHeight="1">
      <x:c r="A26" s="24" t="n">
        <x:v>25</x:v>
      </x:c>
      <x:c r="B26" s="24" t="n">
        <x:v>121</x:v>
      </x:c>
      <x:c r="C26" s="24" t="n">
        <x:f>'楼层配置'!D29</x:f>
        <x:v>100</x:v>
      </x:c>
      <x:c r="D26" s="24" t="n">
        <x:f>C26-B26</x:f>
        <x:v>-21</x:v>
      </x:c>
      <x:c r="E26" s="28" t="n">
        <x:v>10.675764265776339</x:v>
      </x:c>
      <x:c r="F26" s="28" t="n">
        <x:f>'统一验算'!F26</x:f>
        <x:v>6.825713013119662</x:v>
      </x:c>
      <x:c r="G26" s="28" t="n">
        <x:v>12.701277612509843</x:v>
      </x:c>
      <x:c r="H26" s="28" t="n">
        <x:f>'统一验算'!H26</x:f>
        <x:v>16.686459011744972</x:v>
      </x:c>
      <x:c r="I26" s="29" t="n">
        <x:f>F26/E26-1</x:f>
        <x:v>-0.36063471961430593</x:v>
      </x:c>
      <x:c r="J26" s="29" t="n">
        <x:f>G26/H26-1</x:f>
        <x:v>-0.23882726685332756</x:v>
      </x:c>
    </x:row>
    <x:row r="27" ht="25" customHeight="1">
      <x:c r="A27" s="24" t="n">
        <x:v>26</x:v>
      </x:c>
      <x:c r="B27" s="24" t="n">
        <x:v>124</x:v>
      </x:c>
      <x:c r="C27" s="24" t="n">
        <x:f>'楼层配置'!D30</x:f>
        <x:v>104</x:v>
      </x:c>
      <x:c r="D27" s="24" t="n">
        <x:f>C27-B27</x:f>
        <x:v>-20</x:v>
      </x:c>
      <x:c r="E27" s="28" t="n">
        <x:v>9.789183648171845</x:v>
      </x:c>
      <x:c r="F27" s="28" t="n">
        <x:f>'统一验算'!F27</x:f>
        <x:v>6.462448610373482</x:v>
      </x:c>
      <x:c r="G27" s="28" t="n">
        <x:v>11.840385734017797</x:v>
      </x:c>
      <x:c r="H27" s="28" t="n">
        <x:f>'统一验算'!H27</x:f>
        <x:v>15.268183066475574</x:v>
      </x:c>
      <x:c r="I27" s="29" t="n">
        <x:f>F27/E27-1</x:f>
        <x:v>-0.3398378411686698</x:v>
      </x:c>
      <x:c r="J27" s="29" t="n">
        <x:f>G27/H27-1</x:f>
        <x:v>-0.2245059099392257</x:v>
      </x:c>
    </x:row>
    <x:row r="28" ht="25" customHeight="1">
      <x:c r="A28" s="24" t="n">
        <x:v>27</x:v>
      </x:c>
      <x:c r="B28" s="24" t="n">
        <x:v>127</x:v>
      </x:c>
      <x:c r="C28" s="24" t="n">
        <x:f>'楼层配置'!D31</x:f>
        <x:v>108</x:v>
      </x:c>
      <x:c r="D28" s="24" t="n">
        <x:f>C28-B28</x:f>
        <x:v>-19</x:v>
      </x:c>
      <x:c r="E28" s="28" t="n">
        <x:v>11.269906890500504</x:v>
      </x:c>
      <x:c r="F28" s="28" t="n">
        <x:f>'统一验算'!F28</x:f>
        <x:v>7.610622854228927</x:v>
      </x:c>
      <x:c r="G28" s="28" t="n">
        <x:v>13.348705673548038</x:v>
      </x:c>
      <x:c r="H28" s="28" t="n">
        <x:f>'统一验算'!H28</x:f>
        <x:v>16.90983510758488</x:v>
      </x:c>
      <x:c r="I28" s="29" t="n">
        <x:f>F28/E28-1</x:f>
        <x:v>-0.3246951436090406</x:v>
      </x:c>
      <x:c r="J28" s="29" t="n">
        <x:f>G28/H28-1</x:f>
        <x:v>-0.210595160235448</x:v>
      </x:c>
    </x:row>
    <x:row r="29" ht="25" customHeight="1">
      <x:c r="A29" s="24" t="n">
        <x:v>28</x:v>
      </x:c>
      <x:c r="B29" s="24" t="n">
        <x:v>130</x:v>
      </x:c>
      <x:c r="C29" s="24" t="n">
        <x:f>'楼层配置'!D32</x:f>
        <x:v>112</x:v>
      </x:c>
      <x:c r="D29" s="24" t="n">
        <x:f>C29-B29</x:f>
        <x:v>-18</x:v>
      </x:c>
      <x:c r="E29" s="28" t="n">
        <x:v>11.449953907805213</x:v>
      </x:c>
      <x:c r="F29" s="28" t="n">
        <x:f>'统一验算'!F29</x:f>
        <x:v>7.937701214730316</x:v>
      </x:c>
      <x:c r="G29" s="28" t="n">
        <x:v>13.007476192716387</x:v>
      </x:c>
      <x:c r="H29" s="28" t="n">
        <x:f>'统一验算'!H29</x:f>
        <x:v>16.20015135857157</x:v>
      </x:c>
      <x:c r="I29" s="29" t="n">
        <x:f>F29/E29-1</x:f>
        <x:v>-0.30674819491462424</x:v>
      </x:c>
      <x:c r="J29" s="29" t="n">
        <x:f>G29/H29-1</x:f>
        <x:v>-0.1970768726284724</x:v>
      </x:c>
    </x:row>
    <x:row r="30" ht="25" customHeight="1">
      <x:c r="A30" s="24" t="n">
        <x:v>29</x:v>
      </x:c>
      <x:c r="B30" s="24" t="n">
        <x:v>134</x:v>
      </x:c>
      <x:c r="C30" s="24" t="n">
        <x:f>'楼层配置'!D33</x:f>
        <x:v>116</x:v>
      </x:c>
      <x:c r="D30" s="24" t="n">
        <x:f>C30-B30</x:f>
        <x:v>-18</x:v>
      </x:c>
      <x:c r="E30" s="28" t="n">
        <x:v>10.252091949038489</x:v>
      </x:c>
      <x:c r="F30" s="28" t="n">
        <x:f>'统一验算'!F30</x:f>
        <x:v>7.175371059698811</x:v>
      </x:c>
      <x:c r="G30" s="28" t="n">
        <x:v>12.826314237549818</x:v>
      </x:c>
      <x:c r="H30" s="28" t="n">
        <x:f>'统一验算'!H30</x:f>
        <x:v>15.893886968151875</x:v>
      </x:c>
      <x:c r="I30" s="29" t="n">
        <x:f>F30/E30-1</x:f>
        <x:v>-0.30010664210129656</x:v>
      </x:c>
      <x:c r="J30" s="29" t="n">
        <x:f>G30/H30-1</x:f>
        <x:v>-0.19300330603513483</x:v>
      </x:c>
    </x:row>
    <x:row r="31" ht="25" customHeight="1">
      <x:c r="A31" s="24" t="n">
        <x:v>30</x:v>
      </x:c>
      <x:c r="B31" s="24" t="n">
        <x:v>137</x:v>
      </x:c>
      <x:c r="C31" s="24" t="n">
        <x:f>'楼层配置'!D34</x:f>
        <x:v>120</x:v>
      </x:c>
      <x:c r="D31" s="24" t="n">
        <x:f>C31-B31</x:f>
        <x:v>-17</x:v>
      </x:c>
      <x:c r="E31" s="28" t="n">
        <x:v>10.316065453950861</x:v>
      </x:c>
      <x:c r="F31" s="28" t="n">
        <x:f>'统一验算'!F31</x:f>
        <x:v>7.407661187685224</x:v>
      </x:c>
      <x:c r="G31" s="28" t="n">
        <x:v>13.393509199702006</x:v>
      </x:c>
      <x:c r="H31" s="28" t="n">
        <x:f>'统一验算'!H31</x:f>
        <x:v>16.339148473467574</x:v>
      </x:c>
      <x:c r="I31" s="29" t="n">
        <x:f>F31/E31-1</x:f>
        <x:v>-0.2819296057443851</x:v>
      </x:c>
      <x:c r="J31" s="29" t="n">
        <x:f>G31/H31-1</x:f>
        <x:v>-0.18028107636997504</x:v>
      </x:c>
    </x:row>
    <x:row r="32" ht="25" customHeight="1">
      <x:c r="A32" s="24" t="n">
        <x:v>31</x:v>
      </x:c>
      <x:c r="B32" s="24" t="n">
        <x:v>140</x:v>
      </x:c>
      <x:c r="C32" s="24" t="n">
        <x:f>'楼层配置'!D35</x:f>
        <x:v>124</x:v>
      </x:c>
      <x:c r="D32" s="24" t="n">
        <x:f>C32-B32</x:f>
        <x:v>-16</x:v>
      </x:c>
      <x:c r="E32" s="28" t="n">
        <x:v>10.435434777637049</x:v>
      </x:c>
      <x:c r="F32" s="28" t="n">
        <x:f>'统一验算'!F32</x:f>
        <x:v>7.676341136565785</x:v>
      </x:c>
      <x:c r="G32" s="28" t="n">
        <x:v>13.57092693815057</x:v>
      </x:c>
      <x:c r="H32" s="28" t="n">
        <x:f>'统一验算'!H32</x:f>
        <x:v>16.308933012955244</x:v>
      </x:c>
      <x:c r="I32" s="29" t="n">
        <x:f>F32/E32-1</x:f>
        <x:v>-0.2643966159401382</x:v>
      </x:c>
      <x:c r="J32" s="29" t="n">
        <x:f>G32/H32-1</x:f>
        <x:v>-0.16788382616016007</x:v>
      </x:c>
    </x:row>
    <x:row r="33" ht="25" customHeight="1">
      <x:c r="A33" s="24" t="n">
        <x:v>32</x:v>
      </x:c>
      <x:c r="B33" s="24" t="n">
        <x:v>143</x:v>
      </x:c>
      <x:c r="C33" s="24" t="n">
        <x:f>'楼层配置'!D36</x:f>
        <x:v>128</x:v>
      </x:c>
      <x:c r="D33" s="24" t="n">
        <x:f>C33-B33</x:f>
        <x:v>-15</x:v>
      </x:c>
      <x:c r="E33" s="28" t="n">
        <x:v>11.271098468707768</x:v>
      </x:c>
      <x:c r="F33" s="28" t="n">
        <x:f>'统一验算'!F33</x:f>
        <x:v>8.478456783371946</x:v>
      </x:c>
      <x:c r="G33" s="28" t="n">
        <x:v>14.095414609407975</x:v>
      </x:c>
      <x:c r="H33" s="28" t="n">
        <x:f>'统一验算'!H33</x:f>
        <x:v>16.693967134620724</x:v>
      </x:c>
      <x:c r="I33" s="29" t="n">
        <x:f>F33/E33-1</x:f>
        <x:v>-0.24777014353029592</x:v>
      </x:c>
      <x:c r="J33" s="29" t="n">
        <x:f>G33/H33-1</x:f>
        <x:v>-0.15565817904503665</x:v>
      </x:c>
    </x:row>
    <x:row r="34" ht="25" customHeight="1">
      <x:c r="A34" s="24" t="n">
        <x:v>33</x:v>
      </x:c>
      <x:c r="B34" s="24" t="n">
        <x:v>146</x:v>
      </x:c>
      <x:c r="C34" s="24" t="n">
        <x:f>'楼层配置'!D37</x:f>
        <x:v>132</x:v>
      </x:c>
      <x:c r="D34" s="24" t="n">
        <x:f>C34-B34</x:f>
        <x:v>-14</x:v>
      </x:c>
      <x:c r="E34" s="28" t="n">
        <x:v>10.658505219357238</x:v>
      </x:c>
      <x:c r="F34" s="28" t="n">
        <x:f>'统一验算'!F34</x:f>
        <x:v>8.209683206164588</x:v>
      </x:c>
      <x:c r="G34" s="28" t="n">
        <x:v>13.814753853229556</x:v>
      </x:c>
      <x:c r="H34" s="28" t="n">
        <x:f>'统一验算'!H34</x:f>
        <x:v>16.133521913177876</x:v>
      </x:c>
      <x:c r="I34" s="29" t="n">
        <x:f>F34/E34-1</x:f>
        <x:v>-0.22975285584560856</x:v>
      </x:c>
      <x:c r="J34" s="29" t="n">
        <x:f>G34/H34-1</x:f>
        <x:v>-0.14372361301064396</x:v>
      </x:c>
    </x:row>
    <x:row r="35" ht="25" customHeight="1">
      <x:c r="A35" s="24" t="n">
        <x:v>34</x:v>
      </x:c>
      <x:c r="B35" s="24" t="n">
        <x:v>149</x:v>
      </x:c>
      <x:c r="C35" s="24" t="n">
        <x:f>'楼层配置'!D38</x:f>
        <x:v>136</x:v>
      </x:c>
      <x:c r="D35" s="24" t="n">
        <x:f>C35-B35</x:f>
        <x:v>-13</x:v>
      </x:c>
      <x:c r="E35" s="28" t="n">
        <x:v>10.921558268343382</x:v>
      </x:c>
      <x:c r="F35" s="28" t="n">
        <x:f>'统一验算'!F35</x:f>
        <x:v>8.59932848628802</x:v>
      </x:c>
      <x:c r="G35" s="28" t="n">
        <x:v>13.770998972948231</x:v>
      </x:c>
      <x:c r="H35" s="28" t="n">
        <x:f>'统一验算'!H35</x:f>
        <x:v>15.868628777414406</x:v>
      </x:c>
      <x:c r="I35" s="29" t="n">
        <x:f>F35/E35-1</x:f>
        <x:v>-0.21262806323035865</x:v>
      </x:c>
      <x:c r="J35" s="29" t="n">
        <x:f>G35/H35-1</x:f>
        <x:v>-0.13218721251149956</x:v>
      </x:c>
    </x:row>
    <x:row r="36" ht="25" customHeight="1">
      <x:c r="A36" s="24" t="n">
        <x:v>35</x:v>
      </x:c>
      <x:c r="B36" s="24" t="n">
        <x:v>152</x:v>
      </x:c>
      <x:c r="C36" s="24" t="n">
        <x:f>'楼层配置'!D39</x:f>
        <x:v>140</x:v>
      </x:c>
      <x:c r="D36" s="24" t="n">
        <x:f>C36-B36</x:f>
        <x:v>-12</x:v>
      </x:c>
      <x:c r="E36" s="28" t="n">
        <x:v>11.422400055425157</x:v>
      </x:c>
      <x:c r="F36" s="28" t="n">
        <x:f>'统一验算'!F36</x:f>
        <x:v>9.18060034514453</x:v>
      </x:c>
      <x:c r="G36" s="28" t="n">
        <x:v>14.62320997327879</x:v>
      </x:c>
      <x:c r="H36" s="28" t="n">
        <x:f>'统一验算'!H36</x:f>
        <x:v>16.632493648681287</x:v>
      </x:c>
      <x:c r="I36" s="29" t="n">
        <x:f>F36/E36-1</x:f>
        <x:v>-0.19626345596395633</x:v>
      </x:c>
      <x:c r="J36" s="29" t="n">
        <x:f>G36/H36-1</x:f>
        <x:v>-0.1208047162285737</x:v>
      </x:c>
    </x:row>
    <x:row r="37" ht="25" customHeight="1">
      <x:c r="A37" s="24" t="n">
        <x:v>36</x:v>
      </x:c>
      <x:c r="B37" s="24" t="n">
        <x:v>155</x:v>
      </x:c>
      <x:c r="C37" s="24" t="n">
        <x:f>'楼层配置'!D40</x:f>
        <x:v>144</x:v>
      </x:c>
      <x:c r="D37" s="24" t="n">
        <x:f>C37-B37</x:f>
        <x:v>-11</x:v>
      </x:c>
      <x:c r="E37" s="28" t="n">
        <x:v>11.065837442103579</x:v>
      </x:c>
      <x:c r="F37" s="28" t="n">
        <x:f>'统一验算'!F37</x:f>
        <x:v>9.087111994182594</x:v>
      </x:c>
      <x:c r="G37" s="28" t="n">
        <x:v>14.035494102291738</x:v>
      </x:c>
      <x:c r="H37" s="28" t="n">
        <x:f>'统一验算'!H37</x:f>
        <x:v>15.764079006142078</x:v>
      </x:c>
      <x:c r="I37" s="29" t="n">
        <x:f>F37/E37-1</x:f>
        <x:v>-0.17881389079440835</x:v>
      </x:c>
      <x:c r="J37" s="29" t="n">
        <x:f>G37/H37-1</x:f>
        <x:v>-0.1096534027250714</x:v>
      </x:c>
    </x:row>
    <x:row r="38" ht="25" customHeight="1">
      <x:c r="A38" s="24" t="n">
        <x:v>37</x:v>
      </x:c>
      <x:c r="B38" s="24" t="n">
        <x:v>158</x:v>
      </x:c>
      <x:c r="C38" s="24" t="n">
        <x:f>'楼层配置'!D41</x:f>
        <x:v>148</x:v>
      </x:c>
      <x:c r="D38" s="24" t="n">
        <x:f>C38-B38</x:f>
        <x:v>-10</x:v>
      </x:c>
      <x:c r="E38" s="28" t="n">
        <x:v>12.062165865548659</x:v>
      </x:c>
      <x:c r="F38" s="28" t="n">
        <x:f>'统一验算'!F38</x:f>
        <x:v>10.092899735334518</x:v>
      </x:c>
      <x:c r="G38" s="28" t="n">
        <x:v>15.073708359540857</x:v>
      </x:c>
      <x:c r="H38" s="28" t="n">
        <x:f>'统一验算'!H38</x:f>
        <x:v>16.72640112508256</x:v>
      </x:c>
      <x:c r="I38" s="29" t="n">
        <x:f>F38/E38-1</x:f>
        <x:v>-0.16325974556846856</x:v>
      </x:c>
      <x:c r="J38" s="29" t="n">
        <x:f>G38/H38-1</x:f>
        <x:v>-0.09880743342112963</x:v>
      </x:c>
    </x:row>
    <x:row r="39" ht="25" customHeight="1">
      <x:c r="A39" s="24" t="n">
        <x:v>38</x:v>
      </x:c>
      <x:c r="B39" s="24" t="n">
        <x:v>161</x:v>
      </x:c>
      <x:c r="C39" s="24" t="n">
        <x:f>'楼层配置'!D42</x:f>
        <x:v>152</x:v>
      </x:c>
      <x:c r="D39" s="24" t="n">
        <x:f>C39-B39</x:f>
        <x:v>-9</x:v>
      </x:c>
      <x:c r="E39" s="28" t="n">
        <x:v>10.135864339609936</x:v>
      </x:c>
      <x:c r="F39" s="28" t="n">
        <x:f>'统一验算'!F39</x:f>
        <x:v>8.667328780947566</x:v>
      </x:c>
      <x:c r="G39" s="28" t="n">
        <x:v>14.090312879440882</x:v>
      </x:c>
      <x:c r="H39" s="28" t="n">
        <x:f>'统一验算'!H39</x:f>
        <x:v>15.452956829051823</x:v>
      </x:c>
      <x:c r="I39" s="29" t="n">
        <x:f>F39/E39-1</x:f>
        <x:v>-0.14488508423731383</x:v>
      </x:c>
      <x:c r="J39" s="29" t="n">
        <x:f>G39/H39-1</x:f>
        <x:v>-0.08818014343048886</x:v>
      </x:c>
    </x:row>
    <x:row r="40" ht="25" customHeight="1">
      <x:c r="A40" s="24" t="n">
        <x:v>39</x:v>
      </x:c>
      <x:c r="B40" s="24" t="n">
        <x:v>164</x:v>
      </x:c>
      <x:c r="C40" s="24" t="n">
        <x:f>'楼层配置'!D43</x:f>
        <x:v>156</x:v>
      </x:c>
      <x:c r="D40" s="24" t="n">
        <x:f>C40-B40</x:f>
        <x:v>-8</x:v>
      </x:c>
      <x:c r="E40" s="28" t="n">
        <x:v>10.64616723369715</x:v>
      </x:c>
      <x:c r="F40" s="28" t="n">
        <x:f>'统一验算'!F40</x:f>
        <x:v>9.272007889530965</x:v>
      </x:c>
      <x:c r="G40" s="28" t="n">
        <x:v>14.432441276549742</x:v>
      </x:c>
      <x:c r="H40" s="28" t="n">
        <x:f>'统一验算'!H40</x:f>
        <x:v>15.647762808672235</x:v>
      </x:c>
      <x:c r="I40" s="29" t="n">
        <x:f>F40/E40-1</x:f>
        <x:v>-0.1290754986279672</x:v>
      </x:c>
      <x:c r="J40" s="29" t="n">
        <x:f>G40/H40-1</x:f>
        <x:v>-0.07766743060860704</x:v>
      </x:c>
    </x:row>
    <x:row r="41" ht="25" customHeight="1">
      <x:c r="A41" s="24" t="n">
        <x:v>40</x:v>
      </x:c>
      <x:c r="B41" s="24" t="n">
        <x:v>167</x:v>
      </x:c>
      <x:c r="C41" s="24" t="n">
        <x:f>'楼层配置'!D44</x:f>
        <x:v>160</x:v>
      </x:c>
      <x:c r="D41" s="24" t="n">
        <x:f>C41-B41</x:f>
        <x:v>-7</x:v>
      </x:c>
      <x:c r="E41" s="28" t="n">
        <x:v>11.073045805117681</x:v>
      </x:c>
      <x:c r="F41" s="28" t="n">
        <x:f>'统一验算'!F41</x:f>
        <x:v>9.824040181645238</x:v>
      </x:c>
      <x:c r="G41" s="28" t="n">
        <x:v>15.761352893762316</x:v>
      </x:c>
      <x:c r="H41" s="28" t="n">
        <x:f>'统一验算'!H41</x:f>
        <x:v>16.900465250966104</x:v>
      </x:c>
      <x:c r="I41" s="29" t="n">
        <x:f>F41/E41-1</x:f>
        <x:v>-0.11279693459727091</x:v>
      </x:c>
      <x:c r="J41" s="29" t="n">
        <x:f>G41/H41-1</x:f>
        <x:v>-0.06740124252725355</x:v>
      </x:c>
    </x:row>
    <x:row r="42" ht="25" customHeight="1">
      <x:c r="A42" s="24" t="n">
        <x:v>41</x:v>
      </x:c>
      <x:c r="B42" s="24" t="n">
        <x:v>170</x:v>
      </x:c>
      <x:c r="C42" s="24" t="n">
        <x:f>'楼层配置'!D45</x:f>
        <x:v>164</x:v>
      </x:c>
      <x:c r="D42" s="24" t="n">
        <x:f>C42-B42</x:f>
        <x:v>-6</x:v>
      </x:c>
      <x:c r="E42" s="28" t="n">
        <x:v>11.530243808811017</x:v>
      </x:c>
      <x:c r="F42" s="28" t="n">
        <x:f>'统一验算'!F42</x:f>
        <x:v>10.413586442441815</x:v>
      </x:c>
      <x:c r="G42" s="28" t="n">
        <x:v>16.12181721886789</x:v>
      </x:c>
      <x:c r="H42" s="28" t="n">
        <x:f>'统一验算'!H42</x:f>
        <x:v>17.10239286366486</x:v>
      </x:c>
      <x:c r="I42" s="29" t="n">
        <x:f>F42/E42-1</x:f>
        <x:v>-0.09684594574798933</x:v>
      </x:c>
      <x:c r="J42" s="29" t="n">
        <x:f>G42/H42-1</x:f>
        <x:v>-0.05733558178752096</x:v>
      </x:c>
    </x:row>
    <x:row r="43" ht="25" customHeight="1">
      <x:c r="A43" s="24" t="n">
        <x:v>42</x:v>
      </x:c>
      <x:c r="B43" s="24" t="n">
        <x:v>173</x:v>
      </x:c>
      <x:c r="C43" s="24" t="n">
        <x:f>'楼层配置'!D46</x:f>
        <x:v>167</x:v>
      </x:c>
      <x:c r="D43" s="24" t="n">
        <x:f>C43-B43</x:f>
        <x:v>-6</x:v>
      </x:c>
      <x:c r="E43" s="28" t="n">
        <x:v>10.71639215894056</x:v>
      </x:c>
      <x:c r="F43" s="28" t="n">
        <x:f>'统一验算'!F43</x:f>
        <x:v>9.69261373819195</x:v>
      </x:c>
      <x:c r="G43" s="28" t="n">
        <x:v>16.393276771928054</x:v>
      </x:c>
      <x:c r="H43" s="28" t="n">
        <x:f>'统一验算'!H43</x:f>
        <x:v>17.37862011080891</x:v>
      </x:c>
      <x:c r="I43" s="29" t="n">
        <x:f>F43/E43-1</x:f>
        <x:v>-0.09553387050085538</x:v>
      </x:c>
      <x:c r="J43" s="29" t="n">
        <x:f>G43/H43-1</x:f>
        <x:v>-0.056698594744470365</x:v>
      </x:c>
    </x:row>
    <x:row r="44" ht="25" customHeight="1">
      <x:c r="A44" s="24" t="n">
        <x:v>43</x:v>
      </x:c>
      <x:c r="B44" s="24" t="n">
        <x:v>176</x:v>
      </x:c>
      <x:c r="C44" s="24" t="n">
        <x:f>'楼层配置'!D47</x:f>
        <x:v>171</x:v>
      </x:c>
      <x:c r="D44" s="24" t="n">
        <x:f>C44-B44</x:f>
        <x:v>-5</x:v>
      </x:c>
      <x:c r="E44" s="28" t="n">
        <x:v>11.449841054480483</x:v>
      </x:c>
      <x:c r="F44" s="28" t="n">
        <x:f>'统一验算'!F44</x:f>
        <x:v>10.536951107740835</x:v>
      </x:c>
      <x:c r="G44" s="28" t="n">
        <x:v>16.455502911194735</x:v>
      </x:c>
      <x:c r="H44" s="28" t="n">
        <x:f>'统一验算'!H44</x:f>
        <x:v>17.26639452895736</x:v>
      </x:c>
      <x:c r="I44" s="29" t="n">
        <x:f>F44/E44-1</x:f>
        <x:v>-0.07972948640910793</x:v>
      </x:c>
      <x:c r="J44" s="29" t="n">
        <x:f>G44/H44-1</x:f>
        <x:v>-0.046963575192416895</x:v>
      </x:c>
    </x:row>
    <x:row r="45" ht="25" customHeight="1">
      <x:c r="A45" s="24" t="n">
        <x:v>44</x:v>
      </x:c>
      <x:c r="B45" s="24" t="n">
        <x:v>179</x:v>
      </x:c>
      <x:c r="C45" s="24" t="n">
        <x:f>'楼层配置'!D48</x:f>
        <x:v>174</x:v>
      </x:c>
      <x:c r="D45" s="24" t="n">
        <x:f>C45-B45</x:f>
        <x:v>-5</x:v>
      </x:c>
      <x:c r="E45" s="28" t="n">
        <x:v>11.459661641106328</x:v>
      </x:c>
      <x:c r="F45" s="28" t="n">
        <x:f>'统一验算'!F45</x:f>
        <x:v>10.55407763494389</x:v>
      </x:c>
      <x:c r="G45" s="28" t="n">
        <x:v>16.5879699439707</x:v>
      </x:c>
      <x:c r="H45" s="28" t="n">
        <x:f>'统一验算'!H45</x:f>
        <x:v>17.394759744270242</x:v>
      </x:c>
      <x:c r="I45" s="29" t="n">
        <x:f>F45/E45-1</x:f>
        <x:v>-0.07902362517529016</x:v>
      </x:c>
      <x:c r="J45" s="29" t="n">
        <x:f>G45/H45-1</x:f>
        <x:v>-0.046381198255140976</x:v>
      </x:c>
    </x:row>
    <x:row r="46" ht="25" customHeight="1">
      <x:c r="A46" s="24" t="n">
        <x:v>45</x:v>
      </x:c>
      <x:c r="B46" s="24" t="n">
        <x:v>182</x:v>
      </x:c>
      <x:c r="C46" s="24" t="n">
        <x:f>'楼层配置'!D49</x:f>
        <x:v>178</x:v>
      </x:c>
      <x:c r="D46" s="24" t="n">
        <x:f>C46-B46</x:f>
        <x:v>-4</x:v>
      </x:c>
      <x:c r="E46" s="28" t="n">
        <x:v>10.229748520216527</x:v>
      </x:c>
      <x:c r="F46" s="28" t="n">
        <x:f>'统一验算'!F46</x:f>
        <x:v>9.589387038136104</x:v>
      </x:c>
      <x:c r="G46" s="28" t="n">
        <x:v>15.990919050011373</x:v>
      </x:c>
      <x:c r="H46" s="28" t="n">
        <x:f>'统一验算'!H46</x:f>
        <x:v>16.60298844651123</x:v>
      </x:c>
      <x:c r="I46" s="29" t="n">
        <x:f>F46/E46-1</x:f>
        <x:v>-0.06259796913041493</x:v>
      </x:c>
      <x:c r="J46" s="29" t="n">
        <x:f>G46/H46-1</x:f>
        <x:v>-0.03686501369748707</x:v>
      </x:c>
    </x:row>
    <x:row r="47" ht="25" customHeight="1">
      <x:c r="A47" s="24" t="n">
        <x:v>46</x:v>
      </x:c>
      <x:c r="B47" s="24" t="n">
        <x:v>184</x:v>
      </x:c>
      <x:c r="C47" s="24" t="n">
        <x:f>'楼层配置'!D50</x:f>
        <x:v>182</x:v>
      </x:c>
      <x:c r="D47" s="24" t="n">
        <x:f>C47-B47</x:f>
        <x:v>-2</x:v>
      </x:c>
      <x:c r="E47" s="28" t="n">
        <x:v>11.16475826837113</x:v>
      </x:c>
      <x:c r="F47" s="28" t="n">
        <x:f>'统一验算'!F47</x:f>
        <x:v>10.81118354852665</x:v>
      </x:c>
      <x:c r="G47" s="28" t="n">
        <x:v>17.653659327655436</x:v>
      </x:c>
      <x:c r="H47" s="28" t="n">
        <x:f>'统一验算'!H47</x:f>
        <x:v>17.98469854397061</x:v>
      </x:c>
      <x:c r="I47" s="29" t="n">
        <x:f>F47/E47-1</x:f>
        <x:v>-0.031668819991036434</x:v>
      </x:c>
      <x:c r="J47" s="29" t="n">
        <x:f>G47/H47-1</x:f>
        <x:v>-0.018406714769548027</x:v>
      </x:c>
    </x:row>
    <x:row r="48" ht="25" customHeight="1">
      <x:c r="A48" s="24" t="n">
        <x:v>47</x:v>
      </x:c>
      <x:c r="B48" s="24" t="n">
        <x:v>187</x:v>
      </x:c>
      <x:c r="C48" s="24" t="n">
        <x:f>'楼层配置'!D51</x:f>
        <x:v>185</x:v>
      </x:c>
      <x:c r="D48" s="24" t="n">
        <x:f>C48-B48</x:f>
        <x:v>-2</x:v>
      </x:c>
      <x:c r="E48" s="28" t="n">
        <x:v>9.932626620077812</x:v>
      </x:c>
      <x:c r="F48" s="28" t="n">
        <x:f>'统一验算'!F48</x:f>
        <x:v>9.622545759856882</x:v>
      </x:c>
      <x:c r="G48" s="28" t="n">
        <x:v>16.486558228533312</x:v>
      </x:c>
      <x:c r="H48" s="28" t="n">
        <x:f>'统一验算'!H48</x:f>
        <x:v>16.793266313014218</x:v>
      </x:c>
      <x:c r="I48" s="29" t="n">
        <x:f>F48/E48-1</x:f>
        <x:v>-0.031218415035770386</x:v>
      </x:c>
      <x:c r="J48" s="29" t="n">
        <x:f>G48/H48-1</x:f>
        <x:v>-0.018263753981154762</x:v>
      </x:c>
    </x:row>
    <x:row r="49" ht="25" customHeight="1">
      <x:c r="A49" s="24" t="n">
        <x:v>48</x:v>
      </x:c>
      <x:c r="B49" s="24" t="n">
        <x:v>190</x:v>
      </x:c>
      <x:c r="C49" s="24" t="n">
        <x:f>'楼层配置'!D52</x:f>
        <x:v>189</x:v>
      </x:c>
      <x:c r="D49" s="24" t="n">
        <x:f>C49-B49</x:f>
        <x:v>-1</x:v>
      </x:c>
      <x:c r="E49" s="28" t="n">
        <x:v>10.684695319753848</x:v>
      </x:c>
      <x:c r="F49" s="28" t="n">
        <x:f>'统一验算'!F49</x:f>
        <x:v>10.5177789955762</x:v>
      </x:c>
      <x:c r="G49" s="28" t="n">
        <x:v>17.045074213785753</x:v>
      </x:c>
      <x:c r="H49" s="28" t="n">
        <x:f>'统一验算'!H49</x:f>
        <x:v>17.20040962547816</x:v>
      </x:c>
      <x:c r="I49" s="29" t="n">
        <x:f>F49/E49-1</x:f>
        <x:v>-0.015622001300219845</x:v>
      </x:c>
      <x:c r="J49" s="29" t="n">
        <x:f>G49/H49-1</x:f>
        <x:v>-0.009030913511636096</x:v>
      </x:c>
    </x:row>
    <x:row r="50" ht="25" customHeight="1">
      <x:c r="A50" s="24" t="n">
        <x:v>49</x:v>
      </x:c>
      <x:c r="B50" s="24" t="n">
        <x:v>193</x:v>
      </x:c>
      <x:c r="C50" s="24" t="n">
        <x:f>'楼层配置'!D53</x:f>
        <x:v>192</x:v>
      </x:c>
      <x:c r="D50" s="24" t="n">
        <x:f>C50-B50</x:f>
        <x:v>-1</x:v>
      </x:c>
      <x:c r="E50" s="28" t="n">
        <x:v>12.05279087357514</x:v>
      </x:c>
      <x:c r="F50" s="28" t="n">
        <x:f>'统一验算'!F50</x:f>
        <x:v>11.864444598878674</x:v>
      </x:c>
      <x:c r="G50" s="28" t="n">
        <x:v>17.170225855060643</x:v>
      </x:c>
      <x:c r="H50" s="28" t="n">
        <x:f>'统一验算'!H50</x:f>
        <x:v>17.3251421342478</x:v>
      </x:c>
      <x:c r="I50" s="29" t="n">
        <x:f>F50/E50-1</x:f>
        <x:v>-0.015626776957476385</x:v>
      </x:c>
      <x:c r="J50" s="29" t="n">
        <x:f>G50/H50-1</x:f>
        <x:v>-0.008941703218752872</x:v>
      </x:c>
    </x:row>
    <x:row r="51" ht="25" customHeight="1">
      <x:c r="A51" s="24" t="n">
        <x:v>50</x:v>
      </x:c>
      <x:c r="B51" s="24" t="n">
        <x:v>196</x:v>
      </x:c>
      <x:c r="C51" s="24" t="n">
        <x:f>'楼层配置'!D54</x:f>
        <x:v>196</x:v>
      </x:c>
      <x:c r="D51" s="24" t="n">
        <x:f>C51-B51</x:f>
        <x:v>0</x:v>
      </x:c>
      <x:c r="E51" s="28" t="n">
        <x:v>10.809863748262254</x:v>
      </x:c>
      <x:c r="F51" s="28" t="n">
        <x:f>'统一验算'!F51</x:f>
        <x:v>10.809863748262254</x:v>
      </x:c>
      <x:c r="G51" s="28" t="n">
        <x:v>17.12045487840852</x:v>
      </x:c>
      <x:c r="H51" s="28" t="n">
        <x:f>'统一验算'!H51</x:f>
        <x:v>17.12045487840852</x:v>
      </x:c>
      <x:c r="I51" s="29" t="n">
        <x:f>F51/E51-1</x:f>
        <x:v>0</x:v>
      </x:c>
      <x:c r="J51" s="29" t="n">
        <x:f>G51/H51-1</x:f>
        <x:v>0</x:v>
      </x:c>
    </x:row>
    <x:row r="52" ht="25" customHeight="1">
      <x:c r="A52" s="24" t="n">
        <x:v>51</x:v>
      </x:c>
      <x:c r="B52" s="24" t="n">
        <x:v>198</x:v>
      </x:c>
      <x:c r="C52" s="24" t="n">
        <x:f>'楼层配置'!D55</x:f>
        <x:v>198</x:v>
      </x:c>
      <x:c r="D52" s="24" t="n">
        <x:f>C52-B52</x:f>
        <x:v>0</x:v>
      </x:c>
      <x:c r="E52" s="28" t="n">
        <x:v>9.601708731533092</x:v>
      </x:c>
      <x:c r="F52" s="28" t="n">
        <x:f>'统一验算'!F52</x:f>
        <x:v>9.601708731533092</x:v>
      </x:c>
      <x:c r="G52" s="28" t="n">
        <x:v>15.924165910052213</x:v>
      </x:c>
      <x:c r="H52" s="28" t="n">
        <x:f>'统一验算'!H52</x:f>
        <x:v>15.924165910052213</x:v>
      </x:c>
      <x:c r="I52" s="29" t="n">
        <x:f>F52/E52-1</x:f>
        <x:v>0</x:v>
      </x:c>
      <x:c r="J52" s="29" t="n">
        <x:f>G52/H52-1</x:f>
        <x:v>0</x:v>
      </x:c>
    </x:row>
    <x:row r="53" ht="25" customHeight="1">
      <x:c r="A53" s="24" t="n">
        <x:v>52</x:v>
      </x:c>
      <x:c r="B53" s="24" t="n">
        <x:v>201</x:v>
      </x:c>
      <x:c r="C53" s="24" t="n">
        <x:f>'楼层配置'!D56</x:f>
        <x:v>201</x:v>
      </x:c>
      <x:c r="D53" s="24" t="n">
        <x:f>C53-B53</x:f>
        <x:v>0</x:v>
      </x:c>
      <x:c r="E53" s="28" t="n">
        <x:v>10.159447661179238</x:v>
      </x:c>
      <x:c r="F53" s="28" t="n">
        <x:f>'统一验算'!F53</x:f>
        <x:v>10.159447661179238</x:v>
      </x:c>
      <x:c r="G53" s="28" t="n">
        <x:v>16.644142842204285</x:v>
      </x:c>
      <x:c r="H53" s="28" t="n">
        <x:f>'统一验算'!H53</x:f>
        <x:v>16.644142842204285</x:v>
      </x:c>
      <x:c r="I53" s="29" t="n">
        <x:f>F53/E53-1</x:f>
        <x:v>0</x:v>
      </x:c>
      <x:c r="J53" s="29" t="n">
        <x:f>G53/H53-1</x:f>
        <x:v>0</x:v>
      </x:c>
    </x:row>
    <x:row r="54" ht="25" customHeight="1">
      <x:c r="A54" s="24" t="n">
        <x:v>53</x:v>
      </x:c>
      <x:c r="B54" s="24" t="n">
        <x:v>203</x:v>
      </x:c>
      <x:c r="C54" s="24" t="n">
        <x:f>'楼层配置'!D57</x:f>
        <x:v>203</x:v>
      </x:c>
      <x:c r="D54" s="24" t="n">
        <x:f>C54-B54</x:f>
        <x:v>0</x:v>
      </x:c>
      <x:c r="E54" s="28" t="n">
        <x:v>10.081770574453936</x:v>
      </x:c>
      <x:c r="F54" s="28" t="n">
        <x:f>'统一验算'!F54</x:f>
        <x:v>10.081770574453936</x:v>
      </x:c>
      <x:c r="G54" s="28" t="n">
        <x:v>16.788995216902794</x:v>
      </x:c>
      <x:c r="H54" s="28" t="n">
        <x:f>'统一验算'!H54</x:f>
        <x:v>16.788995216902794</x:v>
      </x:c>
      <x:c r="I54" s="29" t="n">
        <x:f>F54/E54-1</x:f>
        <x:v>0</x:v>
      </x:c>
      <x:c r="J54" s="29" t="n">
        <x:f>G54/H54-1</x:f>
        <x:v>0</x:v>
      </x:c>
    </x:row>
    <x:row r="55" ht="25" customHeight="1">
      <x:c r="A55" s="24" t="n">
        <x:v>54</x:v>
      </x:c>
      <x:c r="B55" s="24" t="n">
        <x:v>205</x:v>
      </x:c>
      <x:c r="C55" s="24" t="n">
        <x:f>'楼层配置'!D58</x:f>
        <x:v>205</x:v>
      </x:c>
      <x:c r="D55" s="24" t="n">
        <x:f>C55-B55</x:f>
        <x:v>0</x:v>
      </x:c>
      <x:c r="E55" s="28" t="n">
        <x:v>10.14171246817569</x:v>
      </x:c>
      <x:c r="F55" s="28" t="n">
        <x:f>'统一验算'!F55</x:f>
        <x:v>10.14171246817569</x:v>
      </x:c>
      <x:c r="G55" s="28" t="n">
        <x:v>16.774821125034496</x:v>
      </x:c>
      <x:c r="H55" s="28" t="n">
        <x:f>'统一验算'!H55</x:f>
        <x:v>16.774821125034496</x:v>
      </x:c>
      <x:c r="I55" s="29" t="n">
        <x:f>F55/E55-1</x:f>
        <x:v>0</x:v>
      </x:c>
      <x:c r="J55" s="29" t="n">
        <x:f>G55/H55-1</x:f>
        <x:v>0</x:v>
      </x:c>
    </x:row>
    <x:row r="56" ht="25" customHeight="1">
      <x:c r="A56" s="24" t="n">
        <x:v>55</x:v>
      </x:c>
      <x:c r="B56" s="24" t="n">
        <x:v>208</x:v>
      </x:c>
      <x:c r="C56" s="24" t="n">
        <x:f>'楼层配置'!D59</x:f>
        <x:v>208</x:v>
      </x:c>
      <x:c r="D56" s="24" t="n">
        <x:f>C56-B56</x:f>
        <x:v>0</x:v>
      </x:c>
      <x:c r="E56" s="28" t="n">
        <x:v>10.897659494719859</x:v>
      </x:c>
      <x:c r="F56" s="28" t="n">
        <x:f>'统一验算'!F56</x:f>
        <x:v>10.897659494719859</x:v>
      </x:c>
      <x:c r="G56" s="28" t="n">
        <x:v>17.35347757229804</x:v>
      </x:c>
      <x:c r="H56" s="28" t="n">
        <x:f>'统一验算'!H56</x:f>
        <x:v>17.35347757229804</x:v>
      </x:c>
      <x:c r="I56" s="29" t="n">
        <x:f>F56/E56-1</x:f>
        <x:v>0</x:v>
      </x:c>
      <x:c r="J56" s="29" t="n">
        <x:f>G56/H56-1</x:f>
        <x:v>0</x:v>
      </x:c>
    </x:row>
    <x:row r="57" ht="25" customHeight="1">
      <x:c r="A57" s="24" t="n">
        <x:v>56</x:v>
      </x:c>
      <x:c r="B57" s="24" t="n">
        <x:v>210</x:v>
      </x:c>
      <x:c r="C57" s="24" t="n">
        <x:f>'楼层配置'!D60</x:f>
        <x:v>210</x:v>
      </x:c>
      <x:c r="D57" s="24" t="n">
        <x:f>C57-B57</x:f>
        <x:v>0</x:v>
      </x:c>
      <x:c r="E57" s="28" t="n">
        <x:v>10.122809173356337</x:v>
      </x:c>
      <x:c r="F57" s="28" t="n">
        <x:f>'统一验算'!F57</x:f>
        <x:v>10.122809173356337</x:v>
      </x:c>
      <x:c r="G57" s="28" t="n">
        <x:v>16.90899426521893</x:v>
      </x:c>
      <x:c r="H57" s="28" t="n">
        <x:f>'统一验算'!H57</x:f>
        <x:v>16.90899426521893</x:v>
      </x:c>
      <x:c r="I57" s="29" t="n">
        <x:f>F57/E57-1</x:f>
        <x:v>0</x:v>
      </x:c>
      <x:c r="J57" s="29" t="n">
        <x:f>G57/H57-1</x:f>
        <x:v>0</x:v>
      </x:c>
    </x:row>
    <x:row r="58" ht="25" customHeight="1">
      <x:c r="A58" s="24" t="n">
        <x:v>57</x:v>
      </x:c>
      <x:c r="B58" s="24" t="n">
        <x:v>212</x:v>
      </x:c>
      <x:c r="C58" s="24" t="n">
        <x:f>'楼层配置'!D61</x:f>
        <x:v>212</x:v>
      </x:c>
      <x:c r="D58" s="24" t="n">
        <x:f>C58-B58</x:f>
        <x:v>0</x:v>
      </x:c>
      <x:c r="E58" s="28" t="n">
        <x:v>9.586215989197644</x:v>
      </x:c>
      <x:c r="F58" s="28" t="n">
        <x:f>'统一验算'!F58</x:f>
        <x:v>9.586215989197644</x:v>
      </x:c>
      <x:c r="G58" s="28" t="n">
        <x:v>16.25840702802353</x:v>
      </x:c>
      <x:c r="H58" s="28" t="n">
        <x:f>'统一验算'!H58</x:f>
        <x:v>16.25840702802353</x:v>
      </x:c>
      <x:c r="I58" s="29" t="n">
        <x:f>F58/E58-1</x:f>
        <x:v>0</x:v>
      </x:c>
      <x:c r="J58" s="29" t="n">
        <x:f>G58/H58-1</x:f>
        <x:v>0</x:v>
      </x:c>
    </x:row>
    <x:row r="59" ht="25" customHeight="1">
      <x:c r="A59" s="24" t="n">
        <x:v>58</x:v>
      </x:c>
      <x:c r="B59" s="24" t="n">
        <x:v>214</x:v>
      </x:c>
      <x:c r="C59" s="24" t="n">
        <x:f>'楼层配置'!D62</x:f>
        <x:v>214</x:v>
      </x:c>
      <x:c r="D59" s="24" t="n">
        <x:f>C59-B59</x:f>
        <x:v>0</x:v>
      </x:c>
      <x:c r="E59" s="28" t="n">
        <x:v>9.602097357338689</x:v>
      </x:c>
      <x:c r="F59" s="28" t="n">
        <x:f>'统一验算'!F59</x:f>
        <x:v>9.602097357338689</x:v>
      </x:c>
      <x:c r="G59" s="28" t="n">
        <x:v>16.290902416879184</x:v>
      </x:c>
      <x:c r="H59" s="28" t="n">
        <x:f>'统一验算'!H59</x:f>
        <x:v>16.290902416879184</x:v>
      </x:c>
      <x:c r="I59" s="29" t="n">
        <x:f>F59/E59-1</x:f>
        <x:v>0</x:v>
      </x:c>
      <x:c r="J59" s="29" t="n">
        <x:f>G59/H59-1</x:f>
        <x:v>0</x:v>
      </x:c>
    </x:row>
    <x:row r="60" ht="25" customHeight="1">
      <x:c r="A60" s="24" t="n">
        <x:v>59</x:v>
      </x:c>
      <x:c r="B60" s="24" t="n">
        <x:v>217</x:v>
      </x:c>
      <x:c r="C60" s="24" t="n">
        <x:f>'楼层配置'!D63</x:f>
        <x:v>217</x:v>
      </x:c>
      <x:c r="D60" s="24" t="n">
        <x:f>C60-B60</x:f>
        <x:v>0</x:v>
      </x:c>
      <x:c r="E60" s="28" t="n">
        <x:v>10.267199666042076</x:v>
      </x:c>
      <x:c r="F60" s="28" t="n">
        <x:f>'统一验算'!F60</x:f>
        <x:v>10.267199666042076</x:v>
      </x:c>
      <x:c r="G60" s="28" t="n">
        <x:v>16.902635008347634</x:v>
      </x:c>
      <x:c r="H60" s="28" t="n">
        <x:f>'统一验算'!H60</x:f>
        <x:v>16.902635008347634</x:v>
      </x:c>
      <x:c r="I60" s="29" t="n">
        <x:f>F60/E60-1</x:f>
        <x:v>0</x:v>
      </x:c>
      <x:c r="J60" s="29" t="n">
        <x:f>G60/H60-1</x:f>
        <x:v>0</x:v>
      </x:c>
    </x:row>
    <x:row r="61" ht="25" customHeight="1">
      <x:c r="A61" s="24" t="n">
        <x:v>60</x:v>
      </x:c>
      <x:c r="B61" s="24" t="n">
        <x:v>219</x:v>
      </x:c>
      <x:c r="C61" s="24" t="n">
        <x:f>'楼层配置'!D64</x:f>
        <x:v>219</x:v>
      </x:c>
      <x:c r="D61" s="24" t="n">
        <x:f>C61-B61</x:f>
        <x:v>0</x:v>
      </x:c>
      <x:c r="E61" s="28" t="n">
        <x:v>10.915971683081883</x:v>
      </x:c>
      <x:c r="F61" s="28" t="n">
        <x:f>'统一验算'!F61</x:f>
        <x:v>10.915971683081885</x:v>
      </x:c>
      <x:c r="G61" s="28" t="n">
        <x:v>17.57871499442513</x:v>
      </x:c>
      <x:c r="H61" s="28" t="n">
        <x:f>'统一验算'!H61</x:f>
        <x:v>17.57871499442513</x:v>
      </x:c>
      <x:c r="I61" s="29" t="n">
        <x:f>F61/E61-1</x:f>
        <x:v>2.220446049250313e-16</x:v>
      </x:c>
      <x:c r="J61" s="29" t="n">
        <x:f>G61/H61-1</x:f>
        <x:v>0</x:v>
      </x:c>
    </x:row>
    <x:row r="62" ht="25" customHeight="1">
      <x:c r="A62" s="24" t="n">
        <x:v>61</x:v>
      </x:c>
      <x:c r="B62" s="24" t="n">
        <x:v>221</x:v>
      </x:c>
      <x:c r="C62" s="24" t="n">
        <x:f>'楼层配置'!D65</x:f>
        <x:v>221</x:v>
      </x:c>
      <x:c r="D62" s="24" t="n">
        <x:f>C62-B62</x:f>
        <x:v>0</x:v>
      </x:c>
      <x:c r="E62" s="28" t="n">
        <x:v>9.78842984200507</x:v>
      </x:c>
      <x:c r="F62" s="28" t="n">
        <x:f>'统一验算'!F62</x:f>
        <x:v>9.788429842005069</x:v>
      </x:c>
      <x:c r="G62" s="28" t="n">
        <x:v>16.218822335888827</x:v>
      </x:c>
      <x:c r="H62" s="28" t="n">
        <x:f>'统一验算'!H62</x:f>
        <x:v>16.218822335888827</x:v>
      </x:c>
      <x:c r="I62" s="29" t="n">
        <x:f>F62/E62-1</x:f>
        <x:v>-2.220446049250313e-16</x:v>
      </x:c>
      <x:c r="J62" s="29" t="n">
        <x:f>G62/H62-1</x:f>
        <x:v>0</x:v>
      </x:c>
    </x:row>
    <x:row r="63" ht="25" customHeight="1">
      <x:c r="A63" s="24" t="n">
        <x:v>62</x:v>
      </x:c>
      <x:c r="B63" s="24" t="n">
        <x:v>223</x:v>
      </x:c>
      <x:c r="C63" s="24" t="n">
        <x:f>'楼层配置'!D66</x:f>
        <x:v>223</x:v>
      </x:c>
      <x:c r="D63" s="24" t="n">
        <x:f>C63-B63</x:f>
        <x:v>0</x:v>
      </x:c>
      <x:c r="E63" s="28" t="n">
        <x:v>9.714994155714347</x:v>
      </x:c>
      <x:c r="F63" s="28" t="n">
        <x:f>'统一验算'!F63</x:f>
        <x:v>9.714994155714347</x:v>
      </x:c>
      <x:c r="G63" s="28" t="n">
        <x:v>16.326814733240106</x:v>
      </x:c>
      <x:c r="H63" s="28" t="n">
        <x:f>'统一验算'!H63</x:f>
        <x:v>16.326814733240106</x:v>
      </x:c>
      <x:c r="I63" s="29" t="n">
        <x:f>F63/E63-1</x:f>
        <x:v>0</x:v>
      </x:c>
      <x:c r="J63" s="29" t="n">
        <x:f>G63/H63-1</x:f>
        <x:v>0</x:v>
      </x:c>
    </x:row>
    <x:row r="64" ht="25" customHeight="1">
      <x:c r="A64" s="24" t="n">
        <x:v>63</x:v>
      </x:c>
      <x:c r="B64" s="24" t="n">
        <x:v>225</x:v>
      </x:c>
      <x:c r="C64" s="24" t="n">
        <x:f>'楼层配置'!D67</x:f>
        <x:v>225</x:v>
      </x:c>
      <x:c r="D64" s="24" t="n">
        <x:f>C64-B64</x:f>
        <x:v>0</x:v>
      </x:c>
      <x:c r="E64" s="28" t="n">
        <x:v>10.285373651976181</x:v>
      </x:c>
      <x:c r="F64" s="28" t="n">
        <x:f>'统一验算'!F64</x:f>
        <x:v>10.285373651976181</x:v>
      </x:c>
      <x:c r="G64" s="28" t="n">
        <x:v>17.029116757626408</x:v>
      </x:c>
      <x:c r="H64" s="28" t="n">
        <x:f>'统一验算'!H64</x:f>
        <x:v>17.029116757626408</x:v>
      </x:c>
      <x:c r="I64" s="29" t="n">
        <x:f>F64/E64-1</x:f>
        <x:v>0</x:v>
      </x:c>
      <x:c r="J64" s="29" t="n">
        <x:f>G64/H64-1</x:f>
        <x:v>0</x:v>
      </x:c>
    </x:row>
    <x:row r="65" ht="25" customHeight="1">
      <x:c r="A65" s="24" t="n">
        <x:v>64</x:v>
      </x:c>
      <x:c r="B65" s="24" t="n">
        <x:v>227</x:v>
      </x:c>
      <x:c r="C65" s="24" t="n">
        <x:f>'楼层配置'!D68</x:f>
        <x:v>227</x:v>
      </x:c>
      <x:c r="D65" s="24" t="n">
        <x:f>C65-B65</x:f>
        <x:v>0</x:v>
      </x:c>
      <x:c r="E65" s="28" t="n">
        <x:v>9.729791100888935</x:v>
      </x:c>
      <x:c r="F65" s="28" t="n">
        <x:f>'统一验算'!F65</x:f>
        <x:v>9.729791100888935</x:v>
      </x:c>
      <x:c r="G65" s="28" t="n">
        <x:v>16.3773676614582</x:v>
      </x:c>
      <x:c r="H65" s="28" t="n">
        <x:f>'统一验算'!H65</x:f>
        <x:v>16.3773676614582</x:v>
      </x:c>
      <x:c r="I65" s="29" t="n">
        <x:f>F65/E65-1</x:f>
        <x:v>0</x:v>
      </x:c>
      <x:c r="J65" s="29" t="n">
        <x:f>G65/H65-1</x:f>
        <x:v>0</x:v>
      </x:c>
    </x:row>
    <x:row r="66" ht="25" customHeight="1">
      <x:c r="A66" s="24" t="n">
        <x:v>65</x:v>
      </x:c>
      <x:c r="B66" s="24" t="n">
        <x:v>229</x:v>
      </x:c>
      <x:c r="C66" s="24" t="n">
        <x:f>'楼层配置'!D69</x:f>
        <x:v>229</x:v>
      </x:c>
      <x:c r="D66" s="24" t="n">
        <x:f>C66-B66</x:f>
        <x:v>0</x:v>
      </x:c>
      <x:c r="E66" s="28" t="n">
        <x:v>11.036647220868241</x:v>
      </x:c>
      <x:c r="F66" s="28" t="n">
        <x:f>'统一验算'!F66</x:f>
        <x:v>11.036647220868241</x:v>
      </x:c>
      <x:c r="G66" s="28" t="n">
        <x:v>17.630950399335905</x:v>
      </x:c>
      <x:c r="H66" s="28" t="n">
        <x:f>'统一验算'!H66</x:f>
        <x:v>17.630950399335905</x:v>
      </x:c>
      <x:c r="I66" s="29" t="n">
        <x:f>F66/E66-1</x:f>
        <x:v>0</x:v>
      </x:c>
      <x:c r="J66" s="29" t="n">
        <x:f>G66/H66-1</x:f>
        <x:v>0</x:v>
      </x:c>
    </x:row>
    <x:row r="67" ht="25" customHeight="1">
      <x:c r="A67" s="24" t="n">
        <x:v>66</x:v>
      </x:c>
      <x:c r="B67" s="24" t="n">
        <x:v>230</x:v>
      </x:c>
      <x:c r="C67" s="24" t="n">
        <x:f>'楼层配置'!D70</x:f>
        <x:v>230</x:v>
      </x:c>
      <x:c r="D67" s="24" t="n">
        <x:f>C67-B67</x:f>
        <x:v>0</x:v>
      </x:c>
      <x:c r="E67" s="28" t="n">
        <x:v>9.731345111395903</x:v>
      </x:c>
      <x:c r="F67" s="28" t="n">
        <x:f>'统一验算'!F67</x:f>
        <x:v>9.731345111395903</x:v>
      </x:c>
      <x:c r="G67" s="28" t="n">
        <x:v>16.42328396101592</x:v>
      </x:c>
      <x:c r="H67" s="28" t="n">
        <x:f>'统一验算'!H67</x:f>
        <x:v>16.42328396101592</x:v>
      </x:c>
      <x:c r="I67" s="29" t="n">
        <x:f>F67/E67-1</x:f>
        <x:v>0</x:v>
      </x:c>
      <x:c r="J67" s="29" t="n">
        <x:f>G67/H67-1</x:f>
        <x:v>0</x:v>
      </x:c>
    </x:row>
    <x:row r="68" ht="25" customHeight="1">
      <x:c r="A68" s="24" t="n">
        <x:v>67</x:v>
      </x:c>
      <x:c r="B68" s="24" t="n">
        <x:v>232</x:v>
      </x:c>
      <x:c r="C68" s="24" t="n">
        <x:f>'楼层配置'!D71</x:f>
        <x:v>232</x:v>
      </x:c>
      <x:c r="D68" s="24" t="n">
        <x:f>C68-B68</x:f>
        <x:v>0</x:v>
      </x:c>
      <x:c r="E68" s="28" t="n">
        <x:v>9.702651153803856</x:v>
      </x:c>
      <x:c r="F68" s="28" t="n">
        <x:f>'统一验算'!F68</x:f>
        <x:v>9.702651153803856</x:v>
      </x:c>
      <x:c r="G68" s="28" t="n">
        <x:v>16.478451919941424</x:v>
      </x:c>
      <x:c r="H68" s="28" t="n">
        <x:f>'统一验算'!H68</x:f>
        <x:v>16.478451919941424</x:v>
      </x:c>
      <x:c r="I68" s="29" t="n">
        <x:f>F68/E68-1</x:f>
        <x:v>0</x:v>
      </x:c>
      <x:c r="J68" s="29" t="n">
        <x:f>G68/H68-1</x:f>
        <x:v>0</x:v>
      </x:c>
    </x:row>
    <x:row r="69" ht="25" customHeight="1">
      <x:c r="A69" s="24" t="n">
        <x:v>68</x:v>
      </x:c>
      <x:c r="B69" s="24" t="n">
        <x:v>234</x:v>
      </x:c>
      <x:c r="C69" s="24" t="n">
        <x:f>'楼层配置'!D72</x:f>
        <x:v>234</x:v>
      </x:c>
      <x:c r="D69" s="24" t="n">
        <x:f>C69-B69</x:f>
        <x:v>0</x:v>
      </x:c>
      <x:c r="E69" s="28" t="n">
        <x:v>10.340685159638776</x:v>
      </x:c>
      <x:c r="F69" s="28" t="n">
        <x:f>'统一验算'!F69</x:f>
        <x:v>10.340685159638777</x:v>
      </x:c>
      <x:c r="G69" s="28" t="n">
        <x:v>17.114367234117996</x:v>
      </x:c>
      <x:c r="H69" s="28" t="n">
        <x:f>'统一验算'!H69</x:f>
        <x:v>17.114367234117996</x:v>
      </x:c>
      <x:c r="I69" s="29" t="n">
        <x:f>F69/E69-1</x:f>
        <x:v>2.220446049250313e-16</x:v>
      </x:c>
      <x:c r="J69" s="29" t="n">
        <x:f>G69/H69-1</x:f>
        <x:v>0</x:v>
      </x:c>
    </x:row>
    <x:row r="70" ht="25" customHeight="1">
      <x:c r="A70" s="24" t="n">
        <x:v>69</x:v>
      </x:c>
      <x:c r="B70" s="24" t="n">
        <x:v>236</x:v>
      </x:c>
      <x:c r="C70" s="24" t="n">
        <x:f>'楼层配置'!D73</x:f>
        <x:v>236</x:v>
      </x:c>
      <x:c r="D70" s="24" t="n">
        <x:f>C70-B70</x:f>
        <x:v>0</x:v>
      </x:c>
      <x:c r="E70" s="28" t="n">
        <x:v>10.326999283914473</x:v>
      </x:c>
      <x:c r="F70" s="28" t="n">
        <x:f>'统一验算'!F70</x:f>
        <x:v>10.326999283914471</x:v>
      </x:c>
      <x:c r="G70" s="28" t="n">
        <x:v>17.151304349281165</x:v>
      </x:c>
      <x:c r="H70" s="28" t="n">
        <x:f>'统一验算'!H70</x:f>
        <x:v>17.151304349281165</x:v>
      </x:c>
      <x:c r="I70" s="29" t="n">
        <x:f>F70/E70-1</x:f>
        <x:v>-2.220446049250313e-16</x:v>
      </x:c>
      <x:c r="J70" s="29" t="n">
        <x:f>G70/H70-1</x:f>
        <x:v>0</x:v>
      </x:c>
    </x:row>
    <x:row r="71" ht="25" customHeight="1">
      <x:c r="A71" s="24" t="n">
        <x:v>70</x:v>
      </x:c>
      <x:c r="B71" s="24" t="n">
        <x:v>238</x:v>
      </x:c>
      <x:c r="C71" s="24" t="n">
        <x:f>'楼层配置'!D74</x:f>
        <x:v>238</x:v>
      </x:c>
      <x:c r="D71" s="24" t="n">
        <x:f>C71-B71</x:f>
        <x:v>0</x:v>
      </x:c>
      <x:c r="E71" s="28" t="n">
        <x:v>10.493277702753602</x:v>
      </x:c>
      <x:c r="F71" s="28" t="n">
        <x:f>'统一验算'!F71</x:f>
        <x:v>10.493277702753602</x:v>
      </x:c>
      <x:c r="G71" s="28" t="n">
        <x:v>17.00470612544892</x:v>
      </x:c>
      <x:c r="H71" s="28" t="n">
        <x:f>'统一验算'!H71</x:f>
        <x:v>17.00470612544892</x:v>
      </x:c>
      <x:c r="I71" s="29" t="n">
        <x:f>F71/E71-1</x:f>
        <x:v>0</x:v>
      </x:c>
      <x:c r="J71" s="29" t="n">
        <x:f>G71/H71-1</x:f>
        <x:v>0</x:v>
      </x:c>
    </x:row>
    <x:row r="72" ht="25" customHeight="1">
      <x:c r="A72" s="24" t="n">
        <x:v>71</x:v>
      </x:c>
      <x:c r="B72" s="24" t="n">
        <x:v>240</x:v>
      </x:c>
      <x:c r="C72" s="24" t="n">
        <x:f>'楼层配置'!D75</x:f>
        <x:v>240</x:v>
      </x:c>
      <x:c r="D72" s="24" t="n">
        <x:f>C72-B72</x:f>
        <x:v>0</x:v>
      </x:c>
      <x:c r="E72" s="28" t="n">
        <x:v>9.882266885058163</x:v>
      </x:c>
      <x:c r="F72" s="28" t="n">
        <x:f>'统一验算'!F72</x:f>
        <x:v>9.882266885058163</x:v>
      </x:c>
      <x:c r="G72" s="28" t="n">
        <x:v>16.38443584431864</x:v>
      </x:c>
      <x:c r="H72" s="28" t="n">
        <x:f>'统一验算'!H72</x:f>
        <x:v>16.38443584431864</x:v>
      </x:c>
      <x:c r="I72" s="29" t="n">
        <x:f>F72/E72-1</x:f>
        <x:v>0</x:v>
      </x:c>
      <x:c r="J72" s="29" t="n">
        <x:f>G72/H72-1</x:f>
        <x:v>0</x:v>
      </x:c>
    </x:row>
    <x:row r="73" ht="25" customHeight="1">
      <x:c r="A73" s="24" t="n">
        <x:v>72</x:v>
      </x:c>
      <x:c r="B73" s="24" t="n">
        <x:v>241</x:v>
      </x:c>
      <x:c r="C73" s="24" t="n">
        <x:f>'楼层配置'!D76</x:f>
        <x:v>241</x:v>
      </x:c>
      <x:c r="D73" s="24" t="n">
        <x:f>C73-B73</x:f>
        <x:v>0</x:v>
      </x:c>
      <x:c r="E73" s="28" t="n">
        <x:v>9.771245479534116</x:v>
      </x:c>
      <x:c r="F73" s="28" t="n">
        <x:f>'统一验算'!F73</x:f>
        <x:v>9.771245479534116</x:v>
      </x:c>
      <x:c r="G73" s="28" t="n">
        <x:v>16.51237444781398</x:v>
      </x:c>
      <x:c r="H73" s="28" t="n">
        <x:f>'统一验算'!H73</x:f>
        <x:v>16.51237444781398</x:v>
      </x:c>
      <x:c r="I73" s="29" t="n">
        <x:f>F73/E73-1</x:f>
        <x:v>0</x:v>
      </x:c>
      <x:c r="J73" s="29" t="n">
        <x:f>G73/H73-1</x:f>
        <x:v>0</x:v>
      </x:c>
    </x:row>
    <x:row r="74" ht="25" customHeight="1">
      <x:c r="A74" s="24" t="n">
        <x:v>73</x:v>
      </x:c>
      <x:c r="B74" s="24" t="n">
        <x:v>243</x:v>
      </x:c>
      <x:c r="C74" s="24" t="n">
        <x:f>'楼层配置'!D77</x:f>
        <x:v>243</x:v>
      </x:c>
      <x:c r="D74" s="24" t="n">
        <x:f>C74-B74</x:f>
        <x:v>0</x:v>
      </x:c>
      <x:c r="E74" s="28" t="n">
        <x:v>9.906591998290537</x:v>
      </x:c>
      <x:c r="F74" s="28" t="n">
        <x:f>'统一验算'!F74</x:f>
        <x:v>9.906591998290537</x:v>
      </x:c>
      <x:c r="G74" s="28" t="n">
        <x:v>16.39673287164502</x:v>
      </x:c>
      <x:c r="H74" s="28" t="n">
        <x:f>'统一验算'!H74</x:f>
        <x:v>16.39673287164502</x:v>
      </x:c>
      <x:c r="I74" s="29" t="n">
        <x:f>F74/E74-1</x:f>
        <x:v>0</x:v>
      </x:c>
      <x:c r="J74" s="29" t="n">
        <x:f>G74/H74-1</x:f>
        <x:v>0</x:v>
      </x:c>
    </x:row>
    <x:row r="75" ht="25" customHeight="1">
      <x:c r="A75" s="24" t="n">
        <x:v>74</x:v>
      </x:c>
      <x:c r="B75" s="24" t="n">
        <x:v>245</x:v>
      </x:c>
      <x:c r="C75" s="24" t="n">
        <x:f>'楼层配置'!D78</x:f>
        <x:v>245</x:v>
      </x:c>
      <x:c r="D75" s="24" t="n">
        <x:f>C75-B75</x:f>
        <x:v>0</x:v>
      </x:c>
      <x:c r="E75" s="28" t="n">
        <x:v>9.941180800718726</x:v>
      </x:c>
      <x:c r="F75" s="28" t="n">
        <x:f>'统一验算'!F75</x:f>
        <x:v>9.941180800718726</x:v>
      </x:c>
      <x:c r="G75" s="28" t="n">
        <x:v>16.380894139384104</x:v>
      </x:c>
      <x:c r="H75" s="28" t="n">
        <x:f>'统一验算'!H75</x:f>
        <x:v>16.380894139384104</x:v>
      </x:c>
      <x:c r="I75" s="29" t="n">
        <x:f>F75/E75-1</x:f>
        <x:v>0</x:v>
      </x:c>
      <x:c r="J75" s="29" t="n">
        <x:f>G75/H75-1</x:f>
        <x:v>0</x:v>
      </x:c>
    </x:row>
    <x:row r="76" ht="25" customHeight="1">
      <x:c r="A76" s="24" t="n">
        <x:v>75</x:v>
      </x:c>
      <x:c r="B76" s="24" t="n">
        <x:v>247</x:v>
      </x:c>
      <x:c r="C76" s="24" t="n">
        <x:f>'楼层配置'!D79</x:f>
        <x:v>247</x:v>
      </x:c>
      <x:c r="D76" s="24" t="n">
        <x:f>C76-B76</x:f>
        <x:v>0</x:v>
      </x:c>
      <x:c r="E76" s="28" t="n">
        <x:v>10.670341457098031</x:v>
      </x:c>
      <x:c r="F76" s="28" t="n">
        <x:f>'统一验算'!F76</x:f>
        <x:v>10.670341457098031</x:v>
      </x:c>
      <x:c r="G76" s="28" t="n">
        <x:v>16.932286813939434</x:v>
      </x:c>
      <x:c r="H76" s="28" t="n">
        <x:f>'统一验算'!H76</x:f>
        <x:v>16.932286813939434</x:v>
      </x:c>
      <x:c r="I76" s="29" t="n">
        <x:f>F76/E76-1</x:f>
        <x:v>0</x:v>
      </x:c>
      <x:c r="J76" s="29" t="n">
        <x:f>G76/H76-1</x:f>
        <x:v>0</x:v>
      </x:c>
    </x:row>
    <x:row r="77" ht="25" customHeight="1">
      <x:c r="A77" s="24" t="n">
        <x:v>76</x:v>
      </x:c>
      <x:c r="B77" s="24" t="n">
        <x:v>248</x:v>
      </x:c>
      <x:c r="C77" s="24" t="n">
        <x:f>'楼层配置'!D80</x:f>
        <x:v>248</x:v>
      </x:c>
      <x:c r="D77" s="24" t="n">
        <x:f>C77-B77</x:f>
        <x:v>0</x:v>
      </x:c>
      <x:c r="E77" s="28" t="n">
        <x:v>10.042709965383782</x:v>
      </x:c>
      <x:c r="F77" s="28" t="n">
        <x:f>'统一验算'!F77</x:f>
        <x:v>10.042709965383782</x:v>
      </x:c>
      <x:c r="G77" s="28" t="n">
        <x:v>16.30929024743216</x:v>
      </x:c>
      <x:c r="H77" s="28" t="n">
        <x:f>'统一验算'!H77</x:f>
        <x:v>16.30929024743216</x:v>
      </x:c>
      <x:c r="I77" s="29" t="n">
        <x:f>F77/E77-1</x:f>
        <x:v>0</x:v>
      </x:c>
      <x:c r="J77" s="29" t="n">
        <x:f>G77/H77-1</x:f>
        <x:v>0</x:v>
      </x:c>
    </x:row>
    <x:row r="78" ht="25" customHeight="1">
      <x:c r="A78" s="24" t="n">
        <x:v>77</x:v>
      </x:c>
      <x:c r="B78" s="24" t="n">
        <x:v>250</x:v>
      </x:c>
      <x:c r="C78" s="24" t="n">
        <x:f>'楼层配置'!D81</x:f>
        <x:v>250</x:v>
      </x:c>
      <x:c r="D78" s="24" t="n">
        <x:f>C78-B78</x:f>
        <x:v>0</x:v>
      </x:c>
      <x:c r="E78" s="28" t="n">
        <x:v>10.071549721982855</x:v>
      </x:c>
      <x:c r="F78" s="28" t="n">
        <x:f>'统一验算'!F78</x:f>
        <x:v>10.071549721982851</x:v>
      </x:c>
      <x:c r="G78" s="28" t="n">
        <x:v>16.293774568660204</x:v>
      </x:c>
      <x:c r="H78" s="28" t="n">
        <x:f>'统一验算'!H78</x:f>
        <x:v>16.293774568660204</x:v>
      </x:c>
      <x:c r="I78" s="29" t="n">
        <x:f>F78/E78-1</x:f>
        <x:v>-3.3306690738754696e-16</x:v>
      </x:c>
      <x:c r="J78" s="29" t="n">
        <x:f>G78/H78-1</x:f>
        <x:v>0</x:v>
      </x:c>
    </x:row>
    <x:row r="79" ht="25" customHeight="1">
      <x:c r="A79" s="24" t="n">
        <x:v>78</x:v>
      </x:c>
      <x:c r="B79" s="24" t="n">
        <x:v>252</x:v>
      </x:c>
      <x:c r="C79" s="24" t="n">
        <x:f>'楼层配置'!D82</x:f>
        <x:v>252</x:v>
      </x:c>
      <x:c r="D79" s="24" t="n">
        <x:f>C79-B79</x:f>
        <x:v>0</x:v>
      </x:c>
      <x:c r="E79" s="28" t="n">
        <x:v>10.123631803088035</x:v>
      </x:c>
      <x:c r="F79" s="28" t="n">
        <x:f>'统一验算'!F79</x:f>
        <x:v>10.123631803088035</x:v>
      </x:c>
      <x:c r="G79" s="28" t="n">
        <x:v>16.257665436246135</x:v>
      </x:c>
      <x:c r="H79" s="28" t="n">
        <x:f>'统一验算'!H79</x:f>
        <x:v>16.257665436246135</x:v>
      </x:c>
      <x:c r="I79" s="29" t="n">
        <x:f>F79/E79-1</x:f>
        <x:v>0</x:v>
      </x:c>
      <x:c r="J79" s="29" t="n">
        <x:f>G79/H79-1</x:f>
        <x:v>0</x:v>
      </x:c>
    </x:row>
    <x:row r="80" ht="25" customHeight="1">
      <x:c r="A80" s="24" t="n">
        <x:v>79</x:v>
      </x:c>
      <x:c r="B80" s="24" t="n">
        <x:v>253</x:v>
      </x:c>
      <x:c r="C80" s="24" t="n">
        <x:f>'楼层配置'!D83</x:f>
        <x:v>253</x:v>
      </x:c>
      <x:c r="D80" s="24" t="n">
        <x:f>C80-B80</x:f>
        <x:v>0</x:v>
      </x:c>
      <x:c r="E80" s="28" t="n">
        <x:v>10.045698656650822</x:v>
      </x:c>
      <x:c r="F80" s="28" t="n">
        <x:f>'统一验算'!F80</x:f>
        <x:v>10.045698656650822</x:v>
      </x:c>
      <x:c r="G80" s="28" t="n">
        <x:v>16.343060257006336</x:v>
      </x:c>
      <x:c r="H80" s="28" t="n">
        <x:f>'统一验算'!H80</x:f>
        <x:v>16.343060257006336</x:v>
      </x:c>
      <x:c r="I80" s="29" t="n">
        <x:f>F80/E80-1</x:f>
        <x:v>0</x:v>
      </x:c>
      <x:c r="J80" s="29" t="n">
        <x:f>G80/H80-1</x:f>
        <x:v>0</x:v>
      </x:c>
    </x:row>
    <x:row r="81" ht="25" customHeight="1">
      <x:c r="A81" s="24" t="n">
        <x:v>80</x:v>
      </x:c>
      <x:c r="B81" s="24" t="n">
        <x:v>255</x:v>
      </x:c>
      <x:c r="C81" s="24" t="n">
        <x:f>'楼层配置'!D84</x:f>
        <x:v>255</x:v>
      </x:c>
      <x:c r="D81" s="24" t="n">
        <x:f>C81-B81</x:f>
        <x:v>0</x:v>
      </x:c>
      <x:c r="E81" s="28" t="n">
        <x:v>11.426412079631417</x:v>
      </x:c>
      <x:c r="F81" s="28" t="n">
        <x:f>'统一验算'!F81</x:f>
        <x:v>11.426412079631417</x:v>
      </x:c>
      <x:c r="G81" s="28" t="n">
        <x:v>17.56648355058448</x:v>
      </x:c>
      <x:c r="H81" s="28" t="n">
        <x:f>'统一验算'!H81</x:f>
        <x:v>17.56648355058448</x:v>
      </x:c>
      <x:c r="I81" s="29" t="n">
        <x:f>F81/E81-1</x:f>
        <x:v>0</x:v>
      </x:c>
      <x:c r="J81" s="29" t="n">
        <x:f>G81/H81-1</x:f>
        <x:v>0</x:v>
      </x:c>
    </x:row>
    <x:row r="82" ht="25" customHeight="1">
      <x:c r="A82" s="24" t="n">
        <x:v>81</x:v>
      </x:c>
      <x:c r="B82" s="24" t="n">
        <x:v>256</x:v>
      </x:c>
      <x:c r="C82" s="24" t="n">
        <x:f>'楼层配置'!D85</x:f>
        <x:v>256</x:v>
      </x:c>
      <x:c r="D82" s="24" t="n">
        <x:f>C82-B82</x:f>
        <x:v>0</x:v>
      </x:c>
      <x:c r="E82" s="28" t="n">
        <x:v>10.019038467583263</x:v>
      </x:c>
      <x:c r="F82" s="28" t="n">
        <x:f>'统一验算'!F82</x:f>
        <x:v>10.019038467583263</x:v>
      </x:c>
      <x:c r="G82" s="28" t="n">
        <x:v>16.38715131793547</x:v>
      </x:c>
      <x:c r="H82" s="28" t="n">
        <x:f>'统一验算'!H82</x:f>
        <x:v>16.38715131793547</x:v>
      </x:c>
      <x:c r="I82" s="29" t="n">
        <x:f>F82/E82-1</x:f>
        <x:v>0</x:v>
      </x:c>
      <x:c r="J82" s="29" t="n">
        <x:f>G82/H82-1</x:f>
        <x:v>0</x:v>
      </x:c>
    </x:row>
    <x:row r="83" ht="25" customHeight="1">
      <x:c r="A83" s="24" t="n">
        <x:v>82</x:v>
      </x:c>
      <x:c r="B83" s="24" t="n">
        <x:v>258</x:v>
      </x:c>
      <x:c r="C83" s="24" t="n">
        <x:f>'楼层配置'!D86</x:f>
        <x:v>258</x:v>
      </x:c>
      <x:c r="D83" s="24" t="n">
        <x:f>C83-B83</x:f>
        <x:v>0</x:v>
      </x:c>
      <x:c r="E83" s="28" t="n">
        <x:v>10.229856439010344</x:v>
      </x:c>
      <x:c r="F83" s="28" t="n">
        <x:f>'统一验算'!F83</x:f>
        <x:v>10.229856439010344</x:v>
      </x:c>
      <x:c r="G83" s="28" t="n">
        <x:v>16.194217438969204</x:v>
      </x:c>
      <x:c r="H83" s="28" t="n">
        <x:f>'统一验算'!H83</x:f>
        <x:v>16.194217438969204</x:v>
      </x:c>
      <x:c r="I83" s="29" t="n">
        <x:f>F83/E83-1</x:f>
        <x:v>0</x:v>
      </x:c>
      <x:c r="J83" s="29" t="n">
        <x:f>G83/H83-1</x:f>
        <x:v>0</x:v>
      </x:c>
    </x:row>
    <x:row r="84" ht="25" customHeight="1">
      <x:c r="A84" s="24" t="n">
        <x:v>83</x:v>
      </x:c>
      <x:c r="B84" s="24" t="n">
        <x:v>259</x:v>
      </x:c>
      <x:c r="C84" s="24" t="n">
        <x:f>'楼层配置'!D87</x:f>
        <x:v>259</x:v>
      </x:c>
      <x:c r="D84" s="24" t="n">
        <x:f>C84-B84</x:f>
        <x:v>0</x:v>
      </x:c>
      <x:c r="E84" s="28" t="n">
        <x:v>10.166037042879552</x:v>
      </x:c>
      <x:c r="F84" s="28" t="n">
        <x:f>'统一验算'!F84</x:f>
        <x:v>10.166037042879552</x:v>
      </x:c>
      <x:c r="G84" s="28" t="n">
        <x:v>16.26379661456462</x:v>
      </x:c>
      <x:c r="H84" s="28" t="n">
        <x:f>'统一验算'!H84</x:f>
        <x:v>16.26379661456462</x:v>
      </x:c>
      <x:c r="I84" s="29" t="n">
        <x:f>F84/E84-1</x:f>
        <x:v>0</x:v>
      </x:c>
      <x:c r="J84" s="29" t="n">
        <x:f>G84/H84-1</x:f>
        <x:v>0</x:v>
      </x:c>
    </x:row>
    <x:row r="85" ht="25" customHeight="1">
      <x:c r="A85" s="24" t="n">
        <x:v>84</x:v>
      </x:c>
      <x:c r="B85" s="24" t="n">
        <x:v>260</x:v>
      </x:c>
      <x:c r="C85" s="24" t="n">
        <x:f>'楼层配置'!D88</x:f>
        <x:v>260</x:v>
      </x:c>
      <x:c r="D85" s="24" t="n">
        <x:f>C85-B85</x:f>
        <x:v>0</x:v>
      </x:c>
      <x:c r="E85" s="28" t="n">
        <x:v>10.106108340728765</x:v>
      </x:c>
      <x:c r="F85" s="28" t="n">
        <x:f>'统一验算'!F85</x:f>
        <x:v>10.106108340728765</x:v>
      </x:c>
      <x:c r="G85" s="28" t="n">
        <x:v>16.328058351983262</x:v>
      </x:c>
      <x:c r="H85" s="28" t="n">
        <x:f>'统一验算'!H85</x:f>
        <x:v>16.328058351983262</x:v>
      </x:c>
      <x:c r="I85" s="29" t="n">
        <x:f>F85/E85-1</x:f>
        <x:v>0</x:v>
      </x:c>
      <x:c r="J85" s="29" t="n">
        <x:f>G85/H85-1</x:f>
        <x:v>0</x:v>
      </x:c>
    </x:row>
    <x:row r="86" ht="25" customHeight="1">
      <x:c r="A86" s="24" t="n">
        <x:v>85</x:v>
      </x:c>
      <x:c r="B86" s="24" t="n">
        <x:v>262</x:v>
      </x:c>
      <x:c r="C86" s="24" t="n">
        <x:f>'楼层配置'!D89</x:f>
        <x:v>262</x:v>
      </x:c>
      <x:c r="D86" s="24" t="n">
        <x:f>C86-B86</x:f>
        <x:v>0</x:v>
      </x:c>
      <x:c r="E86" s="28" t="n">
        <x:v>10.859074553987695</x:v>
      </x:c>
      <x:c r="F86" s="28" t="n">
        <x:f>'统一验算'!F86</x:f>
        <x:v>10.859074553987696</x:v>
      </x:c>
      <x:c r="G86" s="28" t="n">
        <x:v>16.86743506309569</x:v>
      </x:c>
      <x:c r="H86" s="28" t="n">
        <x:f>'统一验算'!H86</x:f>
        <x:v>16.86743506309569</x:v>
      </x:c>
      <x:c r="I86" s="29" t="n">
        <x:f>F86/E86-1</x:f>
        <x:v>2.220446049250313e-16</x:v>
      </x:c>
      <x:c r="J86" s="29" t="n">
        <x:f>G86/H86-1</x:f>
        <x:v>0</x:v>
      </x:c>
    </x:row>
    <x:row r="87" ht="25" customHeight="1">
      <x:c r="A87" s="24" t="n">
        <x:v>86</x:v>
      </x:c>
      <x:c r="B87" s="24" t="n">
        <x:v>263</x:v>
      </x:c>
      <x:c r="C87" s="24" t="n">
        <x:f>'楼层配置'!D90</x:f>
        <x:v>263</x:v>
      </x:c>
      <x:c r="D87" s="24" t="n">
        <x:f>C87-B87</x:f>
        <x:v>0</x:v>
      </x:c>
      <x:c r="E87" s="28" t="n">
        <x:v>10.128670600890688</x:v>
      </x:c>
      <x:c r="F87" s="28" t="n">
        <x:f>'统一验算'!F87</x:f>
        <x:v>10.128670600890686</x:v>
      </x:c>
      <x:c r="G87" s="28" t="n">
        <x:v>16.32248008242504</x:v>
      </x:c>
      <x:c r="H87" s="28" t="n">
        <x:f>'统一验算'!H87</x:f>
        <x:v>16.32248008242504</x:v>
      </x:c>
      <x:c r="I87" s="29" t="n">
        <x:f>F87/E87-1</x:f>
        <x:v>-2.220446049250313e-16</x:v>
      </x:c>
      <x:c r="J87" s="29" t="n">
        <x:f>G87/H87-1</x:f>
        <x:v>0</x:v>
      </x:c>
    </x:row>
    <x:row r="88" ht="25" customHeight="1">
      <x:c r="A88" s="24" t="n">
        <x:v>87</x:v>
      </x:c>
      <x:c r="B88" s="24" t="n">
        <x:v>264</x:v>
      </x:c>
      <x:c r="C88" s="24" t="n">
        <x:f>'楼层配置'!D91</x:f>
        <x:v>264</x:v>
      </x:c>
      <x:c r="D88" s="24" t="n">
        <x:f>C88-B88</x:f>
        <x:v>0</x:v>
      </x:c>
      <x:c r="E88" s="28" t="n">
        <x:v>10.078860171869199</x:v>
      </x:c>
      <x:c r="F88" s="28" t="n">
        <x:f>'统一验算'!F88</x:f>
        <x:v>10.0788601718692</x:v>
      </x:c>
      <x:c r="G88" s="28" t="n">
        <x:v>16.376030269065254</x:v>
      </x:c>
      <x:c r="H88" s="28" t="n">
        <x:f>'统一验算'!H88</x:f>
        <x:v>16.376030269065254</x:v>
      </x:c>
      <x:c r="I88" s="29" t="n">
        <x:f>F88/E88-1</x:f>
        <x:v>2.220446049250313e-16</x:v>
      </x:c>
      <x:c r="J88" s="29" t="n">
        <x:f>G88/H88-1</x:f>
        <x:v>0</x:v>
      </x:c>
    </x:row>
    <x:row r="89" ht="25" customHeight="1">
      <x:c r="A89" s="24" t="n">
        <x:v>88</x:v>
      </x:c>
      <x:c r="B89" s="24" t="n">
        <x:v>265</x:v>
      </x:c>
      <x:c r="C89" s="24" t="n">
        <x:f>'楼层配置'!D92</x:f>
        <x:v>265</x:v>
      </x:c>
      <x:c r="D89" s="24" t="n">
        <x:f>C89-B89</x:f>
        <x:v>0</x:v>
      </x:c>
      <x:c r="E89" s="28" t="n">
        <x:v>10.032274102405138</x:v>
      </x:c>
      <x:c r="F89" s="28" t="n">
        <x:f>'统一验算'!F89</x:f>
        <x:v>10.03227410240514</x:v>
      </x:c>
      <x:c r="G89" s="28" t="n">
        <x:v>16.426852232480595</x:v>
      </x:c>
      <x:c r="H89" s="28" t="n">
        <x:f>'统一验算'!H89</x:f>
        <x:v>16.426852232480595</x:v>
      </x:c>
      <x:c r="I89" s="29" t="n">
        <x:f>F89/E89-1</x:f>
        <x:v>2.220446049250313e-16</x:v>
      </x:c>
      <x:c r="J89" s="29" t="n">
        <x:f>G89/H89-1</x:f>
        <x:v>0</x:v>
      </x:c>
    </x:row>
    <x:row r="90" ht="25" customHeight="1">
      <x:c r="A90" s="24" t="n">
        <x:v>89</x:v>
      </x:c>
      <x:c r="B90" s="24" t="n">
        <x:v>267</x:v>
      </x:c>
      <x:c r="C90" s="24" t="n">
        <x:f>'楼层配置'!D93</x:f>
        <x:v>267</x:v>
      </x:c>
      <x:c r="D90" s="24" t="n">
        <x:f>C90-B90</x:f>
        <x:v>0</x:v>
      </x:c>
      <x:c r="E90" s="28" t="n">
        <x:v>10.118074391603546</x:v>
      </x:c>
      <x:c r="F90" s="28" t="n">
        <x:f>'统一验算'!F90</x:f>
        <x:v>10.118074391603546</x:v>
      </x:c>
      <x:c r="G90" s="28" t="n">
        <x:v>16.351182939291846</x:v>
      </x:c>
      <x:c r="H90" s="28" t="n">
        <x:f>'统一验算'!H90</x:f>
        <x:v>16.351182939291846</x:v>
      </x:c>
      <x:c r="I90" s="29" t="n">
        <x:f>F90/E90-1</x:f>
        <x:v>0</x:v>
      </x:c>
      <x:c r="J90" s="29" t="n">
        <x:f>G90/H90-1</x:f>
        <x:v>0</x:v>
      </x:c>
    </x:row>
    <x:row r="91" ht="25" customHeight="1">
      <x:c r="A91" s="24" t="n">
        <x:v>90</x:v>
      </x:c>
      <x:c r="B91" s="24" t="n">
        <x:v>268</x:v>
      </x:c>
      <x:c r="C91" s="24" t="n">
        <x:f>'楼层配置'!D94</x:f>
        <x:v>268</x:v>
      </x:c>
      <x:c r="D91" s="24" t="n">
        <x:f>C91-B91</x:f>
        <x:v>0</x:v>
      </x:c>
      <x:c r="E91" s="28" t="n">
        <x:v>10.859437105034571</x:v>
      </x:c>
      <x:c r="F91" s="28" t="n">
        <x:f>'统一验算'!F91</x:f>
        <x:v>10.859437105034573</x:v>
      </x:c>
      <x:c r="G91" s="28" t="n">
        <x:v>16.89529575352207</x:v>
      </x:c>
      <x:c r="H91" s="28" t="n">
        <x:f>'统一验算'!H91</x:f>
        <x:v>16.89529575352207</x:v>
      </x:c>
      <x:c r="I91" s="29" t="n">
        <x:f>F91/E91-1</x:f>
        <x:v>2.220446049250313e-16</x:v>
      </x:c>
      <x:c r="J91" s="29" t="n">
        <x:f>G91/H91-1</x:f>
        <x:v>0</x:v>
      </x:c>
    </x:row>
    <x:row r="92" ht="25" customHeight="1">
      <x:c r="A92" s="24" t="n">
        <x:v>91</x:v>
      </x:c>
      <x:c r="B92" s="24" t="n">
        <x:v>269</x:v>
      </x:c>
      <x:c r="C92" s="24" t="n">
        <x:f>'楼层配置'!D95</x:f>
        <x:v>269</x:v>
      </x:c>
      <x:c r="D92" s="24" t="n">
        <x:f>C92-B92</x:f>
        <x:v>0</x:v>
      </x:c>
      <x:c r="E92" s="28" t="n">
        <x:v>10.142167979943334</x:v>
      </x:c>
      <x:c r="F92" s="28" t="n">
        <x:f>'统一验算'!F92</x:f>
        <x:v>10.142167979943334</x:v>
      </x:c>
      <x:c r="G92" s="28" t="n">
        <x:v>16.334324113884907</x:v>
      </x:c>
      <x:c r="H92" s="28" t="n">
        <x:f>'统一验算'!H92</x:f>
        <x:v>16.334324113884907</x:v>
      </x:c>
      <x:c r="I92" s="29" t="n">
        <x:f>F92/E92-1</x:f>
        <x:v>0</x:v>
      </x:c>
      <x:c r="J92" s="29" t="n">
        <x:f>G92/H92-1</x:f>
        <x:v>0</x:v>
      </x:c>
    </x:row>
    <x:row r="93" ht="25" customHeight="1">
      <x:c r="A93" s="24" t="n">
        <x:v>92</x:v>
      </x:c>
      <x:c r="B93" s="24" t="n">
        <x:v>270</x:v>
      </x:c>
      <x:c r="C93" s="24" t="n">
        <x:f>'楼层配置'!D96</x:f>
        <x:v>270</x:v>
      </x:c>
      <x:c r="D93" s="24" t="n">
        <x:f>C93-B93</x:f>
        <x:v>0</x:v>
      </x:c>
      <x:c r="E93" s="28" t="n">
        <x:v>10.130237533484896</x:v>
      </x:c>
      <x:c r="F93" s="28" t="n">
        <x:f>'统一验算'!F93</x:f>
        <x:v>10.130237533484896</x:v>
      </x:c>
      <x:c r="G93" s="28" t="n">
        <x:v>16.351109614750722</x:v>
      </x:c>
      <x:c r="H93" s="28" t="n">
        <x:f>'统一验算'!H93</x:f>
        <x:v>16.351109614750722</x:v>
      </x:c>
      <x:c r="I93" s="29" t="n">
        <x:f>F93/E93-1</x:f>
        <x:v>0</x:v>
      </x:c>
      <x:c r="J93" s="29" t="n">
        <x:f>G93/H93-1</x:f>
        <x:v>0</x:v>
      </x:c>
    </x:row>
    <x:row r="94" ht="25" customHeight="1">
      <x:c r="A94" s="24" t="n">
        <x:v>93</x:v>
      </x:c>
      <x:c r="B94" s="24" t="n">
        <x:v>272</x:v>
      </x:c>
      <x:c r="C94" s="24" t="n">
        <x:f>'楼层配置'!D97</x:f>
        <x:v>272</x:v>
      </x:c>
      <x:c r="D94" s="24" t="n">
        <x:f>C94-B94</x:f>
        <x:v>0</x:v>
      </x:c>
      <x:c r="E94" s="28" t="n">
        <x:v>10.2094542522233</x:v>
      </x:c>
      <x:c r="F94" s="28" t="n">
        <x:f>'统一验算'!F94</x:f>
        <x:v>10.209454252223297</x:v>
      </x:c>
      <x:c r="G94" s="28" t="n">
        <x:v>16.276423180104565</x:v>
      </x:c>
      <x:c r="H94" s="28" t="n">
        <x:f>'统一验算'!H94</x:f>
        <x:v>16.276423180104565</x:v>
      </x:c>
      <x:c r="I94" s="29" t="n">
        <x:f>F94/E94-1</x:f>
        <x:v>-2.220446049250313e-16</x:v>
      </x:c>
      <x:c r="J94" s="29" t="n">
        <x:f>G94/H94-1</x:f>
        <x:v>0</x:v>
      </x:c>
    </x:row>
    <x:row r="95" ht="25" customHeight="1">
      <x:c r="A95" s="24" t="n">
        <x:v>94</x:v>
      </x:c>
      <x:c r="B95" s="24" t="n">
        <x:v>273</x:v>
      </x:c>
      <x:c r="C95" s="24" t="n">
        <x:f>'楼层配置'!D98</x:f>
        <x:v>273</x:v>
      </x:c>
      <x:c r="D95" s="24" t="n">
        <x:f>C95-B95</x:f>
        <x:v>0</x:v>
      </x:c>
      <x:c r="E95" s="28" t="n">
        <x:v>10.175790869417797</x:v>
      </x:c>
      <x:c r="F95" s="28" t="n">
        <x:f>'统一验算'!F95</x:f>
        <x:v>10.175790869417797</x:v>
      </x:c>
      <x:c r="G95" s="28" t="n">
        <x:v>16.311264813753848</x:v>
      </x:c>
      <x:c r="H95" s="28" t="n">
        <x:f>'统一验算'!H95</x:f>
        <x:v>16.311264813753848</x:v>
      </x:c>
      <x:c r="I95" s="29" t="n">
        <x:f>F95/E95-1</x:f>
        <x:v>0</x:v>
      </x:c>
      <x:c r="J95" s="29" t="n">
        <x:f>G95/H95-1</x:f>
        <x:v>0</x:v>
      </x:c>
    </x:row>
    <x:row r="96" ht="25" customHeight="1">
      <x:c r="A96" s="24" t="n">
        <x:v>95</x:v>
      </x:c>
      <x:c r="B96" s="24" t="n">
        <x:v>274</x:v>
      </x:c>
      <x:c r="C96" s="24" t="n">
        <x:f>'楼层配置'!D99</x:f>
        <x:v>274</x:v>
      </x:c>
      <x:c r="D96" s="24" t="n">
        <x:f>C96-B96</x:f>
        <x:v>0</x:v>
      </x:c>
      <x:c r="E96" s="28" t="n">
        <x:v>10.144406748236946</x:v>
      </x:c>
      <x:c r="F96" s="28" t="n">
        <x:f>'统一验算'!F96</x:f>
        <x:v>10.144406748236946</x:v>
      </x:c>
      <x:c r="G96" s="28" t="n">
        <x:v>16.344767135805945</x:v>
      </x:c>
      <x:c r="H96" s="28" t="n">
        <x:f>'统一验算'!H96</x:f>
        <x:v>16.344767135805945</x:v>
      </x:c>
      <x:c r="I96" s="29" t="n">
        <x:f>F96/E96-1</x:f>
        <x:v>0</x:v>
      </x:c>
      <x:c r="J96" s="29" t="n">
        <x:f>G96/H96-1</x:f>
        <x:v>0</x:v>
      </x:c>
    </x:row>
    <x:row r="97" ht="25" customHeight="1">
      <x:c r="A97" s="24" t="n">
        <x:v>96</x:v>
      </x:c>
      <x:c r="B97" s="24" t="n">
        <x:v>275</x:v>
      </x:c>
      <x:c r="C97" s="24" t="n">
        <x:f>'楼层配置'!D100</x:f>
        <x:v>275</x:v>
      </x:c>
      <x:c r="D97" s="24" t="n">
        <x:f>C97-B97</x:f>
        <x:v>0</x:v>
      </x:c>
      <x:c r="E97" s="28" t="n">
        <x:v>10.115158031244976</x:v>
      </x:c>
      <x:c r="F97" s="28" t="n">
        <x:f>'统一验算'!F97</x:f>
        <x:v>10.115158031244977</x:v>
      </x:c>
      <x:c r="G97" s="28" t="n">
        <x:v>16.375773743169308</x:v>
      </x:c>
      <x:c r="H97" s="28" t="n">
        <x:f>'统一验算'!H97</x:f>
        <x:v>16.375773743169308</x:v>
      </x:c>
      <x:c r="I97" s="29" t="n">
        <x:f>F97/E97-1</x:f>
        <x:v>2.220446049250313e-16</x:v>
      </x:c>
      <x:c r="J97" s="29" t="n">
        <x:f>G97/H97-1</x:f>
        <x:v>0</x:v>
      </x:c>
    </x:row>
    <x:row r="98" ht="25" customHeight="1">
      <x:c r="A98" s="24" t="n">
        <x:v>97</x:v>
      </x:c>
      <x:c r="B98" s="24" t="n">
        <x:v>276</x:v>
      </x:c>
      <x:c r="C98" s="24" t="n">
        <x:f>'楼层配置'!D101</x:f>
        <x:v>276</x:v>
      </x:c>
      <x:c r="D98" s="24" t="n">
        <x:f>C98-B98</x:f>
        <x:v>0</x:v>
      </x:c>
      <x:c r="E98" s="28" t="n">
        <x:v>10.08792006188062</x:v>
      </x:c>
      <x:c r="F98" s="28" t="n">
        <x:f>'统一验算'!F98</x:f>
        <x:v>10.08792006188062</x:v>
      </x:c>
      <x:c r="G98" s="28" t="n">
        <x:v>16.403988372810872</x:v>
      </x:c>
      <x:c r="H98" s="28" t="n">
        <x:f>'统一验算'!H98</x:f>
        <x:v>16.403988372810872</x:v>
      </x:c>
      <x:c r="I98" s="29" t="n">
        <x:f>F98/E98-1</x:f>
        <x:v>0</x:v>
      </x:c>
      <x:c r="J98" s="29" t="n">
        <x:f>G98/H98-1</x:f>
        <x:v>0</x:v>
      </x:c>
    </x:row>
    <x:row r="99" ht="25" customHeight="1">
      <x:c r="A99" s="24" t="n">
        <x:v>98</x:v>
      </x:c>
      <x:c r="B99" s="24" t="n">
        <x:v>278</x:v>
      </x:c>
      <x:c r="C99" s="24" t="n">
        <x:f>'楼层配置'!D102</x:f>
        <x:v>278</x:v>
      </x:c>
      <x:c r="D99" s="24" t="n">
        <x:f>C99-B99</x:f>
        <x:v>0</x:v>
      </x:c>
      <x:c r="E99" s="28" t="n">
        <x:v>10.18982315124434</x:v>
      </x:c>
      <x:c r="F99" s="28" t="n">
        <x:f>'统一验算'!F99</x:f>
        <x:v>10.189823151244338</x:v>
      </x:c>
      <x:c r="G99" s="28" t="n">
        <x:v>16.3096575798843</x:v>
      </x:c>
      <x:c r="H99" s="28" t="n">
        <x:f>'统一验算'!H99</x:f>
        <x:v>16.3096575798843</x:v>
      </x:c>
      <x:c r="I99" s="29" t="n">
        <x:f>F99/E99-1</x:f>
        <x:v>-2.220446049250313e-16</x:v>
      </x:c>
      <x:c r="J99" s="29" t="n">
        <x:f>G99/H99-1</x:f>
        <x:v>0</x:v>
      </x:c>
    </x:row>
    <x:row r="100" ht="25" customHeight="1">
      <x:c r="A100" s="24" t="n">
        <x:v>99</x:v>
      </x:c>
      <x:c r="B100" s="24" t="n">
        <x:v>279</x:v>
      </x:c>
      <x:c r="C100" s="24" t="n">
        <x:f>'楼层配置'!D103</x:f>
        <x:v>279</x:v>
      </x:c>
      <x:c r="D100" s="24" t="n">
        <x:f>C100-B100</x:f>
        <x:v>0</x:v>
      </x:c>
      <x:c r="E100" s="28" t="n">
        <x:v>10.152809710726897</x:v>
      </x:c>
      <x:c r="F100" s="28" t="n">
        <x:f>'统一验算'!F100</x:f>
        <x:v>10.152809710726897</x:v>
      </x:c>
      <x:c r="G100" s="28" t="n">
        <x:v>16.342413401377474</x:v>
      </x:c>
      <x:c r="H100" s="28" t="n">
        <x:f>'统一验算'!H100</x:f>
        <x:v>16.342413401377474</x:v>
      </x:c>
      <x:c r="I100" s="29" t="n">
        <x:f>F100/E100-1</x:f>
        <x:v>0</x:v>
      </x:c>
      <x:c r="J100" s="29" t="n">
        <x:f>G100/H100-1</x:f>
        <x:v>0</x:v>
      </x:c>
    </x:row>
    <x:row r="101" ht="25" customHeight="1">
      <x:c r="A101" s="24" t="n">
        <x:v>100</x:v>
      </x:c>
      <x:c r="B101" s="24" t="n">
        <x:v>280</x:v>
      </x:c>
      <x:c r="C101" s="24" t="n">
        <x:f>'楼层配置'!D104</x:f>
        <x:v>280</x:v>
      </x:c>
      <x:c r="D101" s="24" t="n">
        <x:f>C101-B101</x:f>
        <x:v>0</x:v>
      </x:c>
      <x:c r="E101" s="28" t="n">
        <x:v>10.143014219733095</x:v>
      </x:c>
      <x:c r="F101" s="28" t="n">
        <x:f>'统一验算'!F101</x:f>
        <x:v>10.143014219733097</x:v>
      </x:c>
      <x:c r="G101" s="28" t="n">
        <x:v>16.357714590104344</x:v>
      </x:c>
      <x:c r="H101" s="28" t="n">
        <x:f>'统一验算'!H101</x:f>
        <x:v>16.357714590104344</x:v>
      </x:c>
      <x:c r="I101" s="29" t="n">
        <x:f>F101/E101-1</x:f>
        <x:v>2.220446049250313e-16</x:v>
      </x:c>
      <x:c r="J101" s="29" t="n">
        <x:f>G101/H101-1</x:f>
        <x:v>0</x:v>
      </x:c>
    </x:row>
  </x:sheetData>
  <x:pageMargins left="0.7" right="0.7" top="0.75" bottom="0.75" header="0.3" footer="0.3"/>
</x:worksheet>
</file>